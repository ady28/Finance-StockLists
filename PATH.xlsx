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610A70C-69FE-0345-A599-0BFE1FE2250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7" i="3" l="1"/>
  <c r="Z107" i="3"/>
  <c r="Y107" i="3"/>
  <c r="X107" i="3"/>
  <c r="W107" i="3"/>
  <c r="V107" i="3"/>
  <c r="U107" i="3"/>
  <c r="T107" i="3"/>
  <c r="Q107" i="3"/>
  <c r="P107" i="3"/>
  <c r="O107" i="3"/>
  <c r="N107" i="3"/>
  <c r="M107" i="3"/>
  <c r="AC34" i="3"/>
  <c r="AA74" i="3"/>
  <c r="Q205" i="3"/>
  <c r="P205" i="3"/>
  <c r="O205" i="3"/>
  <c r="N205" i="3"/>
  <c r="Q180" i="3"/>
  <c r="P180" i="3"/>
  <c r="O180" i="3"/>
  <c r="N180" i="3"/>
  <c r="M180" i="3"/>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0" i="3"/>
  <c r="P200" i="3"/>
  <c r="O200" i="3"/>
  <c r="N200" i="3"/>
  <c r="M200"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6" i="3"/>
  <c r="Y196" i="3"/>
  <c r="X196" i="3"/>
  <c r="W196" i="3"/>
  <c r="V196" i="3"/>
  <c r="U196" i="3"/>
  <c r="T196" i="3"/>
  <c r="Z195" i="3"/>
  <c r="Y195" i="3"/>
  <c r="X195" i="3"/>
  <c r="W195" i="3"/>
  <c r="V195" i="3"/>
  <c r="U195" i="3"/>
  <c r="T195" i="3"/>
  <c r="Z194" i="3"/>
  <c r="Y194" i="3"/>
  <c r="X194" i="3"/>
  <c r="W194" i="3"/>
  <c r="V194" i="3"/>
  <c r="U194" i="3"/>
  <c r="T194"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6" i="3"/>
  <c r="AA195" i="3"/>
  <c r="AA194" i="3"/>
  <c r="G16" i="18"/>
  <c r="F16" i="18"/>
  <c r="D16" i="18"/>
  <c r="C16" i="18"/>
  <c r="G14" i="18"/>
  <c r="F14" i="18"/>
  <c r="D14" i="18"/>
  <c r="C14" i="18"/>
  <c r="G8" i="18"/>
  <c r="F8" i="18"/>
  <c r="D8" i="18"/>
  <c r="C8" i="18"/>
  <c r="G6" i="18"/>
  <c r="F6" i="18"/>
  <c r="D6" i="18"/>
  <c r="C6" i="18"/>
  <c r="G5" i="18"/>
  <c r="G4" i="18"/>
  <c r="F5" i="18"/>
  <c r="F4" i="18"/>
  <c r="D5" i="18"/>
  <c r="D4" i="18"/>
  <c r="C5" i="18"/>
  <c r="C4" i="18"/>
  <c r="Q196" i="3"/>
  <c r="P196" i="3"/>
  <c r="O196" i="3"/>
  <c r="N196" i="3"/>
  <c r="M196" i="3"/>
  <c r="Q195" i="3"/>
  <c r="P195" i="3"/>
  <c r="O195" i="3"/>
  <c r="N195" i="3"/>
  <c r="M195" i="3"/>
  <c r="Q194" i="3"/>
  <c r="P194" i="3"/>
  <c r="O194" i="3"/>
  <c r="N194" i="3"/>
  <c r="M194"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1" i="3"/>
  <c r="AC214" i="3"/>
  <c r="AC213" i="3"/>
  <c r="AC212" i="3"/>
  <c r="AC210"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0" i="3"/>
  <c r="AC189" i="3"/>
  <c r="AC188" i="3"/>
  <c r="AC186" i="3"/>
  <c r="AC185" i="3"/>
  <c r="AC184"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Q206" i="3" l="1"/>
  <c r="P206" i="3"/>
  <c r="O206" i="3"/>
  <c r="N206" i="3"/>
  <c r="Q204" i="3"/>
  <c r="P204" i="3"/>
  <c r="O204" i="3"/>
  <c r="N204" i="3"/>
  <c r="AC180"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6" i="1"/>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C52" i="16"/>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8" i="1"/>
  <c r="C9" i="1"/>
  <c r="C10" i="1"/>
  <c r="C14" i="1"/>
  <c r="C13" i="1"/>
  <c r="C10" i="10" s="1"/>
  <c r="C12" i="1"/>
  <c r="C11" i="1"/>
  <c r="C7" i="1"/>
  <c r="C6" i="1"/>
  <c r="C5" i="1"/>
  <c r="C10" i="13" s="1"/>
  <c r="C4" i="1"/>
  <c r="G53" i="17" l="1"/>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5" i="12"/>
  <c r="I6" i="11"/>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J5" i="12"/>
  <c r="J6" i="11"/>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6"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3"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4"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<sst xmlns="http://schemas.openxmlformats.org/spreadsheetml/2006/main" count="762" uniqueCount="417">
  <si>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</si>
  <si>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</si>
  <si>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</si>
  <si>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</si>
  <si>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</si>
  <si>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</si>
  <si>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</si>
  <si>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</si>
  <si>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</si>
  <si>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</si>
  <si>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</si>
  <si>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</si>
  <si>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</si>
  <si>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</si>
  <si>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</si>
  <si>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</si>
  <si>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</si>
  <si>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</si>
  <si>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</si>
  <si>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</si>
  <si>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</si>
  <si>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</si>
  <si>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</si>
  <si>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</si>
  <si>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</si>
  <si>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</si>
  <si>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</si>
  <si>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</si>
  <si>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</si>
  <si>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</si>
  <si>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</si>
  <si>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</si>
  <si>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</si>
  <si>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</si>
  <si>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</si>
  <si>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</si>
  <si>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</si>
  <si>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</si>
  <si>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</si>
  <si>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</si>
  <si>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</si>
  <si>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</si>
  <si>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</si>
  <si>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</si>
  <si>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</si>
  <si>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</si>
  <si>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</si>
  <si>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</si>
  <si>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</si>
  <si>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</si>
  <si>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</si>
  <si>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</si>
  <si>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</si>
  <si>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</si>
  <si>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</si>
  <si>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</si>
  <si>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</si>
  <si>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</si>
  <si>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</si>
  <si>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</si>
  <si>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</si>
  <si>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</si>
  <si>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</si>
  <si>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</si>
  <si>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</si>
  <si>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</si>
  <si>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</si>
  <si>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</si>
  <si>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</si>
  <si>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</si>
  <si>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</si>
  <si>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</si>
  <si>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</si>
  <si>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</si>
  <si>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</si>
  <si>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</si>
  <si>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</si>
  <si>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</si>
  <si>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</si>
  <si>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</si>
  <si>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</si>
  <si>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</si>
  <si>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</si>
  <si>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</si>
  <si>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</si>
  <si>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</si>
  <si>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</si>
  <si>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</si>
  <si>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</si>
  <si>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</si>
  <si>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</si>
  <si>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</si>
  <si>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</si>
  <si>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</si>
  <si>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</si>
  <si>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</si>
  <si>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</si>
  <si>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</si>
  <si>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</si>
  <si>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</si>
  <si>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</si>
  <si>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</si>
  <si>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</si>
  <si>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</si>
  <si>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</si>
  <si>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</si>
  <si>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</si>
  <si>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</si>
  <si>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</si>
  <si>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</si>
  <si>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</si>
  <si>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</si>
  <si>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</si>
  <si>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</si>
  <si>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</si>
  <si>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</si>
  <si>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</si>
  <si>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</si>
  <si>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</si>
  <si>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</si>
  <si>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</si>
  <si>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</si>
  <si>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</si>
  <si>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</si>
  <si>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</si>
  <si>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</si>
  <si>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</si>
  <si>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</si>
  <si>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</si>
  <si>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</si>
  <si>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</si>
  <si>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</si>
  <si>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</si>
  <si>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</si>
  <si>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</si>
  <si>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</si>
  <si>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</si>
  <si>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</si>
  <si>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</si>
  <si>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</si>
  <si>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</si>
  <si>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</si>
  <si>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</si>
  <si>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</si>
  <si>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</si>
  <si>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</si>
  <si>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</si>
  <si>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</si>
  <si>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</si>
  <si>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</si>
  <si>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</si>
  <si>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</si>
  <si>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</si>
  <si>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</si>
  <si>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</si>
  <si>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</si>
  <si>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</si>
  <si>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</si>
  <si>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</si>
  <si>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</si>
  <si>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</si>
  <si>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</si>
  <si>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</si>
  <si>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</si>
  <si>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</si>
  <si>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</si>
  <si>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</si>
  <si>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</si>
  <si>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</si>
  <si>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</si>
  <si>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</si>
  <si>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</si>
  <si>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</si>
  <si>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</si>
  <si>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</si>
  <si>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</si>
  <si>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</si>
  <si>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</si>
  <si>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</si>
  <si>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</si>
  <si>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</si>
  <si>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</si>
  <si>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</si>
  <si>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</si>
  <si>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</si>
  <si>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</si>
  <si>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</si>
  <si>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</si>
  <si>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</si>
  <si>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</si>
  <si>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</si>
  <si>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</si>
  <si>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</si>
  <si>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</si>
  <si>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</si>
  <si>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</si>
  <si>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</si>
  <si>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</si>
  <si>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</si>
  <si>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</si>
  <si>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</si>
  <si>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</si>
  <si>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</si>
  <si>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</si>
  <si>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</si>
  <si>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</si>
  <si>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</si>
  <si>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</si>
  <si>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</si>
  <si>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</si>
  <si>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</si>
  <si>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</si>
  <si>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</si>
  <si>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</si>
  <si>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</si>
  <si>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</si>
  <si>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</si>
  <si>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</si>
  <si>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</si>
  <si>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</si>
  <si>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</si>
  <si>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</si>
  <si>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</si>
  <si>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</si>
  <si>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</si>
  <si>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</si>
  <si>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</si>
  <si>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</si>
  <si>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</si>
  <si>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</si>
  <si>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</si>
  <si>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</si>
  <si>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</si>
  <si>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</si>
  <si>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</si>
  <si>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</si>
  <si>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</si>
  <si>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</si>
  <si>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</si>
  <si>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</si>
  <si>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</si>
  <si>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</si>
  <si>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</si>
  <si>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</si>
  <si>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</si>
  <si>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</si>
  <si>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</si>
  <si>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</si>
  <si>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</si>
  <si>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</si>
  <si>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</si>
  <si>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</si>
  <si>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</si>
  <si>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</si>
  <si>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</si>
  <si>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</si>
  <si>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</si>
  <si>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</si>
  <si>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</si>
  <si>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</si>
  <si>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</si>
  <si>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</si>
  <si>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</si>
  <si>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</si>
  <si>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</si>
  <si>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</si>
  <si>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</si>
  <si>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</si>
  <si>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</si>
  <si>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</si>
  <si>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</si>
  <si>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</si>
  <si>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</si>
  <si>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</si>
  <si>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</si>
  <si>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</si>
  <si>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</si>
  <si>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</si>
  <si>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</si>
  <si>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</si>
  <si>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</si>
  <si>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</si>
  <si>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</si>
  <si>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</si>
  <si>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</si>
  <si>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</si>
  <si>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</si>
  <si>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</si>
  <si>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</si>
  <si>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</si>
  <si>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</si>
  <si>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</si>
  <si>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</si>
  <si>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</si>
  <si>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</si>
  <si>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</si>
  <si>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</si>
  <si>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</si>
  <si>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</si>
  <si>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</si>
  <si>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</si>
  <si>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</si>
  <si>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</si>
  <si>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</si>
  <si>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</si>
  <si>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</si>
  <si>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</si>
  <si>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</si>
  <si>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</si>
  <si>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</si>
  <si>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</si>
  <si>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</si>
  <si>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</si>
  <si>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</si>
  <si>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</si>
  <si>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</si>
  <si>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</si>
  <si>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</si>
  <si>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</si>
  <si>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</si>
  <si>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</si>
  <si>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</si>
  <si>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</si>
  <si>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</si>
  <si>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</si>
  <si>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</si>
  <si>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</si>
  <si>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</si>
  <si>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</si>
  <si>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</si>
  <si>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</si>
  <si>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</si>
  <si>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</si>
  <si>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</si>
  <si>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</si>
  <si>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</si>
  <si>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</si>
  <si>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</si>
  <si>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</si>
  <si>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</si>
  <si>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</si>
  <si>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</si>
  <si>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</si>
  <si>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</si>
  <si>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</si>
  <si>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</si>
  <si>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</si>
  <si>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</si>
  <si>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</si>
  <si>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</si>
  <si>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</si>
  <si>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</si>
  <si>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</si>
  <si>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</si>
  <si>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</si>
  <si>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</si>
  <si>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</si>
  <si>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</si>
  <si>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</si>
  <si>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</si>
  <si>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</si>
  <si>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</si>
  <si>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</si>
  <si>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</si>
  <si>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</si>
  <si>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</si>
  <si>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</si>
  <si>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</si>
  <si>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</si>
  <si>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</si>
  <si>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</si>
  <si>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</si>
  <si>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</si>
  <si>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</si>
  <si>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</si>
  <si>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</si>
  <si>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</si>
  <si>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</si>
  <si>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</si>
  <si>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</si>
  <si>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</si>
  <si>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</si>
  <si>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</si>
  <si>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</si>
  <si>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</si>
  <si>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</si>
  <si>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</si>
  <si>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</si>
  <si>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</si>
  <si>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</si>
  <si>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</si>
  <si>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</si>
  <si>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</si>
  <si>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</si>
  <si>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</si>
  <si>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</si>
  <si>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</si>
  <si>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</si>
  <si>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</si>
  <si>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</si>
  <si>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</si>
  <si>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</si>
  <si>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</si>
  <si>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</si>
  <si>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</si>
  <si>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</si>
  <si>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</si>
  <si>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</si>
  <si>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</si>
  <si>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</si>
  <si>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</si>
  <si>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Capital intensity</t>
  </si>
  <si>
    <t>Common size growth rates</t>
  </si>
  <si>
    <t>Price 5y</t>
  </si>
  <si>
    <t>Revenue 5y</t>
  </si>
  <si>
    <t>EPS 5y</t>
  </si>
  <si>
    <t>Marketable securities and investments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</si>
</sst>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0.97670000000000001</v>
    <v>0</v>
    <v>0</v>
    <v>-5.4800000000000001E-2</v>
    <v>-5.0980000000000001E-3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10.975</v>
    <v>Software &amp; IT Services</v>
    <v>Stock</v>
    <v>46183.909881053129</v>
    <v>0</v>
    <v>10.33</v>
    <v>5569793225</v>
    <v>UIPATH, INC.</v>
    <v>UIPATH, INC.</v>
    <v>10.59</v>
    <v>17.869</v>
    <v>10.75</v>
    <v>10.75</v>
    <v>10.6952</v>
    <v>518120300</v>
    <v>PATH</v>
    <v>UIPATH, INC. (XNYS:PATH)</v>
    <v>47024332</v>
    <v>42469915</v>
    <v>2015</v>
  </rv>
  <rv s="2">
    <v>1</v>
  </rv>
  <rv s="0">
    <v>https://www.bing.com/financeapi/forcetrigger?t=a33knm&amp;q=10+Y+TSY+YLD+NDX&amp;form=skydnc</v>
    <v>Learn more on Bing</v>
  </rv>
  <rv s="3">
    <v>5</v>
    <v>10 Y TSY YLD NDX</v>
    <v>6</v>
    <v>7</v>
    <v>Finance</v>
    <v>8</v>
    <v>en-US</v>
    <v>a33knm</v>
    <v>268435456</v>
    <v>1</v>
    <v>Powered by Refinitiv</v>
    <v>46.87</v>
    <v>39.47</v>
    <v>-0.24</v>
    <v>-5.2719999999999998E-3</v>
    <v>US</v>
    <v>45.56</v>
    <v>Index</v>
    <v>3</v>
    <v>45.2</v>
    <v>10 Y TSY YLD NDX</v>
    <v>45.46</v>
    <v>45.52</v>
    <v>45.28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3" dT="2026-05-20T20:26:42.93" personId="{A0F62302-F8D3-B346-B5DF-839B413AE710}" id="{BD518828-4CC2-0B4C-8B09-D92EFD9BB7AB}">
    <text>Actual value</text>
  </threadedComment>
  <threadedComment ref="B214"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tabSelected="1" topLeftCell="A20" zoomScale="160" zoomScaleNormal="160" workbookViewId="0">
      <selection activeCell="B15" sqref="B1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337</v>
      </c>
      <c r="F2" s="250"/>
      <c r="H2" s="249" t="s">
        <v>382</v>
      </c>
      <c r="I2" s="250"/>
    </row>
    <row r="3" spans="2:9" x14ac:dyDescent="0.2">
      <c r="B3" s="207" t="s">
        <v>11</v>
      </c>
      <c r="C3" s="239" t="e" vm="1">
        <v>#VALUE!</v>
      </c>
      <c r="D3" s="2"/>
      <c r="E3" s="207" t="s">
        <v>289</v>
      </c>
      <c r="F3" s="209">
        <f ca="1">Statement!AC153</f>
        <v>5615316.25</v>
      </c>
      <c r="H3" s="207" t="str">
        <f>'AVG target price'!B5</f>
        <v>DCF price</v>
      </c>
      <c r="I3" s="233">
        <f ca="1">'AVG target price'!C5</f>
        <v>6.883608684038804</v>
      </c>
    </row>
    <row r="4" spans="2:9" x14ac:dyDescent="0.2">
      <c r="B4" s="207" t="s">
        <v>0</v>
      </c>
      <c r="C4" s="211" t="str" cm="1">
        <f t="array" aca="1" ref="C4" ca="1">_FV(C3,"Ticker symbol",TRUE)</f>
        <v>PATH</v>
      </c>
      <c r="E4" s="208" t="s">
        <v>230</v>
      </c>
      <c r="F4" s="210">
        <f ca="1">Statement!AC154</f>
        <v>4199570.25</v>
      </c>
      <c r="H4" s="207" t="str">
        <f>'AVG target price'!B6</f>
        <v>EV/EBIT price</v>
      </c>
      <c r="I4" s="233">
        <f ca="1">'AVG target price'!C6</f>
        <v>16.086390610353249</v>
      </c>
    </row>
    <row r="5" spans="2:9" x14ac:dyDescent="0.2">
      <c r="B5" s="207" t="s">
        <v>1</v>
      </c>
      <c r="C5" s="230" cm="1">
        <f t="array" aca="1" ref="C5" ca="1">_FV(C3,"Price",TRUE)</f>
        <v>10.75</v>
      </c>
      <c r="E5" s="207" t="s">
        <v>293</v>
      </c>
      <c r="F5" s="211">
        <f>Statement!AC26</f>
        <v>0.60000000000000009</v>
      </c>
      <c r="H5" s="207" t="str">
        <f>'AVG target price'!B7</f>
        <v>PS price</v>
      </c>
      <c r="I5" s="233">
        <f>'AVG target price'!C7</f>
        <v>13.993493556532998</v>
      </c>
    </row>
    <row r="6" spans="2:9" x14ac:dyDescent="0.2">
      <c r="B6" s="207" t="s">
        <v>2</v>
      </c>
      <c r="C6" s="230" cm="1">
        <f t="array" aca="1" ref="C6" ca="1">_FV(C3,"Price (Extended hours)",TRUE)</f>
        <v>10.6952</v>
      </c>
      <c r="E6" s="207" t="s">
        <v>287</v>
      </c>
      <c r="F6" s="212">
        <f ca="1">Statement!AC150</f>
        <v>17.916666666666664</v>
      </c>
      <c r="H6" s="207" t="str">
        <f>'AVG target price'!B8</f>
        <v>EV/FCFF price</v>
      </c>
      <c r="I6" s="233">
        <f ca="1">'AVG target price'!C8</f>
        <v>10.692166000283517</v>
      </c>
    </row>
    <row r="7" spans="2:9" x14ac:dyDescent="0.2">
      <c r="B7" s="207" t="s">
        <v>3</v>
      </c>
      <c r="C7" s="6" cm="1">
        <f t="array" aca="1" ref="C7" ca="1">_FV(C3,"Change")</f>
        <v>0</v>
      </c>
      <c r="E7" s="208" t="s">
        <v>243</v>
      </c>
      <c r="F7" s="213">
        <f ca="1">Statement!AC151</f>
        <v>3.4631455439416863</v>
      </c>
      <c r="H7" s="206" t="str">
        <f>'AVG target price'!B9</f>
        <v>AVG price</v>
      </c>
      <c r="I7" s="234">
        <f ca="1">'AVG target price'!C9</f>
        <v>11.913914712802143</v>
      </c>
    </row>
    <row r="8" spans="2:9" x14ac:dyDescent="0.2">
      <c r="B8" s="207" t="s">
        <v>4</v>
      </c>
      <c r="C8" s="6" cm="1">
        <f t="array" aca="1" ref="C8" ca="1">_FV(C3,"Change (extended hours)",TRUE)</f>
        <v>-5.4800000000000001E-2</v>
      </c>
      <c r="E8" s="207" t="s">
        <v>315</v>
      </c>
      <c r="F8" s="214">
        <f ca="1">Statement!AC161</f>
        <v>1.9163479884147221E-2</v>
      </c>
      <c r="H8" s="206" t="str">
        <f>'AVG target price'!B11</f>
        <v>Upside/Downside</v>
      </c>
      <c r="I8" s="235">
        <f ca="1">'AVG target price'!C11</f>
        <v>0.10827113607461793</v>
      </c>
    </row>
    <row r="9" spans="2:9" x14ac:dyDescent="0.2">
      <c r="B9" s="207" t="s">
        <v>5</v>
      </c>
      <c r="C9" s="73" cm="1">
        <f t="array" aca="1" ref="C9" ca="1">_FV(C3,"Change (%)",TRUE)</f>
        <v>0</v>
      </c>
      <c r="E9" s="207" t="s">
        <v>338</v>
      </c>
      <c r="F9" s="214">
        <f ca="1">Statement!AC162</f>
        <v>5.5813953488372099E-2</v>
      </c>
    </row>
    <row r="10" spans="2:9" x14ac:dyDescent="0.2">
      <c r="B10" s="207" t="s">
        <v>6</v>
      </c>
      <c r="C10" s="73" cm="1">
        <f t="array" aca="1" ref="C10" ca="1">_FV(C3,"Change % (extended hours)",TRUE)</f>
        <v>-5.0980000000000001E-3</v>
      </c>
      <c r="E10" s="207" t="s">
        <v>343</v>
      </c>
      <c r="F10" s="214">
        <f ca="1">Statement!AC164</f>
        <v>6.150535154631763E-2</v>
      </c>
    </row>
    <row r="11" spans="2:9" x14ac:dyDescent="0.2">
      <c r="B11" s="207" t="s">
        <v>7</v>
      </c>
      <c r="C11" s="231" cm="1">
        <f t="array" aca="1" ref="C11" ca="1">_FV(C3,"52 week high",TRUE)</f>
        <v>19.84</v>
      </c>
      <c r="E11" s="208" t="s">
        <v>339</v>
      </c>
      <c r="F11" s="215">
        <f ca="1">Statement!AC163</f>
        <v>0</v>
      </c>
    </row>
    <row r="12" spans="2:9" x14ac:dyDescent="0.2">
      <c r="B12" s="207" t="s">
        <v>8</v>
      </c>
      <c r="C12" s="231" cm="1">
        <f t="array" aca="1" ref="C12" ca="1">_FV(C3,"52 week low",TRUE)</f>
        <v>9.2002000000000006</v>
      </c>
      <c r="E12" s="207" t="s">
        <v>121</v>
      </c>
      <c r="F12" s="214">
        <f>Statement!AC123</f>
        <v>0.1127173202051847</v>
      </c>
    </row>
    <row r="13" spans="2:9" x14ac:dyDescent="0.2">
      <c r="B13" s="207" t="s">
        <v>9</v>
      </c>
      <c r="C13" s="231" cm="1">
        <f t="array" aca="1" ref="C13" ca="1">_FV(C3,"Beta")</f>
        <v>0.97670000000000001</v>
      </c>
      <c r="E13" s="207" t="s">
        <v>123</v>
      </c>
      <c r="F13" s="214">
        <f>Statement!AC125</f>
        <v>0.17205256008386913</v>
      </c>
    </row>
    <row r="14" spans="2:9" x14ac:dyDescent="0.2">
      <c r="B14" s="208" t="s">
        <v>10</v>
      </c>
      <c r="C14" s="232" cm="1">
        <f t="array" aca="1" ref="C14" ca="1">_FV(C3,"Volume average",TRUE)</f>
        <v>42469915</v>
      </c>
      <c r="E14" s="208" t="s">
        <v>124</v>
      </c>
      <c r="F14" s="215">
        <f>Statement!AC140</f>
        <v>0.2076253183886507</v>
      </c>
    </row>
    <row r="15" spans="2:9" x14ac:dyDescent="0.2">
      <c r="E15" s="207" t="s">
        <v>340</v>
      </c>
      <c r="F15" s="214">
        <f ca="1">Statement!AC176</f>
        <v>0.25212222018661906</v>
      </c>
    </row>
    <row r="16" spans="2:9" x14ac:dyDescent="0.2">
      <c r="E16" s="208" t="s">
        <v>345</v>
      </c>
      <c r="F16" s="213">
        <f>Statement!AC175</f>
        <v>2.732462108272006</v>
      </c>
    </row>
    <row r="17" spans="2:9" x14ac:dyDescent="0.2">
      <c r="B17" s="251" t="s">
        <v>103</v>
      </c>
      <c r="C17" s="251"/>
      <c r="E17" s="206" t="s">
        <v>346</v>
      </c>
      <c r="F17" s="216">
        <f>Statement!AC171</f>
        <v>0.2236199519483876</v>
      </c>
    </row>
    <row r="18" spans="2:9" x14ac:dyDescent="0.2">
      <c r="B18" s="206" t="s">
        <v>12</v>
      </c>
      <c r="C18" s="69" t="s">
        <v>14</v>
      </c>
      <c r="E18" s="207" t="s">
        <v>347</v>
      </c>
      <c r="F18" s="212">
        <f>Statement!AC144</f>
        <v>40.164814474593925</v>
      </c>
      <c r="I18" s="50"/>
    </row>
    <row r="19" spans="2:9" x14ac:dyDescent="0.2">
      <c r="B19" s="206" t="s">
        <v>13</v>
      </c>
      <c r="C19" s="70">
        <v>1000</v>
      </c>
      <c r="E19" s="207" t="s">
        <v>308</v>
      </c>
      <c r="F19" s="212">
        <f>Statement!AC146</f>
        <v>-0.74396849127545694</v>
      </c>
    </row>
    <row r="20" spans="2:9" x14ac:dyDescent="0.2">
      <c r="B20" s="206" t="s">
        <v>104</v>
      </c>
      <c r="C20" s="69" t="s">
        <v>105</v>
      </c>
      <c r="E20" s="208" t="s">
        <v>348</v>
      </c>
      <c r="F20" s="213">
        <f>Statement!AC147</f>
        <v>2.063021693804965</v>
      </c>
    </row>
    <row r="21" spans="2:9" x14ac:dyDescent="0.2">
      <c r="B21" s="206" t="s">
        <v>106</v>
      </c>
      <c r="C21" s="69" t="s">
        <v>107</v>
      </c>
      <c r="I21" s="50"/>
    </row>
    <row r="22" spans="2:9" x14ac:dyDescent="0.2">
      <c r="B22" s="206" t="s">
        <v>108</v>
      </c>
      <c r="C22" s="69" t="s">
        <v>107</v>
      </c>
    </row>
    <row r="25" spans="2:9" x14ac:dyDescent="0.2">
      <c r="B25" s="251" t="s">
        <v>126</v>
      </c>
      <c r="C25" s="251"/>
      <c r="E25" s="249" t="s">
        <v>402</v>
      </c>
      <c r="F25" s="250"/>
    </row>
    <row r="26" spans="2:9" x14ac:dyDescent="0.2">
      <c r="B26" s="206" t="s">
        <v>127</v>
      </c>
      <c r="C26" s="191">
        <v>0.21</v>
      </c>
      <c r="E26" s="207" t="e" vm="2">
        <v>#VALUE!</v>
      </c>
      <c r="F26" s="242" cm="1">
        <f t="array" aca="1" ref="F26" ca="1">_FV(E26,"Price")</f>
        <v>45.28</v>
      </c>
    </row>
    <row r="27" spans="2:9" x14ac:dyDescent="0.2">
      <c r="B27" s="206" t="s">
        <v>214</v>
      </c>
      <c r="C27" s="244">
        <v>0</v>
      </c>
      <c r="E27" s="208" t="s">
        <v>403</v>
      </c>
      <c r="F27" s="243">
        <f ca="1">F26/1000</f>
        <v>4.5280000000000001E-2</v>
      </c>
    </row>
    <row r="28" spans="2:9" x14ac:dyDescent="0.2">
      <c r="B28" s="206" t="s">
        <v>407</v>
      </c>
      <c r="C28" s="244">
        <v>0</v>
      </c>
    </row>
    <row r="29" spans="2:9" x14ac:dyDescent="0.2">
      <c r="B29" s="206" t="s">
        <v>408</v>
      </c>
      <c r="C29" s="244">
        <v>0.12</v>
      </c>
    </row>
    <row r="33" spans="2:8" x14ac:dyDescent="0.2">
      <c r="B33" s="248" t="s">
        <v>392</v>
      </c>
      <c r="C33" s="248"/>
      <c r="D33" s="248"/>
      <c r="E33" s="248"/>
      <c r="F33" s="248"/>
      <c r="G33" s="248"/>
      <c r="H33" s="248"/>
    </row>
    <row r="35" spans="2:8" x14ac:dyDescent="0.2">
      <c r="B35" s="16" t="s">
        <v>393</v>
      </c>
      <c r="C35" s="1" t="s">
        <v>398</v>
      </c>
    </row>
    <row r="36" spans="2:8" x14ac:dyDescent="0.2">
      <c r="B36" s="16" t="s">
        <v>394</v>
      </c>
      <c r="C36" s="1" t="s">
        <v>397</v>
      </c>
    </row>
    <row r="39" spans="2:8" ht="6" customHeight="1" x14ac:dyDescent="0.2">
      <c r="B39" s="248"/>
      <c r="C39" s="248"/>
      <c r="D39" s="248"/>
      <c r="E39" s="248"/>
      <c r="F39" s="248"/>
      <c r="G39" s="248"/>
      <c r="H39" s="248"/>
    </row>
    <row r="42" spans="2:8" x14ac:dyDescent="0.2">
      <c r="B42" s="248" t="s">
        <v>395</v>
      </c>
      <c r="C42" s="248"/>
      <c r="D42" s="248"/>
      <c r="E42" s="248"/>
      <c r="F42" s="248"/>
      <c r="G42" s="248"/>
      <c r="H42" s="248"/>
    </row>
    <row r="44" spans="2:8" x14ac:dyDescent="0.2">
      <c r="B44" s="41" t="s">
        <v>396</v>
      </c>
      <c r="C44" s="41" t="s">
        <v>383</v>
      </c>
      <c r="D44" s="41" t="s">
        <v>384</v>
      </c>
      <c r="E44" s="240"/>
    </row>
    <row r="49" spans="2:8" ht="5" customHeight="1" x14ac:dyDescent="0.2">
      <c r="B49" s="248"/>
      <c r="C49" s="248"/>
      <c r="D49" s="248"/>
      <c r="E49" s="248"/>
      <c r="F49" s="248"/>
      <c r="G49" s="248"/>
      <c r="H49" s="248"/>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5"/>
  <sheetViews>
    <sheetView zoomScale="170" zoomScaleNormal="150" workbookViewId="0">
      <pane xSplit="2" ySplit="3" topLeftCell="N68" activePane="bottomRight" state="frozen"/>
      <selection pane="topRight" activeCell="C1" sqref="C1"/>
      <selection pane="bottomLeft" activeCell="A4" sqref="A4"/>
      <selection pane="bottomRight" activeCell="AA107" sqref="AA10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383</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384</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385</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416</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211</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211</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389</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390</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385</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334</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388</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284</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285</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286</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325</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326</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IF(L5=0,
IF(M5=0,0,IF(M5&gt;0,1,-1)),
(M5-L5)/ABS(L5)
)</f>
        <v>1</v>
      </c>
      <c r="N89" s="48">
        <f>IF(M5=0,
IF(N5=0,0,IF(N5&gt;0,1,-1)),
(N5-M5)/ABS(M5)
)</f>
        <v>0.18641482451146088</v>
      </c>
      <c r="O89" s="48">
        <f>IF(N5=0,
IF(O5=0,0,IF(O5&gt;0,1,-1)),
(O5-N5)/ABS(N5)
)</f>
        <v>0.23568437370404344</v>
      </c>
      <c r="P89" s="48">
        <f>IF(O5=0,
IF(P5=0,0,IF(P5&gt;0,1,-1)),
(P5-O5)/ABS(O5)
)</f>
        <v>9.2955127852289474E-2</v>
      </c>
      <c r="Q89" s="48">
        <f>IF(P5=0,
IF(Q5=0,0,IF(Q5&gt;0,1,-1)),
(Q5-P5)/ABS(P5)
)</f>
        <v>0.12653882310808692</v>
      </c>
      <c r="R89" s="1"/>
      <c r="S89" s="1"/>
      <c r="T89" s="48">
        <f>IF(S5=0,
IF(T5=0,0,IF(T5&gt;0,1,-1)),
(T5-S5)/ABS(S5)
)</f>
        <v>1</v>
      </c>
      <c r="U89" s="48">
        <f>IF(T5=0,
IF(U5=0,0,IF(U5&gt;0,1,-1)),
(U5-T5)/ABS(T5)
)</f>
        <v>0.12142177307408941</v>
      </c>
      <c r="V89" s="48">
        <f>IF(U5=0,
IF(V5=0,0,IF(V5&gt;0,1,-1)),
(V5-U5)/ABS(U5)
)</f>
        <v>0.1945366315807282</v>
      </c>
      <c r="W89" s="48">
        <f>IF(V5=0,
IF(W5=0,0,IF(W5&gt;0,1,-1)),
(W5-V5)/ABS(V5)
)</f>
        <v>-0.15820283916288599</v>
      </c>
      <c r="X89" s="48">
        <f>IF(W5=0,
IF(X5=0,0,IF(X5&gt;0,1,-1)),
(X5-W5)/ABS(W5)
)</f>
        <v>1.4311992462649737E-2</v>
      </c>
      <c r="Y89" s="48">
        <f>IF(X5=0,
IF(Y5=0,0,IF(Y5&gt;0,1,-1)),
(Y5-X5)/ABS(X5)
)</f>
        <v>0.13652523443029016</v>
      </c>
      <c r="Z89" s="48">
        <f>IF(Y5=0,
IF(Z5=0,0,IF(Z5&gt;0,1,-1)),
(Z5-Y5)/ABS(Y5)
)</f>
        <v>0.17025489342346264</v>
      </c>
      <c r="AA89" s="48">
        <f>IF(Z5=0,
IF(AA5=0,0,IF(AA5&gt;0,1,-1)),
(AA5-Z5)/ABS(Z5)
)</f>
        <v>-0.13037640275448081</v>
      </c>
      <c r="AB89" s="1"/>
      <c r="AC89" s="67"/>
      <c r="AD89" s="1"/>
      <c r="AE89" s="1"/>
    </row>
    <row r="90" spans="1:31" x14ac:dyDescent="0.2">
      <c r="B90" s="20" t="s">
        <v>21</v>
      </c>
      <c r="C90" s="49"/>
      <c r="D90" s="50"/>
      <c r="E90" s="50"/>
      <c r="F90" s="50"/>
      <c r="G90" s="50"/>
      <c r="H90" s="50"/>
      <c r="I90" s="50"/>
      <c r="J90" s="50"/>
      <c r="K90" s="50"/>
      <c r="L90" s="50"/>
      <c r="M90" s="50">
        <f>IF(L6=0,
IF(M6=0,0,IF(M6&gt;0,1,-1)),
(M6-L6)/ABS(L6)
)</f>
        <v>1</v>
      </c>
      <c r="N90" s="50">
        <f>IF(M6=0,
IF(N6=0,0,IF(N6&gt;0,1,-1)),
(N6-M6)/ABS(M6)
)</f>
        <v>6.6223322358291689E-2</v>
      </c>
      <c r="O90" s="50">
        <f>IF(N6=0,
IF(O6=0,0,IF(O6&gt;0,1,-1)),
(O6-N6)/ABS(N6)
)</f>
        <v>8.8158355132712404E-2</v>
      </c>
      <c r="P90" s="50">
        <f>IF(O6=0,
IF(P6=0,0,IF(P6&gt;0,1,-1)),
(P6-O6)/ABS(O6)
)</f>
        <v>0.26039688858945303</v>
      </c>
      <c r="Q90" s="50">
        <f>IF(P6=0,
IF(Q6=0,0,IF(Q6&gt;0,1,-1)),
(Q6-P6)/ABS(P6)
)</f>
        <v>9.7358893991301598E-2</v>
      </c>
      <c r="T90" s="50">
        <f>IF(S6=0,
IF(T6=0,0,IF(T6&gt;0,1,-1)),
(T6-S6)/ABS(S6)
)</f>
        <v>1</v>
      </c>
      <c r="U90" s="50">
        <f>IF(T6=0,
IF(U6=0,0,IF(U6&gt;0,1,-1)),
(U6-T6)/ABS(T6)
)</f>
        <v>6.9962097283638664E-3</v>
      </c>
      <c r="V90" s="50">
        <f>IF(U6=0,
IF(V6=0,0,IF(V6&gt;0,1,-1)),
(V6-U6)/ABS(U6)
)</f>
        <v>1.2091651898436397E-2</v>
      </c>
      <c r="W90" s="50">
        <f>IF(V6=0,
IF(W6=0,0,IF(W6&gt;0,1,-1)),
(W6-V6)/ABS(V6)
)</f>
        <v>-1.0490594105432795E-2</v>
      </c>
      <c r="X90" s="50">
        <f>IF(W6=0,
IF(X6=0,0,IF(X6&gt;0,1,-1)),
(X6-W6)/ABS(W6)
)</f>
        <v>8.1901749220915487E-3</v>
      </c>
      <c r="Y90" s="50">
        <f>IF(X6=0,
IF(Y6=0,0,IF(Y6&gt;0,1,-1)),
(Y6-X6)/ABS(X6)
)</f>
        <v>6.8841255048151598E-2</v>
      </c>
      <c r="Z90" s="50">
        <f>IF(Y6=0,
IF(Z6=0,0,IF(Z6&gt;0,1,-1)),
(Z6-Y6)/ABS(Y6)
)</f>
        <v>7.4449223972562928E-2</v>
      </c>
      <c r="AA90" s="50">
        <f>IF(Z6=0,
IF(AA6=0,0,IF(AA6&gt;0,1,-1)),
(AA6-Z6)/ABS(Z6)
)</f>
        <v>4.0481504023804696E-2</v>
      </c>
      <c r="AC90" s="68"/>
    </row>
    <row r="91" spans="1:31" s="41" customFormat="1" x14ac:dyDescent="0.2">
      <c r="A91" s="16"/>
      <c r="B91" s="17" t="s">
        <v>22</v>
      </c>
      <c r="C91" s="47"/>
      <c r="D91" s="48"/>
      <c r="E91" s="48"/>
      <c r="F91" s="48"/>
      <c r="G91" s="48"/>
      <c r="H91" s="48"/>
      <c r="I91" s="48"/>
      <c r="J91" s="48"/>
      <c r="K91" s="48"/>
      <c r="L91" s="48"/>
      <c r="M91" s="48">
        <f>IF(L7=0,
IF(M7=0,0,IF(M7&gt;0,1,-1)),
(M7-L7)/ABS(L7)
)</f>
        <v>1</v>
      </c>
      <c r="N91" s="48">
        <f>IF(M7=0,
IF(N7=0,0,IF(N7&gt;0,1,-1)),
(N7-M7)/ABS(M7)
)</f>
        <v>0.21447253464273469</v>
      </c>
      <c r="O91" s="48">
        <f>IF(N7=0,
IF(O7=0,0,IF(O7&gt;0,1,-1)),
(O7-N7)/ABS(N7)
)</f>
        <v>0.26591920594629664</v>
      </c>
      <c r="P91" s="48">
        <f>IF(O7=0,
IF(P7=0,0,IF(P7&gt;0,1,-1)),
(P7-O7)/ABS(O7)
)</f>
        <v>6.3457381571517466E-2</v>
      </c>
      <c r="Q91" s="48">
        <f>IF(P7=0,
IF(Q7=0,0,IF(Q7&gt;0,1,-1)),
(Q7-P7)/ABS(P7)
)</f>
        <v>0.13263133686529885</v>
      </c>
      <c r="R91" s="1"/>
      <c r="S91" s="1"/>
      <c r="T91" s="48">
        <f>IF(S7=0,
IF(T7=0,0,IF(T7&gt;0,1,-1)),
(T7-S7)/ABS(S7)
)</f>
        <v>1</v>
      </c>
      <c r="U91" s="48">
        <f>IF(T7=0,
IF(U7=0,0,IF(U7&gt;0,1,-1)),
(U7-T7)/ABS(T7)
)</f>
        <v>0.15006740915578434</v>
      </c>
      <c r="V91" s="48">
        <f>IF(U7=0,
IF(V7=0,0,IF(V7&gt;0,1,-1)),
(V7-U7)/ABS(U7)
)</f>
        <v>0.23452851593385815</v>
      </c>
      <c r="W91" s="48">
        <f>IF(V7=0,
IF(W7=0,0,IF(W7&gt;0,1,-1)),
(W7-V7)/ABS(V7)
)</f>
        <v>-0.18474737686292855</v>
      </c>
      <c r="X91" s="48">
        <f>IF(W7=0,
IF(X7=0,0,IF(X7&gt;0,1,-1)),
(X7-W7)/ABS(W7)
)</f>
        <v>1.5647255325907633E-2</v>
      </c>
      <c r="Y91" s="48">
        <f>IF(X7=0,
IF(Y7=0,0,IF(Y7&gt;0,1,-1)),
(Y7-X7)/ABS(X7)
)</f>
        <v>0.15117976243324321</v>
      </c>
      <c r="Z91" s="48">
        <f>IF(Y7=0,
IF(Z7=0,0,IF(Z7&gt;0,1,-1)),
(Z7-Y7)/ABS(Y7)
)</f>
        <v>0.18951449163163414</v>
      </c>
      <c r="AA91" s="48">
        <f>IF(Z7=0,
IF(AA7=0,0,IF(AA7&gt;0,1,-1)),
(AA7-Z7)/ABS(Z7)
)</f>
        <v>-0.1614010786596328</v>
      </c>
      <c r="AB91" s="1"/>
      <c r="AC91" s="67"/>
      <c r="AD91" s="1"/>
      <c r="AE91" s="1"/>
    </row>
    <row r="92" spans="1:31" x14ac:dyDescent="0.2">
      <c r="B92" s="20" t="s">
        <v>24</v>
      </c>
      <c r="C92" s="49"/>
      <c r="D92" s="50"/>
      <c r="E92" s="50"/>
      <c r="F92" s="50"/>
      <c r="G92" s="50"/>
      <c r="H92" s="50"/>
      <c r="I92" s="50"/>
      <c r="J92" s="50"/>
      <c r="K92" s="50"/>
      <c r="L92" s="50"/>
      <c r="M92" s="50">
        <f>IF(L8=0,
IF(M8=0,0,IF(M8&gt;0,1,-1)),
(M8-L8)/ABS(L8)
)</f>
        <v>1</v>
      </c>
      <c r="N92" s="50">
        <f>IF(M8=0,
IF(N8=0,0,IF(N8&gt;0,1,-1)),
(N8-M8)/ABS(M8)
)</f>
        <v>5.5555396298026891E-3</v>
      </c>
      <c r="O92" s="50">
        <f>IF(N8=0,
IF(O8=0,0,IF(O8&gt;0,1,-1)),
(O8-N8)/ABS(N8)
)</f>
        <v>1.6494716046285551E-2</v>
      </c>
      <c r="P92" s="50">
        <f>IF(O8=0,
IF(P8=0,0,IF(P8&gt;0,1,-1)),
(P8-O8)/ABS(O8)
)</f>
        <v>3.55657453760184E-2</v>
      </c>
      <c r="Q92" s="50">
        <f>IF(P8=0,
IF(Q8=0,0,IF(Q8&gt;0,1,-1)),
(Q8-P8)/ABS(P8)
)</f>
        <v>-7.4698067551080383E-2</v>
      </c>
      <c r="T92" s="50">
        <f>IF(S8=0,
IF(T8=0,0,IF(T8&gt;0,1,-1)),
(T8-S8)/ABS(S8)
)</f>
        <v>1</v>
      </c>
      <c r="U92" s="50">
        <f>IF(T8=0,
IF(U8=0,0,IF(U8&gt;0,1,-1)),
(U8-T8)/ABS(T8)
)</f>
        <v>-3.6751916842484432E-2</v>
      </c>
      <c r="V92" s="50">
        <f>IF(U8=0,
IF(V8=0,0,IF(V8&gt;0,1,-1)),
(V8-U8)/ABS(U8)
)</f>
        <v>-5.5302690343398082E-2</v>
      </c>
      <c r="W92" s="50">
        <f>IF(V8=0,
IF(W8=0,0,IF(W8&gt;0,1,-1)),
(W8-V8)/ABS(V8)
)</f>
        <v>-9.7123888800922889E-2</v>
      </c>
      <c r="X92" s="50">
        <f>IF(W8=0,
IF(X8=0,0,IF(X8&gt;0,1,-1)),
(X8-W8)/ABS(W8)
)</f>
        <v>4.1600641358879129E-2</v>
      </c>
      <c r="Y92" s="50">
        <f>IF(X8=0,
IF(Y8=0,0,IF(Y8&gt;0,1,-1)),
(Y8-X8)/ABS(X8)
)</f>
        <v>7.746703306615034E-2</v>
      </c>
      <c r="Z92" s="50">
        <f>IF(Y8=0,
IF(Z8=0,0,IF(Z8&gt;0,1,-1)),
(Z8-Y8)/ABS(Y8)
)</f>
        <v>-5.6198586943176365E-3</v>
      </c>
      <c r="AA92" s="50">
        <f>IF(Z8=0,
IF(AA8=0,0,IF(AA8&gt;0,1,-1)),
(AA8-Z8)/ABS(Z8)
)</f>
        <v>-5.7919283417237719E-2</v>
      </c>
      <c r="AC92" s="68"/>
    </row>
    <row r="93" spans="1:31" x14ac:dyDescent="0.2">
      <c r="B93" s="20" t="s">
        <v>23</v>
      </c>
      <c r="C93" s="49"/>
      <c r="D93" s="50"/>
      <c r="E93" s="50"/>
      <c r="F93" s="50"/>
      <c r="G93" s="50"/>
      <c r="H93" s="50"/>
      <c r="I93" s="50"/>
      <c r="J93" s="50"/>
      <c r="K93" s="50"/>
      <c r="L93" s="50"/>
      <c r="M93" s="50">
        <f>IF(L9=0,
IF(M9=0,0,IF(M9&gt;0,1,-1)),
(M9-L9)/ABS(L9)
)</f>
        <v>1</v>
      </c>
      <c r="N93" s="50">
        <f>IF(M9=0,
IF(N9=0,0,IF(N9&gt;0,1,-1)),
(N9-M9)/ABS(M9)
)</f>
        <v>3.2867413439746689E-2</v>
      </c>
      <c r="O93" s="50">
        <f>IF(N9=0,
IF(O9=0,0,IF(O9&gt;0,1,-1)),
(O9-N9)/ABS(N9)
)</f>
        <v>0.16220822397200349</v>
      </c>
      <c r="P93" s="50">
        <f>IF(O9=0,
IF(P9=0,0,IF(P9&gt;0,1,-1)),
(P9-O9)/ABS(O9)
)</f>
        <v>0.14628381125019196</v>
      </c>
      <c r="Q93" s="50">
        <f>IF(P9=0,
IF(Q9=0,0,IF(Q9&gt;0,1,-1)),
(Q9-P9)/ABS(P9)
)</f>
        <v>1.1889188351432428E-2</v>
      </c>
      <c r="T93" s="50">
        <f>IF(S9=0,
IF(T9=0,0,IF(T9&gt;0,1,-1)),
(T9-S9)/ABS(S9)
)</f>
        <v>1</v>
      </c>
      <c r="U93" s="50">
        <f>IF(T9=0,
IF(U9=0,0,IF(U9&gt;0,1,-1)),
(U9-T9)/ABS(T9)
)</f>
        <v>-1.4801946501681347E-2</v>
      </c>
      <c r="V93" s="50">
        <f>IF(U9=0,
IF(V9=0,0,IF(V9&gt;0,1,-1)),
(V9-U9)/ABS(U9)
)</f>
        <v>2.7780069295495792E-2</v>
      </c>
      <c r="W93" s="50">
        <f>IF(V9=0,
IF(W9=0,0,IF(W9&gt;0,1,-1)),
(W9-V9)/ABS(V9)
)</f>
        <v>-4.8469950837764626E-2</v>
      </c>
      <c r="X93" s="50">
        <f>IF(W9=0,
IF(X9=0,0,IF(X9&gt;0,1,-1)),
(X9-W9)/ABS(W9)
)</f>
        <v>3.6925737302164724E-2</v>
      </c>
      <c r="Y93" s="50">
        <f>IF(X9=0,
IF(Y9=0,0,IF(Y9&gt;0,1,-1)),
(Y9-X9)/ABS(X9)
)</f>
        <v>-1.4968324503513285E-2</v>
      </c>
      <c r="Z93" s="50">
        <f>IF(Y9=0,
IF(Z9=0,0,IF(Z9&gt;0,1,-1)),
(Z9-Y9)/ABS(Y9)
)</f>
        <v>-1.7652706232127925E-2</v>
      </c>
      <c r="AA93" s="50">
        <f>IF(Z9=0,
IF(AA9=0,0,IF(AA9&gt;0,1,-1)),
(AA9-Z9)/ABS(Z9)
)</f>
        <v>-2.371819796340861E-2</v>
      </c>
      <c r="AC93" s="68"/>
    </row>
    <row r="94" spans="1:31" x14ac:dyDescent="0.2">
      <c r="B94" s="23" t="s">
        <v>25</v>
      </c>
      <c r="C94" s="49"/>
      <c r="D94" s="50"/>
      <c r="E94" s="50"/>
      <c r="F94" s="50"/>
      <c r="G94" s="50"/>
      <c r="H94" s="50"/>
      <c r="I94" s="50"/>
      <c r="J94" s="50"/>
      <c r="K94" s="50"/>
      <c r="L94" s="50"/>
      <c r="M94" s="50">
        <f>IF(L10=0,
IF(M10=0,0,IF(M10&gt;0,1,-1)),
(M10-L10)/ABS(L10)
)</f>
        <v>1</v>
      </c>
      <c r="N94" s="50">
        <f>IF(M10=0,
IF(N10=0,0,IF(N10&gt;0,1,-1)),
(N10-M10)/ABS(M10)
)</f>
        <v>-4.1945510038361382E-2</v>
      </c>
      <c r="O94" s="50">
        <f>IF(N10=0,
IF(O10=0,0,IF(O10&gt;0,1,-1)),
(O10-N10)/ABS(N10)
)</f>
        <v>-3.2851088703784892E-2</v>
      </c>
      <c r="P94" s="50">
        <f>IF(O10=0,
IF(P10=0,0,IF(P10&gt;0,1,-1)),
(P10-O10)/ABS(O10)
)</f>
        <v>-2.383470689052267E-2</v>
      </c>
      <c r="Q94" s="50">
        <f>IF(P10=0,
IF(Q10=0,0,IF(Q10&gt;0,1,-1)),
(Q10-P10)/ABS(P10)
)</f>
        <v>-5.2296166569371472E-2</v>
      </c>
      <c r="T94" s="50">
        <f>IF(S10=0,
IF(T10=0,0,IF(T10&gt;0,1,-1)),
(T10-S10)/ABS(S10)
)</f>
        <v>1</v>
      </c>
      <c r="U94" s="50">
        <f>IF(T10=0,
IF(U10=0,0,IF(U10&gt;0,1,-1)),
(U10-T10)/ABS(T10)
)</f>
        <v>-0.21141705631385885</v>
      </c>
      <c r="V94" s="50">
        <f>IF(U10=0,
IF(V10=0,0,IF(V10&gt;0,1,-1)),
(V10-U10)/ABS(U10)
)</f>
        <v>-2.1820722699141544E-2</v>
      </c>
      <c r="W94" s="50">
        <f>IF(V10=0,
IF(W10=0,0,IF(W10&gt;0,1,-1)),
(W10-V10)/ABS(V10)
)</f>
        <v>0.11596628365001939</v>
      </c>
      <c r="X94" s="50">
        <f>IF(W10=0,
IF(X10=0,0,IF(X10&gt;0,1,-1)),
(X10-W10)/ABS(W10)
)</f>
        <v>-3.2736516761462352E-2</v>
      </c>
      <c r="Y94" s="50">
        <f>IF(X10=0,
IF(Y10=0,0,IF(Y10&gt;0,1,-1)),
(Y10-X10)/ABS(X10)
)</f>
        <v>5.407551664807427E-3</v>
      </c>
      <c r="Z94" s="50">
        <f>IF(Y10=0,
IF(Z10=0,0,IF(Z10&gt;0,1,-1)),
(Z10-Y10)/ABS(Y10)
)</f>
        <v>7.014574518100611E-3</v>
      </c>
      <c r="AA94" s="50">
        <f>IF(Z10=0,
IF(AA10=0,0,IF(AA10&gt;0,1,-1)),
(AA10-Z10)/ABS(Z10)
)</f>
        <v>-1.5724210054530514E-2</v>
      </c>
      <c r="AC94" s="68"/>
    </row>
    <row r="95" spans="1:31" x14ac:dyDescent="0.2">
      <c r="B95" s="23" t="s">
        <v>26</v>
      </c>
      <c r="C95" s="49"/>
      <c r="D95" s="50"/>
      <c r="E95" s="50"/>
      <c r="F95" s="50"/>
      <c r="G95" s="50"/>
      <c r="H95" s="50"/>
      <c r="I95" s="50"/>
      <c r="J95" s="50"/>
      <c r="K95" s="50"/>
      <c r="L95" s="50"/>
      <c r="M95" s="50">
        <f>IF(L11=0,
IF(M11=0,0,IF(M11&gt;0,1,-1)),
(M11-L11)/ABS(L11)
)</f>
        <v>1</v>
      </c>
      <c r="N95" s="50">
        <f>IF(M11=0,
IF(N11=0,0,IF(N11&gt;0,1,-1)),
(N11-M11)/ABS(M11)
)</f>
        <v>2.0280479935964979E-3</v>
      </c>
      <c r="O95" s="50">
        <f>IF(N11=0,
IF(O11=0,0,IF(O11&gt;0,1,-1)),
(O11-N11)/ABS(N11)
)</f>
        <v>4.080083924770931E-2</v>
      </c>
      <c r="P95" s="50">
        <f>IF(O11=0,
IF(P11=0,0,IF(P11&gt;0,1,-1)),
(P11-O11)/ABS(O11)
)</f>
        <v>5.3586588433573397E-2</v>
      </c>
      <c r="Q95" s="50">
        <f>IF(P11=0,
IF(Q11=0,0,IF(Q11&gt;0,1,-1)),
(Q11-P11)/ABS(P11)
)</f>
        <v>-4.6430846560335276E-2</v>
      </c>
      <c r="T95" s="50">
        <f>IF(S11=0,
IF(T11=0,0,IF(T11&gt;0,1,-1)),
(T11-S11)/ABS(S11)
)</f>
        <v>1</v>
      </c>
      <c r="U95" s="50">
        <f>IF(T11=0,
IF(U11=0,0,IF(U11&gt;0,1,-1)),
(U11-T11)/ABS(T11)
)</f>
        <v>-6.1827428834462586E-2</v>
      </c>
      <c r="V95" s="50">
        <f>IF(U11=0,
IF(V11=0,0,IF(V11&gt;0,1,-1)),
(V11-U11)/ABS(U11)
)</f>
        <v>-2.6180688937155576E-2</v>
      </c>
      <c r="W95" s="50">
        <f>IF(V11=0,
IF(W11=0,0,IF(W11&gt;0,1,-1)),
(W11-V11)/ABS(V11)
)</f>
        <v>-5.0150075421731902E-2</v>
      </c>
      <c r="X95" s="50">
        <f>IF(W11=0,
IF(X11=0,0,IF(X11&gt;0,1,-1)),
(X11-W11)/ABS(W11)
)</f>
        <v>2.7019946374106908E-2</v>
      </c>
      <c r="Y95" s="50">
        <f>IF(X11=0,
IF(Y11=0,0,IF(Y11&gt;0,1,-1)),
(Y11-X11)/ABS(X11)
)</f>
        <v>3.6837116142259228E-2</v>
      </c>
      <c r="Z95" s="50">
        <f>IF(Y11=0,
IF(Z11=0,0,IF(Z11&gt;0,1,-1)),
(Z11-Y11)/ABS(Y11)
)</f>
        <v>-7.119642802903745E-3</v>
      </c>
      <c r="AA95" s="50">
        <f>IF(Z11=0,
IF(AA11=0,0,IF(AA11&gt;0,1,-1)),
(AA11-Z11)/ABS(Z11)
)</f>
        <v>-4.1051008608505718E-2</v>
      </c>
      <c r="AC95" s="68"/>
    </row>
    <row r="96" spans="1:31" s="41" customFormat="1" x14ac:dyDescent="0.2">
      <c r="A96" s="16"/>
      <c r="B96" s="17" t="s">
        <v>27</v>
      </c>
      <c r="C96" s="47"/>
      <c r="D96" s="48"/>
      <c r="E96" s="48"/>
      <c r="F96" s="48"/>
      <c r="G96" s="48"/>
      <c r="H96" s="48"/>
      <c r="I96" s="48"/>
      <c r="J96" s="48"/>
      <c r="K96" s="48"/>
      <c r="L96" s="48"/>
      <c r="M96" s="48">
        <f>IF(L12=0,
IF(M12=0,0,IF(M12&gt;0,1,-1)),
(M12-L12)/ABS(L12)
)</f>
        <v>-1</v>
      </c>
      <c r="N96" s="48">
        <f>IF(M12=0,
IF(N12=0,0,IF(N12&gt;0,1,-1)),
(N12-M12)/ABS(M12)
)</f>
        <v>0.3047494141085067</v>
      </c>
      <c r="O96" s="48">
        <f>IF(N12=0,
IF(O12=0,0,IF(O12&gt;0,1,-1)),
(O12-N12)/ABS(N12)
)</f>
        <v>0.52705127726590162</v>
      </c>
      <c r="P96" s="48">
        <f>IF(O12=0,
IF(P12=0,0,IF(P12&gt;0,1,-1)),
(P12-O12)/ABS(O12)
)</f>
        <v>1.3058523555123847E-2</v>
      </c>
      <c r="Q96" s="48">
        <f>IF(P12=0,
IF(Q12=0,0,IF(Q12&gt;0,1,-1)),
(Q12-P12)/ABS(P12)
)</f>
        <v>1.3491440557547871</v>
      </c>
      <c r="R96" s="1"/>
      <c r="S96" s="1"/>
      <c r="T96" s="48">
        <f>IF(S12=0,
IF(T12=0,0,IF(T12&gt;0,1,-1)),
(T12-S12)/ABS(S12)
)</f>
        <v>-1</v>
      </c>
      <c r="U96" s="48">
        <f>IF(T12=0,
IF(U12=0,0,IF(U12&gt;0,1,-1)),
(U12-T12)/ABS(T12)
)</f>
        <v>0.58041200205130195</v>
      </c>
      <c r="V96" s="48">
        <f>IF(U12=0,
IF(V12=0,0,IF(V12&gt;0,1,-1)),
(V12-U12)/ABS(U12)
)</f>
        <v>1.7750438151462042</v>
      </c>
      <c r="W96" s="48">
        <f>IF(V12=0,
IF(W12=0,0,IF(W12&gt;0,1,-1)),
(W12-V12)/ABS(V12)
)</f>
        <v>-1.4883215805290249</v>
      </c>
      <c r="X96" s="48">
        <f>IF(W12=0,
IF(X12=0,0,IF(X12&gt;0,1,-1)),
(X12-W12)/ABS(W12)
)</f>
        <v>-0.22989276139410186</v>
      </c>
      <c r="Y96" s="48">
        <f>IF(X12=0,
IF(Y12=0,0,IF(Y12&gt;0,1,-1)),
(Y12-X12)/ABS(X12)
)</f>
        <v>1.6475600693584345</v>
      </c>
      <c r="Z96" s="48">
        <f>IF(Y12=0,
IF(Z12=0,0,IF(Z12&gt;0,1,-1)),
(Z12-Y12)/ABS(Y12)
)</f>
        <v>5.1422997475327064</v>
      </c>
      <c r="AA96" s="48">
        <f>IF(Z12=0,
IF(AA12=0,0,IF(AA12&gt;0,1,-1)),
(AA12-Z12)/ABS(Z12)
)</f>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0">IF(S15=0,
IF(T15=0,0,IF(T15&gt;0,1,-1)),
(T15-S15)/ABS(S15)
)</f>
        <v>-1</v>
      </c>
      <c r="U97" s="52">
        <f t="shared" si="60"/>
        <v>0.69005336153350594</v>
      </c>
      <c r="V97" s="52">
        <f t="shared" si="60"/>
        <v>3.1422016549668617</v>
      </c>
      <c r="W97" s="52">
        <f t="shared" si="60"/>
        <v>-1.3611599297012302</v>
      </c>
      <c r="X97" s="52">
        <f t="shared" si="60"/>
        <v>1.1686435523114356</v>
      </c>
      <c r="Y97" s="52">
        <f t="shared" si="60"/>
        <v>6.3916441238352872</v>
      </c>
      <c r="Z97" s="52">
        <f t="shared" si="60"/>
        <v>2.7588240078074171</v>
      </c>
      <c r="AA97" s="52">
        <f t="shared" si="60"/>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1">IF(S18=0,
IF(T18=0,0,IF(T18&gt;0,1,-1)),
(T18-S18)/ABS(S18)
)</f>
        <v>-1</v>
      </c>
      <c r="U98" s="52">
        <f t="shared" si="61"/>
        <v>0.87624423615224689</v>
      </c>
      <c r="V98" s="52">
        <f t="shared" si="61"/>
        <v>5.86100422336931</v>
      </c>
      <c r="W98" s="52">
        <f t="shared" si="61"/>
        <v>-1.435475151561957</v>
      </c>
      <c r="X98" s="52">
        <f t="shared" si="61"/>
        <v>1.0702283307470628</v>
      </c>
      <c r="Y98" s="52">
        <f t="shared" si="61"/>
        <v>124.52967171717172</v>
      </c>
      <c r="Z98" s="52">
        <f t="shared" si="61"/>
        <v>-0.47464028686525278</v>
      </c>
      <c r="AA98" s="52">
        <f t="shared" si="61"/>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2">T7/T5</f>
        <v>0.79978055544137128</v>
      </c>
      <c r="U101" s="50">
        <f t="shared" si="62"/>
        <v>0.82021017727186851</v>
      </c>
      <c r="V101" s="50">
        <f t="shared" si="62"/>
        <v>0.84766998862257636</v>
      </c>
      <c r="W101" s="50">
        <f t="shared" si="62"/>
        <v>0.82094026201265202</v>
      </c>
      <c r="X101" s="50">
        <f t="shared" si="62"/>
        <v>0.82202096602972397</v>
      </c>
      <c r="Y101" s="50">
        <f t="shared" si="62"/>
        <v>0.83262022850165285</v>
      </c>
      <c r="Z101" s="50">
        <f t="shared" si="62"/>
        <v>0.84632316719565504</v>
      </c>
      <c r="AA101" s="50">
        <f t="shared" si="62"/>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3">T12/T5</f>
        <v>-0.32679215691234548</v>
      </c>
      <c r="U102" s="50">
        <f t="shared" si="63"/>
        <v>-0.12227162888795527</v>
      </c>
      <c r="V102" s="50">
        <f t="shared" si="63"/>
        <v>7.9332744791642082E-2</v>
      </c>
      <c r="W102" s="50">
        <f t="shared" si="63"/>
        <v>-4.602045852214097E-2</v>
      </c>
      <c r="X102" s="50">
        <f t="shared" si="63"/>
        <v>-5.5801596779900917E-2</v>
      </c>
      <c r="Y102" s="50">
        <f t="shared" si="63"/>
        <v>3.1794178242964828E-2</v>
      </c>
      <c r="Z102" s="50">
        <f t="shared" si="63"/>
        <v>0.16687763844633313</v>
      </c>
      <c r="AA102" s="50">
        <f t="shared" si="63"/>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4">T111/T5</f>
        <v>-0.27224089573853844</v>
      </c>
      <c r="U103" s="55">
        <f t="shared" si="64"/>
        <v>-3.0043450922450959E-2</v>
      </c>
      <c r="V103" s="55">
        <f t="shared" si="64"/>
        <v>0.12225773405154303</v>
      </c>
      <c r="W103" s="55">
        <f t="shared" si="64"/>
        <v>-6.3245883619722734E-2</v>
      </c>
      <c r="X103" s="55">
        <f t="shared" si="64"/>
        <v>4.3789808917197451E-3</v>
      </c>
      <c r="Y103" s="55">
        <f t="shared" si="64"/>
        <v>0.48366021020984495</v>
      </c>
      <c r="Z103" s="55">
        <f t="shared" si="64"/>
        <v>0.2171284142612766</v>
      </c>
      <c r="AA103" s="55">
        <f t="shared" si="64"/>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5">IF(AND(C83&gt;=0,C12&gt;=0),C83,0)</f>
        <v>0</v>
      </c>
      <c r="D106" s="81">
        <f t="shared" si="65"/>
        <v>0</v>
      </c>
      <c r="E106" s="81">
        <f t="shared" si="65"/>
        <v>0</v>
      </c>
      <c r="F106" s="81">
        <f t="shared" si="65"/>
        <v>0</v>
      </c>
      <c r="G106" s="81">
        <f t="shared" si="65"/>
        <v>0</v>
      </c>
      <c r="H106" s="81">
        <f t="shared" si="65"/>
        <v>0</v>
      </c>
      <c r="I106" s="81">
        <f t="shared" si="65"/>
        <v>0</v>
      </c>
      <c r="J106" s="81">
        <f t="shared" si="65"/>
        <v>0</v>
      </c>
      <c r="K106" s="81">
        <f t="shared" si="65"/>
        <v>0</v>
      </c>
      <c r="L106" s="81">
        <f t="shared" si="65"/>
        <v>0</v>
      </c>
      <c r="M106" s="81">
        <f t="shared" si="65"/>
        <v>0</v>
      </c>
      <c r="N106" s="81">
        <f t="shared" si="65"/>
        <v>0</v>
      </c>
      <c r="O106" s="81">
        <f t="shared" si="65"/>
        <v>0</v>
      </c>
      <c r="P106" s="81">
        <f t="shared" si="65"/>
        <v>0</v>
      </c>
      <c r="Q106" s="81">
        <f t="shared" si="65"/>
        <v>0</v>
      </c>
      <c r="T106" s="81">
        <f t="shared" ref="T106:AA106" si="66">IF(AND(T83&gt;=0,T12&gt;=0),T83,0)</f>
        <v>0</v>
      </c>
      <c r="U106" s="81">
        <f t="shared" si="66"/>
        <v>0</v>
      </c>
      <c r="V106" s="81">
        <f t="shared" si="66"/>
        <v>5.1808728763913299E-2</v>
      </c>
      <c r="W106" s="81">
        <f t="shared" si="66"/>
        <v>0</v>
      </c>
      <c r="X106" s="81">
        <f t="shared" si="66"/>
        <v>0</v>
      </c>
      <c r="Y106" s="81">
        <f t="shared" si="66"/>
        <v>0</v>
      </c>
      <c r="Z106" s="81">
        <f t="shared" si="66"/>
        <v>0</v>
      </c>
      <c r="AA106" s="81">
        <f t="shared" si="66"/>
        <v>0.45018062878344073</v>
      </c>
      <c r="AC106" s="81">
        <f>IF(AND(AC83&gt;=0,AC12&gt;=0),AC83,0)</f>
        <v>0</v>
      </c>
    </row>
    <row r="107" spans="1:31" x14ac:dyDescent="0.2">
      <c r="B107" s="20" t="s">
        <v>220</v>
      </c>
      <c r="C107" s="25"/>
      <c r="D107" s="25"/>
      <c r="E107" s="25"/>
      <c r="F107" s="25"/>
      <c r="G107" s="25"/>
      <c r="H107" s="25"/>
      <c r="I107" s="25"/>
      <c r="J107" s="25"/>
      <c r="K107" s="25"/>
      <c r="L107" s="25"/>
      <c r="M107" s="25">
        <f>M29+M34</f>
        <v>1884663</v>
      </c>
      <c r="N107" s="25">
        <f t="shared" ref="N107:Q107" si="67">N29+N34</f>
        <v>1759835</v>
      </c>
      <c r="O107" s="25">
        <f t="shared" si="67"/>
        <v>1879823</v>
      </c>
      <c r="P107" s="25">
        <f t="shared" si="67"/>
        <v>1723631</v>
      </c>
      <c r="Q107" s="25">
        <f t="shared" si="67"/>
        <v>1689476</v>
      </c>
      <c r="T107" s="25">
        <f t="shared" ref="T107:AA107" si="68">T29+T34</f>
        <v>1743374</v>
      </c>
      <c r="U107" s="25">
        <f t="shared" si="68"/>
        <v>1603438</v>
      </c>
      <c r="V107" s="25">
        <f t="shared" si="68"/>
        <v>1723631</v>
      </c>
      <c r="W107" s="25">
        <f t="shared" si="68"/>
        <v>1591500</v>
      </c>
      <c r="X107" s="25">
        <f t="shared" si="68"/>
        <v>1522638</v>
      </c>
      <c r="Y107" s="25">
        <f t="shared" si="68"/>
        <v>1519795</v>
      </c>
      <c r="Z107" s="25">
        <f t="shared" si="68"/>
        <v>1689476</v>
      </c>
      <c r="AA107" s="25">
        <f t="shared" si="68"/>
        <v>1415746</v>
      </c>
      <c r="AC107" s="25">
        <f>AA107</f>
        <v>1415746</v>
      </c>
    </row>
    <row r="108" spans="1:31" x14ac:dyDescent="0.2">
      <c r="B108" s="20" t="s">
        <v>211</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69">T39+T41</f>
        <v>0</v>
      </c>
      <c r="U108" s="25">
        <f t="shared" si="69"/>
        <v>0</v>
      </c>
      <c r="V108" s="25">
        <f t="shared" si="69"/>
        <v>0</v>
      </c>
      <c r="W108" s="25">
        <f t="shared" si="69"/>
        <v>0</v>
      </c>
      <c r="X108" s="25">
        <f t="shared" si="69"/>
        <v>0</v>
      </c>
      <c r="Y108" s="25">
        <f t="shared" si="69"/>
        <v>0</v>
      </c>
      <c r="Z108" s="25">
        <f t="shared" si="69"/>
        <v>0</v>
      </c>
      <c r="AA108" s="25">
        <f t="shared" si="69"/>
        <v>0</v>
      </c>
      <c r="AC108" s="25">
        <f>AA108</f>
        <v>0</v>
      </c>
    </row>
    <row r="109" spans="1:31" x14ac:dyDescent="0.2">
      <c r="B109" s="20" t="s">
        <v>204</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349</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0">T60+T61</f>
        <v>-1418</v>
      </c>
      <c r="U110" s="147">
        <f t="shared" si="70"/>
        <v>-4875</v>
      </c>
      <c r="V110" s="147">
        <f t="shared" si="70"/>
        <v>0</v>
      </c>
      <c r="W110" s="147">
        <f t="shared" si="70"/>
        <v>-12832</v>
      </c>
      <c r="X110" s="147">
        <f t="shared" si="70"/>
        <v>0</v>
      </c>
      <c r="Y110" s="147">
        <f t="shared" si="70"/>
        <v>-3164</v>
      </c>
      <c r="Z110" s="147">
        <f t="shared" si="70"/>
        <v>-3052</v>
      </c>
      <c r="AA110" s="147">
        <f t="shared" si="70"/>
        <v>-2684</v>
      </c>
      <c r="AC110" s="147">
        <f>AC60+AC61</f>
        <v>-8900</v>
      </c>
    </row>
    <row r="111" spans="1:31" x14ac:dyDescent="0.2">
      <c r="B111" s="20" t="s">
        <v>386</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1">T17+T18</f>
        <v>-86097</v>
      </c>
      <c r="U111" s="147">
        <f t="shared" si="71"/>
        <v>-10655</v>
      </c>
      <c r="V111" s="147">
        <f t="shared" si="71"/>
        <v>51794</v>
      </c>
      <c r="W111" s="147">
        <f t="shared" si="71"/>
        <v>-22555</v>
      </c>
      <c r="X111" s="147">
        <f t="shared" si="71"/>
        <v>1584</v>
      </c>
      <c r="Y111" s="147">
        <f t="shared" si="71"/>
        <v>198839</v>
      </c>
      <c r="Z111" s="147">
        <f t="shared" si="71"/>
        <v>104462</v>
      </c>
      <c r="AA111" s="147">
        <f t="shared" si="71"/>
        <v>22525</v>
      </c>
      <c r="AC111" s="147">
        <f>AC17+AC18</f>
        <v>327410</v>
      </c>
    </row>
    <row r="112" spans="1:31" x14ac:dyDescent="0.2">
      <c r="B112" s="20" t="s">
        <v>387</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2">T49+T48</f>
        <v>1833581</v>
      </c>
      <c r="U112" s="147">
        <f t="shared" si="72"/>
        <v>1731845</v>
      </c>
      <c r="V112" s="147">
        <f t="shared" si="72"/>
        <v>1845762</v>
      </c>
      <c r="W112" s="147">
        <f t="shared" si="72"/>
        <v>1698461</v>
      </c>
      <c r="X112" s="147">
        <f t="shared" si="72"/>
        <v>1665703</v>
      </c>
      <c r="Y112" s="147">
        <f t="shared" si="72"/>
        <v>1924617</v>
      </c>
      <c r="Z112" s="147">
        <f t="shared" si="72"/>
        <v>2082587</v>
      </c>
      <c r="AA112" s="147">
        <f t="shared" si="72"/>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10.75</v>
      </c>
    </row>
    <row r="117" spans="1:31" x14ac:dyDescent="0.2">
      <c r="B117" s="20" t="s">
        <v>404</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10.75</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3">M121*M122</f>
        <v>-0.20431339773367801</v>
      </c>
      <c r="N123" s="76">
        <f t="shared" si="73"/>
        <v>-0.12004653397221271</v>
      </c>
      <c r="O123" s="76">
        <f t="shared" si="73"/>
        <v>-3.0419750111515053E-2</v>
      </c>
      <c r="P123" s="76">
        <f t="shared" si="73"/>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4">M123*M124</f>
        <v>-0.27346966596372269</v>
      </c>
      <c r="N125" s="76">
        <f t="shared" si="74"/>
        <v>-0.17100259457815453</v>
      </c>
      <c r="O125" s="76">
        <f t="shared" si="74"/>
        <v>-4.4582300405631825E-2</v>
      </c>
      <c r="P125" s="76">
        <f t="shared" si="74"/>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275</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276</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277</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278</v>
      </c>
      <c r="C131" s="49"/>
      <c r="D131" s="49"/>
      <c r="E131" s="49"/>
      <c r="F131" s="49"/>
      <c r="G131" s="49"/>
      <c r="H131" s="49"/>
      <c r="I131" s="49"/>
      <c r="J131" s="49"/>
      <c r="K131" s="49"/>
      <c r="L131" s="49"/>
      <c r="M131" s="49"/>
      <c r="N131" s="49"/>
      <c r="O131" s="49"/>
      <c r="P131" s="49"/>
      <c r="Q131" s="49"/>
      <c r="T131" s="25">
        <f t="shared" ref="T131:AA131" si="75">U5</f>
        <v>354653</v>
      </c>
      <c r="U131" s="25">
        <f t="shared" si="75"/>
        <v>423646</v>
      </c>
      <c r="V131" s="25">
        <f t="shared" si="75"/>
        <v>356624</v>
      </c>
      <c r="W131" s="25">
        <f t="shared" si="75"/>
        <v>361728</v>
      </c>
      <c r="X131" s="25">
        <f t="shared" si="75"/>
        <v>411113</v>
      </c>
      <c r="Y131" s="25">
        <f t="shared" si="75"/>
        <v>481107</v>
      </c>
      <c r="Z131" s="25">
        <f t="shared" si="75"/>
        <v>418382</v>
      </c>
      <c r="AA131" s="25">
        <f t="shared" si="75"/>
        <v>0</v>
      </c>
      <c r="AC131" s="49"/>
    </row>
    <row r="132" spans="2:29" x14ac:dyDescent="0.2">
      <c r="B132" s="20" t="s">
        <v>228</v>
      </c>
      <c r="C132" s="49"/>
      <c r="D132" s="49"/>
      <c r="E132" s="49"/>
      <c r="F132" s="49"/>
      <c r="G132" s="49"/>
      <c r="H132" s="49"/>
      <c r="I132" s="49"/>
      <c r="J132" s="49"/>
      <c r="K132" s="49"/>
      <c r="L132" s="49"/>
      <c r="M132" s="49"/>
      <c r="N132" s="49"/>
      <c r="O132" s="49"/>
      <c r="P132" s="49"/>
      <c r="Q132" s="49"/>
      <c r="T132" s="193" t="str">
        <f t="shared" ref="T132:Z132" si="76">IF(T131&gt;T130, "BEAT", IF(T131&lt;T129, "MISSED", "MET"))</f>
        <v>BEAT</v>
      </c>
      <c r="U132" s="193" t="str">
        <f t="shared" si="76"/>
        <v>MET</v>
      </c>
      <c r="V132" s="193" t="str">
        <f t="shared" si="76"/>
        <v>BEAT</v>
      </c>
      <c r="W132" s="193" t="str">
        <f t="shared" si="76"/>
        <v>BEAT</v>
      </c>
      <c r="X132" s="193" t="str">
        <f t="shared" si="76"/>
        <v>BEAT</v>
      </c>
      <c r="Y132" s="193" t="str">
        <f t="shared" si="76"/>
        <v>BEAT</v>
      </c>
      <c r="Z132" s="193" t="str">
        <f t="shared" si="76"/>
        <v>BEAT</v>
      </c>
      <c r="AA132" s="193" t="str">
        <f>IF(AA131&gt;AA130, "BEAT", IF(AA131&lt;AA129, "MISSED", "MET"))</f>
        <v>MISSED</v>
      </c>
      <c r="AC132" s="49"/>
    </row>
    <row r="133" spans="2:29" x14ac:dyDescent="0.2">
      <c r="B133" s="20" t="s">
        <v>279</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280</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281</v>
      </c>
      <c r="C135" s="49"/>
      <c r="D135" s="49"/>
      <c r="E135" s="49"/>
      <c r="F135" s="49"/>
      <c r="G135" s="49"/>
      <c r="H135" s="49"/>
      <c r="I135" s="49"/>
      <c r="J135" s="49"/>
      <c r="K135" s="49"/>
      <c r="L135" s="49"/>
      <c r="M135" s="49"/>
      <c r="N135" s="49"/>
      <c r="O135" s="49"/>
      <c r="P135" s="49"/>
      <c r="Q135" s="49"/>
      <c r="T135" s="25">
        <f t="shared" ref="T135:AA135" si="77">U210</f>
        <v>1606561</v>
      </c>
      <c r="U135" s="25">
        <f t="shared" si="77"/>
        <v>1666136</v>
      </c>
      <c r="V135" s="25">
        <f t="shared" si="77"/>
        <v>1692683</v>
      </c>
      <c r="W135" s="25">
        <f t="shared" si="77"/>
        <v>1723401</v>
      </c>
      <c r="X135" s="25">
        <f t="shared" si="77"/>
        <v>1782384</v>
      </c>
      <c r="Y135" s="25">
        <f t="shared" si="77"/>
        <v>1852567</v>
      </c>
      <c r="Z135" s="25">
        <f t="shared" si="77"/>
        <v>1901211</v>
      </c>
      <c r="AA135" s="25">
        <f t="shared" si="77"/>
        <v>0</v>
      </c>
      <c r="AC135" s="49"/>
    </row>
    <row r="136" spans="2:29" x14ac:dyDescent="0.2">
      <c r="B136" s="20" t="s">
        <v>228</v>
      </c>
      <c r="C136" s="49"/>
      <c r="D136" s="49"/>
      <c r="E136" s="49"/>
      <c r="F136" s="49"/>
      <c r="G136" s="49"/>
      <c r="H136" s="49"/>
      <c r="I136" s="49"/>
      <c r="J136" s="49"/>
      <c r="K136" s="49"/>
      <c r="L136" s="49"/>
      <c r="M136" s="49"/>
      <c r="N136" s="49"/>
      <c r="O136" s="49"/>
      <c r="P136" s="49"/>
      <c r="Q136" s="49"/>
      <c r="T136" s="193" t="str">
        <f t="shared" ref="T136:Z136" si="78">IF(T135&gt;T134, "BEAT", IF(T135&lt;T133, "MISSED", "MET"))</f>
        <v>BEAT</v>
      </c>
      <c r="U136" s="193" t="str">
        <f t="shared" si="78"/>
        <v>MISSED</v>
      </c>
      <c r="V136" s="193" t="str">
        <f t="shared" si="78"/>
        <v>BEAT</v>
      </c>
      <c r="W136" s="193" t="str">
        <f t="shared" si="78"/>
        <v>BEAT</v>
      </c>
      <c r="X136" s="193" t="str">
        <f t="shared" si="78"/>
        <v>BEAT</v>
      </c>
      <c r="Y136" s="193" t="str">
        <f t="shared" si="78"/>
        <v>BEAT</v>
      </c>
      <c r="Z136" s="193" t="str">
        <f t="shared" si="78"/>
        <v>BEAT</v>
      </c>
      <c r="AA136" s="193" t="str">
        <f>IF(AA135&gt;AA134, "BEAT", IF(AA135&lt;AA133, "MISSED", "MET"))</f>
        <v>MISSED</v>
      </c>
      <c r="AC136" s="49"/>
    </row>
    <row r="138" spans="2:29" x14ac:dyDescent="0.2">
      <c r="B138" s="1"/>
    </row>
    <row r="139" spans="2:29" ht="17" thickBot="1" x14ac:dyDescent="0.25">
      <c r="B139" s="14" t="s">
        <v>298</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M30/M5*365</f>
        <v>133.69421979440784</v>
      </c>
      <c r="N141" s="139">
        <f>N30/N5*365</f>
        <v>152.91140215061483</v>
      </c>
      <c r="O141" s="139">
        <f>O30/O5*365</f>
        <v>145.23661159324561</v>
      </c>
      <c r="P141" s="139">
        <f>P30/P5*365</f>
        <v>137.8303503480538</v>
      </c>
      <c r="Q141" s="139">
        <f>Q30/Q5*365</f>
        <v>131.6037563052133</v>
      </c>
      <c r="T141" s="139">
        <f t="shared" ref="T141:AA141" si="79">T30/T5*90</f>
        <v>104.95764467056439</v>
      </c>
      <c r="U141" s="139">
        <f t="shared" si="79"/>
        <v>113.19501033404484</v>
      </c>
      <c r="V141" s="139">
        <f t="shared" si="79"/>
        <v>114.68995340449337</v>
      </c>
      <c r="W141" s="139">
        <f t="shared" si="79"/>
        <v>93.317359459823237</v>
      </c>
      <c r="X141" s="139">
        <f t="shared" si="79"/>
        <v>96.344546178343947</v>
      </c>
      <c r="Y141" s="139">
        <f t="shared" si="79"/>
        <v>108.60342533561332</v>
      </c>
      <c r="Z141" s="139">
        <f t="shared" si="79"/>
        <v>108.63165574394054</v>
      </c>
      <c r="AA141" s="139">
        <f t="shared" si="79"/>
        <v>64.534109976050601</v>
      </c>
      <c r="AC141" s="139">
        <f>AC30/AC5*365</f>
        <v>65.477289171395597</v>
      </c>
    </row>
    <row r="142" spans="2:29" x14ac:dyDescent="0.2">
      <c r="B142" s="20" t="s">
        <v>181</v>
      </c>
      <c r="M142" s="139">
        <f>M31/M6*365</f>
        <v>0</v>
      </c>
      <c r="N142" s="139">
        <f>N31/N6*365</f>
        <v>0</v>
      </c>
      <c r="O142" s="139">
        <f>O31/O6*365</f>
        <v>0</v>
      </c>
      <c r="P142" s="139">
        <f>P31/P6*365</f>
        <v>0</v>
      </c>
      <c r="Q142" s="139">
        <f>Q31/Q6*365</f>
        <v>0</v>
      </c>
      <c r="T142" s="139">
        <f t="shared" ref="T142:AA142" si="80">T31/T6*365</f>
        <v>0</v>
      </c>
      <c r="U142" s="139">
        <f t="shared" si="80"/>
        <v>0</v>
      </c>
      <c r="V142" s="139">
        <f t="shared" si="80"/>
        <v>0</v>
      </c>
      <c r="W142" s="139">
        <f t="shared" si="80"/>
        <v>0</v>
      </c>
      <c r="X142" s="139">
        <f t="shared" si="80"/>
        <v>0</v>
      </c>
      <c r="Y142" s="139">
        <f t="shared" si="80"/>
        <v>0</v>
      </c>
      <c r="Z142" s="139">
        <f t="shared" si="80"/>
        <v>0</v>
      </c>
      <c r="AA142" s="139">
        <f t="shared" si="80"/>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1">T38/T6*90</f>
        <v>14.085596967782692</v>
      </c>
      <c r="U143" s="139">
        <f t="shared" si="81"/>
        <v>26.007872904348915</v>
      </c>
      <c r="V143" s="139">
        <f t="shared" si="81"/>
        <v>46.270493073418663</v>
      </c>
      <c r="W143" s="139">
        <f t="shared" si="81"/>
        <v>23.797704245423365</v>
      </c>
      <c r="X143" s="139">
        <f t="shared" si="81"/>
        <v>27.599720410065238</v>
      </c>
      <c r="Y143" s="139">
        <f t="shared" si="81"/>
        <v>18.67697494623031</v>
      </c>
      <c r="Z143" s="139">
        <f t="shared" si="81"/>
        <v>12.368837492391966</v>
      </c>
      <c r="AA143" s="139">
        <f t="shared" si="81"/>
        <v>23.046355033277873</v>
      </c>
      <c r="AC143" s="139">
        <f>AC38/AC6*365</f>
        <v>25.312474696801676</v>
      </c>
    </row>
    <row r="144" spans="2:29" x14ac:dyDescent="0.2">
      <c r="B144" s="20" t="s">
        <v>183</v>
      </c>
      <c r="M144" s="139">
        <f>M141+M142-M143</f>
        <v>108.80510521971044</v>
      </c>
      <c r="N144" s="139">
        <f t="shared" ref="N144:Q144" si="82">N141+N142-N143</f>
        <v>134.88753669027304</v>
      </c>
      <c r="O144" s="139">
        <f t="shared" si="82"/>
        <v>138.81496340313109</v>
      </c>
      <c r="P144" s="139">
        <f t="shared" si="82"/>
        <v>88.790616321440268</v>
      </c>
      <c r="Q144" s="139">
        <f t="shared" si="82"/>
        <v>117.91746855390694</v>
      </c>
      <c r="T144" s="139">
        <f t="shared" ref="T144" si="83">T141+T142-T143</f>
        <v>90.8720477027817</v>
      </c>
      <c r="U144" s="139">
        <f t="shared" ref="U144" si="84">U141+U142-U143</f>
        <v>87.187137429695923</v>
      </c>
      <c r="V144" s="139">
        <f t="shared" ref="V144" si="85">V141+V142-V143</f>
        <v>68.419460331074703</v>
      </c>
      <c r="W144" s="139">
        <f t="shared" ref="W144" si="86">W141+W142-W143</f>
        <v>69.519655214399876</v>
      </c>
      <c r="X144" s="139">
        <f t="shared" ref="X144" si="87">X141+X142-X143</f>
        <v>68.744825768278702</v>
      </c>
      <c r="Y144" s="139">
        <f t="shared" ref="Y144" si="88">Y141+Y142-Y143</f>
        <v>89.926450389383007</v>
      </c>
      <c r="Z144" s="139">
        <f t="shared" ref="Z144:AA144" si="89">Z141+Z142-Z143</f>
        <v>96.26281825154858</v>
      </c>
      <c r="AA144" s="139">
        <f t="shared" si="89"/>
        <v>41.487754942772725</v>
      </c>
      <c r="AC144" s="139">
        <f t="shared" ref="AC144" si="90">AC141+AC142-AC143</f>
        <v>40.164814474593925</v>
      </c>
    </row>
    <row r="145" spans="2:29" x14ac:dyDescent="0.2">
      <c r="B145" s="20" t="s">
        <v>301</v>
      </c>
      <c r="M145" s="139">
        <f>M108/M49</f>
        <v>0</v>
      </c>
      <c r="N145" s="139">
        <f>N108/N49</f>
        <v>0</v>
      </c>
      <c r="O145" s="139">
        <f>O108/O49</f>
        <v>0</v>
      </c>
      <c r="P145" s="139">
        <f>P108/P49</f>
        <v>0</v>
      </c>
      <c r="Q145" s="139">
        <f>Q108/Q49</f>
        <v>0</v>
      </c>
      <c r="T145" s="139">
        <f t="shared" ref="T145:AA145" si="91">T108/T49</f>
        <v>0</v>
      </c>
      <c r="U145" s="139">
        <f t="shared" si="91"/>
        <v>0</v>
      </c>
      <c r="V145" s="139">
        <f t="shared" si="91"/>
        <v>0</v>
      </c>
      <c r="W145" s="139">
        <f t="shared" si="91"/>
        <v>0</v>
      </c>
      <c r="X145" s="139">
        <f t="shared" si="91"/>
        <v>0</v>
      </c>
      <c r="Y145" s="139">
        <f t="shared" si="91"/>
        <v>0</v>
      </c>
      <c r="Z145" s="139">
        <f t="shared" si="91"/>
        <v>0</v>
      </c>
      <c r="AA145" s="139">
        <f t="shared" si="91"/>
        <v>0</v>
      </c>
      <c r="AC145" s="139">
        <f>AC108/AC49</f>
        <v>0</v>
      </c>
    </row>
    <row r="146" spans="2:29" x14ac:dyDescent="0.2">
      <c r="B146" s="20" t="s">
        <v>305</v>
      </c>
      <c r="M146" s="201">
        <f>(M108-M107)/M49</f>
        <v>-0.98061622848437269</v>
      </c>
      <c r="N146" s="201">
        <f>(N108-N107)/N49</f>
        <v>-0.91650530841732814</v>
      </c>
      <c r="O146" s="201">
        <f>(O108-O107)/O49</f>
        <v>-0.93239915996813671</v>
      </c>
      <c r="P146" s="201">
        <f>(P108-P107)/P49</f>
        <v>-0.93383166410403939</v>
      </c>
      <c r="Q146" s="201">
        <f>(Q108-Q107)/Q49</f>
        <v>-0.81123909829457308</v>
      </c>
      <c r="T146" s="201">
        <f t="shared" ref="T146:AA146" si="92">(T108-T107)/T49</f>
        <v>-0.95080282790888426</v>
      </c>
      <c r="U146" s="201">
        <f t="shared" si="92"/>
        <v>-0.92585537389316019</v>
      </c>
      <c r="V146" s="201">
        <f t="shared" si="92"/>
        <v>-0.93383166410403939</v>
      </c>
      <c r="W146" s="201">
        <f t="shared" si="92"/>
        <v>-0.93702475358574611</v>
      </c>
      <c r="X146" s="201">
        <f t="shared" si="92"/>
        <v>-0.91411133917631171</v>
      </c>
      <c r="Y146" s="201">
        <f t="shared" si="92"/>
        <v>-0.78966100787845062</v>
      </c>
      <c r="Z146" s="201">
        <f t="shared" si="92"/>
        <v>-0.81123909829457308</v>
      </c>
      <c r="AA146" s="201">
        <f t="shared" si="92"/>
        <v>-0.74396849127545694</v>
      </c>
      <c r="AC146" s="201">
        <f>(AC108-AC107)/AC49</f>
        <v>-0.74396849127545694</v>
      </c>
    </row>
    <row r="147" spans="2:29" x14ac:dyDescent="0.2">
      <c r="B147" s="20" t="s">
        <v>302</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3">(T107+T30)/T40</f>
        <v>3.3394102478565317</v>
      </c>
      <c r="U147" s="139">
        <f t="shared" si="93"/>
        <v>2.9469051997705158</v>
      </c>
      <c r="V147" s="139">
        <f t="shared" si="93"/>
        <v>2.833196064687328</v>
      </c>
      <c r="W147" s="139">
        <f t="shared" si="93"/>
        <v>2.7397114268432543</v>
      </c>
      <c r="X147" s="139">
        <f t="shared" si="93"/>
        <v>2.5864328692324254</v>
      </c>
      <c r="Y147" s="139">
        <f t="shared" si="93"/>
        <v>2.5559617091416253</v>
      </c>
      <c r="Z147" s="139">
        <f t="shared" si="93"/>
        <v>2.5073153653043936</v>
      </c>
      <c r="AA147" s="139">
        <f t="shared" si="93"/>
        <v>2.063021693804965</v>
      </c>
      <c r="AC147" s="139">
        <f>(AC107+AC30)/AC40</f>
        <v>2.063021693804965</v>
      </c>
    </row>
    <row r="148" spans="2:29" x14ac:dyDescent="0.2">
      <c r="B148" s="20" t="s">
        <v>303</v>
      </c>
      <c r="M148" s="139">
        <f>M32/M40</f>
        <v>4.3171501096680389</v>
      </c>
      <c r="N148" s="139">
        <f>N32/N40</f>
        <v>3.7423569563190795</v>
      </c>
      <c r="O148" s="139">
        <f>O32/O40</f>
        <v>3.6257476910625539</v>
      </c>
      <c r="P148" s="139">
        <f>P32/P40</f>
        <v>2.9271504030441093</v>
      </c>
      <c r="Q148" s="139">
        <f>Q32/Q40</f>
        <v>2.4783388537733191</v>
      </c>
      <c r="T148" s="139">
        <f t="shared" ref="T148:AA148" si="94">T32/T40</f>
        <v>3.5957679252114221</v>
      </c>
      <c r="U148" s="139">
        <f t="shared" si="94"/>
        <v>3.129493165083332</v>
      </c>
      <c r="V148" s="139">
        <f t="shared" si="94"/>
        <v>2.9271504030441093</v>
      </c>
      <c r="W148" s="139">
        <f t="shared" si="94"/>
        <v>2.9470125037192663</v>
      </c>
      <c r="X148" s="139">
        <f t="shared" si="94"/>
        <v>2.7501208666647705</v>
      </c>
      <c r="Y148" s="139">
        <f t="shared" si="94"/>
        <v>2.6541688855077976</v>
      </c>
      <c r="Z148" s="139">
        <f t="shared" si="94"/>
        <v>2.4783388537733191</v>
      </c>
      <c r="AA148" s="139">
        <f t="shared" si="94"/>
        <v>2.3066495444084523</v>
      </c>
      <c r="AC148" s="139">
        <f>AC32/AC40</f>
        <v>2.3066495444084523</v>
      </c>
    </row>
    <row r="149" spans="2:29" x14ac:dyDescent="0.2">
      <c r="B149" s="20" t="s">
        <v>309</v>
      </c>
      <c r="M149" s="203" t="str">
        <f>IF(M13&gt;=0,"N/A",IF(M12&lt;=0,"N/A",M12/-M13))</f>
        <v>N/A</v>
      </c>
      <c r="N149" s="203" t="str">
        <f>IF(N13&gt;=0,"N/A",IF(N12&lt;=0,"N/A",N12/-N13))</f>
        <v>N/A</v>
      </c>
      <c r="O149" s="203" t="str">
        <f>IF(O13&gt;=0,"N/A",IF(O12&lt;=0,"N/A",O12/-O13))</f>
        <v>N/A</v>
      </c>
      <c r="P149" s="203" t="str">
        <f>IF(P13&gt;=0,"N/A",IF(P12&lt;=0,"N/A",P12/-P13))</f>
        <v>N/A</v>
      </c>
      <c r="Q149" s="203" t="str">
        <f>IF(Q13&gt;=0,"N/A",IF(Q12&lt;=0,"N/A",Q12/-Q13))</f>
        <v>N/A</v>
      </c>
      <c r="T149" s="203" t="str">
        <f t="shared" ref="T149:AA149" si="95">IF(T13&gt;=0,"N/A",IF(T12&lt;=0,"N/A",T12/-T13))</f>
        <v>N/A</v>
      </c>
      <c r="U149" s="203" t="str">
        <f t="shared" si="95"/>
        <v>N/A</v>
      </c>
      <c r="V149" s="203" t="str">
        <f t="shared" si="95"/>
        <v>N/A</v>
      </c>
      <c r="W149" s="203" t="str">
        <f t="shared" si="95"/>
        <v>N/A</v>
      </c>
      <c r="X149" s="203" t="str">
        <f t="shared" si="95"/>
        <v>N/A</v>
      </c>
      <c r="Y149" s="203" t="str">
        <f t="shared" si="95"/>
        <v>N/A</v>
      </c>
      <c r="Z149" s="203" t="str">
        <f t="shared" si="95"/>
        <v>N/A</v>
      </c>
      <c r="AA149" s="203" t="str">
        <f t="shared" si="95"/>
        <v>N/A</v>
      </c>
      <c r="AC149" s="203" t="str">
        <f>IF(AC13&gt;=0,"N/A",IF(AC12&lt;=0,"N/A",AC12/-AC13))</f>
        <v>N/A</v>
      </c>
    </row>
    <row r="150" spans="2:29" x14ac:dyDescent="0.2">
      <c r="B150" s="20" t="s">
        <v>287</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17.916666666666664</v>
      </c>
    </row>
    <row r="151" spans="2:29" x14ac:dyDescent="0.2">
      <c r="B151" s="20" t="s">
        <v>243</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3.4631455439416863</v>
      </c>
    </row>
    <row r="152" spans="2:29" x14ac:dyDescent="0.2">
      <c r="B152" s="20" t="s">
        <v>288</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2.9269065642300305</v>
      </c>
    </row>
    <row r="153" spans="2:29" x14ac:dyDescent="0.2">
      <c r="B153" s="20" t="s">
        <v>289</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5615316.25</v>
      </c>
    </row>
    <row r="154" spans="2:29" x14ac:dyDescent="0.2">
      <c r="B154" s="20" t="s">
        <v>230</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4199570.25</v>
      </c>
    </row>
    <row r="155" spans="2:29" x14ac:dyDescent="0.2">
      <c r="B155" s="20" t="s">
        <v>310</v>
      </c>
      <c r="M155" s="205">
        <f>M154/M5</f>
        <v>18.198153481303489</v>
      </c>
      <c r="N155" s="205">
        <f>N154/N5</f>
        <v>6.0097603395488868</v>
      </c>
      <c r="O155" s="205">
        <f>O154/O5</f>
        <v>8.9376861900568176</v>
      </c>
      <c r="P155" s="205">
        <f>P154/P5</f>
        <v>4.4186165001007236</v>
      </c>
      <c r="Q155" s="205">
        <f>Q154/Q5</f>
        <v>3.0992067600827533</v>
      </c>
      <c r="T155" s="49"/>
      <c r="U155" s="49"/>
      <c r="V155" s="49"/>
      <c r="W155" s="49"/>
      <c r="X155" s="49"/>
      <c r="Y155" s="49"/>
      <c r="Z155" s="49"/>
      <c r="AA155" s="49"/>
      <c r="AC155" s="205">
        <f ca="1">AC154/AC5</f>
        <v>2.5112090616086538</v>
      </c>
    </row>
    <row r="156" spans="2:29" x14ac:dyDescent="0.2">
      <c r="B156" s="20" t="s">
        <v>246</v>
      </c>
      <c r="M156" s="205">
        <f>M154/M12</f>
        <v>-32.413351618737352</v>
      </c>
      <c r="N156" s="205">
        <f>N154/N12</f>
        <v>-18.266232087124553</v>
      </c>
      <c r="O156" s="205">
        <f>O154/O12</f>
        <v>-70.97581987615348</v>
      </c>
      <c r="P156" s="205">
        <f>P154/P12</f>
        <v>-38.858189076638233</v>
      </c>
      <c r="Q156" s="205">
        <f>Q154/Q12</f>
        <v>87.94037403100775</v>
      </c>
      <c r="T156" s="49"/>
      <c r="U156" s="49"/>
      <c r="V156" s="49"/>
      <c r="W156" s="49"/>
      <c r="X156" s="49"/>
      <c r="Y156" s="49"/>
      <c r="Z156" s="49"/>
      <c r="AA156" s="49"/>
      <c r="AC156" s="205">
        <f ca="1">AC154/AC12</f>
        <v>41.514548878498204</v>
      </c>
    </row>
    <row r="157" spans="2:29" x14ac:dyDescent="0.2">
      <c r="B157" s="20" t="s">
        <v>311</v>
      </c>
      <c r="M157" s="64">
        <f>M59-M54+M110+M65</f>
        <v>-582375</v>
      </c>
      <c r="N157" s="64">
        <f>N59-N54+N110+N65</f>
        <v>-403636</v>
      </c>
      <c r="O157" s="64">
        <f>O59-O54+O110+O65</f>
        <v>-80215</v>
      </c>
      <c r="P157" s="64">
        <f>P59-P54+P110+P65</f>
        <v>-52509</v>
      </c>
      <c r="Q157" s="64">
        <f>Q59-Q54+Q110+Q65</f>
        <v>61484</v>
      </c>
      <c r="T157" s="64">
        <f t="shared" ref="T157:AA157" si="96">T59-T54+T110+T65</f>
        <v>-49347</v>
      </c>
      <c r="U157" s="64">
        <f t="shared" si="96"/>
        <v>-64293</v>
      </c>
      <c r="V157" s="64">
        <f t="shared" si="96"/>
        <v>0</v>
      </c>
      <c r="W157" s="64">
        <f t="shared" si="96"/>
        <v>29809</v>
      </c>
      <c r="X157" s="64">
        <f t="shared" si="96"/>
        <v>-36419</v>
      </c>
      <c r="Y157" s="64">
        <f t="shared" si="96"/>
        <v>-46368</v>
      </c>
      <c r="Z157" s="64">
        <f t="shared" si="96"/>
        <v>114462</v>
      </c>
      <c r="AA157" s="64">
        <f t="shared" si="96"/>
        <v>75934</v>
      </c>
      <c r="AC157" s="64">
        <f>AC59-AC54+AC110+AC65</f>
        <v>107609</v>
      </c>
    </row>
    <row r="158" spans="2:29" x14ac:dyDescent="0.2">
      <c r="B158" s="20" t="s">
        <v>312</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313</v>
      </c>
      <c r="M159" s="72">
        <f>M153/M157</f>
        <v>-31.117410328396652</v>
      </c>
      <c r="N159" s="72">
        <f t="shared" ref="N159:Q159" si="97">N153/N157</f>
        <v>-20.121230787144853</v>
      </c>
      <c r="O159" s="72">
        <f t="shared" si="97"/>
        <v>-169.18232313158387</v>
      </c>
      <c r="P159" s="72">
        <f t="shared" si="97"/>
        <v>-153.13123350282808</v>
      </c>
      <c r="Q159" s="72">
        <f t="shared" si="97"/>
        <v>108.6619548175135</v>
      </c>
      <c r="T159" s="49"/>
      <c r="U159" s="49"/>
      <c r="V159" s="49"/>
      <c r="W159" s="49"/>
      <c r="X159" s="49"/>
      <c r="Y159" s="49"/>
      <c r="Z159" s="49"/>
      <c r="AA159" s="49"/>
      <c r="AC159" s="72">
        <f t="shared" ref="AC159:AC160" ca="1" si="98">AC153/AC157</f>
        <v>52.182589281565669</v>
      </c>
    </row>
    <row r="160" spans="2:29" x14ac:dyDescent="0.2">
      <c r="B160" s="20" t="s">
        <v>314</v>
      </c>
      <c r="M160" s="72">
        <f>M154/M158</f>
        <v>-26.884257614591405</v>
      </c>
      <c r="N160" s="72">
        <f t="shared" ref="N160:Q160" si="99">N154/N158</f>
        <v>-12.722058684723095</v>
      </c>
      <c r="O160" s="72">
        <f t="shared" si="99"/>
        <v>-54.027334756669582</v>
      </c>
      <c r="P160" s="72">
        <f t="shared" si="99"/>
        <v>-31.268001801694783</v>
      </c>
      <c r="Q160" s="72">
        <f t="shared" si="99"/>
        <v>-52.805531070816492</v>
      </c>
      <c r="T160" s="49"/>
      <c r="U160" s="49"/>
      <c r="V160" s="49"/>
      <c r="W160" s="49"/>
      <c r="X160" s="49"/>
      <c r="Y160" s="49"/>
      <c r="Z160" s="49"/>
      <c r="AA160" s="49"/>
      <c r="AC160" s="72">
        <f t="shared" ca="1" si="98"/>
        <v>-77.43284318244676</v>
      </c>
    </row>
    <row r="161" spans="2:29" x14ac:dyDescent="0.2">
      <c r="B161" s="20" t="s">
        <v>315</v>
      </c>
      <c r="M161" s="74">
        <f>M157/M153</f>
        <v>-3.2136350340421331E-2</v>
      </c>
      <c r="N161" s="74">
        <f t="shared" ref="N161:Q161" si="100">N157/N153</f>
        <v>-4.9698749076467263E-2</v>
      </c>
      <c r="O161" s="74">
        <f t="shared" si="100"/>
        <v>-5.9107830031523813E-3</v>
      </c>
      <c r="P161" s="74">
        <f t="shared" si="100"/>
        <v>-6.5303464037043202E-3</v>
      </c>
      <c r="Q161" s="74">
        <f t="shared" si="100"/>
        <v>9.2028530287292954E-3</v>
      </c>
      <c r="T161" s="49"/>
      <c r="U161" s="49"/>
      <c r="V161" s="49"/>
      <c r="W161" s="49"/>
      <c r="X161" s="49"/>
      <c r="Y161" s="49"/>
      <c r="Z161" s="49"/>
      <c r="AA161" s="49"/>
      <c r="AC161" s="74">
        <f t="shared" ref="AC161" ca="1" si="101">AC157/AC153</f>
        <v>1.9163479884147221E-2</v>
      </c>
    </row>
    <row r="162" spans="2:29" x14ac:dyDescent="0.2">
      <c r="B162" s="20" t="s">
        <v>316</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5.5813953488372099E-2</v>
      </c>
    </row>
    <row r="163" spans="2:29" x14ac:dyDescent="0.2">
      <c r="B163" s="20" t="s">
        <v>317</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342</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6.150535154631763E-2</v>
      </c>
    </row>
    <row r="165" spans="2:29" x14ac:dyDescent="0.2">
      <c r="B165" s="20" t="s">
        <v>344</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6.150535154631763E-2</v>
      </c>
    </row>
    <row r="166" spans="2:29" x14ac:dyDescent="0.2">
      <c r="B166" s="20" t="s">
        <v>405</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406</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320</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322</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333</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327</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328</v>
      </c>
      <c r="M172" s="72">
        <f>M107/M75</f>
        <v>3.4766735290211184</v>
      </c>
      <c r="N172" s="72">
        <f>N107/N75</f>
        <v>3.157090755135687</v>
      </c>
      <c r="O172" s="72">
        <f>O107/O75</f>
        <v>3.3036556282545391</v>
      </c>
      <c r="P172" s="72">
        <f>P107/P75</f>
        <v>3.125390530795495</v>
      </c>
      <c r="Q172" s="72">
        <f>Q107/Q75</f>
        <v>3.224670847950649</v>
      </c>
      <c r="T172" s="72">
        <f t="shared" ref="T172:AA172" si="102">T107/T75</f>
        <v>3.1700129828095962</v>
      </c>
      <c r="U172" s="72">
        <f t="shared" si="102"/>
        <v>2.9174689182476676</v>
      </c>
      <c r="V172" s="72">
        <f t="shared" si="102"/>
        <v>3.125390530795495</v>
      </c>
      <c r="W172" s="72">
        <f t="shared" si="102"/>
        <v>2.9745495188201234</v>
      </c>
      <c r="X172" s="72">
        <f t="shared" si="102"/>
        <v>2.8673727265537021</v>
      </c>
      <c r="Y172" s="72">
        <f t="shared" si="102"/>
        <v>2.8420663861617577</v>
      </c>
      <c r="Z172" s="72">
        <f t="shared" si="102"/>
        <v>3.224670847950649</v>
      </c>
      <c r="AA172" s="72">
        <f t="shared" si="102"/>
        <v>2.732462108272006</v>
      </c>
      <c r="AC172" s="72">
        <f>AC107/AC75</f>
        <v>2.732462108272006</v>
      </c>
    </row>
    <row r="173" spans="2:29" x14ac:dyDescent="0.2">
      <c r="B173" s="20" t="s">
        <v>330</v>
      </c>
      <c r="M173" s="175">
        <f>M54/M59</f>
        <v>-9.3805469133780903</v>
      </c>
      <c r="N173" s="175">
        <f>N54/N59</f>
        <v>-37.054403366396151</v>
      </c>
      <c r="O173" s="175">
        <f>O54/O59</f>
        <v>1.243655586093446</v>
      </c>
      <c r="P173" s="175">
        <f>P54/P59</f>
        <v>1.1172492318250589</v>
      </c>
      <c r="Q173" s="175">
        <f>Q54/Q59</f>
        <v>0.78305424452059225</v>
      </c>
      <c r="T173" s="175">
        <f t="shared" ref="T173:AA173" si="103">T54/T59</f>
        <v>2.0334871485250994</v>
      </c>
      <c r="U173" s="175">
        <f t="shared" si="103"/>
        <v>3.1167794798717492</v>
      </c>
      <c r="V173" s="175" t="e">
        <f t="shared" si="103"/>
        <v>#DIV/0!</v>
      </c>
      <c r="W173" s="175">
        <f t="shared" si="103"/>
        <v>0.6416782911211576</v>
      </c>
      <c r="X173" s="175">
        <f t="shared" si="103"/>
        <v>1.8757303965181427</v>
      </c>
      <c r="Y173" s="175">
        <f t="shared" si="103"/>
        <v>2.5282091188850764</v>
      </c>
      <c r="Z173" s="175">
        <f t="shared" si="103"/>
        <v>0.35555092460569898</v>
      </c>
      <c r="AA173" s="175">
        <f t="shared" si="103"/>
        <v>0.40408404584318719</v>
      </c>
      <c r="AC173" s="175">
        <f>AC54/AC59</f>
        <v>0.69669698594761198</v>
      </c>
    </row>
    <row r="174" spans="2:29" x14ac:dyDescent="0.2">
      <c r="B174" s="20" t="s">
        <v>331</v>
      </c>
      <c r="M174" s="175">
        <f>M54/M5</f>
        <v>0.57784459995606618</v>
      </c>
      <c r="N174" s="175">
        <f>N54/N5</f>
        <v>0.3493733592422309</v>
      </c>
      <c r="O174" s="175">
        <f>O54/O5</f>
        <v>0.28435361356255617</v>
      </c>
      <c r="P174" s="175">
        <f>P54/P5</f>
        <v>0.25051410681111086</v>
      </c>
      <c r="Q174" s="175">
        <f>Q54/Q5</f>
        <v>0.18047997854178516</v>
      </c>
      <c r="T174" s="175">
        <f t="shared" ref="T174:AA174" si="104">T54/T5</f>
        <v>0.29819479973312507</v>
      </c>
      <c r="U174" s="175">
        <f t="shared" si="104"/>
        <v>0.24668619749445234</v>
      </c>
      <c r="V174" s="175">
        <f t="shared" si="104"/>
        <v>0</v>
      </c>
      <c r="W174" s="175">
        <f t="shared" si="104"/>
        <v>0.21412187626183318</v>
      </c>
      <c r="X174" s="175">
        <f t="shared" si="104"/>
        <v>0.21564822186836519</v>
      </c>
      <c r="Y174" s="175">
        <f t="shared" si="104"/>
        <v>0.17385730930425455</v>
      </c>
      <c r="Z174" s="175">
        <f t="shared" si="104"/>
        <v>0.13476004298420102</v>
      </c>
      <c r="AA174" s="175">
        <f t="shared" si="104"/>
        <v>0.1274194396508454</v>
      </c>
      <c r="AC174" s="175">
        <f>AC54/AC5</f>
        <v>0.16003121393504871</v>
      </c>
    </row>
    <row r="175" spans="2:29" x14ac:dyDescent="0.2">
      <c r="B175" s="20" t="s">
        <v>336</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5">(T107-T108)/T75</f>
        <v>3.1700129828095962</v>
      </c>
      <c r="U175" s="72">
        <f t="shared" si="105"/>
        <v>2.9174689182476676</v>
      </c>
      <c r="V175" s="72">
        <f t="shared" si="105"/>
        <v>3.125390530795495</v>
      </c>
      <c r="W175" s="72">
        <f t="shared" si="105"/>
        <v>2.9745495188201234</v>
      </c>
      <c r="X175" s="72">
        <f t="shared" si="105"/>
        <v>2.8673727265537021</v>
      </c>
      <c r="Y175" s="72">
        <f t="shared" si="105"/>
        <v>2.8420663861617577</v>
      </c>
      <c r="Z175" s="72">
        <f t="shared" si="105"/>
        <v>3.224670847950649</v>
      </c>
      <c r="AA175" s="72">
        <f t="shared" si="105"/>
        <v>2.732462108272006</v>
      </c>
      <c r="AC175" s="72">
        <f>(AC107-AC108)/AC75</f>
        <v>2.732462108272006</v>
      </c>
    </row>
    <row r="176" spans="2:29" x14ac:dyDescent="0.2">
      <c r="B176" s="20" t="s">
        <v>341</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0.25212222018661906</v>
      </c>
    </row>
    <row r="177" spans="1:31" x14ac:dyDescent="0.2">
      <c r="B177" s="20" t="s">
        <v>350</v>
      </c>
      <c r="M177" s="175">
        <f>-M110/M5</f>
        <v>1.325746537973577E-2</v>
      </c>
      <c r="N177" s="175">
        <f>-N110/N5</f>
        <v>2.2497097529617479E-2</v>
      </c>
      <c r="O177" s="175">
        <f>-O110/O5</f>
        <v>5.6128408833764501E-3</v>
      </c>
      <c r="P177" s="175">
        <f>-P110/P5</f>
        <v>1.0438116928173332E-2</v>
      </c>
      <c r="Q177" s="175">
        <f>-Q110/Q5</f>
        <v>1.1826854061786744E-2</v>
      </c>
      <c r="T177" s="175">
        <f t="shared" ref="T177:AA177" si="106">-T110/T5</f>
        <v>4.4837519327879894E-3</v>
      </c>
      <c r="U177" s="175">
        <f t="shared" si="106"/>
        <v>1.3745830431435797E-2</v>
      </c>
      <c r="V177" s="175">
        <f t="shared" si="106"/>
        <v>0</v>
      </c>
      <c r="W177" s="175">
        <f t="shared" si="106"/>
        <v>3.5981874467225984E-2</v>
      </c>
      <c r="X177" s="175">
        <f t="shared" si="106"/>
        <v>0</v>
      </c>
      <c r="Y177" s="175">
        <f t="shared" si="106"/>
        <v>7.6961808553852587E-3</v>
      </c>
      <c r="Z177" s="175">
        <f t="shared" si="106"/>
        <v>6.3437031679023587E-3</v>
      </c>
      <c r="AA177" s="175">
        <f t="shared" si="106"/>
        <v>6.415189946030183E-3</v>
      </c>
      <c r="AC177" s="175">
        <f>-AC110/AC5</f>
        <v>5.3219161289936798E-3</v>
      </c>
    </row>
    <row r="178" spans="1:31" x14ac:dyDescent="0.2">
      <c r="B178" s="20" t="s">
        <v>351</v>
      </c>
      <c r="M178" s="175">
        <f>-(M110/M59)</f>
        <v>-0.21521750996124667</v>
      </c>
      <c r="N178" s="175">
        <f>-(N110/N59)</f>
        <v>-2.3860334635808034</v>
      </c>
      <c r="O178" s="175">
        <f>-(O110/O59)</f>
        <v>2.4548451595214689E-2</v>
      </c>
      <c r="P178" s="175">
        <f>-(P110/P59)</f>
        <v>4.6552181304883568E-2</v>
      </c>
      <c r="Q178" s="175">
        <f>-(Q110/Q59)</f>
        <v>5.1313549276955236E-2</v>
      </c>
      <c r="T178" s="175">
        <f t="shared" ref="T178:AA178" si="107">-(T110/T59)</f>
        <v>3.0576160082801448E-2</v>
      </c>
      <c r="U178" s="175">
        <f t="shared" si="107"/>
        <v>0.17367296045600286</v>
      </c>
      <c r="V178" s="175" t="e">
        <f t="shared" si="107"/>
        <v>#DIV/0!</v>
      </c>
      <c r="W178" s="175">
        <f t="shared" si="107"/>
        <v>0.10783012050217644</v>
      </c>
      <c r="X178" s="175">
        <f t="shared" si="107"/>
        <v>0</v>
      </c>
      <c r="Y178" s="175">
        <f t="shared" si="107"/>
        <v>0.11191680520674896</v>
      </c>
      <c r="Z178" s="175">
        <f t="shared" si="107"/>
        <v>1.6737227718428501E-2</v>
      </c>
      <c r="AA178" s="175">
        <f t="shared" si="107"/>
        <v>2.0344430295312594E-2</v>
      </c>
      <c r="AC178" s="175">
        <f>-(AC110/AC59)</f>
        <v>2.3168998318295178E-2</v>
      </c>
    </row>
    <row r="179" spans="1:31" x14ac:dyDescent="0.2">
      <c r="B179" s="20" t="s">
        <v>352</v>
      </c>
      <c r="M179" s="175">
        <f>-M110/M53</f>
        <v>0.80442026521591292</v>
      </c>
      <c r="N179" s="175">
        <f>-N110/N53</f>
        <v>1.2719649628798804</v>
      </c>
      <c r="O179" s="175">
        <f>-O110/O53</f>
        <v>0.32491038633446917</v>
      </c>
      <c r="P179" s="175">
        <f>-P110/P53</f>
        <v>0.86600510677808729</v>
      </c>
      <c r="Q179" s="175">
        <f>-Q110/Q53</f>
        <v>1.1225175319700631</v>
      </c>
      <c r="T179" s="175">
        <f t="shared" ref="T179:AA179" si="108">-T110/T53</f>
        <v>0.30953940187731938</v>
      </c>
      <c r="U179" s="175">
        <f t="shared" si="108"/>
        <v>1.0752095280105867</v>
      </c>
      <c r="V179" s="175" t="e">
        <f t="shared" si="108"/>
        <v>#DIV/0!</v>
      </c>
      <c r="W179" s="175">
        <f t="shared" si="108"/>
        <v>3.9446664617276359</v>
      </c>
      <c r="X179" s="175">
        <f t="shared" si="108"/>
        <v>0</v>
      </c>
      <c r="Y179" s="175">
        <f t="shared" si="108"/>
        <v>0.7010857522712165</v>
      </c>
      <c r="Z179" s="175">
        <f t="shared" si="108"/>
        <v>0.61371405590187011</v>
      </c>
      <c r="AA179" s="175">
        <f t="shared" si="108"/>
        <v>0.35743774137701423</v>
      </c>
      <c r="AC179" s="175">
        <f>-AC110/AC53</f>
        <v>0.41931684334511188</v>
      </c>
    </row>
    <row r="180" spans="1:31" x14ac:dyDescent="0.2">
      <c r="B180" s="20" t="s">
        <v>411</v>
      </c>
      <c r="M180" s="247">
        <f>M37/M5</f>
        <v>2.8830980485333741</v>
      </c>
      <c r="N180" s="247">
        <f>N37/N5</f>
        <v>2.5838419544654592</v>
      </c>
      <c r="O180" s="247">
        <f>O37/O5</f>
        <v>2.2588649554458775</v>
      </c>
      <c r="P180" s="247">
        <f>P37/P5</f>
        <v>2.0041562213219328</v>
      </c>
      <c r="Q180" s="247">
        <f>Q37/Q5</f>
        <v>1.9739570786031297</v>
      </c>
      <c r="T180" s="49"/>
      <c r="U180" s="49"/>
      <c r="V180" s="49"/>
      <c r="W180" s="49"/>
      <c r="X180" s="49"/>
      <c r="Y180" s="49"/>
      <c r="Z180" s="49"/>
      <c r="AA180" s="49"/>
      <c r="AC180" s="247">
        <f>AC37/AC5</f>
        <v>1.7369179527963978</v>
      </c>
    </row>
    <row r="182" spans="1:31" x14ac:dyDescent="0.2">
      <c r="B182" s="1"/>
    </row>
    <row r="183" spans="1:31" s="15" customFormat="1" ht="17" thickBot="1" x14ac:dyDescent="0.25">
      <c r="A183" s="11"/>
      <c r="B183" s="14" t="s">
        <v>82</v>
      </c>
      <c r="R183" s="1"/>
      <c r="S183" s="1"/>
      <c r="AB183" s="1"/>
      <c r="AD183" s="1"/>
      <c r="AE183" s="1"/>
    </row>
    <row r="184" spans="1:31" x14ac:dyDescent="0.2">
      <c r="B184" s="20" t="s">
        <v>113</v>
      </c>
      <c r="C184" s="62"/>
      <c r="D184" s="62"/>
      <c r="E184" s="62"/>
      <c r="F184" s="62"/>
      <c r="G184" s="62"/>
      <c r="H184" s="62"/>
      <c r="I184" s="62"/>
      <c r="J184" s="62"/>
      <c r="K184" s="62"/>
      <c r="L184" s="62"/>
      <c r="M184" s="62">
        <v>481427</v>
      </c>
      <c r="N184" s="62">
        <v>497836</v>
      </c>
      <c r="O184" s="62">
        <v>621392</v>
      </c>
      <c r="P184" s="62">
        <v>587152</v>
      </c>
      <c r="Q184" s="62">
        <v>606394</v>
      </c>
      <c r="T184" s="62">
        <v>112251</v>
      </c>
      <c r="U184" s="62">
        <v>137174</v>
      </c>
      <c r="V184" s="62">
        <v>197609</v>
      </c>
      <c r="W184" s="62">
        <v>128286</v>
      </c>
      <c r="X184" s="62">
        <v>112161</v>
      </c>
      <c r="Y184" s="62">
        <v>150043</v>
      </c>
      <c r="Z184" s="62">
        <v>215904</v>
      </c>
      <c r="AA184" s="62">
        <v>149309</v>
      </c>
      <c r="AC184" s="62">
        <f>SUM(X184:AA184)</f>
        <v>627417</v>
      </c>
    </row>
    <row r="185" spans="1:31" x14ac:dyDescent="0.2">
      <c r="B185" s="20" t="s">
        <v>114</v>
      </c>
      <c r="C185" s="62"/>
      <c r="D185" s="62"/>
      <c r="E185" s="62"/>
      <c r="F185" s="62"/>
      <c r="G185" s="62"/>
      <c r="H185" s="62"/>
      <c r="I185" s="62"/>
      <c r="J185" s="62"/>
      <c r="K185" s="62"/>
      <c r="L185" s="62"/>
      <c r="M185" s="62">
        <v>369867</v>
      </c>
      <c r="N185" s="62">
        <v>508823</v>
      </c>
      <c r="O185" s="62">
        <v>649918</v>
      </c>
      <c r="P185" s="62">
        <v>801947</v>
      </c>
      <c r="Q185" s="62">
        <v>954472</v>
      </c>
      <c r="T185" s="62">
        <v>194673</v>
      </c>
      <c r="U185" s="62">
        <v>206922</v>
      </c>
      <c r="V185" s="62">
        <v>215221</v>
      </c>
      <c r="W185" s="62">
        <v>217303</v>
      </c>
      <c r="X185" s="62">
        <v>238363</v>
      </c>
      <c r="Y185" s="62">
        <v>247573</v>
      </c>
      <c r="Z185" s="62">
        <v>251233</v>
      </c>
      <c r="AA185" s="62">
        <v>252903</v>
      </c>
      <c r="AC185" s="62">
        <f t="shared" ref="AC185:AC190" si="109">SUM(X185:AA185)</f>
        <v>990072</v>
      </c>
    </row>
    <row r="186" spans="1:31" x14ac:dyDescent="0.2">
      <c r="B186" s="20" t="s">
        <v>115</v>
      </c>
      <c r="C186" s="62"/>
      <c r="D186" s="62"/>
      <c r="E186" s="62"/>
      <c r="F186" s="62"/>
      <c r="G186" s="62"/>
      <c r="H186" s="62"/>
      <c r="I186" s="62"/>
      <c r="J186" s="62"/>
      <c r="K186" s="62"/>
      <c r="L186" s="62"/>
      <c r="M186" s="62">
        <v>40958</v>
      </c>
      <c r="N186" s="62">
        <v>51922</v>
      </c>
      <c r="O186" s="62">
        <v>36762</v>
      </c>
      <c r="P186" s="62">
        <v>40555</v>
      </c>
      <c r="Q186" s="62">
        <v>49706</v>
      </c>
      <c r="T186" s="62">
        <v>9329</v>
      </c>
      <c r="U186" s="62">
        <v>10557</v>
      </c>
      <c r="V186" s="62">
        <v>10816</v>
      </c>
      <c r="W186" s="62">
        <v>11035</v>
      </c>
      <c r="X186" s="62">
        <v>11204</v>
      </c>
      <c r="Y186" s="62">
        <v>13497</v>
      </c>
      <c r="Z186" s="62">
        <v>13970</v>
      </c>
      <c r="AA186" s="62">
        <v>16170</v>
      </c>
      <c r="AC186" s="62">
        <f t="shared" si="109"/>
        <v>54841</v>
      </c>
    </row>
    <row r="187" spans="1:31" x14ac:dyDescent="0.2">
      <c r="C187" s="21"/>
      <c r="D187" s="21"/>
      <c r="E187" s="21"/>
      <c r="F187" s="21"/>
      <c r="G187" s="21"/>
      <c r="H187" s="21"/>
      <c r="I187" s="21"/>
      <c r="J187" s="21"/>
      <c r="K187" s="21"/>
      <c r="L187" s="21"/>
      <c r="M187" s="21"/>
      <c r="AC187" s="62"/>
    </row>
    <row r="188" spans="1:31" x14ac:dyDescent="0.2">
      <c r="B188" s="20" t="s">
        <v>116</v>
      </c>
      <c r="C188" s="62"/>
      <c r="D188" s="62"/>
      <c r="E188" s="62"/>
      <c r="F188" s="62"/>
      <c r="G188" s="62"/>
      <c r="H188" s="62"/>
      <c r="I188" s="62"/>
      <c r="J188" s="62"/>
      <c r="K188" s="62"/>
      <c r="L188" s="62"/>
      <c r="M188" s="62">
        <v>11888</v>
      </c>
      <c r="N188" s="62">
        <v>10421</v>
      </c>
      <c r="O188" s="62">
        <v>10469</v>
      </c>
      <c r="P188" s="62">
        <v>8565</v>
      </c>
      <c r="Q188" s="62">
        <v>5334</v>
      </c>
      <c r="T188" s="62">
        <v>2393</v>
      </c>
      <c r="U188" s="62">
        <v>2340</v>
      </c>
      <c r="V188" s="62">
        <v>1231</v>
      </c>
      <c r="W188" s="62">
        <v>1268</v>
      </c>
      <c r="X188" s="62">
        <v>1200</v>
      </c>
      <c r="Y188" s="62">
        <v>1311</v>
      </c>
      <c r="Z188" s="62">
        <v>1555</v>
      </c>
      <c r="AA188" s="62">
        <v>1664</v>
      </c>
      <c r="AC188" s="62">
        <f t="shared" si="109"/>
        <v>5730</v>
      </c>
    </row>
    <row r="189" spans="1:31" x14ac:dyDescent="0.2">
      <c r="B189" s="20" t="s">
        <v>117</v>
      </c>
      <c r="C189" s="62"/>
      <c r="D189" s="62"/>
      <c r="E189" s="62"/>
      <c r="F189" s="62"/>
      <c r="G189" s="62"/>
      <c r="H189" s="62"/>
      <c r="I189" s="62"/>
      <c r="J189" s="62"/>
      <c r="K189" s="62"/>
      <c r="L189" s="62"/>
      <c r="M189" s="62">
        <v>60565</v>
      </c>
      <c r="N189" s="62">
        <v>87366</v>
      </c>
      <c r="O189" s="62">
        <v>111922</v>
      </c>
      <c r="P189" s="62">
        <v>167630</v>
      </c>
      <c r="Q189" s="62">
        <v>157588</v>
      </c>
      <c r="T189" s="62">
        <v>43529</v>
      </c>
      <c r="U189" s="62">
        <v>43487</v>
      </c>
      <c r="V189" s="62">
        <v>43860</v>
      </c>
      <c r="W189" s="62">
        <v>38468</v>
      </c>
      <c r="X189" s="62">
        <v>38229</v>
      </c>
      <c r="Y189" s="62">
        <v>40121</v>
      </c>
      <c r="Z189" s="62">
        <v>40770</v>
      </c>
      <c r="AA189" s="62">
        <v>43988</v>
      </c>
      <c r="AC189" s="62">
        <f t="shared" si="109"/>
        <v>163108</v>
      </c>
    </row>
    <row r="190" spans="1:31" x14ac:dyDescent="0.2">
      <c r="B190" s="20" t="s">
        <v>118</v>
      </c>
      <c r="C190" s="62"/>
      <c r="D190" s="62"/>
      <c r="E190" s="62"/>
      <c r="F190" s="62"/>
      <c r="G190" s="62"/>
      <c r="H190" s="62"/>
      <c r="I190" s="62"/>
      <c r="J190" s="62"/>
      <c r="K190" s="62"/>
      <c r="L190" s="62"/>
      <c r="M190" s="62">
        <v>96415</v>
      </c>
      <c r="N190" s="62">
        <v>82264</v>
      </c>
      <c r="O190" s="62">
        <v>73533</v>
      </c>
      <c r="P190" s="62">
        <v>70747</v>
      </c>
      <c r="Q190" s="62">
        <v>108062</v>
      </c>
      <c r="T190" s="62">
        <v>17398</v>
      </c>
      <c r="U190" s="62">
        <v>17936</v>
      </c>
      <c r="V190" s="62">
        <v>19443</v>
      </c>
      <c r="W190" s="62">
        <v>24121</v>
      </c>
      <c r="X190" s="62">
        <v>24951</v>
      </c>
      <c r="Y190" s="62">
        <v>27380</v>
      </c>
      <c r="Z190" s="62">
        <v>31610</v>
      </c>
      <c r="AA190" s="62">
        <v>31276</v>
      </c>
      <c r="AC190" s="62">
        <f t="shared" si="109"/>
        <v>115217</v>
      </c>
    </row>
    <row r="191" spans="1:31" x14ac:dyDescent="0.2">
      <c r="C191" s="21"/>
      <c r="D191" s="21"/>
      <c r="E191" s="21"/>
      <c r="F191" s="21"/>
      <c r="G191" s="21"/>
      <c r="H191" s="21"/>
      <c r="I191" s="21"/>
      <c r="J191" s="21"/>
      <c r="K191" s="21"/>
      <c r="L191" s="21"/>
      <c r="M191" s="21"/>
    </row>
    <row r="192" spans="1:31" x14ac:dyDescent="0.2">
      <c r="B192" s="1"/>
    </row>
    <row r="193" spans="2:29" ht="17" thickBot="1" x14ac:dyDescent="0.25">
      <c r="B193" s="14" t="s">
        <v>364</v>
      </c>
      <c r="C193" s="192"/>
      <c r="D193" s="192"/>
      <c r="E193" s="192"/>
      <c r="F193" s="192"/>
      <c r="G193" s="192"/>
      <c r="H193" s="192"/>
      <c r="I193" s="192"/>
      <c r="J193" s="192"/>
      <c r="K193" s="192"/>
      <c r="L193" s="192"/>
      <c r="M193" s="192"/>
      <c r="N193" s="192"/>
      <c r="O193" s="192"/>
      <c r="P193" s="192"/>
      <c r="Q193" s="192"/>
      <c r="T193" s="192"/>
      <c r="U193" s="192"/>
      <c r="V193" s="192"/>
      <c r="W193" s="192"/>
      <c r="X193" s="192"/>
      <c r="Y193" s="192"/>
      <c r="Z193" s="192"/>
      <c r="AA193" s="192"/>
      <c r="AC193" s="192"/>
    </row>
    <row r="194" spans="2:29" x14ac:dyDescent="0.2">
      <c r="B194" s="20" t="s">
        <v>113</v>
      </c>
      <c r="C194" s="81"/>
      <c r="D194" s="81"/>
      <c r="E194" s="81"/>
      <c r="F194" s="81"/>
      <c r="G194" s="81"/>
      <c r="H194" s="81"/>
      <c r="I194" s="81"/>
      <c r="J194" s="81"/>
      <c r="K194" s="81"/>
      <c r="L194" s="81"/>
      <c r="M194" s="81">
        <f t="shared" ref="M194:Q196" si="110">IF(L184=0,
IF(M184=0,0,IF(M184&gt;0,1,-1)),
(M184-L184)/ABS(L184)
)</f>
        <v>1</v>
      </c>
      <c r="N194" s="81">
        <f t="shared" si="110"/>
        <v>3.4084087514825716E-2</v>
      </c>
      <c r="O194" s="81">
        <f t="shared" si="110"/>
        <v>0.24818614965570993</v>
      </c>
      <c r="P194" s="81">
        <f t="shared" si="110"/>
        <v>-5.5102093364575021E-2</v>
      </c>
      <c r="Q194" s="81">
        <f t="shared" si="110"/>
        <v>3.2771752459329104E-2</v>
      </c>
      <c r="T194" s="81">
        <f t="shared" ref="T194:AA196" si="111">IF(S184=0,
IF(T184=0,0,IF(T184&gt;0,1,-1)),
(T184-S184)/ABS(S184)
)</f>
        <v>1</v>
      </c>
      <c r="U194" s="81">
        <f t="shared" si="111"/>
        <v>0.22202920241245067</v>
      </c>
      <c r="V194" s="81">
        <f t="shared" si="111"/>
        <v>0.44057182848061588</v>
      </c>
      <c r="W194" s="81">
        <f t="shared" si="111"/>
        <v>-0.35080892064632685</v>
      </c>
      <c r="X194" s="81">
        <f t="shared" si="111"/>
        <v>-0.12569571114540948</v>
      </c>
      <c r="Y194" s="81">
        <f t="shared" si="111"/>
        <v>0.33774663207353717</v>
      </c>
      <c r="Z194" s="81">
        <f t="shared" si="111"/>
        <v>0.43894750171617469</v>
      </c>
      <c r="AA194" s="81">
        <f t="shared" si="111"/>
        <v>-0.30844727286201273</v>
      </c>
      <c r="AC194" s="49"/>
    </row>
    <row r="195" spans="2:29" x14ac:dyDescent="0.2">
      <c r="B195" s="20" t="s">
        <v>114</v>
      </c>
      <c r="M195" s="81">
        <f t="shared" si="110"/>
        <v>1</v>
      </c>
      <c r="N195" s="81">
        <f t="shared" si="110"/>
        <v>0.37569180272908909</v>
      </c>
      <c r="O195" s="81">
        <f t="shared" si="110"/>
        <v>0.27729682030883041</v>
      </c>
      <c r="P195" s="81">
        <f t="shared" si="110"/>
        <v>0.23392027917368038</v>
      </c>
      <c r="Q195" s="81">
        <f t="shared" si="110"/>
        <v>0.19019336689332336</v>
      </c>
      <c r="T195" s="81">
        <f t="shared" si="111"/>
        <v>1</v>
      </c>
      <c r="U195" s="81">
        <f t="shared" si="111"/>
        <v>6.292089812146523E-2</v>
      </c>
      <c r="V195" s="81">
        <f t="shared" si="111"/>
        <v>4.0106900184610626E-2</v>
      </c>
      <c r="W195" s="81">
        <f t="shared" si="111"/>
        <v>9.673777187170397E-3</v>
      </c>
      <c r="X195" s="81">
        <f t="shared" si="111"/>
        <v>9.6915367022084364E-2</v>
      </c>
      <c r="Y195" s="81">
        <f t="shared" si="111"/>
        <v>3.8638547089942653E-2</v>
      </c>
      <c r="Z195" s="81">
        <f t="shared" si="111"/>
        <v>1.4783518396594137E-2</v>
      </c>
      <c r="AA195" s="81">
        <f t="shared" si="111"/>
        <v>6.6472159310281692E-3</v>
      </c>
      <c r="AC195" s="49"/>
    </row>
    <row r="196" spans="2:29" x14ac:dyDescent="0.2">
      <c r="B196" s="20" t="s">
        <v>115</v>
      </c>
      <c r="M196" s="81">
        <f t="shared" si="110"/>
        <v>1</v>
      </c>
      <c r="N196" s="81">
        <f t="shared" si="110"/>
        <v>0.26768885199472631</v>
      </c>
      <c r="O196" s="81">
        <f t="shared" si="110"/>
        <v>-0.29197642617772812</v>
      </c>
      <c r="P196" s="81">
        <f t="shared" si="110"/>
        <v>0.10317719384146673</v>
      </c>
      <c r="Q196" s="81">
        <f t="shared" si="110"/>
        <v>0.22564418690666996</v>
      </c>
      <c r="T196" s="81">
        <f t="shared" si="111"/>
        <v>1</v>
      </c>
      <c r="U196" s="81">
        <f t="shared" si="111"/>
        <v>0.13163254368099475</v>
      </c>
      <c r="V196" s="81">
        <f t="shared" si="111"/>
        <v>2.4533484891541158E-2</v>
      </c>
      <c r="W196" s="81">
        <f t="shared" si="111"/>
        <v>2.0247781065088757E-2</v>
      </c>
      <c r="X196" s="81">
        <f t="shared" si="111"/>
        <v>1.5314907113729044E-2</v>
      </c>
      <c r="Y196" s="81">
        <f t="shared" si="111"/>
        <v>0.20465905033916459</v>
      </c>
      <c r="Z196" s="81">
        <f t="shared" si="111"/>
        <v>3.5044824775876122E-2</v>
      </c>
      <c r="AA196" s="81">
        <f t="shared" si="111"/>
        <v>0.15748031496062992</v>
      </c>
      <c r="AC196" s="49"/>
    </row>
    <row r="198" spans="2:29" x14ac:dyDescent="0.2">
      <c r="B198" s="1"/>
    </row>
    <row r="199" spans="2:29" ht="17" thickBot="1" x14ac:dyDescent="0.25">
      <c r="B199" s="14" t="s">
        <v>365</v>
      </c>
      <c r="C199" s="192"/>
      <c r="D199" s="192"/>
      <c r="E199" s="192"/>
      <c r="F199" s="192"/>
      <c r="G199" s="192"/>
      <c r="H199" s="192"/>
      <c r="I199" s="192"/>
      <c r="J199" s="192"/>
      <c r="K199" s="192"/>
      <c r="L199" s="192"/>
      <c r="M199" s="192"/>
      <c r="N199" s="192"/>
      <c r="O199" s="192"/>
      <c r="P199" s="192"/>
      <c r="Q199" s="192"/>
      <c r="T199" s="192"/>
      <c r="U199" s="192"/>
      <c r="V199" s="192"/>
      <c r="W199" s="192"/>
      <c r="X199" s="192"/>
      <c r="Y199" s="192"/>
      <c r="Z199" s="192"/>
      <c r="AA199" s="192"/>
      <c r="AC199" s="192"/>
    </row>
    <row r="200" spans="2:29" x14ac:dyDescent="0.2">
      <c r="B200" s="20" t="s">
        <v>334</v>
      </c>
      <c r="C200" s="81"/>
      <c r="D200" s="81"/>
      <c r="E200" s="81"/>
      <c r="F200" s="81"/>
      <c r="G200" s="81"/>
      <c r="H200" s="81"/>
      <c r="I200" s="81"/>
      <c r="J200" s="81"/>
      <c r="K200" s="81"/>
      <c r="L200" s="81"/>
      <c r="M200" s="81">
        <f>IF(L64=0,
IF(M64=0,0,IF(M64&gt;0,1,-1)),
(M64-L64)/L64
)</f>
        <v>0</v>
      </c>
      <c r="N200" s="81">
        <f>IF(M64=0,
IF(N64=0,0,IF(N64&gt;0,1,-1)),
(N64-M64)/M64
)</f>
        <v>0</v>
      </c>
      <c r="O200" s="81">
        <f>IF(N64=0,
IF(O64=0,0,IF(O64&gt;0,1,-1)),
(O64-N64)/N64
)</f>
        <v>0</v>
      </c>
      <c r="P200" s="81">
        <f>IF(O64=0,
IF(P64=0,0,IF(P64&gt;0,1,-1)),
(P64-O64)/O64
)</f>
        <v>0</v>
      </c>
      <c r="Q200" s="81">
        <f>IF(P64=0,
IF(Q64=0,0,IF(Q64&gt;0,1,-1)),
(Q64-P64)/P64
)</f>
        <v>0</v>
      </c>
      <c r="T200" s="49"/>
      <c r="U200" s="49"/>
      <c r="V200" s="49"/>
      <c r="W200" s="49"/>
      <c r="X200" s="49"/>
      <c r="Y200" s="49"/>
      <c r="Z200" s="49"/>
      <c r="AA200" s="49"/>
      <c r="AC200" s="49"/>
    </row>
    <row r="202" spans="2:29" x14ac:dyDescent="0.2">
      <c r="B202" s="1"/>
    </row>
    <row r="203" spans="2:29" ht="17" thickBot="1" x14ac:dyDescent="0.25">
      <c r="B203" s="14" t="s">
        <v>412</v>
      </c>
      <c r="C203" s="192"/>
      <c r="D203" s="192"/>
      <c r="E203" s="192"/>
      <c r="F203" s="192"/>
      <c r="G203" s="192"/>
      <c r="H203" s="192"/>
      <c r="I203" s="192"/>
      <c r="J203" s="192"/>
      <c r="K203" s="192"/>
      <c r="L203" s="192"/>
      <c r="M203" s="192"/>
      <c r="N203" s="192"/>
      <c r="O203" s="192"/>
      <c r="P203" s="192"/>
      <c r="Q203" s="192"/>
      <c r="T203" s="192"/>
      <c r="U203" s="192"/>
      <c r="V203" s="192"/>
      <c r="W203" s="192"/>
      <c r="X203" s="192"/>
      <c r="Y203" s="192"/>
      <c r="Z203" s="192"/>
      <c r="AA203" s="192"/>
      <c r="AC203" s="192"/>
    </row>
    <row r="204" spans="2:29" x14ac:dyDescent="0.2">
      <c r="B204" s="20" t="s">
        <v>413</v>
      </c>
      <c r="M204" s="164">
        <v>100</v>
      </c>
      <c r="N204" s="164">
        <f>100*(1+((N117-$M117)/ABS($M117)))</f>
        <v>43.583607538139404</v>
      </c>
      <c r="O204" s="164">
        <f t="shared" ref="O204:Q204" si="112">100*(1+((O117-$M117)/ABS($M117)))</f>
        <v>71.343104995513016</v>
      </c>
      <c r="P204" s="164">
        <f t="shared" si="112"/>
        <v>43.613520789709838</v>
      </c>
      <c r="Q204" s="164">
        <f t="shared" si="112"/>
        <v>37.660783727191152</v>
      </c>
      <c r="T204" s="49"/>
      <c r="U204" s="49"/>
      <c r="V204" s="49"/>
      <c r="W204" s="49"/>
      <c r="X204" s="49"/>
      <c r="Y204" s="49"/>
      <c r="Z204" s="49"/>
      <c r="AA204" s="49"/>
      <c r="AC204" s="49"/>
    </row>
    <row r="205" spans="2:29" x14ac:dyDescent="0.2">
      <c r="B205" s="20" t="s">
        <v>414</v>
      </c>
      <c r="M205" s="164">
        <v>100</v>
      </c>
      <c r="N205" s="164">
        <f>100*(1+((N5-$M5)/ABS($M5)))</f>
        <v>118.64148245114609</v>
      </c>
      <c r="O205" s="164">
        <f t="shared" ref="O205:Q205" si="113">100*(1+((O5-$M5)/ABS($M5)))</f>
        <v>146.60342593796372</v>
      </c>
      <c r="P205" s="164">
        <f t="shared" si="113"/>
        <v>160.23096613961079</v>
      </c>
      <c r="Q205" s="164">
        <f t="shared" si="113"/>
        <v>180.50640402038886</v>
      </c>
      <c r="T205" s="49"/>
      <c r="U205" s="49"/>
      <c r="V205" s="49"/>
      <c r="W205" s="49"/>
      <c r="X205" s="49"/>
      <c r="Y205" s="49"/>
      <c r="Z205" s="49"/>
      <c r="AA205" s="49"/>
      <c r="AC205" s="49"/>
    </row>
    <row r="206" spans="2:29" x14ac:dyDescent="0.2">
      <c r="B206" s="20" t="s">
        <v>415</v>
      </c>
      <c r="M206" s="164">
        <v>100</v>
      </c>
      <c r="N206" s="164">
        <f>100*(1+((N26-$M26)/ABS($M26)))</f>
        <v>148.27586206896552</v>
      </c>
      <c r="O206" s="164">
        <f t="shared" ref="O206:Q206" si="114">100*(1+((O26-$M26)/ABS($M26)))</f>
        <v>186.20689655172413</v>
      </c>
      <c r="P206" s="164">
        <f t="shared" si="114"/>
        <v>188.79310344827584</v>
      </c>
      <c r="Q206" s="164">
        <f t="shared" si="114"/>
        <v>244.82758620689654</v>
      </c>
      <c r="T206" s="49"/>
      <c r="U206" s="49"/>
      <c r="V206" s="49"/>
      <c r="W206" s="49"/>
      <c r="X206" s="49"/>
      <c r="Y206" s="49"/>
      <c r="Z206" s="49"/>
      <c r="AA206" s="49"/>
      <c r="AC206" s="49"/>
    </row>
    <row r="208" spans="2:29" x14ac:dyDescent="0.2">
      <c r="B208" s="1"/>
    </row>
    <row r="209" spans="1:31" s="15" customFormat="1" ht="17" thickBot="1" x14ac:dyDescent="0.25">
      <c r="A209" s="11"/>
      <c r="B209" s="14" t="s">
        <v>129</v>
      </c>
      <c r="R209" s="1"/>
      <c r="S209" s="1"/>
      <c r="AB209" s="1"/>
      <c r="AD209" s="1"/>
      <c r="AE209" s="1"/>
    </row>
    <row r="210" spans="1:31" x14ac:dyDescent="0.2">
      <c r="B210" s="20" t="s">
        <v>130</v>
      </c>
      <c r="C210" s="62"/>
      <c r="D210" s="62"/>
      <c r="E210" s="62"/>
      <c r="F210" s="62"/>
      <c r="G210" s="62"/>
      <c r="H210" s="62"/>
      <c r="I210" s="62"/>
      <c r="J210" s="62"/>
      <c r="K210" s="62"/>
      <c r="L210" s="62"/>
      <c r="M210" s="62">
        <v>925276</v>
      </c>
      <c r="N210" s="62">
        <v>1203845</v>
      </c>
      <c r="O210" s="62">
        <v>1463698</v>
      </c>
      <c r="P210" s="62">
        <v>1666136</v>
      </c>
      <c r="Q210" s="62">
        <v>1852567</v>
      </c>
      <c r="T210" s="62">
        <v>1550605</v>
      </c>
      <c r="U210" s="62">
        <v>1606561</v>
      </c>
      <c r="V210" s="62">
        <v>1666136</v>
      </c>
      <c r="W210" s="62">
        <v>1692683</v>
      </c>
      <c r="X210" s="62">
        <v>1723401</v>
      </c>
      <c r="Y210" s="62">
        <v>1782384</v>
      </c>
      <c r="Z210" s="62">
        <v>1852567</v>
      </c>
      <c r="AA210" s="62">
        <v>1901211</v>
      </c>
      <c r="AC210" s="62">
        <f>AA210</f>
        <v>1901211</v>
      </c>
    </row>
    <row r="211" spans="1:31" x14ac:dyDescent="0.2">
      <c r="B211" s="20" t="s">
        <v>131</v>
      </c>
      <c r="C211" s="62"/>
      <c r="D211" s="62"/>
      <c r="E211" s="62"/>
      <c r="F211" s="62"/>
      <c r="G211" s="62"/>
      <c r="H211" s="62"/>
      <c r="I211" s="62"/>
      <c r="J211" s="62"/>
      <c r="K211" s="62"/>
      <c r="L211" s="62"/>
      <c r="M211" s="62">
        <v>344793</v>
      </c>
      <c r="N211" s="62">
        <v>278569</v>
      </c>
      <c r="O211" s="62">
        <v>259853</v>
      </c>
      <c r="P211" s="62">
        <v>202438</v>
      </c>
      <c r="Q211" s="62">
        <v>186431</v>
      </c>
      <c r="T211" s="62">
        <v>43000</v>
      </c>
      <c r="U211" s="62">
        <v>56000</v>
      </c>
      <c r="V211" s="62">
        <v>60000</v>
      </c>
      <c r="W211" s="62">
        <v>27000</v>
      </c>
      <c r="X211" s="62">
        <v>31000</v>
      </c>
      <c r="Y211" s="62">
        <v>59000</v>
      </c>
      <c r="Z211" s="62">
        <v>70000</v>
      </c>
      <c r="AA211" s="62">
        <v>49000</v>
      </c>
      <c r="AC211" s="83">
        <f>SUM(X211:AA211)</f>
        <v>209000</v>
      </c>
    </row>
    <row r="212" spans="1:31" x14ac:dyDescent="0.2">
      <c r="B212" s="20" t="s">
        <v>132</v>
      </c>
      <c r="C212" s="57"/>
      <c r="D212" s="57"/>
      <c r="E212" s="57"/>
      <c r="F212" s="57"/>
      <c r="G212" s="57"/>
      <c r="H212" s="57"/>
      <c r="I212" s="57"/>
      <c r="J212" s="57"/>
      <c r="K212" s="57"/>
      <c r="L212" s="82"/>
      <c r="M212" s="82">
        <v>1.45</v>
      </c>
      <c r="N212" s="82">
        <v>1.23</v>
      </c>
      <c r="O212" s="82">
        <v>1.19</v>
      </c>
      <c r="P212" s="82">
        <v>1.1000000000000001</v>
      </c>
      <c r="Q212" s="82">
        <v>1.07</v>
      </c>
      <c r="T212" s="82">
        <v>1.1499999999999999</v>
      </c>
      <c r="U212" s="82">
        <v>1.1299999999999999</v>
      </c>
      <c r="V212" s="82">
        <v>1.1000000000000001</v>
      </c>
      <c r="W212" s="82">
        <v>1.08</v>
      </c>
      <c r="X212" s="82">
        <v>1.08</v>
      </c>
      <c r="Y212" s="82">
        <v>1.07</v>
      </c>
      <c r="Z212" s="82">
        <v>1.07</v>
      </c>
      <c r="AA212" s="82">
        <v>1.0900000000000001</v>
      </c>
      <c r="AC212" s="82">
        <f>AA212</f>
        <v>1.0900000000000001</v>
      </c>
    </row>
    <row r="213" spans="1:31" x14ac:dyDescent="0.2">
      <c r="B213" s="20" t="s">
        <v>133</v>
      </c>
      <c r="M213" s="62">
        <v>158</v>
      </c>
      <c r="N213" s="62">
        <v>229</v>
      </c>
      <c r="O213" s="62">
        <v>288</v>
      </c>
      <c r="P213" s="62">
        <v>317</v>
      </c>
      <c r="Q213" s="62">
        <v>357</v>
      </c>
      <c r="T213" s="62">
        <v>293</v>
      </c>
      <c r="U213" s="62">
        <v>302</v>
      </c>
      <c r="V213" s="62">
        <v>317</v>
      </c>
      <c r="W213" s="62">
        <v>316</v>
      </c>
      <c r="X213" s="62">
        <v>320</v>
      </c>
      <c r="Y213" s="62">
        <v>333</v>
      </c>
      <c r="Z213" s="62">
        <v>357</v>
      </c>
      <c r="AA213" s="62">
        <v>374</v>
      </c>
      <c r="AC213" s="62">
        <f>AA213</f>
        <v>374</v>
      </c>
    </row>
    <row r="214" spans="1:31" x14ac:dyDescent="0.2">
      <c r="B214" s="20" t="s">
        <v>134</v>
      </c>
      <c r="M214" s="62">
        <v>1493</v>
      </c>
      <c r="N214" s="62">
        <v>1785</v>
      </c>
      <c r="O214" s="62">
        <v>2054</v>
      </c>
      <c r="P214" s="62">
        <v>2292</v>
      </c>
      <c r="Q214" s="62">
        <v>2565</v>
      </c>
      <c r="T214" s="62">
        <v>2163</v>
      </c>
      <c r="U214" s="62">
        <v>2235</v>
      </c>
      <c r="V214" s="62">
        <v>2292</v>
      </c>
      <c r="W214" s="62">
        <v>2365</v>
      </c>
      <c r="X214" s="62">
        <v>2432</v>
      </c>
      <c r="Y214" s="62">
        <v>2506</v>
      </c>
      <c r="Z214" s="62">
        <v>2565</v>
      </c>
      <c r="AA214" s="62">
        <v>2624</v>
      </c>
      <c r="AC214" s="62">
        <f>AA214</f>
        <v>2624</v>
      </c>
    </row>
    <row r="215" spans="1:31" x14ac:dyDescent="0.2">
      <c r="B21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324</v>
      </c>
    </row>
    <row r="4" spans="2:7" x14ac:dyDescent="0.2">
      <c r="B4" s="248" t="s">
        <v>283</v>
      </c>
      <c r="C4" s="248"/>
      <c r="E4" s="248" t="s">
        <v>290</v>
      </c>
      <c r="F4" s="248"/>
      <c r="G4" s="248"/>
    </row>
    <row r="5" spans="2:7" x14ac:dyDescent="0.2">
      <c r="B5" s="20" t="s">
        <v>1</v>
      </c>
      <c r="C5" s="194">
        <f ca="1">Overview!C5</f>
        <v>10.75</v>
      </c>
      <c r="E5" s="12"/>
      <c r="F5" s="153" t="s">
        <v>291</v>
      </c>
      <c r="G5" s="153" t="s">
        <v>292</v>
      </c>
    </row>
    <row r="6" spans="2:7" x14ac:dyDescent="0.2">
      <c r="B6" s="20" t="s">
        <v>289</v>
      </c>
      <c r="C6" s="195">
        <f ca="1">Statement!AC153</f>
        <v>5615316.25</v>
      </c>
      <c r="E6" s="20" t="s">
        <v>20</v>
      </c>
      <c r="F6" s="200">
        <f>IF(Statement!M5&lt;=0,"N/A",_xlfn.RRI(4,Statement!M5,Statement!Q5))</f>
        <v>0.15910599918172563</v>
      </c>
      <c r="G6" s="200" t="str">
        <f>IF(Statement!H5&lt;=0,"N/A",_xlfn.RRI(9,Statement!H5,Statement!Q5))</f>
        <v>N/A</v>
      </c>
    </row>
    <row r="7" spans="2:7" x14ac:dyDescent="0.2">
      <c r="B7" s="20" t="s">
        <v>230</v>
      </c>
      <c r="C7" s="195">
        <f ca="1">Statement!AC154</f>
        <v>4199570.25</v>
      </c>
      <c r="E7" s="20" t="s">
        <v>32</v>
      </c>
      <c r="F7" s="200" t="str">
        <f>IF(OR(Statement!M18&lt;=0, Statement!Q18&lt;=0), "N/A", _xlfn.RRI(4, Statement!M18, Statement!Q18))</f>
        <v>N/A</v>
      </c>
      <c r="G7" s="200" t="str">
        <f>IF(OR(Statement!H18&lt;=0, Statement!Q18&lt;=0), "N/A", _xlfn.RRI(9, Statement!H18, Statement!Q18))</f>
        <v>N/A</v>
      </c>
    </row>
    <row r="8" spans="2:7" x14ac:dyDescent="0.2">
      <c r="B8" s="20" t="s">
        <v>287</v>
      </c>
      <c r="C8" s="196">
        <f ca="1">Statement!AC150</f>
        <v>17.916666666666664</v>
      </c>
      <c r="E8" s="20" t="s">
        <v>293</v>
      </c>
      <c r="F8" s="200" t="str">
        <f>IF(OR(Statement!M26&lt;=0, Statement!Q26&lt;=0), "N/A", _xlfn.RRI(4, Statement!M26, Statement!Q26))</f>
        <v>N/A</v>
      </c>
      <c r="G8" s="200" t="str">
        <f>IF(OR(Statement!H26&lt;=0, Statement!Q26&lt;=0), "N/A", _xlfn.RRI(9, Statement!H26, Statement!Q26))</f>
        <v>N/A</v>
      </c>
    </row>
    <row r="9" spans="2:7" x14ac:dyDescent="0.2">
      <c r="B9" s="20" t="s">
        <v>243</v>
      </c>
      <c r="C9" s="196">
        <f ca="1">Statement!AC151</f>
        <v>3.4631455439416863</v>
      </c>
      <c r="E9" s="20" t="s">
        <v>294</v>
      </c>
      <c r="F9" s="200" t="str">
        <f>IF(Statement!M82&lt;=0,"N/A",_xlfn.RRI(4,Statement!M82,Statement!Q82))</f>
        <v>N/A</v>
      </c>
      <c r="G9" s="200" t="str">
        <f>IF(Statement!H82&lt;=0,"N/A",_xlfn.RRI(9,Statement!H82,Statement!Q82))</f>
        <v>N/A</v>
      </c>
    </row>
    <row r="10" spans="2:7" x14ac:dyDescent="0.2">
      <c r="B10" s="20" t="s">
        <v>288</v>
      </c>
      <c r="C10" s="196">
        <f ca="1">Statement!AC152</f>
        <v>2.9269065642300305</v>
      </c>
      <c r="E10" s="20" t="s">
        <v>1</v>
      </c>
      <c r="F10" s="200">
        <f>IF(Statement!M117&lt;=0,"N/A",_xlfn.RRI(4,Statement!M117,Statement!Q117))</f>
        <v>-0.21662025481427405</v>
      </c>
      <c r="G10" s="200" t="str">
        <f>IF(Statement!H117&lt;=0,"N/A",_xlfn.RRI(9,Statement!H117,Statement!Q117))</f>
        <v>N/A</v>
      </c>
    </row>
    <row r="11" spans="2:7" x14ac:dyDescent="0.2">
      <c r="B11" s="20" t="s">
        <v>310</v>
      </c>
      <c r="C11" s="196">
        <f ca="1">Statement!AC155</f>
        <v>2.5112090616086538</v>
      </c>
    </row>
    <row r="12" spans="2:7" x14ac:dyDescent="0.2">
      <c r="B12" s="20" t="s">
        <v>246</v>
      </c>
      <c r="C12" s="196">
        <f ca="1">Statement!AC156</f>
        <v>41.514548878498204</v>
      </c>
    </row>
    <row r="15" spans="2:7" x14ac:dyDescent="0.2">
      <c r="B15" s="248" t="s">
        <v>78</v>
      </c>
      <c r="C15" s="248"/>
      <c r="E15" s="248" t="s">
        <v>296</v>
      </c>
      <c r="F15" s="248"/>
    </row>
    <row r="16" spans="2:7" x14ac:dyDescent="0.2">
      <c r="B16" s="20" t="s">
        <v>79</v>
      </c>
      <c r="C16" s="197">
        <f>Statement!AC101</f>
        <v>0.83014417010996633</v>
      </c>
      <c r="E16" s="20" t="s">
        <v>32</v>
      </c>
      <c r="F16" s="195">
        <f>Statement!AC18</f>
        <v>327410</v>
      </c>
    </row>
    <row r="17" spans="2:6" x14ac:dyDescent="0.2">
      <c r="B17" s="20" t="s">
        <v>80</v>
      </c>
      <c r="C17" s="197">
        <f>Statement!AC102</f>
        <v>6.0489855471109168E-2</v>
      </c>
      <c r="E17" s="20" t="s">
        <v>297</v>
      </c>
      <c r="F17" s="195">
        <f>Statement!AC59</f>
        <v>384134</v>
      </c>
    </row>
    <row r="18" spans="2:6" x14ac:dyDescent="0.2">
      <c r="B18" s="20" t="s">
        <v>81</v>
      </c>
      <c r="C18" s="197">
        <f>Statement!AC103</f>
        <v>0.19578073705548546</v>
      </c>
      <c r="E18" s="20" t="s">
        <v>304</v>
      </c>
      <c r="F18" s="199">
        <f>IF(OR(F16&lt;=0, F17&lt;=0),"N/A",F16-F17)</f>
        <v>-56724</v>
      </c>
    </row>
    <row r="21" spans="2:6" x14ac:dyDescent="0.2">
      <c r="B21" s="248" t="s">
        <v>295</v>
      </c>
      <c r="C21" s="248"/>
      <c r="E21" s="248" t="s">
        <v>299</v>
      </c>
      <c r="F21" s="248"/>
    </row>
    <row r="22" spans="2:6" x14ac:dyDescent="0.2">
      <c r="B22" s="20" t="s">
        <v>119</v>
      </c>
      <c r="C22" s="197">
        <f>Statement!AC121</f>
        <v>0.19578073705548546</v>
      </c>
      <c r="E22" s="20" t="s">
        <v>121</v>
      </c>
      <c r="F22" s="197">
        <f>C24</f>
        <v>0.1127173202051847</v>
      </c>
    </row>
    <row r="23" spans="2:6" x14ac:dyDescent="0.2">
      <c r="B23" s="20" t="s">
        <v>120</v>
      </c>
      <c r="C23" s="196">
        <f>Statement!AC122</f>
        <v>0.57573243364202842</v>
      </c>
      <c r="E23" s="20" t="s">
        <v>123</v>
      </c>
      <c r="F23" s="197">
        <f>C26</f>
        <v>0.17205256008386913</v>
      </c>
    </row>
    <row r="24" spans="2:6" x14ac:dyDescent="0.2">
      <c r="B24" s="32" t="s">
        <v>121</v>
      </c>
      <c r="C24" s="198">
        <f>Statement!AC123</f>
        <v>0.1127173202051847</v>
      </c>
      <c r="E24" s="20" t="s">
        <v>124</v>
      </c>
      <c r="F24" s="197">
        <f>Statement!AC140</f>
        <v>0.2076253183886507</v>
      </c>
    </row>
    <row r="25" spans="2:6" x14ac:dyDescent="0.2">
      <c r="B25" s="20" t="s">
        <v>122</v>
      </c>
      <c r="C25" s="196">
        <f>Statement!AC124</f>
        <v>1.5264074746513994</v>
      </c>
    </row>
    <row r="26" spans="2:6" x14ac:dyDescent="0.2">
      <c r="B26" s="32" t="s">
        <v>123</v>
      </c>
      <c r="C26" s="198">
        <f>Statement!AC125</f>
        <v>0.17205256008386913</v>
      </c>
    </row>
    <row r="29" spans="2:6" x14ac:dyDescent="0.2">
      <c r="B29" s="248" t="s">
        <v>300</v>
      </c>
      <c r="C29" s="248"/>
      <c r="E29" s="248" t="s">
        <v>306</v>
      </c>
      <c r="F29" s="248"/>
    </row>
    <row r="30" spans="2:6" x14ac:dyDescent="0.2">
      <c r="B30" s="20" t="s">
        <v>180</v>
      </c>
      <c r="C30" s="196">
        <f>Statement!AC141</f>
        <v>65.477289171395597</v>
      </c>
      <c r="E30" s="20" t="s">
        <v>307</v>
      </c>
      <c r="F30" s="202">
        <f>Statement!AC145</f>
        <v>0</v>
      </c>
    </row>
    <row r="31" spans="2:6" x14ac:dyDescent="0.2">
      <c r="B31" s="20" t="s">
        <v>181</v>
      </c>
      <c r="C31" s="196">
        <f>Statement!AC142</f>
        <v>0</v>
      </c>
      <c r="E31" s="20" t="s">
        <v>308</v>
      </c>
      <c r="F31" s="202">
        <f>Statement!AC146</f>
        <v>-0.74396849127545694</v>
      </c>
    </row>
    <row r="32" spans="2:6" x14ac:dyDescent="0.2">
      <c r="B32" s="20" t="s">
        <v>182</v>
      </c>
      <c r="C32" s="196">
        <f>Statement!AC143</f>
        <v>25.312474696801676</v>
      </c>
      <c r="E32" s="20" t="s">
        <v>303</v>
      </c>
      <c r="F32" s="202">
        <f>Statement!AC148</f>
        <v>2.3066495444084523</v>
      </c>
    </row>
    <row r="33" spans="2:6" x14ac:dyDescent="0.2">
      <c r="B33" s="20" t="s">
        <v>183</v>
      </c>
      <c r="C33" s="196">
        <f>Statement!AC144</f>
        <v>40.164814474593925</v>
      </c>
      <c r="E33" s="20" t="s">
        <v>302</v>
      </c>
      <c r="F33" s="202">
        <f>Statement!AC147</f>
        <v>2.063021693804965</v>
      </c>
    </row>
    <row r="34" spans="2:6" x14ac:dyDescent="0.2">
      <c r="E34" s="20" t="s">
        <v>309</v>
      </c>
      <c r="F34" s="204" t="str">
        <f>Statement!AC149</f>
        <v>N/A</v>
      </c>
    </row>
    <row r="37" spans="2:6" x14ac:dyDescent="0.2">
      <c r="B37" s="248" t="s">
        <v>318</v>
      </c>
      <c r="C37" s="248"/>
      <c r="E37" s="248" t="s">
        <v>321</v>
      </c>
      <c r="F37" s="248"/>
    </row>
    <row r="38" spans="2:6" x14ac:dyDescent="0.2">
      <c r="B38" s="20" t="s">
        <v>316</v>
      </c>
      <c r="C38" s="197">
        <f ca="1">Statement!AC162</f>
        <v>5.5813953488372099E-2</v>
      </c>
      <c r="E38" s="20" t="s">
        <v>320</v>
      </c>
      <c r="F38" s="197">
        <f>Statement!AC168</f>
        <v>0</v>
      </c>
    </row>
    <row r="39" spans="2:6" x14ac:dyDescent="0.2">
      <c r="B39" s="54" t="s">
        <v>319</v>
      </c>
      <c r="C39" s="237">
        <f ca="1">Statement!AC161</f>
        <v>1.9163479884147221E-2</v>
      </c>
      <c r="E39" s="20" t="s">
        <v>322</v>
      </c>
      <c r="F39" s="197">
        <f>Statement!AC169</f>
        <v>3.2095084983598028</v>
      </c>
    </row>
    <row r="40" spans="2:6" x14ac:dyDescent="0.2">
      <c r="B40" s="20" t="s">
        <v>317</v>
      </c>
      <c r="C40" s="197">
        <f ca="1">Statement!AC163</f>
        <v>0</v>
      </c>
      <c r="E40" s="20" t="s">
        <v>323</v>
      </c>
      <c r="F40" s="197">
        <f>Statement!AC170</f>
        <v>3.2095084983598028</v>
      </c>
    </row>
    <row r="41" spans="2:6" x14ac:dyDescent="0.2">
      <c r="B41" s="20" t="s">
        <v>342</v>
      </c>
      <c r="C41" s="197">
        <f ca="1">Statement!AC164</f>
        <v>6.150535154631763E-2</v>
      </c>
    </row>
    <row r="42" spans="2:6" x14ac:dyDescent="0.2">
      <c r="B42" s="20" t="s">
        <v>344</v>
      </c>
      <c r="C42" s="197">
        <f ca="1">Statement!AC165</f>
        <v>6.150535154631763E-2</v>
      </c>
    </row>
    <row r="45" spans="2:6" x14ac:dyDescent="0.2">
      <c r="B45" s="248" t="s">
        <v>329</v>
      </c>
      <c r="C45" s="248"/>
      <c r="E45" s="248" t="s">
        <v>335</v>
      </c>
      <c r="F45" s="248"/>
    </row>
    <row r="46" spans="2:6" x14ac:dyDescent="0.2">
      <c r="B46" s="20" t="s">
        <v>327</v>
      </c>
      <c r="C46" s="197">
        <f>Statement!AC171</f>
        <v>0.2236199519483876</v>
      </c>
      <c r="E46" s="20" t="s">
        <v>328</v>
      </c>
      <c r="F46" s="196">
        <f>Statement!AC172</f>
        <v>2.732462108272006</v>
      </c>
    </row>
    <row r="47" spans="2:6" x14ac:dyDescent="0.2">
      <c r="E47" s="20" t="s">
        <v>336</v>
      </c>
      <c r="F47" s="196">
        <f>Statement!AC175</f>
        <v>2.732462108272006</v>
      </c>
    </row>
    <row r="48" spans="2:6" x14ac:dyDescent="0.2">
      <c r="E48" s="20" t="s">
        <v>341</v>
      </c>
      <c r="F48" s="197">
        <f ca="1">Statement!AC176</f>
        <v>0.25212222018661906</v>
      </c>
    </row>
    <row r="51" spans="2:6" x14ac:dyDescent="0.2">
      <c r="B51" s="248" t="s">
        <v>332</v>
      </c>
      <c r="C51" s="248"/>
      <c r="E51" s="248" t="s">
        <v>353</v>
      </c>
      <c r="F51" s="248"/>
    </row>
    <row r="52" spans="2:6" x14ac:dyDescent="0.2">
      <c r="B52" s="20" t="s">
        <v>330</v>
      </c>
      <c r="C52" s="197">
        <f>Statement!AC173</f>
        <v>0.69669698594761198</v>
      </c>
      <c r="E52" s="20" t="s">
        <v>354</v>
      </c>
      <c r="F52" s="197">
        <f>Statement!AC177</f>
        <v>5.3219161289936798E-3</v>
      </c>
    </row>
    <row r="53" spans="2:6" x14ac:dyDescent="0.2">
      <c r="B53" s="20" t="s">
        <v>331</v>
      </c>
      <c r="C53" s="197">
        <f>Statement!AC174</f>
        <v>0.16003121393504871</v>
      </c>
      <c r="E53" s="20" t="s">
        <v>351</v>
      </c>
      <c r="F53" s="197">
        <f>Statement!AC178</f>
        <v>2.3168998318295178E-2</v>
      </c>
    </row>
    <row r="54" spans="2:6" x14ac:dyDescent="0.2">
      <c r="E54" s="20" t="s">
        <v>352</v>
      </c>
      <c r="F54" s="197">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283</v>
      </c>
      <c r="C5" s="14"/>
      <c r="D5" s="14"/>
      <c r="E5" s="14"/>
      <c r="F5" s="14"/>
      <c r="G5" s="14"/>
      <c r="I5" s="14"/>
    </row>
    <row r="6" spans="2:9" x14ac:dyDescent="0.2">
      <c r="B6" s="20" t="s">
        <v>1</v>
      </c>
      <c r="C6" s="194">
        <f>Statement!M116</f>
        <v>33.43</v>
      </c>
      <c r="D6" s="194">
        <f>Statement!N116</f>
        <v>14.57</v>
      </c>
      <c r="E6" s="194">
        <f>Statement!O116</f>
        <v>23.85</v>
      </c>
      <c r="F6" s="194">
        <f>Statement!P116</f>
        <v>14.58</v>
      </c>
      <c r="G6" s="194">
        <f>Statement!Q116</f>
        <v>12.59</v>
      </c>
      <c r="I6" s="194">
        <f ca="1">Statement!AC116</f>
        <v>10.75</v>
      </c>
    </row>
    <row r="7" spans="2:9" x14ac:dyDescent="0.2">
      <c r="B7" s="20" t="s">
        <v>289</v>
      </c>
      <c r="C7" s="195">
        <f>Statement!M153</f>
        <v>18122001.84</v>
      </c>
      <c r="D7" s="195">
        <f>Statement!N153</f>
        <v>8121653.1100000003</v>
      </c>
      <c r="E7" s="195">
        <f>Statement!O153</f>
        <v>13570960.050000001</v>
      </c>
      <c r="F7" s="195">
        <f>Statement!P153</f>
        <v>8040767.9400000004</v>
      </c>
      <c r="G7" s="195">
        <f>Statement!Q153</f>
        <v>6680971.6299999999</v>
      </c>
      <c r="I7" s="195">
        <f ca="1">Statement!AC153</f>
        <v>5615316.25</v>
      </c>
    </row>
    <row r="8" spans="2:9" x14ac:dyDescent="0.2">
      <c r="B8" s="20" t="s">
        <v>230</v>
      </c>
      <c r="C8" s="195">
        <f>Statement!M154</f>
        <v>16237338.84</v>
      </c>
      <c r="D8" s="195">
        <f>Statement!N154</f>
        <v>6361818.1100000003</v>
      </c>
      <c r="E8" s="195">
        <f>Statement!O154</f>
        <v>11691137.050000001</v>
      </c>
      <c r="F8" s="195">
        <f>Statement!P154</f>
        <v>6317136.9400000004</v>
      </c>
      <c r="G8" s="195">
        <f>Statement!Q154</f>
        <v>4991495.63</v>
      </c>
      <c r="I8" s="195">
        <f ca="1">Statement!AC154</f>
        <v>4199570.25</v>
      </c>
    </row>
    <row r="9" spans="2:9" x14ac:dyDescent="0.2">
      <c r="B9" s="20" t="s">
        <v>287</v>
      </c>
      <c r="C9" s="196">
        <f>Statement!M150</f>
        <v>-28.818965517241381</v>
      </c>
      <c r="D9" s="196">
        <f>Statement!N150</f>
        <v>-24.283333333333335</v>
      </c>
      <c r="E9" s="196">
        <f>Statement!O150</f>
        <v>-149.0625</v>
      </c>
      <c r="F9" s="196">
        <f>Statement!P150</f>
        <v>-112.15384615384615</v>
      </c>
      <c r="G9" s="196">
        <f>Statement!Q150</f>
        <v>24.21153846153846</v>
      </c>
      <c r="I9" s="196">
        <f ca="1">Statement!AC150</f>
        <v>17.916666666666664</v>
      </c>
    </row>
    <row r="10" spans="2:9" x14ac:dyDescent="0.2">
      <c r="B10" s="20" t="s">
        <v>243</v>
      </c>
      <c r="C10" s="196">
        <f>Statement!M151</f>
        <v>17.03343197885799</v>
      </c>
      <c r="D10" s="196">
        <f>Statement!N151</f>
        <v>7.5428149003241138</v>
      </c>
      <c r="E10" s="196">
        <f>Statement!O151</f>
        <v>11.921699837623619</v>
      </c>
      <c r="F10" s="196">
        <f>Statement!P151</f>
        <v>5.7103089537122012</v>
      </c>
      <c r="G10" s="196">
        <f>Statement!Q151</f>
        <v>4.2592243004348767</v>
      </c>
      <c r="I10" s="196">
        <f ca="1">Statement!AC151</f>
        <v>3.4631455439416863</v>
      </c>
    </row>
    <row r="11" spans="2:9" x14ac:dyDescent="0.2">
      <c r="B11" s="20" t="s">
        <v>288</v>
      </c>
      <c r="C11" s="196">
        <f>Statement!M152</f>
        <v>9.4291282297830765</v>
      </c>
      <c r="D11" s="196">
        <f>Statement!N152</f>
        <v>4.2296795940750709</v>
      </c>
      <c r="E11" s="196">
        <f>Statement!O152</f>
        <v>6.731246372972957</v>
      </c>
      <c r="F11" s="196">
        <f>Statement!P152</f>
        <v>4.3563406007925183</v>
      </c>
      <c r="G11" s="196">
        <f>Statement!Q152</f>
        <v>3.1673000839820857</v>
      </c>
      <c r="I11" s="196">
        <f ca="1">Statement!AC152</f>
        <v>2.9269065642300305</v>
      </c>
    </row>
    <row r="12" spans="2:9" x14ac:dyDescent="0.2">
      <c r="B12" s="20" t="s">
        <v>310</v>
      </c>
      <c r="C12" s="196">
        <f>Statement!M155</f>
        <v>18.198153481303489</v>
      </c>
      <c r="D12" s="196">
        <f>Statement!N155</f>
        <v>6.0097603395488868</v>
      </c>
      <c r="E12" s="196">
        <f>Statement!O155</f>
        <v>8.9376861900568176</v>
      </c>
      <c r="F12" s="196">
        <f>Statement!P155</f>
        <v>4.4186165001007236</v>
      </c>
      <c r="G12" s="196">
        <f>Statement!Q155</f>
        <v>3.0992067600827533</v>
      </c>
      <c r="I12" s="196">
        <f ca="1">Statement!AC155</f>
        <v>2.5112090616086538</v>
      </c>
    </row>
    <row r="13" spans="2:9" x14ac:dyDescent="0.2">
      <c r="B13" s="20" t="s">
        <v>246</v>
      </c>
      <c r="C13" s="196">
        <f>Statement!M156</f>
        <v>-32.413351618737352</v>
      </c>
      <c r="D13" s="196">
        <f>Statement!N156</f>
        <v>-18.266232087124553</v>
      </c>
      <c r="E13" s="196">
        <f>Statement!O156</f>
        <v>-70.97581987615348</v>
      </c>
      <c r="F13" s="196">
        <f>Statement!P156</f>
        <v>-38.858189076638233</v>
      </c>
      <c r="G13" s="196">
        <f>Statement!Q156</f>
        <v>87.94037403100775</v>
      </c>
      <c r="I13" s="196">
        <f ca="1">Statement!AC156</f>
        <v>41.514548878498204</v>
      </c>
    </row>
    <row r="15" spans="2:9" ht="17" thickBot="1" x14ac:dyDescent="0.25">
      <c r="B15" s="14" t="s">
        <v>78</v>
      </c>
      <c r="C15" s="14"/>
      <c r="D15" s="14"/>
      <c r="E15" s="14"/>
      <c r="F15" s="14"/>
      <c r="G15" s="14"/>
      <c r="I15" s="14"/>
    </row>
    <row r="16" spans="2:9" x14ac:dyDescent="0.2">
      <c r="B16" s="20" t="s">
        <v>79</v>
      </c>
      <c r="C16" s="197">
        <f>Statement!M101</f>
        <v>0.81073956684882742</v>
      </c>
      <c r="D16" s="197">
        <f>Statement!N101</f>
        <v>0.82991287393217905</v>
      </c>
      <c r="E16" s="197">
        <f>Statement!O101</f>
        <v>0.85021925398601916</v>
      </c>
      <c r="F16" s="197">
        <f>Statement!P101</f>
        <v>0.82727270183763457</v>
      </c>
      <c r="G16" s="197">
        <f>Statement!Q101</f>
        <v>0.83174673345867178</v>
      </c>
      <c r="I16" s="197">
        <f>Statement!AC101</f>
        <v>0.83014417010996633</v>
      </c>
    </row>
    <row r="17" spans="2:9" x14ac:dyDescent="0.2">
      <c r="B17" s="20" t="s">
        <v>80</v>
      </c>
      <c r="C17" s="197">
        <f>Statement!M102</f>
        <v>-0.56144004160259653</v>
      </c>
      <c r="D17" s="197">
        <f>Statement!N102</f>
        <v>-0.32900930585377974</v>
      </c>
      <c r="E17" s="197">
        <f>Statement!O102</f>
        <v>-0.12592579001767487</v>
      </c>
      <c r="F17" s="197">
        <f>Statement!P102</f>
        <v>-0.11371133357208407</v>
      </c>
      <c r="G17" s="197">
        <f>Statement!Q102</f>
        <v>3.5242137575966802E-2</v>
      </c>
      <c r="I17" s="197">
        <f>Statement!AC102</f>
        <v>6.0489855471109168E-2</v>
      </c>
    </row>
    <row r="18" spans="2:9" x14ac:dyDescent="0.2">
      <c r="B18" s="20" t="s">
        <v>81</v>
      </c>
      <c r="C18" s="197">
        <f>Statement!M103</f>
        <v>-0.58905555829519018</v>
      </c>
      <c r="D18" s="197">
        <f>Statement!N103</f>
        <v>-0.31018127096556619</v>
      </c>
      <c r="E18" s="197">
        <f>Statement!O103</f>
        <v>-6.8714107480322181E-2</v>
      </c>
      <c r="F18" s="197">
        <f>Statement!P103</f>
        <v>-5.1546377330617545E-2</v>
      </c>
      <c r="G18" s="197">
        <f>Statement!Q103</f>
        <v>0.17529796867199976</v>
      </c>
      <c r="I18" s="197">
        <f>Statement!AC103</f>
        <v>0.19578073705548546</v>
      </c>
    </row>
    <row r="20" spans="2:9" ht="17" thickBot="1" x14ac:dyDescent="0.25">
      <c r="B20" s="14" t="s">
        <v>296</v>
      </c>
      <c r="C20" s="14"/>
      <c r="D20" s="14"/>
      <c r="E20" s="14"/>
      <c r="F20" s="14"/>
      <c r="G20" s="14"/>
      <c r="I20" s="14"/>
    </row>
    <row r="21" spans="2:9" x14ac:dyDescent="0.2">
      <c r="B21" s="20" t="s">
        <v>32</v>
      </c>
      <c r="C21" s="199">
        <f>Statement!M18</f>
        <v>-525586</v>
      </c>
      <c r="D21" s="199">
        <f>Statement!N18</f>
        <v>-328352</v>
      </c>
      <c r="E21" s="199">
        <f>Statement!O18</f>
        <v>-89883</v>
      </c>
      <c r="F21" s="199">
        <f>Statement!P18</f>
        <v>-73694</v>
      </c>
      <c r="G21" s="199">
        <f>Statement!Q18</f>
        <v>282330</v>
      </c>
      <c r="I21" s="199">
        <f>Statement!AC18</f>
        <v>327410</v>
      </c>
    </row>
    <row r="22" spans="2:9" x14ac:dyDescent="0.2">
      <c r="B22" s="20" t="s">
        <v>297</v>
      </c>
      <c r="C22" s="199">
        <f>Statement!M59</f>
        <v>-54963</v>
      </c>
      <c r="D22" s="199">
        <f>Statement!N59</f>
        <v>-9981</v>
      </c>
      <c r="E22" s="199">
        <f>Statement!O59</f>
        <v>299082</v>
      </c>
      <c r="F22" s="199">
        <f>Statement!P59</f>
        <v>320565</v>
      </c>
      <c r="G22" s="199">
        <f>Statement!Q59</f>
        <v>371208</v>
      </c>
      <c r="I22" s="199">
        <f>Statement!AC59</f>
        <v>384134</v>
      </c>
    </row>
    <row r="23" spans="2:9" x14ac:dyDescent="0.2">
      <c r="B23" s="20" t="s">
        <v>304</v>
      </c>
      <c r="C23" s="217" t="str">
        <f>IF(OR(C21&lt;=0, C22&lt;=0),"N/A",C21-C22)</f>
        <v>N/A</v>
      </c>
      <c r="D23" s="217" t="str">
        <f t="shared" ref="D23:I23" si="0">IF(OR(D21&lt;=0, D22&lt;=0),"N/A",D21-D22)</f>
        <v>N/A</v>
      </c>
      <c r="E23" s="217" t="str">
        <f t="shared" si="0"/>
        <v>N/A</v>
      </c>
      <c r="F23" s="217" t="str">
        <f t="shared" si="0"/>
        <v>N/A</v>
      </c>
      <c r="G23" s="217">
        <f t="shared" si="0"/>
        <v>-88878</v>
      </c>
      <c r="I23" s="217">
        <f t="shared" si="0"/>
        <v>-56724</v>
      </c>
    </row>
    <row r="25" spans="2:9" ht="17" thickBot="1" x14ac:dyDescent="0.25">
      <c r="B25" s="14" t="s">
        <v>295</v>
      </c>
      <c r="C25" s="14"/>
      <c r="D25" s="14"/>
      <c r="E25" s="14"/>
      <c r="F25" s="14"/>
      <c r="G25" s="14"/>
      <c r="I25" s="14"/>
    </row>
    <row r="26" spans="2:9" x14ac:dyDescent="0.2">
      <c r="B26" s="20" t="s">
        <v>119</v>
      </c>
      <c r="C26" s="197">
        <f>Statement!M121</f>
        <v>-0.58905555829519018</v>
      </c>
      <c r="D26" s="197">
        <f>Statement!N121</f>
        <v>-0.31018127096556619</v>
      </c>
      <c r="E26" s="197">
        <f>Statement!O121</f>
        <v>-6.8714107480322181E-2</v>
      </c>
      <c r="F26" s="197">
        <f>Statement!P121</f>
        <v>-5.1546377330617545E-2</v>
      </c>
      <c r="G26" s="197">
        <f>Statement!Q121</f>
        <v>0.17529796867199976</v>
      </c>
      <c r="I26" s="197">
        <f>Statement!AC121</f>
        <v>0.19578073705548546</v>
      </c>
    </row>
    <row r="27" spans="2:9" x14ac:dyDescent="0.2">
      <c r="B27" s="20" t="s">
        <v>120</v>
      </c>
      <c r="C27" s="236">
        <f>Statement!M122</f>
        <v>0.346849112713561</v>
      </c>
      <c r="D27" s="236">
        <f>Statement!N122</f>
        <v>0.38702057541552631</v>
      </c>
      <c r="E27" s="236">
        <f>Statement!O122</f>
        <v>0.44270021436611728</v>
      </c>
      <c r="F27" s="236">
        <f>Statement!P122</f>
        <v>0.49896309946357587</v>
      </c>
      <c r="G27" s="236">
        <f>Statement!Q122</f>
        <v>0.50659662808253647</v>
      </c>
      <c r="I27" s="236">
        <f>Statement!AC122</f>
        <v>0.57573243364202842</v>
      </c>
    </row>
    <row r="28" spans="2:9" x14ac:dyDescent="0.2">
      <c r="B28" s="32" t="s">
        <v>121</v>
      </c>
      <c r="C28" s="198">
        <f>Statement!M123</f>
        <v>-0.20431339773367801</v>
      </c>
      <c r="D28" s="198">
        <f>Statement!N123</f>
        <v>-0.12004653397221271</v>
      </c>
      <c r="E28" s="198">
        <f>Statement!O123</f>
        <v>-3.0419750111515053E-2</v>
      </c>
      <c r="F28" s="198">
        <f>Statement!P123</f>
        <v>-2.5719740199003933E-2</v>
      </c>
      <c r="G28" s="198">
        <f>Statement!Q123</f>
        <v>8.8805359838953199E-2</v>
      </c>
      <c r="I28" s="198">
        <f>Statement!AC123</f>
        <v>0.1127173202051847</v>
      </c>
    </row>
    <row r="29" spans="2:9" x14ac:dyDescent="0.2">
      <c r="B29" s="20" t="s">
        <v>122</v>
      </c>
      <c r="C29" s="236">
        <f>Statement!M124</f>
        <v>1.3384813183920012</v>
      </c>
      <c r="D29" s="236">
        <f>Statement!N124</f>
        <v>1.4244692363857558</v>
      </c>
      <c r="E29" s="236">
        <f>Statement!O124</f>
        <v>1.4655708952965953</v>
      </c>
      <c r="F29" s="236">
        <f>Statement!P124</f>
        <v>1.5523507364438103</v>
      </c>
      <c r="G29" s="236">
        <f>Statement!Q124</f>
        <v>1.526562875884657</v>
      </c>
      <c r="I29" s="236">
        <f>Statement!AC124</f>
        <v>1.5264074746513994</v>
      </c>
    </row>
    <row r="30" spans="2:9" x14ac:dyDescent="0.2">
      <c r="B30" s="32" t="s">
        <v>123</v>
      </c>
      <c r="C30" s="198">
        <f>Statement!M125</f>
        <v>-0.27346966596372269</v>
      </c>
      <c r="D30" s="198">
        <f>Statement!N125</f>
        <v>-0.17100259457815453</v>
      </c>
      <c r="E30" s="198">
        <f>Statement!O125</f>
        <v>-4.4582300405631825E-2</v>
      </c>
      <c r="F30" s="198">
        <f>Statement!P125</f>
        <v>-3.9926057639067224E-2</v>
      </c>
      <c r="G30" s="198">
        <f>Statement!Q125</f>
        <v>0.13556696550972422</v>
      </c>
      <c r="I30" s="198">
        <f>Statement!AC125</f>
        <v>0.17205256008386913</v>
      </c>
    </row>
    <row r="32" spans="2:9" ht="17" thickBot="1" x14ac:dyDescent="0.25">
      <c r="B32" s="14" t="s">
        <v>355</v>
      </c>
      <c r="C32" s="14"/>
      <c r="D32" s="14"/>
      <c r="E32" s="14"/>
      <c r="F32" s="14"/>
      <c r="G32" s="14"/>
      <c r="I32" s="14"/>
    </row>
    <row r="33" spans="2:9" x14ac:dyDescent="0.2">
      <c r="B33" s="20" t="s">
        <v>121</v>
      </c>
      <c r="C33" s="197">
        <f>C28</f>
        <v>-0.20431339773367801</v>
      </c>
      <c r="D33" s="197">
        <f t="shared" ref="D33:G33" si="1">D28</f>
        <v>-0.12004653397221271</v>
      </c>
      <c r="E33" s="197">
        <f t="shared" si="1"/>
        <v>-3.0419750111515053E-2</v>
      </c>
      <c r="F33" s="197">
        <f t="shared" si="1"/>
        <v>-2.5719740199003933E-2</v>
      </c>
      <c r="G33" s="197">
        <f t="shared" si="1"/>
        <v>8.8805359838953199E-2</v>
      </c>
      <c r="I33" s="197">
        <f>I28</f>
        <v>0.1127173202051847</v>
      </c>
    </row>
    <row r="34" spans="2:9" x14ac:dyDescent="0.2">
      <c r="B34" s="20" t="s">
        <v>123</v>
      </c>
      <c r="C34" s="197">
        <f>C30</f>
        <v>-0.27346966596372269</v>
      </c>
      <c r="D34" s="197">
        <f t="shared" ref="D34:G34" si="2">D30</f>
        <v>-0.17100259457815453</v>
      </c>
      <c r="E34" s="197">
        <f t="shared" si="2"/>
        <v>-4.4582300405631825E-2</v>
      </c>
      <c r="F34" s="197">
        <f t="shared" si="2"/>
        <v>-3.9926057639067224E-2</v>
      </c>
      <c r="G34" s="197">
        <f t="shared" si="2"/>
        <v>0.13556696550972422</v>
      </c>
      <c r="I34" s="197">
        <f>I30</f>
        <v>0.17205256008386913</v>
      </c>
    </row>
    <row r="35" spans="2:9" x14ac:dyDescent="0.2">
      <c r="B35" s="20" t="s">
        <v>124</v>
      </c>
      <c r="C35" s="197">
        <f>Statement!M140</f>
        <v>-13.446770816556612</v>
      </c>
      <c r="D35" s="197">
        <f>Statement!N140</f>
        <v>-2.1723832513114152</v>
      </c>
      <c r="E35" s="197">
        <f>Statement!O140</f>
        <v>-1.2085904425090432</v>
      </c>
      <c r="F35" s="197">
        <f>Statement!P140</f>
        <v>-1.3311034872391121</v>
      </c>
      <c r="G35" s="197">
        <f>Statement!Q140</f>
        <v>0.14438669993971168</v>
      </c>
      <c r="I35" s="197">
        <f>Statement!AC140</f>
        <v>0.2076253183886507</v>
      </c>
    </row>
    <row r="37" spans="2:9" ht="17" thickBot="1" x14ac:dyDescent="0.25">
      <c r="B37" s="14" t="s">
        <v>300</v>
      </c>
      <c r="C37" s="14"/>
      <c r="D37" s="14"/>
      <c r="E37" s="14"/>
      <c r="F37" s="14"/>
      <c r="G37" s="14"/>
      <c r="I37" s="14"/>
    </row>
    <row r="38" spans="2:9" x14ac:dyDescent="0.2">
      <c r="B38" s="20" t="s">
        <v>180</v>
      </c>
      <c r="C38" s="196">
        <f>Statement!M141</f>
        <v>133.69421979440784</v>
      </c>
      <c r="D38" s="196">
        <f>Statement!N141</f>
        <v>152.91140215061483</v>
      </c>
      <c r="E38" s="196">
        <f>Statement!O141</f>
        <v>145.23661159324561</v>
      </c>
      <c r="F38" s="196">
        <f>Statement!P141</f>
        <v>137.8303503480538</v>
      </c>
      <c r="G38" s="196">
        <f>Statement!Q141</f>
        <v>131.6037563052133</v>
      </c>
      <c r="I38" s="196">
        <f>Statement!AC141</f>
        <v>65.477289171395597</v>
      </c>
    </row>
    <row r="39" spans="2:9" x14ac:dyDescent="0.2">
      <c r="B39" s="20" t="s">
        <v>181</v>
      </c>
      <c r="C39" s="196">
        <f>Statement!M142</f>
        <v>0</v>
      </c>
      <c r="D39" s="196">
        <f>Statement!N142</f>
        <v>0</v>
      </c>
      <c r="E39" s="196">
        <f>Statement!O142</f>
        <v>0</v>
      </c>
      <c r="F39" s="196">
        <f>Statement!P142</f>
        <v>0</v>
      </c>
      <c r="G39" s="196">
        <f>Statement!Q142</f>
        <v>0</v>
      </c>
      <c r="I39" s="196">
        <f>Statement!AC142</f>
        <v>0</v>
      </c>
    </row>
    <row r="40" spans="2:9" x14ac:dyDescent="0.2">
      <c r="B40" s="20" t="s">
        <v>182</v>
      </c>
      <c r="C40" s="196">
        <f>Statement!M143</f>
        <v>24.889114574697395</v>
      </c>
      <c r="D40" s="196">
        <f>Statement!N143</f>
        <v>18.023865460341792</v>
      </c>
      <c r="E40" s="196">
        <f>Statement!O143</f>
        <v>6.4216481901145333</v>
      </c>
      <c r="F40" s="196">
        <f>Statement!P143</f>
        <v>49.039734026613537</v>
      </c>
      <c r="G40" s="196">
        <f>Statement!Q143</f>
        <v>13.686287751306349</v>
      </c>
      <c r="I40" s="196">
        <f>Statement!AC143</f>
        <v>25.312474696801676</v>
      </c>
    </row>
    <row r="41" spans="2:9" x14ac:dyDescent="0.2">
      <c r="B41" s="20" t="s">
        <v>183</v>
      </c>
      <c r="C41" s="196">
        <f>Statement!M144</f>
        <v>108.80510521971044</v>
      </c>
      <c r="D41" s="196">
        <f>Statement!N144</f>
        <v>134.88753669027304</v>
      </c>
      <c r="E41" s="196">
        <f>Statement!O144</f>
        <v>138.81496340313109</v>
      </c>
      <c r="F41" s="196">
        <f>Statement!P144</f>
        <v>88.790616321440268</v>
      </c>
      <c r="G41" s="196">
        <f>Statement!Q144</f>
        <v>117.91746855390694</v>
      </c>
      <c r="I41" s="196">
        <f>Statement!AC144</f>
        <v>40.164814474593925</v>
      </c>
    </row>
    <row r="43" spans="2:9" ht="17" thickBot="1" x14ac:dyDescent="0.25">
      <c r="B43" s="14" t="s">
        <v>306</v>
      </c>
      <c r="C43" s="14"/>
      <c r="D43" s="14"/>
      <c r="E43" s="14"/>
      <c r="F43" s="14"/>
      <c r="G43" s="14"/>
      <c r="I43" s="14"/>
    </row>
    <row r="44" spans="2:9" x14ac:dyDescent="0.2">
      <c r="B44" s="20" t="s">
        <v>307</v>
      </c>
      <c r="C44" s="202">
        <f>Statement!M145</f>
        <v>0</v>
      </c>
      <c r="D44" s="202">
        <f>Statement!N145</f>
        <v>0</v>
      </c>
      <c r="E44" s="202">
        <f>Statement!O145</f>
        <v>0</v>
      </c>
      <c r="F44" s="202">
        <f>Statement!P145</f>
        <v>0</v>
      </c>
      <c r="G44" s="202">
        <f>Statement!Q145</f>
        <v>0</v>
      </c>
      <c r="I44" s="202">
        <f>Statement!AC145</f>
        <v>0</v>
      </c>
    </row>
    <row r="45" spans="2:9" x14ac:dyDescent="0.2">
      <c r="B45" s="20" t="s">
        <v>308</v>
      </c>
      <c r="C45" s="202">
        <f>Statement!M146</f>
        <v>-0.98061622848437269</v>
      </c>
      <c r="D45" s="202">
        <f>Statement!N146</f>
        <v>-0.91650530841732814</v>
      </c>
      <c r="E45" s="202">
        <f>Statement!O146</f>
        <v>-0.93239915996813671</v>
      </c>
      <c r="F45" s="202">
        <f>Statement!P146</f>
        <v>-0.93383166410403939</v>
      </c>
      <c r="G45" s="202">
        <f>Statement!Q146</f>
        <v>-0.81123909829457308</v>
      </c>
      <c r="I45" s="202">
        <f>Statement!AC146</f>
        <v>-0.74396849127545694</v>
      </c>
    </row>
    <row r="46" spans="2:9" x14ac:dyDescent="0.2">
      <c r="B46" s="20" t="s">
        <v>302</v>
      </c>
      <c r="C46" s="202">
        <f>Statement!M147</f>
        <v>4.192374990758311</v>
      </c>
      <c r="D46" s="202">
        <f>Statement!N147</f>
        <v>3.5171282077477604</v>
      </c>
      <c r="E46" s="202">
        <f>Statement!O147</f>
        <v>3.3726940484002186</v>
      </c>
      <c r="F46" s="202">
        <f>Statement!P147</f>
        <v>2.833196064687328</v>
      </c>
      <c r="G46" s="202">
        <f>Statement!Q147</f>
        <v>2.5073153653043936</v>
      </c>
      <c r="I46" s="202">
        <f>Statement!AC147</f>
        <v>2.063021693804965</v>
      </c>
    </row>
    <row r="47" spans="2:9" x14ac:dyDescent="0.2">
      <c r="B47" s="20" t="s">
        <v>303</v>
      </c>
      <c r="C47" s="202">
        <f>Statement!M148</f>
        <v>4.3171501096680389</v>
      </c>
      <c r="D47" s="202">
        <f>Statement!N148</f>
        <v>3.7423569563190795</v>
      </c>
      <c r="E47" s="202">
        <f>Statement!O148</f>
        <v>3.6257476910625539</v>
      </c>
      <c r="F47" s="202">
        <f>Statement!P148</f>
        <v>2.9271504030441093</v>
      </c>
      <c r="G47" s="202">
        <f>Statement!Q148</f>
        <v>2.4783388537733191</v>
      </c>
      <c r="I47" s="202">
        <f>Statement!AC148</f>
        <v>2.3066495444084523</v>
      </c>
    </row>
    <row r="48" spans="2:9" x14ac:dyDescent="0.2">
      <c r="B48" s="20" t="s">
        <v>309</v>
      </c>
      <c r="C48" s="204" t="str">
        <f>Statement!M149</f>
        <v>N/A</v>
      </c>
      <c r="D48" s="204" t="str">
        <f>Statement!N149</f>
        <v>N/A</v>
      </c>
      <c r="E48" s="204" t="str">
        <f>Statement!O149</f>
        <v>N/A</v>
      </c>
      <c r="F48" s="204" t="str">
        <f>Statement!P149</f>
        <v>N/A</v>
      </c>
      <c r="G48" s="204" t="str">
        <f>Statement!Q149</f>
        <v>N/A</v>
      </c>
      <c r="I48" s="204" t="str">
        <f>Statement!AC149</f>
        <v>N/A</v>
      </c>
    </row>
    <row r="50" spans="2:9" ht="17" thickBot="1" x14ac:dyDescent="0.25">
      <c r="B50" s="14" t="s">
        <v>318</v>
      </c>
      <c r="C50" s="14"/>
      <c r="D50" s="14"/>
      <c r="E50" s="14"/>
      <c r="F50" s="14"/>
      <c r="G50" s="14"/>
      <c r="I50" s="14"/>
    </row>
    <row r="51" spans="2:9" x14ac:dyDescent="0.2">
      <c r="B51" s="20" t="s">
        <v>316</v>
      </c>
      <c r="C51" s="197">
        <f>Statement!M162</f>
        <v>-3.4699371821717021E-2</v>
      </c>
      <c r="D51" s="197">
        <f>Statement!N162</f>
        <v>-4.1180507892930679E-2</v>
      </c>
      <c r="E51" s="197">
        <f>Statement!O162</f>
        <v>-6.7085953878406705E-3</v>
      </c>
      <c r="F51" s="197">
        <f>Statement!P162</f>
        <v>-8.9163237311385458E-3</v>
      </c>
      <c r="G51" s="197">
        <f>Statement!Q162</f>
        <v>4.1302621127879274E-2</v>
      </c>
      <c r="I51" s="197">
        <f ca="1">Statement!AC162</f>
        <v>5.5813953488372099E-2</v>
      </c>
    </row>
    <row r="52" spans="2:9" x14ac:dyDescent="0.2">
      <c r="B52" s="20" t="s">
        <v>319</v>
      </c>
      <c r="C52" s="197">
        <f>Statement!M161</f>
        <v>-3.2136350340421331E-2</v>
      </c>
      <c r="D52" s="197">
        <f>Statement!N161</f>
        <v>-4.9698749076467263E-2</v>
      </c>
      <c r="E52" s="197">
        <f>Statement!O161</f>
        <v>-5.9107830031523813E-3</v>
      </c>
      <c r="F52" s="197">
        <f>Statement!P161</f>
        <v>-6.5303464037043202E-3</v>
      </c>
      <c r="G52" s="197">
        <f>Statement!Q161</f>
        <v>9.2028530287292954E-3</v>
      </c>
      <c r="I52" s="197">
        <f ca="1">Statement!AC161</f>
        <v>1.9163479884147221E-2</v>
      </c>
    </row>
    <row r="53" spans="2:9" x14ac:dyDescent="0.2">
      <c r="B53" s="20" t="s">
        <v>317</v>
      </c>
      <c r="C53" s="197">
        <f>Statement!M163</f>
        <v>0</v>
      </c>
      <c r="D53" s="197">
        <f>Statement!N163</f>
        <v>0</v>
      </c>
      <c r="E53" s="197">
        <f>Statement!O163</f>
        <v>0</v>
      </c>
      <c r="F53" s="197">
        <f>Statement!P163</f>
        <v>0</v>
      </c>
      <c r="G53" s="197">
        <f>Statement!Q163</f>
        <v>0</v>
      </c>
      <c r="I53" s="197">
        <f ca="1">Statement!AC163</f>
        <v>0</v>
      </c>
    </row>
    <row r="54" spans="2:9" x14ac:dyDescent="0.2">
      <c r="B54" s="20" t="s">
        <v>342</v>
      </c>
      <c r="C54" s="197">
        <f>Statement!M164</f>
        <v>0</v>
      </c>
      <c r="D54" s="197">
        <f>Statement!N164</f>
        <v>0</v>
      </c>
      <c r="E54" s="197">
        <f>Statement!O164</f>
        <v>7.5613663014209515E-3</v>
      </c>
      <c r="F54" s="197">
        <f>Statement!P164</f>
        <v>4.8596228981581578E-2</v>
      </c>
      <c r="G54" s="197">
        <f>Statement!Q164</f>
        <v>4.9259451802222368E-2</v>
      </c>
      <c r="I54" s="197">
        <f ca="1">Statement!AC164</f>
        <v>6.150535154631763E-2</v>
      </c>
    </row>
    <row r="55" spans="2:9" x14ac:dyDescent="0.2">
      <c r="B55" s="20" t="s">
        <v>344</v>
      </c>
      <c r="C55" s="197">
        <f>Statement!M165</f>
        <v>0</v>
      </c>
      <c r="D55" s="197">
        <f>Statement!N165</f>
        <v>0</v>
      </c>
      <c r="E55" s="197">
        <f>Statement!O165</f>
        <v>7.5613663014209515E-3</v>
      </c>
      <c r="F55" s="197">
        <f>Statement!P165</f>
        <v>4.8596228981581578E-2</v>
      </c>
      <c r="G55" s="197">
        <f>Statement!Q165</f>
        <v>4.9259451802222368E-2</v>
      </c>
      <c r="I55" s="197">
        <f ca="1">Statement!AC165</f>
        <v>6.150535154631763E-2</v>
      </c>
    </row>
    <row r="57" spans="2:9" ht="17" thickBot="1" x14ac:dyDescent="0.25">
      <c r="B57" s="14" t="s">
        <v>321</v>
      </c>
      <c r="C57" s="14"/>
      <c r="D57" s="14"/>
      <c r="E57" s="14"/>
      <c r="F57" s="14"/>
      <c r="G57" s="14"/>
      <c r="I57" s="14"/>
    </row>
    <row r="58" spans="2:9" x14ac:dyDescent="0.2">
      <c r="B58" s="20" t="s">
        <v>320</v>
      </c>
      <c r="C58" s="197">
        <f>Statement!M168</f>
        <v>0</v>
      </c>
      <c r="D58" s="197">
        <f>Statement!N168</f>
        <v>0</v>
      </c>
      <c r="E58" s="197">
        <f>Statement!O168</f>
        <v>0</v>
      </c>
      <c r="F58" s="197">
        <f>Statement!P168</f>
        <v>0</v>
      </c>
      <c r="G58" s="197">
        <f>Statement!Q168</f>
        <v>0</v>
      </c>
      <c r="I58" s="197">
        <f>Statement!AC168</f>
        <v>0</v>
      </c>
    </row>
    <row r="59" spans="2:9" x14ac:dyDescent="0.2">
      <c r="B59" s="20" t="s">
        <v>322</v>
      </c>
      <c r="C59" s="197">
        <f>Statement!M169</f>
        <v>0</v>
      </c>
      <c r="D59" s="197">
        <f>Statement!N169</f>
        <v>0</v>
      </c>
      <c r="E59" s="197">
        <f>Statement!O169</f>
        <v>-1.2792495169232687</v>
      </c>
      <c r="F59" s="197">
        <f>Statement!P169</f>
        <v>-7.44160048753547</v>
      </c>
      <c r="G59" s="197">
        <f>Statement!Q169</f>
        <v>5.3526283260685705</v>
      </c>
      <c r="I59" s="197">
        <f>Statement!AC169</f>
        <v>3.2095084983598028</v>
      </c>
    </row>
    <row r="60" spans="2:9" x14ac:dyDescent="0.2">
      <c r="B60" s="20" t="s">
        <v>323</v>
      </c>
      <c r="C60" s="197">
        <f>Statement!M170</f>
        <v>0</v>
      </c>
      <c r="D60" s="197">
        <f>Statement!N170</f>
        <v>0</v>
      </c>
      <c r="E60" s="197">
        <f>Statement!O170</f>
        <v>-1.2792495169232687</v>
      </c>
      <c r="F60" s="197">
        <f>Statement!P170</f>
        <v>-7.44160048753547</v>
      </c>
      <c r="G60" s="197">
        <f>Statement!Q170</f>
        <v>5.3526283260685705</v>
      </c>
      <c r="I60" s="197">
        <f>Statement!AC170</f>
        <v>3.2095084983598028</v>
      </c>
    </row>
    <row r="62" spans="2:9" ht="17" thickBot="1" x14ac:dyDescent="0.25">
      <c r="B62" s="14" t="s">
        <v>329</v>
      </c>
      <c r="C62" s="14"/>
      <c r="D62" s="14"/>
      <c r="E62" s="14"/>
      <c r="F62" s="14"/>
      <c r="G62" s="14"/>
      <c r="I62" s="14"/>
    </row>
    <row r="63" spans="2:9" x14ac:dyDescent="0.2">
      <c r="B63" s="20" t="s">
        <v>327</v>
      </c>
      <c r="C63" s="197">
        <f>Statement!M171</f>
        <v>0.32041292188722126</v>
      </c>
      <c r="D63" s="197">
        <f>Statement!N171</f>
        <v>0.31207180184527727</v>
      </c>
      <c r="E63" s="197">
        <f>Statement!O171</f>
        <v>0.22510733498180183</v>
      </c>
      <c r="F63" s="197">
        <f>Statement!P171</f>
        <v>0.22494029842627195</v>
      </c>
      <c r="G63" s="197">
        <f>Statement!Q171</f>
        <v>0.22012147206199109</v>
      </c>
      <c r="I63" s="197">
        <f>Statement!AC171</f>
        <v>0.2236199519483876</v>
      </c>
    </row>
    <row r="65" spans="2:9" ht="17" thickBot="1" x14ac:dyDescent="0.25">
      <c r="B65" s="14" t="s">
        <v>335</v>
      </c>
      <c r="C65" s="14"/>
      <c r="D65" s="14"/>
      <c r="E65" s="14"/>
      <c r="F65" s="14"/>
      <c r="G65" s="14"/>
      <c r="I65" s="14"/>
    </row>
    <row r="66" spans="2:9" x14ac:dyDescent="0.2">
      <c r="B66" s="20" t="s">
        <v>328</v>
      </c>
      <c r="C66" s="196">
        <f>Statement!M172</f>
        <v>3.4766735290211184</v>
      </c>
      <c r="D66" s="196">
        <f>Statement!N172</f>
        <v>3.157090755135687</v>
      </c>
      <c r="E66" s="196">
        <f>Statement!O172</f>
        <v>3.3036556282545391</v>
      </c>
      <c r="F66" s="196">
        <f>Statement!P172</f>
        <v>3.125390530795495</v>
      </c>
      <c r="G66" s="196">
        <f>Statement!Q172</f>
        <v>3.224670847950649</v>
      </c>
      <c r="I66" s="196">
        <f>Statement!AC172</f>
        <v>2.732462108272006</v>
      </c>
    </row>
    <row r="67" spans="2:9" x14ac:dyDescent="0.2">
      <c r="B67" s="20" t="s">
        <v>336</v>
      </c>
      <c r="C67" s="196">
        <f>Statement!M175</f>
        <v>3.4766735290211184</v>
      </c>
      <c r="D67" s="196">
        <f>Statement!N175</f>
        <v>3.157090755135687</v>
      </c>
      <c r="E67" s="196">
        <f>Statement!O175</f>
        <v>3.3036556282545391</v>
      </c>
      <c r="F67" s="196">
        <f>Statement!P175</f>
        <v>3.125390530795495</v>
      </c>
      <c r="G67" s="196">
        <f>Statement!Q175</f>
        <v>3.224670847950649</v>
      </c>
      <c r="I67" s="196">
        <f>Statement!AC175</f>
        <v>2.732462108272006</v>
      </c>
    </row>
    <row r="68" spans="2:9" x14ac:dyDescent="0.2">
      <c r="B68" s="20" t="s">
        <v>341</v>
      </c>
      <c r="C68" s="218">
        <f>Statement!M176</f>
        <v>0.10399860990191799</v>
      </c>
      <c r="D68" s="218">
        <f>Statement!N176</f>
        <v>0.21668433460093939</v>
      </c>
      <c r="E68" s="218">
        <f>Statement!O176</f>
        <v>0.1385180556920142</v>
      </c>
      <c r="F68" s="218">
        <f>Statement!P176</f>
        <v>0.21436149045236591</v>
      </c>
      <c r="G68" s="218">
        <f>Statement!Q176</f>
        <v>0.25287878673419845</v>
      </c>
      <c r="I68" s="218">
        <f ca="1">Statement!AC176</f>
        <v>0.25212222018661906</v>
      </c>
    </row>
    <row r="70" spans="2:9" ht="17" thickBot="1" x14ac:dyDescent="0.25">
      <c r="B70" s="14" t="s">
        <v>356</v>
      </c>
      <c r="C70" s="14"/>
      <c r="D70" s="14"/>
      <c r="E70" s="14"/>
      <c r="F70" s="14"/>
      <c r="G70" s="14"/>
      <c r="I70" s="14"/>
    </row>
    <row r="71" spans="2:9" x14ac:dyDescent="0.2">
      <c r="B71" s="20" t="s">
        <v>330</v>
      </c>
      <c r="C71" s="197">
        <f>Statement!M173</f>
        <v>-9.3805469133780903</v>
      </c>
      <c r="D71" s="197">
        <f>Statement!N173</f>
        <v>-37.054403366396151</v>
      </c>
      <c r="E71" s="197">
        <f>Statement!O173</f>
        <v>1.243655586093446</v>
      </c>
      <c r="F71" s="197">
        <f>Statement!P173</f>
        <v>1.1172492318250589</v>
      </c>
      <c r="G71" s="197">
        <f>Statement!Q173</f>
        <v>0.78305424452059225</v>
      </c>
      <c r="I71" s="197">
        <f>Statement!AC173</f>
        <v>0.69669698594761198</v>
      </c>
    </row>
    <row r="72" spans="2:9" x14ac:dyDescent="0.2">
      <c r="B72" s="20" t="s">
        <v>331</v>
      </c>
      <c r="C72" s="197">
        <f>Statement!M174</f>
        <v>0.57784459995606618</v>
      </c>
      <c r="D72" s="197">
        <f>Statement!N174</f>
        <v>0.3493733592422309</v>
      </c>
      <c r="E72" s="197">
        <f>Statement!O174</f>
        <v>0.28435361356255617</v>
      </c>
      <c r="F72" s="197">
        <f>Statement!P174</f>
        <v>0.25051410681111086</v>
      </c>
      <c r="G72" s="197">
        <f>Statement!Q174</f>
        <v>0.18047997854178516</v>
      </c>
      <c r="I72" s="197">
        <f>Statement!AC174</f>
        <v>0.16003121393504871</v>
      </c>
    </row>
    <row r="74" spans="2:9" ht="17" thickBot="1" x14ac:dyDescent="0.25">
      <c r="B74" s="14" t="s">
        <v>357</v>
      </c>
      <c r="C74" s="14"/>
      <c r="D74" s="14"/>
      <c r="E74" s="14"/>
      <c r="F74" s="14"/>
      <c r="G74" s="14"/>
      <c r="I74" s="14"/>
    </row>
    <row r="75" spans="2:9" x14ac:dyDescent="0.2">
      <c r="B75" s="20" t="s">
        <v>354</v>
      </c>
      <c r="C75" s="197">
        <f>Statement!M177</f>
        <v>1.325746537973577E-2</v>
      </c>
      <c r="D75" s="197">
        <f>Statement!N177</f>
        <v>2.2497097529617479E-2</v>
      </c>
      <c r="E75" s="197">
        <f>Statement!O177</f>
        <v>5.6128408833764501E-3</v>
      </c>
      <c r="F75" s="197">
        <f>Statement!P177</f>
        <v>1.0438116928173332E-2</v>
      </c>
      <c r="G75" s="197">
        <f>Statement!Q177</f>
        <v>1.1826854061786744E-2</v>
      </c>
      <c r="I75" s="197">
        <f>Statement!AC177</f>
        <v>5.3219161289936798E-3</v>
      </c>
    </row>
    <row r="76" spans="2:9" x14ac:dyDescent="0.2">
      <c r="B76" s="20" t="s">
        <v>351</v>
      </c>
      <c r="C76" s="197">
        <f>Statement!M178</f>
        <v>-0.21521750996124667</v>
      </c>
      <c r="D76" s="197">
        <f>Statement!N178</f>
        <v>-2.3860334635808034</v>
      </c>
      <c r="E76" s="197">
        <f>Statement!O178</f>
        <v>2.4548451595214689E-2</v>
      </c>
      <c r="F76" s="197">
        <f>Statement!P178</f>
        <v>4.6552181304883568E-2</v>
      </c>
      <c r="G76" s="197">
        <f>Statement!Q178</f>
        <v>5.1313549276955236E-2</v>
      </c>
      <c r="I76" s="197">
        <f>Statement!AC178</f>
        <v>2.3168998318295178E-2</v>
      </c>
    </row>
    <row r="77" spans="2:9" x14ac:dyDescent="0.2">
      <c r="B77" s="20" t="s">
        <v>352</v>
      </c>
      <c r="C77" s="197">
        <f>Statement!M179</f>
        <v>0.80442026521591292</v>
      </c>
      <c r="D77" s="197">
        <f>Statement!N179</f>
        <v>1.2719649628798804</v>
      </c>
      <c r="E77" s="197">
        <f>Statement!O179</f>
        <v>0.32491038633446917</v>
      </c>
      <c r="F77" s="197">
        <f>Statement!P179</f>
        <v>0.86600510677808729</v>
      </c>
      <c r="G77" s="197">
        <f>Statement!Q179</f>
        <v>1.1225175319700631</v>
      </c>
      <c r="I77" s="197">
        <f>Statement!AC179</f>
        <v>0.41931684334511188</v>
      </c>
    </row>
    <row r="79" spans="2:9" ht="17" thickBot="1" x14ac:dyDescent="0.25">
      <c r="B79" s="14" t="s">
        <v>146</v>
      </c>
      <c r="C79" s="14"/>
      <c r="D79" s="14"/>
      <c r="E79" s="14"/>
      <c r="F79" s="14"/>
      <c r="G79" s="14"/>
      <c r="I79" s="14"/>
    </row>
    <row r="80" spans="2:9" x14ac:dyDescent="0.2">
      <c r="B80" s="20" t="s">
        <v>20</v>
      </c>
      <c r="C80" s="197">
        <f>Statement!M89</f>
        <v>1</v>
      </c>
      <c r="D80" s="197">
        <f>Statement!N89</f>
        <v>0.18641482451146088</v>
      </c>
      <c r="E80" s="197">
        <f>Statement!O89</f>
        <v>0.23568437370404344</v>
      </c>
      <c r="F80" s="197">
        <f>Statement!P89</f>
        <v>9.2955127852289474E-2</v>
      </c>
      <c r="G80" s="197">
        <f>Statement!Q89</f>
        <v>0.12653882310808692</v>
      </c>
      <c r="I80" s="219"/>
    </row>
    <row r="81" spans="2:9" x14ac:dyDescent="0.2">
      <c r="B81" s="20" t="s">
        <v>21</v>
      </c>
      <c r="C81" s="197">
        <f>Statement!M90</f>
        <v>1</v>
      </c>
      <c r="D81" s="197">
        <f>Statement!N90</f>
        <v>6.6223322358291689E-2</v>
      </c>
      <c r="E81" s="197">
        <f>Statement!O90</f>
        <v>8.8158355132712404E-2</v>
      </c>
      <c r="F81" s="197">
        <f>Statement!P90</f>
        <v>0.26039688858945303</v>
      </c>
      <c r="G81" s="197">
        <f>Statement!Q90</f>
        <v>9.7358893991301598E-2</v>
      </c>
      <c r="I81" s="219"/>
    </row>
    <row r="82" spans="2:9" x14ac:dyDescent="0.2">
      <c r="B82" s="20" t="s">
        <v>22</v>
      </c>
      <c r="C82" s="197">
        <f>Statement!M91</f>
        <v>1</v>
      </c>
      <c r="D82" s="197">
        <f>Statement!N91</f>
        <v>0.21447253464273469</v>
      </c>
      <c r="E82" s="197">
        <f>Statement!O91</f>
        <v>0.26591920594629664</v>
      </c>
      <c r="F82" s="197">
        <f>Statement!P91</f>
        <v>6.3457381571517466E-2</v>
      </c>
      <c r="G82" s="197">
        <f>Statement!Q91</f>
        <v>0.13263133686529885</v>
      </c>
      <c r="I82" s="219"/>
    </row>
    <row r="83" spans="2:9" x14ac:dyDescent="0.2">
      <c r="B83" s="20" t="s">
        <v>26</v>
      </c>
      <c r="C83" s="197">
        <f>Statement!M95</f>
        <v>1</v>
      </c>
      <c r="D83" s="197">
        <f>Statement!N95</f>
        <v>2.0280479935964979E-3</v>
      </c>
      <c r="E83" s="197">
        <f>Statement!O95</f>
        <v>4.080083924770931E-2</v>
      </c>
      <c r="F83" s="197">
        <f>Statement!P95</f>
        <v>5.3586588433573397E-2</v>
      </c>
      <c r="G83" s="197">
        <f>Statement!Q95</f>
        <v>-4.6430846560335276E-2</v>
      </c>
      <c r="I83" s="219"/>
    </row>
    <row r="84" spans="2:9" x14ac:dyDescent="0.2">
      <c r="B84" s="20" t="s">
        <v>358</v>
      </c>
      <c r="C84" s="197">
        <f>Statement!M96</f>
        <v>-1</v>
      </c>
      <c r="D84" s="197">
        <f>Statement!N96</f>
        <v>0.3047494141085067</v>
      </c>
      <c r="E84" s="197">
        <f>Statement!O96</f>
        <v>0.52705127726590162</v>
      </c>
      <c r="F84" s="197">
        <f>Statement!P96</f>
        <v>1.3058523555123847E-2</v>
      </c>
      <c r="G84" s="197">
        <f>Statement!Q96</f>
        <v>1.3491440557547871</v>
      </c>
      <c r="I84" s="219"/>
    </row>
    <row r="85" spans="2:9" x14ac:dyDescent="0.2">
      <c r="B85" s="20" t="s">
        <v>359</v>
      </c>
      <c r="C85" s="197">
        <f>Statement!M98</f>
        <v>-1</v>
      </c>
      <c r="D85" s="197">
        <f>Statement!N98</f>
        <v>0.37526494236908897</v>
      </c>
      <c r="E85" s="197">
        <f>Statement!O98</f>
        <v>0.72626023292076791</v>
      </c>
      <c r="F85" s="197">
        <f>Statement!P98</f>
        <v>0.18011192327803924</v>
      </c>
      <c r="G85" s="197">
        <f>Statement!Q98</f>
        <v>4.8311124379189625</v>
      </c>
      <c r="I85" s="219"/>
    </row>
    <row r="88" spans="2:9" ht="17" thickBot="1" x14ac:dyDescent="0.25">
      <c r="B88" s="14" t="s">
        <v>360</v>
      </c>
      <c r="C88" s="14"/>
      <c r="D88" s="14"/>
      <c r="E88" s="14"/>
      <c r="F88" s="14"/>
      <c r="G88" s="14"/>
      <c r="I88" s="14"/>
    </row>
    <row r="89" spans="2:9" x14ac:dyDescent="0.2">
      <c r="B89" s="20" t="s">
        <v>361</v>
      </c>
      <c r="C89" s="197">
        <f>Statement!M194</f>
        <v>1</v>
      </c>
      <c r="D89" s="197">
        <f>Statement!N194</f>
        <v>3.4084087514825716E-2</v>
      </c>
      <c r="E89" s="197">
        <f>Statement!O194</f>
        <v>0.24818614965570993</v>
      </c>
      <c r="F89" s="197">
        <f>Statement!P194</f>
        <v>-5.5102093364575021E-2</v>
      </c>
      <c r="G89" s="197">
        <f>Statement!Q194</f>
        <v>3.2771752459329104E-2</v>
      </c>
      <c r="I89" s="219"/>
    </row>
    <row r="90" spans="2:9" x14ac:dyDescent="0.2">
      <c r="B90" s="20" t="s">
        <v>362</v>
      </c>
      <c r="C90" s="197">
        <f>Statement!M195</f>
        <v>1</v>
      </c>
      <c r="D90" s="197">
        <f>Statement!N195</f>
        <v>0.37569180272908909</v>
      </c>
      <c r="E90" s="197">
        <f>Statement!O195</f>
        <v>0.27729682030883041</v>
      </c>
      <c r="F90" s="197">
        <f>Statement!P195</f>
        <v>0.23392027917368038</v>
      </c>
      <c r="G90" s="197">
        <f>Statement!Q195</f>
        <v>0.19019336689332336</v>
      </c>
      <c r="I90" s="219"/>
    </row>
    <row r="91" spans="2:9" x14ac:dyDescent="0.2">
      <c r="B91" s="20" t="s">
        <v>363</v>
      </c>
      <c r="C91" s="197">
        <f>Statement!M196</f>
        <v>1</v>
      </c>
      <c r="D91" s="197">
        <f>Statement!N196</f>
        <v>0.26768885199472631</v>
      </c>
      <c r="E91" s="197">
        <f>Statement!O196</f>
        <v>-0.29197642617772812</v>
      </c>
      <c r="F91" s="197">
        <f>Statement!P196</f>
        <v>0.10317719384146673</v>
      </c>
      <c r="G91" s="197">
        <f>Statement!Q196</f>
        <v>0.22564418690666996</v>
      </c>
      <c r="I91" s="219"/>
    </row>
    <row r="93" spans="2:9" ht="17" thickBot="1" x14ac:dyDescent="0.25">
      <c r="B93" s="14" t="s">
        <v>365</v>
      </c>
      <c r="C93" s="14"/>
      <c r="D93" s="14"/>
      <c r="E93" s="14"/>
      <c r="F93" s="14"/>
      <c r="G93" s="14"/>
      <c r="I93" s="14"/>
    </row>
    <row r="94" spans="2:9" x14ac:dyDescent="0.2">
      <c r="B94" s="20" t="s">
        <v>334</v>
      </c>
      <c r="C94" s="197">
        <f>Statement!M200</f>
        <v>0</v>
      </c>
      <c r="D94" s="197">
        <f>Statement!N200</f>
        <v>0</v>
      </c>
      <c r="E94" s="197">
        <f>Statement!O200</f>
        <v>0</v>
      </c>
      <c r="F94" s="197">
        <f>Statement!P200</f>
        <v>0</v>
      </c>
      <c r="G94" s="197">
        <f>Statement!Q200</f>
        <v>0</v>
      </c>
      <c r="I94" s="21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2" t="s">
        <v>366</v>
      </c>
      <c r="D3" s="253"/>
      <c r="F3" s="254" t="s">
        <v>367</v>
      </c>
      <c r="G3" s="253"/>
    </row>
    <row r="4" spans="2:7" x14ac:dyDescent="0.2">
      <c r="B4" s="8"/>
      <c r="C4" s="10" t="str">
        <f>Statement!Z2</f>
        <v>31.01.2026</v>
      </c>
      <c r="D4" s="225" t="str">
        <f>Statement!AA2</f>
        <v>30.04.2026</v>
      </c>
      <c r="F4" s="226" t="str">
        <f>Statement!W2</f>
        <v>30.04.2025</v>
      </c>
      <c r="G4" s="225" t="str">
        <f>Statement!AA2</f>
        <v>30.04.2026</v>
      </c>
    </row>
    <row r="5" spans="2:7" x14ac:dyDescent="0.2">
      <c r="B5" s="8" t="s">
        <v>372</v>
      </c>
      <c r="C5" s="10" t="str">
        <f>Statement!Z3</f>
        <v>Q4 2026</v>
      </c>
      <c r="D5" s="225" t="str">
        <f>Statement!AA3</f>
        <v>Q1 2027</v>
      </c>
      <c r="F5" s="226" t="str">
        <f>Statement!W3</f>
        <v>Q1 2026</v>
      </c>
      <c r="G5" s="225" t="str">
        <f>Statement!AA3</f>
        <v>Q1 2027</v>
      </c>
    </row>
    <row r="6" spans="2:7" x14ac:dyDescent="0.2">
      <c r="B6" s="227" t="s">
        <v>20</v>
      </c>
      <c r="C6" s="221">
        <f>Statement!Z5</f>
        <v>481107</v>
      </c>
      <c r="D6" s="220">
        <f>Statement!AA5</f>
        <v>418382</v>
      </c>
      <c r="F6" s="221">
        <f>Statement!W5</f>
        <v>356624</v>
      </c>
      <c r="G6" s="220">
        <f>Statement!AA5</f>
        <v>418382</v>
      </c>
    </row>
    <row r="7" spans="2:7" x14ac:dyDescent="0.2">
      <c r="B7" s="228" t="s">
        <v>368</v>
      </c>
      <c r="C7" s="255">
        <f>Statement!AA89</f>
        <v>-0.13037640275448081</v>
      </c>
      <c r="D7" s="256"/>
      <c r="F7" s="255">
        <f>IF(F6=0,
IF(G6=0,0,IF(G6&gt;0,1,-1)),
(G6-F6)/ABS(F6)
)</f>
        <v>0.17317398716855847</v>
      </c>
      <c r="G7" s="256"/>
    </row>
    <row r="8" spans="2:7" x14ac:dyDescent="0.2">
      <c r="B8" s="229" t="s">
        <v>21</v>
      </c>
      <c r="C8" s="222">
        <f>Statement!Z6</f>
        <v>73935</v>
      </c>
      <c r="D8" s="220">
        <f>Statement!AA6</f>
        <v>76928</v>
      </c>
      <c r="F8" s="222">
        <f>Statement!W6</f>
        <v>63857</v>
      </c>
      <c r="G8" s="220">
        <f>Statement!AA6</f>
        <v>76928</v>
      </c>
    </row>
    <row r="9" spans="2:7" x14ac:dyDescent="0.2">
      <c r="B9" s="228" t="s">
        <v>368</v>
      </c>
      <c r="C9" s="255">
        <f>Statement!AA90</f>
        <v>4.0481504023804696E-2</v>
      </c>
      <c r="D9" s="256"/>
      <c r="F9" s="255">
        <f>IF(F8=0,
IF(G8=0,0,IF(G8&gt;0,1,-1)),
(G8-F8)/ABS(F8)
)</f>
        <v>0.20469173309112548</v>
      </c>
      <c r="G9" s="256"/>
    </row>
    <row r="10" spans="2:7" x14ac:dyDescent="0.2">
      <c r="B10" s="229" t="s">
        <v>22</v>
      </c>
      <c r="C10" s="222">
        <f>Statement!Z7</f>
        <v>407172</v>
      </c>
      <c r="D10" s="220">
        <f>Statement!AA7</f>
        <v>341454</v>
      </c>
      <c r="F10" s="222">
        <f>Statement!W7</f>
        <v>292767</v>
      </c>
      <c r="G10" s="220">
        <f>Statement!AA7</f>
        <v>341454</v>
      </c>
    </row>
    <row r="11" spans="2:7" x14ac:dyDescent="0.2">
      <c r="B11" s="228" t="s">
        <v>368</v>
      </c>
      <c r="C11" s="255">
        <f>Statement!AA91</f>
        <v>-0.1614010786596328</v>
      </c>
      <c r="D11" s="256"/>
      <c r="F11" s="255">
        <f>IF(F10=0,
IF(G10=0,0,IF(G10&gt;0,1,-1)),
(G10-F10)/ABS(F10)
)</f>
        <v>0.16629948047423376</v>
      </c>
      <c r="G11" s="256"/>
    </row>
    <row r="12" spans="2:7" x14ac:dyDescent="0.2">
      <c r="B12" s="229" t="s">
        <v>26</v>
      </c>
      <c r="C12" s="222">
        <f>Statement!Z11</f>
        <v>326886</v>
      </c>
      <c r="D12" s="220">
        <f>Statement!AA11</f>
        <v>313467</v>
      </c>
      <c r="F12" s="222">
        <f>Statement!W11</f>
        <v>309179</v>
      </c>
      <c r="G12" s="220">
        <f>Statement!AA11</f>
        <v>313467</v>
      </c>
    </row>
    <row r="13" spans="2:7" x14ac:dyDescent="0.2">
      <c r="B13" s="228" t="s">
        <v>368</v>
      </c>
      <c r="C13" s="255">
        <f>Statement!AA95</f>
        <v>-4.1051008608505718E-2</v>
      </c>
      <c r="D13" s="256"/>
      <c r="F13" s="255">
        <f>IF(F12=0,
IF(G12=0,0,IF(G12&gt;0,1,-1)),
(G12-F12)/ABS(F12)
)</f>
        <v>1.3868988514743887E-2</v>
      </c>
      <c r="G13" s="256"/>
    </row>
    <row r="14" spans="2:7" x14ac:dyDescent="0.2">
      <c r="B14" s="229" t="s">
        <v>369</v>
      </c>
      <c r="C14" s="222">
        <f>Statement!Z12</f>
        <v>80286</v>
      </c>
      <c r="D14" s="220">
        <f>Statement!AA12</f>
        <v>27987</v>
      </c>
      <c r="F14" s="222">
        <f>Statement!W12</f>
        <v>-16412</v>
      </c>
      <c r="G14" s="220">
        <f>Statement!AA12</f>
        <v>27987</v>
      </c>
    </row>
    <row r="15" spans="2:7" x14ac:dyDescent="0.2">
      <c r="B15" s="228" t="s">
        <v>368</v>
      </c>
      <c r="C15" s="255">
        <f>Statement!AA96</f>
        <v>-0.65140871384799337</v>
      </c>
      <c r="D15" s="256"/>
      <c r="F15" s="255">
        <f>IF(F14=0,
IF(G14=0,0,IF(G14&gt;0,1,-1)),
(G14-F14)/ABS(F14)
)</f>
        <v>2.7052766268583963</v>
      </c>
      <c r="G15" s="256"/>
    </row>
    <row r="16" spans="2:7" x14ac:dyDescent="0.2">
      <c r="B16" s="229" t="s">
        <v>32</v>
      </c>
      <c r="C16" s="222">
        <f>Statement!Z18</f>
        <v>104462</v>
      </c>
      <c r="D16" s="220">
        <f>Statement!AA18</f>
        <v>22525</v>
      </c>
      <c r="F16" s="222">
        <f>Statement!W18</f>
        <v>-22555</v>
      </c>
      <c r="G16" s="220">
        <f>Statement!AA18</f>
        <v>22525</v>
      </c>
    </row>
    <row r="17" spans="2:7" x14ac:dyDescent="0.2">
      <c r="B17" s="228" t="s">
        <v>368</v>
      </c>
      <c r="C17" s="255">
        <f>Statement!AA98</f>
        <v>-0.78437135034749483</v>
      </c>
      <c r="D17" s="256"/>
      <c r="F17" s="255">
        <f>IF(F16=0,
IF(G16=0,0,IF(G16&gt;0,1,-1)),
(G16-F16)/ABS(F16)
)</f>
        <v>1.9986699179782754</v>
      </c>
      <c r="G17" s="256"/>
    </row>
    <row r="18" spans="2:7" x14ac:dyDescent="0.2">
      <c r="B18" s="229" t="s">
        <v>370</v>
      </c>
      <c r="C18" s="222">
        <f>Statement!Z22</f>
        <v>545284</v>
      </c>
      <c r="D18" s="220">
        <f>Statement!AA22</f>
        <v>527818</v>
      </c>
      <c r="F18" s="222">
        <f>Statement!W22</f>
        <v>548451</v>
      </c>
      <c r="G18" s="220">
        <f>Statement!AA22</f>
        <v>527818</v>
      </c>
    </row>
    <row r="19" spans="2:7" x14ac:dyDescent="0.2">
      <c r="B19" s="228" t="s">
        <v>368</v>
      </c>
      <c r="C19" s="255">
        <f>IF(C18=0,
IF(D18=0,0,IF(D18&gt;0,1,-1)),
(D18-C18)/ABS(C18)
)</f>
        <v>-3.2031015030699599E-2</v>
      </c>
      <c r="D19" s="256"/>
      <c r="F19" s="255">
        <f>IF(F18=0,
IF(G18=0,0,IF(G18&gt;0,1,-1)),
(G18-F18)/ABS(F18)
)</f>
        <v>-3.7620498458385526E-2</v>
      </c>
      <c r="G19" s="256"/>
    </row>
    <row r="20" spans="2:7" x14ac:dyDescent="0.2">
      <c r="B20" s="229" t="s">
        <v>39</v>
      </c>
      <c r="C20" s="223">
        <f>Statement!Z26</f>
        <v>0.19</v>
      </c>
      <c r="D20" s="224">
        <f>Statement!AA26</f>
        <v>0.04</v>
      </c>
      <c r="F20" s="223">
        <f>Statement!W26</f>
        <v>-0.04</v>
      </c>
      <c r="G20" s="224">
        <f>Statement!AA26</f>
        <v>0.04</v>
      </c>
    </row>
    <row r="21" spans="2:7" x14ac:dyDescent="0.2">
      <c r="B21" s="228" t="s">
        <v>368</v>
      </c>
      <c r="C21" s="255">
        <f>IF(C20=0,
IF(D20=0,0,IF(D20&gt;0,1,-1)),
(D20-C20)/ABS(C20)
)</f>
        <v>-0.78947368421052633</v>
      </c>
      <c r="D21" s="256"/>
      <c r="F21" s="255">
        <f>IF(F20=0,
IF(G20=0,0,IF(G20&gt;0,1,-1)),
(G20-F20)/ABS(F20)
)</f>
        <v>2</v>
      </c>
      <c r="G21" s="256"/>
    </row>
    <row r="23" spans="2:7" x14ac:dyDescent="0.2">
      <c r="B23" s="8" t="s">
        <v>371</v>
      </c>
      <c r="C23" s="10" t="str">
        <f>C5</f>
        <v>Q4 2026</v>
      </c>
      <c r="D23" s="225" t="str">
        <f>D5</f>
        <v>Q1 2027</v>
      </c>
      <c r="F23" s="226" t="str">
        <f>F5</f>
        <v>Q1 2026</v>
      </c>
      <c r="G23" s="225" t="str">
        <f>G5</f>
        <v>Q1 2027</v>
      </c>
    </row>
    <row r="24" spans="2:7" x14ac:dyDescent="0.2">
      <c r="B24" s="20" t="s">
        <v>113</v>
      </c>
      <c r="C24" s="222">
        <f>Statement!Z184</f>
        <v>215904</v>
      </c>
      <c r="D24" s="220">
        <f>Statement!AA184</f>
        <v>149309</v>
      </c>
      <c r="F24" s="222">
        <f>Statement!W184</f>
        <v>128286</v>
      </c>
      <c r="G24" s="220">
        <f>Statement!AA184</f>
        <v>149309</v>
      </c>
    </row>
    <row r="25" spans="2:7" x14ac:dyDescent="0.2">
      <c r="B25" s="228" t="s">
        <v>368</v>
      </c>
      <c r="C25" s="255">
        <f>IF(C24=0,
IF(D24=0,0,IF(D24&gt;0,1,-1)),
(D24-C24)/ABS(C24)
)</f>
        <v>-0.30844727286201273</v>
      </c>
      <c r="D25" s="256"/>
      <c r="F25" s="255">
        <f>IF(F24=0,
IF(G24=0,0,IF(G24&gt;0,1,-1)),
(G24-F24)/ABS(F24)
)</f>
        <v>0.16387602700216702</v>
      </c>
      <c r="G25" s="256"/>
    </row>
    <row r="26" spans="2:7" x14ac:dyDescent="0.2">
      <c r="B26" s="20" t="s">
        <v>114</v>
      </c>
      <c r="C26" s="222">
        <f>Statement!Z185</f>
        <v>251233</v>
      </c>
      <c r="D26" s="220">
        <f>Statement!AA185</f>
        <v>252903</v>
      </c>
      <c r="F26" s="222">
        <f>Statement!W185</f>
        <v>217303</v>
      </c>
      <c r="G26" s="220">
        <f>Statement!AA185</f>
        <v>252903</v>
      </c>
    </row>
    <row r="27" spans="2:7" x14ac:dyDescent="0.2">
      <c r="B27" s="228" t="s">
        <v>368</v>
      </c>
      <c r="C27" s="255">
        <f>IF(C26=0,
IF(D26=0,0,IF(D26&gt;0,1,-1)),
(D26-C26)/ABS(C26)
)</f>
        <v>6.6472159310281692E-3</v>
      </c>
      <c r="D27" s="256"/>
      <c r="F27" s="255">
        <f>IF(F26=0,
IF(G26=0,0,IF(G26&gt;0,1,-1)),
(G26-F26)/ABS(F26)
)</f>
        <v>0.16382654634312457</v>
      </c>
      <c r="G27" s="256"/>
    </row>
    <row r="28" spans="2:7" x14ac:dyDescent="0.2">
      <c r="B28" s="20" t="s">
        <v>115</v>
      </c>
      <c r="C28" s="222">
        <f>Statement!Z186</f>
        <v>13970</v>
      </c>
      <c r="D28" s="220">
        <f>Statement!AA186</f>
        <v>16170</v>
      </c>
      <c r="F28" s="222">
        <f>Statement!W186</f>
        <v>11035</v>
      </c>
      <c r="G28" s="220">
        <f>Statement!AA186</f>
        <v>16170</v>
      </c>
    </row>
    <row r="29" spans="2:7" x14ac:dyDescent="0.2">
      <c r="B29" s="228" t="s">
        <v>368</v>
      </c>
      <c r="C29" s="255">
        <f>IF(C28=0,
IF(D28=0,0,IF(D28&gt;0,1,-1)),
(D28-C28)/ABS(C28)
)</f>
        <v>0.15748031496062992</v>
      </c>
      <c r="D29" s="256"/>
      <c r="F29" s="255">
        <f>IF(F28=0,
IF(G28=0,0,IF(G28&gt;0,1,-1)),
(G28-F28)/ABS(F28)
)</f>
        <v>0.46533756230176709</v>
      </c>
      <c r="G29" s="256"/>
    </row>
    <row r="31" spans="2:7" x14ac:dyDescent="0.2">
      <c r="B31" s="8" t="s">
        <v>373</v>
      </c>
      <c r="C31" s="10" t="str">
        <f>C5</f>
        <v>Q4 2026</v>
      </c>
      <c r="D31" s="10" t="str">
        <f>D5</f>
        <v>Q1 2027</v>
      </c>
      <c r="F31" s="10" t="str">
        <f>F5</f>
        <v>Q1 2026</v>
      </c>
      <c r="G31" s="10" t="str">
        <f>G5</f>
        <v>Q1 2027</v>
      </c>
    </row>
    <row r="32" spans="2:7" x14ac:dyDescent="0.2">
      <c r="B32" s="20" t="s">
        <v>130</v>
      </c>
      <c r="C32" s="222">
        <f>Statement!Z210</f>
        <v>1852567</v>
      </c>
      <c r="D32" s="222">
        <f>Statement!AA210</f>
        <v>1901211</v>
      </c>
      <c r="F32" s="222">
        <f>Statement!W210</f>
        <v>1692683</v>
      </c>
      <c r="G32" s="220">
        <f>Statement!AA210</f>
        <v>1901211</v>
      </c>
    </row>
    <row r="33" spans="2:7" x14ac:dyDescent="0.2">
      <c r="B33" s="228" t="s">
        <v>368</v>
      </c>
      <c r="C33" s="255">
        <f>IF(C32=0,
IF(D32=0,0,IF(D32&gt;0,1,-1)),
(D32-C32)/ABS(C32)
)</f>
        <v>2.6257619832373135E-2</v>
      </c>
      <c r="D33" s="256"/>
      <c r="F33" s="255">
        <f>IF(F32=0,
IF(G32=0,0,IF(G32&gt;0,1,-1)),
(G32-F32)/ABS(F32)
)</f>
        <v>0.12319376989075922</v>
      </c>
      <c r="G33" s="256"/>
    </row>
    <row r="34" spans="2:7" x14ac:dyDescent="0.2">
      <c r="B34" s="20" t="s">
        <v>134</v>
      </c>
      <c r="C34" s="222">
        <f>Statement!Z214</f>
        <v>2565</v>
      </c>
      <c r="D34" s="222">
        <f>Statement!AA214</f>
        <v>2624</v>
      </c>
      <c r="F34" s="222">
        <f>Statement!W214</f>
        <v>2365</v>
      </c>
      <c r="G34" s="220">
        <f>Statement!AA214</f>
        <v>2624</v>
      </c>
    </row>
    <row r="35" spans="2:7" x14ac:dyDescent="0.2">
      <c r="B35" s="228" t="s">
        <v>368</v>
      </c>
      <c r="C35" s="255">
        <f>IF(C34=0,
IF(D34=0,0,IF(D34&gt;0,1,-1)),
(D34-C34)/ABS(C34)
)</f>
        <v>2.3001949317738791E-2</v>
      </c>
      <c r="D35" s="256"/>
      <c r="F35" s="255">
        <f>IF(F34=0,
IF(G34=0,0,IF(G34&gt;0,1,-1)),
(G34-F34)/ABS(F34)
)</f>
        <v>0.10951374207188161</v>
      </c>
      <c r="G35" s="256"/>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311</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312</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399</v>
      </c>
      <c r="C65" s="64">
        <f>Statement!H184</f>
        <v>0</v>
      </c>
      <c r="D65" s="64">
        <f>Statement!I184</f>
        <v>0</v>
      </c>
      <c r="E65" s="64">
        <f>Statement!J184</f>
        <v>0</v>
      </c>
      <c r="F65" s="64">
        <f>Statement!K184</f>
        <v>0</v>
      </c>
      <c r="G65" s="64">
        <f>Statement!L184</f>
        <v>0</v>
      </c>
      <c r="H65" s="64">
        <f>Statement!M184</f>
        <v>481427</v>
      </c>
      <c r="I65" s="64">
        <f>Statement!N184</f>
        <v>497836</v>
      </c>
      <c r="J65" s="64">
        <f>Statement!O184</f>
        <v>621392</v>
      </c>
      <c r="K65" s="64">
        <f>Statement!P184</f>
        <v>587152</v>
      </c>
      <c r="L65" s="64">
        <f>Statement!Q184</f>
        <v>606394</v>
      </c>
    </row>
    <row r="66" spans="2:12" x14ac:dyDescent="0.2">
      <c r="B66" s="20" t="s">
        <v>400</v>
      </c>
      <c r="C66" s="64">
        <f>Statement!H185</f>
        <v>0</v>
      </c>
      <c r="D66" s="64">
        <f>Statement!I185</f>
        <v>0</v>
      </c>
      <c r="E66" s="64">
        <f>Statement!J185</f>
        <v>0</v>
      </c>
      <c r="F66" s="64">
        <f>Statement!K185</f>
        <v>0</v>
      </c>
      <c r="G66" s="64">
        <f>Statement!L185</f>
        <v>0</v>
      </c>
      <c r="H66" s="64">
        <f>Statement!M185</f>
        <v>369867</v>
      </c>
      <c r="I66" s="64">
        <f>Statement!N185</f>
        <v>508823</v>
      </c>
      <c r="J66" s="64">
        <f>Statement!O185</f>
        <v>649918</v>
      </c>
      <c r="K66" s="64">
        <f>Statement!P185</f>
        <v>801947</v>
      </c>
      <c r="L66" s="64">
        <f>Statement!Q185</f>
        <v>954472</v>
      </c>
    </row>
    <row r="67" spans="2:12" x14ac:dyDescent="0.2">
      <c r="B67" s="20" t="s">
        <v>401</v>
      </c>
      <c r="C67" s="64">
        <f>Statement!H186</f>
        <v>0</v>
      </c>
      <c r="D67" s="64">
        <f>Statement!I186</f>
        <v>0</v>
      </c>
      <c r="E67" s="64">
        <f>Statement!J186</f>
        <v>0</v>
      </c>
      <c r="F67" s="64">
        <f>Statement!K186</f>
        <v>0</v>
      </c>
      <c r="G67" s="64">
        <f>Statement!L186</f>
        <v>0</v>
      </c>
      <c r="H67" s="64">
        <f>Statement!M186</f>
        <v>40958</v>
      </c>
      <c r="I67" s="64">
        <f>Statement!N186</f>
        <v>51922</v>
      </c>
      <c r="J67" s="64">
        <f>Statement!O186</f>
        <v>36762</v>
      </c>
      <c r="K67" s="64">
        <f>Statement!P186</f>
        <v>40555</v>
      </c>
      <c r="L67" s="64">
        <f>Statement!Q186</f>
        <v>49706</v>
      </c>
    </row>
    <row r="68" spans="2:12" x14ac:dyDescent="0.2">
      <c r="B68" s="20" t="s">
        <v>121</v>
      </c>
      <c r="C68" s="241">
        <f>Statement!H123</f>
        <v>0</v>
      </c>
      <c r="D68" s="241">
        <f>Statement!I123</f>
        <v>0</v>
      </c>
      <c r="E68" s="241">
        <f>Statement!J123</f>
        <v>0</v>
      </c>
      <c r="F68" s="241">
        <f>Statement!K123</f>
        <v>0</v>
      </c>
      <c r="G68" s="241">
        <f>Statement!L123</f>
        <v>0</v>
      </c>
      <c r="H68" s="241">
        <f>Statement!M123</f>
        <v>-0.20431339773367801</v>
      </c>
      <c r="I68" s="241">
        <f>Statement!N123</f>
        <v>-0.12004653397221271</v>
      </c>
      <c r="J68" s="241">
        <f>Statement!O123</f>
        <v>-3.0419750111515053E-2</v>
      </c>
      <c r="K68" s="241">
        <f>Statement!P123</f>
        <v>-2.5719740199003933E-2</v>
      </c>
      <c r="L68" s="241">
        <f>Statement!Q123</f>
        <v>8.8805359838953199E-2</v>
      </c>
    </row>
    <row r="69" spans="2:12" x14ac:dyDescent="0.2">
      <c r="B69" s="20" t="s">
        <v>123</v>
      </c>
      <c r="C69" s="241">
        <f>Statement!H125</f>
        <v>0</v>
      </c>
      <c r="D69" s="241">
        <f>Statement!I125</f>
        <v>0</v>
      </c>
      <c r="E69" s="241">
        <f>Statement!J125</f>
        <v>0</v>
      </c>
      <c r="F69" s="241">
        <f>Statement!K125</f>
        <v>0</v>
      </c>
      <c r="G69" s="241">
        <f>Statement!L125</f>
        <v>0</v>
      </c>
      <c r="H69" s="241">
        <f>Statement!M125</f>
        <v>-0.27346966596372269</v>
      </c>
      <c r="I69" s="241">
        <f>Statement!N125</f>
        <v>-0.17100259457815453</v>
      </c>
      <c r="J69" s="241">
        <f>Statement!O125</f>
        <v>-4.4582300405631825E-2</v>
      </c>
      <c r="K69" s="241">
        <f>Statement!P125</f>
        <v>-3.9926057639067224E-2</v>
      </c>
      <c r="L69" s="241">
        <f>Statement!Q125</f>
        <v>0.13556696550972422</v>
      </c>
    </row>
    <row r="70" spans="2:12" x14ac:dyDescent="0.2">
      <c r="B70" s="20" t="s">
        <v>124</v>
      </c>
      <c r="C70" s="241">
        <f>Statement!H140</f>
        <v>0</v>
      </c>
      <c r="D70" s="241">
        <f>Statement!I140</f>
        <v>0</v>
      </c>
      <c r="E70" s="241">
        <f>Statement!J140</f>
        <v>0</v>
      </c>
      <c r="F70" s="241">
        <f>Statement!K140</f>
        <v>0</v>
      </c>
      <c r="G70" s="241">
        <f>Statement!L140</f>
        <v>0</v>
      </c>
      <c r="H70" s="241">
        <f>Statement!M140</f>
        <v>-13.446770816556612</v>
      </c>
      <c r="I70" s="241">
        <f>Statement!N140</f>
        <v>-2.1723832513114152</v>
      </c>
      <c r="J70" s="241">
        <f>Statement!O140</f>
        <v>-1.2085904425090432</v>
      </c>
      <c r="K70" s="241">
        <f>Statement!P140</f>
        <v>-1.3311034872391121</v>
      </c>
      <c r="L70" s="241">
        <f>Statement!Q140</f>
        <v>0.14438669993971168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399</v>
      </c>
      <c r="C63" s="64">
        <f>Statement!T184</f>
        <v>112251</v>
      </c>
      <c r="D63" s="64">
        <f>Statement!U184</f>
        <v>137174</v>
      </c>
      <c r="E63" s="64">
        <f>Statement!V184</f>
        <v>197609</v>
      </c>
      <c r="F63" s="64">
        <f>Statement!W184</f>
        <v>128286</v>
      </c>
      <c r="G63" s="64">
        <f>Statement!X184</f>
        <v>112161</v>
      </c>
      <c r="H63" s="64">
        <f>Statement!Y184</f>
        <v>150043</v>
      </c>
      <c r="I63" s="64">
        <f>Statement!Z184</f>
        <v>215904</v>
      </c>
      <c r="J63" s="64">
        <f>Statement!AA184</f>
        <v>149309</v>
      </c>
    </row>
    <row r="64" spans="2:10" x14ac:dyDescent="0.2">
      <c r="B64" s="20" t="s">
        <v>400</v>
      </c>
      <c r="C64" s="64">
        <f>Statement!T185</f>
        <v>194673</v>
      </c>
      <c r="D64" s="64">
        <f>Statement!U185</f>
        <v>206922</v>
      </c>
      <c r="E64" s="64">
        <f>Statement!V185</f>
        <v>215221</v>
      </c>
      <c r="F64" s="64">
        <f>Statement!W185</f>
        <v>217303</v>
      </c>
      <c r="G64" s="64">
        <f>Statement!X185</f>
        <v>238363</v>
      </c>
      <c r="H64" s="64">
        <f>Statement!Y185</f>
        <v>247573</v>
      </c>
      <c r="I64" s="64">
        <f>Statement!Z185</f>
        <v>251233</v>
      </c>
      <c r="J64" s="64">
        <f>Statement!AA185</f>
        <v>252903</v>
      </c>
    </row>
    <row r="65" spans="2:10" x14ac:dyDescent="0.2">
      <c r="B65" s="20" t="s">
        <v>401</v>
      </c>
      <c r="C65" s="64">
        <f>Statement!T186</f>
        <v>9329</v>
      </c>
      <c r="D65" s="64">
        <f>Statement!U186</f>
        <v>10557</v>
      </c>
      <c r="E65" s="64">
        <f>Statement!V186</f>
        <v>10816</v>
      </c>
      <c r="F65" s="64">
        <f>Statement!W186</f>
        <v>11035</v>
      </c>
      <c r="G65" s="64">
        <f>Statement!X186</f>
        <v>11204</v>
      </c>
      <c r="H65" s="64">
        <f>Statement!Y186</f>
        <v>13497</v>
      </c>
      <c r="I65" s="64">
        <f>Statement!Z186</f>
        <v>13970</v>
      </c>
      <c r="J65" s="64">
        <f>Statement!AA186</f>
        <v>16170</v>
      </c>
    </row>
    <row r="66" spans="2:10" x14ac:dyDescent="0.2">
      <c r="B66" s="20" t="s">
        <v>311</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4" zoomScale="184" zoomScaleNormal="75" workbookViewId="0">
      <selection activeCell="C21" sqref="C21"/>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8" t="s">
        <v>137</v>
      </c>
      <c r="D2" s="248"/>
      <c r="E2" s="248"/>
      <c r="F2" s="248"/>
      <c r="G2" s="260"/>
      <c r="H2" s="261" t="s">
        <v>138</v>
      </c>
      <c r="I2" s="248"/>
      <c r="J2" s="248"/>
      <c r="K2" s="248"/>
      <c r="L2" s="248"/>
      <c r="O2" s="5"/>
      <c r="S2" s="248" t="s">
        <v>137</v>
      </c>
      <c r="T2" s="248"/>
      <c r="U2" s="248"/>
      <c r="V2" s="248"/>
      <c r="W2" s="248"/>
      <c r="X2" s="248"/>
      <c r="Y2" s="248"/>
      <c r="Z2" s="248"/>
      <c r="AA2" s="248" t="s">
        <v>138</v>
      </c>
      <c r="AB2" s="248"/>
      <c r="AC2" s="248"/>
      <c r="AE2" s="87" t="s">
        <v>139</v>
      </c>
    </row>
    <row r="3" spans="1:31" ht="10" customHeight="1" x14ac:dyDescent="0.2">
      <c r="O3" s="5"/>
    </row>
    <row r="4" spans="1:31" ht="16" customHeight="1" x14ac:dyDescent="0.2">
      <c r="A4" s="88"/>
      <c r="B4" s="60"/>
      <c r="C4" s="257" t="s">
        <v>140</v>
      </c>
      <c r="D4" s="257"/>
      <c r="E4" s="257"/>
      <c r="F4" s="257"/>
      <c r="G4" s="257"/>
      <c r="H4" s="257"/>
      <c r="I4" s="257"/>
      <c r="J4" s="257"/>
      <c r="K4" s="257"/>
      <c r="L4" s="257"/>
      <c r="O4" s="5"/>
      <c r="S4" s="258" t="s">
        <v>140</v>
      </c>
      <c r="T4" s="259"/>
      <c r="U4" s="259"/>
      <c r="V4" s="259"/>
      <c r="W4" s="259"/>
      <c r="X4" s="259"/>
      <c r="Y4" s="259"/>
      <c r="Z4" s="259"/>
      <c r="AA4" s="259"/>
      <c r="AB4" s="259"/>
      <c r="AC4" s="259"/>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Statement!B184</f>
        <v>Licenses</v>
      </c>
      <c r="C6" s="90">
        <f>Statement!M184</f>
        <v>481427</v>
      </c>
      <c r="D6" s="90">
        <f>Statement!N184</f>
        <v>497836</v>
      </c>
      <c r="E6" s="90">
        <f>Statement!O184</f>
        <v>621392</v>
      </c>
      <c r="F6" s="90">
        <f>Statement!P184</f>
        <v>587152</v>
      </c>
      <c r="G6" s="91">
        <f>Statement!Q184</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Statement!T184</f>
        <v>112251</v>
      </c>
      <c r="T6" s="90">
        <f>Statement!U184</f>
        <v>137174</v>
      </c>
      <c r="U6" s="90">
        <f>Statement!V184</f>
        <v>197609</v>
      </c>
      <c r="V6" s="90">
        <f>Statement!W184</f>
        <v>128286</v>
      </c>
      <c r="W6" s="90">
        <f>Statement!X184</f>
        <v>112161</v>
      </c>
      <c r="X6" s="90">
        <f>Statement!Y184</f>
        <v>150043</v>
      </c>
      <c r="Y6" s="90">
        <f>Statement!Z184</f>
        <v>215904</v>
      </c>
      <c r="Z6" s="91">
        <f>Statement!AA184</f>
        <v>149309</v>
      </c>
      <c r="AA6" s="64">
        <f>AA9*AA29</f>
        <v>159114.40000000002</v>
      </c>
      <c r="AB6" s="64"/>
      <c r="AC6" s="64"/>
      <c r="AE6" s="64">
        <f>SUM(X6:AA6)</f>
        <v>674370.4</v>
      </c>
    </row>
    <row r="7" spans="1:31" x14ac:dyDescent="0.2">
      <c r="B7" s="1" t="str">
        <f>Statement!B185</f>
        <v>Subscription services</v>
      </c>
      <c r="C7" s="90">
        <f>Statement!M185</f>
        <v>369867</v>
      </c>
      <c r="D7" s="90">
        <f>Statement!N185</f>
        <v>508823</v>
      </c>
      <c r="E7" s="90">
        <f>Statement!O185</f>
        <v>649918</v>
      </c>
      <c r="F7" s="90">
        <f>Statement!P185</f>
        <v>801947</v>
      </c>
      <c r="G7" s="91">
        <f>Statement!Q185</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Statement!T185</f>
        <v>194673</v>
      </c>
      <c r="T7" s="90">
        <f>Statement!U185</f>
        <v>206922</v>
      </c>
      <c r="U7" s="90">
        <f>Statement!V185</f>
        <v>215221</v>
      </c>
      <c r="V7" s="90">
        <f>Statement!W185</f>
        <v>217303</v>
      </c>
      <c r="W7" s="90">
        <f>Statement!X185</f>
        <v>238363</v>
      </c>
      <c r="X7" s="90">
        <f>Statement!Y185</f>
        <v>247573</v>
      </c>
      <c r="Y7" s="90">
        <f>Statement!Z185</f>
        <v>251233</v>
      </c>
      <c r="Z7" s="91">
        <f>Statement!AA185</f>
        <v>252903</v>
      </c>
      <c r="AA7" s="64">
        <f>AA9-AA6-AA8</f>
        <v>226738.02</v>
      </c>
      <c r="AB7" s="64"/>
      <c r="AC7" s="64"/>
      <c r="AE7" s="64">
        <f t="shared" ref="AE7:AE8" si="4">SUM(X7:AA7)</f>
        <v>978447.02</v>
      </c>
    </row>
    <row r="8" spans="1:31" x14ac:dyDescent="0.2">
      <c r="B8" s="1" t="str">
        <f>Statement!B186</f>
        <v>Professional services</v>
      </c>
      <c r="C8" s="90">
        <f>Statement!M186</f>
        <v>40958</v>
      </c>
      <c r="D8" s="90">
        <f>Statement!N186</f>
        <v>51922</v>
      </c>
      <c r="E8" s="90">
        <f>Statement!O186</f>
        <v>36762</v>
      </c>
      <c r="F8" s="90">
        <f>Statement!P186</f>
        <v>40555</v>
      </c>
      <c r="G8" s="91">
        <f>Statement!Q186</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Statement!T186</f>
        <v>9329</v>
      </c>
      <c r="T8" s="90">
        <f>Statement!U186</f>
        <v>10557</v>
      </c>
      <c r="U8" s="90">
        <f>Statement!V186</f>
        <v>10816</v>
      </c>
      <c r="V8" s="90">
        <f>Statement!W186</f>
        <v>11035</v>
      </c>
      <c r="W8" s="90">
        <f>Statement!X186</f>
        <v>11204</v>
      </c>
      <c r="X8" s="90">
        <f>Statement!Y186</f>
        <v>13497</v>
      </c>
      <c r="Y8" s="90">
        <f>Statement!Z186</f>
        <v>13970</v>
      </c>
      <c r="Z8" s="91">
        <f>Statement!AA186</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7" t="s">
        <v>146</v>
      </c>
      <c r="D11" s="257"/>
      <c r="E11" s="257"/>
      <c r="F11" s="257"/>
      <c r="G11" s="257"/>
      <c r="H11" s="257"/>
      <c r="I11" s="257"/>
      <c r="J11" s="257"/>
      <c r="K11" s="257"/>
      <c r="L11" s="257"/>
      <c r="O11" s="5"/>
      <c r="Q11" s="93"/>
      <c r="S11" s="258" t="s">
        <v>146</v>
      </c>
      <c r="T11" s="259"/>
      <c r="U11" s="259"/>
      <c r="V11" s="259"/>
      <c r="W11" s="259"/>
      <c r="X11" s="259"/>
      <c r="Y11" s="259"/>
      <c r="Z11" s="259"/>
      <c r="AA11" s="259"/>
      <c r="AB11" s="259"/>
      <c r="AC11" s="259"/>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7" t="s">
        <v>148</v>
      </c>
      <c r="D19" s="257"/>
      <c r="E19" s="257"/>
      <c r="F19" s="257"/>
      <c r="G19" s="257"/>
      <c r="H19" s="257"/>
      <c r="I19" s="257"/>
      <c r="J19" s="257"/>
      <c r="K19" s="257"/>
      <c r="L19" s="257"/>
      <c r="O19" s="5"/>
      <c r="Q19" s="93"/>
      <c r="S19" s="258" t="s">
        <v>148</v>
      </c>
      <c r="T19" s="259"/>
      <c r="U19" s="259"/>
      <c r="V19" s="259"/>
      <c r="W19" s="259"/>
      <c r="X19" s="259"/>
      <c r="Y19" s="259"/>
      <c r="Z19" s="259"/>
      <c r="AA19" s="259"/>
      <c r="AB19" s="259"/>
      <c r="AC19" s="259"/>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Statement!M210</f>
        <v>925276</v>
      </c>
      <c r="D21" s="100">
        <f>Statement!N210</f>
        <v>1203845</v>
      </c>
      <c r="E21" s="100">
        <f>Statement!O210</f>
        <v>1463698</v>
      </c>
      <c r="F21" s="100">
        <f>Statement!P210</f>
        <v>1666136</v>
      </c>
      <c r="G21" s="101">
        <f>Statement!Q210</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Statement!T210</f>
        <v>1550605</v>
      </c>
      <c r="T21" s="100">
        <f>Statement!U210</f>
        <v>1606561</v>
      </c>
      <c r="U21" s="100">
        <f>Statement!V210</f>
        <v>1666136</v>
      </c>
      <c r="V21" s="100">
        <f>Statement!W210</f>
        <v>1692683</v>
      </c>
      <c r="W21" s="100">
        <f>Statement!X210</f>
        <v>1723401</v>
      </c>
      <c r="X21" s="100">
        <f>Statement!Y210</f>
        <v>1782384</v>
      </c>
      <c r="Y21" s="100">
        <f>Statement!Z210</f>
        <v>1852567</v>
      </c>
      <c r="Z21" s="102">
        <f>Statement!AA210</f>
        <v>1901211</v>
      </c>
      <c r="AA21" s="111">
        <v>1931000</v>
      </c>
      <c r="AB21" s="111"/>
      <c r="AC21" s="111"/>
      <c r="AE21" s="24">
        <f>AA21</f>
        <v>1931000</v>
      </c>
    </row>
    <row r="22" spans="2:31" x14ac:dyDescent="0.2">
      <c r="B22" s="1" t="s">
        <v>132</v>
      </c>
      <c r="C22" s="116">
        <f>Statement!M212</f>
        <v>1.45</v>
      </c>
      <c r="D22" s="116">
        <f>Statement!N212</f>
        <v>1.23</v>
      </c>
      <c r="E22" s="116">
        <f>Statement!O212</f>
        <v>1.19</v>
      </c>
      <c r="F22" s="116">
        <f>Statement!P212</f>
        <v>1.1000000000000001</v>
      </c>
      <c r="G22" s="117">
        <f>Statement!Q212</f>
        <v>1.07</v>
      </c>
      <c r="H22" s="118">
        <v>1.07</v>
      </c>
      <c r="I22" s="118">
        <v>1.07</v>
      </c>
      <c r="J22" s="118">
        <v>1.06</v>
      </c>
      <c r="K22" s="118">
        <v>1.05</v>
      </c>
      <c r="L22" s="118">
        <v>1.05</v>
      </c>
      <c r="N22" s="92"/>
      <c r="O22" s="5"/>
      <c r="Q22" s="92"/>
      <c r="R22" s="1" t="s">
        <v>132</v>
      </c>
      <c r="S22" s="116">
        <f>Statement!T212</f>
        <v>1.1499999999999999</v>
      </c>
      <c r="T22" s="116">
        <f>Statement!U212</f>
        <v>1.1299999999999999</v>
      </c>
      <c r="U22" s="116">
        <f>Statement!V212</f>
        <v>1.1000000000000001</v>
      </c>
      <c r="V22" s="116">
        <f>Statement!W212</f>
        <v>1.08</v>
      </c>
      <c r="W22" s="116">
        <f>Statement!X212</f>
        <v>1.08</v>
      </c>
      <c r="X22" s="116">
        <f>Statement!Y212</f>
        <v>1.07</v>
      </c>
      <c r="Y22" s="116">
        <f>Statement!Z212</f>
        <v>1.07</v>
      </c>
      <c r="Z22" s="119">
        <f>Statement!AA212</f>
        <v>1.0900000000000001</v>
      </c>
      <c r="AA22" s="118">
        <v>1.07</v>
      </c>
      <c r="AB22" s="99"/>
      <c r="AC22" s="99"/>
      <c r="AE22" s="124">
        <f>AA22</f>
        <v>1.07</v>
      </c>
    </row>
    <row r="23" spans="2:31" x14ac:dyDescent="0.2">
      <c r="B23" s="1" t="s">
        <v>131</v>
      </c>
      <c r="C23" s="103">
        <f>Statement!M211</f>
        <v>344793</v>
      </c>
      <c r="D23" s="103">
        <f>Statement!N211</f>
        <v>278569</v>
      </c>
      <c r="E23" s="103">
        <f>Statement!O211</f>
        <v>259853</v>
      </c>
      <c r="F23" s="103">
        <f>Statement!P211</f>
        <v>202438</v>
      </c>
      <c r="G23" s="104">
        <f>Statement!Q211</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Statement!T211</f>
        <v>43000</v>
      </c>
      <c r="T23" s="103">
        <f>Statement!U211</f>
        <v>56000</v>
      </c>
      <c r="U23" s="103">
        <f>Statement!V211</f>
        <v>60000</v>
      </c>
      <c r="V23" s="103">
        <f>Statement!W211</f>
        <v>27000</v>
      </c>
      <c r="W23" s="103">
        <f>Statement!X211</f>
        <v>31000</v>
      </c>
      <c r="X23" s="103">
        <f>Statement!Y211</f>
        <v>59000</v>
      </c>
      <c r="Y23" s="103">
        <f>Statement!Z211</f>
        <v>70000</v>
      </c>
      <c r="Z23" s="105">
        <f>Statement!AA211</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Statement!N214-Statement!M214</f>
        <v>292</v>
      </c>
      <c r="E25" s="100">
        <f>Statement!O214-Statement!N214</f>
        <v>269</v>
      </c>
      <c r="F25" s="100">
        <f>Statement!P214-Statement!O214</f>
        <v>238</v>
      </c>
      <c r="G25" s="101">
        <f>Statement!Q214-Statement!P214</f>
        <v>273</v>
      </c>
      <c r="H25" s="111">
        <v>250</v>
      </c>
      <c r="I25" s="111">
        <v>250</v>
      </c>
      <c r="J25" s="111">
        <v>250</v>
      </c>
      <c r="K25" s="111">
        <v>250</v>
      </c>
      <c r="L25" s="111">
        <v>250</v>
      </c>
      <c r="N25" s="92"/>
      <c r="O25" s="5"/>
      <c r="R25" s="1" t="s">
        <v>155</v>
      </c>
      <c r="S25" s="47"/>
      <c r="T25" s="120">
        <f>Statement!U214-Statement!T214</f>
        <v>72</v>
      </c>
      <c r="U25" s="120">
        <f>Statement!V214-Statement!U214</f>
        <v>57</v>
      </c>
      <c r="V25" s="120">
        <f>Statement!W214-Statement!V214</f>
        <v>73</v>
      </c>
      <c r="W25" s="120">
        <f>Statement!X214-Statement!W214</f>
        <v>67</v>
      </c>
      <c r="X25" s="120">
        <f>Statement!Y214-Statement!X214</f>
        <v>74</v>
      </c>
      <c r="Y25" s="120">
        <f>Statement!Z214-Statement!Y214</f>
        <v>59</v>
      </c>
      <c r="Z25" s="121">
        <f>Statement!AA214-Statement!Z214</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7" t="s">
        <v>150</v>
      </c>
      <c r="D32" s="257"/>
      <c r="E32" s="257"/>
      <c r="F32" s="257"/>
      <c r="G32" s="257"/>
      <c r="H32" s="257"/>
      <c r="I32" s="257"/>
      <c r="J32" s="257"/>
      <c r="K32" s="257"/>
      <c r="L32" s="257"/>
      <c r="O32" s="5"/>
      <c r="S32" s="258" t="s">
        <v>150</v>
      </c>
      <c r="T32" s="259"/>
      <c r="U32" s="259"/>
      <c r="V32" s="259"/>
      <c r="W32" s="259"/>
      <c r="X32" s="259"/>
      <c r="Y32" s="259"/>
      <c r="Z32" s="259"/>
      <c r="AA32" s="259"/>
      <c r="AB32" s="259"/>
      <c r="AC32" s="259"/>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8" t="s">
        <v>137</v>
      </c>
      <c r="D2" s="248"/>
      <c r="E2" s="248"/>
      <c r="F2" s="248"/>
      <c r="G2" s="260"/>
      <c r="H2" s="261" t="s">
        <v>138</v>
      </c>
      <c r="I2" s="248"/>
      <c r="J2" s="248"/>
      <c r="K2" s="248"/>
      <c r="L2" s="248"/>
      <c r="P2" s="248" t="s">
        <v>137</v>
      </c>
      <c r="Q2" s="248"/>
      <c r="R2" s="248"/>
      <c r="S2" s="248"/>
      <c r="T2" s="248"/>
      <c r="U2" s="248"/>
      <c r="V2" s="248"/>
      <c r="W2" s="248"/>
      <c r="X2" s="248" t="s">
        <v>138</v>
      </c>
      <c r="Y2" s="248"/>
      <c r="Z2" s="248"/>
      <c r="AB2" s="87" t="s">
        <v>139</v>
      </c>
    </row>
    <row r="3" spans="1:28" ht="10" customHeight="1" x14ac:dyDescent="0.2"/>
    <row r="4" spans="1:28" ht="16" customHeight="1" x14ac:dyDescent="0.2">
      <c r="A4" s="88"/>
      <c r="B4" s="60"/>
      <c r="C4" s="257" t="s">
        <v>140</v>
      </c>
      <c r="D4" s="257"/>
      <c r="E4" s="257"/>
      <c r="F4" s="257"/>
      <c r="G4" s="257"/>
      <c r="H4" s="257"/>
      <c r="I4" s="257"/>
      <c r="J4" s="257"/>
      <c r="K4" s="257"/>
      <c r="L4" s="257"/>
      <c r="P4" s="259" t="s">
        <v>140</v>
      </c>
      <c r="Q4" s="259"/>
      <c r="R4" s="259"/>
      <c r="S4" s="259"/>
      <c r="T4" s="259"/>
      <c r="U4" s="259"/>
      <c r="V4" s="259"/>
      <c r="W4" s="259"/>
      <c r="X4" s="259"/>
      <c r="Y4" s="259"/>
      <c r="Z4" s="259"/>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7" t="s">
        <v>166</v>
      </c>
      <c r="D9" s="257"/>
      <c r="E9" s="257"/>
      <c r="F9" s="257"/>
      <c r="G9" s="257"/>
      <c r="H9" s="257"/>
      <c r="I9" s="257"/>
      <c r="J9" s="257"/>
      <c r="K9" s="257"/>
      <c r="L9" s="257"/>
      <c r="N9" s="93"/>
      <c r="P9" s="259" t="s">
        <v>167</v>
      </c>
      <c r="Q9" s="259"/>
      <c r="R9" s="259"/>
      <c r="S9" s="259"/>
      <c r="T9" s="259"/>
      <c r="U9" s="259"/>
      <c r="V9" s="259"/>
      <c r="W9" s="259"/>
      <c r="X9" s="259"/>
      <c r="Y9" s="259"/>
      <c r="Z9" s="259"/>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Statement!B188</f>
        <v>Licenses COGS</v>
      </c>
      <c r="C11" s="128">
        <f>Statement!M188</f>
        <v>11888</v>
      </c>
      <c r="D11" s="128">
        <f>Statement!N188</f>
        <v>10421</v>
      </c>
      <c r="E11" s="128">
        <f>Statement!O188</f>
        <v>10469</v>
      </c>
      <c r="F11" s="128">
        <f>Statement!P188</f>
        <v>8565</v>
      </c>
      <c r="G11" s="129">
        <f>Statement!Q188</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Statement!T188</f>
        <v>2393</v>
      </c>
      <c r="Q11" s="128">
        <f>Statement!U188</f>
        <v>2340</v>
      </c>
      <c r="R11" s="128">
        <f>Statement!V188</f>
        <v>1231</v>
      </c>
      <c r="S11" s="128">
        <f>Statement!W188</f>
        <v>1268</v>
      </c>
      <c r="T11" s="128">
        <f>Statement!X188</f>
        <v>1200</v>
      </c>
      <c r="U11" s="128">
        <f>Statement!Y188</f>
        <v>1311</v>
      </c>
      <c r="V11" s="128">
        <f>Statement!Z188</f>
        <v>1555</v>
      </c>
      <c r="W11" s="129">
        <f>Statement!AA188</f>
        <v>1664</v>
      </c>
      <c r="X11" s="25">
        <f>X23*X$6</f>
        <v>1193.3579999999999</v>
      </c>
      <c r="Y11" s="25"/>
      <c r="Z11" s="25"/>
      <c r="AB11" s="24">
        <f>SUM(U11:X11)</f>
        <v>5723.3580000000002</v>
      </c>
    </row>
    <row r="12" spans="1:28" x14ac:dyDescent="0.2">
      <c r="B12" s="39" t="str">
        <f>Statement!B189</f>
        <v>Subscription services COGS</v>
      </c>
      <c r="C12" s="128">
        <f>Statement!M189</f>
        <v>60565</v>
      </c>
      <c r="D12" s="128">
        <f>Statement!N189</f>
        <v>87366</v>
      </c>
      <c r="E12" s="128">
        <f>Statement!O189</f>
        <v>111922</v>
      </c>
      <c r="F12" s="128">
        <f>Statement!P189</f>
        <v>167630</v>
      </c>
      <c r="G12" s="129">
        <f>Statement!Q189</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Statement!T189</f>
        <v>43529</v>
      </c>
      <c r="Q12" s="128">
        <f>Statement!U189</f>
        <v>43487</v>
      </c>
      <c r="R12" s="128">
        <f>Statement!V189</f>
        <v>43860</v>
      </c>
      <c r="S12" s="128">
        <f>Statement!W189</f>
        <v>38468</v>
      </c>
      <c r="T12" s="128">
        <f>Statement!X189</f>
        <v>38229</v>
      </c>
      <c r="U12" s="128">
        <f>Statement!Y189</f>
        <v>40121</v>
      </c>
      <c r="V12" s="128">
        <f>Statement!Z189</f>
        <v>40770</v>
      </c>
      <c r="W12" s="129">
        <f>Statement!AA189</f>
        <v>43988</v>
      </c>
      <c r="X12" s="25">
        <f>X24*X$6</f>
        <v>34607.381999999998</v>
      </c>
      <c r="Y12" s="25"/>
      <c r="Z12" s="25"/>
      <c r="AB12" s="24">
        <f>SUM(U12:X12)</f>
        <v>159486.38199999998</v>
      </c>
    </row>
    <row r="13" spans="1:28" x14ac:dyDescent="0.2">
      <c r="B13" s="39" t="str">
        <f>Statement!B190</f>
        <v>Professional services COGS</v>
      </c>
      <c r="C13" s="128">
        <f>Statement!M190</f>
        <v>96415</v>
      </c>
      <c r="D13" s="128">
        <f>Statement!N190</f>
        <v>82264</v>
      </c>
      <c r="E13" s="128">
        <f>Statement!O190</f>
        <v>73533</v>
      </c>
      <c r="F13" s="128">
        <f>Statement!P190</f>
        <v>70747</v>
      </c>
      <c r="G13" s="129">
        <f>Statement!Q190</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Statement!T190</f>
        <v>17398</v>
      </c>
      <c r="Q13" s="128">
        <f>Statement!U190</f>
        <v>17936</v>
      </c>
      <c r="R13" s="128">
        <f>Statement!V190</f>
        <v>19443</v>
      </c>
      <c r="S13" s="128">
        <f>Statement!W190</f>
        <v>24121</v>
      </c>
      <c r="T13" s="128">
        <f>Statement!X190</f>
        <v>24951</v>
      </c>
      <c r="U13" s="128">
        <f>Statement!Y190</f>
        <v>27380</v>
      </c>
      <c r="V13" s="128">
        <f>Statement!Z190</f>
        <v>31610</v>
      </c>
      <c r="W13" s="129">
        <f>Statement!AA190</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7" t="s">
        <v>169</v>
      </c>
      <c r="D21" s="257"/>
      <c r="E21" s="257"/>
      <c r="F21" s="257"/>
      <c r="G21" s="257"/>
      <c r="H21" s="257"/>
      <c r="I21" s="257"/>
      <c r="J21" s="257"/>
      <c r="K21" s="257"/>
      <c r="L21" s="257"/>
      <c r="P21" s="259" t="s">
        <v>169</v>
      </c>
      <c r="Q21" s="259"/>
      <c r="R21" s="259"/>
      <c r="S21" s="259"/>
      <c r="T21" s="259"/>
      <c r="U21" s="259"/>
      <c r="V21" s="259"/>
      <c r="W21" s="259"/>
      <c r="X21" s="259"/>
      <c r="Y21" s="259"/>
      <c r="Z21" s="259"/>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140</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7" t="s">
        <v>173</v>
      </c>
      <c r="D11" s="257"/>
      <c r="E11" s="257"/>
      <c r="F11" s="257"/>
      <c r="G11" s="257"/>
      <c r="H11" s="257"/>
      <c r="I11" s="257"/>
      <c r="J11" s="257"/>
      <c r="K11" s="257"/>
      <c r="L11" s="257"/>
      <c r="N11" s="93"/>
      <c r="P11" s="262"/>
      <c r="Q11" s="262"/>
      <c r="R11" s="262"/>
      <c r="S11" s="262"/>
      <c r="T11" s="262"/>
      <c r="U11" s="262"/>
      <c r="V11" s="262"/>
      <c r="W11" s="262"/>
      <c r="X11" s="262"/>
      <c r="Y11" s="262"/>
      <c r="Z11" s="262"/>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7" t="s">
        <v>178</v>
      </c>
      <c r="D18" s="257"/>
      <c r="E18" s="257"/>
      <c r="F18" s="257"/>
      <c r="G18" s="257"/>
      <c r="H18" s="257"/>
      <c r="I18" s="257"/>
      <c r="J18" s="257"/>
      <c r="K18" s="257"/>
      <c r="L18" s="257"/>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2"/>
      <c r="C25" s="262"/>
    </row>
    <row r="26" spans="2:12" x14ac:dyDescent="0.2">
      <c r="B26" s="130"/>
      <c r="C26" s="257" t="s">
        <v>184</v>
      </c>
      <c r="D26" s="257"/>
      <c r="E26" s="257"/>
      <c r="F26" s="257"/>
      <c r="G26" s="257"/>
      <c r="H26" s="257"/>
      <c r="I26" s="257"/>
      <c r="J26" s="257"/>
      <c r="K26" s="257"/>
      <c r="L26" s="257"/>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7" t="s">
        <v>188</v>
      </c>
      <c r="D33" s="257"/>
      <c r="E33" s="257"/>
      <c r="F33" s="257"/>
      <c r="G33" s="257"/>
      <c r="H33" s="257"/>
      <c r="I33" s="257"/>
      <c r="J33" s="257"/>
      <c r="K33" s="257"/>
      <c r="L33" s="257"/>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7" t="s">
        <v>191</v>
      </c>
      <c r="D40" s="257"/>
      <c r="E40" s="257"/>
      <c r="F40" s="257"/>
      <c r="G40" s="257"/>
      <c r="H40" s="257"/>
      <c r="I40" s="257"/>
      <c r="J40" s="257"/>
      <c r="K40" s="257"/>
      <c r="L40" s="257"/>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-Statement!M60</f>
        <v>8879</v>
      </c>
      <c r="D45" s="135">
        <f>-Statement!N60</f>
        <v>23815</v>
      </c>
      <c r="E45" s="135">
        <f>-Statement!O60</f>
        <v>7342</v>
      </c>
      <c r="F45" s="135">
        <f>-Statement!P60</f>
        <v>14923</v>
      </c>
      <c r="G45" s="136">
        <f>-Statement!Q60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8" t="s">
        <v>137</v>
      </c>
      <c r="D2" s="248"/>
      <c r="E2" s="248"/>
      <c r="F2" s="248"/>
      <c r="G2" s="260"/>
      <c r="H2" s="261" t="s">
        <v>138</v>
      </c>
      <c r="I2" s="248"/>
      <c r="J2" s="248"/>
      <c r="K2" s="248"/>
      <c r="L2" s="248"/>
      <c r="S2" s="262"/>
      <c r="T2" s="262"/>
      <c r="U2" s="262"/>
      <c r="V2" s="262"/>
      <c r="W2" s="262"/>
      <c r="X2" s="262"/>
      <c r="Y2" s="262"/>
      <c r="Z2" s="262"/>
      <c r="AA2" s="262"/>
      <c r="AB2" s="262"/>
      <c r="AC2" s="262"/>
      <c r="AE2" s="130"/>
    </row>
    <row r="3" spans="1:31" ht="10" customHeight="1" x14ac:dyDescent="0.2"/>
    <row r="4" spans="1:31" ht="16" customHeight="1" x14ac:dyDescent="0.2">
      <c r="A4" s="88"/>
      <c r="B4" s="60"/>
      <c r="C4" s="257" t="s">
        <v>19</v>
      </c>
      <c r="D4" s="257"/>
      <c r="E4" s="257"/>
      <c r="F4" s="257"/>
      <c r="G4" s="257"/>
      <c r="H4" s="257"/>
      <c r="I4" s="257"/>
      <c r="J4" s="257"/>
      <c r="K4" s="257"/>
      <c r="L4" s="257"/>
      <c r="S4" s="262"/>
      <c r="T4" s="262"/>
      <c r="U4" s="262"/>
      <c r="V4" s="262"/>
      <c r="W4" s="262"/>
      <c r="X4" s="262"/>
      <c r="Y4" s="262"/>
      <c r="Z4" s="262"/>
      <c r="AA4" s="262"/>
      <c r="AB4" s="262"/>
      <c r="AC4" s="262"/>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7" t="s">
        <v>199</v>
      </c>
      <c r="D13" s="257"/>
      <c r="E13" s="257"/>
      <c r="F13" s="257"/>
      <c r="G13" s="257"/>
      <c r="H13" s="257"/>
      <c r="I13" s="257"/>
      <c r="J13" s="257"/>
      <c r="K13" s="257"/>
      <c r="L13" s="25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205</v>
      </c>
    </row>
    <row r="18" spans="2:14" x14ac:dyDescent="0.2">
      <c r="C18" s="257" t="s">
        <v>200</v>
      </c>
      <c r="D18" s="257"/>
      <c r="E18" s="257"/>
      <c r="F18" s="257"/>
      <c r="G18" s="257"/>
      <c r="H18" s="257"/>
      <c r="I18" s="257"/>
      <c r="J18" s="257"/>
      <c r="K18" s="257"/>
      <c r="L18" s="257"/>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7" t="s">
        <v>203</v>
      </c>
      <c r="D25" s="257"/>
      <c r="E25" s="257"/>
      <c r="F25" s="257"/>
      <c r="G25" s="257"/>
      <c r="H25" s="257"/>
      <c r="I25" s="257"/>
      <c r="J25" s="257"/>
      <c r="K25" s="257"/>
      <c r="L25" s="257"/>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204</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312</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7" t="s">
        <v>78</v>
      </c>
      <c r="D31" s="257"/>
      <c r="E31" s="257"/>
      <c r="F31" s="257"/>
      <c r="G31" s="257"/>
      <c r="H31" s="257"/>
      <c r="I31" s="257"/>
      <c r="J31" s="257"/>
      <c r="K31" s="257"/>
      <c r="L31" s="257"/>
    </row>
    <row r="32" spans="2:14" x14ac:dyDescent="0.2">
      <c r="B32" s="16" t="s">
        <v>391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8">
        <f>H8/H6</f>
        <v>0.84199999999999997</v>
      </c>
      <c r="I33" s="238">
        <f t="shared" ref="I33:L33" si="9">I8/I6</f>
        <v>0.84199999999999997</v>
      </c>
      <c r="J33" s="238">
        <f t="shared" si="9"/>
        <v>0.85799999999999998</v>
      </c>
      <c r="K33" s="238">
        <f t="shared" si="9"/>
        <v>0.8580000000000001</v>
      </c>
      <c r="L33" s="238">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8">
        <f>H10/H6</f>
        <v>7.1999999999999925E-2</v>
      </c>
      <c r="I34" s="238">
        <f t="shared" ref="I34:L34" si="10">I10/I6</f>
        <v>7.1999999999999911E-2</v>
      </c>
      <c r="J34" s="238">
        <f t="shared" si="10"/>
        <v>0.123</v>
      </c>
      <c r="K34" s="238">
        <f t="shared" si="10"/>
        <v>0.12800000000000003</v>
      </c>
      <c r="L34" s="238">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9" zoomScale="171" zoomScaleNormal="65" workbookViewId="0">
      <selection activeCell="A21" sqref="A21:XFD21"/>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207</v>
      </c>
    </row>
    <row r="2" spans="1:3" s="85" customFormat="1" ht="18" customHeight="1" x14ac:dyDescent="0.2">
      <c r="A2" s="4"/>
      <c r="B2" s="84"/>
    </row>
    <row r="3" spans="1:3" ht="17" customHeight="1" x14ac:dyDescent="0.2"/>
    <row r="4" spans="1:3" ht="17" customHeight="1" x14ac:dyDescent="0.2">
      <c r="B4" s="248" t="s">
        <v>208</v>
      </c>
      <c r="C4" s="248"/>
    </row>
    <row r="5" spans="1:3" ht="17" customHeight="1" x14ac:dyDescent="0.2">
      <c r="B5" s="1" t="s">
        <v>209</v>
      </c>
      <c r="C5" s="157">
        <f>Statement!AC78</f>
        <v>522355</v>
      </c>
    </row>
    <row r="6" spans="1:3" ht="17" customHeight="1" x14ac:dyDescent="0.2">
      <c r="B6" s="1" t="s">
        <v>1</v>
      </c>
      <c r="C6" s="154">
        <f ca="1">Overview!C5</f>
        <v>10.75</v>
      </c>
    </row>
    <row r="7" spans="1:3" ht="17" customHeight="1" x14ac:dyDescent="0.2">
      <c r="B7" s="1" t="s">
        <v>210</v>
      </c>
      <c r="C7" s="155">
        <f ca="1">C5*C6</f>
        <v>5615316.25</v>
      </c>
    </row>
    <row r="8" spans="1:3" ht="17" customHeight="1" x14ac:dyDescent="0.2">
      <c r="B8" s="1" t="s">
        <v>211</v>
      </c>
      <c r="C8" s="133">
        <f>Statement!AC108</f>
        <v>0</v>
      </c>
    </row>
    <row r="9" spans="1:3" ht="17" customHeight="1" x14ac:dyDescent="0.2">
      <c r="B9" s="1" t="s">
        <v>212</v>
      </c>
      <c r="C9" s="156">
        <f ca="1">Overview!F27</f>
        <v>4.5280000000000001E-2</v>
      </c>
    </row>
    <row r="10" spans="1:3" ht="17" customHeight="1" x14ac:dyDescent="0.2">
      <c r="B10" s="1" t="s">
        <v>9</v>
      </c>
      <c r="C10" s="154">
        <f ca="1">Overview!C13</f>
        <v>0.97670000000000001</v>
      </c>
    </row>
    <row r="11" spans="1:3" ht="17" customHeight="1" x14ac:dyDescent="0.2">
      <c r="B11" s="1" t="s">
        <v>213</v>
      </c>
      <c r="C11" s="156">
        <f>[1]Sheet1!$C$12</f>
        <v>4.4999999999999998E-2</v>
      </c>
    </row>
    <row r="12" spans="1:3" ht="17" customHeight="1" x14ac:dyDescent="0.2">
      <c r="B12" s="1" t="s">
        <v>74</v>
      </c>
      <c r="C12" s="156">
        <f>Overview!C26</f>
        <v>0.21</v>
      </c>
    </row>
    <row r="13" spans="1:3" ht="17" customHeight="1" x14ac:dyDescent="0.2">
      <c r="B13" s="1" t="s">
        <v>214</v>
      </c>
      <c r="C13" s="156">
        <f>Overview!C27</f>
        <v>0</v>
      </c>
    </row>
    <row r="14" spans="1:3" ht="17" customHeight="1" x14ac:dyDescent="0.2"/>
    <row r="15" spans="1:3" ht="17" customHeight="1" x14ac:dyDescent="0.2">
      <c r="B15" s="248" t="s">
        <v>215</v>
      </c>
      <c r="C15" s="248"/>
    </row>
    <row r="16" spans="1:3" ht="17" customHeight="1" x14ac:dyDescent="0.2">
      <c r="B16" s="1" t="s">
        <v>216</v>
      </c>
      <c r="C16" s="46">
        <f ca="1">C8/(C8+C7)</f>
        <v>0</v>
      </c>
    </row>
    <row r="17" spans="2:3" ht="17" customHeight="1" x14ac:dyDescent="0.2">
      <c r="B17" s="1" t="s">
        <v>217</v>
      </c>
      <c r="C17" s="46">
        <f ca="1">C7/(C8+C7)</f>
        <v>1</v>
      </c>
    </row>
    <row r="18" spans="2:3" ht="17" customHeight="1" x14ac:dyDescent="0.2">
      <c r="B18" s="1" t="s">
        <v>218</v>
      </c>
      <c r="C18" s="46">
        <f>C13*(1-C12)</f>
        <v>0</v>
      </c>
    </row>
    <row r="19" spans="2:3" ht="17" customHeight="1" x14ac:dyDescent="0.2">
      <c r="B19" s="1" t="s">
        <v>219</v>
      </c>
      <c r="C19" s="46">
        <f ca="1">C9+C10*C11</f>
        <v>8.9231499999999991E-2</v>
      </c>
    </row>
    <row r="20" spans="2:3" ht="17" customHeight="1" x14ac:dyDescent="0.2">
      <c r="B20" s="1" t="s">
        <v>207</v>
      </c>
      <c r="C20" s="46">
        <f ca="1">(C17*C19)+(C16*C18)</f>
        <v>8.9231499999999991E-2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E24" sqref="E24"/>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221</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222</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312</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223</v>
      </c>
      <c r="C8" s="147">
        <v>0</v>
      </c>
      <c r="D8" s="147">
        <v>0</v>
      </c>
      <c r="E8" s="147">
        <v>0</v>
      </c>
      <c r="F8" s="147">
        <v>0</v>
      </c>
      <c r="G8" s="152">
        <v>0</v>
      </c>
      <c r="H8" s="147">
        <v>0</v>
      </c>
      <c r="I8" s="147">
        <v>0</v>
      </c>
      <c r="J8" s="147">
        <v>0</v>
      </c>
      <c r="K8" s="147">
        <v>0</v>
      </c>
      <c r="L8" s="147">
        <f ca="1">L7*(1+C14)/(C15-C14)</f>
        <v>2933282.429595782</v>
      </c>
      <c r="N8" s="93"/>
      <c r="O8" s="16"/>
      <c r="P8" s="94"/>
      <c r="Q8" s="94"/>
      <c r="R8" s="94"/>
      <c r="S8" s="94"/>
      <c r="T8" s="94"/>
      <c r="U8" s="94"/>
      <c r="V8" s="94"/>
      <c r="W8" s="94"/>
      <c r="X8" s="96"/>
      <c r="Y8" s="96"/>
      <c r="Z8" s="96"/>
      <c r="AB8" s="96"/>
    </row>
    <row r="9" spans="1:28" x14ac:dyDescent="0.2">
      <c r="B9" s="1" t="s">
        <v>224</v>
      </c>
      <c r="C9" s="158"/>
      <c r="D9" s="158"/>
      <c r="E9" s="158"/>
      <c r="F9" s="158"/>
      <c r="G9" s="159"/>
      <c r="H9" s="160">
        <v>1</v>
      </c>
      <c r="I9" s="160">
        <v>2</v>
      </c>
      <c r="J9" s="160">
        <v>3</v>
      </c>
      <c r="K9" s="160">
        <v>4</v>
      </c>
      <c r="L9" s="160">
        <v>5</v>
      </c>
      <c r="N9" s="93"/>
    </row>
    <row r="10" spans="1:28" x14ac:dyDescent="0.2">
      <c r="B10" s="1" t="s">
        <v>374</v>
      </c>
      <c r="C10" s="158"/>
      <c r="D10" s="158"/>
      <c r="E10" s="158"/>
      <c r="F10" s="158"/>
      <c r="G10" s="159"/>
      <c r="H10" s="147">
        <f ca="1">H7/(1+$C$15)^H9</f>
        <v>3306.4517883441686</v>
      </c>
      <c r="I10" s="147">
        <f t="shared" ref="I10:L10" ca="1" si="0">I7/(1+$C$15)^I9</f>
        <v>-3550.2162736436335</v>
      </c>
      <c r="J10" s="147">
        <f t="shared" ca="1" si="0"/>
        <v>59726.38133163139</v>
      </c>
      <c r="K10" s="147">
        <f t="shared" ca="1" si="0"/>
        <v>77437.286126102757</v>
      </c>
      <c r="L10" s="147">
        <f t="shared" ca="1" si="0"/>
        <v>129854.34570260318</v>
      </c>
      <c r="N10" s="93"/>
    </row>
    <row r="11" spans="1:28" x14ac:dyDescent="0.2">
      <c r="B11" s="1" t="s">
        <v>225</v>
      </c>
      <c r="C11" s="158"/>
      <c r="D11" s="158"/>
      <c r="E11" s="158"/>
      <c r="F11" s="158"/>
      <c r="G11" s="159"/>
      <c r="H11" s="158"/>
      <c r="I11" s="158"/>
      <c r="J11" s="158"/>
      <c r="K11" s="158"/>
      <c r="L11" s="147">
        <f ca="1">L8/(1+C15)^L9</f>
        <v>1913167.1654760514</v>
      </c>
    </row>
    <row r="13" spans="1:28" x14ac:dyDescent="0.2">
      <c r="B13" s="248" t="s">
        <v>226</v>
      </c>
      <c r="C13" s="248"/>
    </row>
    <row r="14" spans="1:28" x14ac:dyDescent="0.2">
      <c r="B14" s="1" t="s">
        <v>227</v>
      </c>
      <c r="C14" s="161">
        <v>0.02</v>
      </c>
    </row>
    <row r="15" spans="1:28" x14ac:dyDescent="0.2">
      <c r="B15" s="1" t="s">
        <v>207</v>
      </c>
      <c r="C15" s="156">
        <f ca="1">IF(Overview!C28&gt;0,Overview!C28,WACC!C20)</f>
        <v>8.9231499999999991E-2</v>
      </c>
    </row>
    <row r="18" spans="2:3" x14ac:dyDescent="0.2">
      <c r="B18" s="248" t="s">
        <v>228</v>
      </c>
      <c r="C18" s="248"/>
    </row>
    <row r="19" spans="2:3" x14ac:dyDescent="0.2">
      <c r="B19" s="1" t="s">
        <v>229</v>
      </c>
      <c r="C19" s="64">
        <f ca="1">SUM(H10:L10)</f>
        <v>266774.24867503787</v>
      </c>
    </row>
    <row r="20" spans="2:3" x14ac:dyDescent="0.2">
      <c r="B20" s="1" t="s">
        <v>225</v>
      </c>
      <c r="C20" s="64">
        <f ca="1">L11</f>
        <v>1913167.1654760514</v>
      </c>
    </row>
    <row r="21" spans="2:3" x14ac:dyDescent="0.2">
      <c r="B21" s="16" t="s">
        <v>230</v>
      </c>
      <c r="C21" s="96">
        <f ca="1">C19+C20</f>
        <v>2179941.4141510893</v>
      </c>
    </row>
    <row r="22" spans="2:3" x14ac:dyDescent="0.2">
      <c r="B22" s="1" t="s">
        <v>231</v>
      </c>
      <c r="C22" s="90">
        <f>Statement!AC107</f>
        <v>1415746</v>
      </c>
    </row>
    <row r="23" spans="2:3" x14ac:dyDescent="0.2">
      <c r="B23" s="1" t="s">
        <v>232</v>
      </c>
      <c r="C23" s="90">
        <f>Statement!AC108</f>
        <v>0</v>
      </c>
    </row>
    <row r="24" spans="2:3" x14ac:dyDescent="0.2">
      <c r="B24" s="16" t="s">
        <v>233</v>
      </c>
      <c r="C24" s="96">
        <f ca="1">C21+C22-C23</f>
        <v>3595687.4141510893</v>
      </c>
    </row>
    <row r="25" spans="2:3" x14ac:dyDescent="0.2">
      <c r="B25" s="1" t="s">
        <v>70</v>
      </c>
      <c r="C25" s="90">
        <f>Statement!AC78</f>
        <v>522355</v>
      </c>
    </row>
    <row r="26" spans="2:3" x14ac:dyDescent="0.2">
      <c r="B26" s="162" t="s">
        <v>234</v>
      </c>
      <c r="C26" s="163">
        <f ca="1">C24/C25</f>
        <v>6.883608684038804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36" zoomScale="192" zoomScaleNormal="100" workbookViewId="0">
      <selection activeCell="C44" sqref="C44"/>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235</v>
      </c>
    </row>
    <row r="2" spans="1:14" x14ac:dyDescent="0.2">
      <c r="A2" s="4"/>
      <c r="C2" s="248" t="s">
        <v>137</v>
      </c>
      <c r="D2" s="248"/>
      <c r="E2" s="248"/>
      <c r="F2" s="248"/>
      <c r="G2" s="260"/>
      <c r="H2" s="261" t="s">
        <v>138</v>
      </c>
      <c r="I2" s="248"/>
      <c r="J2" s="248"/>
      <c r="K2" s="248"/>
      <c r="L2" s="248"/>
    </row>
    <row r="3" spans="1:14" ht="10" customHeight="1" x14ac:dyDescent="0.2"/>
    <row r="4" spans="1:14" ht="16" customHeight="1" x14ac:dyDescent="0.2">
      <c r="A4" s="88"/>
      <c r="B4" s="60"/>
      <c r="C4" s="257" t="s">
        <v>236</v>
      </c>
      <c r="D4" s="257"/>
      <c r="E4" s="257"/>
      <c r="F4" s="257"/>
      <c r="G4" s="257"/>
      <c r="H4" s="257"/>
      <c r="I4" s="257"/>
      <c r="J4" s="257"/>
      <c r="K4" s="257"/>
      <c r="L4" s="257"/>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312</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7" t="s">
        <v>146</v>
      </c>
      <c r="D10" s="257"/>
      <c r="E10" s="257"/>
      <c r="F10" s="257"/>
      <c r="G10" s="257"/>
      <c r="H10" s="257"/>
      <c r="I10" s="257"/>
      <c r="J10" s="257"/>
      <c r="K10" s="257"/>
      <c r="L10" s="257"/>
      <c r="N10" s="93"/>
    </row>
    <row r="11" spans="1:14" x14ac:dyDescent="0.2">
      <c r="B11" s="16" t="s">
        <v>237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312</v>
      </c>
      <c r="C14" s="158"/>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7" t="s">
        <v>238</v>
      </c>
      <c r="D16" s="257"/>
      <c r="E16" s="257"/>
      <c r="F16" s="257"/>
      <c r="G16" s="257"/>
      <c r="H16" s="257"/>
      <c r="I16" s="257"/>
      <c r="J16" s="257"/>
      <c r="K16" s="257"/>
      <c r="L16" s="257"/>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239</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240</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57" t="s">
        <v>241</v>
      </c>
      <c r="D21" s="257"/>
      <c r="E21" s="257"/>
      <c r="F21" s="257"/>
      <c r="G21" s="257"/>
      <c r="H21" s="257"/>
      <c r="I21" s="257"/>
      <c r="J21" s="257"/>
      <c r="K21" s="257"/>
      <c r="L21" s="257"/>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57" t="s">
        <v>242</v>
      </c>
      <c r="D26" s="257"/>
      <c r="E26" s="257"/>
      <c r="F26" s="257"/>
      <c r="G26" s="257"/>
      <c r="H26" s="257"/>
      <c r="I26" s="257"/>
      <c r="J26" s="257"/>
      <c r="K26" s="257"/>
      <c r="L26" s="257"/>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243</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244</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211</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220</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245</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246</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375</v>
      </c>
      <c r="C34" s="170">
        <f>C32/C8</f>
        <v>-22.151353444632644</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48" t="s">
        <v>247</v>
      </c>
      <c r="C37" s="248"/>
      <c r="N37" s="93"/>
    </row>
    <row r="38" spans="2:14" x14ac:dyDescent="0.2">
      <c r="B38" s="1" t="s">
        <v>248</v>
      </c>
      <c r="C38" s="64">
        <f>L7</f>
        <v>411717.17667744006</v>
      </c>
    </row>
    <row r="39" spans="2:14" x14ac:dyDescent="0.2">
      <c r="B39" s="1" t="s">
        <v>207</v>
      </c>
      <c r="C39" s="156">
        <f ca="1">IF(Overview!C28&gt;0,Overview!C28,WACC!C20)</f>
        <v>8.9231499999999991E-2</v>
      </c>
    </row>
    <row r="40" spans="2:14" x14ac:dyDescent="0.2">
      <c r="B40" s="39" t="s">
        <v>249</v>
      </c>
      <c r="C40" s="114">
        <v>25</v>
      </c>
    </row>
    <row r="41" spans="2:14" x14ac:dyDescent="0.2">
      <c r="B41" s="1" t="s">
        <v>250</v>
      </c>
      <c r="C41" s="24">
        <f>L18</f>
        <v>482510.33681860787</v>
      </c>
    </row>
    <row r="42" spans="2:14" x14ac:dyDescent="0.2">
      <c r="B42" s="1" t="s">
        <v>245</v>
      </c>
      <c r="C42" s="24">
        <f>(C38*C40)</f>
        <v>10292929.416936001</v>
      </c>
    </row>
    <row r="43" spans="2:14" x14ac:dyDescent="0.2">
      <c r="B43" s="1" t="s">
        <v>409</v>
      </c>
      <c r="C43" s="24">
        <f ca="1">C42/(1+C39)^5-G30+G31</f>
        <v>8402806.5672710706</v>
      </c>
    </row>
    <row r="44" spans="2:14" x14ac:dyDescent="0.2">
      <c r="B44" s="1" t="s">
        <v>70</v>
      </c>
      <c r="C44" s="90">
        <f>Statement!AC78</f>
        <v>522355</v>
      </c>
    </row>
    <row r="45" spans="2:14" x14ac:dyDescent="0.2">
      <c r="B45" s="162" t="s">
        <v>251</v>
      </c>
      <c r="C45" s="163">
        <f ca="1">C43/C44</f>
        <v>16.086390610353249</v>
      </c>
    </row>
    <row r="47" spans="2:14" x14ac:dyDescent="0.2">
      <c r="B47" s="248" t="s">
        <v>252</v>
      </c>
      <c r="C47" s="248"/>
    </row>
    <row r="48" spans="2:14" x14ac:dyDescent="0.2">
      <c r="B48" s="1" t="s">
        <v>253</v>
      </c>
      <c r="C48" s="64">
        <f>L6</f>
        <v>2379868.0732800001</v>
      </c>
    </row>
    <row r="49" spans="2:3" x14ac:dyDescent="0.2">
      <c r="B49" s="1" t="s">
        <v>408</v>
      </c>
      <c r="C49" s="156">
        <f>Overview!C29</f>
        <v>0.12</v>
      </c>
    </row>
    <row r="50" spans="2:3" x14ac:dyDescent="0.2">
      <c r="B50" s="39" t="s">
        <v>254</v>
      </c>
      <c r="C50" s="114">
        <v>5</v>
      </c>
    </row>
    <row r="51" spans="2:3" x14ac:dyDescent="0.2">
      <c r="B51" s="1" t="s">
        <v>250</v>
      </c>
      <c r="C51" s="24">
        <f>L18</f>
        <v>482510.33681860787</v>
      </c>
    </row>
    <row r="52" spans="2:3" x14ac:dyDescent="0.2">
      <c r="B52" s="1" t="s">
        <v>234</v>
      </c>
      <c r="C52" s="24">
        <f>(C48*C50)/C51</f>
        <v>24.661316988268727</v>
      </c>
    </row>
    <row r="53" spans="2:3" x14ac:dyDescent="0.2">
      <c r="B53" s="162" t="s">
        <v>251</v>
      </c>
      <c r="C53" s="163">
        <f>C52/(1+C49)^5</f>
        <v>13.993493556532998</v>
      </c>
    </row>
    <row r="55" spans="2:3" x14ac:dyDescent="0.2">
      <c r="B55" s="248" t="s">
        <v>376</v>
      </c>
      <c r="C55" s="248"/>
    </row>
    <row r="56" spans="2:3" x14ac:dyDescent="0.2">
      <c r="B56" s="1" t="s">
        <v>255</v>
      </c>
      <c r="C56" s="64">
        <f>L8</f>
        <v>199093.66914172584</v>
      </c>
    </row>
    <row r="57" spans="2:3" x14ac:dyDescent="0.2">
      <c r="B57" s="1" t="s">
        <v>207</v>
      </c>
      <c r="C57" s="156">
        <f ca="1">IF(Overview!C28&gt;0,Overview!C28,WACC!C20)</f>
        <v>8.9231499999999991E-2</v>
      </c>
    </row>
    <row r="58" spans="2:3" x14ac:dyDescent="0.2">
      <c r="B58" s="39" t="s">
        <v>410</v>
      </c>
      <c r="C58" s="114">
        <v>30</v>
      </c>
    </row>
    <row r="59" spans="2:3" x14ac:dyDescent="0.2">
      <c r="B59" s="1" t="s">
        <v>245</v>
      </c>
      <c r="C59" s="24">
        <f>(C56*C58)</f>
        <v>5972810.0742517756</v>
      </c>
    </row>
    <row r="60" spans="2:3" x14ac:dyDescent="0.2">
      <c r="B60" s="1" t="s">
        <v>409</v>
      </c>
      <c r="C60" s="24">
        <f ca="1">C59/(1+C57)^5-G30+G31</f>
        <v>5585106.3710780963</v>
      </c>
    </row>
    <row r="61" spans="2:3" x14ac:dyDescent="0.2">
      <c r="B61" s="1" t="s">
        <v>70</v>
      </c>
      <c r="C61" s="90">
        <f>Statement!AC78</f>
        <v>522355</v>
      </c>
    </row>
    <row r="62" spans="2:3" x14ac:dyDescent="0.2">
      <c r="B62" s="162" t="s">
        <v>251</v>
      </c>
      <c r="C62" s="163">
        <f ca="1">C60/C61</f>
        <v>10.692166000283517</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256</v>
      </c>
    </row>
    <row r="2" spans="1:14" x14ac:dyDescent="0.2">
      <c r="N2" s="93"/>
    </row>
    <row r="3" spans="1:14" x14ac:dyDescent="0.2">
      <c r="N3" s="93"/>
    </row>
    <row r="4" spans="1:14" x14ac:dyDescent="0.2">
      <c r="B4" s="248" t="s">
        <v>257</v>
      </c>
      <c r="C4" s="248"/>
      <c r="N4" s="93"/>
    </row>
    <row r="5" spans="1:14" x14ac:dyDescent="0.2">
      <c r="B5" s="1" t="s">
        <v>258</v>
      </c>
      <c r="C5" s="154">
        <f ca="1">DCF!C26</f>
        <v>6.883608684038804</v>
      </c>
    </row>
    <row r="6" spans="1:14" x14ac:dyDescent="0.2">
      <c r="B6" s="1" t="s">
        <v>259</v>
      </c>
      <c r="C6" s="154">
        <f ca="1">Multiples!C45</f>
        <v>16.086390610353249</v>
      </c>
    </row>
    <row r="7" spans="1:14" x14ac:dyDescent="0.2">
      <c r="B7" s="1" t="s">
        <v>260</v>
      </c>
      <c r="C7" s="154">
        <f>Multiples!C53</f>
        <v>13.993493556532998</v>
      </c>
    </row>
    <row r="8" spans="1:14" x14ac:dyDescent="0.2">
      <c r="B8" s="1" t="s">
        <v>377</v>
      </c>
      <c r="C8" s="154">
        <f ca="1">Multiples!C62</f>
        <v>10.692166000283517</v>
      </c>
    </row>
    <row r="9" spans="1:14" x14ac:dyDescent="0.2">
      <c r="B9" s="162" t="s">
        <v>261</v>
      </c>
      <c r="C9" s="163">
        <f ca="1">AVERAGE(C5:C8)</f>
        <v>11.913914712802143</v>
      </c>
    </row>
    <row r="10" spans="1:14" x14ac:dyDescent="0.2">
      <c r="B10" s="1" t="s">
        <v>262</v>
      </c>
      <c r="C10" s="154">
        <f ca="1">Overview!C5</f>
        <v>10.75</v>
      </c>
    </row>
    <row r="11" spans="1:14" x14ac:dyDescent="0.2">
      <c r="B11" s="1" t="s">
        <v>263</v>
      </c>
      <c r="C11" s="175">
        <f ca="1">(C9-C10)/C10</f>
        <v>0.10827113607461793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7" zoomScale="209" zoomScaleNormal="100" workbookViewId="0">
      <selection activeCell="E25" sqref="E25"/>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264</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222</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312</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223</v>
      </c>
      <c r="C8" s="158"/>
      <c r="D8" s="158"/>
      <c r="E8" s="158"/>
      <c r="F8" s="158"/>
      <c r="G8" s="159"/>
      <c r="H8" s="158"/>
      <c r="I8" s="158"/>
      <c r="J8" s="158"/>
      <c r="K8" s="158"/>
      <c r="L8" s="147">
        <f ca="1">L7*(1+C20)/(C21-C20)</f>
        <v>6074350.1325263809</v>
      </c>
      <c r="N8" s="93"/>
      <c r="O8" s="16"/>
      <c r="P8" s="94"/>
      <c r="Q8" s="94"/>
      <c r="R8" s="94"/>
      <c r="S8" s="94"/>
      <c r="T8" s="94"/>
      <c r="U8" s="94"/>
      <c r="V8" s="94"/>
      <c r="W8" s="94"/>
      <c r="X8" s="96"/>
      <c r="Y8" s="96"/>
      <c r="Z8" s="96"/>
      <c r="AB8" s="96"/>
    </row>
    <row r="9" spans="1:28" x14ac:dyDescent="0.2">
      <c r="B9" s="1" t="s">
        <v>224</v>
      </c>
      <c r="C9" s="158"/>
      <c r="D9" s="158"/>
      <c r="E9" s="158"/>
      <c r="F9" s="158"/>
      <c r="G9" s="159"/>
      <c r="H9" s="160">
        <v>1</v>
      </c>
      <c r="I9" s="160">
        <v>2</v>
      </c>
      <c r="J9" s="160">
        <v>3</v>
      </c>
      <c r="K9" s="160">
        <v>4</v>
      </c>
      <c r="L9" s="160">
        <v>5</v>
      </c>
      <c r="N9" s="93"/>
    </row>
    <row r="10" spans="1:28" x14ac:dyDescent="0.2">
      <c r="B10" s="1" t="s">
        <v>374</v>
      </c>
      <c r="C10" s="158"/>
      <c r="D10" s="158"/>
      <c r="E10" s="158"/>
      <c r="F10" s="158"/>
      <c r="G10" s="159"/>
      <c r="H10" s="147">
        <f ca="1">H7/(1+$C$21)^H9</f>
        <v>16158.181249807778</v>
      </c>
      <c r="I10" s="147">
        <f t="shared" ref="I10:L10" ca="1" si="1">I7/(1+$C$21)^I9</f>
        <v>32635.852662704958</v>
      </c>
      <c r="J10" s="147">
        <f t="shared" ca="1" si="1"/>
        <v>65917.002820751062</v>
      </c>
      <c r="K10" s="147">
        <f t="shared" ca="1" si="1"/>
        <v>133137.3598777233</v>
      </c>
      <c r="L10" s="147">
        <f t="shared" ca="1" si="1"/>
        <v>268907.19900314242</v>
      </c>
      <c r="N10" s="93"/>
    </row>
    <row r="11" spans="1:28" x14ac:dyDescent="0.2">
      <c r="B11" s="1" t="s">
        <v>225</v>
      </c>
      <c r="C11" s="158"/>
      <c r="D11" s="158"/>
      <c r="E11" s="158"/>
      <c r="F11" s="158"/>
      <c r="G11" s="159"/>
      <c r="H11" s="158"/>
      <c r="I11" s="158"/>
      <c r="J11" s="158"/>
      <c r="K11" s="158"/>
      <c r="L11" s="147">
        <f ca="1">L8/(1+C21)^L9</f>
        <v>3961857.5790385203</v>
      </c>
    </row>
    <row r="13" spans="1:28" ht="17" thickBot="1" x14ac:dyDescent="0.25"/>
    <row r="14" spans="1:28" x14ac:dyDescent="0.2">
      <c r="B14" s="263" t="s">
        <v>265</v>
      </c>
      <c r="C14" s="264"/>
    </row>
    <row r="15" spans="1:28" x14ac:dyDescent="0.2">
      <c r="B15" s="176" t="s">
        <v>266</v>
      </c>
      <c r="C15" s="177">
        <f ca="1">Overview!C5</f>
        <v>10.75</v>
      </c>
    </row>
    <row r="16" spans="1:28" x14ac:dyDescent="0.2">
      <c r="B16" s="176" t="s">
        <v>267</v>
      </c>
      <c r="C16" s="177">
        <f ca="1">C36</f>
        <v>11.376414340767214</v>
      </c>
    </row>
    <row r="17" spans="2:9" ht="17" thickBot="1" x14ac:dyDescent="0.25">
      <c r="B17" s="178" t="s">
        <v>378</v>
      </c>
      <c r="C17" s="179">
        <v>1.2</v>
      </c>
      <c r="E17" s="265" t="s">
        <v>268</v>
      </c>
      <c r="F17" s="265"/>
      <c r="G17" s="265"/>
      <c r="H17" s="265"/>
      <c r="I17" s="265"/>
    </row>
    <row r="18" spans="2:9" ht="17" thickBot="1" x14ac:dyDescent="0.25"/>
    <row r="19" spans="2:9" x14ac:dyDescent="0.2">
      <c r="B19" s="263" t="s">
        <v>226</v>
      </c>
      <c r="C19" s="264"/>
    </row>
    <row r="20" spans="2:9" x14ac:dyDescent="0.2">
      <c r="B20" s="180" t="s">
        <v>227</v>
      </c>
      <c r="C20" s="181">
        <v>0.02</v>
      </c>
    </row>
    <row r="21" spans="2:9" x14ac:dyDescent="0.2">
      <c r="B21" s="180" t="s">
        <v>207</v>
      </c>
      <c r="C21" s="245">
        <f ca="1">IF(Overview!C28&gt;0,Overview!C28,WACC!C20)</f>
        <v>8.9231499999999991E-2</v>
      </c>
    </row>
    <row r="22" spans="2:9" x14ac:dyDescent="0.2">
      <c r="B22" s="180" t="s">
        <v>70</v>
      </c>
      <c r="C22" s="246">
        <f>Statement!AC75</f>
        <v>518121</v>
      </c>
    </row>
    <row r="23" spans="2:9" x14ac:dyDescent="0.2">
      <c r="B23" s="180" t="s">
        <v>269</v>
      </c>
      <c r="C23" s="182">
        <f ca="1">C15*C22</f>
        <v>5569800.75</v>
      </c>
    </row>
    <row r="24" spans="2:9" x14ac:dyDescent="0.2">
      <c r="B24" s="180" t="s">
        <v>220</v>
      </c>
      <c r="C24" s="246">
        <f>Statement!AC107</f>
        <v>1415746</v>
      </c>
    </row>
    <row r="25" spans="2:9" x14ac:dyDescent="0.2">
      <c r="B25" s="180" t="s">
        <v>211</v>
      </c>
      <c r="C25" s="246">
        <f>Statement!AC108</f>
        <v>0</v>
      </c>
    </row>
    <row r="26" spans="2:9" ht="17" thickBot="1" x14ac:dyDescent="0.25">
      <c r="B26" s="178" t="s">
        <v>270</v>
      </c>
      <c r="C26" s="183">
        <f ca="1">C23+C25-C24</f>
        <v>4154054.75</v>
      </c>
    </row>
    <row r="27" spans="2:9" ht="17" thickBot="1" x14ac:dyDescent="0.25"/>
    <row r="28" spans="2:9" x14ac:dyDescent="0.2">
      <c r="B28" s="263" t="s">
        <v>228</v>
      </c>
      <c r="C28" s="264"/>
    </row>
    <row r="29" spans="2:9" x14ac:dyDescent="0.2">
      <c r="B29" s="180" t="s">
        <v>229</v>
      </c>
      <c r="C29" s="182">
        <f ca="1">SUM(H10:L10)</f>
        <v>516755.5956141295</v>
      </c>
    </row>
    <row r="30" spans="2:9" x14ac:dyDescent="0.2">
      <c r="B30" s="180" t="s">
        <v>225</v>
      </c>
      <c r="C30" s="182">
        <f ca="1">L11</f>
        <v>3961857.5790385203</v>
      </c>
    </row>
    <row r="31" spans="2:9" x14ac:dyDescent="0.2">
      <c r="B31" s="184" t="s">
        <v>230</v>
      </c>
      <c r="C31" s="185">
        <f ca="1">C29+C30</f>
        <v>4478613.17465265</v>
      </c>
    </row>
    <row r="32" spans="2:9" x14ac:dyDescent="0.2">
      <c r="B32" s="180" t="s">
        <v>231</v>
      </c>
      <c r="C32" s="186">
        <f>C24</f>
        <v>1415746</v>
      </c>
    </row>
    <row r="33" spans="2:12" x14ac:dyDescent="0.2">
      <c r="B33" s="180" t="s">
        <v>232</v>
      </c>
      <c r="C33" s="186">
        <f>C25</f>
        <v>0</v>
      </c>
    </row>
    <row r="34" spans="2:12" x14ac:dyDescent="0.2">
      <c r="B34" s="184" t="s">
        <v>233</v>
      </c>
      <c r="C34" s="185">
        <f ca="1">C31+C32-C33</f>
        <v>5894359.17465265</v>
      </c>
    </row>
    <row r="35" spans="2:12" x14ac:dyDescent="0.2">
      <c r="B35" s="180" t="s">
        <v>70</v>
      </c>
      <c r="C35" s="182">
        <f>C22</f>
        <v>518121</v>
      </c>
    </row>
    <row r="36" spans="2:12" ht="17" thickBot="1" x14ac:dyDescent="0.25">
      <c r="B36" s="187" t="s">
        <v>234</v>
      </c>
      <c r="C36" s="188">
        <f ca="1">C34/C35</f>
        <v>11.376414340767214</v>
      </c>
    </row>
    <row r="39" spans="2:12" x14ac:dyDescent="0.2">
      <c r="C39" s="257" t="s">
        <v>271</v>
      </c>
      <c r="D39" s="257"/>
      <c r="E39" s="257"/>
      <c r="F39" s="257"/>
      <c r="G39" s="257"/>
      <c r="H39" s="257"/>
      <c r="I39" s="257"/>
      <c r="J39" s="257"/>
      <c r="K39" s="257"/>
      <c r="L39" s="257"/>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312</v>
      </c>
      <c r="C41" s="133">
        <f>C7</f>
        <v>-601022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379</v>
      </c>
      <c r="C43" s="97">
        <f>C41/C42</f>
        <v>1.1997740275398945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380</v>
      </c>
      <c r="C45" s="97">
        <f>C41/C44</f>
        <v>-0.67360117993571322</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381</v>
      </c>
      <c r="C46" s="158"/>
      <c r="D46" s="97">
        <f>D41/C41-1</f>
        <v>-0.16798053981385042</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272</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273</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274</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2026-06-10T21:52:53Z</dcterms:modified>
</cp:coreProperties>
</file>