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4269887-1599-534E-8EB3-6DC412C34B42}"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2" l="1"/>
  <c r="K5" i="12"/>
  <c r="J5" i="12"/>
  <c r="I5" i="12"/>
  <c r="H5" i="12"/>
  <c r="G5" i="12"/>
  <c r="F5" i="12"/>
  <c r="E5" i="12"/>
  <c r="D5" i="12"/>
  <c r="C5" i="12"/>
  <c r="L6" i="11"/>
  <c r="K6" i="11"/>
  <c r="J6" i="11"/>
  <c r="I6" i="11"/>
  <c r="H6" i="11"/>
  <c r="G6" i="11"/>
  <c r="F6" i="11"/>
  <c r="E6" i="11"/>
  <c r="D6" i="11"/>
  <c r="C6" i="11"/>
  <c r="T26" i="3"/>
  <c r="L73" i="19"/>
  <c r="K73" i="19"/>
  <c r="J73" i="19"/>
  <c r="I73" i="19"/>
  <c r="H73" i="19"/>
  <c r="G73" i="19"/>
  <c r="F73" i="19"/>
  <c r="E73" i="19"/>
  <c r="D73" i="19"/>
  <c r="C73" i="19"/>
  <c r="L72" i="19"/>
  <c r="K72" i="19"/>
  <c r="J72" i="19"/>
  <c r="I72" i="19"/>
  <c r="H72" i="19"/>
  <c r="G72" i="19"/>
  <c r="F72" i="19"/>
  <c r="E72" i="19"/>
  <c r="D72" i="19"/>
  <c r="C72" i="19"/>
  <c r="L71" i="19"/>
  <c r="K71" i="19"/>
  <c r="J71" i="19"/>
  <c r="I71" i="19"/>
  <c r="H71" i="19"/>
  <c r="G71" i="19"/>
  <c r="F71" i="19"/>
  <c r="E71" i="19"/>
  <c r="D71" i="19"/>
  <c r="C71" i="19"/>
  <c r="AC180" i="3"/>
  <c r="Q180" i="3"/>
  <c r="P180" i="3"/>
  <c r="O180" i="3"/>
  <c r="N180" i="3"/>
  <c r="M180" i="3"/>
  <c r="AC183" i="3"/>
  <c r="Q183" i="3"/>
  <c r="P183" i="3"/>
  <c r="O183" i="3"/>
  <c r="N183" i="3"/>
  <c r="M183" i="3"/>
  <c r="AC34" i="3"/>
  <c r="AA74" i="3"/>
  <c r="Q208" i="3"/>
  <c r="P208" i="3"/>
  <c r="O208" i="3"/>
  <c r="N208" i="3"/>
  <c r="C49"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L34" i="8"/>
  <c r="K34" i="8"/>
  <c r="J34" i="8"/>
  <c r="I34" i="8"/>
  <c r="H34" i="8"/>
  <c r="L33" i="8"/>
  <c r="K33" i="8"/>
  <c r="J33" i="8"/>
  <c r="I33" i="8"/>
  <c r="H33" i="8"/>
  <c r="L14" i="7"/>
  <c r="K14" i="7"/>
  <c r="J14" i="7"/>
  <c r="I14" i="7"/>
  <c r="H14" i="7"/>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AA63" i="3"/>
  <c r="AA58" i="3"/>
  <c r="AA29"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5" i="3"/>
  <c r="Y135" i="3"/>
  <c r="X135" i="3"/>
  <c r="W135" i="3"/>
  <c r="V135" i="3"/>
  <c r="U135" i="3"/>
  <c r="T135"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74" i="3"/>
  <c r="Y74" i="3"/>
  <c r="X74" i="3"/>
  <c r="W74" i="3"/>
  <c r="V74" i="3"/>
  <c r="U74" i="3"/>
  <c r="T74" i="3"/>
  <c r="W58" i="3"/>
  <c r="Z42" i="3"/>
  <c r="Y42" i="3"/>
  <c r="X42" i="3"/>
  <c r="W42" i="3"/>
  <c r="V42" i="3"/>
  <c r="U42" i="3"/>
  <c r="T42" i="3"/>
  <c r="Z36" i="3"/>
  <c r="Y36" i="3"/>
  <c r="X36" i="3"/>
  <c r="W36" i="3"/>
  <c r="V36" i="3"/>
  <c r="U36" i="3"/>
  <c r="T36" i="3"/>
  <c r="Z30" i="3"/>
  <c r="Y30" i="3"/>
  <c r="X30" i="3"/>
  <c r="W30" i="3"/>
  <c r="V30" i="3"/>
  <c r="U30" i="3"/>
  <c r="T30" i="3"/>
  <c r="Z29" i="3"/>
  <c r="Y29" i="3"/>
  <c r="X29" i="3"/>
  <c r="W29" i="3"/>
  <c r="V29" i="3"/>
  <c r="U29" i="3"/>
  <c r="T29" i="3"/>
  <c r="Z26" i="3"/>
  <c r="Y26" i="3"/>
  <c r="X26" i="3"/>
  <c r="W26" i="3"/>
  <c r="V26" i="3"/>
  <c r="U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5" i="3"/>
  <c r="AA131" i="3"/>
  <c r="E30" i="12"/>
  <c r="D30" i="12"/>
  <c r="G23" i="12"/>
  <c r="F23" i="12"/>
  <c r="E23" i="12"/>
  <c r="D23" i="12"/>
  <c r="C23" i="12"/>
  <c r="AC108" i="3"/>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C182" i="3" l="1"/>
  <c r="AC181" i="3"/>
  <c r="Q182" i="3"/>
  <c r="P182" i="3"/>
  <c r="O182" i="3"/>
  <c r="N182" i="3"/>
  <c r="M182" i="3"/>
  <c r="Q181" i="3"/>
  <c r="P181" i="3"/>
  <c r="O181" i="3"/>
  <c r="N181" i="3"/>
  <c r="M181" i="3"/>
  <c r="AA107" i="3"/>
  <c r="Z107" i="3"/>
  <c r="Y107" i="3"/>
  <c r="X107" i="3"/>
  <c r="W107" i="3"/>
  <c r="V107" i="3"/>
  <c r="U107" i="3"/>
  <c r="T107" i="3"/>
  <c r="Q107" i="3"/>
  <c r="P107" i="3"/>
  <c r="O107" i="3"/>
  <c r="N107" i="3"/>
  <c r="M107" i="3"/>
  <c r="Q209" i="3"/>
  <c r="P209" i="3"/>
  <c r="O209" i="3"/>
  <c r="N209" i="3"/>
  <c r="Q207" i="3"/>
  <c r="P207" i="3"/>
  <c r="O207" i="3"/>
  <c r="N207" i="3"/>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K29" i="7"/>
  <c r="I29" i="7"/>
  <c r="L29" i="7"/>
  <c r="J29" i="7"/>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H29" i="7"/>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Z141" i="3"/>
  <c r="Z144" i="3" s="1"/>
  <c r="Y141" i="3"/>
  <c r="Y144" i="3" s="1"/>
  <c r="X141" i="3"/>
  <c r="X144" i="3" s="1"/>
  <c r="W141" i="3"/>
  <c r="W144" i="3" s="1"/>
  <c r="V141" i="3"/>
  <c r="V144" i="3" s="1"/>
  <c r="U141" i="3"/>
  <c r="U144" i="3" s="1"/>
  <c r="T141" i="3"/>
  <c r="T144" i="3" s="1"/>
  <c r="Z95" i="3"/>
  <c r="Y95" i="3"/>
  <c r="W95" i="3"/>
  <c r="V95" i="3"/>
  <c r="U95" i="3"/>
  <c r="V91" i="3"/>
  <c r="U91" i="3"/>
  <c r="F33" i="18"/>
  <c r="Z106" i="3"/>
  <c r="Y106" i="3"/>
  <c r="Z101" i="3"/>
  <c r="I60" i="20" s="1"/>
  <c r="Y101" i="3"/>
  <c r="H60" i="20" s="1"/>
  <c r="X101" i="3"/>
  <c r="G60" i="20" s="1"/>
  <c r="W101" i="3"/>
  <c r="F60" i="20" s="1"/>
  <c r="V101" i="3"/>
  <c r="E60" i="20" s="1"/>
  <c r="U101" i="3"/>
  <c r="D60" i="20" s="1"/>
  <c r="T101" i="3"/>
  <c r="C60" i="20" s="1"/>
  <c r="X95" i="3"/>
  <c r="Y91" i="3"/>
  <c r="X91" i="3"/>
  <c r="W91" i="3"/>
  <c r="T91" i="3"/>
  <c r="C31" i="18"/>
  <c r="Z75" i="3"/>
  <c r="Z78" i="3" s="1"/>
  <c r="Y75" i="3"/>
  <c r="Y78" i="3" s="1"/>
  <c r="X75" i="3"/>
  <c r="X78" i="3" s="1"/>
  <c r="W75" i="3"/>
  <c r="W78" i="3" s="1"/>
  <c r="V75" i="3"/>
  <c r="V78" i="3" s="1"/>
  <c r="U75" i="3"/>
  <c r="U78" i="3" s="1"/>
  <c r="T75" i="3"/>
  <c r="T78"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C52" i="16" l="1"/>
  <c r="G53" i="17"/>
  <c r="F53" i="17"/>
  <c r="E53" i="17"/>
  <c r="D53" i="17"/>
  <c r="G51" i="17"/>
  <c r="F51" i="17"/>
  <c r="E51" i="17"/>
  <c r="D51" i="17"/>
  <c r="C51" i="17"/>
  <c r="C53" i="17"/>
  <c r="Q152" i="3"/>
  <c r="P152" i="3"/>
  <c r="O152" i="3"/>
  <c r="N152" i="3"/>
  <c r="M152" i="3"/>
  <c r="AC69" i="3"/>
  <c r="AC157" i="3"/>
  <c r="AC167" i="3" s="1"/>
  <c r="M78" i="3"/>
  <c r="M153" i="3" s="1"/>
  <c r="N78" i="3"/>
  <c r="N153" i="3" s="1"/>
  <c r="O78" i="3"/>
  <c r="O153" i="3" s="1"/>
  <c r="P78" i="3"/>
  <c r="P153" i="3" s="1"/>
  <c r="Q78" i="3"/>
  <c r="Q153" i="3" s="1"/>
  <c r="F22" i="8"/>
  <c r="AC170" i="3"/>
  <c r="AC168" i="3"/>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D22" i="6"/>
  <c r="V23" i="6"/>
  <c r="S23" i="6"/>
  <c r="Q23" i="6"/>
  <c r="W10" i="6"/>
  <c r="U10" i="6"/>
  <c r="R10" i="6"/>
  <c r="AA78" i="3"/>
  <c r="AC78"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C35" i="14"/>
  <c r="C15" i="14"/>
  <c r="I7" i="14"/>
  <c r="H41" i="14"/>
  <c r="G45"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70" i="3"/>
  <c r="P70" i="3"/>
  <c r="M70" i="3"/>
  <c r="L70" i="3"/>
  <c r="O70" i="3"/>
  <c r="N70" i="3"/>
  <c r="K70" i="3"/>
  <c r="J70" i="3"/>
  <c r="I70" i="3"/>
  <c r="H70" i="3"/>
  <c r="G70" i="3"/>
  <c r="F70" i="3"/>
  <c r="E70" i="3"/>
  <c r="D70" i="3"/>
  <c r="C70" i="3"/>
  <c r="Q171" i="3" l="1"/>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4" i="12"/>
  <c r="C61"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AB14" i="6" s="1"/>
  <c r="X14" i="6"/>
  <c r="X26" i="6" s="1"/>
  <c r="H26" i="6"/>
  <c r="H8" i="7"/>
  <c r="H15" i="7" s="1"/>
  <c r="H30" i="7" s="1"/>
  <c r="H7" i="8"/>
  <c r="H8" i="8" s="1"/>
  <c r="H44" i="7"/>
  <c r="H18" i="6"/>
  <c r="I6" i="6"/>
  <c r="I6" i="8"/>
  <c r="I7" i="7"/>
  <c r="I6" i="12"/>
  <c r="I12" i="12" s="1"/>
  <c r="F52" i="16"/>
  <c r="I75" i="17"/>
  <c r="F53" i="16"/>
  <c r="I76" i="17"/>
  <c r="F54" i="16"/>
  <c r="I77" i="17"/>
  <c r="AC169" i="3"/>
  <c r="I6" i="17"/>
  <c r="C23" i="14"/>
  <c r="C41" i="12"/>
  <c r="C51" i="12"/>
  <c r="C33" i="16"/>
  <c r="F18" i="1"/>
  <c r="AC172" i="3"/>
  <c r="AC175" i="3"/>
  <c r="I67" i="17" s="1"/>
  <c r="C32" i="12"/>
  <c r="D32" i="12"/>
  <c r="F32" i="12"/>
  <c r="E32" i="12"/>
  <c r="G32" i="12"/>
  <c r="I5" i="6"/>
  <c r="H10" i="6"/>
  <c r="H22"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9" i="5"/>
  <c r="K21" i="5"/>
  <c r="J23" i="5"/>
  <c r="J35" i="5" s="1"/>
  <c r="I6" i="5"/>
  <c r="I8" i="5"/>
  <c r="I15" i="5"/>
  <c r="J5" i="5"/>
  <c r="J6" i="14" s="1"/>
  <c r="J40" i="14" s="1"/>
  <c r="I12" i="5"/>
  <c r="I20" i="5"/>
  <c r="I33" i="5"/>
  <c r="Q155" i="3" l="1"/>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34" i="5"/>
  <c r="K23" i="5"/>
  <c r="K35" i="5" s="1"/>
  <c r="K9" i="5"/>
  <c r="L21" i="5"/>
  <c r="L34" i="5" s="1"/>
  <c r="J8" i="5"/>
  <c r="J6" i="5"/>
  <c r="I7" i="5"/>
  <c r="K5" i="5"/>
  <c r="K6" i="14" s="1"/>
  <c r="K40" i="14" s="1"/>
  <c r="J12" i="5"/>
  <c r="J20" i="5"/>
  <c r="J33" i="5"/>
  <c r="H13" i="5"/>
  <c r="H14" i="5"/>
  <c r="AE6" i="5"/>
  <c r="AA13" i="5"/>
  <c r="F13" i="12" l="1"/>
  <c r="J26" i="8"/>
  <c r="J19" i="8"/>
  <c r="J14" i="8"/>
  <c r="K5" i="8"/>
  <c r="K32" i="8" s="1"/>
  <c r="C57" i="12"/>
  <c r="C39" i="12"/>
  <c r="C43" i="12" s="1"/>
  <c r="C45" i="12" s="1"/>
  <c r="C15" i="11"/>
  <c r="C26" i="16"/>
  <c r="F23" i="16" s="1"/>
  <c r="F13" i="1"/>
  <c r="G13" i="12"/>
  <c r="E13" i="12"/>
  <c r="C33" i="12"/>
  <c r="D13"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G7" i="11"/>
  <c r="G8" i="12"/>
  <c r="G43" i="14"/>
  <c r="G49" i="14"/>
  <c r="K5" i="6"/>
  <c r="J22"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K6" i="5"/>
  <c r="K8" i="5"/>
  <c r="L9" i="5"/>
  <c r="L23" i="5"/>
  <c r="L35" i="5" s="1"/>
  <c r="K15" i="5"/>
  <c r="L5" i="5"/>
  <c r="L6" i="14" s="1"/>
  <c r="L40" i="14" s="1"/>
  <c r="K12" i="5"/>
  <c r="K20" i="5"/>
  <c r="K33" i="5"/>
  <c r="I13" i="5"/>
  <c r="AE7" i="5"/>
  <c r="AA14" i="5"/>
  <c r="H16" i="5"/>
  <c r="F14" i="12" l="1"/>
  <c r="K26" i="8"/>
  <c r="L5" i="8"/>
  <c r="L32" i="8" s="1"/>
  <c r="K19" i="8"/>
  <c r="K14" i="8"/>
  <c r="E14" i="12"/>
  <c r="H13" i="12"/>
  <c r="G14" i="12"/>
  <c r="C34" i="12"/>
  <c r="D14" i="12"/>
  <c r="H8" i="12"/>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K7" i="5"/>
  <c r="L8" i="5"/>
  <c r="L15" i="5" s="1"/>
  <c r="L6" i="5"/>
  <c r="I14" i="5"/>
  <c r="L12" i="5"/>
  <c r="L20" i="5"/>
  <c r="L33" i="5"/>
  <c r="J13" i="5"/>
  <c r="J14" i="5"/>
  <c r="AA16" i="5"/>
  <c r="L14" i="8" l="1"/>
  <c r="L19" i="8"/>
  <c r="L26" i="8"/>
  <c r="H14" i="12"/>
  <c r="H10" i="1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48" i="12"/>
  <c r="C52" i="12" s="1"/>
  <c r="C53" i="12" s="1"/>
  <c r="C7" i="13" s="1"/>
  <c r="I5" i="1" s="1"/>
  <c r="L11" i="6"/>
  <c r="L12" i="6"/>
  <c r="L13" i="6"/>
  <c r="L15" i="6"/>
  <c r="L16" i="6"/>
  <c r="L17" i="6"/>
  <c r="I10" i="8"/>
  <c r="L10" i="6"/>
  <c r="L22" i="6"/>
  <c r="C29" i="14"/>
  <c r="K27" i="12"/>
  <c r="K11" i="12"/>
  <c r="K17" i="12"/>
  <c r="K22" i="12"/>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J13" i="12" l="1"/>
  <c r="I13" i="12"/>
  <c r="L26" i="6"/>
  <c r="J7" i="11"/>
  <c r="J10" i="11" s="1"/>
  <c r="J8" i="12"/>
  <c r="I7" i="11"/>
  <c r="I10" i="11" s="1"/>
  <c r="I8" i="12"/>
  <c r="L9" i="8"/>
  <c r="L10" i="8" s="1"/>
  <c r="L30" i="6"/>
  <c r="K7" i="12"/>
  <c r="K27" i="8"/>
  <c r="K28" i="8" s="1"/>
  <c r="K16" i="5"/>
  <c r="L14" i="5"/>
  <c r="K13" i="12" l="1"/>
  <c r="J14" i="12"/>
  <c r="I14" i="12"/>
  <c r="L7" i="12"/>
  <c r="L27" i="8"/>
  <c r="L28" i="8" s="1"/>
  <c r="K7" i="11"/>
  <c r="K10" i="11" s="1"/>
  <c r="K8" i="12"/>
  <c r="L16" i="5"/>
  <c r="L13" i="12" l="1"/>
  <c r="K14" i="12"/>
  <c r="C38" i="12"/>
  <c r="C42" i="12" s="1"/>
  <c r="C6" i="13" s="1"/>
  <c r="I4" i="1" s="1"/>
  <c r="L7" i="11"/>
  <c r="L8" i="12"/>
  <c r="AC66" i="3"/>
  <c r="L14" i="12" l="1"/>
  <c r="L8" i="11"/>
  <c r="L11" i="11" s="1"/>
  <c r="C20" i="11" s="1"/>
  <c r="L10" i="11"/>
  <c r="C19" i="11" s="1"/>
  <c r="C56" i="12"/>
  <c r="C59" i="12" s="1"/>
  <c r="C60" i="12" l="1"/>
  <c r="C62" i="12" s="1"/>
  <c r="C8" i="13" s="1"/>
  <c r="I6" i="1" s="1"/>
  <c r="C21" i="1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<sst xmlns="http://schemas.openxmlformats.org/spreadsheetml/2006/main" count="772" uniqueCount="419">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</sst>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43.583607538139404</c:v>
                </c:pt>
                <c:pt idx="2">
                  <c:v>71.343104995513016</c:v>
                </c:pt>
                <c:pt idx="3">
                  <c:v>43.613520789709838</c:v>
                </c:pt>
                <c:pt idx="4">
                  <c:v>37.660783727191152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118.64148245114609</c:v>
                </c:pt>
                <c:pt idx="2">
                  <c:v>146.60342593796372</c:v>
                </c:pt>
                <c:pt idx="3">
                  <c:v>160.23096613961079</c:v>
                </c:pt>
                <c:pt idx="4">
                  <c:v>180.50640402038886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148.27586206896552</c:v>
                </c:pt>
                <c:pt idx="2">
                  <c:v>186.20689655172413</c:v>
                </c:pt>
                <c:pt idx="3">
                  <c:v>188.79310344827584</c:v>
                </c:pt>
                <c:pt idx="4">
                  <c:v>244.82758620689654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316253</c:v>
                </c:pt>
                <c:pt idx="1">
                  <c:v>354653</c:v>
                </c:pt>
                <c:pt idx="2">
                  <c:v>423646</c:v>
                </c:pt>
                <c:pt idx="3">
                  <c:v>356624</c:v>
                </c:pt>
                <c:pt idx="4">
                  <c:v>361728</c:v>
                </c:pt>
                <c:pt idx="5">
                  <c:v>411113</c:v>
                </c:pt>
                <c:pt idx="6">
                  <c:v>481107</c:v>
                </c:pt>
                <c:pt idx="7">
                  <c:v>418382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-103349</c:v>
                </c:pt>
                <c:pt idx="1">
                  <c:v>-43364</c:v>
                </c:pt>
                <c:pt idx="2">
                  <c:v>33609</c:v>
                </c:pt>
                <c:pt idx="3">
                  <c:v>-16412</c:v>
                </c:pt>
                <c:pt idx="4">
                  <c:v>-20185</c:v>
                </c:pt>
                <c:pt idx="5">
                  <c:v>13071</c:v>
                </c:pt>
                <c:pt idx="6">
                  <c:v>80286</c:v>
                </c:pt>
                <c:pt idx="7">
                  <c:v>27987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-86097</c:v>
                </c:pt>
                <c:pt idx="1">
                  <c:v>-10655</c:v>
                </c:pt>
                <c:pt idx="2">
                  <c:v>51794</c:v>
                </c:pt>
                <c:pt idx="3">
                  <c:v>-22555</c:v>
                </c:pt>
                <c:pt idx="4">
                  <c:v>1584</c:v>
                </c:pt>
                <c:pt idx="5">
                  <c:v>198839</c:v>
                </c:pt>
                <c:pt idx="6">
                  <c:v>104462</c:v>
                </c:pt>
                <c:pt idx="7">
                  <c:v>22525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0.79978055544137128</c:v>
                </c:pt>
                <c:pt idx="1">
                  <c:v>0.82021017727186851</c:v>
                </c:pt>
                <c:pt idx="2">
                  <c:v>0.84766998862257636</c:v>
                </c:pt>
                <c:pt idx="3">
                  <c:v>0.82094026201265202</c:v>
                </c:pt>
                <c:pt idx="4">
                  <c:v>0.82202096602972397</c:v>
                </c:pt>
                <c:pt idx="5">
                  <c:v>0.83262022850165285</c:v>
                </c:pt>
                <c:pt idx="6">
                  <c:v>0.84632316719565504</c:v>
                </c:pt>
                <c:pt idx="7">
                  <c:v>0.81612975701631518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-0.32679215691234548</c:v>
                </c:pt>
                <c:pt idx="1">
                  <c:v>-0.12227162888795527</c:v>
                </c:pt>
                <c:pt idx="2">
                  <c:v>7.9332744791642082E-2</c:v>
                </c:pt>
                <c:pt idx="3">
                  <c:v>-4.602045852214097E-2</c:v>
                </c:pt>
                <c:pt idx="4">
                  <c:v>-5.5801596779900917E-2</c:v>
                </c:pt>
                <c:pt idx="5">
                  <c:v>3.1794178242964828E-2</c:v>
                </c:pt>
                <c:pt idx="6">
                  <c:v>0.16687763844633313</c:v>
                </c:pt>
                <c:pt idx="7">
                  <c:v>6.689341319655244E-2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-0.27224089573853844</c:v>
                </c:pt>
                <c:pt idx="1">
                  <c:v>-3.0043450922450959E-2</c:v>
                </c:pt>
                <c:pt idx="2">
                  <c:v>0.12225773405154303</c:v>
                </c:pt>
                <c:pt idx="3">
                  <c:v>-6.3245883619722734E-2</c:v>
                </c:pt>
                <c:pt idx="4">
                  <c:v>4.3789808917197451E-3</c:v>
                </c:pt>
                <c:pt idx="5">
                  <c:v>0.48366021020984495</c:v>
                </c:pt>
                <c:pt idx="6">
                  <c:v>0.2171284142612766</c:v>
                </c:pt>
                <c:pt idx="7">
                  <c:v>5.3838358246769698E-2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112251</c:v>
                </c:pt>
                <c:pt idx="1">
                  <c:v>137174</c:v>
                </c:pt>
                <c:pt idx="2">
                  <c:v>197609</c:v>
                </c:pt>
                <c:pt idx="3">
                  <c:v>128286</c:v>
                </c:pt>
                <c:pt idx="4">
                  <c:v>112161</c:v>
                </c:pt>
                <c:pt idx="5">
                  <c:v>150043</c:v>
                </c:pt>
                <c:pt idx="6">
                  <c:v>215904</c:v>
                </c:pt>
                <c:pt idx="7">
                  <c:v>149309</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194673</c:v>
                </c:pt>
                <c:pt idx="1">
                  <c:v>206922</c:v>
                </c:pt>
                <c:pt idx="2">
                  <c:v>215221</c:v>
                </c:pt>
                <c:pt idx="3">
                  <c:v>217303</c:v>
                </c:pt>
                <c:pt idx="4">
                  <c:v>238363</c:v>
                </c:pt>
                <c:pt idx="5">
                  <c:v>247573</c:v>
                </c:pt>
                <c:pt idx="6">
                  <c:v>251233</c:v>
                </c:pt>
                <c:pt idx="7">
                  <c:v>252903</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9329</c:v>
                </c:pt>
                <c:pt idx="1">
                  <c:v>10557</c:v>
                </c:pt>
                <c:pt idx="2">
                  <c:v>10816</c:v>
                </c:pt>
                <c:pt idx="3">
                  <c:v>11035</c:v>
                </c:pt>
                <c:pt idx="4">
                  <c:v>11204</c:v>
                </c:pt>
                <c:pt idx="5">
                  <c:v>13497</c:v>
                </c:pt>
                <c:pt idx="6">
                  <c:v>13970</c:v>
                </c:pt>
                <c:pt idx="7">
                  <c:v>16170</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-49347</c:v>
                </c:pt>
                <c:pt idx="1">
                  <c:v>-64293</c:v>
                </c:pt>
                <c:pt idx="2">
                  <c:v>0</c:v>
                </c:pt>
                <c:pt idx="3">
                  <c:v>29809</c:v>
                </c:pt>
                <c:pt idx="4">
                  <c:v>-36419</c:v>
                </c:pt>
                <c:pt idx="5">
                  <c:v>-46368</c:v>
                </c:pt>
                <c:pt idx="6">
                  <c:v>114462</c:v>
                </c:pt>
                <c:pt idx="7">
                  <c:v>75934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0.98829999999999996</v>
    <v>-0.375</v>
    <v>-3.6372000000000002E-2</v>
    <v>0.04</v>
    <v>4.0280000000000003E-3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10.315</v>
    <v>Software &amp; IT Services</v>
    <v>Stock</v>
    <v>46198.912302546094</v>
    <v>0</v>
    <v>9.91</v>
    <v>5147525180</v>
    <v>UIPATH, INC.</v>
    <v>UIPATH, INC.</v>
    <v>10.11</v>
    <v>16.514299999999999</v>
    <v>10.31</v>
    <v>9.9350000000000005</v>
    <v>9.9700000000000006</v>
    <v>518120300</v>
    <v>PATH</v>
    <v>UIPATH, INC. (XNYS:PATH)</v>
    <v>50714464</v>
    <v>49244198</v>
    <v>2015</v>
  </rv>
  <rv s="2">
    <v>1</v>
  </rv>
  <rv s="0">
    <v>https://www.bing.com/financeapi/forcetrigger?t=a33knm&amp;q=10+Y+TSY+YLD+NDX&amp;form=skydnc</v>
    <v>Learn more on Bing</v>
  </rv>
  <rv s="3">
    <v>5</v>
    <v>10 Y TSY YLD NDX</v>
    <v>6</v>
    <v>7</v>
    <v>Finance</v>
    <v>8</v>
    <v>en-US</v>
    <v>a33knm</v>
    <v>268435456</v>
    <v>1</v>
    <v>Powered by Refinitiv</v>
    <v>46.87</v>
    <v>39.47</v>
    <v>-0.1</v>
    <v>-2.2720000000000001E-3</v>
    <v>US</v>
    <v>44.14</v>
    <v>Index</v>
    <v>3</v>
    <v>43.63</v>
    <v>10 Y TSY YLD NDX</v>
    <v>44.12</v>
    <v>44.02</v>
    <v>43.92</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F5" sqref="F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9" t="s">
        <v>18</v>
      </c>
      <c r="C2" s="250"/>
      <c r="E2" s="249" t="s">
        <v>336</v>
      </c>
      <c r="F2" s="250"/>
      <c r="H2" s="249" t="s">
        <v>381</v>
      </c>
      <c r="I2" s="250"/>
    </row>
    <row r="3" spans="2:9" x14ac:dyDescent="0.2">
      <c r="B3" s="206" t="s">
        <v>11</v>
      </c>
      <c r="C3" s="238" t="e" vm="1">
        <v>#VALUE!</v>
      </c>
      <c r="D3" s="2"/>
      <c r="E3" s="206" t="s">
        <v>288</v>
      </c>
      <c r="F3" s="208">
        <f ca="1">Statement!AC153</f>
        <v>5189596.9249999998</v>
      </c>
      <c r="H3" s="206" t="str">
        <f>'AVG target price'!B5</f>
        <v>DCF price</v>
      </c>
      <c r="I3" s="232">
        <f>'AVG target price'!C5</f>
        <v>6.2175596245918179</v>
      </c>
    </row>
    <row r="4" spans="2:9" x14ac:dyDescent="0.2">
      <c r="B4" s="206" t="s">
        <v>0</v>
      </c>
      <c r="C4" s="210" t="str" cm="1">
        <f t="array" aca="1" ref="C4" ca="1">_FV(C3,"Ticker symbol",TRUE)</f>
        <v>PATH</v>
      </c>
      <c r="E4" s="207" t="s">
        <v>229</v>
      </c>
      <c r="F4" s="209">
        <f ca="1">Statement!AC154</f>
        <v>3773850.9249999998</v>
      </c>
      <c r="H4" s="206" t="str">
        <f>'AVG target price'!B6</f>
        <v>EV/EBIT price</v>
      </c>
      <c r="I4" s="232">
        <f>'AVG target price'!C6</f>
        <v>15.469508957927841</v>
      </c>
    </row>
    <row r="5" spans="2:9" x14ac:dyDescent="0.2">
      <c r="B5" s="206" t="s">
        <v>1</v>
      </c>
      <c r="C5" s="229" cm="1">
        <f t="array" aca="1" ref="C5" ca="1">_FV(C3,"Price",TRUE)</f>
        <v>9.9350000000000005</v>
      </c>
      <c r="E5" s="206" t="s">
        <v>292</v>
      </c>
      <c r="F5" s="211">
        <f>Statement!AC26</f>
        <v>0.60000000000000009</v>
      </c>
      <c r="H5" s="206" t="str">
        <f>'AVG target price'!B7</f>
        <v>PS price</v>
      </c>
      <c r="I5" s="232">
        <f>'AVG target price'!C7</f>
        <v>13.993493556532998</v>
      </c>
    </row>
    <row r="6" spans="2:9" x14ac:dyDescent="0.2">
      <c r="B6" s="206" t="s">
        <v>2</v>
      </c>
      <c r="C6" s="229" cm="1">
        <f t="array" aca="1" ref="C6" ca="1">_FV(C3,"Price (Extended hours)",TRUE)</f>
        <v>9.9700000000000006</v>
      </c>
      <c r="E6" s="206" t="s">
        <v>286</v>
      </c>
      <c r="F6" s="211">
        <f ca="1">Statement!AC150</f>
        <v>16.55833333333333</v>
      </c>
      <c r="H6" s="206" t="str">
        <f>'AVG target price'!B8</f>
        <v>EV/FCFF price</v>
      </c>
      <c r="I6" s="232">
        <f>'AVG target price'!C8</f>
        <v>10.334200177437685</v>
      </c>
    </row>
    <row r="7" spans="2:9" x14ac:dyDescent="0.2">
      <c r="B7" s="206" t="s">
        <v>3</v>
      </c>
      <c r="C7" s="6" cm="1">
        <f t="array" aca="1" ref="C7" ca="1">_FV(C3,"Change")</f>
        <v>-0.375</v>
      </c>
      <c r="E7" s="207" t="s">
        <v>242</v>
      </c>
      <c r="F7" s="212">
        <f ca="1">Statement!AC151</f>
        <v>3.2005907887498282</v>
      </c>
      <c r="H7" s="205" t="str">
        <f>'AVG target price'!B9</f>
        <v>AVG price</v>
      </c>
      <c r="I7" s="233">
        <f>'AVG target price'!C9</f>
        <v>11.503690579122585</v>
      </c>
    </row>
    <row r="8" spans="2:9" x14ac:dyDescent="0.2">
      <c r="B8" s="206" t="s">
        <v>4</v>
      </c>
      <c r="C8" s="6" cm="1">
        <f t="array" aca="1" ref="C8" ca="1">_FV(C3,"Change (extended hours)",TRUE)</f>
        <v>0.04</v>
      </c>
      <c r="E8" s="206" t="s">
        <v>314</v>
      </c>
      <c r="F8" s="213">
        <f ca="1">Statement!AC161</f>
        <v>2.0735521766943394E-2</v>
      </c>
      <c r="H8" s="205" t="str">
        <f>'AVG target price'!B11</f>
        <v>Upside/Downside</v>
      </c>
      <c r="I8" s="234">
        <f ca="1">'AVG target price'!C11</f>
        <v>0.15789537786840308</v>
      </c>
    </row>
    <row r="9" spans="2:9" x14ac:dyDescent="0.2">
      <c r="B9" s="206" t="s">
        <v>5</v>
      </c>
      <c r="C9" s="73" cm="1">
        <f t="array" aca="1" ref="C9" ca="1">_FV(C3,"Change (%)",TRUE)</f>
        <v>-3.6372000000000002E-2</v>
      </c>
      <c r="E9" s="206" t="s">
        <v>337</v>
      </c>
      <c r="F9" s="213">
        <f ca="1">Statement!AC162</f>
        <v>6.0392551585304488E-2</v>
      </c>
    </row>
    <row r="10" spans="2:9" x14ac:dyDescent="0.2">
      <c r="B10" s="206" t="s">
        <v>6</v>
      </c>
      <c r="C10" s="73" cm="1">
        <f t="array" aca="1" ref="C10" ca="1">_FV(C3,"Change % (extended hours)",TRUE)</f>
        <v>4.0280000000000003E-3</v>
      </c>
      <c r="E10" s="206" t="s">
        <v>342</v>
      </c>
      <c r="F10" s="213">
        <f ca="1">Statement!AC164</f>
        <v>6.6550833328929498E-2</v>
      </c>
    </row>
    <row r="11" spans="2:9" x14ac:dyDescent="0.2">
      <c r="B11" s="206" t="s">
        <v>7</v>
      </c>
      <c r="C11" s="230" cm="1">
        <f t="array" aca="1" ref="C11" ca="1">_FV(C3,"52 week high",TRUE)</f>
        <v>19.84</v>
      </c>
      <c r="E11" s="207" t="s">
        <v>338</v>
      </c>
      <c r="F11" s="214">
        <f ca="1">Statement!AC163</f>
        <v>0</v>
      </c>
    </row>
    <row r="12" spans="2:9" x14ac:dyDescent="0.2">
      <c r="B12" s="206" t="s">
        <v>8</v>
      </c>
      <c r="C12" s="230" cm="1">
        <f t="array" aca="1" ref="C12" ca="1">_FV(C3,"52 week low",TRUE)</f>
        <v>9.2002000000000006</v>
      </c>
      <c r="E12" s="206" t="s">
        <v>121</v>
      </c>
      <c r="F12" s="213">
        <f>Statement!AC123</f>
        <v>0.1127173202051847</v>
      </c>
    </row>
    <row r="13" spans="2:9" x14ac:dyDescent="0.2">
      <c r="B13" s="206" t="s">
        <v>9</v>
      </c>
      <c r="C13" s="230" cm="1">
        <f t="array" aca="1" ref="C13" ca="1">_FV(C3,"Beta")</f>
        <v>0.98829999999999996</v>
      </c>
      <c r="E13" s="206" t="s">
        <v>123</v>
      </c>
      <c r="F13" s="213">
        <f>Statement!AC125</f>
        <v>0.17205256008386913</v>
      </c>
    </row>
    <row r="14" spans="2:9" x14ac:dyDescent="0.2">
      <c r="B14" s="207" t="s">
        <v>10</v>
      </c>
      <c r="C14" s="231" cm="1">
        <f t="array" aca="1" ref="C14" ca="1">_FV(C3,"Volume average",TRUE)</f>
        <v>49244198</v>
      </c>
      <c r="E14" s="207" t="s">
        <v>124</v>
      </c>
      <c r="F14" s="214">
        <f>Statement!AC140</f>
        <v>0.2076253183886507</v>
      </c>
    </row>
    <row r="15" spans="2:9" x14ac:dyDescent="0.2">
      <c r="E15" s="206" t="s">
        <v>339</v>
      </c>
      <c r="F15" s="213">
        <f ca="1">Statement!AC176</f>
        <v>0.27280461670922546</v>
      </c>
    </row>
    <row r="16" spans="2:9" x14ac:dyDescent="0.2">
      <c r="E16" s="207" t="s">
        <v>344</v>
      </c>
      <c r="F16" s="212">
        <f>Statement!AC175</f>
        <v>2.732462108272006</v>
      </c>
    </row>
    <row r="17" spans="2:9" x14ac:dyDescent="0.2">
      <c r="B17" s="251" t="s">
        <v>103</v>
      </c>
      <c r="C17" s="251"/>
      <c r="E17" s="205" t="s">
        <v>345</v>
      </c>
      <c r="F17" s="215">
        <f>Statement!AC171</f>
        <v>0.2236199519483876</v>
      </c>
    </row>
    <row r="18" spans="2:9" x14ac:dyDescent="0.2">
      <c r="B18" s="205" t="s">
        <v>12</v>
      </c>
      <c r="C18" s="69" t="s">
        <v>14</v>
      </c>
      <c r="E18" s="206" t="s">
        <v>346</v>
      </c>
      <c r="F18" s="211">
        <f>Statement!AC144</f>
        <v>40.164814474593925</v>
      </c>
      <c r="I18" s="50"/>
    </row>
    <row r="19" spans="2:9" x14ac:dyDescent="0.2">
      <c r="B19" s="205" t="s">
        <v>13</v>
      </c>
      <c r="C19" s="70">
        <v>1000</v>
      </c>
      <c r="E19" s="206" t="s">
        <v>307</v>
      </c>
      <c r="F19" s="211">
        <f>Statement!AC146</f>
        <v>-0.74396849127545694</v>
      </c>
    </row>
    <row r="20" spans="2:9" x14ac:dyDescent="0.2">
      <c r="B20" s="205" t="s">
        <v>104</v>
      </c>
      <c r="C20" s="69" t="s">
        <v>105</v>
      </c>
      <c r="E20" s="207" t="s">
        <v>347</v>
      </c>
      <c r="F20" s="212">
        <f>Statement!AC147</f>
        <v>2.063021693804965</v>
      </c>
    </row>
    <row r="21" spans="2:9" x14ac:dyDescent="0.2">
      <c r="B21" s="205" t="s">
        <v>106</v>
      </c>
      <c r="C21" s="69" t="s">
        <v>107</v>
      </c>
      <c r="I21" s="50"/>
    </row>
    <row r="22" spans="2:9" x14ac:dyDescent="0.2">
      <c r="B22" s="205" t="s">
        <v>108</v>
      </c>
      <c r="C22" s="69" t="s">
        <v>107</v>
      </c>
    </row>
    <row r="25" spans="2:9" x14ac:dyDescent="0.2">
      <c r="B25" s="251" t="s">
        <v>126</v>
      </c>
      <c r="C25" s="251"/>
      <c r="E25" s="249" t="s">
        <v>401</v>
      </c>
      <c r="F25" s="250"/>
    </row>
    <row r="26" spans="2:9" x14ac:dyDescent="0.2">
      <c r="B26" s="205" t="s">
        <v>127</v>
      </c>
      <c r="C26" s="191">
        <v>0.21</v>
      </c>
      <c r="E26" s="206" t="e" vm="2">
        <v>#VALUE!</v>
      </c>
      <c r="F26" s="240" cm="1">
        <f t="array" aca="1" ref="F26" ca="1">_FV(E26,"Price")</f>
        <v>43.92</v>
      </c>
    </row>
    <row r="27" spans="2:9" x14ac:dyDescent="0.2">
      <c r="B27" s="205" t="s">
        <v>213</v>
      </c>
      <c r="C27" s="242">
        <v>0</v>
      </c>
      <c r="E27" s="207" t="s">
        <v>402</v>
      </c>
      <c r="F27" s="241">
        <f ca="1">F26/1000</f>
        <v>4.3920000000000001E-2</v>
      </c>
    </row>
    <row r="28" spans="2:9" x14ac:dyDescent="0.2">
      <c r="B28" s="205" t="s">
        <v>406</v>
      </c>
      <c r="C28" s="242">
        <v>0.1</v>
      </c>
    </row>
    <row r="29" spans="2:9" x14ac:dyDescent="0.2">
      <c r="B29" s="205" t="s">
        <v>407</v>
      </c>
      <c r="C29" s="242">
        <v>0.12</v>
      </c>
    </row>
    <row r="33" spans="2:8" x14ac:dyDescent="0.2">
      <c r="B33" s="252" t="s">
        <v>391</v>
      </c>
      <c r="C33" s="252"/>
      <c r="D33" s="252"/>
      <c r="E33" s="252"/>
      <c r="F33" s="252"/>
      <c r="G33" s="252"/>
      <c r="H33" s="252"/>
    </row>
    <row r="35" spans="2:8" x14ac:dyDescent="0.2">
      <c r="B35" s="16" t="s">
        <v>392</v>
      </c>
      <c r="C35" s="1" t="s">
        <v>397</v>
      </c>
    </row>
    <row r="36" spans="2:8" x14ac:dyDescent="0.2">
      <c r="B36" s="16" t="s">
        <v>393</v>
      </c>
      <c r="C36" s="1" t="s">
        <v>396</v>
      </c>
    </row>
    <row r="39" spans="2:8" ht="6" customHeight="1" x14ac:dyDescent="0.2">
      <c r="B39" s="252"/>
      <c r="C39" s="252"/>
      <c r="D39" s="252"/>
      <c r="E39" s="252"/>
      <c r="F39" s="252"/>
      <c r="G39" s="252"/>
      <c r="H39" s="252"/>
    </row>
    <row r="42" spans="2:8" x14ac:dyDescent="0.2">
      <c r="B42" s="252" t="s">
        <v>394</v>
      </c>
      <c r="C42" s="252"/>
      <c r="D42" s="252"/>
      <c r="E42" s="252"/>
      <c r="F42" s="252"/>
      <c r="G42" s="252"/>
      <c r="H42" s="252"/>
    </row>
    <row r="44" spans="2:8" x14ac:dyDescent="0.2">
      <c r="B44" s="41" t="s">
        <v>395</v>
      </c>
      <c r="C44" s="41" t="s">
        <v>382</v>
      </c>
      <c r="D44" s="41"/>
      <c r="E44" s="41" t="s">
        <v>383</v>
      </c>
    </row>
    <row r="49" spans="2:8" ht="5" customHeight="1" x14ac:dyDescent="0.2">
      <c r="B49" s="252"/>
      <c r="C49" s="252"/>
      <c r="D49" s="252"/>
      <c r="E49" s="252"/>
      <c r="F49" s="252"/>
      <c r="G49" s="252"/>
      <c r="H49" s="252"/>
    </row>
    <row r="52" spans="2:8" x14ac:dyDescent="0.2">
      <c r="B52" s="252" t="s">
        <v>128</v>
      </c>
      <c r="C52" s="252"/>
      <c r="D52" s="252"/>
      <c r="E52" s="252"/>
      <c r="F52" s="252"/>
      <c r="G52" s="252"/>
      <c r="H52" s="252"/>
    </row>
    <row r="54" spans="2:8" x14ac:dyDescent="0.2">
      <c r="B54" s="41" t="s">
        <v>395</v>
      </c>
      <c r="C54" s="41" t="s">
        <v>382</v>
      </c>
      <c r="D54" s="41"/>
      <c r="E54" s="41" t="s">
        <v>383</v>
      </c>
    </row>
    <row r="59" spans="2:8" ht="5" customHeight="1" x14ac:dyDescent="0.2">
      <c r="B59" s="252"/>
      <c r="C59" s="252"/>
      <c r="D59" s="252"/>
      <c r="E59" s="252"/>
      <c r="F59" s="252"/>
      <c r="G59" s="252"/>
      <c r="H59" s="252"/>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zoomScale="170" zoomScaleNormal="150" workbookViewId="0">
      <pane xSplit="2" ySplit="3" topLeftCell="I193" activePane="bottomRight" state="frozen"/>
      <selection pane="topRight" activeCell="C1" sqref="C1"/>
      <selection pane="bottomLeft" activeCell="A4" sqref="A4"/>
      <selection pane="bottomRight" activeCell="B197" sqref="B19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10" t="s">
        <v>93</v>
      </c>
      <c r="Z2" s="10" t="s">
        <v>86</v>
      </c>
      <c r="AA2" s="10" t="s">
        <v>382</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10" t="s">
        <v>94</v>
      </c>
      <c r="Z3" s="10" t="s">
        <v>91</v>
      </c>
      <c r="AA3" s="10" t="s">
        <v>383</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316253</v>
      </c>
      <c r="U5" s="18">
        <v>354653</v>
      </c>
      <c r="V5" s="18">
        <v>423646</v>
      </c>
      <c r="W5" s="18">
        <v>356624</v>
      </c>
      <c r="X5" s="18">
        <v>361728</v>
      </c>
      <c r="Y5" s="18">
        <v>411113</v>
      </c>
      <c r="Z5" s="18">
        <v>481107</v>
      </c>
      <c r="AA5" s="18">
        <v>418382</v>
      </c>
      <c r="AB5" s="16"/>
      <c r="AC5" s="18">
        <f>SUM(X5:AA5)</f>
        <v>1672330</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63320</v>
      </c>
      <c r="U6" s="21">
        <v>63763</v>
      </c>
      <c r="V6" s="21">
        <v>64534</v>
      </c>
      <c r="W6" s="21">
        <v>63857</v>
      </c>
      <c r="X6" s="21">
        <v>64380</v>
      </c>
      <c r="Y6" s="21">
        <v>68812</v>
      </c>
      <c r="Z6" s="21">
        <v>73935</v>
      </c>
      <c r="AA6" s="21">
        <v>76928</v>
      </c>
      <c r="AC6" s="21">
        <f t="shared" ref="AC6:AC18" si="0">SUM(X6:AA6)</f>
        <v>284055</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Z7" si="2">T5-T6</f>
        <v>252933</v>
      </c>
      <c r="U7" s="22">
        <f t="shared" si="2"/>
        <v>290890</v>
      </c>
      <c r="V7" s="22">
        <f t="shared" si="2"/>
        <v>359112</v>
      </c>
      <c r="W7" s="22">
        <f t="shared" si="2"/>
        <v>292767</v>
      </c>
      <c r="X7" s="22">
        <f t="shared" si="2"/>
        <v>297348</v>
      </c>
      <c r="Y7" s="22">
        <f t="shared" si="2"/>
        <v>342301</v>
      </c>
      <c r="Z7" s="22">
        <f t="shared" si="2"/>
        <v>407172</v>
      </c>
      <c r="AA7" s="22">
        <f t="shared" ref="AA7" si="3">AA5-AA6</f>
        <v>341454</v>
      </c>
      <c r="AB7" s="16"/>
      <c r="AC7" s="22">
        <f t="shared" si="0"/>
        <v>1388275</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194330</v>
      </c>
      <c r="U8" s="21">
        <v>187188</v>
      </c>
      <c r="V8" s="21">
        <v>176836</v>
      </c>
      <c r="W8" s="21">
        <v>159661</v>
      </c>
      <c r="X8" s="21">
        <v>166303</v>
      </c>
      <c r="Y8" s="21">
        <v>179186</v>
      </c>
      <c r="Z8" s="21">
        <v>178179</v>
      </c>
      <c r="AA8" s="21">
        <v>167859</v>
      </c>
      <c r="AC8" s="21">
        <f t="shared" si="0"/>
        <v>691527</v>
      </c>
    </row>
    <row r="9" spans="1:31" x14ac:dyDescent="0.2">
      <c r="B9" s="20" t="s">
        <v>23</v>
      </c>
      <c r="C9" s="21"/>
      <c r="D9" s="21"/>
      <c r="E9" s="21"/>
      <c r="F9" s="21"/>
      <c r="G9" s="21"/>
      <c r="H9" s="21"/>
      <c r="I9" s="21"/>
      <c r="J9" s="21"/>
      <c r="K9" s="21"/>
      <c r="L9" s="21"/>
      <c r="M9" s="21">
        <v>276657</v>
      </c>
      <c r="N9" s="21">
        <v>285750</v>
      </c>
      <c r="O9" s="21">
        <v>332101</v>
      </c>
      <c r="P9" s="21">
        <v>380682</v>
      </c>
      <c r="Q9" s="21">
        <v>385208</v>
      </c>
      <c r="T9" s="21">
        <v>98433</v>
      </c>
      <c r="U9" s="21">
        <v>96976</v>
      </c>
      <c r="V9" s="21">
        <v>99670</v>
      </c>
      <c r="W9" s="21">
        <v>94839</v>
      </c>
      <c r="X9" s="21">
        <v>98341</v>
      </c>
      <c r="Y9" s="21">
        <v>96869</v>
      </c>
      <c r="Z9" s="21">
        <v>95159</v>
      </c>
      <c r="AA9" s="21">
        <v>92902</v>
      </c>
      <c r="AC9" s="21">
        <f t="shared" si="0"/>
        <v>383271</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63519</v>
      </c>
      <c r="U10" s="21">
        <v>50090</v>
      </c>
      <c r="V10" s="21">
        <v>48997</v>
      </c>
      <c r="W10" s="21">
        <v>54679</v>
      </c>
      <c r="X10" s="21">
        <v>52889</v>
      </c>
      <c r="Y10" s="21">
        <v>53175</v>
      </c>
      <c r="Z10" s="21">
        <v>53548</v>
      </c>
      <c r="AA10" s="21">
        <v>52706</v>
      </c>
      <c r="AC10" s="21">
        <f t="shared" si="0"/>
        <v>212318</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356282</v>
      </c>
      <c r="U11" s="24">
        <f t="shared" ref="U11" si="6">SUM(U8:U10)</f>
        <v>334254</v>
      </c>
      <c r="V11" s="24">
        <f t="shared" ref="V11" si="7">SUM(V8:V10)</f>
        <v>325503</v>
      </c>
      <c r="W11" s="24">
        <f t="shared" ref="W11" si="8">SUM(W8:W10)</f>
        <v>309179</v>
      </c>
      <c r="X11" s="24">
        <f t="shared" ref="X11" si="9">SUM(X8:X10)</f>
        <v>317533</v>
      </c>
      <c r="Y11" s="24">
        <f t="shared" ref="Y11" si="10">SUM(Y8:Y10)</f>
        <v>329230</v>
      </c>
      <c r="Z11" s="24">
        <f t="shared" ref="Z11:AA11" si="11">SUM(Z8:Z10)</f>
        <v>326886</v>
      </c>
      <c r="AA11" s="24">
        <f t="shared" si="11"/>
        <v>313467</v>
      </c>
      <c r="AC11" s="24">
        <f t="shared" si="0"/>
        <v>1287116</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-103349</v>
      </c>
      <c r="U12" s="61">
        <v>-43364</v>
      </c>
      <c r="V12" s="18">
        <v>33609</v>
      </c>
      <c r="W12" s="61">
        <v>-16412</v>
      </c>
      <c r="X12" s="61">
        <v>-20185</v>
      </c>
      <c r="Y12" s="18">
        <v>13071</v>
      </c>
      <c r="Z12" s="18">
        <v>80286</v>
      </c>
      <c r="AA12" s="18">
        <v>27987</v>
      </c>
      <c r="AB12" s="1"/>
      <c r="AC12" s="18">
        <f t="shared" si="0"/>
        <v>101159</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13370</v>
      </c>
      <c r="U13" s="62">
        <v>10055</v>
      </c>
      <c r="V13" s="62">
        <v>12167</v>
      </c>
      <c r="W13" s="62">
        <v>12648</v>
      </c>
      <c r="X13" s="62">
        <v>12004</v>
      </c>
      <c r="Y13" s="62">
        <v>11701</v>
      </c>
      <c r="Z13" s="62">
        <v>11670</v>
      </c>
      <c r="AA13" s="62">
        <v>10401</v>
      </c>
      <c r="AC13" s="62">
        <f t="shared" si="0"/>
        <v>45776</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7710</v>
      </c>
      <c r="U14" s="62">
        <v>7810</v>
      </c>
      <c r="V14" s="62">
        <v>8848</v>
      </c>
      <c r="W14" s="62">
        <v>-15964</v>
      </c>
      <c r="X14" s="62">
        <v>11508</v>
      </c>
      <c r="Y14" s="62">
        <v>-180</v>
      </c>
      <c r="Z14" s="62">
        <v>481</v>
      </c>
      <c r="AA14" s="62">
        <v>2580</v>
      </c>
      <c r="AC14" s="62">
        <f t="shared" si="0"/>
        <v>14389</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-82269</v>
      </c>
      <c r="U15" s="61">
        <v>-25499</v>
      </c>
      <c r="V15" s="18">
        <v>54624</v>
      </c>
      <c r="W15" s="61">
        <v>-19728</v>
      </c>
      <c r="X15" s="18">
        <v>3327</v>
      </c>
      <c r="Y15" s="18">
        <v>24592</v>
      </c>
      <c r="Z15" s="18">
        <v>92437</v>
      </c>
      <c r="AA15" s="18">
        <v>40968</v>
      </c>
      <c r="AB15" s="1"/>
      <c r="AC15" s="18">
        <f t="shared" si="0"/>
        <v>161324</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-3828</v>
      </c>
      <c r="U16" s="62">
        <v>14844</v>
      </c>
      <c r="V16" s="62">
        <v>-2830</v>
      </c>
      <c r="W16" s="62">
        <v>-2827</v>
      </c>
      <c r="X16" s="62">
        <v>-1743</v>
      </c>
      <c r="Y16" s="62">
        <v>174247</v>
      </c>
      <c r="Z16" s="62">
        <v>12025</v>
      </c>
      <c r="AA16" s="62">
        <v>-18443</v>
      </c>
      <c r="AC16" s="62">
        <f t="shared" si="0"/>
        <v>166086</v>
      </c>
    </row>
    <row r="17" spans="1:31" x14ac:dyDescent="0.2">
      <c r="B17" s="23" t="s">
        <v>384</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-86097</v>
      </c>
      <c r="U18" s="61">
        <v>-10655</v>
      </c>
      <c r="V18" s="61">
        <v>51794</v>
      </c>
      <c r="W18" s="61">
        <v>-22555</v>
      </c>
      <c r="X18" s="61">
        <v>1584</v>
      </c>
      <c r="Y18" s="61">
        <v>198839</v>
      </c>
      <c r="Z18" s="61">
        <v>104462</v>
      </c>
      <c r="AA18" s="61">
        <v>22525</v>
      </c>
      <c r="AB18" s="1"/>
      <c r="AC18" s="61">
        <f t="shared" si="0"/>
        <v>327410</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568042</v>
      </c>
      <c r="U19" s="62">
        <v>551036</v>
      </c>
      <c r="V19" s="62">
        <v>550948</v>
      </c>
      <c r="W19" s="62">
        <v>548451</v>
      </c>
      <c r="X19" s="62">
        <v>536169</v>
      </c>
      <c r="Y19" s="62">
        <v>532255</v>
      </c>
      <c r="Z19" s="62">
        <v>535962</v>
      </c>
      <c r="AA19" s="62">
        <v>523584</v>
      </c>
      <c r="AC19" s="62">
        <f>AVERAGE(X19:AA19)</f>
        <v>531992.5</v>
      </c>
    </row>
    <row r="20" spans="1:31" x14ac:dyDescent="0.2">
      <c r="B20" s="23" t="s">
        <v>34</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454625</v>
      </c>
      <c r="N20" s="25">
        <f t="shared" si="12"/>
        <v>548022</v>
      </c>
      <c r="O20" s="25">
        <f t="shared" si="12"/>
        <v>563855</v>
      </c>
      <c r="P20" s="25">
        <f t="shared" si="12"/>
        <v>559933</v>
      </c>
      <c r="Q20" s="25">
        <f t="shared" si="12"/>
        <v>538125</v>
      </c>
      <c r="T20" s="25">
        <f t="shared" ref="T20:AA20" si="13">T19*T$85</f>
        <v>568042</v>
      </c>
      <c r="U20" s="25">
        <f t="shared" si="13"/>
        <v>551036</v>
      </c>
      <c r="V20" s="25">
        <f t="shared" si="13"/>
        <v>550948</v>
      </c>
      <c r="W20" s="25">
        <f t="shared" si="13"/>
        <v>548451</v>
      </c>
      <c r="X20" s="25">
        <f t="shared" si="13"/>
        <v>536169</v>
      </c>
      <c r="Y20" s="25">
        <f t="shared" si="13"/>
        <v>532255</v>
      </c>
      <c r="Z20" s="25">
        <f t="shared" si="13"/>
        <v>535962</v>
      </c>
      <c r="AA20" s="25">
        <f t="shared" si="13"/>
        <v>523584</v>
      </c>
      <c r="AC20" s="25">
        <f>AC19*AC$85</f>
        <v>531992.5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568042</v>
      </c>
      <c r="U21" s="62">
        <v>551036</v>
      </c>
      <c r="V21" s="62">
        <v>555373</v>
      </c>
      <c r="W21" s="62">
        <v>548451</v>
      </c>
      <c r="X21" s="62">
        <v>542865</v>
      </c>
      <c r="Y21" s="62">
        <v>539018</v>
      </c>
      <c r="Z21" s="62">
        <v>545284</v>
      </c>
      <c r="AA21" s="62">
        <v>527818</v>
      </c>
      <c r="AC21" s="62">
        <f>AVERAGE(X21:AA21)</f>
        <v>538746.25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AA22" si="15">T21*T$85</f>
        <v>568042</v>
      </c>
      <c r="U22" s="25">
        <f t="shared" si="15"/>
        <v>551036</v>
      </c>
      <c r="V22" s="25">
        <f t="shared" si="15"/>
        <v>555373</v>
      </c>
      <c r="W22" s="25">
        <f t="shared" si="15"/>
        <v>548451</v>
      </c>
      <c r="X22" s="25">
        <f t="shared" si="15"/>
        <v>542865</v>
      </c>
      <c r="Y22" s="25">
        <f t="shared" si="15"/>
        <v>539018</v>
      </c>
      <c r="Z22" s="25">
        <f t="shared" si="15"/>
        <v>545284</v>
      </c>
      <c r="AA22" s="25">
        <f t="shared" si="15"/>
        <v>527818</v>
      </c>
      <c r="AC22" s="25">
        <f>AC21*AC$85</f>
        <v>538746.25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-0.15</v>
      </c>
      <c r="U23" s="63">
        <v>-0.02</v>
      </c>
      <c r="V23" s="26">
        <v>0.09</v>
      </c>
      <c r="W23" s="63">
        <v>-0.04</v>
      </c>
      <c r="X23" s="26">
        <v>0</v>
      </c>
      <c r="Y23" s="26">
        <v>0.37</v>
      </c>
      <c r="Z23" s="26">
        <v>0.19</v>
      </c>
      <c r="AA23" s="26">
        <v>0.04</v>
      </c>
      <c r="AC23" s="26">
        <f>SUM(X23:AA23)</f>
        <v>0.60000000000000009</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AA24" si="16">T23/T$85</f>
        <v>-0.15</v>
      </c>
      <c r="U24" s="65">
        <f t="shared" si="16"/>
        <v>-0.02</v>
      </c>
      <c r="V24" s="65">
        <f t="shared" si="16"/>
        <v>0.09</v>
      </c>
      <c r="W24" s="65">
        <f t="shared" si="16"/>
        <v>-0.04</v>
      </c>
      <c r="X24" s="65">
        <f t="shared" si="16"/>
        <v>0</v>
      </c>
      <c r="Y24" s="65">
        <f t="shared" si="16"/>
        <v>0.37</v>
      </c>
      <c r="Z24" s="65">
        <f t="shared" si="16"/>
        <v>0.19</v>
      </c>
      <c r="AA24" s="65">
        <f t="shared" si="16"/>
        <v>0.04</v>
      </c>
      <c r="AC24" s="65">
        <f>AC23/AC$85</f>
        <v>0.60000000000000009</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-0.15</v>
      </c>
      <c r="U25" s="63">
        <v>-0.02</v>
      </c>
      <c r="V25" s="26">
        <v>0.09</v>
      </c>
      <c r="W25" s="63">
        <v>-0.04</v>
      </c>
      <c r="X25" s="26">
        <v>0</v>
      </c>
      <c r="Y25" s="26">
        <v>0.37</v>
      </c>
      <c r="Z25" s="26">
        <v>0.19</v>
      </c>
      <c r="AA25" s="26">
        <v>0.04</v>
      </c>
      <c r="AC25" s="26">
        <f>SUM(X25:AA25)</f>
        <v>0.60000000000000009</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R26" s="1"/>
      <c r="S26" s="1"/>
      <c r="T26" s="66">
        <f t="shared" ref="T26:AA26" si="17">T25/T$85</f>
        <v>-0.15</v>
      </c>
      <c r="U26" s="66">
        <f t="shared" si="17"/>
        <v>-0.02</v>
      </c>
      <c r="V26" s="66">
        <f t="shared" si="17"/>
        <v>0.09</v>
      </c>
      <c r="W26" s="66">
        <f t="shared" si="17"/>
        <v>-0.04</v>
      </c>
      <c r="X26" s="66">
        <f t="shared" si="17"/>
        <v>0</v>
      </c>
      <c r="Y26" s="66">
        <f t="shared" si="17"/>
        <v>0.37</v>
      </c>
      <c r="Z26" s="66">
        <f t="shared" si="17"/>
        <v>0.19</v>
      </c>
      <c r="AA26" s="66">
        <f t="shared" si="17"/>
        <v>0.04</v>
      </c>
      <c r="AB26" s="1"/>
      <c r="AC26" s="66">
        <f>AC25/AC$85</f>
        <v>0.60000000000000009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939313+804061</f>
        <v>1743374</v>
      </c>
      <c r="U29" s="21">
        <f>773630+795411</f>
        <v>1569041</v>
      </c>
      <c r="V29" s="21">
        <f>879196+750322</f>
        <v>1629518</v>
      </c>
      <c r="W29" s="21">
        <f>700641+854392</f>
        <v>1555033</v>
      </c>
      <c r="X29" s="21">
        <f>628617+818870</f>
        <v>1447487</v>
      </c>
      <c r="Y29" s="21">
        <f>743660+654526</f>
        <v>1398186</v>
      </c>
      <c r="Z29" s="21">
        <f>871157+601329</f>
        <v>1472486</v>
      </c>
      <c r="AA29" s="21">
        <f>632195+675049</f>
        <v>1307244</v>
      </c>
      <c r="AC29" s="21">
        <f>AA29</f>
        <v>1307244</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267706+101107</f>
        <v>368813</v>
      </c>
      <c r="U30" s="21">
        <f>336137+109918</f>
        <v>446055</v>
      </c>
      <c r="V30" s="21">
        <f>451131+88735</f>
        <v>539866</v>
      </c>
      <c r="W30" s="21">
        <f>266619+103150</f>
        <v>369769</v>
      </c>
      <c r="X30" s="21">
        <f>269810+117418</f>
        <v>387228</v>
      </c>
      <c r="Y30" s="21">
        <f>366757+129335</f>
        <v>496092</v>
      </c>
      <c r="Z30" s="21">
        <f>488265+92440</f>
        <v>580705</v>
      </c>
      <c r="AA30" s="21">
        <v>299999</v>
      </c>
      <c r="AC30" s="21">
        <f t="shared" ref="AC30:AC50" si="18">AA30</f>
        <v>299999</v>
      </c>
    </row>
    <row r="31" spans="1:31" x14ac:dyDescent="0.2">
      <c r="B31" s="20" t="s">
        <v>176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2274334</v>
      </c>
      <c r="U32" s="33">
        <v>2176478</v>
      </c>
      <c r="V32" s="33">
        <v>2338559</v>
      </c>
      <c r="W32" s="33">
        <v>2109669</v>
      </c>
      <c r="X32" s="33">
        <v>2030736</v>
      </c>
      <c r="Y32" s="33">
        <v>2093343</v>
      </c>
      <c r="Z32" s="33">
        <v>2243945</v>
      </c>
      <c r="AA32" s="33">
        <v>1918362</v>
      </c>
      <c r="AB32" s="1"/>
      <c r="AC32" s="33">
        <f t="shared" si="18"/>
        <v>1918362</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22040</v>
      </c>
      <c r="U33" s="21">
        <v>25132</v>
      </c>
      <c r="V33" s="21">
        <v>32740</v>
      </c>
      <c r="W33" s="21">
        <v>41964</v>
      </c>
      <c r="X33" s="21">
        <v>41545</v>
      </c>
      <c r="Y33" s="21">
        <v>44604</v>
      </c>
      <c r="Z33" s="21">
        <v>46014</v>
      </c>
      <c r="AA33" s="21">
        <v>45585</v>
      </c>
      <c r="AC33" s="21">
        <f t="shared" si="18"/>
        <v>45585</v>
      </c>
    </row>
    <row r="34" spans="1:31" x14ac:dyDescent="0.2">
      <c r="B34" s="20" t="s">
        <v>414</v>
      </c>
      <c r="C34" s="21"/>
      <c r="D34" s="21"/>
      <c r="E34" s="21"/>
      <c r="F34" s="21"/>
      <c r="G34" s="21"/>
      <c r="H34" s="21"/>
      <c r="I34" s="21"/>
      <c r="J34" s="21"/>
      <c r="K34" s="21"/>
      <c r="L34" s="21"/>
      <c r="M34" s="21">
        <v>19523</v>
      </c>
      <c r="N34" s="21">
        <v>2942</v>
      </c>
      <c r="O34" s="21">
        <v>0</v>
      </c>
      <c r="P34" s="21">
        <v>94113</v>
      </c>
      <c r="Q34" s="21">
        <v>216990</v>
      </c>
      <c r="T34" s="21">
        <v>0</v>
      </c>
      <c r="U34" s="21">
        <v>34397</v>
      </c>
      <c r="V34" s="21">
        <v>94113</v>
      </c>
      <c r="W34" s="21">
        <v>36467</v>
      </c>
      <c r="X34" s="21">
        <v>75151</v>
      </c>
      <c r="Y34" s="21">
        <v>121609</v>
      </c>
      <c r="Z34" s="21">
        <v>216990</v>
      </c>
      <c r="AA34" s="21">
        <v>108502</v>
      </c>
      <c r="AC34" s="21">
        <f t="shared" si="18"/>
        <v>108502</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89530</v>
      </c>
      <c r="U35" s="21">
        <v>89864</v>
      </c>
      <c r="V35" s="21">
        <v>87304</v>
      </c>
      <c r="W35" s="21">
        <v>121371</v>
      </c>
      <c r="X35" s="21">
        <v>120800</v>
      </c>
      <c r="Y35" s="21">
        <v>120625</v>
      </c>
      <c r="Z35" s="21">
        <v>125310</v>
      </c>
      <c r="AA35" s="21">
        <v>185695</v>
      </c>
      <c r="AC35" s="21">
        <f t="shared" si="18"/>
        <v>185695</v>
      </c>
    </row>
    <row r="36" spans="1:31" s="34" customFormat="1" x14ac:dyDescent="0.2">
      <c r="A36" s="16"/>
      <c r="B36" s="32" t="s">
        <v>47</v>
      </c>
      <c r="C36" s="35"/>
      <c r="D36" s="35"/>
      <c r="E36" s="35"/>
      <c r="F36" s="35"/>
      <c r="G36" s="35"/>
      <c r="H36" s="35"/>
      <c r="I36" s="35"/>
      <c r="J36" s="35"/>
      <c r="K36" s="35"/>
      <c r="L36" s="35"/>
      <c r="M36" s="35">
        <f t="shared" ref="M36:O36" si="19">M37-M32</f>
        <v>295149</v>
      </c>
      <c r="N36" s="35">
        <f t="shared" si="19"/>
        <v>390799</v>
      </c>
      <c r="O36" s="35">
        <f t="shared" si="19"/>
        <v>374346</v>
      </c>
      <c r="P36" s="35">
        <f>P37-P32</f>
        <v>526711</v>
      </c>
      <c r="Q36" s="35">
        <f>Q37-Q32</f>
        <v>935255</v>
      </c>
      <c r="R36" s="1"/>
      <c r="S36" s="1"/>
      <c r="T36" s="35">
        <f t="shared" ref="T36:Z36" si="20">T37-T32</f>
        <v>426999</v>
      </c>
      <c r="U36" s="35">
        <f t="shared" si="20"/>
        <v>486813</v>
      </c>
      <c r="V36" s="35">
        <f t="shared" si="20"/>
        <v>526711</v>
      </c>
      <c r="W36" s="35">
        <f t="shared" si="20"/>
        <v>534773</v>
      </c>
      <c r="X36" s="35">
        <f t="shared" si="20"/>
        <v>561581</v>
      </c>
      <c r="Y36" s="35">
        <f t="shared" si="20"/>
        <v>802633</v>
      </c>
      <c r="Z36" s="35">
        <f t="shared" si="20"/>
        <v>935255</v>
      </c>
      <c r="AA36" s="35">
        <f t="shared" ref="AA36" si="21">AA37-AA32</f>
        <v>986338</v>
      </c>
      <c r="AB36" s="1"/>
      <c r="AC36" s="35">
        <f t="shared" si="18"/>
        <v>986338</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2701333</v>
      </c>
      <c r="U37" s="18">
        <v>2663291</v>
      </c>
      <c r="V37" s="18">
        <v>2865270</v>
      </c>
      <c r="W37" s="18">
        <v>2644442</v>
      </c>
      <c r="X37" s="18">
        <v>2592317</v>
      </c>
      <c r="Y37" s="18">
        <v>2895976</v>
      </c>
      <c r="Z37" s="18">
        <v>3179200</v>
      </c>
      <c r="AA37" s="18">
        <v>2904700</v>
      </c>
      <c r="AB37" s="1"/>
      <c r="AC37" s="18">
        <f t="shared" si="18"/>
        <v>2904700</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9910</v>
      </c>
      <c r="U38" s="21">
        <v>18426</v>
      </c>
      <c r="V38" s="21">
        <v>33178</v>
      </c>
      <c r="W38" s="21">
        <v>16885</v>
      </c>
      <c r="X38" s="21">
        <v>19743</v>
      </c>
      <c r="Y38" s="21">
        <v>14280</v>
      </c>
      <c r="Z38" s="21">
        <v>10161</v>
      </c>
      <c r="AA38" s="21">
        <v>19699</v>
      </c>
      <c r="AC38" s="21">
        <f t="shared" si="18"/>
        <v>19699</v>
      </c>
    </row>
    <row r="39" spans="1:31" x14ac:dyDescent="0.2">
      <c r="B39" s="20" t="s">
        <v>210</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18"/>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632503</v>
      </c>
      <c r="U40" s="33">
        <v>695473</v>
      </c>
      <c r="V40" s="33">
        <v>798920</v>
      </c>
      <c r="W40" s="33">
        <v>715867</v>
      </c>
      <c r="X40" s="33">
        <v>738417</v>
      </c>
      <c r="Y40" s="33">
        <v>788700</v>
      </c>
      <c r="Z40" s="33">
        <v>905423</v>
      </c>
      <c r="AA40" s="33">
        <v>831666</v>
      </c>
      <c r="AB40" s="1"/>
      <c r="AC40" s="33">
        <f t="shared" si="18"/>
        <v>831666</v>
      </c>
      <c r="AD40" s="1"/>
      <c r="AE40" s="1"/>
    </row>
    <row r="41" spans="1:31" x14ac:dyDescent="0.2">
      <c r="B41" s="20" t="s">
        <v>210</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18"/>
        <v>0</v>
      </c>
    </row>
    <row r="42" spans="1:31" s="34" customFormat="1" x14ac:dyDescent="0.2">
      <c r="A42" s="16"/>
      <c r="B42" s="32" t="s">
        <v>51</v>
      </c>
      <c r="C42" s="35"/>
      <c r="D42" s="35"/>
      <c r="E42" s="35"/>
      <c r="F42" s="35"/>
      <c r="G42" s="35"/>
      <c r="H42" s="35"/>
      <c r="I42" s="35"/>
      <c r="J42" s="35"/>
      <c r="K42" s="35"/>
      <c r="L42" s="35"/>
      <c r="M42" s="35">
        <f t="shared" ref="M42:O42" si="22">M43-M40</f>
        <v>123032</v>
      </c>
      <c r="N42" s="35">
        <f t="shared" si="22"/>
        <v>188596</v>
      </c>
      <c r="O42" s="35">
        <f t="shared" si="22"/>
        <v>226953</v>
      </c>
      <c r="P42" s="35">
        <f>P43-P40</f>
        <v>220588</v>
      </c>
      <c r="Q42" s="35">
        <f>Q43-Q40</f>
        <v>191190</v>
      </c>
      <c r="R42" s="1"/>
      <c r="S42" s="1"/>
      <c r="T42" s="35">
        <f t="shared" ref="T42:Z42" si="23">T43-T40</f>
        <v>235249</v>
      </c>
      <c r="U42" s="35">
        <f t="shared" si="23"/>
        <v>235973</v>
      </c>
      <c r="V42" s="35">
        <f t="shared" si="23"/>
        <v>220588</v>
      </c>
      <c r="W42" s="35">
        <f t="shared" si="23"/>
        <v>230114</v>
      </c>
      <c r="X42" s="35">
        <f t="shared" si="23"/>
        <v>188197</v>
      </c>
      <c r="Y42" s="35">
        <f t="shared" si="23"/>
        <v>182659</v>
      </c>
      <c r="Z42" s="35">
        <f t="shared" si="23"/>
        <v>191190</v>
      </c>
      <c r="AA42" s="35">
        <f t="shared" ref="AA42" si="24">AA43-AA40</f>
        <v>170069</v>
      </c>
      <c r="AB42" s="1"/>
      <c r="AC42" s="35">
        <f t="shared" si="18"/>
        <v>170069</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867752</v>
      </c>
      <c r="U43" s="18">
        <v>931446</v>
      </c>
      <c r="V43" s="18">
        <v>1019508</v>
      </c>
      <c r="W43" s="18">
        <v>945981</v>
      </c>
      <c r="X43" s="18">
        <v>926614</v>
      </c>
      <c r="Y43" s="18">
        <v>971359</v>
      </c>
      <c r="Z43" s="18">
        <v>1096613</v>
      </c>
      <c r="AA43" s="18">
        <v>1001735</v>
      </c>
      <c r="AB43" s="1"/>
      <c r="AC43" s="18">
        <f t="shared" si="18"/>
        <v>1001735</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-322047</v>
      </c>
      <c r="U44" s="62">
        <v>-486985</v>
      </c>
      <c r="V44" s="62">
        <v>-494779</v>
      </c>
      <c r="W44" s="62">
        <v>-724224</v>
      </c>
      <c r="X44" s="62">
        <v>-824842</v>
      </c>
      <c r="Y44" s="62">
        <v>-824329</v>
      </c>
      <c r="Z44" s="62">
        <v>-833905</v>
      </c>
      <c r="AA44" s="62">
        <v>-1069595</v>
      </c>
      <c r="AC44" s="62">
        <f t="shared" si="18"/>
        <v>-1069595</v>
      </c>
    </row>
    <row r="45" spans="1:31" x14ac:dyDescent="0.2">
      <c r="B45" s="20" t="s">
        <v>388</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4176531</v>
      </c>
      <c r="U46" s="62">
        <v>4149569</v>
      </c>
      <c r="V46" s="62">
        <v>4333300</v>
      </c>
      <c r="W46" s="62">
        <v>4403586</v>
      </c>
      <c r="X46" s="62">
        <v>4474638</v>
      </c>
      <c r="Y46" s="62">
        <v>4531257</v>
      </c>
      <c r="Z46" s="62">
        <v>4585430</v>
      </c>
      <c r="AA46" s="62">
        <v>4628200</v>
      </c>
      <c r="AC46" s="62">
        <f t="shared" si="18"/>
        <v>4628200</v>
      </c>
    </row>
    <row r="47" spans="1:31" x14ac:dyDescent="0.2">
      <c r="B47" s="20" t="s">
        <v>389</v>
      </c>
      <c r="C47" s="21"/>
      <c r="D47" s="21"/>
      <c r="E47" s="21"/>
      <c r="F47" s="21"/>
      <c r="G47" s="21"/>
      <c r="H47" s="21"/>
      <c r="I47" s="21"/>
      <c r="J47" s="21"/>
      <c r="K47" s="21"/>
      <c r="L47" s="21"/>
      <c r="M47" s="62">
        <v>-1495946</v>
      </c>
      <c r="N47" s="62">
        <v>-1824298</v>
      </c>
      <c r="O47" s="62">
        <v>-1914181</v>
      </c>
      <c r="P47" s="62">
        <v>-1987875</v>
      </c>
      <c r="Q47" s="62">
        <v>-1705545</v>
      </c>
      <c r="T47" s="62">
        <v>-2029014</v>
      </c>
      <c r="U47" s="62">
        <v>-2039669</v>
      </c>
      <c r="V47" s="62">
        <v>-1987875</v>
      </c>
      <c r="W47" s="62">
        <v>-2010430</v>
      </c>
      <c r="X47" s="62">
        <v>-2008846</v>
      </c>
      <c r="Y47" s="62">
        <v>-1810007</v>
      </c>
      <c r="Z47" s="62">
        <v>-1705545</v>
      </c>
      <c r="AA47" s="62">
        <v>-1683020</v>
      </c>
      <c r="AC47" s="62">
        <f t="shared" si="18"/>
        <v>-1683020</v>
      </c>
    </row>
    <row r="48" spans="1:31" x14ac:dyDescent="0.2">
      <c r="B48" s="20" t="s">
        <v>384</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1833581</v>
      </c>
      <c r="U49" s="33">
        <v>1731845</v>
      </c>
      <c r="V49" s="33">
        <v>1845762</v>
      </c>
      <c r="W49" s="33">
        <v>1698461</v>
      </c>
      <c r="X49" s="33">
        <v>1665703</v>
      </c>
      <c r="Y49" s="33">
        <v>1924617</v>
      </c>
      <c r="Z49" s="33">
        <v>2082587</v>
      </c>
      <c r="AA49" s="33">
        <v>1902965</v>
      </c>
      <c r="AB49" s="1"/>
      <c r="AC49" s="33">
        <f t="shared" si="18"/>
        <v>1902965</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2701333</v>
      </c>
      <c r="U50" s="37">
        <v>2663291</v>
      </c>
      <c r="V50" s="37">
        <v>2865270</v>
      </c>
      <c r="W50" s="37">
        <v>2644442</v>
      </c>
      <c r="X50" s="37">
        <v>2592317</v>
      </c>
      <c r="Y50" s="37">
        <v>2895976</v>
      </c>
      <c r="Z50" s="37">
        <v>3179200</v>
      </c>
      <c r="AA50" s="37">
        <v>2904700</v>
      </c>
      <c r="AB50" s="1"/>
      <c r="AC50" s="37">
        <f t="shared" si="18"/>
        <v>2904700</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4581</v>
      </c>
      <c r="U53" s="62">
        <v>4534</v>
      </c>
      <c r="V53" s="62"/>
      <c r="W53" s="62">
        <v>3253</v>
      </c>
      <c r="X53" s="62">
        <v>4230</v>
      </c>
      <c r="Y53" s="62">
        <v>4513</v>
      </c>
      <c r="Z53" s="62">
        <v>4973</v>
      </c>
      <c r="AA53" s="62">
        <v>7509</v>
      </c>
      <c r="AC53" s="62">
        <f>SUM(X53:AA53)</f>
        <v>21225</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94305</v>
      </c>
      <c r="U54" s="62">
        <v>87488</v>
      </c>
      <c r="V54" s="62"/>
      <c r="W54" s="62">
        <v>76361</v>
      </c>
      <c r="X54" s="62">
        <v>78006</v>
      </c>
      <c r="Y54" s="62">
        <v>71475</v>
      </c>
      <c r="Z54" s="62">
        <v>64834</v>
      </c>
      <c r="AA54" s="62">
        <v>53310</v>
      </c>
      <c r="AC54" s="62">
        <f t="shared" ref="AC54:AC58" si="25">SUM(X54:AA54)</f>
        <v>267625</v>
      </c>
    </row>
    <row r="55" spans="1:31" x14ac:dyDescent="0.2">
      <c r="B55" s="23" t="s">
        <v>109</v>
      </c>
      <c r="C55" s="62"/>
      <c r="D55" s="62"/>
      <c r="E55" s="62"/>
      <c r="F55" s="62"/>
      <c r="G55" s="62"/>
      <c r="H55" s="62"/>
      <c r="I55" s="62"/>
      <c r="J55" s="62"/>
      <c r="K55" s="62"/>
      <c r="L55" s="62"/>
      <c r="M55" s="62">
        <v>-86387</v>
      </c>
      <c r="N55" s="62">
        <v>-123783</v>
      </c>
      <c r="O55" s="62">
        <v>-64217</v>
      </c>
      <c r="P55" s="62">
        <v>-22173</v>
      </c>
      <c r="Q55" s="62">
        <v>-25802</v>
      </c>
      <c r="T55" s="62">
        <v>3337</v>
      </c>
      <c r="U55" s="62">
        <v>-67719</v>
      </c>
      <c r="V55" s="62"/>
      <c r="W55" s="62">
        <v>197443</v>
      </c>
      <c r="X55" s="62">
        <v>-5039</v>
      </c>
      <c r="Y55" s="62">
        <v>-98947</v>
      </c>
      <c r="Z55" s="62">
        <v>-119259</v>
      </c>
      <c r="AA55" s="62">
        <v>194865</v>
      </c>
      <c r="AC55" s="62">
        <f t="shared" si="25"/>
        <v>-28380</v>
      </c>
    </row>
    <row r="56" spans="1:31" x14ac:dyDescent="0.2">
      <c r="B56" s="23" t="s">
        <v>186</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110</v>
      </c>
      <c r="C57" s="62"/>
      <c r="D57" s="62"/>
      <c r="E57" s="62"/>
      <c r="F57" s="62"/>
      <c r="G57" s="62"/>
      <c r="H57" s="62"/>
      <c r="I57" s="62"/>
      <c r="J57" s="62"/>
      <c r="K57" s="62"/>
      <c r="L57" s="62"/>
      <c r="M57" s="62">
        <v>3507</v>
      </c>
      <c r="N57" s="62">
        <v>-1571</v>
      </c>
      <c r="O57" s="62">
        <v>-5052</v>
      </c>
      <c r="P57" s="62">
        <v>27856</v>
      </c>
      <c r="Q57" s="62">
        <v>-21675</v>
      </c>
      <c r="T57" s="62">
        <v>2838</v>
      </c>
      <c r="U57" s="62">
        <v>8180</v>
      </c>
      <c r="V57" s="62"/>
      <c r="W57" s="62">
        <v>-15025</v>
      </c>
      <c r="X57" s="62">
        <v>3319</v>
      </c>
      <c r="Y57" s="62">
        <v>-5695</v>
      </c>
      <c r="Z57" s="62">
        <v>-4274</v>
      </c>
      <c r="AA57" s="62">
        <v>9390</v>
      </c>
      <c r="AC57" s="62">
        <f t="shared" si="25"/>
        <v>2740</v>
      </c>
    </row>
    <row r="58" spans="1:31" x14ac:dyDescent="0.2">
      <c r="B58" s="23" t="s">
        <v>111</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11084</v>
      </c>
      <c r="U58" s="62">
        <v>7517</v>
      </c>
      <c r="V58" s="62"/>
      <c r="W58" s="62">
        <f>-9460-13954-13074+12352-72534-2146-60261</f>
        <v>-159077</v>
      </c>
      <c r="X58" s="62">
        <v>-55572</v>
      </c>
      <c r="Y58" s="62">
        <v>9189</v>
      </c>
      <c r="Z58" s="62">
        <v>103730</v>
      </c>
      <c r="AA58" s="62">
        <f>-13977-26645-12870-24991-61062-4458-55423</f>
        <v>-199426</v>
      </c>
      <c r="AC58" s="62">
        <f t="shared" si="25"/>
        <v>-142079</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46376</v>
      </c>
      <c r="U59" s="61">
        <v>28070</v>
      </c>
      <c r="V59" s="61"/>
      <c r="W59" s="61">
        <v>119002</v>
      </c>
      <c r="X59" s="61">
        <v>41587</v>
      </c>
      <c r="Y59" s="61">
        <v>28271</v>
      </c>
      <c r="Z59" s="61">
        <v>182348</v>
      </c>
      <c r="AA59" s="61">
        <v>131928</v>
      </c>
      <c r="AB59" s="1"/>
      <c r="AC59" s="61">
        <f>SUM(X59:AA59)</f>
        <v>384134</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-1418</v>
      </c>
      <c r="U60" s="62">
        <v>-4875</v>
      </c>
      <c r="V60" s="62"/>
      <c r="W60" s="62">
        <v>-12832</v>
      </c>
      <c r="X60" s="62">
        <v>0</v>
      </c>
      <c r="Y60" s="62">
        <v>-3164</v>
      </c>
      <c r="Z60" s="62">
        <v>-3052</v>
      </c>
      <c r="AA60" s="62">
        <v>-2684</v>
      </c>
      <c r="AC60" s="62">
        <f>SUM(X60:AA60)</f>
        <v>-8900</v>
      </c>
    </row>
    <row r="61" spans="1:31" x14ac:dyDescent="0.2">
      <c r="B61" s="20" t="s">
        <v>112</v>
      </c>
      <c r="C61" s="62"/>
      <c r="D61" s="62"/>
      <c r="E61" s="62"/>
      <c r="F61" s="62"/>
      <c r="G61" s="62"/>
      <c r="H61" s="62"/>
      <c r="I61" s="62"/>
      <c r="J61" s="62"/>
      <c r="K61" s="62"/>
      <c r="L61" s="62"/>
      <c r="M61" s="62">
        <v>-2950</v>
      </c>
      <c r="N61" s="62">
        <v>0</v>
      </c>
      <c r="O61" s="62">
        <v>0</v>
      </c>
      <c r="P61" s="62">
        <v>0</v>
      </c>
      <c r="Q61" s="62">
        <v>0</v>
      </c>
      <c r="T61" s="62">
        <v>0</v>
      </c>
      <c r="U61" s="62">
        <v>0</v>
      </c>
      <c r="V61" s="62"/>
      <c r="W61" s="62">
        <v>0</v>
      </c>
      <c r="X61" s="62">
        <v>0</v>
      </c>
      <c r="Y61" s="62">
        <v>0</v>
      </c>
      <c r="Z61" s="62">
        <v>0</v>
      </c>
      <c r="AA61" s="62">
        <v>0</v>
      </c>
      <c r="AC61" s="62">
        <f t="shared" ref="AC61:AC66" si="26">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-41659</v>
      </c>
      <c r="U62" s="61">
        <v>-22914</v>
      </c>
      <c r="V62" s="61"/>
      <c r="W62" s="61">
        <v>-79923</v>
      </c>
      <c r="X62" s="61">
        <v>-655</v>
      </c>
      <c r="Y62" s="61">
        <v>100764</v>
      </c>
      <c r="Z62" s="61">
        <v>-42652</v>
      </c>
      <c r="AA62" s="61">
        <v>-112841</v>
      </c>
      <c r="AB62" s="1"/>
      <c r="AC62" s="61">
        <f t="shared" si="26"/>
        <v>-55384</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-196747</v>
      </c>
      <c r="U63" s="62">
        <v>-162651</v>
      </c>
      <c r="V63" s="62"/>
      <c r="W63" s="62">
        <v>-227525</v>
      </c>
      <c r="X63" s="62">
        <v>-101576</v>
      </c>
      <c r="Y63" s="62">
        <v>0</v>
      </c>
      <c r="Z63" s="62">
        <v>0</v>
      </c>
      <c r="AA63" s="62">
        <f>-243796</f>
        <v>-243796</v>
      </c>
      <c r="AC63" s="62">
        <f t="shared" si="26"/>
        <v>-345372</v>
      </c>
    </row>
    <row r="64" spans="1:31" x14ac:dyDescent="0.2">
      <c r="B64" s="20" t="s">
        <v>333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387</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-215151</v>
      </c>
      <c r="U66" s="71">
        <v>-172643</v>
      </c>
      <c r="V66" s="71"/>
      <c r="W66" s="71">
        <v>-235204</v>
      </c>
      <c r="X66" s="71">
        <v>-111602</v>
      </c>
      <c r="Y66" s="71">
        <v>-11167</v>
      </c>
      <c r="Z66" s="71">
        <v>-14402</v>
      </c>
      <c r="AA66" s="71">
        <v>-252191</v>
      </c>
      <c r="AB66" s="1"/>
      <c r="AC66" s="71">
        <f t="shared" si="26"/>
        <v>-389362</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-525586</v>
      </c>
      <c r="N69" s="64">
        <f t="shared" si="27"/>
        <v>-328352</v>
      </c>
      <c r="O69" s="64">
        <f t="shared" si="27"/>
        <v>-89883</v>
      </c>
      <c r="P69" s="64">
        <f t="shared" si="27"/>
        <v>-73694</v>
      </c>
      <c r="Q69" s="64">
        <f t="shared" si="27"/>
        <v>282330</v>
      </c>
      <c r="T69" s="64">
        <f t="shared" ref="T69:AA69" si="28">T5-T6-T11+T13+T14+T16-T17</f>
        <v>-86097</v>
      </c>
      <c r="U69" s="64">
        <f t="shared" si="28"/>
        <v>-10655</v>
      </c>
      <c r="V69" s="64">
        <f t="shared" si="28"/>
        <v>51794</v>
      </c>
      <c r="W69" s="64">
        <f t="shared" si="28"/>
        <v>-22555</v>
      </c>
      <c r="X69" s="64">
        <f t="shared" si="28"/>
        <v>1584</v>
      </c>
      <c r="Y69" s="64">
        <f t="shared" si="28"/>
        <v>198839</v>
      </c>
      <c r="Z69" s="64">
        <f t="shared" si="28"/>
        <v>104462</v>
      </c>
      <c r="AA69" s="64">
        <f t="shared" si="28"/>
        <v>22525</v>
      </c>
      <c r="AC69" s="64">
        <f>AC5-AC6-AC11+AC13+AC14+AC16-AC17</f>
        <v>327410</v>
      </c>
    </row>
    <row r="70" spans="1:31" s="41" customFormat="1" x14ac:dyDescent="0.2">
      <c r="A70" s="16"/>
      <c r="B70" s="17" t="s">
        <v>67</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68</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467505+82453</f>
        <v>549958</v>
      </c>
      <c r="U74" s="21">
        <f>467146+82453</f>
        <v>549599</v>
      </c>
      <c r="V74" s="21">
        <f>474040+77453</f>
        <v>551493</v>
      </c>
      <c r="W74" s="21">
        <f>457586+77453</f>
        <v>535039</v>
      </c>
      <c r="X74" s="21">
        <f>453569+77453</f>
        <v>531022</v>
      </c>
      <c r="Y74" s="21">
        <f>460444+74306</f>
        <v>534750</v>
      </c>
      <c r="Z74" s="21">
        <f t="shared" ref="Z74" si="34">459231+64691</f>
        <v>523922</v>
      </c>
      <c r="AA74" s="21">
        <f>453430+64691</f>
        <v>518121</v>
      </c>
      <c r="AC74" s="24">
        <f>AA74</f>
        <v>518121</v>
      </c>
    </row>
    <row r="75" spans="1:31" x14ac:dyDescent="0.2">
      <c r="B75" s="20" t="s">
        <v>71</v>
      </c>
      <c r="C75" s="25"/>
      <c r="D75" s="25"/>
      <c r="E75" s="25"/>
      <c r="F75" s="25"/>
      <c r="G75" s="25"/>
      <c r="H75" s="25"/>
      <c r="I75" s="25"/>
      <c r="J75" s="25"/>
      <c r="K75" s="25"/>
      <c r="L75" s="25"/>
      <c r="M75" s="25">
        <f t="shared" ref="M75:Q75" si="35">M74*M85</f>
        <v>542088</v>
      </c>
      <c r="N75" s="25">
        <f t="shared" si="35"/>
        <v>557423</v>
      </c>
      <c r="O75" s="25">
        <f t="shared" si="35"/>
        <v>569013</v>
      </c>
      <c r="P75" s="25">
        <f t="shared" si="35"/>
        <v>551493</v>
      </c>
      <c r="Q75" s="25">
        <f t="shared" si="35"/>
        <v>523922</v>
      </c>
      <c r="T75" s="25">
        <f t="shared" ref="T75" si="36">T74*T85</f>
        <v>549958</v>
      </c>
      <c r="U75" s="25">
        <f t="shared" ref="U75" si="37">U74*U85</f>
        <v>549599</v>
      </c>
      <c r="V75" s="25">
        <f t="shared" ref="V75" si="38">V74*V85</f>
        <v>551493</v>
      </c>
      <c r="W75" s="25">
        <f t="shared" ref="W75" si="39">W74*W85</f>
        <v>535039</v>
      </c>
      <c r="X75" s="25">
        <f t="shared" ref="X75" si="40">X74*X85</f>
        <v>531022</v>
      </c>
      <c r="Y75" s="25">
        <f t="shared" ref="Y75" si="41">Y74*Y85</f>
        <v>534750</v>
      </c>
      <c r="Z75" s="25">
        <f t="shared" ref="Z75:AA75" si="42">Z74*Z85</f>
        <v>523922</v>
      </c>
      <c r="AA75" s="25">
        <f t="shared" si="42"/>
        <v>518121</v>
      </c>
      <c r="AC75" s="24">
        <f>AA75</f>
        <v>518121</v>
      </c>
    </row>
    <row r="76" spans="1:31" x14ac:dyDescent="0.2">
      <c r="B76" s="20" t="s">
        <v>283</v>
      </c>
      <c r="C76" s="25"/>
      <c r="D76" s="25"/>
      <c r="E76" s="25"/>
      <c r="F76" s="25"/>
      <c r="G76" s="25"/>
      <c r="H76" s="25"/>
      <c r="I76" s="25"/>
      <c r="J76" s="25"/>
      <c r="K76" s="25"/>
      <c r="L76" s="25"/>
      <c r="M76" s="21">
        <v>0</v>
      </c>
      <c r="N76" s="21">
        <v>0</v>
      </c>
      <c r="O76" s="21">
        <v>0</v>
      </c>
      <c r="P76" s="21">
        <v>0</v>
      </c>
      <c r="Q76" s="21">
        <v>6735</v>
      </c>
      <c r="T76" s="21">
        <v>0</v>
      </c>
      <c r="U76" s="21">
        <v>0</v>
      </c>
      <c r="V76" s="21">
        <v>0</v>
      </c>
      <c r="W76" s="21">
        <v>0</v>
      </c>
      <c r="X76" s="21">
        <v>6696</v>
      </c>
      <c r="Y76" s="21">
        <v>6763</v>
      </c>
      <c r="Z76" s="21">
        <v>6735</v>
      </c>
      <c r="AA76" s="21">
        <v>4234</v>
      </c>
      <c r="AC76" s="21">
        <f>AA76</f>
        <v>4234</v>
      </c>
    </row>
    <row r="77" spans="1:31" x14ac:dyDescent="0.2">
      <c r="B77" s="20" t="s">
        <v>284</v>
      </c>
      <c r="C77" s="25"/>
      <c r="D77" s="25"/>
      <c r="E77" s="25"/>
      <c r="F77" s="25"/>
      <c r="G77" s="25"/>
      <c r="H77" s="25"/>
      <c r="I77" s="25"/>
      <c r="J77" s="25"/>
      <c r="K77" s="25"/>
      <c r="L77" s="25"/>
      <c r="M77" s="25">
        <f t="shared" ref="M77:P77" si="43">M76*M85</f>
        <v>0</v>
      </c>
      <c r="N77" s="25">
        <f t="shared" si="43"/>
        <v>0</v>
      </c>
      <c r="O77" s="25">
        <f t="shared" si="43"/>
        <v>0</v>
      </c>
      <c r="P77" s="25">
        <f t="shared" si="43"/>
        <v>0</v>
      </c>
      <c r="Q77" s="25">
        <f>Q76*Q85</f>
        <v>6735</v>
      </c>
      <c r="T77" s="25">
        <f t="shared" ref="T77:Z77" si="44">T76*T85</f>
        <v>0</v>
      </c>
      <c r="U77" s="25">
        <f t="shared" si="44"/>
        <v>0</v>
      </c>
      <c r="V77" s="25">
        <f t="shared" si="44"/>
        <v>0</v>
      </c>
      <c r="W77" s="25">
        <f t="shared" si="44"/>
        <v>0</v>
      </c>
      <c r="X77" s="25">
        <f t="shared" si="44"/>
        <v>6696</v>
      </c>
      <c r="Y77" s="25">
        <f t="shared" si="44"/>
        <v>6763</v>
      </c>
      <c r="Z77" s="25">
        <f t="shared" si="44"/>
        <v>6735</v>
      </c>
      <c r="AA77" s="25">
        <f t="shared" ref="AA77" si="45">AA76*AA85</f>
        <v>4234</v>
      </c>
      <c r="AC77" s="24">
        <f>AA77</f>
        <v>4234</v>
      </c>
    </row>
    <row r="78" spans="1:31" x14ac:dyDescent="0.2">
      <c r="B78" s="20" t="s">
        <v>285</v>
      </c>
      <c r="C78" s="25"/>
      <c r="D78" s="25"/>
      <c r="E78" s="25"/>
      <c r="F78" s="25"/>
      <c r="G78" s="25"/>
      <c r="H78" s="25"/>
      <c r="I78" s="25"/>
      <c r="J78" s="25"/>
      <c r="K78" s="25"/>
      <c r="L78" s="25"/>
      <c r="M78" s="25">
        <f t="shared" ref="M78:P78" si="46">M75+M77</f>
        <v>542088</v>
      </c>
      <c r="N78" s="25">
        <f t="shared" si="46"/>
        <v>557423</v>
      </c>
      <c r="O78" s="25">
        <f t="shared" si="46"/>
        <v>569013</v>
      </c>
      <c r="P78" s="25">
        <f t="shared" si="46"/>
        <v>551493</v>
      </c>
      <c r="Q78" s="25">
        <f>Q75+Q77</f>
        <v>530657</v>
      </c>
      <c r="T78" s="25">
        <f t="shared" ref="T78:Z78" si="47">T75+T77</f>
        <v>549958</v>
      </c>
      <c r="U78" s="25">
        <f t="shared" si="47"/>
        <v>549599</v>
      </c>
      <c r="V78" s="25">
        <f t="shared" si="47"/>
        <v>551493</v>
      </c>
      <c r="W78" s="25">
        <f t="shared" si="47"/>
        <v>535039</v>
      </c>
      <c r="X78" s="25">
        <f t="shared" si="47"/>
        <v>537718</v>
      </c>
      <c r="Y78" s="25">
        <f t="shared" si="47"/>
        <v>541513</v>
      </c>
      <c r="Z78" s="25">
        <f t="shared" si="47"/>
        <v>530657</v>
      </c>
      <c r="AA78" s="25">
        <f t="shared" ref="AA78" si="48">AA75+AA77</f>
        <v>522355</v>
      </c>
      <c r="AC78" s="24">
        <f>AA78</f>
        <v>522355</v>
      </c>
    </row>
    <row r="79" spans="1:31" x14ac:dyDescent="0.2">
      <c r="B79" s="20" t="s">
        <v>324</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325</v>
      </c>
      <c r="C80" s="25"/>
      <c r="D80" s="25"/>
      <c r="E80" s="25"/>
      <c r="F80" s="25"/>
      <c r="G80" s="25"/>
      <c r="H80" s="25"/>
      <c r="I80" s="25"/>
      <c r="J80" s="25"/>
      <c r="K80" s="25"/>
      <c r="L80" s="25"/>
      <c r="M80" s="25">
        <f t="shared" ref="M80:P80" si="49">M79*M85</f>
        <v>173692</v>
      </c>
      <c r="N80" s="25">
        <f t="shared" si="49"/>
        <v>173956</v>
      </c>
      <c r="O80" s="25">
        <f t="shared" si="49"/>
        <v>128089</v>
      </c>
      <c r="P80" s="25">
        <f t="shared" si="49"/>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0">M81/M85</f>
        <v>0</v>
      </c>
      <c r="N82" s="45">
        <f t="shared" si="50"/>
        <v>0</v>
      </c>
      <c r="O82" s="45">
        <f t="shared" si="50"/>
        <v>0</v>
      </c>
      <c r="P82" s="45">
        <f t="shared" si="50"/>
        <v>0</v>
      </c>
      <c r="Q82" s="45">
        <f t="shared" si="50"/>
        <v>0</v>
      </c>
      <c r="T82" s="45">
        <f t="shared" ref="T82" si="51">T81/T85</f>
        <v>0</v>
      </c>
      <c r="U82" s="45">
        <f t="shared" ref="U82" si="52">U81/U85</f>
        <v>0</v>
      </c>
      <c r="V82" s="45">
        <f t="shared" ref="V82" si="53">V81/V85</f>
        <v>0</v>
      </c>
      <c r="W82" s="45">
        <f t="shared" ref="W82" si="54">W81/W85</f>
        <v>0</v>
      </c>
      <c r="X82" s="45">
        <f t="shared" ref="X82" si="55">X81/X85</f>
        <v>0</v>
      </c>
      <c r="Y82" s="45">
        <f t="shared" ref="Y82" si="56">Y81/Y85</f>
        <v>0</v>
      </c>
      <c r="Z82" s="45">
        <f t="shared" ref="Z82:AA82" si="57">Z81/Z85</f>
        <v>0</v>
      </c>
      <c r="AA82" s="45">
        <f t="shared" si="57"/>
        <v>0</v>
      </c>
      <c r="AC82" s="72">
        <f>SUM(X82:AA82)</f>
        <v>0</v>
      </c>
    </row>
    <row r="83" spans="1:31" x14ac:dyDescent="0.2">
      <c r="B83" s="20" t="s">
        <v>74</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v>
      </c>
      <c r="N83" s="46">
        <f t="shared" si="58"/>
        <v>0</v>
      </c>
      <c r="O83" s="46">
        <f t="shared" si="58"/>
        <v>0</v>
      </c>
      <c r="P83" s="46">
        <f t="shared" si="58"/>
        <v>0</v>
      </c>
      <c r="Q83" s="46">
        <f t="shared" si="58"/>
        <v>0</v>
      </c>
      <c r="T83" s="46">
        <f t="shared" ref="T83:AA83" si="59">IF(AND(T15&gt;0,T16&lt;0),-(T16)/T15,0)</f>
        <v>0</v>
      </c>
      <c r="U83" s="46">
        <f t="shared" si="59"/>
        <v>0</v>
      </c>
      <c r="V83" s="46">
        <f t="shared" si="59"/>
        <v>5.1808728763913299E-2</v>
      </c>
      <c r="W83" s="46">
        <f t="shared" si="59"/>
        <v>0</v>
      </c>
      <c r="X83" s="46">
        <f t="shared" si="59"/>
        <v>0.52389540126239853</v>
      </c>
      <c r="Y83" s="46">
        <f t="shared" si="59"/>
        <v>0</v>
      </c>
      <c r="Z83" s="46">
        <f t="shared" si="59"/>
        <v>0</v>
      </c>
      <c r="AA83" s="46">
        <f t="shared" si="59"/>
        <v>0.45018062878344073</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0">IF(L5=0,
IF(M5=0,0,IF(M5&gt;0,1,-1)),
(M5-L5)/ABS(L5)
)</f>
        <v>1</v>
      </c>
      <c r="N89" s="48">
        <f t="shared" si="60"/>
        <v>0.18641482451146088</v>
      </c>
      <c r="O89" s="48">
        <f t="shared" si="60"/>
        <v>0.23568437370404344</v>
      </c>
      <c r="P89" s="48">
        <f t="shared" si="60"/>
        <v>9.2955127852289474E-2</v>
      </c>
      <c r="Q89" s="48">
        <f t="shared" si="60"/>
        <v>0.12653882310808692</v>
      </c>
      <c r="R89" s="1"/>
      <c r="S89" s="1"/>
      <c r="T89" s="48">
        <f t="shared" ref="T89:AA96" si="61">IF(S5=0,
IF(T5=0,0,IF(T5&gt;0,1,-1)),
(T5-S5)/ABS(S5)
)</f>
        <v>1</v>
      </c>
      <c r="U89" s="48">
        <f t="shared" si="61"/>
        <v>0.12142177307408941</v>
      </c>
      <c r="V89" s="48">
        <f t="shared" si="61"/>
        <v>0.1945366315807282</v>
      </c>
      <c r="W89" s="48">
        <f t="shared" si="61"/>
        <v>-0.15820283916288599</v>
      </c>
      <c r="X89" s="48">
        <f t="shared" si="61"/>
        <v>1.4311992462649737E-2</v>
      </c>
      <c r="Y89" s="48">
        <f t="shared" si="61"/>
        <v>0.13652523443029016</v>
      </c>
      <c r="Z89" s="48">
        <f t="shared" si="61"/>
        <v>0.17025489342346264</v>
      </c>
      <c r="AA89" s="48">
        <f t="shared" si="61"/>
        <v>-0.13037640275448081</v>
      </c>
      <c r="AB89" s="1"/>
      <c r="AC89" s="67"/>
      <c r="AD89" s="1"/>
      <c r="AE89" s="1"/>
    </row>
    <row r="90" spans="1:31" x14ac:dyDescent="0.2">
      <c r="B90" s="20" t="s">
        <v>21</v>
      </c>
      <c r="C90" s="49"/>
      <c r="D90" s="50"/>
      <c r="E90" s="50"/>
      <c r="F90" s="50"/>
      <c r="G90" s="50"/>
      <c r="H90" s="50"/>
      <c r="I90" s="50"/>
      <c r="J90" s="50"/>
      <c r="K90" s="50"/>
      <c r="L90" s="50"/>
      <c r="M90" s="50">
        <f t="shared" si="60"/>
        <v>1</v>
      </c>
      <c r="N90" s="50">
        <f t="shared" si="60"/>
        <v>6.6223322358291689E-2</v>
      </c>
      <c r="O90" s="50">
        <f t="shared" si="60"/>
        <v>8.8158355132712404E-2</v>
      </c>
      <c r="P90" s="50">
        <f t="shared" si="60"/>
        <v>0.26039688858945303</v>
      </c>
      <c r="Q90" s="50">
        <f t="shared" si="60"/>
        <v>9.7358893991301598E-2</v>
      </c>
      <c r="T90" s="50">
        <f t="shared" si="61"/>
        <v>1</v>
      </c>
      <c r="U90" s="50">
        <f t="shared" si="61"/>
        <v>6.9962097283638664E-3</v>
      </c>
      <c r="V90" s="50">
        <f t="shared" si="61"/>
        <v>1.2091651898436397E-2</v>
      </c>
      <c r="W90" s="50">
        <f t="shared" si="61"/>
        <v>-1.0490594105432795E-2</v>
      </c>
      <c r="X90" s="50">
        <f t="shared" si="61"/>
        <v>8.1901749220915487E-3</v>
      </c>
      <c r="Y90" s="50">
        <f t="shared" si="61"/>
        <v>6.8841255048151598E-2</v>
      </c>
      <c r="Z90" s="50">
        <f t="shared" si="61"/>
        <v>7.4449223972562928E-2</v>
      </c>
      <c r="AA90" s="50">
        <f t="shared" si="61"/>
        <v>4.0481504023804696E-2</v>
      </c>
      <c r="AC90" s="68"/>
    </row>
    <row r="91" spans="1:31" s="41" customFormat="1" x14ac:dyDescent="0.2">
      <c r="A91" s="16"/>
      <c r="B91" s="17" t="s">
        <v>22</v>
      </c>
      <c r="C91" s="47"/>
      <c r="D91" s="48"/>
      <c r="E91" s="48"/>
      <c r="F91" s="48"/>
      <c r="G91" s="48"/>
      <c r="H91" s="48"/>
      <c r="I91" s="48"/>
      <c r="J91" s="48"/>
      <c r="K91" s="48"/>
      <c r="L91" s="48"/>
      <c r="M91" s="48">
        <f t="shared" si="60"/>
        <v>1</v>
      </c>
      <c r="N91" s="48">
        <f t="shared" si="60"/>
        <v>0.21447253464273469</v>
      </c>
      <c r="O91" s="48">
        <f t="shared" si="60"/>
        <v>0.26591920594629664</v>
      </c>
      <c r="P91" s="48">
        <f t="shared" si="60"/>
        <v>6.3457381571517466E-2</v>
      </c>
      <c r="Q91" s="48">
        <f t="shared" si="60"/>
        <v>0.13263133686529885</v>
      </c>
      <c r="R91" s="1"/>
      <c r="S91" s="1"/>
      <c r="T91" s="48">
        <f t="shared" si="61"/>
        <v>1</v>
      </c>
      <c r="U91" s="48">
        <f t="shared" si="61"/>
        <v>0.15006740915578434</v>
      </c>
      <c r="V91" s="48">
        <f t="shared" si="61"/>
        <v>0.23452851593385815</v>
      </c>
      <c r="W91" s="48">
        <f t="shared" si="61"/>
        <v>-0.18474737686292855</v>
      </c>
      <c r="X91" s="48">
        <f t="shared" si="61"/>
        <v>1.5647255325907633E-2</v>
      </c>
      <c r="Y91" s="48">
        <f t="shared" si="61"/>
        <v>0.15117976243324321</v>
      </c>
      <c r="Z91" s="48">
        <f t="shared" si="61"/>
        <v>0.18951449163163414</v>
      </c>
      <c r="AA91" s="48">
        <f t="shared" si="61"/>
        <v>-0.1614010786596328</v>
      </c>
      <c r="AB91" s="1"/>
      <c r="AC91" s="67"/>
      <c r="AD91" s="1"/>
      <c r="AE91" s="1"/>
    </row>
    <row r="92" spans="1:31" x14ac:dyDescent="0.2">
      <c r="B92" s="20" t="s">
        <v>24</v>
      </c>
      <c r="C92" s="49"/>
      <c r="D92" s="50"/>
      <c r="E92" s="50"/>
      <c r="F92" s="50"/>
      <c r="G92" s="50"/>
      <c r="H92" s="50"/>
      <c r="I92" s="50"/>
      <c r="J92" s="50"/>
      <c r="K92" s="50"/>
      <c r="L92" s="50"/>
      <c r="M92" s="50">
        <f t="shared" si="60"/>
        <v>1</v>
      </c>
      <c r="N92" s="50">
        <f t="shared" si="60"/>
        <v>5.5555396298026891E-3</v>
      </c>
      <c r="O92" s="50">
        <f t="shared" si="60"/>
        <v>1.6494716046285551E-2</v>
      </c>
      <c r="P92" s="50">
        <f t="shared" si="60"/>
        <v>3.55657453760184E-2</v>
      </c>
      <c r="Q92" s="50">
        <f t="shared" si="60"/>
        <v>-7.4698067551080383E-2</v>
      </c>
      <c r="T92" s="50">
        <f t="shared" si="61"/>
        <v>1</v>
      </c>
      <c r="U92" s="50">
        <f t="shared" si="61"/>
        <v>-3.6751916842484432E-2</v>
      </c>
      <c r="V92" s="50">
        <f t="shared" si="61"/>
        <v>-5.5302690343398082E-2</v>
      </c>
      <c r="W92" s="50">
        <f t="shared" si="61"/>
        <v>-9.7123888800922889E-2</v>
      </c>
      <c r="X92" s="50">
        <f t="shared" si="61"/>
        <v>4.1600641358879129E-2</v>
      </c>
      <c r="Y92" s="50">
        <f t="shared" si="61"/>
        <v>7.746703306615034E-2</v>
      </c>
      <c r="Z92" s="50">
        <f t="shared" si="61"/>
        <v>-5.6198586943176365E-3</v>
      </c>
      <c r="AA92" s="50">
        <f t="shared" si="61"/>
        <v>-5.7919283417237719E-2</v>
      </c>
      <c r="AC92" s="68"/>
    </row>
    <row r="93" spans="1:31" x14ac:dyDescent="0.2">
      <c r="B93" s="20" t="s">
        <v>23</v>
      </c>
      <c r="C93" s="49"/>
      <c r="D93" s="50"/>
      <c r="E93" s="50"/>
      <c r="F93" s="50"/>
      <c r="G93" s="50"/>
      <c r="H93" s="50"/>
      <c r="I93" s="50"/>
      <c r="J93" s="50"/>
      <c r="K93" s="50"/>
      <c r="L93" s="50"/>
      <c r="M93" s="50">
        <f t="shared" si="60"/>
        <v>1</v>
      </c>
      <c r="N93" s="50">
        <f t="shared" si="60"/>
        <v>3.2867413439746689E-2</v>
      </c>
      <c r="O93" s="50">
        <f t="shared" si="60"/>
        <v>0.16220822397200349</v>
      </c>
      <c r="P93" s="50">
        <f t="shared" si="60"/>
        <v>0.14628381125019196</v>
      </c>
      <c r="Q93" s="50">
        <f t="shared" si="60"/>
        <v>1.1889188351432428E-2</v>
      </c>
      <c r="T93" s="50">
        <f t="shared" si="61"/>
        <v>1</v>
      </c>
      <c r="U93" s="50">
        <f t="shared" si="61"/>
        <v>-1.4801946501681347E-2</v>
      </c>
      <c r="V93" s="50">
        <f t="shared" si="61"/>
        <v>2.7780069295495792E-2</v>
      </c>
      <c r="W93" s="50">
        <f t="shared" si="61"/>
        <v>-4.8469950837764626E-2</v>
      </c>
      <c r="X93" s="50">
        <f t="shared" si="61"/>
        <v>3.6925737302164724E-2</v>
      </c>
      <c r="Y93" s="50">
        <f t="shared" si="61"/>
        <v>-1.4968324503513285E-2</v>
      </c>
      <c r="Z93" s="50">
        <f t="shared" si="61"/>
        <v>-1.7652706232127925E-2</v>
      </c>
      <c r="AA93" s="50">
        <f t="shared" si="61"/>
        <v>-2.371819796340861E-2</v>
      </c>
      <c r="AC93" s="68"/>
    </row>
    <row r="94" spans="1:31" x14ac:dyDescent="0.2">
      <c r="B94" s="23" t="s">
        <v>25</v>
      </c>
      <c r="C94" s="49"/>
      <c r="D94" s="50"/>
      <c r="E94" s="50"/>
      <c r="F94" s="50"/>
      <c r="G94" s="50"/>
      <c r="H94" s="50"/>
      <c r="I94" s="50"/>
      <c r="J94" s="50"/>
      <c r="K94" s="50"/>
      <c r="L94" s="50"/>
      <c r="M94" s="50">
        <f t="shared" si="60"/>
        <v>1</v>
      </c>
      <c r="N94" s="50">
        <f t="shared" si="60"/>
        <v>-4.1945510038361382E-2</v>
      </c>
      <c r="O94" s="50">
        <f t="shared" si="60"/>
        <v>-3.2851088703784892E-2</v>
      </c>
      <c r="P94" s="50">
        <f t="shared" si="60"/>
        <v>-2.383470689052267E-2</v>
      </c>
      <c r="Q94" s="50">
        <f t="shared" si="60"/>
        <v>-5.2296166569371472E-2</v>
      </c>
      <c r="T94" s="50">
        <f t="shared" si="61"/>
        <v>1</v>
      </c>
      <c r="U94" s="50">
        <f t="shared" si="61"/>
        <v>-0.21141705631385885</v>
      </c>
      <c r="V94" s="50">
        <f t="shared" si="61"/>
        <v>-2.1820722699141544E-2</v>
      </c>
      <c r="W94" s="50">
        <f t="shared" si="61"/>
        <v>0.11596628365001939</v>
      </c>
      <c r="X94" s="50">
        <f t="shared" si="61"/>
        <v>-3.2736516761462352E-2</v>
      </c>
      <c r="Y94" s="50">
        <f t="shared" si="61"/>
        <v>5.407551664807427E-3</v>
      </c>
      <c r="Z94" s="50">
        <f t="shared" si="61"/>
        <v>7.014574518100611E-3</v>
      </c>
      <c r="AA94" s="50">
        <f t="shared" si="61"/>
        <v>-1.5724210054530514E-2</v>
      </c>
      <c r="AC94" s="68"/>
    </row>
    <row r="95" spans="1:31" x14ac:dyDescent="0.2">
      <c r="B95" s="23" t="s">
        <v>26</v>
      </c>
      <c r="C95" s="49"/>
      <c r="D95" s="50"/>
      <c r="E95" s="50"/>
      <c r="F95" s="50"/>
      <c r="G95" s="50"/>
      <c r="H95" s="50"/>
      <c r="I95" s="50"/>
      <c r="J95" s="50"/>
      <c r="K95" s="50"/>
      <c r="L95" s="50"/>
      <c r="M95" s="50">
        <f t="shared" si="60"/>
        <v>1</v>
      </c>
      <c r="N95" s="50">
        <f t="shared" si="60"/>
        <v>2.0280479935964979E-3</v>
      </c>
      <c r="O95" s="50">
        <f t="shared" si="60"/>
        <v>4.080083924770931E-2</v>
      </c>
      <c r="P95" s="50">
        <f t="shared" si="60"/>
        <v>5.3586588433573397E-2</v>
      </c>
      <c r="Q95" s="50">
        <f t="shared" si="60"/>
        <v>-4.6430846560335276E-2</v>
      </c>
      <c r="T95" s="50">
        <f t="shared" si="61"/>
        <v>1</v>
      </c>
      <c r="U95" s="50">
        <f t="shared" si="61"/>
        <v>-6.1827428834462586E-2</v>
      </c>
      <c r="V95" s="50">
        <f t="shared" si="61"/>
        <v>-2.6180688937155576E-2</v>
      </c>
      <c r="W95" s="50">
        <f t="shared" si="61"/>
        <v>-5.0150075421731902E-2</v>
      </c>
      <c r="X95" s="50">
        <f t="shared" si="61"/>
        <v>2.7019946374106908E-2</v>
      </c>
      <c r="Y95" s="50">
        <f t="shared" si="61"/>
        <v>3.6837116142259228E-2</v>
      </c>
      <c r="Z95" s="50">
        <f t="shared" si="61"/>
        <v>-7.119642802903745E-3</v>
      </c>
      <c r="AA95" s="50">
        <f t="shared" si="61"/>
        <v>-4.1051008608505718E-2</v>
      </c>
      <c r="AC95" s="68"/>
    </row>
    <row r="96" spans="1:31" s="41" customFormat="1" x14ac:dyDescent="0.2">
      <c r="A96" s="16"/>
      <c r="B96" s="17" t="s">
        <v>27</v>
      </c>
      <c r="C96" s="47"/>
      <c r="D96" s="48"/>
      <c r="E96" s="48"/>
      <c r="F96" s="48"/>
      <c r="G96" s="48"/>
      <c r="H96" s="48"/>
      <c r="I96" s="48"/>
      <c r="J96" s="48"/>
      <c r="K96" s="48"/>
      <c r="L96" s="48"/>
      <c r="M96" s="48">
        <f t="shared" si="60"/>
        <v>-1</v>
      </c>
      <c r="N96" s="48">
        <f t="shared" si="60"/>
        <v>0.3047494141085067</v>
      </c>
      <c r="O96" s="48">
        <f t="shared" si="60"/>
        <v>0.52705127726590162</v>
      </c>
      <c r="P96" s="48">
        <f t="shared" si="60"/>
        <v>1.3058523555123847E-2</v>
      </c>
      <c r="Q96" s="48">
        <f t="shared" si="60"/>
        <v>1.3491440557547871</v>
      </c>
      <c r="R96" s="1"/>
      <c r="S96" s="1"/>
      <c r="T96" s="48">
        <f t="shared" si="61"/>
        <v>-1</v>
      </c>
      <c r="U96" s="48">
        <f t="shared" si="61"/>
        <v>0.58041200205130195</v>
      </c>
      <c r="V96" s="48">
        <f t="shared" si="61"/>
        <v>1.7750438151462042</v>
      </c>
      <c r="W96" s="48">
        <f t="shared" si="61"/>
        <v>-1.4883215805290249</v>
      </c>
      <c r="X96" s="48">
        <f t="shared" si="61"/>
        <v>-0.22989276139410186</v>
      </c>
      <c r="Y96" s="48">
        <f t="shared" si="61"/>
        <v>1.6475600693584345</v>
      </c>
      <c r="Z96" s="48">
        <f t="shared" si="61"/>
        <v>5.1422997475327064</v>
      </c>
      <c r="AA96" s="48">
        <f t="shared" si="61"/>
        <v>-0.65140871384799337</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AA97" si="62">IF(S15=0,
IF(T15=0,0,IF(T15&gt;0,1,-1)),
(T15-S15)/ABS(S15)
)</f>
        <v>-1</v>
      </c>
      <c r="U97" s="52">
        <f t="shared" si="62"/>
        <v>0.69005336153350594</v>
      </c>
      <c r="V97" s="52">
        <f t="shared" si="62"/>
        <v>3.1422016549668617</v>
      </c>
      <c r="W97" s="52">
        <f t="shared" si="62"/>
        <v>-1.3611599297012302</v>
      </c>
      <c r="X97" s="52">
        <f t="shared" si="62"/>
        <v>1.1686435523114356</v>
      </c>
      <c r="Y97" s="52">
        <f t="shared" si="62"/>
        <v>6.3916441238352872</v>
      </c>
      <c r="Z97" s="52">
        <f t="shared" si="62"/>
        <v>2.7588240078074171</v>
      </c>
      <c r="AA97" s="52">
        <f t="shared" si="62"/>
        <v>-0.55680084814522324</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AA98" si="63">IF(S18=0,
IF(T18=0,0,IF(T18&gt;0,1,-1)),
(T18-S18)/ABS(S18)
)</f>
        <v>-1</v>
      </c>
      <c r="U98" s="52">
        <f t="shared" si="63"/>
        <v>0.87624423615224689</v>
      </c>
      <c r="V98" s="52">
        <f t="shared" si="63"/>
        <v>5.86100422336931</v>
      </c>
      <c r="W98" s="52">
        <f t="shared" si="63"/>
        <v>-1.435475151561957</v>
      </c>
      <c r="X98" s="52">
        <f t="shared" si="63"/>
        <v>1.0702283307470628</v>
      </c>
      <c r="Y98" s="52">
        <f t="shared" si="63"/>
        <v>124.52967171717172</v>
      </c>
      <c r="Z98" s="52">
        <f t="shared" si="63"/>
        <v>-0.47464028686525278</v>
      </c>
      <c r="AA98" s="52">
        <f t="shared" si="63"/>
        <v>-0.78437135034749483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AA101" si="64">T7/T5</f>
        <v>0.79978055544137128</v>
      </c>
      <c r="U101" s="50">
        <f t="shared" si="64"/>
        <v>0.82021017727186851</v>
      </c>
      <c r="V101" s="50">
        <f t="shared" si="64"/>
        <v>0.84766998862257636</v>
      </c>
      <c r="W101" s="50">
        <f t="shared" si="64"/>
        <v>0.82094026201265202</v>
      </c>
      <c r="X101" s="50">
        <f t="shared" si="64"/>
        <v>0.82202096602972397</v>
      </c>
      <c r="Y101" s="50">
        <f t="shared" si="64"/>
        <v>0.83262022850165285</v>
      </c>
      <c r="Z101" s="50">
        <f t="shared" si="64"/>
        <v>0.84632316719565504</v>
      </c>
      <c r="AA101" s="50">
        <f t="shared" si="64"/>
        <v>0.81612975701631518</v>
      </c>
      <c r="AC101" s="50">
        <f>AC7/AC5</f>
        <v>0.83014417010996633</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AA102" si="65">T12/T5</f>
        <v>-0.32679215691234548</v>
      </c>
      <c r="U102" s="50">
        <f t="shared" si="65"/>
        <v>-0.12227162888795527</v>
      </c>
      <c r="V102" s="50">
        <f t="shared" si="65"/>
        <v>7.9332744791642082E-2</v>
      </c>
      <c r="W102" s="50">
        <f t="shared" si="65"/>
        <v>-4.602045852214097E-2</v>
      </c>
      <c r="X102" s="50">
        <f t="shared" si="65"/>
        <v>-5.5801596779900917E-2</v>
      </c>
      <c r="Y102" s="50">
        <f t="shared" si="65"/>
        <v>3.1794178242964828E-2</v>
      </c>
      <c r="Z102" s="50">
        <f t="shared" si="65"/>
        <v>0.16687763844633313</v>
      </c>
      <c r="AA102" s="50">
        <f t="shared" si="65"/>
        <v>6.689341319655244E-2</v>
      </c>
      <c r="AC102" s="50">
        <f>AC12/AC5</f>
        <v>6.0489855471109168E-2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AA103" si="66">T111/T5</f>
        <v>-0.27224089573853844</v>
      </c>
      <c r="U103" s="55">
        <f t="shared" si="66"/>
        <v>-3.0043450922450959E-2</v>
      </c>
      <c r="V103" s="55">
        <f t="shared" si="66"/>
        <v>0.12225773405154303</v>
      </c>
      <c r="W103" s="55">
        <f t="shared" si="66"/>
        <v>-6.3245883619722734E-2</v>
      </c>
      <c r="X103" s="55">
        <f t="shared" si="66"/>
        <v>4.3789808917197451E-3</v>
      </c>
      <c r="Y103" s="55">
        <f t="shared" si="66"/>
        <v>0.48366021020984495</v>
      </c>
      <c r="Z103" s="55">
        <f t="shared" si="66"/>
        <v>0.2171284142612766</v>
      </c>
      <c r="AA103" s="55">
        <f t="shared" si="66"/>
        <v>5.3838358246769698E-2</v>
      </c>
      <c r="AB103" s="1"/>
      <c r="AC103" s="55">
        <f>AC111/AC5</f>
        <v>0.19578073705548546</v>
      </c>
      <c r="AD103" s="1"/>
      <c r="AE103" s="1"/>
    </row>
    <row r="104" spans="1:31" x14ac:dyDescent="0.2">
      <c r="B104" s="1"/>
    </row>
    <row r="105" spans="1:31" s="15" customFormat="1" ht="17" thickBot="1" x14ac:dyDescent="0.25">
      <c r="A105" s="11"/>
      <c r="B105" s="14" t="s">
        <v>128</v>
      </c>
      <c r="R105" s="1"/>
      <c r="S105" s="1"/>
      <c r="AB105" s="1"/>
      <c r="AD105" s="1"/>
      <c r="AE105" s="1"/>
    </row>
    <row r="106" spans="1:31" x14ac:dyDescent="0.2">
      <c r="B106" s="20" t="s">
        <v>74</v>
      </c>
      <c r="C106" s="81">
        <f t="shared" ref="C106:Q106" si="67">IF(AND(C83&gt;=0,C12&gt;=0),C83,0)</f>
        <v>0</v>
      </c>
      <c r="D106" s="81">
        <f t="shared" si="67"/>
        <v>0</v>
      </c>
      <c r="E106" s="81">
        <f t="shared" si="67"/>
        <v>0</v>
      </c>
      <c r="F106" s="81">
        <f t="shared" si="67"/>
        <v>0</v>
      </c>
      <c r="G106" s="81">
        <f t="shared" si="67"/>
        <v>0</v>
      </c>
      <c r="H106" s="81">
        <f t="shared" si="67"/>
        <v>0</v>
      </c>
      <c r="I106" s="81">
        <f t="shared" si="67"/>
        <v>0</v>
      </c>
      <c r="J106" s="81">
        <f t="shared" si="67"/>
        <v>0</v>
      </c>
      <c r="K106" s="81">
        <f t="shared" si="67"/>
        <v>0</v>
      </c>
      <c r="L106" s="81">
        <f t="shared" si="67"/>
        <v>0</v>
      </c>
      <c r="M106" s="81">
        <f t="shared" si="67"/>
        <v>0</v>
      </c>
      <c r="N106" s="81">
        <f t="shared" si="67"/>
        <v>0</v>
      </c>
      <c r="O106" s="81">
        <f t="shared" si="67"/>
        <v>0</v>
      </c>
      <c r="P106" s="81">
        <f t="shared" si="67"/>
        <v>0</v>
      </c>
      <c r="Q106" s="81">
        <f t="shared" si="67"/>
        <v>0</v>
      </c>
      <c r="T106" s="81">
        <f t="shared" ref="T106:AA106" si="68">IF(AND(T83&gt;=0,T12&gt;=0),T83,0)</f>
        <v>0</v>
      </c>
      <c r="U106" s="81">
        <f t="shared" si="68"/>
        <v>0</v>
      </c>
      <c r="V106" s="81">
        <f t="shared" si="68"/>
        <v>5.1808728763913299E-2</v>
      </c>
      <c r="W106" s="81">
        <f t="shared" si="68"/>
        <v>0</v>
      </c>
      <c r="X106" s="81">
        <f t="shared" si="68"/>
        <v>0</v>
      </c>
      <c r="Y106" s="81">
        <f t="shared" si="68"/>
        <v>0</v>
      </c>
      <c r="Z106" s="81">
        <f t="shared" si="68"/>
        <v>0</v>
      </c>
      <c r="AA106" s="81">
        <f t="shared" si="68"/>
        <v>0.45018062878344073</v>
      </c>
      <c r="AC106" s="81">
        <f>IF(AND(AC83&gt;=0,AC12&gt;=0),AC83,0)</f>
        <v>0</v>
      </c>
    </row>
    <row r="107" spans="1:31" x14ac:dyDescent="0.2">
      <c r="B107" s="20" t="s">
        <v>219</v>
      </c>
      <c r="C107" s="25"/>
      <c r="D107" s="25"/>
      <c r="E107" s="25"/>
      <c r="F107" s="25"/>
      <c r="G107" s="25"/>
      <c r="H107" s="25"/>
      <c r="I107" s="25"/>
      <c r="J107" s="25"/>
      <c r="K107" s="25"/>
      <c r="L107" s="25"/>
      <c r="M107" s="25">
        <f>M29+M34</f>
        <v>1884663</v>
      </c>
      <c r="N107" s="25">
        <f t="shared" ref="N107:Q107" si="69">N29+N34</f>
        <v>1759835</v>
      </c>
      <c r="O107" s="25">
        <f t="shared" si="69"/>
        <v>1879823</v>
      </c>
      <c r="P107" s="25">
        <f t="shared" si="69"/>
        <v>1723631</v>
      </c>
      <c r="Q107" s="25">
        <f t="shared" si="69"/>
        <v>1689476</v>
      </c>
      <c r="T107" s="25">
        <f t="shared" ref="T107:AA107" si="70">T29+T34</f>
        <v>1743374</v>
      </c>
      <c r="U107" s="25">
        <f t="shared" si="70"/>
        <v>1603438</v>
      </c>
      <c r="V107" s="25">
        <f t="shared" si="70"/>
        <v>1723631</v>
      </c>
      <c r="W107" s="25">
        <f t="shared" si="70"/>
        <v>1591500</v>
      </c>
      <c r="X107" s="25">
        <f t="shared" si="70"/>
        <v>1522638</v>
      </c>
      <c r="Y107" s="25">
        <f t="shared" si="70"/>
        <v>1519795</v>
      </c>
      <c r="Z107" s="25">
        <f t="shared" si="70"/>
        <v>1689476</v>
      </c>
      <c r="AA107" s="25">
        <f t="shared" si="70"/>
        <v>1415746</v>
      </c>
      <c r="AC107" s="25">
        <f>AA107</f>
        <v>1415746</v>
      </c>
    </row>
    <row r="108" spans="1:31" x14ac:dyDescent="0.2">
      <c r="B108" s="20" t="s">
        <v>210</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AA108" si="71">T39+T41</f>
        <v>0</v>
      </c>
      <c r="U108" s="25">
        <f t="shared" si="71"/>
        <v>0</v>
      </c>
      <c r="V108" s="25">
        <f t="shared" si="71"/>
        <v>0</v>
      </c>
      <c r="W108" s="25">
        <f t="shared" si="71"/>
        <v>0</v>
      </c>
      <c r="X108" s="25">
        <f t="shared" si="71"/>
        <v>0</v>
      </c>
      <c r="Y108" s="25">
        <f t="shared" si="71"/>
        <v>0</v>
      </c>
      <c r="Z108" s="25">
        <f t="shared" si="71"/>
        <v>0</v>
      </c>
      <c r="AA108" s="25">
        <f t="shared" si="71"/>
        <v>0</v>
      </c>
      <c r="AC108" s="25">
        <f>AA108</f>
        <v>0</v>
      </c>
    </row>
    <row r="109" spans="1:31" x14ac:dyDescent="0.2">
      <c r="B109" s="20" t="s">
        <v>203</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101159</v>
      </c>
    </row>
    <row r="110" spans="1:31" x14ac:dyDescent="0.2">
      <c r="B110" s="20" t="s">
        <v>348</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AA110" si="72">T60+T61</f>
        <v>-1418</v>
      </c>
      <c r="U110" s="147">
        <f t="shared" si="72"/>
        <v>-4875</v>
      </c>
      <c r="V110" s="147">
        <f t="shared" si="72"/>
        <v>0</v>
      </c>
      <c r="W110" s="147">
        <f t="shared" si="72"/>
        <v>-12832</v>
      </c>
      <c r="X110" s="147">
        <f t="shared" si="72"/>
        <v>0</v>
      </c>
      <c r="Y110" s="147">
        <f t="shared" si="72"/>
        <v>-3164</v>
      </c>
      <c r="Z110" s="147">
        <f t="shared" si="72"/>
        <v>-3052</v>
      </c>
      <c r="AA110" s="147">
        <f t="shared" si="72"/>
        <v>-2684</v>
      </c>
      <c r="AC110" s="147">
        <f>AC60+AC61</f>
        <v>-8900</v>
      </c>
    </row>
    <row r="111" spans="1:31" x14ac:dyDescent="0.2">
      <c r="B111" s="20" t="s">
        <v>385</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AA111" si="73">T17+T18</f>
        <v>-86097</v>
      </c>
      <c r="U111" s="147">
        <f t="shared" si="73"/>
        <v>-10655</v>
      </c>
      <c r="V111" s="147">
        <f t="shared" si="73"/>
        <v>51794</v>
      </c>
      <c r="W111" s="147">
        <f t="shared" si="73"/>
        <v>-22555</v>
      </c>
      <c r="X111" s="147">
        <f t="shared" si="73"/>
        <v>1584</v>
      </c>
      <c r="Y111" s="147">
        <f t="shared" si="73"/>
        <v>198839</v>
      </c>
      <c r="Z111" s="147">
        <f t="shared" si="73"/>
        <v>104462</v>
      </c>
      <c r="AA111" s="147">
        <f t="shared" si="73"/>
        <v>22525</v>
      </c>
      <c r="AC111" s="147">
        <f>AC17+AC18</f>
        <v>327410</v>
      </c>
    </row>
    <row r="112" spans="1:31" x14ac:dyDescent="0.2">
      <c r="B112" s="20" t="s">
        <v>386</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AA112" si="74">T49+T48</f>
        <v>1833581</v>
      </c>
      <c r="U112" s="147">
        <f t="shared" si="74"/>
        <v>1731845</v>
      </c>
      <c r="V112" s="147">
        <f t="shared" si="74"/>
        <v>1845762</v>
      </c>
      <c r="W112" s="147">
        <f t="shared" si="74"/>
        <v>1698461</v>
      </c>
      <c r="X112" s="147">
        <f t="shared" si="74"/>
        <v>1665703</v>
      </c>
      <c r="Y112" s="147">
        <f t="shared" si="74"/>
        <v>1924617</v>
      </c>
      <c r="Z112" s="147">
        <f t="shared" si="74"/>
        <v>2082587</v>
      </c>
      <c r="AA112" s="147">
        <f t="shared" si="74"/>
        <v>1902965</v>
      </c>
      <c r="AC112" s="147">
        <f>AC49+AC48</f>
        <v>1902965</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8"/>
      <c r="U116" s="68"/>
      <c r="V116" s="68"/>
      <c r="W116" s="68"/>
      <c r="X116" s="68"/>
      <c r="Y116" s="68"/>
      <c r="Z116" s="68"/>
      <c r="AA116" s="68"/>
      <c r="AC116" s="63">
        <f ca="1">Overview!C5</f>
        <v>9.9350000000000005</v>
      </c>
    </row>
    <row r="117" spans="1:31" x14ac:dyDescent="0.2">
      <c r="B117" s="20" t="s">
        <v>403</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8"/>
      <c r="U117" s="68"/>
      <c r="V117" s="68"/>
      <c r="W117" s="68"/>
      <c r="X117" s="68"/>
      <c r="Y117" s="68"/>
      <c r="Z117" s="68"/>
      <c r="AA117" s="68"/>
      <c r="AC117" s="65">
        <f ca="1">AC116/AC85</f>
        <v>9.9350000000000005</v>
      </c>
    </row>
    <row r="119" spans="1:31" x14ac:dyDescent="0.2">
      <c r="B119" s="1"/>
    </row>
    <row r="120" spans="1:31" ht="17" thickBot="1" x14ac:dyDescent="0.25">
      <c r="B120" s="14" t="s">
        <v>125</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119</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0.19578073705548546</v>
      </c>
    </row>
    <row r="122" spans="1:31" x14ac:dyDescent="0.2">
      <c r="B122" s="20" t="s">
        <v>120</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0.57573243364202842</v>
      </c>
    </row>
    <row r="123" spans="1:31" x14ac:dyDescent="0.2">
      <c r="B123" s="32" t="s">
        <v>121</v>
      </c>
      <c r="M123" s="76">
        <f t="shared" ref="M123:P123" si="75">M121*M122</f>
        <v>-0.20431339773367801</v>
      </c>
      <c r="N123" s="76">
        <f t="shared" si="75"/>
        <v>-0.12004653397221271</v>
      </c>
      <c r="O123" s="76">
        <f t="shared" si="75"/>
        <v>-3.0419750111515053E-2</v>
      </c>
      <c r="P123" s="76">
        <f t="shared" si="75"/>
        <v>-2.5719740199003933E-2</v>
      </c>
      <c r="Q123" s="76">
        <f>Q121*Q122</f>
        <v>8.8805359838953199E-2</v>
      </c>
      <c r="T123" s="79"/>
      <c r="U123" s="79"/>
      <c r="V123" s="79"/>
      <c r="W123" s="79"/>
      <c r="X123" s="79"/>
      <c r="Y123" s="79"/>
      <c r="Z123" s="79"/>
      <c r="AA123" s="79"/>
      <c r="AC123" s="76">
        <f>AC121*AC122</f>
        <v>0.1127173202051847</v>
      </c>
    </row>
    <row r="124" spans="1:31" x14ac:dyDescent="0.2">
      <c r="B124" s="20" t="s">
        <v>122</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1.5264074746513994</v>
      </c>
    </row>
    <row r="125" spans="1:31" x14ac:dyDescent="0.2">
      <c r="B125" s="32" t="s">
        <v>123</v>
      </c>
      <c r="M125" s="76">
        <f t="shared" ref="M125:P125" si="76">M123*M124</f>
        <v>-0.27346966596372269</v>
      </c>
      <c r="N125" s="76">
        <f t="shared" si="76"/>
        <v>-0.17100259457815453</v>
      </c>
      <c r="O125" s="76">
        <f t="shared" si="76"/>
        <v>-4.4582300405631825E-2</v>
      </c>
      <c r="P125" s="76">
        <f t="shared" si="76"/>
        <v>-3.9926057639067224E-2</v>
      </c>
      <c r="Q125" s="76">
        <f>Q123*Q124</f>
        <v>0.13556696550972422</v>
      </c>
      <c r="T125" s="79"/>
      <c r="U125" s="79"/>
      <c r="V125" s="79"/>
      <c r="W125" s="79"/>
      <c r="X125" s="79"/>
      <c r="Y125" s="79"/>
      <c r="Z125" s="79"/>
      <c r="AA125" s="79"/>
      <c r="AC125" s="76">
        <f>AC123*AC124</f>
        <v>0.17205256008386913</v>
      </c>
    </row>
    <row r="127" spans="1:31" x14ac:dyDescent="0.2">
      <c r="B127" s="1"/>
    </row>
    <row r="128" spans="1:31" ht="17" thickBot="1" x14ac:dyDescent="0.25">
      <c r="B128" s="14" t="s">
        <v>274</v>
      </c>
      <c r="C128" s="192"/>
      <c r="D128" s="192"/>
      <c r="E128" s="192"/>
      <c r="F128" s="192"/>
      <c r="G128" s="192"/>
      <c r="H128" s="192"/>
      <c r="I128" s="192"/>
      <c r="J128" s="192"/>
      <c r="K128" s="192"/>
      <c r="L128" s="192"/>
      <c r="M128" s="192"/>
      <c r="N128" s="192"/>
      <c r="O128" s="192"/>
      <c r="P128" s="192"/>
      <c r="Q128" s="192"/>
      <c r="T128" s="192"/>
      <c r="U128" s="192"/>
      <c r="V128" s="192"/>
      <c r="W128" s="192"/>
      <c r="X128" s="192"/>
      <c r="Y128" s="192"/>
      <c r="Z128" s="192"/>
      <c r="AA128" s="192"/>
      <c r="AC128" s="192"/>
    </row>
    <row r="129" spans="2:29" x14ac:dyDescent="0.2">
      <c r="B129" s="20" t="s">
        <v>275</v>
      </c>
      <c r="C129" s="49"/>
      <c r="D129" s="49"/>
      <c r="E129" s="49"/>
      <c r="F129" s="49"/>
      <c r="G129" s="49"/>
      <c r="H129" s="49"/>
      <c r="I129" s="49"/>
      <c r="J129" s="49"/>
      <c r="K129" s="49"/>
      <c r="L129" s="49"/>
      <c r="M129" s="49"/>
      <c r="N129" s="49"/>
      <c r="O129" s="49"/>
      <c r="P129" s="49"/>
      <c r="Q129" s="49"/>
      <c r="T129" s="21">
        <v>345000</v>
      </c>
      <c r="U129" s="21">
        <v>422000</v>
      </c>
      <c r="V129" s="21">
        <v>330000</v>
      </c>
      <c r="W129" s="21">
        <v>345000</v>
      </c>
      <c r="X129" s="21">
        <v>390000</v>
      </c>
      <c r="Y129" s="21">
        <v>462000</v>
      </c>
      <c r="Z129" s="21">
        <v>395000</v>
      </c>
      <c r="AA129" s="21">
        <v>395000</v>
      </c>
      <c r="AC129" s="49"/>
    </row>
    <row r="130" spans="2:29" x14ac:dyDescent="0.2">
      <c r="B130" s="20" t="s">
        <v>276</v>
      </c>
      <c r="C130" s="49"/>
      <c r="D130" s="49"/>
      <c r="E130" s="49"/>
      <c r="F130" s="49"/>
      <c r="G130" s="49"/>
      <c r="H130" s="49"/>
      <c r="I130" s="49"/>
      <c r="J130" s="49"/>
      <c r="K130" s="49"/>
      <c r="L130" s="49"/>
      <c r="M130" s="49"/>
      <c r="N130" s="49"/>
      <c r="O130" s="49"/>
      <c r="P130" s="49"/>
      <c r="Q130" s="49"/>
      <c r="T130" s="21">
        <v>350000</v>
      </c>
      <c r="U130" s="21">
        <v>427000</v>
      </c>
      <c r="V130" s="21">
        <v>335000</v>
      </c>
      <c r="W130" s="21">
        <v>350000</v>
      </c>
      <c r="X130" s="21">
        <v>395000</v>
      </c>
      <c r="Y130" s="21">
        <v>467000</v>
      </c>
      <c r="Z130" s="21">
        <v>400000</v>
      </c>
      <c r="AA130" s="21">
        <v>400000</v>
      </c>
      <c r="AC130" s="49"/>
    </row>
    <row r="131" spans="2:29" x14ac:dyDescent="0.2">
      <c r="B131" s="20" t="s">
        <v>277</v>
      </c>
      <c r="C131" s="49"/>
      <c r="D131" s="49"/>
      <c r="E131" s="49"/>
      <c r="F131" s="49"/>
      <c r="G131" s="49"/>
      <c r="H131" s="49"/>
      <c r="I131" s="49"/>
      <c r="J131" s="49"/>
      <c r="K131" s="49"/>
      <c r="L131" s="49"/>
      <c r="M131" s="49"/>
      <c r="N131" s="49"/>
      <c r="O131" s="49"/>
      <c r="P131" s="49"/>
      <c r="Q131" s="49"/>
      <c r="T131" s="25">
        <f t="shared" ref="T131:AA131" si="77">U5</f>
        <v>354653</v>
      </c>
      <c r="U131" s="25">
        <f t="shared" si="77"/>
        <v>423646</v>
      </c>
      <c r="V131" s="25">
        <f t="shared" si="77"/>
        <v>356624</v>
      </c>
      <c r="W131" s="25">
        <f t="shared" si="77"/>
        <v>361728</v>
      </c>
      <c r="X131" s="25">
        <f t="shared" si="77"/>
        <v>411113</v>
      </c>
      <c r="Y131" s="25">
        <f t="shared" si="77"/>
        <v>481107</v>
      </c>
      <c r="Z131" s="25">
        <f t="shared" si="77"/>
        <v>418382</v>
      </c>
      <c r="AA131" s="25">
        <f t="shared" si="77"/>
        <v>0</v>
      </c>
      <c r="AC131" s="49"/>
    </row>
    <row r="132" spans="2:29" x14ac:dyDescent="0.2">
      <c r="B132" s="20" t="s">
        <v>227</v>
      </c>
      <c r="C132" s="49"/>
      <c r="D132" s="49"/>
      <c r="E132" s="49"/>
      <c r="F132" s="49"/>
      <c r="G132" s="49"/>
      <c r="H132" s="49"/>
      <c r="I132" s="49"/>
      <c r="J132" s="49"/>
      <c r="K132" s="49"/>
      <c r="L132" s="49"/>
      <c r="M132" s="49"/>
      <c r="N132" s="49"/>
      <c r="O132" s="49"/>
      <c r="P132" s="49"/>
      <c r="Q132" s="49"/>
      <c r="T132" s="246" t="str">
        <f t="shared" ref="T132:Z132" si="78">IF(T131&gt;T130, "BEAT", IF(T131&lt;T129, "MISSED", "MET"))</f>
        <v>BEAT</v>
      </c>
      <c r="U132" s="246" t="str">
        <f t="shared" si="78"/>
        <v>MET</v>
      </c>
      <c r="V132" s="246" t="str">
        <f t="shared" si="78"/>
        <v>BEAT</v>
      </c>
      <c r="W132" s="246" t="str">
        <f t="shared" si="78"/>
        <v>BEAT</v>
      </c>
      <c r="X132" s="246" t="str">
        <f t="shared" si="78"/>
        <v>BEAT</v>
      </c>
      <c r="Y132" s="246" t="str">
        <f t="shared" si="78"/>
        <v>BEAT</v>
      </c>
      <c r="Z132" s="246" t="str">
        <f t="shared" si="78"/>
        <v>BEAT</v>
      </c>
      <c r="AA132" s="246" t="str">
        <f>IF(AA131&gt;AA130, "BEAT", IF(AA131&lt;AA129, "MISSED", "MET"))</f>
        <v>MISSED</v>
      </c>
      <c r="AC132" s="49"/>
    </row>
    <row r="133" spans="2:29" x14ac:dyDescent="0.2">
      <c r="B133" s="20" t="s">
        <v>278</v>
      </c>
      <c r="C133" s="49"/>
      <c r="D133" s="49"/>
      <c r="E133" s="49"/>
      <c r="F133" s="49"/>
      <c r="G133" s="49"/>
      <c r="H133" s="49"/>
      <c r="I133" s="49"/>
      <c r="J133" s="49"/>
      <c r="K133" s="49"/>
      <c r="L133" s="49"/>
      <c r="M133" s="49"/>
      <c r="N133" s="49"/>
      <c r="O133" s="49"/>
      <c r="P133" s="49"/>
      <c r="Q133" s="49"/>
      <c r="T133" s="21">
        <v>1600000</v>
      </c>
      <c r="U133" s="21">
        <v>1669000</v>
      </c>
      <c r="V133" s="21">
        <v>1686000</v>
      </c>
      <c r="W133" s="21">
        <v>1715000</v>
      </c>
      <c r="X133" s="21">
        <v>1771000</v>
      </c>
      <c r="Y133" s="21">
        <v>1844000</v>
      </c>
      <c r="Z133" s="21">
        <v>1894000</v>
      </c>
      <c r="AA133" s="21">
        <v>1929000</v>
      </c>
      <c r="AC133" s="49"/>
    </row>
    <row r="134" spans="2:29" x14ac:dyDescent="0.2">
      <c r="B134" s="20" t="s">
        <v>279</v>
      </c>
      <c r="C134" s="49"/>
      <c r="D134" s="49"/>
      <c r="E134" s="49"/>
      <c r="F134" s="49"/>
      <c r="G134" s="49"/>
      <c r="H134" s="49"/>
      <c r="I134" s="49"/>
      <c r="J134" s="49"/>
      <c r="K134" s="49"/>
      <c r="L134" s="49"/>
      <c r="M134" s="49"/>
      <c r="N134" s="49"/>
      <c r="O134" s="49"/>
      <c r="P134" s="49"/>
      <c r="Q134" s="49"/>
      <c r="T134" s="21">
        <v>1605000</v>
      </c>
      <c r="U134" s="21">
        <v>1674000</v>
      </c>
      <c r="V134" s="21">
        <v>1691000</v>
      </c>
      <c r="W134" s="21">
        <v>1720000</v>
      </c>
      <c r="X134" s="21">
        <v>1776000</v>
      </c>
      <c r="Y134" s="21">
        <v>1849000</v>
      </c>
      <c r="Z134" s="21">
        <v>1899000</v>
      </c>
      <c r="AA134" s="21">
        <v>1934000</v>
      </c>
      <c r="AC134" s="49"/>
    </row>
    <row r="135" spans="2:29" x14ac:dyDescent="0.2">
      <c r="B135" s="20" t="s">
        <v>280</v>
      </c>
      <c r="C135" s="49"/>
      <c r="D135" s="49"/>
      <c r="E135" s="49"/>
      <c r="F135" s="49"/>
      <c r="G135" s="49"/>
      <c r="H135" s="49"/>
      <c r="I135" s="49"/>
      <c r="J135" s="49"/>
      <c r="K135" s="49"/>
      <c r="L135" s="49"/>
      <c r="M135" s="49"/>
      <c r="N135" s="49"/>
      <c r="O135" s="49"/>
      <c r="P135" s="49"/>
      <c r="Q135" s="49"/>
      <c r="T135" s="25">
        <f t="shared" ref="T135:AA135" si="79">U213</f>
        <v>1606561</v>
      </c>
      <c r="U135" s="25">
        <f t="shared" si="79"/>
        <v>1666136</v>
      </c>
      <c r="V135" s="25">
        <f t="shared" si="79"/>
        <v>1692683</v>
      </c>
      <c r="W135" s="25">
        <f t="shared" si="79"/>
        <v>1723401</v>
      </c>
      <c r="X135" s="25">
        <f t="shared" si="79"/>
        <v>1782384</v>
      </c>
      <c r="Y135" s="25">
        <f t="shared" si="79"/>
        <v>1852567</v>
      </c>
      <c r="Z135" s="25">
        <f t="shared" si="79"/>
        <v>1901211</v>
      </c>
      <c r="AA135" s="25">
        <f t="shared" si="79"/>
        <v>0</v>
      </c>
      <c r="AC135" s="49"/>
    </row>
    <row r="136" spans="2:29" x14ac:dyDescent="0.2">
      <c r="B136" s="20" t="s">
        <v>227</v>
      </c>
      <c r="C136" s="49"/>
      <c r="D136" s="49"/>
      <c r="E136" s="49"/>
      <c r="F136" s="49"/>
      <c r="G136" s="49"/>
      <c r="H136" s="49"/>
      <c r="I136" s="49"/>
      <c r="J136" s="49"/>
      <c r="K136" s="49"/>
      <c r="L136" s="49"/>
      <c r="M136" s="49"/>
      <c r="N136" s="49"/>
      <c r="O136" s="49"/>
      <c r="P136" s="49"/>
      <c r="Q136" s="49"/>
      <c r="T136" s="246" t="str">
        <f t="shared" ref="T136:Z136" si="80">IF(T135&gt;T134, "BEAT", IF(T135&lt;T133, "MISSED", "MET"))</f>
        <v>BEAT</v>
      </c>
      <c r="U136" s="246" t="str">
        <f t="shared" si="80"/>
        <v>MISSED</v>
      </c>
      <c r="V136" s="246" t="str">
        <f t="shared" si="80"/>
        <v>BEAT</v>
      </c>
      <c r="W136" s="246" t="str">
        <f t="shared" si="80"/>
        <v>BEAT</v>
      </c>
      <c r="X136" s="246" t="str">
        <f t="shared" si="80"/>
        <v>BEAT</v>
      </c>
      <c r="Y136" s="246" t="str">
        <f t="shared" si="80"/>
        <v>BEAT</v>
      </c>
      <c r="Z136" s="246" t="str">
        <f t="shared" si="80"/>
        <v>BEAT</v>
      </c>
      <c r="AA136" s="246" t="str">
        <f>IF(AA135&gt;AA134, "BEAT", IF(AA135&lt;AA133, "MISSED", "MET"))</f>
        <v>MISSED</v>
      </c>
      <c r="AC136" s="49"/>
    </row>
    <row r="138" spans="2:29" x14ac:dyDescent="0.2">
      <c r="B138" s="1"/>
    </row>
    <row r="139" spans="2:29" ht="17" thickBot="1" x14ac:dyDescent="0.25">
      <c r="B139" s="14" t="s">
        <v>297</v>
      </c>
      <c r="C139" s="192"/>
      <c r="D139" s="192"/>
      <c r="E139" s="192"/>
      <c r="F139" s="192"/>
      <c r="G139" s="192"/>
      <c r="H139" s="192"/>
      <c r="I139" s="192"/>
      <c r="J139" s="192"/>
      <c r="K139" s="192"/>
      <c r="L139" s="192"/>
      <c r="M139" s="192"/>
      <c r="N139" s="192"/>
      <c r="O139" s="192"/>
      <c r="P139" s="192"/>
      <c r="Q139" s="192"/>
      <c r="T139" s="192"/>
      <c r="U139" s="192"/>
      <c r="V139" s="192"/>
      <c r="W139" s="192"/>
      <c r="X139" s="192"/>
      <c r="Y139" s="192"/>
      <c r="Z139" s="192"/>
      <c r="AA139" s="192"/>
      <c r="AC139" s="192"/>
    </row>
    <row r="140" spans="2:29" x14ac:dyDescent="0.2">
      <c r="B140" s="20" t="s">
        <v>124</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0.2076253183886507</v>
      </c>
    </row>
    <row r="141" spans="2:29" x14ac:dyDescent="0.2">
      <c r="B141" s="20" t="s">
        <v>180</v>
      </c>
      <c r="M141" s="139">
        <f t="shared" ref="M141:Q142" si="81">M30/M5*365</f>
        <v>133.69421979440784</v>
      </c>
      <c r="N141" s="139">
        <f t="shared" si="81"/>
        <v>152.91140215061483</v>
      </c>
      <c r="O141" s="139">
        <f t="shared" si="81"/>
        <v>145.23661159324561</v>
      </c>
      <c r="P141" s="139">
        <f t="shared" si="81"/>
        <v>137.8303503480538</v>
      </c>
      <c r="Q141" s="139">
        <f t="shared" si="81"/>
        <v>131.6037563052133</v>
      </c>
      <c r="T141" s="139">
        <f t="shared" ref="T141:AA141" si="82">T30/T5*90</f>
        <v>104.95764467056439</v>
      </c>
      <c r="U141" s="139">
        <f t="shared" si="82"/>
        <v>113.19501033404484</v>
      </c>
      <c r="V141" s="139">
        <f t="shared" si="82"/>
        <v>114.68995340449337</v>
      </c>
      <c r="W141" s="139">
        <f t="shared" si="82"/>
        <v>93.317359459823237</v>
      </c>
      <c r="X141" s="139">
        <f t="shared" si="82"/>
        <v>96.344546178343947</v>
      </c>
      <c r="Y141" s="139">
        <f t="shared" si="82"/>
        <v>108.60342533561332</v>
      </c>
      <c r="Z141" s="139">
        <f t="shared" si="82"/>
        <v>108.63165574394054</v>
      </c>
      <c r="AA141" s="139">
        <f t="shared" si="82"/>
        <v>64.534109976050601</v>
      </c>
      <c r="AC141" s="139">
        <f>AC30/AC5*365</f>
        <v>65.477289171395597</v>
      </c>
    </row>
    <row r="142" spans="2:29" x14ac:dyDescent="0.2">
      <c r="B142" s="20" t="s">
        <v>181</v>
      </c>
      <c r="M142" s="139">
        <f t="shared" si="81"/>
        <v>0</v>
      </c>
      <c r="N142" s="139">
        <f t="shared" si="81"/>
        <v>0</v>
      </c>
      <c r="O142" s="139">
        <f t="shared" si="81"/>
        <v>0</v>
      </c>
      <c r="P142" s="139">
        <f t="shared" si="81"/>
        <v>0</v>
      </c>
      <c r="Q142" s="139">
        <f t="shared" si="81"/>
        <v>0</v>
      </c>
      <c r="T142" s="139">
        <f t="shared" ref="T142:AA142" si="83">T31/T6*365</f>
        <v>0</v>
      </c>
      <c r="U142" s="139">
        <f t="shared" si="83"/>
        <v>0</v>
      </c>
      <c r="V142" s="139">
        <f t="shared" si="83"/>
        <v>0</v>
      </c>
      <c r="W142" s="139">
        <f t="shared" si="83"/>
        <v>0</v>
      </c>
      <c r="X142" s="139">
        <f t="shared" si="83"/>
        <v>0</v>
      </c>
      <c r="Y142" s="139">
        <f t="shared" si="83"/>
        <v>0</v>
      </c>
      <c r="Z142" s="139">
        <f t="shared" si="83"/>
        <v>0</v>
      </c>
      <c r="AA142" s="139">
        <f t="shared" si="83"/>
        <v>0</v>
      </c>
      <c r="AC142" s="139">
        <f>AC31/AC6*365</f>
        <v>0</v>
      </c>
    </row>
    <row r="143" spans="2:29" x14ac:dyDescent="0.2">
      <c r="B143" s="20" t="s">
        <v>182</v>
      </c>
      <c r="M143" s="139">
        <f>M38/M6*365</f>
        <v>24.889114574697395</v>
      </c>
      <c r="N143" s="139">
        <f>N38/N6*365</f>
        <v>18.023865460341792</v>
      </c>
      <c r="O143" s="139">
        <f>O38/O6*365</f>
        <v>6.4216481901145333</v>
      </c>
      <c r="P143" s="139">
        <f>P38/P6*365</f>
        <v>49.039734026613537</v>
      </c>
      <c r="Q143" s="139">
        <f>Q38/Q6*365</f>
        <v>13.686287751306349</v>
      </c>
      <c r="T143" s="139">
        <f t="shared" ref="T143:AA143" si="84">T38/T6*90</f>
        <v>14.085596967782692</v>
      </c>
      <c r="U143" s="139">
        <f t="shared" si="84"/>
        <v>26.007872904348915</v>
      </c>
      <c r="V143" s="139">
        <f t="shared" si="84"/>
        <v>46.270493073418663</v>
      </c>
      <c r="W143" s="139">
        <f t="shared" si="84"/>
        <v>23.797704245423365</v>
      </c>
      <c r="X143" s="139">
        <f t="shared" si="84"/>
        <v>27.599720410065238</v>
      </c>
      <c r="Y143" s="139">
        <f t="shared" si="84"/>
        <v>18.67697494623031</v>
      </c>
      <c r="Z143" s="139">
        <f t="shared" si="84"/>
        <v>12.368837492391966</v>
      </c>
      <c r="AA143" s="139">
        <f t="shared" si="84"/>
        <v>23.046355033277873</v>
      </c>
      <c r="AC143" s="139">
        <f>AC38/AC6*365</f>
        <v>25.312474696801676</v>
      </c>
    </row>
    <row r="144" spans="2:29" x14ac:dyDescent="0.2">
      <c r="B144" s="20" t="s">
        <v>183</v>
      </c>
      <c r="M144" s="139">
        <f>M141+M142-M143</f>
        <v>108.80510521971044</v>
      </c>
      <c r="N144" s="139">
        <f t="shared" ref="N144:Q144" si="85">N141+N142-N143</f>
        <v>134.88753669027304</v>
      </c>
      <c r="O144" s="139">
        <f t="shared" si="85"/>
        <v>138.81496340313109</v>
      </c>
      <c r="P144" s="139">
        <f t="shared" si="85"/>
        <v>88.790616321440268</v>
      </c>
      <c r="Q144" s="139">
        <f t="shared" si="85"/>
        <v>117.91746855390694</v>
      </c>
      <c r="T144" s="139">
        <f t="shared" ref="T144" si="86">T141+T142-T143</f>
        <v>90.8720477027817</v>
      </c>
      <c r="U144" s="139">
        <f t="shared" ref="U144" si="87">U141+U142-U143</f>
        <v>87.187137429695923</v>
      </c>
      <c r="V144" s="139">
        <f t="shared" ref="V144" si="88">V141+V142-V143</f>
        <v>68.419460331074703</v>
      </c>
      <c r="W144" s="139">
        <f t="shared" ref="W144" si="89">W141+W142-W143</f>
        <v>69.519655214399876</v>
      </c>
      <c r="X144" s="139">
        <f t="shared" ref="X144" si="90">X141+X142-X143</f>
        <v>68.744825768278702</v>
      </c>
      <c r="Y144" s="139">
        <f t="shared" ref="Y144" si="91">Y141+Y142-Y143</f>
        <v>89.926450389383007</v>
      </c>
      <c r="Z144" s="139">
        <f t="shared" ref="Z144:AA144" si="92">Z141+Z142-Z143</f>
        <v>96.26281825154858</v>
      </c>
      <c r="AA144" s="139">
        <f t="shared" si="92"/>
        <v>41.487754942772725</v>
      </c>
      <c r="AC144" s="139">
        <f t="shared" ref="AC144" si="93">AC141+AC142-AC143</f>
        <v>40.164814474593925</v>
      </c>
    </row>
    <row r="145" spans="2:29" x14ac:dyDescent="0.2">
      <c r="B145" s="20" t="s">
        <v>300</v>
      </c>
      <c r="M145" s="139">
        <f>M108/M49</f>
        <v>0</v>
      </c>
      <c r="N145" s="139">
        <f>N108/N49</f>
        <v>0</v>
      </c>
      <c r="O145" s="139">
        <f>O108/O49</f>
        <v>0</v>
      </c>
      <c r="P145" s="139">
        <f>P108/P49</f>
        <v>0</v>
      </c>
      <c r="Q145" s="139">
        <f>Q108/Q49</f>
        <v>0</v>
      </c>
      <c r="T145" s="139">
        <f t="shared" ref="T145:AA145" si="94">T108/T49</f>
        <v>0</v>
      </c>
      <c r="U145" s="139">
        <f t="shared" si="94"/>
        <v>0</v>
      </c>
      <c r="V145" s="139">
        <f t="shared" si="94"/>
        <v>0</v>
      </c>
      <c r="W145" s="139">
        <f t="shared" si="94"/>
        <v>0</v>
      </c>
      <c r="X145" s="139">
        <f t="shared" si="94"/>
        <v>0</v>
      </c>
      <c r="Y145" s="139">
        <f t="shared" si="94"/>
        <v>0</v>
      </c>
      <c r="Z145" s="139">
        <f t="shared" si="94"/>
        <v>0</v>
      </c>
      <c r="AA145" s="139">
        <f t="shared" si="94"/>
        <v>0</v>
      </c>
      <c r="AC145" s="139">
        <f>AC108/AC49</f>
        <v>0</v>
      </c>
    </row>
    <row r="146" spans="2:29" x14ac:dyDescent="0.2">
      <c r="B146" s="20" t="s">
        <v>304</v>
      </c>
      <c r="M146" s="200">
        <f>(M108-M107)/M49</f>
        <v>-0.98061622848437269</v>
      </c>
      <c r="N146" s="200">
        <f>(N108-N107)/N49</f>
        <v>-0.91650530841732814</v>
      </c>
      <c r="O146" s="200">
        <f>(O108-O107)/O49</f>
        <v>-0.93239915996813671</v>
      </c>
      <c r="P146" s="200">
        <f>(P108-P107)/P49</f>
        <v>-0.93383166410403939</v>
      </c>
      <c r="Q146" s="200">
        <f>(Q108-Q107)/Q49</f>
        <v>-0.81123909829457308</v>
      </c>
      <c r="T146" s="200">
        <f t="shared" ref="T146:AA146" si="95">(T108-T107)/T49</f>
        <v>-0.95080282790888426</v>
      </c>
      <c r="U146" s="200">
        <f t="shared" si="95"/>
        <v>-0.92585537389316019</v>
      </c>
      <c r="V146" s="200">
        <f t="shared" si="95"/>
        <v>-0.93383166410403939</v>
      </c>
      <c r="W146" s="200">
        <f t="shared" si="95"/>
        <v>-0.93702475358574611</v>
      </c>
      <c r="X146" s="200">
        <f t="shared" si="95"/>
        <v>-0.91411133917631171</v>
      </c>
      <c r="Y146" s="200">
        <f t="shared" si="95"/>
        <v>-0.78966100787845062</v>
      </c>
      <c r="Z146" s="200">
        <f t="shared" si="95"/>
        <v>-0.81123909829457308</v>
      </c>
      <c r="AA146" s="200">
        <f t="shared" si="95"/>
        <v>-0.74396849127545694</v>
      </c>
      <c r="AC146" s="200">
        <f>(AC108-AC107)/AC49</f>
        <v>-0.74396849127545694</v>
      </c>
    </row>
    <row r="147" spans="2:29" x14ac:dyDescent="0.2">
      <c r="B147" s="20" t="s">
        <v>301</v>
      </c>
      <c r="M147" s="139">
        <f>(M107+M30)/M40</f>
        <v>4.192374990758311</v>
      </c>
      <c r="N147" s="139">
        <f>(N107+N30)/N40</f>
        <v>3.5171282077477604</v>
      </c>
      <c r="O147" s="139">
        <f>(O107+O30)/O40</f>
        <v>3.3726940484002186</v>
      </c>
      <c r="P147" s="139">
        <f>(P107+P30)/P40</f>
        <v>2.833196064687328</v>
      </c>
      <c r="Q147" s="139">
        <f>(Q107+Q30)/Q40</f>
        <v>2.5073153653043936</v>
      </c>
      <c r="T147" s="139">
        <f t="shared" ref="T147:AA147" si="96">(T107+T30)/T40</f>
        <v>3.3394102478565317</v>
      </c>
      <c r="U147" s="139">
        <f t="shared" si="96"/>
        <v>2.9469051997705158</v>
      </c>
      <c r="V147" s="139">
        <f t="shared" si="96"/>
        <v>2.833196064687328</v>
      </c>
      <c r="W147" s="139">
        <f t="shared" si="96"/>
        <v>2.7397114268432543</v>
      </c>
      <c r="X147" s="139">
        <f t="shared" si="96"/>
        <v>2.5864328692324254</v>
      </c>
      <c r="Y147" s="139">
        <f t="shared" si="96"/>
        <v>2.5559617091416253</v>
      </c>
      <c r="Z147" s="139">
        <f t="shared" si="96"/>
        <v>2.5073153653043936</v>
      </c>
      <c r="AA147" s="139">
        <f t="shared" si="96"/>
        <v>2.063021693804965</v>
      </c>
      <c r="AC147" s="139">
        <f>(AC107+AC30)/AC40</f>
        <v>2.063021693804965</v>
      </c>
    </row>
    <row r="148" spans="2:29" x14ac:dyDescent="0.2">
      <c r="B148" s="20" t="s">
        <v>302</v>
      </c>
      <c r="M148" s="139">
        <f>M32/M40</f>
        <v>4.3171501096680389</v>
      </c>
      <c r="N148" s="139">
        <f>N32/N40</f>
        <v>3.7423569563190795</v>
      </c>
      <c r="O148" s="139">
        <f>O32/O40</f>
        <v>3.6257476910625539</v>
      </c>
      <c r="P148" s="139">
        <f>P32/P40</f>
        <v>2.9271504030441093</v>
      </c>
      <c r="Q148" s="139">
        <f>Q32/Q40</f>
        <v>2.4783388537733191</v>
      </c>
      <c r="T148" s="139">
        <f t="shared" ref="T148:AA148" si="97">T32/T40</f>
        <v>3.5957679252114221</v>
      </c>
      <c r="U148" s="139">
        <f t="shared" si="97"/>
        <v>3.129493165083332</v>
      </c>
      <c r="V148" s="139">
        <f t="shared" si="97"/>
        <v>2.9271504030441093</v>
      </c>
      <c r="W148" s="139">
        <f t="shared" si="97"/>
        <v>2.9470125037192663</v>
      </c>
      <c r="X148" s="139">
        <f t="shared" si="97"/>
        <v>2.7501208666647705</v>
      </c>
      <c r="Y148" s="139">
        <f t="shared" si="97"/>
        <v>2.6541688855077976</v>
      </c>
      <c r="Z148" s="139">
        <f t="shared" si="97"/>
        <v>2.4783388537733191</v>
      </c>
      <c r="AA148" s="139">
        <f t="shared" si="97"/>
        <v>2.3066495444084523</v>
      </c>
      <c r="AC148" s="139">
        <f>AC32/AC40</f>
        <v>2.3066495444084523</v>
      </c>
    </row>
    <row r="149" spans="2:29" x14ac:dyDescent="0.2">
      <c r="B149" s="20" t="s">
        <v>308</v>
      </c>
      <c r="M149" s="202" t="str">
        <f>IF(M13&gt;=0,"N/A",IF(M12&lt;=0,"N/A",M12/-M13))</f>
        <v>N/A</v>
      </c>
      <c r="N149" s="202" t="str">
        <f>IF(N13&gt;=0,"N/A",IF(N12&lt;=0,"N/A",N12/-N13))</f>
        <v>N/A</v>
      </c>
      <c r="O149" s="202" t="str">
        <f>IF(O13&gt;=0,"N/A",IF(O12&lt;=0,"N/A",O12/-O13))</f>
        <v>N/A</v>
      </c>
      <c r="P149" s="202" t="str">
        <f>IF(P13&gt;=0,"N/A",IF(P12&lt;=0,"N/A",P12/-P13))</f>
        <v>N/A</v>
      </c>
      <c r="Q149" s="202" t="str">
        <f>IF(Q13&gt;=0,"N/A",IF(Q12&lt;=0,"N/A",Q12/-Q13))</f>
        <v>N/A</v>
      </c>
      <c r="T149" s="202" t="str">
        <f t="shared" ref="T149:AA149" si="98">IF(T13&gt;=0,"N/A",IF(T12&lt;=0,"N/A",T12/-T13))</f>
        <v>N/A</v>
      </c>
      <c r="U149" s="202" t="str">
        <f t="shared" si="98"/>
        <v>N/A</v>
      </c>
      <c r="V149" s="202" t="str">
        <f t="shared" si="98"/>
        <v>N/A</v>
      </c>
      <c r="W149" s="202" t="str">
        <f t="shared" si="98"/>
        <v>N/A</v>
      </c>
      <c r="X149" s="202" t="str">
        <f t="shared" si="98"/>
        <v>N/A</v>
      </c>
      <c r="Y149" s="202" t="str">
        <f t="shared" si="98"/>
        <v>N/A</v>
      </c>
      <c r="Z149" s="202" t="str">
        <f t="shared" si="98"/>
        <v>N/A</v>
      </c>
      <c r="AA149" s="202" t="str">
        <f t="shared" si="98"/>
        <v>N/A</v>
      </c>
      <c r="AC149" s="202" t="str">
        <f>IF(AC13&gt;=0,"N/A",IF(AC12&lt;=0,"N/A",AC12/-AC13))</f>
        <v>N/A</v>
      </c>
    </row>
    <row r="150" spans="2:29" x14ac:dyDescent="0.2">
      <c r="B150" s="20" t="s">
        <v>286</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16.55833333333333</v>
      </c>
    </row>
    <row r="151" spans="2:29" x14ac:dyDescent="0.2">
      <c r="B151" s="20" t="s">
        <v>242</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3.2005907887498282</v>
      </c>
    </row>
    <row r="152" spans="2:29" x14ac:dyDescent="0.2">
      <c r="B152" s="20" t="s">
        <v>287</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49"/>
      <c r="U152" s="49"/>
      <c r="V152" s="49"/>
      <c r="W152" s="49"/>
      <c r="X152" s="49"/>
      <c r="Y152" s="49"/>
      <c r="Z152" s="49"/>
      <c r="AA152" s="49"/>
      <c r="AC152" s="72">
        <f ca="1">AC117/(Statement!AC49/Statement!AC75)</f>
        <v>2.705006206104684</v>
      </c>
    </row>
    <row r="153" spans="2:29" x14ac:dyDescent="0.2">
      <c r="B153" s="20" t="s">
        <v>288</v>
      </c>
      <c r="M153" s="164">
        <f>Statement!M117*Statement!M78</f>
        <v>18122001.84</v>
      </c>
      <c r="N153" s="164">
        <f>Statement!N117*Statement!N78</f>
        <v>8121653.1100000003</v>
      </c>
      <c r="O153" s="164">
        <f>Statement!O117*Statement!O78</f>
        <v>13570960.050000001</v>
      </c>
      <c r="P153" s="164">
        <f>Statement!P117*Statement!P78</f>
        <v>8040767.9400000004</v>
      </c>
      <c r="Q153" s="164">
        <f>Statement!Q117*Statement!Q78</f>
        <v>6680971.6299999999</v>
      </c>
      <c r="T153" s="49"/>
      <c r="U153" s="49"/>
      <c r="V153" s="49"/>
      <c r="W153" s="49"/>
      <c r="X153" s="49"/>
      <c r="Y153" s="49"/>
      <c r="Z153" s="49"/>
      <c r="AA153" s="49"/>
      <c r="AC153" s="164">
        <f ca="1">Statement!AC117*Statement!AC78</f>
        <v>5189596.9249999998</v>
      </c>
    </row>
    <row r="154" spans="2:29" x14ac:dyDescent="0.2">
      <c r="B154" s="20" t="s">
        <v>229</v>
      </c>
      <c r="M154" s="164">
        <f>M153+M108-M107+M48+M45</f>
        <v>16237338.84</v>
      </c>
      <c r="N154" s="164">
        <f>N153+N108-N107+N48+N45</f>
        <v>6361818.1100000003</v>
      </c>
      <c r="O154" s="164">
        <f>O153+O108-O107+O48+O45</f>
        <v>11691137.050000001</v>
      </c>
      <c r="P154" s="164">
        <f>P153+P108-P107+P48+P45</f>
        <v>6317136.9400000004</v>
      </c>
      <c r="Q154" s="164">
        <f>Q153+Q108-Q107+Q48+Q45</f>
        <v>4991495.63</v>
      </c>
      <c r="T154" s="49"/>
      <c r="U154" s="49"/>
      <c r="V154" s="49"/>
      <c r="W154" s="49"/>
      <c r="X154" s="49"/>
      <c r="Y154" s="49"/>
      <c r="Z154" s="49"/>
      <c r="AA154" s="49"/>
      <c r="AC154" s="164">
        <f ca="1">AC153+AC108-AC107+AC48+AC45</f>
        <v>3773850.9249999998</v>
      </c>
    </row>
    <row r="155" spans="2:29" x14ac:dyDescent="0.2">
      <c r="B155" s="20" t="s">
        <v>309</v>
      </c>
      <c r="M155" s="204">
        <f>M154/M5</f>
        <v>18.198153481303489</v>
      </c>
      <c r="N155" s="204">
        <f>N154/N5</f>
        <v>6.0097603395488868</v>
      </c>
      <c r="O155" s="204">
        <f>O154/O5</f>
        <v>8.9376861900568176</v>
      </c>
      <c r="P155" s="204">
        <f>P154/P5</f>
        <v>4.4186165001007236</v>
      </c>
      <c r="Q155" s="204">
        <f>Q154/Q5</f>
        <v>3.0992067600827533</v>
      </c>
      <c r="T155" s="49"/>
      <c r="U155" s="49"/>
      <c r="V155" s="49"/>
      <c r="W155" s="49"/>
      <c r="X155" s="49"/>
      <c r="Y155" s="49"/>
      <c r="Z155" s="49"/>
      <c r="AA155" s="49"/>
      <c r="AC155" s="204">
        <f ca="1">AC154/AC5</f>
        <v>2.256642483839912</v>
      </c>
    </row>
    <row r="156" spans="2:29" x14ac:dyDescent="0.2">
      <c r="B156" s="20" t="s">
        <v>245</v>
      </c>
      <c r="M156" s="204">
        <f>M154/M12</f>
        <v>-32.413351618737352</v>
      </c>
      <c r="N156" s="204">
        <f>N154/N12</f>
        <v>-18.266232087124553</v>
      </c>
      <c r="O156" s="204">
        <f>O154/O12</f>
        <v>-70.97581987615348</v>
      </c>
      <c r="P156" s="204">
        <f>P154/P12</f>
        <v>-38.858189076638233</v>
      </c>
      <c r="Q156" s="204">
        <f>Q154/Q12</f>
        <v>87.94037403100775</v>
      </c>
      <c r="T156" s="49"/>
      <c r="U156" s="49"/>
      <c r="V156" s="49"/>
      <c r="W156" s="49"/>
      <c r="X156" s="49"/>
      <c r="Y156" s="49"/>
      <c r="Z156" s="49"/>
      <c r="AA156" s="49"/>
      <c r="AC156" s="204">
        <f ca="1">AC154/AC12</f>
        <v>37.306131189513536</v>
      </c>
    </row>
    <row r="157" spans="2:29" x14ac:dyDescent="0.2">
      <c r="B157" s="20" t="s">
        <v>310</v>
      </c>
      <c r="M157" s="64">
        <f>M59-M54+M110+M65</f>
        <v>-582375</v>
      </c>
      <c r="N157" s="64">
        <f>N59-N54+N110+N65</f>
        <v>-403636</v>
      </c>
      <c r="O157" s="64">
        <f>O59-O54+O110+O65</f>
        <v>-80215</v>
      </c>
      <c r="P157" s="64">
        <f>P59-P54+P110+P65</f>
        <v>-52509</v>
      </c>
      <c r="Q157" s="64">
        <f>Q59-Q54+Q110+Q65</f>
        <v>61484</v>
      </c>
      <c r="T157" s="64">
        <f t="shared" ref="T157:AA157" si="99">T59-T54+T110+T65</f>
        <v>-49347</v>
      </c>
      <c r="U157" s="64">
        <f t="shared" si="99"/>
        <v>-64293</v>
      </c>
      <c r="V157" s="64">
        <f t="shared" si="99"/>
        <v>0</v>
      </c>
      <c r="W157" s="64">
        <f t="shared" si="99"/>
        <v>29809</v>
      </c>
      <c r="X157" s="64">
        <f t="shared" si="99"/>
        <v>-36419</v>
      </c>
      <c r="Y157" s="64">
        <f t="shared" si="99"/>
        <v>-46368</v>
      </c>
      <c r="Z157" s="64">
        <f t="shared" si="99"/>
        <v>114462</v>
      </c>
      <c r="AA157" s="64">
        <f t="shared" si="99"/>
        <v>75934</v>
      </c>
      <c r="AC157" s="64">
        <f>AC59-AC54+AC110+AC65</f>
        <v>107609</v>
      </c>
    </row>
    <row r="158" spans="2:29" x14ac:dyDescent="0.2">
      <c r="B158" s="20" t="s">
        <v>311</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f>
        <v>-54235</v>
      </c>
    </row>
    <row r="159" spans="2:29" x14ac:dyDescent="0.2">
      <c r="B159" s="20" t="s">
        <v>312</v>
      </c>
      <c r="M159" s="72">
        <f>M153/M157</f>
        <v>-31.117410328396652</v>
      </c>
      <c r="N159" s="72">
        <f t="shared" ref="N159:Q159" si="100">N153/N157</f>
        <v>-20.121230787144853</v>
      </c>
      <c r="O159" s="72">
        <f t="shared" si="100"/>
        <v>-169.18232313158387</v>
      </c>
      <c r="P159" s="72">
        <f t="shared" si="100"/>
        <v>-153.13123350282808</v>
      </c>
      <c r="Q159" s="72">
        <f t="shared" si="100"/>
        <v>108.6619548175135</v>
      </c>
      <c r="T159" s="49"/>
      <c r="U159" s="49"/>
      <c r="V159" s="49"/>
      <c r="W159" s="49"/>
      <c r="X159" s="49"/>
      <c r="Y159" s="49"/>
      <c r="Z159" s="49"/>
      <c r="AA159" s="49"/>
      <c r="AC159" s="72">
        <f t="shared" ref="AC159:AC160" ca="1" si="101">AC153/AC157</f>
        <v>48.226420884870222</v>
      </c>
    </row>
    <row r="160" spans="2:29" x14ac:dyDescent="0.2">
      <c r="B160" s="20" t="s">
        <v>313</v>
      </c>
      <c r="M160" s="72">
        <f>M154/M158</f>
        <v>-26.884257614591405</v>
      </c>
      <c r="N160" s="72">
        <f t="shared" ref="N160:Q160" si="102">N154/N158</f>
        <v>-12.722058684723095</v>
      </c>
      <c r="O160" s="72">
        <f t="shared" si="102"/>
        <v>-54.027334756669582</v>
      </c>
      <c r="P160" s="72">
        <f t="shared" si="102"/>
        <v>-31.268001801694783</v>
      </c>
      <c r="Q160" s="72">
        <f t="shared" si="102"/>
        <v>-52.805531070816492</v>
      </c>
      <c r="T160" s="49"/>
      <c r="U160" s="49"/>
      <c r="V160" s="49"/>
      <c r="W160" s="49"/>
      <c r="X160" s="49"/>
      <c r="Y160" s="49"/>
      <c r="Z160" s="49"/>
      <c r="AA160" s="49"/>
      <c r="AC160" s="72">
        <f t="shared" ca="1" si="101"/>
        <v>-69.583311975661474</v>
      </c>
    </row>
    <row r="161" spans="2:29" x14ac:dyDescent="0.2">
      <c r="B161" s="20" t="s">
        <v>314</v>
      </c>
      <c r="M161" s="74">
        <f>M157/M153</f>
        <v>-3.2136350340421331E-2</v>
      </c>
      <c r="N161" s="74">
        <f t="shared" ref="N161:Q161" si="103">N157/N153</f>
        <v>-4.9698749076467263E-2</v>
      </c>
      <c r="O161" s="74">
        <f t="shared" si="103"/>
        <v>-5.9107830031523813E-3</v>
      </c>
      <c r="P161" s="74">
        <f t="shared" si="103"/>
        <v>-6.5303464037043202E-3</v>
      </c>
      <c r="Q161" s="74">
        <f t="shared" si="103"/>
        <v>9.2028530287292954E-3</v>
      </c>
      <c r="T161" s="49"/>
      <c r="U161" s="49"/>
      <c r="V161" s="49"/>
      <c r="W161" s="49"/>
      <c r="X161" s="49"/>
      <c r="Y161" s="49"/>
      <c r="Z161" s="49"/>
      <c r="AA161" s="49"/>
      <c r="AC161" s="74">
        <f t="shared" ref="AC161" ca="1" si="104">AC157/AC153</f>
        <v>2.0735521766943394E-2</v>
      </c>
    </row>
    <row r="162" spans="2:29" x14ac:dyDescent="0.2">
      <c r="B162" s="20" t="s">
        <v>315</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6.0392551585304488E-2</v>
      </c>
    </row>
    <row r="163" spans="2:29" x14ac:dyDescent="0.2">
      <c r="B163" s="20" t="s">
        <v>316</v>
      </c>
      <c r="M163" s="175">
        <f>M82/M117</f>
        <v>0</v>
      </c>
      <c r="N163" s="175">
        <f>N82/N117</f>
        <v>0</v>
      </c>
      <c r="O163" s="175">
        <f>O82/O117</f>
        <v>0</v>
      </c>
      <c r="P163" s="175">
        <f>P82/P117</f>
        <v>0</v>
      </c>
      <c r="Q163" s="175">
        <f>Q82/Q117</f>
        <v>0</v>
      </c>
      <c r="T163" s="49"/>
      <c r="U163" s="49"/>
      <c r="V163" s="49"/>
      <c r="W163" s="49"/>
      <c r="X163" s="49"/>
      <c r="Y163" s="49"/>
      <c r="Z163" s="49"/>
      <c r="AA163" s="49"/>
      <c r="AC163" s="175">
        <f ca="1">AC82/AC117</f>
        <v>0</v>
      </c>
    </row>
    <row r="164" spans="2:29" x14ac:dyDescent="0.2">
      <c r="B164" s="20" t="s">
        <v>341</v>
      </c>
      <c r="M164" s="175">
        <f>-M63/M153</f>
        <v>0</v>
      </c>
      <c r="N164" s="175">
        <f>-N63/N153</f>
        <v>0</v>
      </c>
      <c r="O164" s="175">
        <f>-O63/O153</f>
        <v>7.5613663014209515E-3</v>
      </c>
      <c r="P164" s="175">
        <f>-P63/P153</f>
        <v>4.8596228981581578E-2</v>
      </c>
      <c r="Q164" s="175">
        <f>-Q63/Q153</f>
        <v>4.9259451802222368E-2</v>
      </c>
      <c r="T164" s="49"/>
      <c r="U164" s="49"/>
      <c r="V164" s="49"/>
      <c r="W164" s="49"/>
      <c r="X164" s="49"/>
      <c r="Y164" s="49"/>
      <c r="Z164" s="49"/>
      <c r="AA164" s="49"/>
      <c r="AC164" s="175">
        <f ca="1">-AC63/AC153</f>
        <v>6.6550833328929498E-2</v>
      </c>
    </row>
    <row r="165" spans="2:29" x14ac:dyDescent="0.2">
      <c r="B165" s="20" t="s">
        <v>343</v>
      </c>
      <c r="M165" s="175">
        <f>-(M63+M64)/M153</f>
        <v>0</v>
      </c>
      <c r="N165" s="175">
        <f>-(N63+N64)/N153</f>
        <v>0</v>
      </c>
      <c r="O165" s="175">
        <f>-(O63+O64)/O153</f>
        <v>7.5613663014209515E-3</v>
      </c>
      <c r="P165" s="175">
        <f>-(P63+P64)/P153</f>
        <v>4.8596228981581578E-2</v>
      </c>
      <c r="Q165" s="175">
        <f>-(Q63+Q64)/Q153</f>
        <v>4.9259451802222368E-2</v>
      </c>
      <c r="T165" s="49"/>
      <c r="U165" s="49"/>
      <c r="V165" s="49"/>
      <c r="W165" s="49"/>
      <c r="X165" s="49"/>
      <c r="Y165" s="49"/>
      <c r="Z165" s="49"/>
      <c r="AA165" s="49"/>
      <c r="AC165" s="175">
        <f ca="1">-(AC63+AC64)/AC153</f>
        <v>6.6550833328929498E-2</v>
      </c>
    </row>
    <row r="166" spans="2:29" x14ac:dyDescent="0.2">
      <c r="B166" s="20" t="s">
        <v>404</v>
      </c>
      <c r="M166" s="175">
        <f>M158/M5</f>
        <v>-0.67690742077350341</v>
      </c>
      <c r="N166" s="175">
        <f>N158/N5</f>
        <v>-0.47238898109828159</v>
      </c>
      <c r="O166" s="175">
        <f>O158/O5</f>
        <v>-0.16542896721281397</v>
      </c>
      <c r="P166" s="175">
        <f>P158/P5</f>
        <v>-0.14131432280591805</v>
      </c>
      <c r="Q166" s="175">
        <f>Q158/Q5</f>
        <v>-5.8690949550842808E-2</v>
      </c>
      <c r="T166" s="49"/>
      <c r="U166" s="49"/>
      <c r="V166" s="49"/>
      <c r="W166" s="49"/>
      <c r="X166" s="49"/>
      <c r="Y166" s="49"/>
      <c r="Z166" s="49"/>
      <c r="AA166" s="49"/>
      <c r="AC166" s="175">
        <f>AC158/AC5</f>
        <v>-3.2430800141120472E-2</v>
      </c>
    </row>
    <row r="167" spans="2:29" x14ac:dyDescent="0.2">
      <c r="B167" s="20" t="s">
        <v>405</v>
      </c>
      <c r="M167" s="175">
        <f>M157/M5</f>
        <v>-0.6527023755620609</v>
      </c>
      <c r="N167" s="175">
        <f>N157/N5</f>
        <v>-0.3812991164587311</v>
      </c>
      <c r="O167" s="175">
        <f>O157/O5</f>
        <v>-6.132307701716725E-2</v>
      </c>
      <c r="P167" s="175">
        <f>P157/P5</f>
        <v>-3.6728210264789486E-2</v>
      </c>
      <c r="Q167" s="175">
        <f>Q157/Q5</f>
        <v>3.8175256989442262E-2</v>
      </c>
      <c r="T167" s="49"/>
      <c r="U167" s="49"/>
      <c r="V167" s="49"/>
      <c r="W167" s="49"/>
      <c r="X167" s="49"/>
      <c r="Y167" s="49"/>
      <c r="Z167" s="49"/>
      <c r="AA167" s="49"/>
      <c r="AC167" s="175">
        <f>AC157/AC5</f>
        <v>6.4346749744368631E-2</v>
      </c>
    </row>
    <row r="168" spans="2:29" x14ac:dyDescent="0.2">
      <c r="B168" s="20" t="s">
        <v>319</v>
      </c>
      <c r="M168" s="175">
        <f>-M64/M157</f>
        <v>0</v>
      </c>
      <c r="N168" s="175">
        <f>-N64/N157</f>
        <v>0</v>
      </c>
      <c r="O168" s="175">
        <f>-O64/O157</f>
        <v>0</v>
      </c>
      <c r="P168" s="175">
        <f>-P64/P157</f>
        <v>0</v>
      </c>
      <c r="Q168" s="175">
        <f>-Q64/Q157</f>
        <v>0</v>
      </c>
      <c r="T168" s="49"/>
      <c r="U168" s="49"/>
      <c r="V168" s="49"/>
      <c r="W168" s="49"/>
      <c r="X168" s="49"/>
      <c r="Y168" s="49"/>
      <c r="Z168" s="49"/>
      <c r="AA168" s="49"/>
      <c r="AC168" s="175">
        <f>-AC64/AC157</f>
        <v>0</v>
      </c>
    </row>
    <row r="169" spans="2:29" x14ac:dyDescent="0.2">
      <c r="B169" s="20" t="s">
        <v>321</v>
      </c>
      <c r="M169" s="175">
        <f>-M63/M157</f>
        <v>0</v>
      </c>
      <c r="N169" s="175">
        <f>-N63/N157</f>
        <v>0</v>
      </c>
      <c r="O169" s="175">
        <f>-O63/O157</f>
        <v>-1.2792495169232687</v>
      </c>
      <c r="P169" s="175">
        <f>-P63/P157</f>
        <v>-7.44160048753547</v>
      </c>
      <c r="Q169" s="175">
        <f>-Q63/Q157</f>
        <v>5.3526283260685705</v>
      </c>
      <c r="T169" s="49"/>
      <c r="U169" s="49"/>
      <c r="V169" s="49"/>
      <c r="W169" s="49"/>
      <c r="X169" s="49"/>
      <c r="Y169" s="49"/>
      <c r="Z169" s="49"/>
      <c r="AA169" s="49"/>
      <c r="AC169" s="175">
        <f>-AC63/AC157</f>
        <v>3.2095084983598028</v>
      </c>
    </row>
    <row r="170" spans="2:29" x14ac:dyDescent="0.2">
      <c r="B170" s="20" t="s">
        <v>332</v>
      </c>
      <c r="M170" s="175">
        <f>(-M64-M63)/M157</f>
        <v>0</v>
      </c>
      <c r="N170" s="175">
        <f>(-N64-N63)/N157</f>
        <v>0</v>
      </c>
      <c r="O170" s="175">
        <f>(-O64-O63)/O157</f>
        <v>-1.2792495169232687</v>
      </c>
      <c r="P170" s="175">
        <f>(-P64-P63)/P157</f>
        <v>-7.44160048753547</v>
      </c>
      <c r="Q170" s="175">
        <f>(-Q64-Q63)/Q157</f>
        <v>5.3526283260685705</v>
      </c>
      <c r="T170" s="49"/>
      <c r="U170" s="49"/>
      <c r="V170" s="49"/>
      <c r="W170" s="49"/>
      <c r="X170" s="49"/>
      <c r="Y170" s="49"/>
      <c r="Z170" s="49"/>
      <c r="AA170" s="49"/>
      <c r="AC170" s="175">
        <f>(-AC64-AC63)/AC157</f>
        <v>3.2095084983598028</v>
      </c>
    </row>
    <row r="171" spans="2:29" x14ac:dyDescent="0.2">
      <c r="B171" s="20" t="s">
        <v>326</v>
      </c>
      <c r="M171" s="175">
        <f>M80/M78</f>
        <v>0.32041292188722126</v>
      </c>
      <c r="N171" s="175">
        <f>N80/N78</f>
        <v>0.31207180184527727</v>
      </c>
      <c r="O171" s="175">
        <f>O80/O78</f>
        <v>0.22510733498180183</v>
      </c>
      <c r="P171" s="175">
        <f>P80/P78</f>
        <v>0.22494029842627195</v>
      </c>
      <c r="Q171" s="175">
        <f>Q80/Q78</f>
        <v>0.22012147206199109</v>
      </c>
      <c r="T171" s="49"/>
      <c r="U171" s="49"/>
      <c r="V171" s="49"/>
      <c r="W171" s="49"/>
      <c r="X171" s="49"/>
      <c r="Y171" s="49"/>
      <c r="Z171" s="49"/>
      <c r="AA171" s="49"/>
      <c r="AC171" s="175">
        <f>AC80/AC78</f>
        <v>0.2236199519483876</v>
      </c>
    </row>
    <row r="172" spans="2:29" x14ac:dyDescent="0.2">
      <c r="B172" s="20" t="s">
        <v>327</v>
      </c>
      <c r="M172" s="72">
        <f>M107/M75</f>
        <v>3.4766735290211184</v>
      </c>
      <c r="N172" s="72">
        <f>N107/N75</f>
        <v>3.157090755135687</v>
      </c>
      <c r="O172" s="72">
        <f>O107/O75</f>
        <v>3.3036556282545391</v>
      </c>
      <c r="P172" s="72">
        <f>P107/P75</f>
        <v>3.125390530795495</v>
      </c>
      <c r="Q172" s="72">
        <f>Q107/Q75</f>
        <v>3.224670847950649</v>
      </c>
      <c r="T172" s="72">
        <f t="shared" ref="T172:AA172" si="105">T107/T75</f>
        <v>3.1700129828095962</v>
      </c>
      <c r="U172" s="72">
        <f t="shared" si="105"/>
        <v>2.9174689182476676</v>
      </c>
      <c r="V172" s="72">
        <f t="shared" si="105"/>
        <v>3.125390530795495</v>
      </c>
      <c r="W172" s="72">
        <f t="shared" si="105"/>
        <v>2.9745495188201234</v>
      </c>
      <c r="X172" s="72">
        <f t="shared" si="105"/>
        <v>2.8673727265537021</v>
      </c>
      <c r="Y172" s="72">
        <f t="shared" si="105"/>
        <v>2.8420663861617577</v>
      </c>
      <c r="Z172" s="72">
        <f t="shared" si="105"/>
        <v>3.224670847950649</v>
      </c>
      <c r="AA172" s="72">
        <f t="shared" si="105"/>
        <v>2.732462108272006</v>
      </c>
      <c r="AC172" s="72">
        <f>AC107/AC75</f>
        <v>2.732462108272006</v>
      </c>
    </row>
    <row r="173" spans="2:29" x14ac:dyDescent="0.2">
      <c r="B173" s="20" t="s">
        <v>329</v>
      </c>
      <c r="M173" s="175">
        <f>M54/M59</f>
        <v>-9.3805469133780903</v>
      </c>
      <c r="N173" s="175">
        <f>N54/N59</f>
        <v>-37.054403366396151</v>
      </c>
      <c r="O173" s="175">
        <f>O54/O59</f>
        <v>1.243655586093446</v>
      </c>
      <c r="P173" s="175">
        <f>P54/P59</f>
        <v>1.1172492318250589</v>
      </c>
      <c r="Q173" s="175">
        <f>Q54/Q59</f>
        <v>0.78305424452059225</v>
      </c>
      <c r="T173" s="175">
        <f t="shared" ref="T173:AA173" si="106">T54/T59</f>
        <v>2.0334871485250994</v>
      </c>
      <c r="U173" s="175">
        <f t="shared" si="106"/>
        <v>3.1167794798717492</v>
      </c>
      <c r="V173" s="175" t="e">
        <f t="shared" si="106"/>
        <v>#DIV/0!</v>
      </c>
      <c r="W173" s="175">
        <f t="shared" si="106"/>
        <v>0.6416782911211576</v>
      </c>
      <c r="X173" s="175">
        <f t="shared" si="106"/>
        <v>1.8757303965181427</v>
      </c>
      <c r="Y173" s="175">
        <f t="shared" si="106"/>
        <v>2.5282091188850764</v>
      </c>
      <c r="Z173" s="175">
        <f t="shared" si="106"/>
        <v>0.35555092460569898</v>
      </c>
      <c r="AA173" s="175">
        <f t="shared" si="106"/>
        <v>0.40408404584318719</v>
      </c>
      <c r="AC173" s="175">
        <f>AC54/AC59</f>
        <v>0.69669698594761198</v>
      </c>
    </row>
    <row r="174" spans="2:29" x14ac:dyDescent="0.2">
      <c r="B174" s="20" t="s">
        <v>330</v>
      </c>
      <c r="M174" s="175">
        <f>M54/M5</f>
        <v>0.57784459995606618</v>
      </c>
      <c r="N174" s="175">
        <f>N54/N5</f>
        <v>0.3493733592422309</v>
      </c>
      <c r="O174" s="175">
        <f>O54/O5</f>
        <v>0.28435361356255617</v>
      </c>
      <c r="P174" s="175">
        <f>P54/P5</f>
        <v>0.25051410681111086</v>
      </c>
      <c r="Q174" s="175">
        <f>Q54/Q5</f>
        <v>0.18047997854178516</v>
      </c>
      <c r="T174" s="175">
        <f t="shared" ref="T174:AA174" si="107">T54/T5</f>
        <v>0.29819479973312507</v>
      </c>
      <c r="U174" s="175">
        <f t="shared" si="107"/>
        <v>0.24668619749445234</v>
      </c>
      <c r="V174" s="175">
        <f t="shared" si="107"/>
        <v>0</v>
      </c>
      <c r="W174" s="175">
        <f t="shared" si="107"/>
        <v>0.21412187626183318</v>
      </c>
      <c r="X174" s="175">
        <f t="shared" si="107"/>
        <v>0.21564822186836519</v>
      </c>
      <c r="Y174" s="175">
        <f t="shared" si="107"/>
        <v>0.17385730930425455</v>
      </c>
      <c r="Z174" s="175">
        <f t="shared" si="107"/>
        <v>0.13476004298420102</v>
      </c>
      <c r="AA174" s="175">
        <f t="shared" si="107"/>
        <v>0.1274194396508454</v>
      </c>
      <c r="AC174" s="175">
        <f>AC54/AC5</f>
        <v>0.16003121393504871</v>
      </c>
    </row>
    <row r="175" spans="2:29" x14ac:dyDescent="0.2">
      <c r="B175" s="20" t="s">
        <v>335</v>
      </c>
      <c r="M175" s="72">
        <f>(M107-M108)/M75</f>
        <v>3.4766735290211184</v>
      </c>
      <c r="N175" s="72">
        <f>(N107-N108)/N75</f>
        <v>3.157090755135687</v>
      </c>
      <c r="O175" s="72">
        <f>(O107-O108)/O75</f>
        <v>3.3036556282545391</v>
      </c>
      <c r="P175" s="72">
        <f>(P107-P108)/P75</f>
        <v>3.125390530795495</v>
      </c>
      <c r="Q175" s="72">
        <f>(Q107-Q108)/Q75</f>
        <v>3.224670847950649</v>
      </c>
      <c r="T175" s="72">
        <f t="shared" ref="T175:AA175" si="108">(T107-T108)/T75</f>
        <v>3.1700129828095962</v>
      </c>
      <c r="U175" s="72">
        <f t="shared" si="108"/>
        <v>2.9174689182476676</v>
      </c>
      <c r="V175" s="72">
        <f t="shared" si="108"/>
        <v>3.125390530795495</v>
      </c>
      <c r="W175" s="72">
        <f t="shared" si="108"/>
        <v>2.9745495188201234</v>
      </c>
      <c r="X175" s="72">
        <f t="shared" si="108"/>
        <v>2.8673727265537021</v>
      </c>
      <c r="Y175" s="72">
        <f t="shared" si="108"/>
        <v>2.8420663861617577</v>
      </c>
      <c r="Z175" s="72">
        <f t="shared" si="108"/>
        <v>3.224670847950649</v>
      </c>
      <c r="AA175" s="72">
        <f t="shared" si="108"/>
        <v>2.732462108272006</v>
      </c>
      <c r="AC175" s="72">
        <f>(AC107-AC108)/AC75</f>
        <v>2.732462108272006</v>
      </c>
    </row>
    <row r="176" spans="2:29" x14ac:dyDescent="0.2">
      <c r="B176" s="20" t="s">
        <v>340</v>
      </c>
      <c r="M176" s="175">
        <f>(M107-M108)/M153</f>
        <v>0.10399860990191799</v>
      </c>
      <c r="N176" s="175">
        <f>(N107-N108)/N153</f>
        <v>0.21668433460093939</v>
      </c>
      <c r="O176" s="175">
        <f>(O107-O108)/O153</f>
        <v>0.1385180556920142</v>
      </c>
      <c r="P176" s="175">
        <f>(P107-P108)/P153</f>
        <v>0.21436149045236591</v>
      </c>
      <c r="Q176" s="175">
        <f>(Q107-Q108)/Q153</f>
        <v>0.25287878673419845</v>
      </c>
      <c r="T176" s="49"/>
      <c r="U176" s="49"/>
      <c r="V176" s="49"/>
      <c r="W176" s="49"/>
      <c r="X176" s="49"/>
      <c r="Y176" s="49"/>
      <c r="Z176" s="49"/>
      <c r="AA176" s="49"/>
      <c r="AC176" s="175">
        <f ca="1">(AC107-AC108)/AC153</f>
        <v>0.27280461670922546</v>
      </c>
    </row>
    <row r="177" spans="1:31" x14ac:dyDescent="0.2">
      <c r="B177" s="20" t="s">
        <v>349</v>
      </c>
      <c r="M177" s="175">
        <f>-M110/M5</f>
        <v>1.325746537973577E-2</v>
      </c>
      <c r="N177" s="175">
        <f>-N110/N5</f>
        <v>2.2497097529617479E-2</v>
      </c>
      <c r="O177" s="175">
        <f>-O110/O5</f>
        <v>5.6128408833764501E-3</v>
      </c>
      <c r="P177" s="175">
        <f>-P110/P5</f>
        <v>1.0438116928173332E-2</v>
      </c>
      <c r="Q177" s="175">
        <f>-Q110/Q5</f>
        <v>1.1826854061786744E-2</v>
      </c>
      <c r="T177" s="175">
        <f t="shared" ref="T177:AA177" si="109">-T110/T5</f>
        <v>4.4837519327879894E-3</v>
      </c>
      <c r="U177" s="175">
        <f t="shared" si="109"/>
        <v>1.3745830431435797E-2</v>
      </c>
      <c r="V177" s="175">
        <f t="shared" si="109"/>
        <v>0</v>
      </c>
      <c r="W177" s="175">
        <f t="shared" si="109"/>
        <v>3.5981874467225984E-2</v>
      </c>
      <c r="X177" s="175">
        <f t="shared" si="109"/>
        <v>0</v>
      </c>
      <c r="Y177" s="175">
        <f t="shared" si="109"/>
        <v>7.6961808553852587E-3</v>
      </c>
      <c r="Z177" s="175">
        <f t="shared" si="109"/>
        <v>6.3437031679023587E-3</v>
      </c>
      <c r="AA177" s="175">
        <f t="shared" si="109"/>
        <v>6.415189946030183E-3</v>
      </c>
      <c r="AC177" s="175">
        <f>-AC110/AC5</f>
        <v>5.3219161289936798E-3</v>
      </c>
    </row>
    <row r="178" spans="1:31" x14ac:dyDescent="0.2">
      <c r="B178" s="20" t="s">
        <v>350</v>
      </c>
      <c r="M178" s="175">
        <f>-(M110/M59)</f>
        <v>-0.21521750996124667</v>
      </c>
      <c r="N178" s="175">
        <f>-(N110/N59)</f>
        <v>-2.3860334635808034</v>
      </c>
      <c r="O178" s="175">
        <f>-(O110/O59)</f>
        <v>2.4548451595214689E-2</v>
      </c>
      <c r="P178" s="175">
        <f>-(P110/P59)</f>
        <v>4.6552181304883568E-2</v>
      </c>
      <c r="Q178" s="175">
        <f>-(Q110/Q59)</f>
        <v>5.1313549276955236E-2</v>
      </c>
      <c r="T178" s="175">
        <f t="shared" ref="T178:AA178" si="110">-(T110/T59)</f>
        <v>3.0576160082801448E-2</v>
      </c>
      <c r="U178" s="175">
        <f t="shared" si="110"/>
        <v>0.17367296045600286</v>
      </c>
      <c r="V178" s="175" t="e">
        <f t="shared" si="110"/>
        <v>#DIV/0!</v>
      </c>
      <c r="W178" s="175">
        <f t="shared" si="110"/>
        <v>0.10783012050217644</v>
      </c>
      <c r="X178" s="175">
        <f t="shared" si="110"/>
        <v>0</v>
      </c>
      <c r="Y178" s="175">
        <f t="shared" si="110"/>
        <v>0.11191680520674896</v>
      </c>
      <c r="Z178" s="175">
        <f t="shared" si="110"/>
        <v>1.6737227718428501E-2</v>
      </c>
      <c r="AA178" s="175">
        <f t="shared" si="110"/>
        <v>2.0344430295312594E-2</v>
      </c>
      <c r="AC178" s="175">
        <f>-(AC110/AC59)</f>
        <v>2.3168998318295178E-2</v>
      </c>
    </row>
    <row r="179" spans="1:31" x14ac:dyDescent="0.2">
      <c r="B179" s="20" t="s">
        <v>351</v>
      </c>
      <c r="M179" s="175">
        <f>-M110/M53</f>
        <v>0.80442026521591292</v>
      </c>
      <c r="N179" s="175">
        <f>-N110/N53</f>
        <v>1.2719649628798804</v>
      </c>
      <c r="O179" s="175">
        <f>-O110/O53</f>
        <v>0.32491038633446917</v>
      </c>
      <c r="P179" s="175">
        <f>-P110/P53</f>
        <v>0.86600510677808729</v>
      </c>
      <c r="Q179" s="175">
        <f>-Q110/Q53</f>
        <v>1.1225175319700631</v>
      </c>
      <c r="T179" s="175">
        <f t="shared" ref="T179:AA179" si="111">-T110/T53</f>
        <v>0.30953940187731938</v>
      </c>
      <c r="U179" s="175">
        <f t="shared" si="111"/>
        <v>1.0752095280105867</v>
      </c>
      <c r="V179" s="175" t="e">
        <f t="shared" si="111"/>
        <v>#DIV/0!</v>
      </c>
      <c r="W179" s="175">
        <f t="shared" si="111"/>
        <v>3.9446664617276359</v>
      </c>
      <c r="X179" s="175">
        <f t="shared" si="111"/>
        <v>0</v>
      </c>
      <c r="Y179" s="175">
        <f t="shared" si="111"/>
        <v>0.7010857522712165</v>
      </c>
      <c r="Z179" s="175">
        <f t="shared" si="111"/>
        <v>0.61371405590187011</v>
      </c>
      <c r="AA179" s="175">
        <f t="shared" si="111"/>
        <v>0.35743774137701423</v>
      </c>
      <c r="AC179" s="175">
        <f>-AC110/AC53</f>
        <v>0.41931684334511188</v>
      </c>
    </row>
    <row r="180" spans="1:31" x14ac:dyDescent="0.2">
      <c r="B180" s="20" t="s">
        <v>418</v>
      </c>
      <c r="M180" s="245">
        <f>M5/M37</f>
        <v>0.346849112713561</v>
      </c>
      <c r="N180" s="245">
        <f t="shared" ref="N180:Q180" si="112">N5/N37</f>
        <v>0.38702057541552631</v>
      </c>
      <c r="O180" s="245">
        <f t="shared" si="112"/>
        <v>0.44270021436611728</v>
      </c>
      <c r="P180" s="245">
        <f t="shared" si="112"/>
        <v>0.49896309946357587</v>
      </c>
      <c r="Q180" s="245">
        <f t="shared" si="112"/>
        <v>0.50659662808253647</v>
      </c>
      <c r="T180" s="49"/>
      <c r="U180" s="49"/>
      <c r="V180" s="49"/>
      <c r="W180" s="49"/>
      <c r="X180" s="49"/>
      <c r="Y180" s="49"/>
      <c r="Z180" s="49"/>
      <c r="AA180" s="49"/>
      <c r="AC180" s="245">
        <f t="shared" ref="AC180" si="113">AC5/AC37</f>
        <v>0.57573243364202842</v>
      </c>
    </row>
    <row r="181" spans="1:31" x14ac:dyDescent="0.2">
      <c r="B181" s="20" t="s">
        <v>415</v>
      </c>
      <c r="M181" s="247" t="str">
        <f>IF(AND(M12&gt;0,M108&gt;0),M108/M12,"N/A")</f>
        <v>N/A</v>
      </c>
      <c r="N181" s="247" t="str">
        <f t="shared" ref="N181:Q181" si="114">IF(AND(N12&gt;0,N108&gt;0),N108/N12,"N/A")</f>
        <v>N/A</v>
      </c>
      <c r="O181" s="247" t="str">
        <f t="shared" si="114"/>
        <v>N/A</v>
      </c>
      <c r="P181" s="247" t="str">
        <f t="shared" si="114"/>
        <v>N/A</v>
      </c>
      <c r="Q181" s="247" t="str">
        <f t="shared" si="114"/>
        <v>N/A</v>
      </c>
      <c r="T181" s="49"/>
      <c r="U181" s="49"/>
      <c r="V181" s="49"/>
      <c r="W181" s="49"/>
      <c r="X181" s="49"/>
      <c r="Y181" s="49"/>
      <c r="Z181" s="49"/>
      <c r="AA181" s="49"/>
      <c r="AC181" s="247" t="str">
        <f t="shared" ref="AC181" si="115">IF(AND(AC12&gt;0,AC108&gt;0),AC108/AC12,"N/A")</f>
        <v>N/A</v>
      </c>
    </row>
    <row r="182" spans="1:31" x14ac:dyDescent="0.2">
      <c r="B182" s="20" t="s">
        <v>416</v>
      </c>
      <c r="M182" s="247" t="str">
        <f>IF(AND(M12&gt;0,M108&gt;0),(M108-M107)/M12,"N/A")</f>
        <v>N/A</v>
      </c>
      <c r="N182" s="247" t="str">
        <f t="shared" ref="N182:Q182" si="116">IF(AND(N12&gt;0,N108&gt;0),(N108-N107)/N12,"N/A")</f>
        <v>N/A</v>
      </c>
      <c r="O182" s="247" t="str">
        <f t="shared" si="116"/>
        <v>N/A</v>
      </c>
      <c r="P182" s="247" t="str">
        <f t="shared" si="116"/>
        <v>N/A</v>
      </c>
      <c r="Q182" s="247" t="str">
        <f t="shared" si="116"/>
        <v>N/A</v>
      </c>
      <c r="T182" s="49"/>
      <c r="U182" s="49"/>
      <c r="V182" s="49"/>
      <c r="W182" s="49"/>
      <c r="X182" s="49"/>
      <c r="Y182" s="49"/>
      <c r="Z182" s="49"/>
      <c r="AA182" s="49"/>
      <c r="AC182" s="247" t="str">
        <f t="shared" ref="AC182" si="117">IF(AND(AC12&gt;0,AC108&gt;0),(AC108-AC107)/AC12,"N/A")</f>
        <v>N/A</v>
      </c>
    </row>
    <row r="183" spans="1:31" x14ac:dyDescent="0.2">
      <c r="B183" s="20" t="s">
        <v>417</v>
      </c>
      <c r="M183" s="247">
        <f>M5/(M108+M112-M107)</f>
        <v>23.950501959521127</v>
      </c>
      <c r="N183" s="247">
        <f t="shared" ref="N183:Q183" si="118">N5/(N108+N112-N107)</f>
        <v>6.6028018437778737</v>
      </c>
      <c r="O183" s="247">
        <f t="shared" si="118"/>
        <v>9.5976403430894184</v>
      </c>
      <c r="P183" s="247">
        <f t="shared" si="118"/>
        <v>11.705987832736978</v>
      </c>
      <c r="Q183" s="247">
        <f t="shared" si="118"/>
        <v>4.0969904174647871</v>
      </c>
      <c r="T183" s="49"/>
      <c r="U183" s="49"/>
      <c r="V183" s="49"/>
      <c r="W183" s="49"/>
      <c r="X183" s="49"/>
      <c r="Y183" s="49"/>
      <c r="Z183" s="49"/>
      <c r="AA183" s="49"/>
      <c r="AC183" s="247">
        <f t="shared" ref="AC183" si="119">AC5/(AC108+AC112-AC107)</f>
        <v>3.4323989827982899</v>
      </c>
    </row>
    <row r="185" spans="1:31" x14ac:dyDescent="0.2">
      <c r="B185" s="1"/>
    </row>
    <row r="186" spans="1:31" s="15" customFormat="1" ht="17" thickBot="1" x14ac:dyDescent="0.25">
      <c r="A186" s="11"/>
      <c r="B186" s="14" t="s">
        <v>82</v>
      </c>
      <c r="R186" s="1"/>
      <c r="S186" s="1"/>
      <c r="AB186" s="1"/>
      <c r="AD186" s="1"/>
      <c r="AE186" s="1"/>
    </row>
    <row r="187" spans="1:31" x14ac:dyDescent="0.2">
      <c r="B187" s="20" t="s">
        <v>113</v>
      </c>
      <c r="C187" s="62"/>
      <c r="D187" s="62"/>
      <c r="E187" s="62"/>
      <c r="F187" s="62"/>
      <c r="G187" s="62"/>
      <c r="H187" s="62"/>
      <c r="I187" s="62"/>
      <c r="J187" s="62"/>
      <c r="K187" s="62"/>
      <c r="L187" s="62"/>
      <c r="M187" s="62">
        <v>481427</v>
      </c>
      <c r="N187" s="62">
        <v>497836</v>
      </c>
      <c r="O187" s="62">
        <v>621392</v>
      </c>
      <c r="P187" s="62">
        <v>587152</v>
      </c>
      <c r="Q187" s="62">
        <v>606394</v>
      </c>
      <c r="T187" s="62">
        <v>112251</v>
      </c>
      <c r="U187" s="62">
        <v>137174</v>
      </c>
      <c r="V187" s="62">
        <v>197609</v>
      </c>
      <c r="W187" s="62">
        <v>128286</v>
      </c>
      <c r="X187" s="62">
        <v>112161</v>
      </c>
      <c r="Y187" s="62">
        <v>150043</v>
      </c>
      <c r="Z187" s="62">
        <v>215904</v>
      </c>
      <c r="AA187" s="62">
        <v>149309</v>
      </c>
      <c r="AC187" s="62">
        <f>SUM(X187:AA187)</f>
        <v>627417</v>
      </c>
    </row>
    <row r="188" spans="1:31" x14ac:dyDescent="0.2">
      <c r="B188" s="20" t="s">
        <v>114</v>
      </c>
      <c r="C188" s="62"/>
      <c r="D188" s="62"/>
      <c r="E188" s="62"/>
      <c r="F188" s="62"/>
      <c r="G188" s="62"/>
      <c r="H188" s="62"/>
      <c r="I188" s="62"/>
      <c r="J188" s="62"/>
      <c r="K188" s="62"/>
      <c r="L188" s="62"/>
      <c r="M188" s="62">
        <v>369867</v>
      </c>
      <c r="N188" s="62">
        <v>508823</v>
      </c>
      <c r="O188" s="62">
        <v>649918</v>
      </c>
      <c r="P188" s="62">
        <v>801947</v>
      </c>
      <c r="Q188" s="62">
        <v>954472</v>
      </c>
      <c r="T188" s="62">
        <v>194673</v>
      </c>
      <c r="U188" s="62">
        <v>206922</v>
      </c>
      <c r="V188" s="62">
        <v>215221</v>
      </c>
      <c r="W188" s="62">
        <v>217303</v>
      </c>
      <c r="X188" s="62">
        <v>238363</v>
      </c>
      <c r="Y188" s="62">
        <v>247573</v>
      </c>
      <c r="Z188" s="62">
        <v>251233</v>
      </c>
      <c r="AA188" s="62">
        <v>252903</v>
      </c>
      <c r="AC188" s="62">
        <f t="shared" ref="AC188:AC193" si="120">SUM(X188:AA188)</f>
        <v>990072</v>
      </c>
    </row>
    <row r="189" spans="1:31" x14ac:dyDescent="0.2">
      <c r="B189" s="20" t="s">
        <v>115</v>
      </c>
      <c r="C189" s="62"/>
      <c r="D189" s="62"/>
      <c r="E189" s="62"/>
      <c r="F189" s="62"/>
      <c r="G189" s="62"/>
      <c r="H189" s="62"/>
      <c r="I189" s="62"/>
      <c r="J189" s="62"/>
      <c r="K189" s="62"/>
      <c r="L189" s="62"/>
      <c r="M189" s="62">
        <v>40958</v>
      </c>
      <c r="N189" s="62">
        <v>51922</v>
      </c>
      <c r="O189" s="62">
        <v>36762</v>
      </c>
      <c r="P189" s="62">
        <v>40555</v>
      </c>
      <c r="Q189" s="62">
        <v>49706</v>
      </c>
      <c r="T189" s="62">
        <v>9329</v>
      </c>
      <c r="U189" s="62">
        <v>10557</v>
      </c>
      <c r="V189" s="62">
        <v>10816</v>
      </c>
      <c r="W189" s="62">
        <v>11035</v>
      </c>
      <c r="X189" s="62">
        <v>11204</v>
      </c>
      <c r="Y189" s="62">
        <v>13497</v>
      </c>
      <c r="Z189" s="62">
        <v>13970</v>
      </c>
      <c r="AA189" s="62">
        <v>16170</v>
      </c>
      <c r="AC189" s="62">
        <f t="shared" si="120"/>
        <v>54841</v>
      </c>
    </row>
    <row r="190" spans="1:31" x14ac:dyDescent="0.2">
      <c r="C190" s="21"/>
      <c r="D190" s="21"/>
      <c r="E190" s="21"/>
      <c r="F190" s="21"/>
      <c r="G190" s="21"/>
      <c r="H190" s="21"/>
      <c r="I190" s="21"/>
      <c r="J190" s="21"/>
      <c r="K190" s="21"/>
      <c r="L190" s="21"/>
      <c r="M190" s="21"/>
      <c r="AC190" s="62"/>
    </row>
    <row r="191" spans="1:31" x14ac:dyDescent="0.2">
      <c r="B191" s="20" t="s">
        <v>116</v>
      </c>
      <c r="C191" s="62"/>
      <c r="D191" s="62"/>
      <c r="E191" s="62"/>
      <c r="F191" s="62"/>
      <c r="G191" s="62"/>
      <c r="H191" s="62"/>
      <c r="I191" s="62"/>
      <c r="J191" s="62"/>
      <c r="K191" s="62"/>
      <c r="L191" s="62"/>
      <c r="M191" s="62">
        <v>11888</v>
      </c>
      <c r="N191" s="62">
        <v>10421</v>
      </c>
      <c r="O191" s="62">
        <v>10469</v>
      </c>
      <c r="P191" s="62">
        <v>8565</v>
      </c>
      <c r="Q191" s="62">
        <v>5334</v>
      </c>
      <c r="T191" s="62">
        <v>2393</v>
      </c>
      <c r="U191" s="62">
        <v>2340</v>
      </c>
      <c r="V191" s="62">
        <v>1231</v>
      </c>
      <c r="W191" s="62">
        <v>1268</v>
      </c>
      <c r="X191" s="62">
        <v>1200</v>
      </c>
      <c r="Y191" s="62">
        <v>1311</v>
      </c>
      <c r="Z191" s="62">
        <v>1555</v>
      </c>
      <c r="AA191" s="62">
        <v>1664</v>
      </c>
      <c r="AC191" s="62">
        <f t="shared" si="120"/>
        <v>5730</v>
      </c>
    </row>
    <row r="192" spans="1:31" x14ac:dyDescent="0.2">
      <c r="B192" s="20" t="s">
        <v>117</v>
      </c>
      <c r="C192" s="62"/>
      <c r="D192" s="62"/>
      <c r="E192" s="62"/>
      <c r="F192" s="62"/>
      <c r="G192" s="62"/>
      <c r="H192" s="62"/>
      <c r="I192" s="62"/>
      <c r="J192" s="62"/>
      <c r="K192" s="62"/>
      <c r="L192" s="62"/>
      <c r="M192" s="62">
        <v>60565</v>
      </c>
      <c r="N192" s="62">
        <v>87366</v>
      </c>
      <c r="O192" s="62">
        <v>111922</v>
      </c>
      <c r="P192" s="62">
        <v>167630</v>
      </c>
      <c r="Q192" s="62">
        <v>157588</v>
      </c>
      <c r="T192" s="62">
        <v>43529</v>
      </c>
      <c r="U192" s="62">
        <v>43487</v>
      </c>
      <c r="V192" s="62">
        <v>43860</v>
      </c>
      <c r="W192" s="62">
        <v>38468</v>
      </c>
      <c r="X192" s="62">
        <v>38229</v>
      </c>
      <c r="Y192" s="62">
        <v>40121</v>
      </c>
      <c r="Z192" s="62">
        <v>40770</v>
      </c>
      <c r="AA192" s="62">
        <v>43988</v>
      </c>
      <c r="AC192" s="62">
        <f t="shared" si="120"/>
        <v>163108</v>
      </c>
    </row>
    <row r="193" spans="2:29" x14ac:dyDescent="0.2">
      <c r="B193" s="20" t="s">
        <v>118</v>
      </c>
      <c r="C193" s="62"/>
      <c r="D193" s="62"/>
      <c r="E193" s="62"/>
      <c r="F193" s="62"/>
      <c r="G193" s="62"/>
      <c r="H193" s="62"/>
      <c r="I193" s="62"/>
      <c r="J193" s="62"/>
      <c r="K193" s="62"/>
      <c r="L193" s="62"/>
      <c r="M193" s="62">
        <v>96415</v>
      </c>
      <c r="N193" s="62">
        <v>82264</v>
      </c>
      <c r="O193" s="62">
        <v>73533</v>
      </c>
      <c r="P193" s="62">
        <v>70747</v>
      </c>
      <c r="Q193" s="62">
        <v>108062</v>
      </c>
      <c r="T193" s="62">
        <v>17398</v>
      </c>
      <c r="U193" s="62">
        <v>17936</v>
      </c>
      <c r="V193" s="62">
        <v>19443</v>
      </c>
      <c r="W193" s="62">
        <v>24121</v>
      </c>
      <c r="X193" s="62">
        <v>24951</v>
      </c>
      <c r="Y193" s="62">
        <v>27380</v>
      </c>
      <c r="Z193" s="62">
        <v>31610</v>
      </c>
      <c r="AA193" s="62">
        <v>31276</v>
      </c>
      <c r="AC193" s="62">
        <f t="shared" si="120"/>
        <v>115217</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363</v>
      </c>
      <c r="C196" s="192"/>
      <c r="D196" s="192"/>
      <c r="E196" s="192"/>
      <c r="F196" s="192"/>
      <c r="G196" s="192"/>
      <c r="H196" s="192"/>
      <c r="I196" s="192"/>
      <c r="J196" s="192"/>
      <c r="K196" s="192"/>
      <c r="L196" s="192"/>
      <c r="M196" s="192"/>
      <c r="N196" s="192"/>
      <c r="O196" s="192"/>
      <c r="P196" s="192"/>
      <c r="Q196" s="192"/>
      <c r="T196" s="192"/>
      <c r="U196" s="192"/>
      <c r="V196" s="192"/>
      <c r="W196" s="192"/>
      <c r="X196" s="192"/>
      <c r="Y196" s="192"/>
      <c r="Z196" s="192"/>
      <c r="AA196" s="192"/>
      <c r="AC196" s="192"/>
    </row>
    <row r="197" spans="2:29" x14ac:dyDescent="0.2">
      <c r="B197" s="20" t="s">
        <v>113</v>
      </c>
      <c r="C197" s="81"/>
      <c r="D197" s="81"/>
      <c r="E197" s="81"/>
      <c r="F197" s="81"/>
      <c r="G197" s="81"/>
      <c r="H197" s="81"/>
      <c r="I197" s="81"/>
      <c r="J197" s="81"/>
      <c r="K197" s="81"/>
      <c r="L197" s="81"/>
      <c r="M197" s="81">
        <f t="shared" ref="M197:Q199" si="121">IF(L187=0,
IF(M187=0,0,IF(M187&gt;0,1,-1)),
(M187-L187)/ABS(L187)
)</f>
        <v>1</v>
      </c>
      <c r="N197" s="81">
        <f t="shared" si="121"/>
        <v>3.4084087514825716E-2</v>
      </c>
      <c r="O197" s="81">
        <f t="shared" si="121"/>
        <v>0.24818614965570993</v>
      </c>
      <c r="P197" s="81">
        <f t="shared" si="121"/>
        <v>-5.5102093364575021E-2</v>
      </c>
      <c r="Q197" s="81">
        <f t="shared" si="121"/>
        <v>3.2771752459329104E-2</v>
      </c>
      <c r="T197" s="81">
        <f t="shared" ref="T197:AA199" si="122">IF(S187=0,
IF(T187=0,0,IF(T187&gt;0,1,-1)),
(T187-S187)/ABS(S187)
)</f>
        <v>1</v>
      </c>
      <c r="U197" s="81">
        <f t="shared" si="122"/>
        <v>0.22202920241245067</v>
      </c>
      <c r="V197" s="81">
        <f t="shared" si="122"/>
        <v>0.44057182848061588</v>
      </c>
      <c r="W197" s="81">
        <f t="shared" si="122"/>
        <v>-0.35080892064632685</v>
      </c>
      <c r="X197" s="81">
        <f t="shared" si="122"/>
        <v>-0.12569571114540948</v>
      </c>
      <c r="Y197" s="81">
        <f t="shared" si="122"/>
        <v>0.33774663207353717</v>
      </c>
      <c r="Z197" s="81">
        <f t="shared" si="122"/>
        <v>0.43894750171617469</v>
      </c>
      <c r="AA197" s="81">
        <f t="shared" si="122"/>
        <v>-0.30844727286201273</v>
      </c>
      <c r="AC197" s="49"/>
    </row>
    <row r="198" spans="2:29" x14ac:dyDescent="0.2">
      <c r="B198" s="20" t="s">
        <v>114</v>
      </c>
      <c r="M198" s="81">
        <f t="shared" si="121"/>
        <v>1</v>
      </c>
      <c r="N198" s="81">
        <f t="shared" si="121"/>
        <v>0.37569180272908909</v>
      </c>
      <c r="O198" s="81">
        <f t="shared" si="121"/>
        <v>0.27729682030883041</v>
      </c>
      <c r="P198" s="81">
        <f t="shared" si="121"/>
        <v>0.23392027917368038</v>
      </c>
      <c r="Q198" s="81">
        <f t="shared" si="121"/>
        <v>0.19019336689332336</v>
      </c>
      <c r="T198" s="81">
        <f t="shared" si="122"/>
        <v>1</v>
      </c>
      <c r="U198" s="81">
        <f t="shared" si="122"/>
        <v>6.292089812146523E-2</v>
      </c>
      <c r="V198" s="81">
        <f t="shared" si="122"/>
        <v>4.0106900184610626E-2</v>
      </c>
      <c r="W198" s="81">
        <f t="shared" si="122"/>
        <v>9.673777187170397E-3</v>
      </c>
      <c r="X198" s="81">
        <f t="shared" si="122"/>
        <v>9.6915367022084364E-2</v>
      </c>
      <c r="Y198" s="81">
        <f t="shared" si="122"/>
        <v>3.8638547089942653E-2</v>
      </c>
      <c r="Z198" s="81">
        <f t="shared" si="122"/>
        <v>1.4783518396594137E-2</v>
      </c>
      <c r="AA198" s="81">
        <f t="shared" si="122"/>
        <v>6.6472159310281692E-3</v>
      </c>
      <c r="AC198" s="49"/>
    </row>
    <row r="199" spans="2:29" x14ac:dyDescent="0.2">
      <c r="B199" s="20" t="s">
        <v>115</v>
      </c>
      <c r="M199" s="81">
        <f t="shared" si="121"/>
        <v>1</v>
      </c>
      <c r="N199" s="81">
        <f t="shared" si="121"/>
        <v>0.26768885199472631</v>
      </c>
      <c r="O199" s="81">
        <f t="shared" si="121"/>
        <v>-0.29197642617772812</v>
      </c>
      <c r="P199" s="81">
        <f t="shared" si="121"/>
        <v>0.10317719384146673</v>
      </c>
      <c r="Q199" s="81">
        <f t="shared" si="121"/>
        <v>0.22564418690666996</v>
      </c>
      <c r="T199" s="81">
        <f t="shared" si="122"/>
        <v>1</v>
      </c>
      <c r="U199" s="81">
        <f t="shared" si="122"/>
        <v>0.13163254368099475</v>
      </c>
      <c r="V199" s="81">
        <f t="shared" si="122"/>
        <v>2.4533484891541158E-2</v>
      </c>
      <c r="W199" s="81">
        <f t="shared" si="122"/>
        <v>2.0247781065088757E-2</v>
      </c>
      <c r="X199" s="81">
        <f t="shared" si="122"/>
        <v>1.5314907113729044E-2</v>
      </c>
      <c r="Y199" s="81">
        <f t="shared" si="122"/>
        <v>0.20465905033916459</v>
      </c>
      <c r="Z199" s="81">
        <f t="shared" si="122"/>
        <v>3.5044824775876122E-2</v>
      </c>
      <c r="AA199" s="81">
        <f t="shared" si="122"/>
        <v>0.15748031496062992</v>
      </c>
      <c r="AC199" s="49"/>
    </row>
    <row r="201" spans="2:29" x14ac:dyDescent="0.2">
      <c r="B201" s="1"/>
    </row>
    <row r="202" spans="2:29" ht="17" thickBot="1" x14ac:dyDescent="0.25">
      <c r="B202" s="14" t="s">
        <v>364</v>
      </c>
      <c r="C202" s="192"/>
      <c r="D202" s="192"/>
      <c r="E202" s="192"/>
      <c r="F202" s="192"/>
      <c r="G202" s="192"/>
      <c r="H202" s="192"/>
      <c r="I202" s="192"/>
      <c r="J202" s="192"/>
      <c r="K202" s="192"/>
      <c r="L202" s="192"/>
      <c r="M202" s="192"/>
      <c r="N202" s="192"/>
      <c r="O202" s="192"/>
      <c r="P202" s="192"/>
      <c r="Q202" s="192"/>
      <c r="T202" s="192"/>
      <c r="U202" s="192"/>
      <c r="V202" s="192"/>
      <c r="W202" s="192"/>
      <c r="X202" s="192"/>
      <c r="Y202" s="192"/>
      <c r="Z202" s="192"/>
      <c r="AA202" s="192"/>
      <c r="AC202" s="192"/>
    </row>
    <row r="203" spans="2:29" x14ac:dyDescent="0.2">
      <c r="B203" s="20" t="s">
        <v>333</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410</v>
      </c>
      <c r="C206" s="192"/>
      <c r="D206" s="192"/>
      <c r="E206" s="192"/>
      <c r="F206" s="192"/>
      <c r="G206" s="192"/>
      <c r="H206" s="192"/>
      <c r="I206" s="192"/>
      <c r="J206" s="192"/>
      <c r="K206" s="192"/>
      <c r="L206" s="192"/>
      <c r="M206" s="192"/>
      <c r="N206" s="192"/>
      <c r="O206" s="192"/>
      <c r="P206" s="192"/>
      <c r="Q206" s="192"/>
      <c r="T206" s="192"/>
      <c r="U206" s="192"/>
      <c r="V206" s="192"/>
      <c r="W206" s="192"/>
      <c r="X206" s="192"/>
      <c r="Y206" s="192"/>
      <c r="Z206" s="192"/>
      <c r="AA206" s="192"/>
      <c r="AC206" s="192"/>
    </row>
    <row r="207" spans="2:29" x14ac:dyDescent="0.2">
      <c r="B207" s="20" t="s">
        <v>411</v>
      </c>
      <c r="M207" s="164">
        <v>100</v>
      </c>
      <c r="N207" s="164">
        <f>100*(1+((N117-$M117)/ABS($M117)))</f>
        <v>43.583607538139404</v>
      </c>
      <c r="O207" s="164">
        <f t="shared" ref="O207:Q207" si="123">100*(1+((O117-$M117)/ABS($M117)))</f>
        <v>71.343104995513016</v>
      </c>
      <c r="P207" s="164">
        <f t="shared" si="123"/>
        <v>43.613520789709838</v>
      </c>
      <c r="Q207" s="164">
        <f t="shared" si="123"/>
        <v>37.660783727191152</v>
      </c>
      <c r="T207" s="49"/>
      <c r="U207" s="49"/>
      <c r="V207" s="49"/>
      <c r="W207" s="49"/>
      <c r="X207" s="49"/>
      <c r="Y207" s="49"/>
      <c r="Z207" s="49"/>
      <c r="AA207" s="49"/>
      <c r="AC207" s="49"/>
    </row>
    <row r="208" spans="2:29" x14ac:dyDescent="0.2">
      <c r="B208" s="20" t="s">
        <v>412</v>
      </c>
      <c r="M208" s="164">
        <v>100</v>
      </c>
      <c r="N208" s="164">
        <f>100*(1+((N5-$M5)/ABS($M5)))</f>
        <v>118.64148245114609</v>
      </c>
      <c r="O208" s="164">
        <f t="shared" ref="O208:Q208" si="124">100*(1+((O5-$M5)/ABS($M5)))</f>
        <v>146.60342593796372</v>
      </c>
      <c r="P208" s="164">
        <f t="shared" si="124"/>
        <v>160.23096613961079</v>
      </c>
      <c r="Q208" s="164">
        <f t="shared" si="124"/>
        <v>180.50640402038886</v>
      </c>
      <c r="T208" s="49"/>
      <c r="U208" s="49"/>
      <c r="V208" s="49"/>
      <c r="W208" s="49"/>
      <c r="X208" s="49"/>
      <c r="Y208" s="49"/>
      <c r="Z208" s="49"/>
      <c r="AA208" s="49"/>
      <c r="AC208" s="49"/>
    </row>
    <row r="209" spans="1:31" x14ac:dyDescent="0.2">
      <c r="B209" s="20" t="s">
        <v>413</v>
      </c>
      <c r="M209" s="164">
        <v>100</v>
      </c>
      <c r="N209" s="164">
        <f>100*(1+((N26-$M26)/ABS($M26)))</f>
        <v>148.27586206896552</v>
      </c>
      <c r="O209" s="164">
        <f t="shared" ref="O209:Q209" si="125">100*(1+((O26-$M26)/ABS($M26)))</f>
        <v>186.20689655172413</v>
      </c>
      <c r="P209" s="164">
        <f t="shared" si="125"/>
        <v>188.79310344827584</v>
      </c>
      <c r="Q209" s="164">
        <f t="shared" si="125"/>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129</v>
      </c>
      <c r="R212" s="1"/>
      <c r="S212" s="1"/>
      <c r="AB212" s="1"/>
      <c r="AD212" s="1"/>
      <c r="AE212" s="1"/>
    </row>
    <row r="213" spans="1:31" x14ac:dyDescent="0.2">
      <c r="B213" s="20" t="s">
        <v>130</v>
      </c>
      <c r="C213" s="62"/>
      <c r="D213" s="62"/>
      <c r="E213" s="62"/>
      <c r="F213" s="62"/>
      <c r="G213" s="62"/>
      <c r="H213" s="62"/>
      <c r="I213" s="62"/>
      <c r="J213" s="62"/>
      <c r="K213" s="62"/>
      <c r="L213" s="62"/>
      <c r="M213" s="62">
        <v>925276</v>
      </c>
      <c r="N213" s="62">
        <v>1203845</v>
      </c>
      <c r="O213" s="62">
        <v>1463698</v>
      </c>
      <c r="P213" s="62">
        <v>1666136</v>
      </c>
      <c r="Q213" s="62">
        <v>1852567</v>
      </c>
      <c r="T213" s="62">
        <v>1550605</v>
      </c>
      <c r="U213" s="62">
        <v>1606561</v>
      </c>
      <c r="V213" s="62">
        <v>1666136</v>
      </c>
      <c r="W213" s="62">
        <v>1692683</v>
      </c>
      <c r="X213" s="62">
        <v>1723401</v>
      </c>
      <c r="Y213" s="62">
        <v>1782384</v>
      </c>
      <c r="Z213" s="62">
        <v>1852567</v>
      </c>
      <c r="AA213" s="62">
        <v>1901211</v>
      </c>
      <c r="AC213" s="62">
        <f>AA213</f>
        <v>1901211</v>
      </c>
    </row>
    <row r="214" spans="1:31" x14ac:dyDescent="0.2">
      <c r="B214" s="20" t="s">
        <v>131</v>
      </c>
      <c r="C214" s="62"/>
      <c r="D214" s="62"/>
      <c r="E214" s="62"/>
      <c r="F214" s="62"/>
      <c r="G214" s="62"/>
      <c r="H214" s="62"/>
      <c r="I214" s="62"/>
      <c r="J214" s="62"/>
      <c r="K214" s="62"/>
      <c r="L214" s="62"/>
      <c r="M214" s="62">
        <v>344793</v>
      </c>
      <c r="N214" s="62">
        <v>278569</v>
      </c>
      <c r="O214" s="62">
        <v>259853</v>
      </c>
      <c r="P214" s="62">
        <v>202438</v>
      </c>
      <c r="Q214" s="62">
        <v>186431</v>
      </c>
      <c r="T214" s="62">
        <v>43000</v>
      </c>
      <c r="U214" s="62">
        <v>56000</v>
      </c>
      <c r="V214" s="62">
        <v>60000</v>
      </c>
      <c r="W214" s="62">
        <v>27000</v>
      </c>
      <c r="X214" s="62">
        <v>31000</v>
      </c>
      <c r="Y214" s="62">
        <v>59000</v>
      </c>
      <c r="Z214" s="62">
        <v>70000</v>
      </c>
      <c r="AA214" s="62">
        <v>49000</v>
      </c>
      <c r="AC214" s="83">
        <f>SUM(X214:AA214)</f>
        <v>209000</v>
      </c>
    </row>
    <row r="215" spans="1:31" x14ac:dyDescent="0.2">
      <c r="B215" s="20" t="s">
        <v>132</v>
      </c>
      <c r="C215" s="57"/>
      <c r="D215" s="57"/>
      <c r="E215" s="57"/>
      <c r="F215" s="57"/>
      <c r="G215" s="57"/>
      <c r="H215" s="57"/>
      <c r="I215" s="57"/>
      <c r="J215" s="57"/>
      <c r="K215" s="57"/>
      <c r="L215" s="82"/>
      <c r="M215" s="82">
        <v>1.45</v>
      </c>
      <c r="N215" s="82">
        <v>1.23</v>
      </c>
      <c r="O215" s="82">
        <v>1.19</v>
      </c>
      <c r="P215" s="82">
        <v>1.1000000000000001</v>
      </c>
      <c r="Q215" s="82">
        <v>1.07</v>
      </c>
      <c r="T215" s="82">
        <v>1.1499999999999999</v>
      </c>
      <c r="U215" s="82">
        <v>1.1299999999999999</v>
      </c>
      <c r="V215" s="82">
        <v>1.1000000000000001</v>
      </c>
      <c r="W215" s="82">
        <v>1.08</v>
      </c>
      <c r="X215" s="82">
        <v>1.08</v>
      </c>
      <c r="Y215" s="82">
        <v>1.07</v>
      </c>
      <c r="Z215" s="82">
        <v>1.07</v>
      </c>
      <c r="AA215" s="82">
        <v>1.0900000000000001</v>
      </c>
      <c r="AC215" s="82">
        <f>AA215</f>
        <v>1.0900000000000001</v>
      </c>
    </row>
    <row r="216" spans="1:31" x14ac:dyDescent="0.2">
      <c r="B216" s="20" t="s">
        <v>133</v>
      </c>
      <c r="M216" s="62">
        <v>158</v>
      </c>
      <c r="N216" s="62">
        <v>229</v>
      </c>
      <c r="O216" s="62">
        <v>288</v>
      </c>
      <c r="P216" s="62">
        <v>317</v>
      </c>
      <c r="Q216" s="62">
        <v>357</v>
      </c>
      <c r="T216" s="62">
        <v>293</v>
      </c>
      <c r="U216" s="62">
        <v>302</v>
      </c>
      <c r="V216" s="62">
        <v>317</v>
      </c>
      <c r="W216" s="62">
        <v>316</v>
      </c>
      <c r="X216" s="62">
        <v>320</v>
      </c>
      <c r="Y216" s="62">
        <v>333</v>
      </c>
      <c r="Z216" s="62">
        <v>357</v>
      </c>
      <c r="AA216" s="62">
        <v>374</v>
      </c>
      <c r="AC216" s="62">
        <f>AA216</f>
        <v>374</v>
      </c>
    </row>
    <row r="217" spans="1:31" x14ac:dyDescent="0.2">
      <c r="B217" s="20" t="s">
        <v>134</v>
      </c>
      <c r="M217" s="62">
        <v>1493</v>
      </c>
      <c r="N217" s="62">
        <v>1785</v>
      </c>
      <c r="O217" s="62">
        <v>2054</v>
      </c>
      <c r="P217" s="62">
        <v>2292</v>
      </c>
      <c r="Q217" s="62">
        <v>2565</v>
      </c>
      <c r="T217" s="62">
        <v>2163</v>
      </c>
      <c r="U217" s="62">
        <v>2235</v>
      </c>
      <c r="V217" s="62">
        <v>2292</v>
      </c>
      <c r="W217" s="62">
        <v>2365</v>
      </c>
      <c r="X217" s="62">
        <v>2432</v>
      </c>
      <c r="Y217" s="62">
        <v>2506</v>
      </c>
      <c r="Z217" s="62">
        <v>2565</v>
      </c>
      <c r="AA217" s="62">
        <v>2624</v>
      </c>
      <c r="AC217" s="62">
        <f>AA217</f>
        <v>2624</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323</v>
      </c>
    </row>
    <row r="4" spans="2:7" x14ac:dyDescent="0.2">
      <c r="B4" s="252" t="s">
        <v>282</v>
      </c>
      <c r="C4" s="252"/>
      <c r="E4" s="252" t="s">
        <v>289</v>
      </c>
      <c r="F4" s="252"/>
      <c r="G4" s="252"/>
    </row>
    <row r="5" spans="2:7" x14ac:dyDescent="0.2">
      <c r="B5" s="20" t="s">
        <v>1</v>
      </c>
      <c r="C5" s="193">
        <f ca="1">Overview!C5</f>
        <v>9.9350000000000005</v>
      </c>
      <c r="E5" s="12"/>
      <c r="F5" s="153" t="s">
        <v>290</v>
      </c>
      <c r="G5" s="153" t="s">
        <v>291</v>
      </c>
    </row>
    <row r="6" spans="2:7" x14ac:dyDescent="0.2">
      <c r="B6" s="20" t="s">
        <v>288</v>
      </c>
      <c r="C6" s="194">
        <f ca="1">Statement!AC153</f>
        <v>5189596.9249999998</v>
      </c>
      <c r="E6" s="20" t="s">
        <v>20</v>
      </c>
      <c r="F6" s="199">
        <f>IF(Statement!M5&lt;=0,"N/A",_xlfn.RRI(4,Statement!M5,Statement!Q5))</f>
        <v>0.15910599918172563</v>
      </c>
      <c r="G6" s="199" t="str">
        <f>IF(Statement!H5&lt;=0,"N/A",_xlfn.RRI(9,Statement!H5,Statement!Q5))</f>
        <v>N/A</v>
      </c>
    </row>
    <row r="7" spans="2:7" x14ac:dyDescent="0.2">
      <c r="B7" s="20" t="s">
        <v>229</v>
      </c>
      <c r="C7" s="194">
        <f ca="1">Statement!AC154</f>
        <v>3773850.9249999998</v>
      </c>
      <c r="E7" s="20" t="s">
        <v>32</v>
      </c>
      <c r="F7" s="199" t="str">
        <f>IF(OR(Statement!M18&lt;=0, Statement!Q18&lt;=0), "N/A", _xlfn.RRI(4, Statement!M18, Statement!Q18))</f>
        <v>N/A</v>
      </c>
      <c r="G7" s="199" t="str">
        <f>IF(OR(Statement!H18&lt;=0, Statement!Q18&lt;=0), "N/A", _xlfn.RRI(9, Statement!H18, Statement!Q18))</f>
        <v>N/A</v>
      </c>
    </row>
    <row r="8" spans="2:7" x14ac:dyDescent="0.2">
      <c r="B8" s="20" t="s">
        <v>286</v>
      </c>
      <c r="C8" s="195">
        <f ca="1">Statement!AC150</f>
        <v>16.55833333333333</v>
      </c>
      <c r="E8" s="20" t="s">
        <v>292</v>
      </c>
      <c r="F8" s="199" t="str">
        <f>IF(OR(Statement!M26&lt;=0, Statement!Q26&lt;=0), "N/A", _xlfn.RRI(4, Statement!M26, Statement!Q26))</f>
        <v>N/A</v>
      </c>
      <c r="G8" s="199" t="str">
        <f>IF(OR(Statement!H26&lt;=0, Statement!Q26&lt;=0), "N/A", _xlfn.RRI(9, Statement!H26, Statement!Q26))</f>
        <v>N/A</v>
      </c>
    </row>
    <row r="9" spans="2:7" x14ac:dyDescent="0.2">
      <c r="B9" s="20" t="s">
        <v>242</v>
      </c>
      <c r="C9" s="195">
        <f ca="1">Statement!AC151</f>
        <v>3.2005907887498282</v>
      </c>
      <c r="E9" s="20" t="s">
        <v>293</v>
      </c>
      <c r="F9" s="199" t="str">
        <f>IF(Statement!M82&lt;=0,"N/A",_xlfn.RRI(4,Statement!M82,Statement!Q82))</f>
        <v>N/A</v>
      </c>
      <c r="G9" s="199" t="str">
        <f>IF(Statement!H82&lt;=0,"N/A",_xlfn.RRI(9,Statement!H82,Statement!Q82))</f>
        <v>N/A</v>
      </c>
    </row>
    <row r="10" spans="2:7" x14ac:dyDescent="0.2">
      <c r="B10" s="20" t="s">
        <v>287</v>
      </c>
      <c r="C10" s="195">
        <f ca="1">Statement!AC152</f>
        <v>2.705006206104684</v>
      </c>
      <c r="E10" s="20" t="s">
        <v>1</v>
      </c>
      <c r="F10" s="199">
        <f>IF(Statement!M117&lt;=0,"N/A",_xlfn.RRI(4,Statement!M117,Statement!Q117))</f>
        <v>-0.21662025481427405</v>
      </c>
      <c r="G10" s="199" t="str">
        <f>IF(Statement!H117&lt;=0,"N/A",_xlfn.RRI(9,Statement!H117,Statement!Q117))</f>
        <v>N/A</v>
      </c>
    </row>
    <row r="11" spans="2:7" x14ac:dyDescent="0.2">
      <c r="B11" s="20" t="s">
        <v>309</v>
      </c>
      <c r="C11" s="195">
        <f ca="1">Statement!AC155</f>
        <v>2.256642483839912</v>
      </c>
    </row>
    <row r="12" spans="2:7" x14ac:dyDescent="0.2">
      <c r="B12" s="20" t="s">
        <v>245</v>
      </c>
      <c r="C12" s="195">
        <f ca="1">Statement!AC156</f>
        <v>37.306131189513536</v>
      </c>
    </row>
    <row r="15" spans="2:7" x14ac:dyDescent="0.2">
      <c r="B15" s="252" t="s">
        <v>78</v>
      </c>
      <c r="C15" s="252"/>
      <c r="E15" s="252" t="s">
        <v>295</v>
      </c>
      <c r="F15" s="252"/>
    </row>
    <row r="16" spans="2:7" x14ac:dyDescent="0.2">
      <c r="B16" s="20" t="s">
        <v>79</v>
      </c>
      <c r="C16" s="196">
        <f>Statement!AC101</f>
        <v>0.83014417010996633</v>
      </c>
      <c r="E16" s="20" t="s">
        <v>32</v>
      </c>
      <c r="F16" s="194">
        <f>Statement!AC18</f>
        <v>327410</v>
      </c>
    </row>
    <row r="17" spans="2:6" x14ac:dyDescent="0.2">
      <c r="B17" s="20" t="s">
        <v>80</v>
      </c>
      <c r="C17" s="196">
        <f>Statement!AC102</f>
        <v>6.0489855471109168E-2</v>
      </c>
      <c r="E17" s="20" t="s">
        <v>296</v>
      </c>
      <c r="F17" s="194">
        <f>Statement!AC59</f>
        <v>384134</v>
      </c>
    </row>
    <row r="18" spans="2:6" x14ac:dyDescent="0.2">
      <c r="B18" s="20" t="s">
        <v>81</v>
      </c>
      <c r="C18" s="196">
        <f>Statement!AC103</f>
        <v>0.19578073705548546</v>
      </c>
      <c r="E18" s="20" t="s">
        <v>303</v>
      </c>
      <c r="F18" s="198">
        <f>IF(OR(F16&lt;=0, F17&lt;=0),"N/A",F16-F17)</f>
        <v>-56724</v>
      </c>
    </row>
    <row r="21" spans="2:6" x14ac:dyDescent="0.2">
      <c r="B21" s="252" t="s">
        <v>294</v>
      </c>
      <c r="C21" s="252"/>
      <c r="E21" s="252" t="s">
        <v>298</v>
      </c>
      <c r="F21" s="252"/>
    </row>
    <row r="22" spans="2:6" x14ac:dyDescent="0.2">
      <c r="B22" s="20" t="s">
        <v>119</v>
      </c>
      <c r="C22" s="196">
        <f>Statement!AC121</f>
        <v>0.19578073705548546</v>
      </c>
      <c r="E22" s="20" t="s">
        <v>121</v>
      </c>
      <c r="F22" s="196">
        <f>C24</f>
        <v>0.1127173202051847</v>
      </c>
    </row>
    <row r="23" spans="2:6" x14ac:dyDescent="0.2">
      <c r="B23" s="20" t="s">
        <v>120</v>
      </c>
      <c r="C23" s="195">
        <f>Statement!AC122</f>
        <v>0.57573243364202842</v>
      </c>
      <c r="E23" s="20" t="s">
        <v>123</v>
      </c>
      <c r="F23" s="196">
        <f>C26</f>
        <v>0.17205256008386913</v>
      </c>
    </row>
    <row r="24" spans="2:6" x14ac:dyDescent="0.2">
      <c r="B24" s="32" t="s">
        <v>121</v>
      </c>
      <c r="C24" s="197">
        <f>Statement!AC123</f>
        <v>0.1127173202051847</v>
      </c>
      <c r="E24" s="20" t="s">
        <v>124</v>
      </c>
      <c r="F24" s="196">
        <f>Statement!AC140</f>
        <v>0.2076253183886507</v>
      </c>
    </row>
    <row r="25" spans="2:6" x14ac:dyDescent="0.2">
      <c r="B25" s="20" t="s">
        <v>122</v>
      </c>
      <c r="C25" s="195">
        <f>Statement!AC124</f>
        <v>1.5264074746513994</v>
      </c>
    </row>
    <row r="26" spans="2:6" x14ac:dyDescent="0.2">
      <c r="B26" s="32" t="s">
        <v>123</v>
      </c>
      <c r="C26" s="197">
        <f>Statement!AC125</f>
        <v>0.17205256008386913</v>
      </c>
    </row>
    <row r="29" spans="2:6" x14ac:dyDescent="0.2">
      <c r="B29" s="252" t="s">
        <v>299</v>
      </c>
      <c r="C29" s="252"/>
      <c r="E29" s="252" t="s">
        <v>305</v>
      </c>
      <c r="F29" s="252"/>
    </row>
    <row r="30" spans="2:6" x14ac:dyDescent="0.2">
      <c r="B30" s="20" t="s">
        <v>180</v>
      </c>
      <c r="C30" s="195">
        <f>Statement!AC141</f>
        <v>65.477289171395597</v>
      </c>
      <c r="E30" s="20" t="s">
        <v>306</v>
      </c>
      <c r="F30" s="201">
        <f>Statement!AC145</f>
        <v>0</v>
      </c>
    </row>
    <row r="31" spans="2:6" x14ac:dyDescent="0.2">
      <c r="B31" s="20" t="s">
        <v>181</v>
      </c>
      <c r="C31" s="195">
        <f>Statement!AC142</f>
        <v>0</v>
      </c>
      <c r="E31" s="20" t="s">
        <v>307</v>
      </c>
      <c r="F31" s="201">
        <f>Statement!AC146</f>
        <v>-0.74396849127545694</v>
      </c>
    </row>
    <row r="32" spans="2:6" x14ac:dyDescent="0.2">
      <c r="B32" s="20" t="s">
        <v>182</v>
      </c>
      <c r="C32" s="195">
        <f>Statement!AC143</f>
        <v>25.312474696801676</v>
      </c>
      <c r="E32" s="20" t="s">
        <v>302</v>
      </c>
      <c r="F32" s="201">
        <f>Statement!AC148</f>
        <v>2.3066495444084523</v>
      </c>
    </row>
    <row r="33" spans="2:6" x14ac:dyDescent="0.2">
      <c r="B33" s="20" t="s">
        <v>183</v>
      </c>
      <c r="C33" s="195">
        <f>Statement!AC144</f>
        <v>40.164814474593925</v>
      </c>
      <c r="E33" s="20" t="s">
        <v>301</v>
      </c>
      <c r="F33" s="201">
        <f>Statement!AC147</f>
        <v>2.063021693804965</v>
      </c>
    </row>
    <row r="34" spans="2:6" x14ac:dyDescent="0.2">
      <c r="E34" s="20" t="s">
        <v>308</v>
      </c>
      <c r="F34" s="203" t="str">
        <f>Statement!AC149</f>
        <v>N/A</v>
      </c>
    </row>
    <row r="37" spans="2:6" x14ac:dyDescent="0.2">
      <c r="B37" s="252" t="s">
        <v>317</v>
      </c>
      <c r="C37" s="252"/>
      <c r="E37" s="252" t="s">
        <v>320</v>
      </c>
      <c r="F37" s="252"/>
    </row>
    <row r="38" spans="2:6" x14ac:dyDescent="0.2">
      <c r="B38" s="20" t="s">
        <v>315</v>
      </c>
      <c r="C38" s="196">
        <f ca="1">Statement!AC162</f>
        <v>6.0392551585304488E-2</v>
      </c>
      <c r="E38" s="20" t="s">
        <v>319</v>
      </c>
      <c r="F38" s="196">
        <f>Statement!AC168</f>
        <v>0</v>
      </c>
    </row>
    <row r="39" spans="2:6" x14ac:dyDescent="0.2">
      <c r="B39" s="54" t="s">
        <v>318</v>
      </c>
      <c r="C39" s="236">
        <f ca="1">Statement!AC161</f>
        <v>2.0735521766943394E-2</v>
      </c>
      <c r="E39" s="20" t="s">
        <v>321</v>
      </c>
      <c r="F39" s="196">
        <f>Statement!AC169</f>
        <v>3.2095084983598028</v>
      </c>
    </row>
    <row r="40" spans="2:6" x14ac:dyDescent="0.2">
      <c r="B40" s="20" t="s">
        <v>316</v>
      </c>
      <c r="C40" s="196">
        <f ca="1">Statement!AC163</f>
        <v>0</v>
      </c>
      <c r="E40" s="20" t="s">
        <v>322</v>
      </c>
      <c r="F40" s="196">
        <f>Statement!AC170</f>
        <v>3.2095084983598028</v>
      </c>
    </row>
    <row r="41" spans="2:6" x14ac:dyDescent="0.2">
      <c r="B41" s="20" t="s">
        <v>341</v>
      </c>
      <c r="C41" s="196">
        <f ca="1">Statement!AC164</f>
        <v>6.6550833328929498E-2</v>
      </c>
    </row>
    <row r="42" spans="2:6" x14ac:dyDescent="0.2">
      <c r="B42" s="20" t="s">
        <v>343</v>
      </c>
      <c r="C42" s="196">
        <f ca="1">Statement!AC165</f>
        <v>6.6550833328929498E-2</v>
      </c>
    </row>
    <row r="45" spans="2:6" x14ac:dyDescent="0.2">
      <c r="B45" s="252" t="s">
        <v>328</v>
      </c>
      <c r="C45" s="252"/>
      <c r="E45" s="252" t="s">
        <v>334</v>
      </c>
      <c r="F45" s="252"/>
    </row>
    <row r="46" spans="2:6" x14ac:dyDescent="0.2">
      <c r="B46" s="20" t="s">
        <v>326</v>
      </c>
      <c r="C46" s="196">
        <f>Statement!AC171</f>
        <v>0.2236199519483876</v>
      </c>
      <c r="E46" s="20" t="s">
        <v>327</v>
      </c>
      <c r="F46" s="195">
        <f>Statement!AC172</f>
        <v>2.732462108272006</v>
      </c>
    </row>
    <row r="47" spans="2:6" x14ac:dyDescent="0.2">
      <c r="E47" s="20" t="s">
        <v>335</v>
      </c>
      <c r="F47" s="195">
        <f>Statement!AC175</f>
        <v>2.732462108272006</v>
      </c>
    </row>
    <row r="48" spans="2:6" x14ac:dyDescent="0.2">
      <c r="E48" s="20" t="s">
        <v>340</v>
      </c>
      <c r="F48" s="196">
        <f ca="1">Statement!AC176</f>
        <v>0.27280461670922546</v>
      </c>
    </row>
    <row r="51" spans="2:6" x14ac:dyDescent="0.2">
      <c r="B51" s="252" t="s">
        <v>331</v>
      </c>
      <c r="C51" s="252"/>
      <c r="E51" s="252" t="s">
        <v>352</v>
      </c>
      <c r="F51" s="252"/>
    </row>
    <row r="52" spans="2:6" x14ac:dyDescent="0.2">
      <c r="B52" s="20" t="s">
        <v>329</v>
      </c>
      <c r="C52" s="196">
        <f>Statement!AC173</f>
        <v>0.69669698594761198</v>
      </c>
      <c r="E52" s="20" t="s">
        <v>353</v>
      </c>
      <c r="F52" s="196">
        <f>Statement!AC177</f>
        <v>5.3219161289936798E-3</v>
      </c>
    </row>
    <row r="53" spans="2:6" x14ac:dyDescent="0.2">
      <c r="B53" s="20" t="s">
        <v>330</v>
      </c>
      <c r="C53" s="196">
        <f>Statement!AC174</f>
        <v>0.16003121393504871</v>
      </c>
      <c r="E53" s="20" t="s">
        <v>350</v>
      </c>
      <c r="F53" s="196">
        <f>Statement!AC178</f>
        <v>2.3168998318295178E-2</v>
      </c>
    </row>
    <row r="54" spans="2:6" x14ac:dyDescent="0.2">
      <c r="E54" s="20" t="s">
        <v>351</v>
      </c>
      <c r="F54" s="196">
        <f>Statement!AC179</f>
        <v>0.41931684334511188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282</v>
      </c>
      <c r="C5" s="14"/>
      <c r="D5" s="14"/>
      <c r="E5" s="14"/>
      <c r="F5" s="14"/>
      <c r="G5" s="14"/>
      <c r="I5" s="14"/>
    </row>
    <row r="6" spans="2:9" x14ac:dyDescent="0.2">
      <c r="B6" s="20" t="s">
        <v>1</v>
      </c>
      <c r="C6" s="193">
        <f>Statement!M116</f>
        <v>33.43</v>
      </c>
      <c r="D6" s="193">
        <f>Statement!N116</f>
        <v>14.57</v>
      </c>
      <c r="E6" s="193">
        <f>Statement!O116</f>
        <v>23.85</v>
      </c>
      <c r="F6" s="193">
        <f>Statement!P116</f>
        <v>14.58</v>
      </c>
      <c r="G6" s="193">
        <f>Statement!Q116</f>
        <v>12.59</v>
      </c>
      <c r="I6" s="193">
        <f ca="1">Statement!AC116</f>
        <v>9.9350000000000005</v>
      </c>
    </row>
    <row r="7" spans="2:9" x14ac:dyDescent="0.2">
      <c r="B7" s="20" t="s">
        <v>288</v>
      </c>
      <c r="C7" s="194">
        <f>Statement!M153</f>
        <v>18122001.84</v>
      </c>
      <c r="D7" s="194">
        <f>Statement!N153</f>
        <v>8121653.1100000003</v>
      </c>
      <c r="E7" s="194">
        <f>Statement!O153</f>
        <v>13570960.050000001</v>
      </c>
      <c r="F7" s="194">
        <f>Statement!P153</f>
        <v>8040767.9400000004</v>
      </c>
      <c r="G7" s="194">
        <f>Statement!Q153</f>
        <v>6680971.6299999999</v>
      </c>
      <c r="I7" s="194">
        <f ca="1">Statement!AC153</f>
        <v>5189596.9249999998</v>
      </c>
    </row>
    <row r="8" spans="2:9" x14ac:dyDescent="0.2">
      <c r="B8" s="20" t="s">
        <v>229</v>
      </c>
      <c r="C8" s="194">
        <f>Statement!M154</f>
        <v>16237338.84</v>
      </c>
      <c r="D8" s="194">
        <f>Statement!N154</f>
        <v>6361818.1100000003</v>
      </c>
      <c r="E8" s="194">
        <f>Statement!O154</f>
        <v>11691137.050000001</v>
      </c>
      <c r="F8" s="194">
        <f>Statement!P154</f>
        <v>6317136.9400000004</v>
      </c>
      <c r="G8" s="194">
        <f>Statement!Q154</f>
        <v>4991495.63</v>
      </c>
      <c r="I8" s="194">
        <f ca="1">Statement!AC154</f>
        <v>3773850.9249999998</v>
      </c>
    </row>
    <row r="9" spans="2:9" x14ac:dyDescent="0.2">
      <c r="B9" s="20" t="s">
        <v>286</v>
      </c>
      <c r="C9" s="195">
        <f>Statement!M150</f>
        <v>-28.818965517241381</v>
      </c>
      <c r="D9" s="195">
        <f>Statement!N150</f>
        <v>-24.283333333333335</v>
      </c>
      <c r="E9" s="195">
        <f>Statement!O150</f>
        <v>-149.0625</v>
      </c>
      <c r="F9" s="195">
        <f>Statement!P150</f>
        <v>-112.15384615384615</v>
      </c>
      <c r="G9" s="195">
        <f>Statement!Q150</f>
        <v>24.21153846153846</v>
      </c>
      <c r="I9" s="195">
        <f ca="1">Statement!AC150</f>
        <v>16.55833333333333</v>
      </c>
    </row>
    <row r="10" spans="2:9" x14ac:dyDescent="0.2">
      <c r="B10" s="20" t="s">
        <v>242</v>
      </c>
      <c r="C10" s="195">
        <f>Statement!M151</f>
        <v>17.03343197885799</v>
      </c>
      <c r="D10" s="195">
        <f>Statement!N151</f>
        <v>7.5428149003241138</v>
      </c>
      <c r="E10" s="195">
        <f>Statement!O151</f>
        <v>11.921699837623619</v>
      </c>
      <c r="F10" s="195">
        <f>Statement!P151</f>
        <v>5.7103089537122012</v>
      </c>
      <c r="G10" s="195">
        <f>Statement!Q151</f>
        <v>4.2592243004348767</v>
      </c>
      <c r="I10" s="195">
        <f ca="1">Statement!AC151</f>
        <v>3.2005907887498282</v>
      </c>
    </row>
    <row r="11" spans="2:9" x14ac:dyDescent="0.2">
      <c r="B11" s="20" t="s">
        <v>287</v>
      </c>
      <c r="C11" s="195">
        <f>Statement!M152</f>
        <v>9.4291282297830765</v>
      </c>
      <c r="D11" s="195">
        <f>Statement!N152</f>
        <v>4.2296795940750709</v>
      </c>
      <c r="E11" s="195">
        <f>Statement!O152</f>
        <v>6.731246372972957</v>
      </c>
      <c r="F11" s="195">
        <f>Statement!P152</f>
        <v>4.3563406007925183</v>
      </c>
      <c r="G11" s="195">
        <f>Statement!Q152</f>
        <v>3.1673000839820857</v>
      </c>
      <c r="I11" s="195">
        <f ca="1">Statement!AC152</f>
        <v>2.705006206104684</v>
      </c>
    </row>
    <row r="12" spans="2:9" x14ac:dyDescent="0.2">
      <c r="B12" s="20" t="s">
        <v>309</v>
      </c>
      <c r="C12" s="195">
        <f>Statement!M155</f>
        <v>18.198153481303489</v>
      </c>
      <c r="D12" s="195">
        <f>Statement!N155</f>
        <v>6.0097603395488868</v>
      </c>
      <c r="E12" s="195">
        <f>Statement!O155</f>
        <v>8.9376861900568176</v>
      </c>
      <c r="F12" s="195">
        <f>Statement!P155</f>
        <v>4.4186165001007236</v>
      </c>
      <c r="G12" s="195">
        <f>Statement!Q155</f>
        <v>3.0992067600827533</v>
      </c>
      <c r="I12" s="195">
        <f ca="1">Statement!AC155</f>
        <v>2.256642483839912</v>
      </c>
    </row>
    <row r="13" spans="2:9" x14ac:dyDescent="0.2">
      <c r="B13" s="20" t="s">
        <v>245</v>
      </c>
      <c r="C13" s="195">
        <f>Statement!M156</f>
        <v>-32.413351618737352</v>
      </c>
      <c r="D13" s="195">
        <f>Statement!N156</f>
        <v>-18.266232087124553</v>
      </c>
      <c r="E13" s="195">
        <f>Statement!O156</f>
        <v>-70.97581987615348</v>
      </c>
      <c r="F13" s="195">
        <f>Statement!P156</f>
        <v>-38.858189076638233</v>
      </c>
      <c r="G13" s="195">
        <f>Statement!Q156</f>
        <v>87.94037403100775</v>
      </c>
      <c r="I13" s="195">
        <f ca="1">Statement!AC156</f>
        <v>37.306131189513536</v>
      </c>
    </row>
    <row r="15" spans="2:9" ht="17" thickBot="1" x14ac:dyDescent="0.25">
      <c r="B15" s="14" t="s">
        <v>78</v>
      </c>
      <c r="C15" s="14"/>
      <c r="D15" s="14"/>
      <c r="E15" s="14"/>
      <c r="F15" s="14"/>
      <c r="G15" s="14"/>
      <c r="I15" s="14"/>
    </row>
    <row r="16" spans="2:9" x14ac:dyDescent="0.2">
      <c r="B16" s="20" t="s">
        <v>79</v>
      </c>
      <c r="C16" s="196">
        <f>Statement!M101</f>
        <v>0.81073956684882742</v>
      </c>
      <c r="D16" s="196">
        <f>Statement!N101</f>
        <v>0.82991287393217905</v>
      </c>
      <c r="E16" s="196">
        <f>Statement!O101</f>
        <v>0.85021925398601916</v>
      </c>
      <c r="F16" s="196">
        <f>Statement!P101</f>
        <v>0.82727270183763457</v>
      </c>
      <c r="G16" s="196">
        <f>Statement!Q101</f>
        <v>0.83174673345867178</v>
      </c>
      <c r="I16" s="196">
        <f>Statement!AC101</f>
        <v>0.83014417010996633</v>
      </c>
    </row>
    <row r="17" spans="2:9" x14ac:dyDescent="0.2">
      <c r="B17" s="20" t="s">
        <v>80</v>
      </c>
      <c r="C17" s="196">
        <f>Statement!M102</f>
        <v>-0.56144004160259653</v>
      </c>
      <c r="D17" s="196">
        <f>Statement!N102</f>
        <v>-0.32900930585377974</v>
      </c>
      <c r="E17" s="196">
        <f>Statement!O102</f>
        <v>-0.12592579001767487</v>
      </c>
      <c r="F17" s="196">
        <f>Statement!P102</f>
        <v>-0.11371133357208407</v>
      </c>
      <c r="G17" s="196">
        <f>Statement!Q102</f>
        <v>3.5242137575966802E-2</v>
      </c>
      <c r="I17" s="196">
        <f>Statement!AC102</f>
        <v>6.0489855471109168E-2</v>
      </c>
    </row>
    <row r="18" spans="2:9" x14ac:dyDescent="0.2">
      <c r="B18" s="20" t="s">
        <v>81</v>
      </c>
      <c r="C18" s="196">
        <f>Statement!M103</f>
        <v>-0.58905555829519018</v>
      </c>
      <c r="D18" s="196">
        <f>Statement!N103</f>
        <v>-0.31018127096556619</v>
      </c>
      <c r="E18" s="196">
        <f>Statement!O103</f>
        <v>-6.8714107480322181E-2</v>
      </c>
      <c r="F18" s="196">
        <f>Statement!P103</f>
        <v>-5.1546377330617545E-2</v>
      </c>
      <c r="G18" s="196">
        <f>Statement!Q103</f>
        <v>0.17529796867199976</v>
      </c>
      <c r="I18" s="196">
        <f>Statement!AC103</f>
        <v>0.19578073705548546</v>
      </c>
    </row>
    <row r="20" spans="2:9" ht="17" thickBot="1" x14ac:dyDescent="0.25">
      <c r="B20" s="14" t="s">
        <v>295</v>
      </c>
      <c r="C20" s="14"/>
      <c r="D20" s="14"/>
      <c r="E20" s="14"/>
      <c r="F20" s="14"/>
      <c r="G20" s="14"/>
      <c r="I20" s="14"/>
    </row>
    <row r="21" spans="2:9" x14ac:dyDescent="0.2">
      <c r="B21" s="20" t="s">
        <v>32</v>
      </c>
      <c r="C21" s="198">
        <f>Statement!M18</f>
        <v>-525586</v>
      </c>
      <c r="D21" s="198">
        <f>Statement!N18</f>
        <v>-328352</v>
      </c>
      <c r="E21" s="198">
        <f>Statement!O18</f>
        <v>-89883</v>
      </c>
      <c r="F21" s="198">
        <f>Statement!P18</f>
        <v>-73694</v>
      </c>
      <c r="G21" s="198">
        <f>Statement!Q18</f>
        <v>282330</v>
      </c>
      <c r="I21" s="198">
        <f>Statement!AC18</f>
        <v>327410</v>
      </c>
    </row>
    <row r="22" spans="2:9" x14ac:dyDescent="0.2">
      <c r="B22" s="20" t="s">
        <v>296</v>
      </c>
      <c r="C22" s="198">
        <f>Statement!M59</f>
        <v>-54963</v>
      </c>
      <c r="D22" s="198">
        <f>Statement!N59</f>
        <v>-9981</v>
      </c>
      <c r="E22" s="198">
        <f>Statement!O59</f>
        <v>299082</v>
      </c>
      <c r="F22" s="198">
        <f>Statement!P59</f>
        <v>320565</v>
      </c>
      <c r="G22" s="198">
        <f>Statement!Q59</f>
        <v>371208</v>
      </c>
      <c r="I22" s="198">
        <f>Statement!AC59</f>
        <v>384134</v>
      </c>
    </row>
    <row r="23" spans="2:9" x14ac:dyDescent="0.2">
      <c r="B23" s="20" t="s">
        <v>303</v>
      </c>
      <c r="C23" s="216" t="str">
        <f>IF(OR(C21&lt;=0, C22&lt;=0),"N/A",C21-C22)</f>
        <v>N/A</v>
      </c>
      <c r="D23" s="216" t="str">
        <f t="shared" ref="D23:I23" si="0">IF(OR(D21&lt;=0, D22&lt;=0),"N/A",D21-D22)</f>
        <v>N/A</v>
      </c>
      <c r="E23" s="216" t="str">
        <f t="shared" si="0"/>
        <v>N/A</v>
      </c>
      <c r="F23" s="216" t="str">
        <f t="shared" si="0"/>
        <v>N/A</v>
      </c>
      <c r="G23" s="216">
        <f t="shared" si="0"/>
        <v>-88878</v>
      </c>
      <c r="I23" s="216">
        <f t="shared" si="0"/>
        <v>-56724</v>
      </c>
    </row>
    <row r="25" spans="2:9" ht="17" thickBot="1" x14ac:dyDescent="0.25">
      <c r="B25" s="14" t="s">
        <v>294</v>
      </c>
      <c r="C25" s="14"/>
      <c r="D25" s="14"/>
      <c r="E25" s="14"/>
      <c r="F25" s="14"/>
      <c r="G25" s="14"/>
      <c r="I25" s="14"/>
    </row>
    <row r="26" spans="2:9" x14ac:dyDescent="0.2">
      <c r="B26" s="20" t="s">
        <v>119</v>
      </c>
      <c r="C26" s="196">
        <f>Statement!M121</f>
        <v>-0.58905555829519018</v>
      </c>
      <c r="D26" s="196">
        <f>Statement!N121</f>
        <v>-0.31018127096556619</v>
      </c>
      <c r="E26" s="196">
        <f>Statement!O121</f>
        <v>-6.8714107480322181E-2</v>
      </c>
      <c r="F26" s="196">
        <f>Statement!P121</f>
        <v>-5.1546377330617545E-2</v>
      </c>
      <c r="G26" s="196">
        <f>Statement!Q121</f>
        <v>0.17529796867199976</v>
      </c>
      <c r="I26" s="196">
        <f>Statement!AC121</f>
        <v>0.19578073705548546</v>
      </c>
    </row>
    <row r="27" spans="2:9" x14ac:dyDescent="0.2">
      <c r="B27" s="20" t="s">
        <v>120</v>
      </c>
      <c r="C27" s="235">
        <f>Statement!M122</f>
        <v>0.346849112713561</v>
      </c>
      <c r="D27" s="235">
        <f>Statement!N122</f>
        <v>0.38702057541552631</v>
      </c>
      <c r="E27" s="235">
        <f>Statement!O122</f>
        <v>0.44270021436611728</v>
      </c>
      <c r="F27" s="235">
        <f>Statement!P122</f>
        <v>0.49896309946357587</v>
      </c>
      <c r="G27" s="235">
        <f>Statement!Q122</f>
        <v>0.50659662808253647</v>
      </c>
      <c r="I27" s="235">
        <f>Statement!AC122</f>
        <v>0.57573243364202842</v>
      </c>
    </row>
    <row r="28" spans="2:9" x14ac:dyDescent="0.2">
      <c r="B28" s="32" t="s">
        <v>121</v>
      </c>
      <c r="C28" s="197">
        <f>Statement!M123</f>
        <v>-0.20431339773367801</v>
      </c>
      <c r="D28" s="197">
        <f>Statement!N123</f>
        <v>-0.12004653397221271</v>
      </c>
      <c r="E28" s="197">
        <f>Statement!O123</f>
        <v>-3.0419750111515053E-2</v>
      </c>
      <c r="F28" s="197">
        <f>Statement!P123</f>
        <v>-2.5719740199003933E-2</v>
      </c>
      <c r="G28" s="197">
        <f>Statement!Q123</f>
        <v>8.8805359838953199E-2</v>
      </c>
      <c r="I28" s="197">
        <f>Statement!AC123</f>
        <v>0.1127173202051847</v>
      </c>
    </row>
    <row r="29" spans="2:9" x14ac:dyDescent="0.2">
      <c r="B29" s="20" t="s">
        <v>122</v>
      </c>
      <c r="C29" s="235">
        <f>Statement!M124</f>
        <v>1.3384813183920012</v>
      </c>
      <c r="D29" s="235">
        <f>Statement!N124</f>
        <v>1.4244692363857558</v>
      </c>
      <c r="E29" s="235">
        <f>Statement!O124</f>
        <v>1.4655708952965953</v>
      </c>
      <c r="F29" s="235">
        <f>Statement!P124</f>
        <v>1.5523507364438103</v>
      </c>
      <c r="G29" s="235">
        <f>Statement!Q124</f>
        <v>1.526562875884657</v>
      </c>
      <c r="I29" s="235">
        <f>Statement!AC124</f>
        <v>1.5264074746513994</v>
      </c>
    </row>
    <row r="30" spans="2:9" x14ac:dyDescent="0.2">
      <c r="B30" s="32" t="s">
        <v>123</v>
      </c>
      <c r="C30" s="197">
        <f>Statement!M125</f>
        <v>-0.27346966596372269</v>
      </c>
      <c r="D30" s="197">
        <f>Statement!N125</f>
        <v>-0.17100259457815453</v>
      </c>
      <c r="E30" s="197">
        <f>Statement!O125</f>
        <v>-4.4582300405631825E-2</v>
      </c>
      <c r="F30" s="197">
        <f>Statement!P125</f>
        <v>-3.9926057639067224E-2</v>
      </c>
      <c r="G30" s="197">
        <f>Statement!Q125</f>
        <v>0.13556696550972422</v>
      </c>
      <c r="I30" s="197">
        <f>Statement!AC125</f>
        <v>0.17205256008386913</v>
      </c>
    </row>
    <row r="32" spans="2:9" ht="17" thickBot="1" x14ac:dyDescent="0.25">
      <c r="B32" s="14" t="s">
        <v>354</v>
      </c>
      <c r="C32" s="14"/>
      <c r="D32" s="14"/>
      <c r="E32" s="14"/>
      <c r="F32" s="14"/>
      <c r="G32" s="14"/>
      <c r="I32" s="14"/>
    </row>
    <row r="33" spans="2:9" x14ac:dyDescent="0.2">
      <c r="B33" s="20" t="s">
        <v>121</v>
      </c>
      <c r="C33" s="196">
        <f>C28</f>
        <v>-0.20431339773367801</v>
      </c>
      <c r="D33" s="196">
        <f t="shared" ref="D33:G33" si="1">D28</f>
        <v>-0.12004653397221271</v>
      </c>
      <c r="E33" s="196">
        <f t="shared" si="1"/>
        <v>-3.0419750111515053E-2</v>
      </c>
      <c r="F33" s="196">
        <f t="shared" si="1"/>
        <v>-2.5719740199003933E-2</v>
      </c>
      <c r="G33" s="196">
        <f t="shared" si="1"/>
        <v>8.8805359838953199E-2</v>
      </c>
      <c r="I33" s="196">
        <f>I28</f>
        <v>0.1127173202051847</v>
      </c>
    </row>
    <row r="34" spans="2:9" x14ac:dyDescent="0.2">
      <c r="B34" s="20" t="s">
        <v>123</v>
      </c>
      <c r="C34" s="196">
        <f>C30</f>
        <v>-0.27346966596372269</v>
      </c>
      <c r="D34" s="196">
        <f t="shared" ref="D34:G34" si="2">D30</f>
        <v>-0.17100259457815453</v>
      </c>
      <c r="E34" s="196">
        <f t="shared" si="2"/>
        <v>-4.4582300405631825E-2</v>
      </c>
      <c r="F34" s="196">
        <f t="shared" si="2"/>
        <v>-3.9926057639067224E-2</v>
      </c>
      <c r="G34" s="196">
        <f t="shared" si="2"/>
        <v>0.13556696550972422</v>
      </c>
      <c r="I34" s="196">
        <f>I30</f>
        <v>0.17205256008386913</v>
      </c>
    </row>
    <row r="35" spans="2:9" x14ac:dyDescent="0.2">
      <c r="B35" s="20" t="s">
        <v>124</v>
      </c>
      <c r="C35" s="196">
        <f>Statement!M140</f>
        <v>-13.446770816556612</v>
      </c>
      <c r="D35" s="196">
        <f>Statement!N140</f>
        <v>-2.1723832513114152</v>
      </c>
      <c r="E35" s="196">
        <f>Statement!O140</f>
        <v>-1.2085904425090432</v>
      </c>
      <c r="F35" s="196">
        <f>Statement!P140</f>
        <v>-1.3311034872391121</v>
      </c>
      <c r="G35" s="196">
        <f>Statement!Q140</f>
        <v>0.14438669993971168</v>
      </c>
      <c r="I35" s="196">
        <f>Statement!AC140</f>
        <v>0.2076253183886507</v>
      </c>
    </row>
    <row r="37" spans="2:9" ht="17" thickBot="1" x14ac:dyDescent="0.25">
      <c r="B37" s="14" t="s">
        <v>299</v>
      </c>
      <c r="C37" s="14"/>
      <c r="D37" s="14"/>
      <c r="E37" s="14"/>
      <c r="F37" s="14"/>
      <c r="G37" s="14"/>
      <c r="I37" s="14"/>
    </row>
    <row r="38" spans="2:9" x14ac:dyDescent="0.2">
      <c r="B38" s="20" t="s">
        <v>180</v>
      </c>
      <c r="C38" s="195">
        <f>Statement!M141</f>
        <v>133.69421979440784</v>
      </c>
      <c r="D38" s="195">
        <f>Statement!N141</f>
        <v>152.91140215061483</v>
      </c>
      <c r="E38" s="195">
        <f>Statement!O141</f>
        <v>145.23661159324561</v>
      </c>
      <c r="F38" s="195">
        <f>Statement!P141</f>
        <v>137.8303503480538</v>
      </c>
      <c r="G38" s="195">
        <f>Statement!Q141</f>
        <v>131.6037563052133</v>
      </c>
      <c r="I38" s="195">
        <f>Statement!AC141</f>
        <v>65.477289171395597</v>
      </c>
    </row>
    <row r="39" spans="2:9" x14ac:dyDescent="0.2">
      <c r="B39" s="20" t="s">
        <v>181</v>
      </c>
      <c r="C39" s="195">
        <f>Statement!M142</f>
        <v>0</v>
      </c>
      <c r="D39" s="195">
        <f>Statement!N142</f>
        <v>0</v>
      </c>
      <c r="E39" s="195">
        <f>Statement!O142</f>
        <v>0</v>
      </c>
      <c r="F39" s="195">
        <f>Statement!P142</f>
        <v>0</v>
      </c>
      <c r="G39" s="195">
        <f>Statement!Q142</f>
        <v>0</v>
      </c>
      <c r="I39" s="195">
        <f>Statement!AC142</f>
        <v>0</v>
      </c>
    </row>
    <row r="40" spans="2:9" x14ac:dyDescent="0.2">
      <c r="B40" s="20" t="s">
        <v>182</v>
      </c>
      <c r="C40" s="195">
        <f>Statement!M143</f>
        <v>24.889114574697395</v>
      </c>
      <c r="D40" s="195">
        <f>Statement!N143</f>
        <v>18.023865460341792</v>
      </c>
      <c r="E40" s="195">
        <f>Statement!O143</f>
        <v>6.4216481901145333</v>
      </c>
      <c r="F40" s="195">
        <f>Statement!P143</f>
        <v>49.039734026613537</v>
      </c>
      <c r="G40" s="195">
        <f>Statement!Q143</f>
        <v>13.686287751306349</v>
      </c>
      <c r="I40" s="195">
        <f>Statement!AC143</f>
        <v>25.312474696801676</v>
      </c>
    </row>
    <row r="41" spans="2:9" x14ac:dyDescent="0.2">
      <c r="B41" s="20" t="s">
        <v>183</v>
      </c>
      <c r="C41" s="195">
        <f>Statement!M144</f>
        <v>108.80510521971044</v>
      </c>
      <c r="D41" s="195">
        <f>Statement!N144</f>
        <v>134.88753669027304</v>
      </c>
      <c r="E41" s="195">
        <f>Statement!O144</f>
        <v>138.81496340313109</v>
      </c>
      <c r="F41" s="195">
        <f>Statement!P144</f>
        <v>88.790616321440268</v>
      </c>
      <c r="G41" s="195">
        <f>Statement!Q144</f>
        <v>117.91746855390694</v>
      </c>
      <c r="I41" s="195">
        <f>Statement!AC144</f>
        <v>40.164814474593925</v>
      </c>
    </row>
    <row r="43" spans="2:9" ht="17" thickBot="1" x14ac:dyDescent="0.25">
      <c r="B43" s="14" t="s">
        <v>305</v>
      </c>
      <c r="C43" s="14"/>
      <c r="D43" s="14"/>
      <c r="E43" s="14"/>
      <c r="F43" s="14"/>
      <c r="G43" s="14"/>
      <c r="I43" s="14"/>
    </row>
    <row r="44" spans="2:9" x14ac:dyDescent="0.2">
      <c r="B44" s="20" t="s">
        <v>306</v>
      </c>
      <c r="C44" s="201">
        <f>Statement!M145</f>
        <v>0</v>
      </c>
      <c r="D44" s="201">
        <f>Statement!N145</f>
        <v>0</v>
      </c>
      <c r="E44" s="201">
        <f>Statement!O145</f>
        <v>0</v>
      </c>
      <c r="F44" s="201">
        <f>Statement!P145</f>
        <v>0</v>
      </c>
      <c r="G44" s="201">
        <f>Statement!Q145</f>
        <v>0</v>
      </c>
      <c r="I44" s="201">
        <f>Statement!AC145</f>
        <v>0</v>
      </c>
    </row>
    <row r="45" spans="2:9" x14ac:dyDescent="0.2">
      <c r="B45" s="20" t="s">
        <v>307</v>
      </c>
      <c r="C45" s="201">
        <f>Statement!M146</f>
        <v>-0.98061622848437269</v>
      </c>
      <c r="D45" s="201">
        <f>Statement!N146</f>
        <v>-0.91650530841732814</v>
      </c>
      <c r="E45" s="201">
        <f>Statement!O146</f>
        <v>-0.93239915996813671</v>
      </c>
      <c r="F45" s="201">
        <f>Statement!P146</f>
        <v>-0.93383166410403939</v>
      </c>
      <c r="G45" s="201">
        <f>Statement!Q146</f>
        <v>-0.81123909829457308</v>
      </c>
      <c r="I45" s="201">
        <f>Statement!AC146</f>
        <v>-0.74396849127545694</v>
      </c>
    </row>
    <row r="46" spans="2:9" x14ac:dyDescent="0.2">
      <c r="B46" s="20" t="s">
        <v>301</v>
      </c>
      <c r="C46" s="201">
        <f>Statement!M147</f>
        <v>4.192374990758311</v>
      </c>
      <c r="D46" s="201">
        <f>Statement!N147</f>
        <v>3.5171282077477604</v>
      </c>
      <c r="E46" s="201">
        <f>Statement!O147</f>
        <v>3.3726940484002186</v>
      </c>
      <c r="F46" s="201">
        <f>Statement!P147</f>
        <v>2.833196064687328</v>
      </c>
      <c r="G46" s="201">
        <f>Statement!Q147</f>
        <v>2.5073153653043936</v>
      </c>
      <c r="I46" s="201">
        <f>Statement!AC147</f>
        <v>2.063021693804965</v>
      </c>
    </row>
    <row r="47" spans="2:9" x14ac:dyDescent="0.2">
      <c r="B47" s="20" t="s">
        <v>302</v>
      </c>
      <c r="C47" s="201">
        <f>Statement!M148</f>
        <v>4.3171501096680389</v>
      </c>
      <c r="D47" s="201">
        <f>Statement!N148</f>
        <v>3.7423569563190795</v>
      </c>
      <c r="E47" s="201">
        <f>Statement!O148</f>
        <v>3.6257476910625539</v>
      </c>
      <c r="F47" s="201">
        <f>Statement!P148</f>
        <v>2.9271504030441093</v>
      </c>
      <c r="G47" s="201">
        <f>Statement!Q148</f>
        <v>2.4783388537733191</v>
      </c>
      <c r="I47" s="201">
        <f>Statement!AC148</f>
        <v>2.3066495444084523</v>
      </c>
    </row>
    <row r="48" spans="2:9" x14ac:dyDescent="0.2">
      <c r="B48" s="20" t="s">
        <v>308</v>
      </c>
      <c r="C48" s="203" t="str">
        <f>Statement!M149</f>
        <v>N/A</v>
      </c>
      <c r="D48" s="203" t="str">
        <f>Statement!N149</f>
        <v>N/A</v>
      </c>
      <c r="E48" s="203" t="str">
        <f>Statement!O149</f>
        <v>N/A</v>
      </c>
      <c r="F48" s="203" t="str">
        <f>Statement!P149</f>
        <v>N/A</v>
      </c>
      <c r="G48" s="203" t="str">
        <f>Statement!Q149</f>
        <v>N/A</v>
      </c>
      <c r="I48" s="203" t="str">
        <f>Statement!AC149</f>
        <v>N/A</v>
      </c>
    </row>
    <row r="50" spans="2:9" ht="17" thickBot="1" x14ac:dyDescent="0.25">
      <c r="B50" s="14" t="s">
        <v>317</v>
      </c>
      <c r="C50" s="14"/>
      <c r="D50" s="14"/>
      <c r="E50" s="14"/>
      <c r="F50" s="14"/>
      <c r="G50" s="14"/>
      <c r="I50" s="14"/>
    </row>
    <row r="51" spans="2:9" x14ac:dyDescent="0.2">
      <c r="B51" s="20" t="s">
        <v>315</v>
      </c>
      <c r="C51" s="196">
        <f>Statement!M162</f>
        <v>-3.4699371821717021E-2</v>
      </c>
      <c r="D51" s="196">
        <f>Statement!N162</f>
        <v>-4.1180507892930679E-2</v>
      </c>
      <c r="E51" s="196">
        <f>Statement!O162</f>
        <v>-6.7085953878406705E-3</v>
      </c>
      <c r="F51" s="196">
        <f>Statement!P162</f>
        <v>-8.9163237311385458E-3</v>
      </c>
      <c r="G51" s="196">
        <f>Statement!Q162</f>
        <v>4.1302621127879274E-2</v>
      </c>
      <c r="I51" s="196">
        <f ca="1">Statement!AC162</f>
        <v>6.0392551585304488E-2</v>
      </c>
    </row>
    <row r="52" spans="2:9" x14ac:dyDescent="0.2">
      <c r="B52" s="20" t="s">
        <v>318</v>
      </c>
      <c r="C52" s="196">
        <f>Statement!M161</f>
        <v>-3.2136350340421331E-2</v>
      </c>
      <c r="D52" s="196">
        <f>Statement!N161</f>
        <v>-4.9698749076467263E-2</v>
      </c>
      <c r="E52" s="196">
        <f>Statement!O161</f>
        <v>-5.9107830031523813E-3</v>
      </c>
      <c r="F52" s="196">
        <f>Statement!P161</f>
        <v>-6.5303464037043202E-3</v>
      </c>
      <c r="G52" s="196">
        <f>Statement!Q161</f>
        <v>9.2028530287292954E-3</v>
      </c>
      <c r="I52" s="196">
        <f ca="1">Statement!AC161</f>
        <v>2.0735521766943394E-2</v>
      </c>
    </row>
    <row r="53" spans="2:9" x14ac:dyDescent="0.2">
      <c r="B53" s="20" t="s">
        <v>316</v>
      </c>
      <c r="C53" s="196">
        <f>Statement!M163</f>
        <v>0</v>
      </c>
      <c r="D53" s="196">
        <f>Statement!N163</f>
        <v>0</v>
      </c>
      <c r="E53" s="196">
        <f>Statement!O163</f>
        <v>0</v>
      </c>
      <c r="F53" s="196">
        <f>Statement!P163</f>
        <v>0</v>
      </c>
      <c r="G53" s="196">
        <f>Statement!Q163</f>
        <v>0</v>
      </c>
      <c r="I53" s="196">
        <f ca="1">Statement!AC163</f>
        <v>0</v>
      </c>
    </row>
    <row r="54" spans="2:9" x14ac:dyDescent="0.2">
      <c r="B54" s="20" t="s">
        <v>341</v>
      </c>
      <c r="C54" s="196">
        <f>Statement!M164</f>
        <v>0</v>
      </c>
      <c r="D54" s="196">
        <f>Statement!N164</f>
        <v>0</v>
      </c>
      <c r="E54" s="196">
        <f>Statement!O164</f>
        <v>7.5613663014209515E-3</v>
      </c>
      <c r="F54" s="196">
        <f>Statement!P164</f>
        <v>4.8596228981581578E-2</v>
      </c>
      <c r="G54" s="196">
        <f>Statement!Q164</f>
        <v>4.9259451802222368E-2</v>
      </c>
      <c r="I54" s="196">
        <f ca="1">Statement!AC164</f>
        <v>6.6550833328929498E-2</v>
      </c>
    </row>
    <row r="55" spans="2:9" x14ac:dyDescent="0.2">
      <c r="B55" s="20" t="s">
        <v>343</v>
      </c>
      <c r="C55" s="196">
        <f>Statement!M165</f>
        <v>0</v>
      </c>
      <c r="D55" s="196">
        <f>Statement!N165</f>
        <v>0</v>
      </c>
      <c r="E55" s="196">
        <f>Statement!O165</f>
        <v>7.5613663014209515E-3</v>
      </c>
      <c r="F55" s="196">
        <f>Statement!P165</f>
        <v>4.8596228981581578E-2</v>
      </c>
      <c r="G55" s="196">
        <f>Statement!Q165</f>
        <v>4.9259451802222368E-2</v>
      </c>
      <c r="I55" s="196">
        <f ca="1">Statement!AC165</f>
        <v>6.6550833328929498E-2</v>
      </c>
    </row>
    <row r="57" spans="2:9" ht="17" thickBot="1" x14ac:dyDescent="0.25">
      <c r="B57" s="14" t="s">
        <v>320</v>
      </c>
      <c r="C57" s="14"/>
      <c r="D57" s="14"/>
      <c r="E57" s="14"/>
      <c r="F57" s="14"/>
      <c r="G57" s="14"/>
      <c r="I57" s="14"/>
    </row>
    <row r="58" spans="2:9" x14ac:dyDescent="0.2">
      <c r="B58" s="20" t="s">
        <v>319</v>
      </c>
      <c r="C58" s="196">
        <f>Statement!M168</f>
        <v>0</v>
      </c>
      <c r="D58" s="196">
        <f>Statement!N168</f>
        <v>0</v>
      </c>
      <c r="E58" s="196">
        <f>Statement!O168</f>
        <v>0</v>
      </c>
      <c r="F58" s="196">
        <f>Statement!P168</f>
        <v>0</v>
      </c>
      <c r="G58" s="196">
        <f>Statement!Q168</f>
        <v>0</v>
      </c>
      <c r="I58" s="196">
        <f>Statement!AC168</f>
        <v>0</v>
      </c>
    </row>
    <row r="59" spans="2:9" x14ac:dyDescent="0.2">
      <c r="B59" s="20" t="s">
        <v>321</v>
      </c>
      <c r="C59" s="196">
        <f>Statement!M169</f>
        <v>0</v>
      </c>
      <c r="D59" s="196">
        <f>Statement!N169</f>
        <v>0</v>
      </c>
      <c r="E59" s="196">
        <f>Statement!O169</f>
        <v>-1.2792495169232687</v>
      </c>
      <c r="F59" s="196">
        <f>Statement!P169</f>
        <v>-7.44160048753547</v>
      </c>
      <c r="G59" s="196">
        <f>Statement!Q169</f>
        <v>5.3526283260685705</v>
      </c>
      <c r="I59" s="196">
        <f>Statement!AC169</f>
        <v>3.2095084983598028</v>
      </c>
    </row>
    <row r="60" spans="2:9" x14ac:dyDescent="0.2">
      <c r="B60" s="20" t="s">
        <v>322</v>
      </c>
      <c r="C60" s="196">
        <f>Statement!M170</f>
        <v>0</v>
      </c>
      <c r="D60" s="196">
        <f>Statement!N170</f>
        <v>0</v>
      </c>
      <c r="E60" s="196">
        <f>Statement!O170</f>
        <v>-1.2792495169232687</v>
      </c>
      <c r="F60" s="196">
        <f>Statement!P170</f>
        <v>-7.44160048753547</v>
      </c>
      <c r="G60" s="196">
        <f>Statement!Q170</f>
        <v>5.3526283260685705</v>
      </c>
      <c r="I60" s="196">
        <f>Statement!AC170</f>
        <v>3.2095084983598028</v>
      </c>
    </row>
    <row r="62" spans="2:9" ht="17" thickBot="1" x14ac:dyDescent="0.25">
      <c r="B62" s="14" t="s">
        <v>328</v>
      </c>
      <c r="C62" s="14"/>
      <c r="D62" s="14"/>
      <c r="E62" s="14"/>
      <c r="F62" s="14"/>
      <c r="G62" s="14"/>
      <c r="I62" s="14"/>
    </row>
    <row r="63" spans="2:9" x14ac:dyDescent="0.2">
      <c r="B63" s="20" t="s">
        <v>326</v>
      </c>
      <c r="C63" s="196">
        <f>Statement!M171</f>
        <v>0.32041292188722126</v>
      </c>
      <c r="D63" s="196">
        <f>Statement!N171</f>
        <v>0.31207180184527727</v>
      </c>
      <c r="E63" s="196">
        <f>Statement!O171</f>
        <v>0.22510733498180183</v>
      </c>
      <c r="F63" s="196">
        <f>Statement!P171</f>
        <v>0.22494029842627195</v>
      </c>
      <c r="G63" s="196">
        <f>Statement!Q171</f>
        <v>0.22012147206199109</v>
      </c>
      <c r="I63" s="196">
        <f>Statement!AC171</f>
        <v>0.2236199519483876</v>
      </c>
    </row>
    <row r="65" spans="2:9" ht="17" thickBot="1" x14ac:dyDescent="0.25">
      <c r="B65" s="14" t="s">
        <v>334</v>
      </c>
      <c r="C65" s="14"/>
      <c r="D65" s="14"/>
      <c r="E65" s="14"/>
      <c r="F65" s="14"/>
      <c r="G65" s="14"/>
      <c r="I65" s="14"/>
    </row>
    <row r="66" spans="2:9" x14ac:dyDescent="0.2">
      <c r="B66" s="20" t="s">
        <v>327</v>
      </c>
      <c r="C66" s="195">
        <f>Statement!M172</f>
        <v>3.4766735290211184</v>
      </c>
      <c r="D66" s="195">
        <f>Statement!N172</f>
        <v>3.157090755135687</v>
      </c>
      <c r="E66" s="195">
        <f>Statement!O172</f>
        <v>3.3036556282545391</v>
      </c>
      <c r="F66" s="195">
        <f>Statement!P172</f>
        <v>3.125390530795495</v>
      </c>
      <c r="G66" s="195">
        <f>Statement!Q172</f>
        <v>3.224670847950649</v>
      </c>
      <c r="I66" s="195">
        <f>Statement!AC172</f>
        <v>2.732462108272006</v>
      </c>
    </row>
    <row r="67" spans="2:9" x14ac:dyDescent="0.2">
      <c r="B67" s="20" t="s">
        <v>335</v>
      </c>
      <c r="C67" s="195">
        <f>Statement!M175</f>
        <v>3.4766735290211184</v>
      </c>
      <c r="D67" s="195">
        <f>Statement!N175</f>
        <v>3.157090755135687</v>
      </c>
      <c r="E67" s="195">
        <f>Statement!O175</f>
        <v>3.3036556282545391</v>
      </c>
      <c r="F67" s="195">
        <f>Statement!P175</f>
        <v>3.125390530795495</v>
      </c>
      <c r="G67" s="195">
        <f>Statement!Q175</f>
        <v>3.224670847950649</v>
      </c>
      <c r="I67" s="195">
        <f>Statement!AC175</f>
        <v>2.732462108272006</v>
      </c>
    </row>
    <row r="68" spans="2:9" x14ac:dyDescent="0.2">
      <c r="B68" s="20" t="s">
        <v>340</v>
      </c>
      <c r="C68" s="217">
        <f>Statement!M176</f>
        <v>0.10399860990191799</v>
      </c>
      <c r="D68" s="217">
        <f>Statement!N176</f>
        <v>0.21668433460093939</v>
      </c>
      <c r="E68" s="217">
        <f>Statement!O176</f>
        <v>0.1385180556920142</v>
      </c>
      <c r="F68" s="217">
        <f>Statement!P176</f>
        <v>0.21436149045236591</v>
      </c>
      <c r="G68" s="217">
        <f>Statement!Q176</f>
        <v>0.25287878673419845</v>
      </c>
      <c r="I68" s="217">
        <f ca="1">Statement!AC176</f>
        <v>0.27280461670922546</v>
      </c>
    </row>
    <row r="70" spans="2:9" ht="17" thickBot="1" x14ac:dyDescent="0.25">
      <c r="B70" s="14" t="s">
        <v>355</v>
      </c>
      <c r="C70" s="14"/>
      <c r="D70" s="14"/>
      <c r="E70" s="14"/>
      <c r="F70" s="14"/>
      <c r="G70" s="14"/>
      <c r="I70" s="14"/>
    </row>
    <row r="71" spans="2:9" x14ac:dyDescent="0.2">
      <c r="B71" s="20" t="s">
        <v>329</v>
      </c>
      <c r="C71" s="196">
        <f>Statement!M173</f>
        <v>-9.3805469133780903</v>
      </c>
      <c r="D71" s="196">
        <f>Statement!N173</f>
        <v>-37.054403366396151</v>
      </c>
      <c r="E71" s="196">
        <f>Statement!O173</f>
        <v>1.243655586093446</v>
      </c>
      <c r="F71" s="196">
        <f>Statement!P173</f>
        <v>1.1172492318250589</v>
      </c>
      <c r="G71" s="196">
        <f>Statement!Q173</f>
        <v>0.78305424452059225</v>
      </c>
      <c r="I71" s="196">
        <f>Statement!AC173</f>
        <v>0.69669698594761198</v>
      </c>
    </row>
    <row r="72" spans="2:9" x14ac:dyDescent="0.2">
      <c r="B72" s="20" t="s">
        <v>330</v>
      </c>
      <c r="C72" s="196">
        <f>Statement!M174</f>
        <v>0.57784459995606618</v>
      </c>
      <c r="D72" s="196">
        <f>Statement!N174</f>
        <v>0.3493733592422309</v>
      </c>
      <c r="E72" s="196">
        <f>Statement!O174</f>
        <v>0.28435361356255617</v>
      </c>
      <c r="F72" s="196">
        <f>Statement!P174</f>
        <v>0.25051410681111086</v>
      </c>
      <c r="G72" s="196">
        <f>Statement!Q174</f>
        <v>0.18047997854178516</v>
      </c>
      <c r="I72" s="196">
        <f>Statement!AC174</f>
        <v>0.16003121393504871</v>
      </c>
    </row>
    <row r="74" spans="2:9" ht="17" thickBot="1" x14ac:dyDescent="0.25">
      <c r="B74" s="14" t="s">
        <v>356</v>
      </c>
      <c r="C74" s="14"/>
      <c r="D74" s="14"/>
      <c r="E74" s="14"/>
      <c r="F74" s="14"/>
      <c r="G74" s="14"/>
      <c r="I74" s="14"/>
    </row>
    <row r="75" spans="2:9" x14ac:dyDescent="0.2">
      <c r="B75" s="20" t="s">
        <v>353</v>
      </c>
      <c r="C75" s="196">
        <f>Statement!M177</f>
        <v>1.325746537973577E-2</v>
      </c>
      <c r="D75" s="196">
        <f>Statement!N177</f>
        <v>2.2497097529617479E-2</v>
      </c>
      <c r="E75" s="196">
        <f>Statement!O177</f>
        <v>5.6128408833764501E-3</v>
      </c>
      <c r="F75" s="196">
        <f>Statement!P177</f>
        <v>1.0438116928173332E-2</v>
      </c>
      <c r="G75" s="196">
        <f>Statement!Q177</f>
        <v>1.1826854061786744E-2</v>
      </c>
      <c r="I75" s="196">
        <f>Statement!AC177</f>
        <v>5.3219161289936798E-3</v>
      </c>
    </row>
    <row r="76" spans="2:9" x14ac:dyDescent="0.2">
      <c r="B76" s="20" t="s">
        <v>350</v>
      </c>
      <c r="C76" s="196">
        <f>Statement!M178</f>
        <v>-0.21521750996124667</v>
      </c>
      <c r="D76" s="196">
        <f>Statement!N178</f>
        <v>-2.3860334635808034</v>
      </c>
      <c r="E76" s="196">
        <f>Statement!O178</f>
        <v>2.4548451595214689E-2</v>
      </c>
      <c r="F76" s="196">
        <f>Statement!P178</f>
        <v>4.6552181304883568E-2</v>
      </c>
      <c r="G76" s="196">
        <f>Statement!Q178</f>
        <v>5.1313549276955236E-2</v>
      </c>
      <c r="I76" s="196">
        <f>Statement!AC178</f>
        <v>2.3168998318295178E-2</v>
      </c>
    </row>
    <row r="77" spans="2:9" x14ac:dyDescent="0.2">
      <c r="B77" s="20" t="s">
        <v>351</v>
      </c>
      <c r="C77" s="196">
        <f>Statement!M179</f>
        <v>0.80442026521591292</v>
      </c>
      <c r="D77" s="196">
        <f>Statement!N179</f>
        <v>1.2719649628798804</v>
      </c>
      <c r="E77" s="196">
        <f>Statement!O179</f>
        <v>0.32491038633446917</v>
      </c>
      <c r="F77" s="196">
        <f>Statement!P179</f>
        <v>0.86600510677808729</v>
      </c>
      <c r="G77" s="196">
        <f>Statement!Q179</f>
        <v>1.1225175319700631</v>
      </c>
      <c r="I77" s="196">
        <f>Statement!AC179</f>
        <v>0.41931684334511188</v>
      </c>
    </row>
    <row r="79" spans="2:9" ht="17" thickBot="1" x14ac:dyDescent="0.25">
      <c r="B79" s="14" t="s">
        <v>146</v>
      </c>
      <c r="C79" s="14"/>
      <c r="D79" s="14"/>
      <c r="E79" s="14"/>
      <c r="F79" s="14"/>
      <c r="G79" s="14"/>
      <c r="I79" s="14"/>
    </row>
    <row r="80" spans="2:9" x14ac:dyDescent="0.2">
      <c r="B80" s="20" t="s">
        <v>20</v>
      </c>
      <c r="C80" s="196">
        <f>Statement!M89</f>
        <v>1</v>
      </c>
      <c r="D80" s="196">
        <f>Statement!N89</f>
        <v>0.18641482451146088</v>
      </c>
      <c r="E80" s="196">
        <f>Statement!O89</f>
        <v>0.23568437370404344</v>
      </c>
      <c r="F80" s="196">
        <f>Statement!P89</f>
        <v>9.2955127852289474E-2</v>
      </c>
      <c r="G80" s="196">
        <f>Statement!Q89</f>
        <v>0.12653882310808692</v>
      </c>
      <c r="I80" s="218"/>
    </row>
    <row r="81" spans="2:9" x14ac:dyDescent="0.2">
      <c r="B81" s="20" t="s">
        <v>21</v>
      </c>
      <c r="C81" s="196">
        <f>Statement!M90</f>
        <v>1</v>
      </c>
      <c r="D81" s="196">
        <f>Statement!N90</f>
        <v>6.6223322358291689E-2</v>
      </c>
      <c r="E81" s="196">
        <f>Statement!O90</f>
        <v>8.8158355132712404E-2</v>
      </c>
      <c r="F81" s="196">
        <f>Statement!P90</f>
        <v>0.26039688858945303</v>
      </c>
      <c r="G81" s="196">
        <f>Statement!Q90</f>
        <v>9.7358893991301598E-2</v>
      </c>
      <c r="I81" s="218"/>
    </row>
    <row r="82" spans="2:9" x14ac:dyDescent="0.2">
      <c r="B82" s="20" t="s">
        <v>22</v>
      </c>
      <c r="C82" s="196">
        <f>Statement!M91</f>
        <v>1</v>
      </c>
      <c r="D82" s="196">
        <f>Statement!N91</f>
        <v>0.21447253464273469</v>
      </c>
      <c r="E82" s="196">
        <f>Statement!O91</f>
        <v>0.26591920594629664</v>
      </c>
      <c r="F82" s="196">
        <f>Statement!P91</f>
        <v>6.3457381571517466E-2</v>
      </c>
      <c r="G82" s="196">
        <f>Statement!Q91</f>
        <v>0.13263133686529885</v>
      </c>
      <c r="I82" s="218"/>
    </row>
    <row r="83" spans="2:9" x14ac:dyDescent="0.2">
      <c r="B83" s="20" t="s">
        <v>26</v>
      </c>
      <c r="C83" s="196">
        <f>Statement!M95</f>
        <v>1</v>
      </c>
      <c r="D83" s="196">
        <f>Statement!N95</f>
        <v>2.0280479935964979E-3</v>
      </c>
      <c r="E83" s="196">
        <f>Statement!O95</f>
        <v>4.080083924770931E-2</v>
      </c>
      <c r="F83" s="196">
        <f>Statement!P95</f>
        <v>5.3586588433573397E-2</v>
      </c>
      <c r="G83" s="196">
        <f>Statement!Q95</f>
        <v>-4.6430846560335276E-2</v>
      </c>
      <c r="I83" s="218"/>
    </row>
    <row r="84" spans="2:9" x14ac:dyDescent="0.2">
      <c r="B84" s="20" t="s">
        <v>357</v>
      </c>
      <c r="C84" s="196">
        <f>Statement!M96</f>
        <v>-1</v>
      </c>
      <c r="D84" s="196">
        <f>Statement!N96</f>
        <v>0.3047494141085067</v>
      </c>
      <c r="E84" s="196">
        <f>Statement!O96</f>
        <v>0.52705127726590162</v>
      </c>
      <c r="F84" s="196">
        <f>Statement!P96</f>
        <v>1.3058523555123847E-2</v>
      </c>
      <c r="G84" s="196">
        <f>Statement!Q96</f>
        <v>1.3491440557547871</v>
      </c>
      <c r="I84" s="218"/>
    </row>
    <row r="85" spans="2:9" x14ac:dyDescent="0.2">
      <c r="B85" s="20" t="s">
        <v>358</v>
      </c>
      <c r="C85" s="196">
        <f>Statement!M98</f>
        <v>-1</v>
      </c>
      <c r="D85" s="196">
        <f>Statement!N98</f>
        <v>0.37526494236908897</v>
      </c>
      <c r="E85" s="196">
        <f>Statement!O98</f>
        <v>0.72626023292076791</v>
      </c>
      <c r="F85" s="196">
        <f>Statement!P98</f>
        <v>0.18011192327803924</v>
      </c>
      <c r="G85" s="196">
        <f>Statement!Q98</f>
        <v>4.8311124379189625</v>
      </c>
      <c r="I85" s="218"/>
    </row>
    <row r="88" spans="2:9" ht="17" thickBot="1" x14ac:dyDescent="0.25">
      <c r="B88" s="14" t="s">
        <v>359</v>
      </c>
      <c r="C88" s="14"/>
      <c r="D88" s="14"/>
      <c r="E88" s="14"/>
      <c r="F88" s="14"/>
      <c r="G88" s="14"/>
      <c r="I88" s="14"/>
    </row>
    <row r="89" spans="2:9" x14ac:dyDescent="0.2">
      <c r="B89" s="20" t="s">
        <v>360</v>
      </c>
      <c r="C89" s="196">
        <f>Statement!M197</f>
        <v>1</v>
      </c>
      <c r="D89" s="196">
        <f>Statement!N197</f>
        <v>3.4084087514825716E-2</v>
      </c>
      <c r="E89" s="196">
        <f>Statement!O197</f>
        <v>0.24818614965570993</v>
      </c>
      <c r="F89" s="196">
        <f>Statement!P197</f>
        <v>-5.5102093364575021E-2</v>
      </c>
      <c r="G89" s="196">
        <f>Statement!Q197</f>
        <v>3.2771752459329104E-2</v>
      </c>
      <c r="I89" s="218"/>
    </row>
    <row r="90" spans="2:9" x14ac:dyDescent="0.2">
      <c r="B90" s="20" t="s">
        <v>361</v>
      </c>
      <c r="C90" s="196">
        <f>Statement!M198</f>
        <v>1</v>
      </c>
      <c r="D90" s="196">
        <f>Statement!N198</f>
        <v>0.37569180272908909</v>
      </c>
      <c r="E90" s="196">
        <f>Statement!O198</f>
        <v>0.27729682030883041</v>
      </c>
      <c r="F90" s="196">
        <f>Statement!P198</f>
        <v>0.23392027917368038</v>
      </c>
      <c r="G90" s="196">
        <f>Statement!Q198</f>
        <v>0.19019336689332336</v>
      </c>
      <c r="I90" s="218"/>
    </row>
    <row r="91" spans="2:9" x14ac:dyDescent="0.2">
      <c r="B91" s="20" t="s">
        <v>362</v>
      </c>
      <c r="C91" s="196">
        <f>Statement!M199</f>
        <v>1</v>
      </c>
      <c r="D91" s="196">
        <f>Statement!N199</f>
        <v>0.26768885199472631</v>
      </c>
      <c r="E91" s="196">
        <f>Statement!O199</f>
        <v>-0.29197642617772812</v>
      </c>
      <c r="F91" s="196">
        <f>Statement!P199</f>
        <v>0.10317719384146673</v>
      </c>
      <c r="G91" s="196">
        <f>Statement!Q199</f>
        <v>0.22564418690666996</v>
      </c>
      <c r="I91" s="218"/>
    </row>
    <row r="93" spans="2:9" ht="17" thickBot="1" x14ac:dyDescent="0.25">
      <c r="B93" s="14" t="s">
        <v>364</v>
      </c>
      <c r="C93" s="14"/>
      <c r="D93" s="14"/>
      <c r="E93" s="14"/>
      <c r="F93" s="14"/>
      <c r="G93" s="14"/>
      <c r="I93" s="14"/>
    </row>
    <row r="94" spans="2:9" x14ac:dyDescent="0.2">
      <c r="B94" s="20" t="s">
        <v>333</v>
      </c>
      <c r="C94" s="196">
        <f>Statement!M203</f>
        <v>0</v>
      </c>
      <c r="D94" s="196">
        <f>Statement!N203</f>
        <v>0</v>
      </c>
      <c r="E94" s="196">
        <f>Statement!O203</f>
        <v>0</v>
      </c>
      <c r="F94" s="196">
        <f>Statement!P203</f>
        <v>0</v>
      </c>
      <c r="G94" s="196">
        <f>Statement!Q203</f>
        <v>0</v>
      </c>
      <c r="I94" s="2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2"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5" t="s">
        <v>365</v>
      </c>
      <c r="D3" s="256"/>
      <c r="F3" s="257" t="s">
        <v>366</v>
      </c>
      <c r="G3" s="256"/>
    </row>
    <row r="4" spans="2:7" x14ac:dyDescent="0.2">
      <c r="B4" s="8"/>
      <c r="C4" s="10" t="str">
        <f>Statement!Z2</f>
        <v>31.01.2026</v>
      </c>
      <c r="D4" s="224" t="str">
        <f>Statement!AA2</f>
        <v>30.04.2026</v>
      </c>
      <c r="F4" s="225" t="str">
        <f>Statement!W2</f>
        <v>30.04.2025</v>
      </c>
      <c r="G4" s="224" t="str">
        <f>Statement!AA2</f>
        <v>30.04.2026</v>
      </c>
    </row>
    <row r="5" spans="2:7" x14ac:dyDescent="0.2">
      <c r="B5" s="8" t="s">
        <v>371</v>
      </c>
      <c r="C5" s="10" t="str">
        <f>Statement!Z3</f>
        <v>Q4 2026</v>
      </c>
      <c r="D5" s="224" t="str">
        <f>Statement!AA3</f>
        <v>Q1 2027</v>
      </c>
      <c r="F5" s="225" t="str">
        <f>Statement!W3</f>
        <v>Q1 2026</v>
      </c>
      <c r="G5" s="224" t="str">
        <f>Statement!AA3</f>
        <v>Q1 2027</v>
      </c>
    </row>
    <row r="6" spans="2:7" x14ac:dyDescent="0.2">
      <c r="B6" s="226" t="s">
        <v>20</v>
      </c>
      <c r="C6" s="220">
        <f>Statement!Z5</f>
        <v>481107</v>
      </c>
      <c r="D6" s="219">
        <f>Statement!AA5</f>
        <v>418382</v>
      </c>
      <c r="F6" s="220">
        <f>Statement!W5</f>
        <v>356624</v>
      </c>
      <c r="G6" s="219">
        <f>Statement!AA5</f>
        <v>418382</v>
      </c>
    </row>
    <row r="7" spans="2:7" x14ac:dyDescent="0.2">
      <c r="B7" s="227" t="s">
        <v>367</v>
      </c>
      <c r="C7" s="253">
        <f>Statement!AA89</f>
        <v>-0.13037640275448081</v>
      </c>
      <c r="D7" s="254"/>
      <c r="F7" s="253">
        <f>IF(F6=0,
IF(G6=0,0,IF(G6&gt;0,1,-1)),
(G6-F6)/ABS(F6)
)</f>
        <v>0.17317398716855847</v>
      </c>
      <c r="G7" s="254"/>
    </row>
    <row r="8" spans="2:7" x14ac:dyDescent="0.2">
      <c r="B8" s="228" t="s">
        <v>21</v>
      </c>
      <c r="C8" s="221">
        <f>Statement!Z6</f>
        <v>73935</v>
      </c>
      <c r="D8" s="219">
        <f>Statement!AA6</f>
        <v>76928</v>
      </c>
      <c r="F8" s="221">
        <f>Statement!W6</f>
        <v>63857</v>
      </c>
      <c r="G8" s="219">
        <f>Statement!AA6</f>
        <v>76928</v>
      </c>
    </row>
    <row r="9" spans="2:7" x14ac:dyDescent="0.2">
      <c r="B9" s="227" t="s">
        <v>367</v>
      </c>
      <c r="C9" s="253">
        <f>Statement!AA90</f>
        <v>4.0481504023804696E-2</v>
      </c>
      <c r="D9" s="254"/>
      <c r="F9" s="253">
        <f>IF(F8=0,
IF(G8=0,0,IF(G8&gt;0,1,-1)),
(G8-F8)/ABS(F8)
)</f>
        <v>0.20469173309112548</v>
      </c>
      <c r="G9" s="254"/>
    </row>
    <row r="10" spans="2:7" x14ac:dyDescent="0.2">
      <c r="B10" s="228" t="s">
        <v>22</v>
      </c>
      <c r="C10" s="221">
        <f>Statement!Z7</f>
        <v>407172</v>
      </c>
      <c r="D10" s="219">
        <f>Statement!AA7</f>
        <v>341454</v>
      </c>
      <c r="F10" s="221">
        <f>Statement!W7</f>
        <v>292767</v>
      </c>
      <c r="G10" s="219">
        <f>Statement!AA7</f>
        <v>341454</v>
      </c>
    </row>
    <row r="11" spans="2:7" x14ac:dyDescent="0.2">
      <c r="B11" s="227" t="s">
        <v>367</v>
      </c>
      <c r="C11" s="253">
        <f>Statement!AA91</f>
        <v>-0.1614010786596328</v>
      </c>
      <c r="D11" s="254"/>
      <c r="F11" s="253">
        <f>IF(F10=0,
IF(G10=0,0,IF(G10&gt;0,1,-1)),
(G10-F10)/ABS(F10)
)</f>
        <v>0.16629948047423376</v>
      </c>
      <c r="G11" s="254"/>
    </row>
    <row r="12" spans="2:7" x14ac:dyDescent="0.2">
      <c r="B12" s="228" t="s">
        <v>26</v>
      </c>
      <c r="C12" s="221">
        <f>Statement!Z11</f>
        <v>326886</v>
      </c>
      <c r="D12" s="219">
        <f>Statement!AA11</f>
        <v>313467</v>
      </c>
      <c r="F12" s="221">
        <f>Statement!W11</f>
        <v>309179</v>
      </c>
      <c r="G12" s="219">
        <f>Statement!AA11</f>
        <v>313467</v>
      </c>
    </row>
    <row r="13" spans="2:7" x14ac:dyDescent="0.2">
      <c r="B13" s="227" t="s">
        <v>367</v>
      </c>
      <c r="C13" s="253">
        <f>Statement!AA95</f>
        <v>-4.1051008608505718E-2</v>
      </c>
      <c r="D13" s="254"/>
      <c r="F13" s="253">
        <f>IF(F12=0,
IF(G12=0,0,IF(G12&gt;0,1,-1)),
(G12-F12)/ABS(F12)
)</f>
        <v>1.3868988514743887E-2</v>
      </c>
      <c r="G13" s="254"/>
    </row>
    <row r="14" spans="2:7" x14ac:dyDescent="0.2">
      <c r="B14" s="228" t="s">
        <v>368</v>
      </c>
      <c r="C14" s="221">
        <f>Statement!Z12</f>
        <v>80286</v>
      </c>
      <c r="D14" s="219">
        <f>Statement!AA12</f>
        <v>27987</v>
      </c>
      <c r="F14" s="221">
        <f>Statement!W12</f>
        <v>-16412</v>
      </c>
      <c r="G14" s="219">
        <f>Statement!AA12</f>
        <v>27987</v>
      </c>
    </row>
    <row r="15" spans="2:7" x14ac:dyDescent="0.2">
      <c r="B15" s="227" t="s">
        <v>367</v>
      </c>
      <c r="C15" s="253">
        <f>Statement!AA96</f>
        <v>-0.65140871384799337</v>
      </c>
      <c r="D15" s="254"/>
      <c r="F15" s="253">
        <f>IF(F14=0,
IF(G14=0,0,IF(G14&gt;0,1,-1)),
(G14-F14)/ABS(F14)
)</f>
        <v>2.7052766268583963</v>
      </c>
      <c r="G15" s="254"/>
    </row>
    <row r="16" spans="2:7" x14ac:dyDescent="0.2">
      <c r="B16" s="228" t="s">
        <v>32</v>
      </c>
      <c r="C16" s="221">
        <f>Statement!Z18</f>
        <v>104462</v>
      </c>
      <c r="D16" s="219">
        <f>Statement!AA18</f>
        <v>22525</v>
      </c>
      <c r="F16" s="221">
        <f>Statement!W18</f>
        <v>-22555</v>
      </c>
      <c r="G16" s="219">
        <f>Statement!AA18</f>
        <v>22525</v>
      </c>
    </row>
    <row r="17" spans="2:7" x14ac:dyDescent="0.2">
      <c r="B17" s="227" t="s">
        <v>367</v>
      </c>
      <c r="C17" s="253">
        <f>Statement!AA98</f>
        <v>-0.78437135034749483</v>
      </c>
      <c r="D17" s="254"/>
      <c r="F17" s="253">
        <f>IF(F16=0,
IF(G16=0,0,IF(G16&gt;0,1,-1)),
(G16-F16)/ABS(F16)
)</f>
        <v>1.9986699179782754</v>
      </c>
      <c r="G17" s="254"/>
    </row>
    <row r="18" spans="2:7" x14ac:dyDescent="0.2">
      <c r="B18" s="228" t="s">
        <v>369</v>
      </c>
      <c r="C18" s="221">
        <f>Statement!Z22</f>
        <v>545284</v>
      </c>
      <c r="D18" s="219">
        <f>Statement!AA22</f>
        <v>527818</v>
      </c>
      <c r="F18" s="221">
        <f>Statement!W22</f>
        <v>548451</v>
      </c>
      <c r="G18" s="219">
        <f>Statement!AA22</f>
        <v>527818</v>
      </c>
    </row>
    <row r="19" spans="2:7" x14ac:dyDescent="0.2">
      <c r="B19" s="227" t="s">
        <v>367</v>
      </c>
      <c r="C19" s="253">
        <f>IF(C18=0,
IF(D18=0,0,IF(D18&gt;0,1,-1)),
(D18-C18)/ABS(C18)
)</f>
        <v>-3.2031015030699599E-2</v>
      </c>
      <c r="D19" s="254"/>
      <c r="F19" s="253">
        <f>IF(F18=0,
IF(G18=0,0,IF(G18&gt;0,1,-1)),
(G18-F18)/ABS(F18)
)</f>
        <v>-3.7620498458385526E-2</v>
      </c>
      <c r="G19" s="254"/>
    </row>
    <row r="20" spans="2:7" x14ac:dyDescent="0.2">
      <c r="B20" s="228" t="s">
        <v>39</v>
      </c>
      <c r="C20" s="222">
        <f>Statement!Z26</f>
        <v>0.19</v>
      </c>
      <c r="D20" s="223">
        <f>Statement!AA26</f>
        <v>0.04</v>
      </c>
      <c r="F20" s="222">
        <f>Statement!W26</f>
        <v>-0.04</v>
      </c>
      <c r="G20" s="223">
        <f>Statement!AA26</f>
        <v>0.04</v>
      </c>
    </row>
    <row r="21" spans="2:7" x14ac:dyDescent="0.2">
      <c r="B21" s="227" t="s">
        <v>367</v>
      </c>
      <c r="C21" s="253">
        <f>IF(C20=0,
IF(D20=0,0,IF(D20&gt;0,1,-1)),
(D20-C20)/ABS(C20)
)</f>
        <v>-0.78947368421052633</v>
      </c>
      <c r="D21" s="254"/>
      <c r="F21" s="253">
        <f>IF(F20=0,
IF(G20=0,0,IF(G20&gt;0,1,-1)),
(G20-F20)/ABS(F20)
)</f>
        <v>2</v>
      </c>
      <c r="G21" s="254"/>
    </row>
    <row r="23" spans="2:7" x14ac:dyDescent="0.2">
      <c r="B23" s="8" t="s">
        <v>370</v>
      </c>
      <c r="C23" s="10" t="str">
        <f>C5</f>
        <v>Q4 2026</v>
      </c>
      <c r="D23" s="224" t="str">
        <f>D5</f>
        <v>Q1 2027</v>
      </c>
      <c r="F23" s="225" t="str">
        <f>F5</f>
        <v>Q1 2026</v>
      </c>
      <c r="G23" s="224" t="str">
        <f>G5</f>
        <v>Q1 2027</v>
      </c>
    </row>
    <row r="24" spans="2:7" x14ac:dyDescent="0.2">
      <c r="B24" s="20" t="s">
        <v>113</v>
      </c>
      <c r="C24" s="221">
        <f>Statement!Z187</f>
        <v>215904</v>
      </c>
      <c r="D24" s="219">
        <f>Statement!AA187</f>
        <v>149309</v>
      </c>
      <c r="F24" s="221">
        <f>Statement!W187</f>
        <v>128286</v>
      </c>
      <c r="G24" s="219">
        <f>Statement!AA187</f>
        <v>149309</v>
      </c>
    </row>
    <row r="25" spans="2:7" x14ac:dyDescent="0.2">
      <c r="B25" s="227" t="s">
        <v>367</v>
      </c>
      <c r="C25" s="253">
        <f>IF(C24=0,
IF(D24=0,0,IF(D24&gt;0,1,-1)),
(D24-C24)/ABS(C24)
)</f>
        <v>-0.30844727286201273</v>
      </c>
      <c r="D25" s="254"/>
      <c r="F25" s="253">
        <f>IF(F24=0,
IF(G24=0,0,IF(G24&gt;0,1,-1)),
(G24-F24)/ABS(F24)
)</f>
        <v>0.16387602700216702</v>
      </c>
      <c r="G25" s="254"/>
    </row>
    <row r="26" spans="2:7" x14ac:dyDescent="0.2">
      <c r="B26" s="20" t="s">
        <v>114</v>
      </c>
      <c r="C26" s="221">
        <f>Statement!Z188</f>
        <v>251233</v>
      </c>
      <c r="D26" s="219">
        <f>Statement!AA188</f>
        <v>252903</v>
      </c>
      <c r="F26" s="221">
        <f>Statement!W188</f>
        <v>217303</v>
      </c>
      <c r="G26" s="219">
        <f>Statement!AA188</f>
        <v>252903</v>
      </c>
    </row>
    <row r="27" spans="2:7" x14ac:dyDescent="0.2">
      <c r="B27" s="227" t="s">
        <v>367</v>
      </c>
      <c r="C27" s="253">
        <f>IF(C26=0,
IF(D26=0,0,IF(D26&gt;0,1,-1)),
(D26-C26)/ABS(C26)
)</f>
        <v>6.6472159310281692E-3</v>
      </c>
      <c r="D27" s="254"/>
      <c r="F27" s="253">
        <f>IF(F26=0,
IF(G26=0,0,IF(G26&gt;0,1,-1)),
(G26-F26)/ABS(F26)
)</f>
        <v>0.16382654634312457</v>
      </c>
      <c r="G27" s="254"/>
    </row>
    <row r="28" spans="2:7" x14ac:dyDescent="0.2">
      <c r="B28" s="20" t="s">
        <v>115</v>
      </c>
      <c r="C28" s="221">
        <f>Statement!Z189</f>
        <v>13970</v>
      </c>
      <c r="D28" s="219">
        <f>Statement!AA189</f>
        <v>16170</v>
      </c>
      <c r="F28" s="221">
        <f>Statement!W189</f>
        <v>11035</v>
      </c>
      <c r="G28" s="219">
        <f>Statement!AA189</f>
        <v>16170</v>
      </c>
    </row>
    <row r="29" spans="2:7" x14ac:dyDescent="0.2">
      <c r="B29" s="227" t="s">
        <v>367</v>
      </c>
      <c r="C29" s="253">
        <f>IF(C28=0,
IF(D28=0,0,IF(D28&gt;0,1,-1)),
(D28-C28)/ABS(C28)
)</f>
        <v>0.15748031496062992</v>
      </c>
      <c r="D29" s="254"/>
      <c r="F29" s="253">
        <f>IF(F28=0,
IF(G28=0,0,IF(G28&gt;0,1,-1)),
(G28-F28)/ABS(F28)
)</f>
        <v>0.46533756230176709</v>
      </c>
      <c r="G29" s="254"/>
    </row>
    <row r="31" spans="2:7" x14ac:dyDescent="0.2">
      <c r="B31" s="8" t="s">
        <v>372</v>
      </c>
      <c r="C31" s="10" t="str">
        <f>C5</f>
        <v>Q4 2026</v>
      </c>
      <c r="D31" s="10" t="str">
        <f>D5</f>
        <v>Q1 2027</v>
      </c>
      <c r="F31" s="10" t="str">
        <f>F5</f>
        <v>Q1 2026</v>
      </c>
      <c r="G31" s="10" t="str">
        <f>G5</f>
        <v>Q1 2027</v>
      </c>
    </row>
    <row r="32" spans="2:7" x14ac:dyDescent="0.2">
      <c r="B32" s="20" t="s">
        <v>130</v>
      </c>
      <c r="C32" s="221">
        <f>Statement!Z213</f>
        <v>1852567</v>
      </c>
      <c r="D32" s="221">
        <f>Statement!AA213</f>
        <v>1901211</v>
      </c>
      <c r="F32" s="221">
        <f>Statement!W213</f>
        <v>1692683</v>
      </c>
      <c r="G32" s="219">
        <f>Statement!AA213</f>
        <v>1901211</v>
      </c>
    </row>
    <row r="33" spans="2:7" x14ac:dyDescent="0.2">
      <c r="B33" s="227" t="s">
        <v>367</v>
      </c>
      <c r="C33" s="253">
        <f>IF(C32=0,
IF(D32=0,0,IF(D32&gt;0,1,-1)),
(D32-C32)/ABS(C32)
)</f>
        <v>2.6257619832373135E-2</v>
      </c>
      <c r="D33" s="254"/>
      <c r="F33" s="253">
        <f>IF(F32=0,
IF(G32=0,0,IF(G32&gt;0,1,-1)),
(G32-F32)/ABS(F32)
)</f>
        <v>0.12319376989075922</v>
      </c>
      <c r="G33" s="254"/>
    </row>
    <row r="34" spans="2:7" x14ac:dyDescent="0.2">
      <c r="B34" s="20" t="s">
        <v>134</v>
      </c>
      <c r="C34" s="221">
        <f>Statement!Z217</f>
        <v>2565</v>
      </c>
      <c r="D34" s="221">
        <f>Statement!AA217</f>
        <v>2624</v>
      </c>
      <c r="F34" s="221">
        <f>Statement!W217</f>
        <v>2365</v>
      </c>
      <c r="G34" s="219">
        <f>Statement!AA217</f>
        <v>2624</v>
      </c>
    </row>
    <row r="35" spans="2:7" x14ac:dyDescent="0.2">
      <c r="B35" s="227" t="s">
        <v>367</v>
      </c>
      <c r="C35" s="253">
        <f>IF(C34=0,
IF(D34=0,0,IF(D34&gt;0,1,-1)),
(D34-C34)/ABS(C34)
)</f>
        <v>2.3001949317738791E-2</v>
      </c>
      <c r="D35" s="254"/>
      <c r="F35" s="253">
        <f>IF(F34=0,
IF(G34=0,0,IF(G34&gt;0,1,-1)),
(G34-F34)/ABS(F34)
)</f>
        <v>0.10951374207188161</v>
      </c>
      <c r="G35" s="254"/>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7"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310</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311</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398</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399</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400</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121</v>
      </c>
      <c r="C68" s="239">
        <f>Statement!H123</f>
        <v>0</v>
      </c>
      <c r="D68" s="239">
        <f>Statement!I123</f>
        <v>0</v>
      </c>
      <c r="E68" s="239">
        <f>Statement!J123</f>
        <v>0</v>
      </c>
      <c r="F68" s="239">
        <f>Statement!K123</f>
        <v>0</v>
      </c>
      <c r="G68" s="239">
        <f>Statement!L123</f>
        <v>0</v>
      </c>
      <c r="H68" s="239">
        <f>Statement!M123</f>
        <v>-0.20431339773367801</v>
      </c>
      <c r="I68" s="239">
        <f>Statement!N123</f>
        <v>-0.12004653397221271</v>
      </c>
      <c r="J68" s="239">
        <f>Statement!O123</f>
        <v>-3.0419750111515053E-2</v>
      </c>
      <c r="K68" s="239">
        <f>Statement!P123</f>
        <v>-2.5719740199003933E-2</v>
      </c>
      <c r="L68" s="239">
        <f>Statement!Q123</f>
        <v>8.8805359838953199E-2</v>
      </c>
    </row>
    <row r="69" spans="2:12" x14ac:dyDescent="0.2">
      <c r="B69" s="20" t="s">
        <v>123</v>
      </c>
      <c r="C69" s="239">
        <f>Statement!H125</f>
        <v>0</v>
      </c>
      <c r="D69" s="239">
        <f>Statement!I125</f>
        <v>0</v>
      </c>
      <c r="E69" s="239">
        <f>Statement!J125</f>
        <v>0</v>
      </c>
      <c r="F69" s="239">
        <f>Statement!K125</f>
        <v>0</v>
      </c>
      <c r="G69" s="239">
        <f>Statement!L125</f>
        <v>0</v>
      </c>
      <c r="H69" s="239">
        <f>Statement!M125</f>
        <v>-0.27346966596372269</v>
      </c>
      <c r="I69" s="239">
        <f>Statement!N125</f>
        <v>-0.17100259457815453</v>
      </c>
      <c r="J69" s="239">
        <f>Statement!O125</f>
        <v>-4.4582300405631825E-2</v>
      </c>
      <c r="K69" s="239">
        <f>Statement!P125</f>
        <v>-3.9926057639067224E-2</v>
      </c>
      <c r="L69" s="239">
        <f>Statement!Q125</f>
        <v>0.13556696550972422</v>
      </c>
    </row>
    <row r="70" spans="2:12" x14ac:dyDescent="0.2">
      <c r="B70" s="20" t="s">
        <v>124</v>
      </c>
      <c r="C70" s="239">
        <f>Statement!H140</f>
        <v>0</v>
      </c>
      <c r="D70" s="239">
        <f>Statement!I140</f>
        <v>0</v>
      </c>
      <c r="E70" s="239">
        <f>Statement!J140</f>
        <v>0</v>
      </c>
      <c r="F70" s="239">
        <f>Statement!K140</f>
        <v>0</v>
      </c>
      <c r="G70" s="239">
        <f>Statement!L140</f>
        <v>0</v>
      </c>
      <c r="H70" s="239">
        <f>Statement!M140</f>
        <v>-13.446770816556612</v>
      </c>
      <c r="I70" s="239">
        <f>Statement!N140</f>
        <v>-2.1723832513114152</v>
      </c>
      <c r="J70" s="239">
        <f>Statement!O140</f>
        <v>-1.2085904425090432</v>
      </c>
      <c r="K70" s="239">
        <f>Statement!P140</f>
        <v>-1.3311034872391121</v>
      </c>
      <c r="L70" s="239">
        <f>Statement!Q140</f>
        <v>0.14438669993971168</v>
      </c>
    </row>
    <row r="71" spans="2:12" x14ac:dyDescent="0.2">
      <c r="B71" s="20" t="s">
        <v>411</v>
      </c>
      <c r="C71" s="248">
        <f>Statement!H207</f>
        <v>0</v>
      </c>
      <c r="D71" s="248">
        <f>Statement!I207</f>
        <v>0</v>
      </c>
      <c r="E71" s="248">
        <f>Statement!J207</f>
        <v>0</v>
      </c>
      <c r="F71" s="248">
        <f>Statement!K207</f>
        <v>0</v>
      </c>
      <c r="G71" s="248">
        <f>Statement!L207</f>
        <v>0</v>
      </c>
      <c r="H71" s="248">
        <f>Statement!M207</f>
        <v>100</v>
      </c>
      <c r="I71" s="248">
        <f>Statement!N207</f>
        <v>43.583607538139404</v>
      </c>
      <c r="J71" s="248">
        <f>Statement!O207</f>
        <v>71.343104995513016</v>
      </c>
      <c r="K71" s="248">
        <f>Statement!P207</f>
        <v>43.613520789709838</v>
      </c>
      <c r="L71" s="248">
        <f>Statement!Q207</f>
        <v>37.660783727191152</v>
      </c>
    </row>
    <row r="72" spans="2:12" x14ac:dyDescent="0.2">
      <c r="B72" s="20" t="s">
        <v>412</v>
      </c>
      <c r="C72" s="248">
        <f>Statement!H208</f>
        <v>0</v>
      </c>
      <c r="D72" s="248">
        <f>Statement!I208</f>
        <v>0</v>
      </c>
      <c r="E72" s="248">
        <f>Statement!J208</f>
        <v>0</v>
      </c>
      <c r="F72" s="248">
        <f>Statement!K208</f>
        <v>0</v>
      </c>
      <c r="G72" s="248">
        <f>Statement!L208</f>
        <v>0</v>
      </c>
      <c r="H72" s="248">
        <f>Statement!M208</f>
        <v>100</v>
      </c>
      <c r="I72" s="248">
        <f>Statement!N208</f>
        <v>118.64148245114609</v>
      </c>
      <c r="J72" s="248">
        <f>Statement!O208</f>
        <v>146.60342593796372</v>
      </c>
      <c r="K72" s="248">
        <f>Statement!P208</f>
        <v>160.23096613961079</v>
      </c>
      <c r="L72" s="248">
        <f>Statement!Q208</f>
        <v>180.50640402038886</v>
      </c>
    </row>
    <row r="73" spans="2:12" x14ac:dyDescent="0.2">
      <c r="B73" s="20" t="s">
        <v>413</v>
      </c>
      <c r="C73" s="248">
        <f>Statement!H209</f>
        <v>0</v>
      </c>
      <c r="D73" s="248">
        <f>Statement!I209</f>
        <v>0</v>
      </c>
      <c r="E73" s="248">
        <f>Statement!J209</f>
        <v>0</v>
      </c>
      <c r="F73" s="248">
        <f>Statement!K209</f>
        <v>0</v>
      </c>
      <c r="G73" s="248">
        <f>Statement!L209</f>
        <v>0</v>
      </c>
      <c r="H73" s="248">
        <f>Statement!M209</f>
        <v>100</v>
      </c>
      <c r="I73" s="248">
        <f>Statement!N209</f>
        <v>148.27586206896552</v>
      </c>
      <c r="J73" s="248">
        <f>Statement!O209</f>
        <v>186.20689655172413</v>
      </c>
      <c r="K73" s="248">
        <f>Statement!P209</f>
        <v>188.79310344827584</v>
      </c>
      <c r="L73" s="248">
        <f>Statement!Q209</f>
        <v>244.82758620689654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316253</v>
      </c>
      <c r="D57" s="64">
        <f>Statement!U5</f>
        <v>354653</v>
      </c>
      <c r="E57" s="64">
        <f>Statement!V5</f>
        <v>423646</v>
      </c>
      <c r="F57" s="64">
        <f>Statement!W5</f>
        <v>356624</v>
      </c>
      <c r="G57" s="64">
        <f>Statement!X5</f>
        <v>361728</v>
      </c>
      <c r="H57" s="64">
        <f>Statement!Y5</f>
        <v>411113</v>
      </c>
      <c r="I57" s="64">
        <f>Statement!Z5</f>
        <v>481107</v>
      </c>
      <c r="J57" s="64">
        <f>Statement!AA5</f>
        <v>418382</v>
      </c>
    </row>
    <row r="58" spans="2:10" x14ac:dyDescent="0.2">
      <c r="B58" s="20" t="s">
        <v>27</v>
      </c>
      <c r="C58" s="64">
        <f>Statement!T12</f>
        <v>-103349</v>
      </c>
      <c r="D58" s="64">
        <f>Statement!U12</f>
        <v>-43364</v>
      </c>
      <c r="E58" s="64">
        <f>Statement!V12</f>
        <v>33609</v>
      </c>
      <c r="F58" s="64">
        <f>Statement!W12</f>
        <v>-16412</v>
      </c>
      <c r="G58" s="64">
        <f>Statement!X12</f>
        <v>-20185</v>
      </c>
      <c r="H58" s="64">
        <f>Statement!Y12</f>
        <v>13071</v>
      </c>
      <c r="I58" s="64">
        <f>Statement!Z12</f>
        <v>80286</v>
      </c>
      <c r="J58" s="64">
        <f>Statement!AA12</f>
        <v>27987</v>
      </c>
    </row>
    <row r="59" spans="2:10" x14ac:dyDescent="0.2">
      <c r="B59" s="20" t="s">
        <v>32</v>
      </c>
      <c r="C59" s="64">
        <f>Statement!T18</f>
        <v>-86097</v>
      </c>
      <c r="D59" s="64">
        <f>Statement!U18</f>
        <v>-10655</v>
      </c>
      <c r="E59" s="64">
        <f>Statement!V18</f>
        <v>51794</v>
      </c>
      <c r="F59" s="64">
        <f>Statement!W18</f>
        <v>-22555</v>
      </c>
      <c r="G59" s="64">
        <f>Statement!X18</f>
        <v>1584</v>
      </c>
      <c r="H59" s="64">
        <f>Statement!Y18</f>
        <v>198839</v>
      </c>
      <c r="I59" s="64">
        <f>Statement!Z18</f>
        <v>104462</v>
      </c>
      <c r="J59" s="64">
        <f>Statement!AA18</f>
        <v>22525</v>
      </c>
    </row>
    <row r="60" spans="2:10" x14ac:dyDescent="0.2">
      <c r="B60" s="20" t="s">
        <v>79</v>
      </c>
      <c r="C60" s="58">
        <f>Statement!T101</f>
        <v>0.79978055544137128</v>
      </c>
      <c r="D60" s="58">
        <f>Statement!U101</f>
        <v>0.82021017727186851</v>
      </c>
      <c r="E60" s="58">
        <f>Statement!V101</f>
        <v>0.84766998862257636</v>
      </c>
      <c r="F60" s="58">
        <f>Statement!W101</f>
        <v>0.82094026201265202</v>
      </c>
      <c r="G60" s="58">
        <f>Statement!X101</f>
        <v>0.82202096602972397</v>
      </c>
      <c r="H60" s="58">
        <f>Statement!Y101</f>
        <v>0.83262022850165285</v>
      </c>
      <c r="I60" s="58">
        <f>Statement!Z101</f>
        <v>0.84632316719565504</v>
      </c>
      <c r="J60" s="58">
        <f>Statement!AA101</f>
        <v>0.81612975701631518</v>
      </c>
    </row>
    <row r="61" spans="2:10" x14ac:dyDescent="0.2">
      <c r="B61" s="20" t="s">
        <v>80</v>
      </c>
      <c r="C61" s="58">
        <f>Statement!T102</f>
        <v>-0.32679215691234548</v>
      </c>
      <c r="D61" s="58">
        <f>Statement!U102</f>
        <v>-0.12227162888795527</v>
      </c>
      <c r="E61" s="58">
        <f>Statement!V102</f>
        <v>7.9332744791642082E-2</v>
      </c>
      <c r="F61" s="58">
        <f>Statement!W102</f>
        <v>-4.602045852214097E-2</v>
      </c>
      <c r="G61" s="58">
        <f>Statement!X102</f>
        <v>-5.5801596779900917E-2</v>
      </c>
      <c r="H61" s="58">
        <f>Statement!Y102</f>
        <v>3.1794178242964828E-2</v>
      </c>
      <c r="I61" s="58">
        <f>Statement!Z102</f>
        <v>0.16687763844633313</v>
      </c>
      <c r="J61" s="58">
        <f>Statement!AA102</f>
        <v>6.689341319655244E-2</v>
      </c>
    </row>
    <row r="62" spans="2:10" x14ac:dyDescent="0.2">
      <c r="B62" s="20" t="s">
        <v>81</v>
      </c>
      <c r="C62" s="58">
        <f>Statement!T103</f>
        <v>-0.27224089573853844</v>
      </c>
      <c r="D62" s="58">
        <f>Statement!U103</f>
        <v>-3.0043450922450959E-2</v>
      </c>
      <c r="E62" s="58">
        <f>Statement!V103</f>
        <v>0.12225773405154303</v>
      </c>
      <c r="F62" s="58">
        <f>Statement!W103</f>
        <v>-6.3245883619722734E-2</v>
      </c>
      <c r="G62" s="58">
        <f>Statement!X103</f>
        <v>4.3789808917197451E-3</v>
      </c>
      <c r="H62" s="58">
        <f>Statement!Y103</f>
        <v>0.48366021020984495</v>
      </c>
      <c r="I62" s="58">
        <f>Statement!Z103</f>
        <v>0.2171284142612766</v>
      </c>
      <c r="J62" s="58">
        <f>Statement!AA103</f>
        <v>5.3838358246769698E-2</v>
      </c>
    </row>
    <row r="63" spans="2:10" x14ac:dyDescent="0.2">
      <c r="B63" s="20" t="s">
        <v>398</v>
      </c>
      <c r="C63" s="64">
        <f>Statement!T187</f>
        <v>112251</v>
      </c>
      <c r="D63" s="64">
        <f>Statement!U187</f>
        <v>137174</v>
      </c>
      <c r="E63" s="64">
        <f>Statement!V187</f>
        <v>197609</v>
      </c>
      <c r="F63" s="64">
        <f>Statement!W187</f>
        <v>128286</v>
      </c>
      <c r="G63" s="64">
        <f>Statement!X187</f>
        <v>112161</v>
      </c>
      <c r="H63" s="64">
        <f>Statement!Y187</f>
        <v>150043</v>
      </c>
      <c r="I63" s="64">
        <f>Statement!Z187</f>
        <v>215904</v>
      </c>
      <c r="J63" s="64">
        <f>Statement!AA187</f>
        <v>149309</v>
      </c>
    </row>
    <row r="64" spans="2:10" x14ac:dyDescent="0.2">
      <c r="B64" s="20" t="s">
        <v>399</v>
      </c>
      <c r="C64" s="64">
        <f>Statement!T188</f>
        <v>194673</v>
      </c>
      <c r="D64" s="64">
        <f>Statement!U188</f>
        <v>206922</v>
      </c>
      <c r="E64" s="64">
        <f>Statement!V188</f>
        <v>215221</v>
      </c>
      <c r="F64" s="64">
        <f>Statement!W188</f>
        <v>217303</v>
      </c>
      <c r="G64" s="64">
        <f>Statement!X188</f>
        <v>238363</v>
      </c>
      <c r="H64" s="64">
        <f>Statement!Y188</f>
        <v>247573</v>
      </c>
      <c r="I64" s="64">
        <f>Statement!Z188</f>
        <v>251233</v>
      </c>
      <c r="J64" s="64">
        <f>Statement!AA188</f>
        <v>252903</v>
      </c>
    </row>
    <row r="65" spans="2:10" x14ac:dyDescent="0.2">
      <c r="B65" s="20" t="s">
        <v>400</v>
      </c>
      <c r="C65" s="64">
        <f>Statement!T189</f>
        <v>9329</v>
      </c>
      <c r="D65" s="64">
        <f>Statement!U189</f>
        <v>10557</v>
      </c>
      <c r="E65" s="64">
        <f>Statement!V189</f>
        <v>10816</v>
      </c>
      <c r="F65" s="64">
        <f>Statement!W189</f>
        <v>11035</v>
      </c>
      <c r="G65" s="64">
        <f>Statement!X189</f>
        <v>11204</v>
      </c>
      <c r="H65" s="64">
        <f>Statement!Y189</f>
        <v>13497</v>
      </c>
      <c r="I65" s="64">
        <f>Statement!Z189</f>
        <v>13970</v>
      </c>
      <c r="J65" s="64">
        <f>Statement!AA189</f>
        <v>16170</v>
      </c>
    </row>
    <row r="66" spans="2:10" x14ac:dyDescent="0.2">
      <c r="B66" s="20" t="s">
        <v>310</v>
      </c>
      <c r="C66" s="64">
        <f>Statement!T157</f>
        <v>-49347</v>
      </c>
      <c r="D66" s="64">
        <f>Statement!U157</f>
        <v>-64293</v>
      </c>
      <c r="E66" s="64">
        <f>Statement!V157</f>
        <v>0</v>
      </c>
      <c r="F66" s="64">
        <f>Statement!W157</f>
        <v>29809</v>
      </c>
      <c r="G66" s="64">
        <f>Statement!X157</f>
        <v>-36419</v>
      </c>
      <c r="H66" s="64">
        <f>Statement!Y157</f>
        <v>-46368</v>
      </c>
      <c r="I66" s="64">
        <f>Statement!Z157</f>
        <v>114462</v>
      </c>
      <c r="J66" s="64">
        <f>Statement!AA157</f>
        <v>75934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zoomScale="184" zoomScaleNormal="75" workbookViewId="0">
      <selection activeCell="C5" sqref="C5"/>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136</v>
      </c>
      <c r="O1" s="86"/>
    </row>
    <row r="2" spans="1:31" x14ac:dyDescent="0.2">
      <c r="A2" s="4"/>
      <c r="C2" s="252" t="s">
        <v>137</v>
      </c>
      <c r="D2" s="252"/>
      <c r="E2" s="252"/>
      <c r="F2" s="252"/>
      <c r="G2" s="258"/>
      <c r="H2" s="259" t="s">
        <v>138</v>
      </c>
      <c r="I2" s="252"/>
      <c r="J2" s="252"/>
      <c r="K2" s="252"/>
      <c r="L2" s="252"/>
      <c r="O2" s="5"/>
      <c r="S2" s="252" t="s">
        <v>137</v>
      </c>
      <c r="T2" s="252"/>
      <c r="U2" s="252"/>
      <c r="V2" s="252"/>
      <c r="W2" s="252"/>
      <c r="X2" s="252"/>
      <c r="Y2" s="252"/>
      <c r="Z2" s="252"/>
      <c r="AA2" s="252" t="s">
        <v>138</v>
      </c>
      <c r="AB2" s="252"/>
      <c r="AC2" s="252"/>
      <c r="AE2" s="87" t="s">
        <v>139</v>
      </c>
    </row>
    <row r="3" spans="1:31" ht="10" customHeight="1" x14ac:dyDescent="0.2">
      <c r="O3" s="5"/>
    </row>
    <row r="4" spans="1:31" ht="16" customHeight="1" x14ac:dyDescent="0.2">
      <c r="A4" s="88"/>
      <c r="B4" s="60"/>
      <c r="C4" s="260" t="s">
        <v>140</v>
      </c>
      <c r="D4" s="260"/>
      <c r="E4" s="260"/>
      <c r="F4" s="260"/>
      <c r="G4" s="260"/>
      <c r="H4" s="260"/>
      <c r="I4" s="260"/>
      <c r="J4" s="260"/>
      <c r="K4" s="260"/>
      <c r="L4" s="260"/>
      <c r="O4" s="5"/>
      <c r="S4" s="261" t="s">
        <v>140</v>
      </c>
      <c r="T4" s="262"/>
      <c r="U4" s="262"/>
      <c r="V4" s="262"/>
      <c r="W4" s="262"/>
      <c r="X4" s="262"/>
      <c r="Y4" s="262"/>
      <c r="Z4" s="262"/>
      <c r="AA4" s="262"/>
      <c r="AB4" s="262"/>
      <c r="AC4" s="262"/>
      <c r="AE4" s="89"/>
    </row>
    <row r="5" spans="1:31" x14ac:dyDescent="0.2">
      <c r="B5" s="16" t="s">
        <v>141</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142</v>
      </c>
      <c r="AB5" s="12" t="s">
        <v>143</v>
      </c>
      <c r="AC5" s="12" t="s">
        <v>144</v>
      </c>
      <c r="AE5" s="8" t="s">
        <v>142</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619458</v>
      </c>
      <c r="I6" s="64">
        <f t="shared" ref="I6:L6" si="1">I9*I29</f>
        <v>635587.12800000003</v>
      </c>
      <c r="J6" s="64">
        <f t="shared" si="1"/>
        <v>650363.64191999997</v>
      </c>
      <c r="K6" s="64">
        <f t="shared" si="1"/>
        <v>670640.87808000005</v>
      </c>
      <c r="L6" s="64">
        <f t="shared" si="1"/>
        <v>666363.06051840005</v>
      </c>
      <c r="N6" s="92" t="s">
        <v>163</v>
      </c>
      <c r="O6" s="5"/>
      <c r="Q6" s="92" t="s">
        <v>163</v>
      </c>
      <c r="R6" s="1" t="str">
        <f>B6</f>
        <v>Licenses</v>
      </c>
      <c r="S6" s="90">
        <f>Statement!T187</f>
        <v>112251</v>
      </c>
      <c r="T6" s="90">
        <f>Statement!U187</f>
        <v>137174</v>
      </c>
      <c r="U6" s="90">
        <f>Statement!V187</f>
        <v>197609</v>
      </c>
      <c r="V6" s="90">
        <f>Statement!W187</f>
        <v>128286</v>
      </c>
      <c r="W6" s="90">
        <f>Statement!X187</f>
        <v>112161</v>
      </c>
      <c r="X6" s="90">
        <f>Statement!Y187</f>
        <v>150043</v>
      </c>
      <c r="Y6" s="90">
        <f>Statement!Z187</f>
        <v>215904</v>
      </c>
      <c r="Z6" s="91">
        <f>Statement!AA187</f>
        <v>149309</v>
      </c>
      <c r="AA6" s="64">
        <f>AA9*AA29</f>
        <v>159114.40000000002</v>
      </c>
      <c r="AB6" s="64"/>
      <c r="AC6" s="64"/>
      <c r="AE6" s="64">
        <f>SUM(X6:AA6)</f>
        <v>674370.4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1097325.6000000001</v>
      </c>
      <c r="I7" s="64">
        <f t="shared" ref="I7:L7" si="2">I9-I6-I8</f>
        <v>1234579.8455999999</v>
      </c>
      <c r="J7" s="64">
        <f t="shared" si="2"/>
        <v>1388841.0675840001</v>
      </c>
      <c r="K7" s="64">
        <f t="shared" si="2"/>
        <v>1506706.5060864</v>
      </c>
      <c r="L7" s="64">
        <f t="shared" si="2"/>
        <v>1654008.3109296001</v>
      </c>
      <c r="N7" s="92" t="s">
        <v>164</v>
      </c>
      <c r="O7" s="5"/>
      <c r="Q7" s="92" t="s">
        <v>164</v>
      </c>
      <c r="R7" s="1" t="str">
        <f t="shared" ref="R7:R8" si="3">B7</f>
        <v>Subscription services</v>
      </c>
      <c r="S7" s="90">
        <f>Statement!T188</f>
        <v>194673</v>
      </c>
      <c r="T7" s="90">
        <f>Statement!U188</f>
        <v>206922</v>
      </c>
      <c r="U7" s="90">
        <f>Statement!V188</f>
        <v>215221</v>
      </c>
      <c r="V7" s="90">
        <f>Statement!W188</f>
        <v>217303</v>
      </c>
      <c r="W7" s="90">
        <f>Statement!X188</f>
        <v>238363</v>
      </c>
      <c r="X7" s="90">
        <f>Statement!Y188</f>
        <v>247573</v>
      </c>
      <c r="Y7" s="90">
        <f>Statement!Z188</f>
        <v>251233</v>
      </c>
      <c r="Z7" s="91">
        <f>Statement!AA188</f>
        <v>252903</v>
      </c>
      <c r="AA7" s="64">
        <f>AA9-AA6-AA8</f>
        <v>226738.02</v>
      </c>
      <c r="AB7" s="64"/>
      <c r="AC7" s="64"/>
      <c r="AE7" s="64">
        <f t="shared" ref="AE7:AE8" si="4">SUM(X7:AA7)</f>
        <v>978447.02</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53096.4</v>
      </c>
      <c r="I8" s="64">
        <f t="shared" ref="I8:L8" si="5">I9*I28</f>
        <v>55854.626400000001</v>
      </c>
      <c r="J8" s="64">
        <f t="shared" si="5"/>
        <v>58742.522495999998</v>
      </c>
      <c r="K8" s="64">
        <f t="shared" si="5"/>
        <v>58122.209433600001</v>
      </c>
      <c r="L8" s="64">
        <f t="shared" si="5"/>
        <v>59496.701832000006</v>
      </c>
      <c r="N8" s="92" t="s">
        <v>161</v>
      </c>
      <c r="O8" s="5"/>
      <c r="Q8" s="92" t="s">
        <v>161</v>
      </c>
      <c r="R8" s="1" t="str">
        <f t="shared" si="3"/>
        <v>Professional services</v>
      </c>
      <c r="S8" s="90">
        <f>Statement!T189</f>
        <v>9329</v>
      </c>
      <c r="T8" s="90">
        <f>Statement!U189</f>
        <v>10557</v>
      </c>
      <c r="U8" s="90">
        <f>Statement!V189</f>
        <v>10816</v>
      </c>
      <c r="V8" s="90">
        <f>Statement!W189</f>
        <v>11035</v>
      </c>
      <c r="W8" s="90">
        <f>Statement!X189</f>
        <v>11204</v>
      </c>
      <c r="X8" s="90">
        <f>Statement!Y189</f>
        <v>13497</v>
      </c>
      <c r="Y8" s="90">
        <f>Statement!Z189</f>
        <v>13970</v>
      </c>
      <c r="Z8" s="91">
        <f>Statement!AA189</f>
        <v>16170</v>
      </c>
      <c r="AA8" s="64">
        <f>AA9*AA28</f>
        <v>11933.58</v>
      </c>
      <c r="AB8" s="64"/>
      <c r="AC8" s="64"/>
      <c r="AE8" s="64">
        <f t="shared" si="4"/>
        <v>55570.58</v>
      </c>
    </row>
    <row r="9" spans="1:31" x14ac:dyDescent="0.2">
      <c r="B9" s="16" t="s">
        <v>145</v>
      </c>
      <c r="C9" s="94">
        <f>Statement!M5</f>
        <v>892252</v>
      </c>
      <c r="D9" s="94">
        <f>Statement!N5</f>
        <v>1058581</v>
      </c>
      <c r="E9" s="94">
        <f>Statement!O5</f>
        <v>1308072</v>
      </c>
      <c r="F9" s="94">
        <f>Statement!P5</f>
        <v>1429664</v>
      </c>
      <c r="G9" s="95">
        <f>Statement!Q5</f>
        <v>1610572</v>
      </c>
      <c r="H9" s="96">
        <f>H21*H27</f>
        <v>1769880</v>
      </c>
      <c r="I9" s="96">
        <f t="shared" ref="I9:L9" si="6">I21*I27</f>
        <v>1926021.5999999999</v>
      </c>
      <c r="J9" s="96">
        <f t="shared" si="6"/>
        <v>2097947.2319999998</v>
      </c>
      <c r="K9" s="96">
        <f t="shared" si="6"/>
        <v>2235469.5936000003</v>
      </c>
      <c r="L9" s="96">
        <f t="shared" si="6"/>
        <v>2379868.0732800001</v>
      </c>
      <c r="N9" s="1" t="s">
        <v>153</v>
      </c>
      <c r="O9" s="5"/>
      <c r="Q9" s="1" t="s">
        <v>153</v>
      </c>
      <c r="R9" s="16" t="s">
        <v>145</v>
      </c>
      <c r="S9" s="94">
        <f>Statement!T5</f>
        <v>316253</v>
      </c>
      <c r="T9" s="94">
        <f>Statement!U5</f>
        <v>354653</v>
      </c>
      <c r="U9" s="94">
        <f>Statement!V5</f>
        <v>423646</v>
      </c>
      <c r="V9" s="94">
        <f>Statement!W5</f>
        <v>356624</v>
      </c>
      <c r="W9" s="94">
        <f>Statement!X5</f>
        <v>361728</v>
      </c>
      <c r="X9" s="94">
        <f>Statement!Y5</f>
        <v>411113</v>
      </c>
      <c r="Y9" s="94">
        <f>Statement!Z5</f>
        <v>481107</v>
      </c>
      <c r="Z9" s="95">
        <f>Statement!AA5</f>
        <v>418382</v>
      </c>
      <c r="AA9" s="96">
        <f>AA21*AA27</f>
        <v>397786</v>
      </c>
      <c r="AB9" s="96"/>
      <c r="AC9" s="96"/>
      <c r="AE9" s="96">
        <f>SUM(X9:AA9)</f>
        <v>1708388</v>
      </c>
    </row>
    <row r="10" spans="1:31" x14ac:dyDescent="0.2">
      <c r="O10" s="5"/>
      <c r="Q10" s="93"/>
    </row>
    <row r="11" spans="1:31" x14ac:dyDescent="0.2">
      <c r="C11" s="260" t="s">
        <v>146</v>
      </c>
      <c r="D11" s="260"/>
      <c r="E11" s="260"/>
      <c r="F11" s="260"/>
      <c r="G11" s="260"/>
      <c r="H11" s="260"/>
      <c r="I11" s="260"/>
      <c r="J11" s="260"/>
      <c r="K11" s="260"/>
      <c r="L11" s="260"/>
      <c r="O11" s="5"/>
      <c r="Q11" s="93"/>
      <c r="S11" s="261" t="s">
        <v>146</v>
      </c>
      <c r="T11" s="262"/>
      <c r="U11" s="262"/>
      <c r="V11" s="262"/>
      <c r="W11" s="262"/>
      <c r="X11" s="262"/>
      <c r="Y11" s="262"/>
      <c r="Z11" s="262"/>
      <c r="AA11" s="262"/>
      <c r="AB11" s="262"/>
      <c r="AC11" s="262"/>
    </row>
    <row r="12" spans="1:31" x14ac:dyDescent="0.2">
      <c r="B12" s="16" t="s">
        <v>147</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147</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2.1543748783793948E-2</v>
      </c>
      <c r="I13" s="97">
        <f t="shared" si="9"/>
        <v>2.6037484381507658E-2</v>
      </c>
      <c r="J13" s="97">
        <f t="shared" si="9"/>
        <v>2.3248604745186086E-2</v>
      </c>
      <c r="K13" s="97">
        <f t="shared" si="9"/>
        <v>3.1178305263402706E-2</v>
      </c>
      <c r="L13" s="97">
        <f t="shared" si="9"/>
        <v>-6.3787008836191372E-3</v>
      </c>
      <c r="O13" s="5"/>
      <c r="Q13" s="93"/>
      <c r="R13" s="1" t="str">
        <f>R6</f>
        <v>Licenses</v>
      </c>
      <c r="S13" s="47"/>
      <c r="T13" s="97">
        <f t="shared" ref="T13:AA16" si="10">T6/S6-1</f>
        <v>0.22202920241245061</v>
      </c>
      <c r="U13" s="97">
        <f t="shared" si="10"/>
        <v>0.44057182848061593</v>
      </c>
      <c r="V13" s="97">
        <f t="shared" si="10"/>
        <v>-0.35080892064632685</v>
      </c>
      <c r="W13" s="97">
        <f t="shared" si="10"/>
        <v>-0.12569571114540945</v>
      </c>
      <c r="X13" s="97">
        <f t="shared" si="10"/>
        <v>0.33774663207353717</v>
      </c>
      <c r="Y13" s="97">
        <f t="shared" si="10"/>
        <v>0.4389475017161748</v>
      </c>
      <c r="Z13" s="98">
        <f t="shared" si="10"/>
        <v>-0.30844727286201279</v>
      </c>
      <c r="AA13" s="97">
        <f t="shared" si="10"/>
        <v>6.5671861709609036E-2</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0.14966766966448475</v>
      </c>
      <c r="I14" s="97">
        <f t="shared" si="11"/>
        <v>0.12508069218470785</v>
      </c>
      <c r="J14" s="97">
        <f t="shared" si="11"/>
        <v>0.12495038092010158</v>
      </c>
      <c r="K14" s="97">
        <f t="shared" si="11"/>
        <v>8.4866037773088321E-2</v>
      </c>
      <c r="L14" s="97">
        <f t="shared" si="11"/>
        <v>9.7764099543055538E-2</v>
      </c>
      <c r="O14" s="5"/>
      <c r="Q14" s="93"/>
      <c r="R14" s="1" t="str">
        <f>R7</f>
        <v>Subscription services</v>
      </c>
      <c r="S14" s="47"/>
      <c r="T14" s="97">
        <f t="shared" si="10"/>
        <v>6.2920898121465285E-2</v>
      </c>
      <c r="U14" s="97">
        <f t="shared" si="10"/>
        <v>4.0106900184610605E-2</v>
      </c>
      <c r="V14" s="97">
        <f t="shared" si="10"/>
        <v>9.6737771871704403E-3</v>
      </c>
      <c r="W14" s="97">
        <f t="shared" si="10"/>
        <v>9.6915367022084364E-2</v>
      </c>
      <c r="X14" s="97">
        <f t="shared" si="10"/>
        <v>3.8638547089942632E-2</v>
      </c>
      <c r="Y14" s="97">
        <f t="shared" si="10"/>
        <v>1.4783518396594086E-2</v>
      </c>
      <c r="Z14" s="98">
        <f t="shared" si="10"/>
        <v>6.6472159310282386E-3</v>
      </c>
      <c r="AA14" s="97">
        <f t="shared" si="10"/>
        <v>-0.10345855921044833</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6.8209069327646699E-2</v>
      </c>
      <c r="I15" s="97">
        <f t="shared" si="12"/>
        <v>5.1947521865889135E-2</v>
      </c>
      <c r="J15" s="97">
        <f t="shared" si="12"/>
        <v>5.1703793976142221E-2</v>
      </c>
      <c r="K15" s="97">
        <f t="shared" si="12"/>
        <v>-1.0559864235354155E-2</v>
      </c>
      <c r="L15" s="97">
        <f t="shared" si="12"/>
        <v>2.3648316397370417E-2</v>
      </c>
      <c r="O15" s="5"/>
      <c r="Q15" s="93"/>
      <c r="R15" s="1" t="str">
        <f>R8</f>
        <v>Professional services</v>
      </c>
      <c r="S15" s="47"/>
      <c r="T15" s="97">
        <f t="shared" si="10"/>
        <v>0.13163254368099464</v>
      </c>
      <c r="U15" s="97">
        <f t="shared" si="10"/>
        <v>2.4533484891541057E-2</v>
      </c>
      <c r="V15" s="97">
        <f t="shared" si="10"/>
        <v>2.0247781065088732E-2</v>
      </c>
      <c r="W15" s="97">
        <f t="shared" si="10"/>
        <v>1.531490711372907E-2</v>
      </c>
      <c r="X15" s="97">
        <f t="shared" si="10"/>
        <v>0.20465905033916454</v>
      </c>
      <c r="Y15" s="97">
        <f t="shared" si="10"/>
        <v>3.5044824775876116E-2</v>
      </c>
      <c r="Z15" s="98">
        <f t="shared" si="10"/>
        <v>0.15748031496062986</v>
      </c>
      <c r="AA15" s="97">
        <f t="shared" si="10"/>
        <v>-0.26199257884972171</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9.8913926232419236E-2</v>
      </c>
      <c r="I16" s="107">
        <f t="shared" si="13"/>
        <v>8.8221574344023335E-2</v>
      </c>
      <c r="J16" s="107">
        <f t="shared" si="13"/>
        <v>8.9264643761004514E-2</v>
      </c>
      <c r="K16" s="107">
        <f t="shared" si="13"/>
        <v>6.5550915438849611E-2</v>
      </c>
      <c r="L16" s="107">
        <f t="shared" si="13"/>
        <v>6.4594249053265163E-2</v>
      </c>
      <c r="O16" s="5"/>
      <c r="Q16" s="93"/>
      <c r="R16" s="16" t="str">
        <f>R9</f>
        <v>Total</v>
      </c>
      <c r="S16" s="47"/>
      <c r="T16" s="107">
        <f t="shared" si="10"/>
        <v>0.12142177307408941</v>
      </c>
      <c r="U16" s="107">
        <f t="shared" si="10"/>
        <v>0.1945366315807282</v>
      </c>
      <c r="V16" s="107">
        <f t="shared" si="10"/>
        <v>-0.15820283916288602</v>
      </c>
      <c r="W16" s="107">
        <f t="shared" si="10"/>
        <v>1.4311992462649803E-2</v>
      </c>
      <c r="X16" s="107">
        <f t="shared" si="10"/>
        <v>0.13652523443029008</v>
      </c>
      <c r="Y16" s="107">
        <f t="shared" si="10"/>
        <v>0.17025489342346267</v>
      </c>
      <c r="Z16" s="108">
        <f t="shared" si="10"/>
        <v>-0.13037640275448081</v>
      </c>
      <c r="AA16" s="107">
        <f t="shared" si="10"/>
        <v>-4.9227739243084101E-2</v>
      </c>
      <c r="AB16" s="107"/>
      <c r="AC16" s="107"/>
    </row>
    <row r="17" spans="2:31" x14ac:dyDescent="0.2">
      <c r="O17" s="5"/>
      <c r="Q17" s="93"/>
    </row>
    <row r="18" spans="2:31" x14ac:dyDescent="0.2">
      <c r="O18" s="5"/>
      <c r="Q18" s="93"/>
    </row>
    <row r="19" spans="2:31" x14ac:dyDescent="0.2">
      <c r="C19" s="260" t="s">
        <v>148</v>
      </c>
      <c r="D19" s="260"/>
      <c r="E19" s="260"/>
      <c r="F19" s="260"/>
      <c r="G19" s="260"/>
      <c r="H19" s="260"/>
      <c r="I19" s="260"/>
      <c r="J19" s="260"/>
      <c r="K19" s="260"/>
      <c r="L19" s="260"/>
      <c r="O19" s="5"/>
      <c r="Q19" s="93"/>
      <c r="S19" s="261" t="s">
        <v>148</v>
      </c>
      <c r="T19" s="262"/>
      <c r="U19" s="262"/>
      <c r="V19" s="262"/>
      <c r="W19" s="262"/>
      <c r="X19" s="262"/>
      <c r="Y19" s="262"/>
      <c r="Z19" s="262"/>
      <c r="AA19" s="262"/>
      <c r="AB19" s="262"/>
      <c r="AC19" s="262"/>
      <c r="AE19" s="89">
        <f>AE4</f>
        <v>0</v>
      </c>
    </row>
    <row r="20" spans="2:31" x14ac:dyDescent="0.2">
      <c r="B20" s="16" t="s">
        <v>149</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149</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130</v>
      </c>
      <c r="C21" s="115">
        <f>Statement!M213</f>
        <v>925276</v>
      </c>
      <c r="D21" s="100">
        <f>Statement!N213</f>
        <v>1203845</v>
      </c>
      <c r="E21" s="100">
        <f>Statement!O213</f>
        <v>1463698</v>
      </c>
      <c r="F21" s="100">
        <f>Statement!P213</f>
        <v>1666136</v>
      </c>
      <c r="G21" s="101">
        <f>Statement!Q213</f>
        <v>1852567</v>
      </c>
      <c r="H21" s="109">
        <v>2058000</v>
      </c>
      <c r="I21" s="24">
        <f>(H21*I22)+I24</f>
        <v>2239560</v>
      </c>
      <c r="J21" s="24">
        <f t="shared" ref="J21:L21" si="16">(I21*J22)+J24</f>
        <v>2411433.6</v>
      </c>
      <c r="K21" s="24">
        <f t="shared" si="16"/>
        <v>2569505.2800000003</v>
      </c>
      <c r="L21" s="24">
        <f t="shared" si="16"/>
        <v>2735480.5440000002</v>
      </c>
      <c r="N21" s="92" t="s">
        <v>157</v>
      </c>
      <c r="O21" s="5"/>
      <c r="Q21" s="92" t="s">
        <v>157</v>
      </c>
      <c r="R21" s="1" t="s">
        <v>130</v>
      </c>
      <c r="S21" s="100">
        <f>Statement!T213</f>
        <v>1550605</v>
      </c>
      <c r="T21" s="100">
        <f>Statement!U213</f>
        <v>1606561</v>
      </c>
      <c r="U21" s="100">
        <f>Statement!V213</f>
        <v>1666136</v>
      </c>
      <c r="V21" s="100">
        <f>Statement!W213</f>
        <v>1692683</v>
      </c>
      <c r="W21" s="100">
        <f>Statement!X213</f>
        <v>1723401</v>
      </c>
      <c r="X21" s="100">
        <f>Statement!Y213</f>
        <v>1782384</v>
      </c>
      <c r="Y21" s="100">
        <f>Statement!Z213</f>
        <v>1852567</v>
      </c>
      <c r="Z21" s="102">
        <f>Statement!AA213</f>
        <v>1901211</v>
      </c>
      <c r="AA21" s="111">
        <v>1931000</v>
      </c>
      <c r="AB21" s="111"/>
      <c r="AC21" s="111"/>
      <c r="AE21" s="24">
        <f>AA21</f>
        <v>1931000</v>
      </c>
    </row>
    <row r="22" spans="2:31" x14ac:dyDescent="0.2">
      <c r="B22" s="1" t="s">
        <v>132</v>
      </c>
      <c r="C22" s="116">
        <f>Statement!M215</f>
        <v>1.45</v>
      </c>
      <c r="D22" s="116">
        <f>Statement!N215</f>
        <v>1.23</v>
      </c>
      <c r="E22" s="116">
        <f>Statement!O215</f>
        <v>1.19</v>
      </c>
      <c r="F22" s="116">
        <f>Statement!P215</f>
        <v>1.1000000000000001</v>
      </c>
      <c r="G22" s="117">
        <f>Statement!Q215</f>
        <v>1.07</v>
      </c>
      <c r="H22" s="118">
        <v>1.07</v>
      </c>
      <c r="I22" s="118">
        <v>1.07</v>
      </c>
      <c r="J22" s="118">
        <v>1.06</v>
      </c>
      <c r="K22" s="118">
        <v>1.05</v>
      </c>
      <c r="L22" s="118">
        <v>1.05</v>
      </c>
      <c r="N22" s="92"/>
      <c r="O22" s="5"/>
      <c r="Q22" s="92"/>
      <c r="R22" s="1" t="s">
        <v>132</v>
      </c>
      <c r="S22" s="116">
        <f>Statement!T215</f>
        <v>1.1499999999999999</v>
      </c>
      <c r="T22" s="116">
        <f>Statement!U215</f>
        <v>1.1299999999999999</v>
      </c>
      <c r="U22" s="116">
        <f>Statement!V215</f>
        <v>1.1000000000000001</v>
      </c>
      <c r="V22" s="116">
        <f>Statement!W215</f>
        <v>1.08</v>
      </c>
      <c r="W22" s="116">
        <f>Statement!X215</f>
        <v>1.08</v>
      </c>
      <c r="X22" s="116">
        <f>Statement!Y215</f>
        <v>1.07</v>
      </c>
      <c r="Y22" s="116">
        <f>Statement!Z215</f>
        <v>1.07</v>
      </c>
      <c r="Z22" s="119">
        <f>Statement!AA215</f>
        <v>1.0900000000000001</v>
      </c>
      <c r="AA22" s="118">
        <v>1.07</v>
      </c>
      <c r="AB22" s="99"/>
      <c r="AC22" s="99"/>
      <c r="AE22" s="124">
        <f>AA22</f>
        <v>1.07</v>
      </c>
    </row>
    <row r="23" spans="2:31" x14ac:dyDescent="0.2">
      <c r="B23" s="1" t="s">
        <v>131</v>
      </c>
      <c r="C23" s="103">
        <f>Statement!M214</f>
        <v>344793</v>
      </c>
      <c r="D23" s="103">
        <f>Statement!N214</f>
        <v>278569</v>
      </c>
      <c r="E23" s="103">
        <f>Statement!O214</f>
        <v>259853</v>
      </c>
      <c r="F23" s="103">
        <f>Statement!P214</f>
        <v>202438</v>
      </c>
      <c r="G23" s="104">
        <f>Statement!Q214</f>
        <v>186431</v>
      </c>
      <c r="H23" s="24">
        <f>H21-G21</f>
        <v>205433</v>
      </c>
      <c r="I23" s="24">
        <f>I21-H21</f>
        <v>181560</v>
      </c>
      <c r="J23" s="24">
        <f>J21-I21</f>
        <v>171873.60000000009</v>
      </c>
      <c r="K23" s="24">
        <f>K21-J21</f>
        <v>158071.68000000017</v>
      </c>
      <c r="L23" s="24">
        <f>L21-K21</f>
        <v>165975.26399999997</v>
      </c>
      <c r="N23" s="92" t="s">
        <v>158</v>
      </c>
      <c r="O23" s="5"/>
      <c r="Q23" s="92" t="s">
        <v>158</v>
      </c>
      <c r="R23" s="1" t="s">
        <v>131</v>
      </c>
      <c r="S23" s="103">
        <f>Statement!T214</f>
        <v>43000</v>
      </c>
      <c r="T23" s="103">
        <f>Statement!U214</f>
        <v>56000</v>
      </c>
      <c r="U23" s="103">
        <f>Statement!V214</f>
        <v>60000</v>
      </c>
      <c r="V23" s="103">
        <f>Statement!W214</f>
        <v>27000</v>
      </c>
      <c r="W23" s="103">
        <f>Statement!X214</f>
        <v>31000</v>
      </c>
      <c r="X23" s="103">
        <f>Statement!Y214</f>
        <v>59000</v>
      </c>
      <c r="Y23" s="103">
        <f>Statement!Z214</f>
        <v>70000</v>
      </c>
      <c r="Z23" s="105">
        <f>Statement!AA214</f>
        <v>49000</v>
      </c>
      <c r="AA23" s="24">
        <f>AA21-Z21</f>
        <v>29789</v>
      </c>
      <c r="AB23" s="24"/>
      <c r="AC23" s="24"/>
      <c r="AE23" s="24">
        <f>SUM(X23:AA23)</f>
        <v>207789</v>
      </c>
    </row>
    <row r="24" spans="2:31" x14ac:dyDescent="0.2">
      <c r="B24" s="1" t="s">
        <v>154</v>
      </c>
      <c r="C24" s="47"/>
      <c r="D24" s="47"/>
      <c r="E24" s="47"/>
      <c r="F24" s="47"/>
      <c r="G24" s="110"/>
      <c r="H24" s="64">
        <f>H25*H26</f>
        <v>37500</v>
      </c>
      <c r="I24" s="64">
        <f t="shared" ref="I24:L24" si="17">I25*I26</f>
        <v>37500</v>
      </c>
      <c r="J24" s="64">
        <f t="shared" si="17"/>
        <v>37500</v>
      </c>
      <c r="K24" s="64">
        <f t="shared" si="17"/>
        <v>37500</v>
      </c>
      <c r="L24" s="64">
        <f t="shared" si="17"/>
        <v>37500</v>
      </c>
      <c r="N24" s="92" t="s">
        <v>159</v>
      </c>
      <c r="O24" s="5"/>
      <c r="Q24" s="92" t="s">
        <v>159</v>
      </c>
      <c r="R24" s="1" t="s">
        <v>154</v>
      </c>
      <c r="S24" s="47"/>
      <c r="T24" s="47"/>
      <c r="U24" s="47"/>
      <c r="V24" s="47"/>
      <c r="W24" s="47"/>
      <c r="X24" s="47"/>
      <c r="Y24" s="47"/>
      <c r="Z24" s="110"/>
      <c r="AA24" s="24">
        <f>AA25*AA26</f>
        <v>11250</v>
      </c>
      <c r="AB24" s="24"/>
      <c r="AC24" s="24"/>
      <c r="AE24" s="47"/>
    </row>
    <row r="25" spans="2:31" x14ac:dyDescent="0.2">
      <c r="B25" s="1" t="s">
        <v>155</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155</v>
      </c>
      <c r="S25" s="47"/>
      <c r="T25" s="120">
        <f>Statement!U217-Statement!T217</f>
        <v>72</v>
      </c>
      <c r="U25" s="120">
        <f>Statement!V217-Statement!U217</f>
        <v>57</v>
      </c>
      <c r="V25" s="120">
        <f>Statement!W217-Statement!V217</f>
        <v>73</v>
      </c>
      <c r="W25" s="120">
        <f>Statement!X217-Statement!W217</f>
        <v>67</v>
      </c>
      <c r="X25" s="120">
        <f>Statement!Y217-Statement!X217</f>
        <v>74</v>
      </c>
      <c r="Y25" s="120">
        <f>Statement!Z217-Statement!Y217</f>
        <v>59</v>
      </c>
      <c r="Z25" s="121">
        <f>Statement!AA217-Statement!Z217</f>
        <v>59</v>
      </c>
      <c r="AA25" s="106">
        <v>75</v>
      </c>
      <c r="AB25" s="106"/>
      <c r="AC25" s="106"/>
      <c r="AE25" s="120">
        <f>SUM(X25:AA25)</f>
        <v>267</v>
      </c>
    </row>
    <row r="26" spans="2:31" x14ac:dyDescent="0.2">
      <c r="B26" s="1" t="s">
        <v>156</v>
      </c>
      <c r="C26" s="47"/>
      <c r="D26" s="47"/>
      <c r="E26" s="47"/>
      <c r="F26" s="47"/>
      <c r="G26" s="110"/>
      <c r="H26" s="111">
        <v>150</v>
      </c>
      <c r="I26" s="111">
        <v>150</v>
      </c>
      <c r="J26" s="111">
        <v>150</v>
      </c>
      <c r="K26" s="111">
        <v>150</v>
      </c>
      <c r="L26" s="111">
        <v>150</v>
      </c>
      <c r="N26" s="92"/>
      <c r="O26" s="5"/>
      <c r="R26" s="1" t="s">
        <v>156</v>
      </c>
      <c r="S26" s="47"/>
      <c r="T26" s="47"/>
      <c r="U26" s="47"/>
      <c r="V26" s="47"/>
      <c r="W26" s="47"/>
      <c r="X26" s="47"/>
      <c r="Y26" s="47"/>
      <c r="Z26" s="110"/>
      <c r="AA26" s="111">
        <v>150</v>
      </c>
      <c r="AB26" s="111"/>
      <c r="AC26" s="111"/>
      <c r="AE26" s="47"/>
    </row>
    <row r="27" spans="2:31" x14ac:dyDescent="0.2">
      <c r="B27" s="1" t="s">
        <v>152</v>
      </c>
      <c r="C27" s="112">
        <f>C9/C21</f>
        <v>0.96430902779278826</v>
      </c>
      <c r="D27" s="112">
        <f t="shared" ref="D27:G27" si="18">D9/D21</f>
        <v>0.87933330287537015</v>
      </c>
      <c r="E27" s="112">
        <f t="shared" si="18"/>
        <v>0.89367615450728222</v>
      </c>
      <c r="F27" s="112">
        <f t="shared" si="18"/>
        <v>0.85807161000062415</v>
      </c>
      <c r="G27" s="113">
        <f t="shared" si="18"/>
        <v>0.86937314547867905</v>
      </c>
      <c r="H27" s="114">
        <v>0.86</v>
      </c>
      <c r="I27" s="114">
        <v>0.86</v>
      </c>
      <c r="J27" s="114">
        <v>0.87</v>
      </c>
      <c r="K27" s="114">
        <v>0.87</v>
      </c>
      <c r="L27" s="114">
        <v>0.87</v>
      </c>
      <c r="N27" s="92"/>
      <c r="O27" s="5"/>
      <c r="R27" s="1" t="s">
        <v>152</v>
      </c>
      <c r="S27" s="122">
        <f>S9/S21</f>
        <v>0.20395458546825271</v>
      </c>
      <c r="T27" s="122">
        <f t="shared" ref="T27:Z27" si="19">T9/T21</f>
        <v>0.22075290013886806</v>
      </c>
      <c r="U27" s="122">
        <f t="shared" si="19"/>
        <v>0.25426855910922036</v>
      </c>
      <c r="V27" s="122">
        <f t="shared" si="19"/>
        <v>0.2106856393075372</v>
      </c>
      <c r="W27" s="122">
        <f t="shared" si="19"/>
        <v>0.2098919520181316</v>
      </c>
      <c r="X27" s="122">
        <f t="shared" si="19"/>
        <v>0.23065343943841507</v>
      </c>
      <c r="Y27" s="122">
        <f t="shared" si="19"/>
        <v>0.25969749002330278</v>
      </c>
      <c r="Z27" s="123">
        <f t="shared" si="19"/>
        <v>0.22006079283151633</v>
      </c>
      <c r="AA27" s="114">
        <v>0.20599999999999999</v>
      </c>
      <c r="AB27" s="106"/>
      <c r="AC27" s="106"/>
      <c r="AE27" s="47"/>
    </row>
    <row r="28" spans="2:31" x14ac:dyDescent="0.2">
      <c r="B28" s="1" t="s">
        <v>160</v>
      </c>
      <c r="C28" s="97">
        <f>C8/C9</f>
        <v>4.5904071943800633E-2</v>
      </c>
      <c r="D28" s="97">
        <f t="shared" ref="D28:G28" si="20">D8/D9</f>
        <v>4.904867931693465E-2</v>
      </c>
      <c r="E28" s="97">
        <f t="shared" si="20"/>
        <v>2.8103957580316679E-2</v>
      </c>
      <c r="F28" s="97">
        <f t="shared" si="20"/>
        <v>2.8366805067484388E-2</v>
      </c>
      <c r="G28" s="98">
        <f t="shared" si="20"/>
        <v>3.0862327173203061E-2</v>
      </c>
      <c r="H28" s="99">
        <v>0.03</v>
      </c>
      <c r="I28" s="99">
        <v>2.9000000000000001E-2</v>
      </c>
      <c r="J28" s="99">
        <v>2.8000000000000001E-2</v>
      </c>
      <c r="K28" s="99">
        <v>2.5999999999999999E-2</v>
      </c>
      <c r="L28" s="99">
        <v>2.5000000000000001E-2</v>
      </c>
      <c r="N28" s="92"/>
      <c r="O28" s="5"/>
      <c r="R28" s="1" t="s">
        <v>160</v>
      </c>
      <c r="S28" s="97">
        <f>S8/S9</f>
        <v>2.9498534401254693E-2</v>
      </c>
      <c r="T28" s="97">
        <f t="shared" ref="T28:Z28" si="21">T8/T9</f>
        <v>2.9767124485060043E-2</v>
      </c>
      <c r="U28" s="97">
        <f t="shared" si="21"/>
        <v>2.5530749729727176E-2</v>
      </c>
      <c r="V28" s="97">
        <f t="shared" si="21"/>
        <v>3.0942953923460002E-2</v>
      </c>
      <c r="W28" s="97">
        <f t="shared" si="21"/>
        <v>3.0973549186128803E-2</v>
      </c>
      <c r="X28" s="97">
        <f t="shared" si="21"/>
        <v>3.2830389698209492E-2</v>
      </c>
      <c r="Y28" s="97">
        <f t="shared" si="21"/>
        <v>2.9037199625031439E-2</v>
      </c>
      <c r="Z28" s="98">
        <f t="shared" si="21"/>
        <v>3.864889024862446E-2</v>
      </c>
      <c r="AA28" s="99">
        <v>0.03</v>
      </c>
      <c r="AB28" s="99"/>
      <c r="AC28" s="99"/>
      <c r="AE28" s="47"/>
    </row>
    <row r="29" spans="2:31" x14ac:dyDescent="0.2">
      <c r="B29" s="1" t="s">
        <v>162</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162</v>
      </c>
      <c r="S29" s="97">
        <f>S6/S9</f>
        <v>0.35494050649321901</v>
      </c>
      <c r="T29" s="97">
        <f t="shared" ref="T29:Z29" si="23">T6/T9</f>
        <v>0.38678370125164596</v>
      </c>
      <c r="U29" s="97">
        <f t="shared" si="23"/>
        <v>0.46644840267581894</v>
      </c>
      <c r="V29" s="97">
        <f t="shared" si="23"/>
        <v>0.35972340616447573</v>
      </c>
      <c r="W29" s="97">
        <f t="shared" si="23"/>
        <v>0.31006999734607221</v>
      </c>
      <c r="X29" s="97">
        <f t="shared" si="23"/>
        <v>0.36496778258045842</v>
      </c>
      <c r="Y29" s="97">
        <f t="shared" si="23"/>
        <v>0.44876503563656317</v>
      </c>
      <c r="Z29" s="98">
        <f t="shared" si="23"/>
        <v>0.35687242759009707</v>
      </c>
      <c r="AA29" s="99">
        <v>0.4</v>
      </c>
      <c r="AB29" s="99"/>
      <c r="AC29" s="99"/>
      <c r="AE29" s="47"/>
    </row>
    <row r="30" spans="2:31" x14ac:dyDescent="0.2">
      <c r="O30" s="5"/>
    </row>
    <row r="31" spans="2:31" x14ac:dyDescent="0.2">
      <c r="O31" s="5"/>
    </row>
    <row r="32" spans="2:31" x14ac:dyDescent="0.2">
      <c r="C32" s="260" t="s">
        <v>150</v>
      </c>
      <c r="D32" s="260"/>
      <c r="E32" s="260"/>
      <c r="F32" s="260"/>
      <c r="G32" s="260"/>
      <c r="H32" s="260"/>
      <c r="I32" s="260"/>
      <c r="J32" s="260"/>
      <c r="K32" s="260"/>
      <c r="L32" s="260"/>
      <c r="O32" s="5"/>
      <c r="S32" s="261" t="s">
        <v>150</v>
      </c>
      <c r="T32" s="262"/>
      <c r="U32" s="262"/>
      <c r="V32" s="262"/>
      <c r="W32" s="262"/>
      <c r="X32" s="262"/>
      <c r="Y32" s="262"/>
      <c r="Z32" s="262"/>
      <c r="AA32" s="262"/>
      <c r="AB32" s="262"/>
      <c r="AC32" s="262"/>
    </row>
    <row r="33" spans="2:29" x14ac:dyDescent="0.2">
      <c r="B33" s="16" t="s">
        <v>151</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151</v>
      </c>
      <c r="S33" s="12" t="str">
        <f t="shared" ref="S33:AC33" si="25">S5</f>
        <v>Q2 2025</v>
      </c>
      <c r="T33" s="12" t="str">
        <f t="shared" si="25"/>
        <v>Q3 2025</v>
      </c>
      <c r="U33" s="12" t="str">
        <f t="shared" si="25"/>
        <v>Q4 2025</v>
      </c>
      <c r="V33" s="12" t="str">
        <f t="shared" si="25"/>
        <v>Q1 2026</v>
      </c>
      <c r="W33" s="12" t="str">
        <f t="shared" si="25"/>
        <v>Q2 2026</v>
      </c>
      <c r="X33" s="12" t="str">
        <f t="shared" si="25"/>
        <v>Q3 2026</v>
      </c>
      <c r="Y33" s="12" t="str">
        <f t="shared" si="25"/>
        <v>Q4 2026</v>
      </c>
      <c r="Z33" s="12" t="str">
        <f t="shared" si="25"/>
        <v>Q1 2027</v>
      </c>
      <c r="AA33" s="12" t="str">
        <f t="shared" si="25"/>
        <v>FQ1</v>
      </c>
      <c r="AB33" s="12" t="str">
        <f t="shared" si="25"/>
        <v>FQ2</v>
      </c>
      <c r="AC33" s="12" t="str">
        <f t="shared" si="25"/>
        <v>FQ3</v>
      </c>
    </row>
    <row r="34" spans="2:29" x14ac:dyDescent="0.2">
      <c r="B34" s="1" t="s">
        <v>130</v>
      </c>
      <c r="C34" s="47"/>
      <c r="D34" s="97">
        <f>D21/C21-1</f>
        <v>0.30106584413731685</v>
      </c>
      <c r="E34" s="97">
        <f t="shared" ref="E34:L34" si="26">E21/D21-1</f>
        <v>0.21585253915578839</v>
      </c>
      <c r="F34" s="97">
        <f t="shared" si="26"/>
        <v>0.13830585271005358</v>
      </c>
      <c r="G34" s="98">
        <f t="shared" si="26"/>
        <v>0.11189422712191566</v>
      </c>
      <c r="H34" s="97">
        <f t="shared" si="26"/>
        <v>0.11089099611512032</v>
      </c>
      <c r="I34" s="97">
        <f t="shared" si="26"/>
        <v>8.8221574344023335E-2</v>
      </c>
      <c r="J34" s="97">
        <f t="shared" si="26"/>
        <v>7.6744360499383824E-2</v>
      </c>
      <c r="K34" s="97">
        <f t="shared" si="26"/>
        <v>6.5550915438849389E-2</v>
      </c>
      <c r="L34" s="97">
        <f t="shared" si="26"/>
        <v>6.4594249053265163E-2</v>
      </c>
      <c r="O34" s="5"/>
      <c r="R34" s="1" t="str">
        <f>B34</f>
        <v>ARR</v>
      </c>
      <c r="S34" s="47"/>
      <c r="T34" s="97">
        <f>T21/S21-1</f>
        <v>3.6086559762157355E-2</v>
      </c>
      <c r="U34" s="97">
        <f t="shared" ref="U34:AA34" si="27">U21/T21-1</f>
        <v>3.708231433478093E-2</v>
      </c>
      <c r="V34" s="97">
        <f t="shared" si="27"/>
        <v>1.5933273154172367E-2</v>
      </c>
      <c r="W34" s="97">
        <f t="shared" si="27"/>
        <v>1.8147520829357999E-2</v>
      </c>
      <c r="X34" s="97">
        <f t="shared" si="27"/>
        <v>3.4224768350488377E-2</v>
      </c>
      <c r="Y34" s="97">
        <f t="shared" si="27"/>
        <v>3.9375914505516141E-2</v>
      </c>
      <c r="Z34" s="98">
        <f t="shared" si="27"/>
        <v>2.625761983237318E-2</v>
      </c>
      <c r="AA34" s="97">
        <f t="shared" si="27"/>
        <v>1.5668434487281946E-2</v>
      </c>
    </row>
    <row r="35" spans="2:29" x14ac:dyDescent="0.2">
      <c r="B35" s="1" t="s">
        <v>131</v>
      </c>
      <c r="C35" s="47"/>
      <c r="D35" s="97">
        <f>D23/C23-1</f>
        <v>-0.19206886450711003</v>
      </c>
      <c r="E35" s="97">
        <f t="shared" ref="E35:L35" si="28">E23/D23-1</f>
        <v>-6.7186226751720368E-2</v>
      </c>
      <c r="F35" s="97">
        <f t="shared" si="28"/>
        <v>-0.22095184585130823</v>
      </c>
      <c r="G35" s="98">
        <f t="shared" si="28"/>
        <v>-7.9071123010502009E-2</v>
      </c>
      <c r="H35" s="97">
        <f t="shared" si="28"/>
        <v>0.10192510902156826</v>
      </c>
      <c r="I35" s="97">
        <f t="shared" si="28"/>
        <v>-0.11620820413468136</v>
      </c>
      <c r="J35" s="97">
        <f t="shared" si="28"/>
        <v>-5.3350958360871892E-2</v>
      </c>
      <c r="K35" s="97">
        <f t="shared" si="28"/>
        <v>-8.0302734102270068E-2</v>
      </c>
      <c r="L35" s="97">
        <f t="shared" si="28"/>
        <v>4.9999999999998712E-2</v>
      </c>
      <c r="O35" s="5"/>
      <c r="R35" s="1" t="str">
        <f>B35</f>
        <v>New ARR</v>
      </c>
      <c r="S35" s="47"/>
      <c r="T35" s="97">
        <f>T23/S23-1</f>
        <v>0.30232558139534893</v>
      </c>
      <c r="U35" s="97">
        <f t="shared" ref="U35:AA35" si="29">U23/T23-1</f>
        <v>7.1428571428571397E-2</v>
      </c>
      <c r="V35" s="97">
        <f t="shared" si="29"/>
        <v>-0.55000000000000004</v>
      </c>
      <c r="W35" s="97">
        <f t="shared" si="29"/>
        <v>0.14814814814814814</v>
      </c>
      <c r="X35" s="97">
        <f t="shared" si="29"/>
        <v>0.90322580645161299</v>
      </c>
      <c r="Y35" s="97">
        <f t="shared" si="29"/>
        <v>0.18644067796610164</v>
      </c>
      <c r="Z35" s="98">
        <f t="shared" si="29"/>
        <v>-0.30000000000000004</v>
      </c>
      <c r="AA35" s="97">
        <f t="shared" si="29"/>
        <v>-0.39206122448979597</v>
      </c>
    </row>
  </sheetData>
  <mergeCells count="12">
    <mergeCell ref="C11:L11"/>
    <mergeCell ref="S11:AC11"/>
    <mergeCell ref="C19:L19"/>
    <mergeCell ref="S19:AC19"/>
    <mergeCell ref="C32:L32"/>
    <mergeCell ref="S32:AC3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165</v>
      </c>
    </row>
    <row r="2" spans="1:28" x14ac:dyDescent="0.2">
      <c r="A2" s="4"/>
      <c r="C2" s="252" t="s">
        <v>137</v>
      </c>
      <c r="D2" s="252"/>
      <c r="E2" s="252"/>
      <c r="F2" s="252"/>
      <c r="G2" s="258"/>
      <c r="H2" s="259" t="s">
        <v>138</v>
      </c>
      <c r="I2" s="252"/>
      <c r="J2" s="252"/>
      <c r="K2" s="252"/>
      <c r="L2" s="252"/>
      <c r="P2" s="252" t="s">
        <v>137</v>
      </c>
      <c r="Q2" s="252"/>
      <c r="R2" s="252"/>
      <c r="S2" s="252"/>
      <c r="T2" s="252"/>
      <c r="U2" s="252"/>
      <c r="V2" s="252"/>
      <c r="W2" s="252"/>
      <c r="X2" s="252" t="s">
        <v>138</v>
      </c>
      <c r="Y2" s="252"/>
      <c r="Z2" s="252"/>
      <c r="AB2" s="87" t="s">
        <v>139</v>
      </c>
    </row>
    <row r="3" spans="1:28" ht="10" customHeight="1" x14ac:dyDescent="0.2"/>
    <row r="4" spans="1:28" ht="16" customHeight="1" x14ac:dyDescent="0.2">
      <c r="A4" s="88"/>
      <c r="B4" s="60"/>
      <c r="C4" s="260" t="s">
        <v>140</v>
      </c>
      <c r="D4" s="260"/>
      <c r="E4" s="260"/>
      <c r="F4" s="260"/>
      <c r="G4" s="260"/>
      <c r="H4" s="260"/>
      <c r="I4" s="260"/>
      <c r="J4" s="260"/>
      <c r="K4" s="260"/>
      <c r="L4" s="260"/>
      <c r="P4" s="262" t="s">
        <v>140</v>
      </c>
      <c r="Q4" s="262"/>
      <c r="R4" s="262"/>
      <c r="S4" s="262"/>
      <c r="T4" s="262"/>
      <c r="U4" s="262"/>
      <c r="V4" s="262"/>
      <c r="W4" s="262"/>
      <c r="X4" s="262"/>
      <c r="Y4" s="262"/>
      <c r="Z4" s="262"/>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141</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142</v>
      </c>
      <c r="Y5" s="12" t="s">
        <v>143</v>
      </c>
      <c r="Z5" s="12" t="s">
        <v>144</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c r="O6" s="16" t="s">
        <v>20</v>
      </c>
      <c r="P6" s="94">
        <f>Revenue!S9</f>
        <v>316253</v>
      </c>
      <c r="Q6" s="94">
        <f>Revenue!T9</f>
        <v>354653</v>
      </c>
      <c r="R6" s="94">
        <f>Revenue!U9</f>
        <v>423646</v>
      </c>
      <c r="S6" s="94">
        <f>Revenue!V9</f>
        <v>356624</v>
      </c>
      <c r="T6" s="94">
        <f>Revenue!W9</f>
        <v>361728</v>
      </c>
      <c r="U6" s="94">
        <f>Revenue!X9</f>
        <v>411113</v>
      </c>
      <c r="V6" s="94">
        <f>Revenue!Y9</f>
        <v>481107</v>
      </c>
      <c r="W6" s="95">
        <f>Revenue!Z9</f>
        <v>418382</v>
      </c>
      <c r="X6" s="94">
        <f>Revenue!AA9</f>
        <v>397786</v>
      </c>
      <c r="Y6" s="96"/>
      <c r="Z6" s="96"/>
      <c r="AB6" s="94">
        <f>Revenue!AE9</f>
        <v>1708388</v>
      </c>
    </row>
    <row r="7" spans="1:28" x14ac:dyDescent="0.2">
      <c r="N7" s="93"/>
    </row>
    <row r="8" spans="1:28" x14ac:dyDescent="0.2">
      <c r="N8" s="93"/>
    </row>
    <row r="9" spans="1:28" x14ac:dyDescent="0.2">
      <c r="C9" s="260" t="s">
        <v>166</v>
      </c>
      <c r="D9" s="260"/>
      <c r="E9" s="260"/>
      <c r="F9" s="260"/>
      <c r="G9" s="260"/>
      <c r="H9" s="260"/>
      <c r="I9" s="260"/>
      <c r="J9" s="260"/>
      <c r="K9" s="260"/>
      <c r="L9" s="260"/>
      <c r="N9" s="93"/>
      <c r="P9" s="262" t="s">
        <v>167</v>
      </c>
      <c r="Q9" s="262"/>
      <c r="R9" s="262"/>
      <c r="S9" s="262"/>
      <c r="T9" s="262"/>
      <c r="U9" s="262"/>
      <c r="V9" s="262"/>
      <c r="W9" s="262"/>
      <c r="X9" s="262"/>
      <c r="Y9" s="262"/>
      <c r="Z9" s="262"/>
      <c r="AB9" s="89">
        <f>AB4</f>
        <v>0</v>
      </c>
    </row>
    <row r="10" spans="1:28" x14ac:dyDescent="0.2">
      <c r="B10" s="16" t="s">
        <v>171</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168</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5309.64</v>
      </c>
      <c r="I11" s="25">
        <f t="shared" ref="I11:L11" si="3">I6*I23</f>
        <v>5778.0648000000001</v>
      </c>
      <c r="J11" s="25">
        <f t="shared" si="3"/>
        <v>4195.894464</v>
      </c>
      <c r="K11" s="25">
        <f t="shared" si="3"/>
        <v>4470.9391872000006</v>
      </c>
      <c r="L11" s="25">
        <f t="shared" si="3"/>
        <v>4759.7361465600006</v>
      </c>
      <c r="N11" s="93"/>
      <c r="O11" s="39" t="str">
        <f>B11</f>
        <v>Licenses COGS</v>
      </c>
      <c r="P11" s="128">
        <f>Statement!T191</f>
        <v>2393</v>
      </c>
      <c r="Q11" s="128">
        <f>Statement!U191</f>
        <v>2340</v>
      </c>
      <c r="R11" s="128">
        <f>Statement!V191</f>
        <v>1231</v>
      </c>
      <c r="S11" s="128">
        <f>Statement!W191</f>
        <v>1268</v>
      </c>
      <c r="T11" s="128">
        <f>Statement!X191</f>
        <v>1200</v>
      </c>
      <c r="U11" s="128">
        <f>Statement!Y191</f>
        <v>1311</v>
      </c>
      <c r="V11" s="128">
        <f>Statement!Z191</f>
        <v>1555</v>
      </c>
      <c r="W11" s="129">
        <f>Statement!AA191</f>
        <v>1664</v>
      </c>
      <c r="X11" s="25">
        <f>X23*X$6</f>
        <v>1193.3579999999999</v>
      </c>
      <c r="Y11" s="25"/>
      <c r="Z11" s="25"/>
      <c r="AB11" s="24">
        <f>SUM(U11:X11)</f>
        <v>5723.3580000000002</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176988</v>
      </c>
      <c r="I12" s="25">
        <f t="shared" ref="I12:L12" si="4">I6*I24</f>
        <v>192602.16</v>
      </c>
      <c r="J12" s="25">
        <f t="shared" si="4"/>
        <v>188815.25087999998</v>
      </c>
      <c r="K12" s="25">
        <f t="shared" si="4"/>
        <v>201192.263424</v>
      </c>
      <c r="L12" s="25">
        <f t="shared" si="4"/>
        <v>190389.44586240003</v>
      </c>
      <c r="N12" s="93"/>
      <c r="O12" s="39" t="str">
        <f t="shared" ref="O12:O18" si="5">B12</f>
        <v>Subscription services COGS</v>
      </c>
      <c r="P12" s="128">
        <f>Statement!T192</f>
        <v>43529</v>
      </c>
      <c r="Q12" s="128">
        <f>Statement!U192</f>
        <v>43487</v>
      </c>
      <c r="R12" s="128">
        <f>Statement!V192</f>
        <v>43860</v>
      </c>
      <c r="S12" s="128">
        <f>Statement!W192</f>
        <v>38468</v>
      </c>
      <c r="T12" s="128">
        <f>Statement!X192</f>
        <v>38229</v>
      </c>
      <c r="U12" s="128">
        <f>Statement!Y192</f>
        <v>40121</v>
      </c>
      <c r="V12" s="128">
        <f>Statement!Z192</f>
        <v>40770</v>
      </c>
      <c r="W12" s="129">
        <f>Statement!AA192</f>
        <v>43988</v>
      </c>
      <c r="X12" s="25">
        <f>X24*X$6</f>
        <v>34607.381999999998</v>
      </c>
      <c r="Y12" s="25"/>
      <c r="Z12" s="25"/>
      <c r="AB12" s="24">
        <f>SUM(U12:X12)</f>
        <v>159486.38199999998</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97343.4</v>
      </c>
      <c r="I13" s="25">
        <f t="shared" ref="I13:L13" si="6">I6*I25</f>
        <v>105931.18799999999</v>
      </c>
      <c r="J13" s="25">
        <f t="shared" si="6"/>
        <v>104897.3616</v>
      </c>
      <c r="K13" s="25">
        <f t="shared" si="6"/>
        <v>111773.47968000002</v>
      </c>
      <c r="L13" s="25">
        <f t="shared" si="6"/>
        <v>107094.06329760001</v>
      </c>
      <c r="N13" s="93"/>
      <c r="O13" s="39" t="str">
        <f t="shared" si="5"/>
        <v>Professional services COGS</v>
      </c>
      <c r="P13" s="128">
        <f>Statement!T193</f>
        <v>17398</v>
      </c>
      <c r="Q13" s="128">
        <f>Statement!U193</f>
        <v>17936</v>
      </c>
      <c r="R13" s="128">
        <f>Statement!V193</f>
        <v>19443</v>
      </c>
      <c r="S13" s="128">
        <f>Statement!W193</f>
        <v>24121</v>
      </c>
      <c r="T13" s="128">
        <f>Statement!X193</f>
        <v>24951</v>
      </c>
      <c r="U13" s="128">
        <f>Statement!Y193</f>
        <v>27380</v>
      </c>
      <c r="V13" s="128">
        <f>Statement!Z193</f>
        <v>31610</v>
      </c>
      <c r="W13" s="129">
        <f>Statement!AA193</f>
        <v>31276</v>
      </c>
      <c r="X13" s="25">
        <f>X25*X$6</f>
        <v>26651.662</v>
      </c>
      <c r="Y13" s="25"/>
      <c r="Z13" s="25"/>
      <c r="AB13" s="24">
        <f>SUM(U13:X13)</f>
        <v>116917.662</v>
      </c>
    </row>
    <row r="14" spans="1:28" x14ac:dyDescent="0.2">
      <c r="B14" s="16" t="s">
        <v>21</v>
      </c>
      <c r="C14" s="125">
        <f>Statement!M6</f>
        <v>168868</v>
      </c>
      <c r="D14" s="125">
        <f>Statement!N6</f>
        <v>180051</v>
      </c>
      <c r="E14" s="125">
        <f>Statement!O6</f>
        <v>195924</v>
      </c>
      <c r="F14" s="125">
        <f>Statement!P6</f>
        <v>246942</v>
      </c>
      <c r="G14" s="126">
        <f>Statement!Q6</f>
        <v>270984</v>
      </c>
      <c r="H14" s="127">
        <f>SUM(H11:H13)</f>
        <v>279641.04000000004</v>
      </c>
      <c r="I14" s="127">
        <f t="shared" ref="I14:L14" si="7">SUM(I11:I13)</f>
        <v>304311.41279999999</v>
      </c>
      <c r="J14" s="127">
        <f t="shared" si="7"/>
        <v>297908.50694400002</v>
      </c>
      <c r="K14" s="127">
        <f t="shared" si="7"/>
        <v>317436.68229120004</v>
      </c>
      <c r="L14" s="127">
        <f t="shared" si="7"/>
        <v>302243.24530656001</v>
      </c>
      <c r="N14" s="93"/>
      <c r="O14" s="16" t="str">
        <f t="shared" si="5"/>
        <v>COGS</v>
      </c>
      <c r="P14" s="125">
        <f>Statement!T6</f>
        <v>63320</v>
      </c>
      <c r="Q14" s="125">
        <f>Statement!U6</f>
        <v>63763</v>
      </c>
      <c r="R14" s="125">
        <f>Statement!V6</f>
        <v>64534</v>
      </c>
      <c r="S14" s="125">
        <f>Statement!W6</f>
        <v>63857</v>
      </c>
      <c r="T14" s="125">
        <f>Statement!X6</f>
        <v>64380</v>
      </c>
      <c r="U14" s="125">
        <f>Statement!Y6</f>
        <v>68812</v>
      </c>
      <c r="V14" s="125">
        <f>Statement!Z6</f>
        <v>73935</v>
      </c>
      <c r="W14" s="126">
        <f>Statement!AA6</f>
        <v>76928</v>
      </c>
      <c r="X14" s="127">
        <f>SUM(X11:X13)</f>
        <v>62452.402000000002</v>
      </c>
      <c r="Y14" s="127"/>
      <c r="Z14" s="127"/>
      <c r="AB14" s="127">
        <f>SUM(AB11:AB13)</f>
        <v>282127.402</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707952</v>
      </c>
      <c r="I15" s="24">
        <f t="shared" ref="I15:L15" si="8">I6*I27</f>
        <v>770408.64</v>
      </c>
      <c r="J15" s="24">
        <f t="shared" si="8"/>
        <v>797219.94815999991</v>
      </c>
      <c r="K15" s="24">
        <f t="shared" si="8"/>
        <v>849478.44556800008</v>
      </c>
      <c r="L15" s="24">
        <f t="shared" si="8"/>
        <v>856752.50638080004</v>
      </c>
      <c r="N15" s="93"/>
      <c r="O15" s="39" t="str">
        <f t="shared" si="5"/>
        <v>Sales and marketing</v>
      </c>
      <c r="P15" s="100">
        <f>Statement!T8</f>
        <v>194330</v>
      </c>
      <c r="Q15" s="100">
        <f>Statement!U8</f>
        <v>187188</v>
      </c>
      <c r="R15" s="100">
        <f>Statement!V8</f>
        <v>176836</v>
      </c>
      <c r="S15" s="100">
        <f>Statement!W8</f>
        <v>159661</v>
      </c>
      <c r="T15" s="100">
        <f>Statement!X8</f>
        <v>166303</v>
      </c>
      <c r="U15" s="100">
        <f>Statement!Y8</f>
        <v>179186</v>
      </c>
      <c r="V15" s="100">
        <f>Statement!Z8</f>
        <v>178179</v>
      </c>
      <c r="W15" s="101">
        <f>Statement!AA8</f>
        <v>167859</v>
      </c>
      <c r="X15" s="25">
        <f>X27*X$6</f>
        <v>159114.40000000002</v>
      </c>
      <c r="Y15" s="24"/>
      <c r="Z15" s="24"/>
      <c r="AB15" s="24">
        <f t="shared" ref="AB15:AB18" si="9">SUM(U15:X15)</f>
        <v>684338.4</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442470</v>
      </c>
      <c r="I16" s="24">
        <f t="shared" ref="I16:L16" si="10">I6*I28</f>
        <v>481505.39999999997</v>
      </c>
      <c r="J16" s="24">
        <f t="shared" si="10"/>
        <v>513997.07183999993</v>
      </c>
      <c r="K16" s="24">
        <f t="shared" si="10"/>
        <v>536512.70246400009</v>
      </c>
      <c r="L16" s="24">
        <f t="shared" si="10"/>
        <v>571168.33758719999</v>
      </c>
      <c r="M16" s="92"/>
      <c r="N16" s="92"/>
      <c r="O16" s="39" t="str">
        <f t="shared" si="5"/>
        <v>R&amp;D</v>
      </c>
      <c r="P16" s="100">
        <f>Statement!T9</f>
        <v>98433</v>
      </c>
      <c r="Q16" s="100">
        <f>Statement!U9</f>
        <v>96976</v>
      </c>
      <c r="R16" s="100">
        <f>Statement!V9</f>
        <v>99670</v>
      </c>
      <c r="S16" s="100">
        <f>Statement!W9</f>
        <v>94839</v>
      </c>
      <c r="T16" s="100">
        <f>Statement!X9</f>
        <v>98341</v>
      </c>
      <c r="U16" s="100">
        <f>Statement!Y9</f>
        <v>96869</v>
      </c>
      <c r="V16" s="100">
        <f>Statement!Z9</f>
        <v>95159</v>
      </c>
      <c r="W16" s="101">
        <f>Statement!AA9</f>
        <v>92902</v>
      </c>
      <c r="X16" s="25">
        <f>X28*X$6</f>
        <v>95468.64</v>
      </c>
      <c r="Y16" s="24"/>
      <c r="Z16" s="24"/>
      <c r="AB16" s="24">
        <f t="shared" si="9"/>
        <v>380398.64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212385.6</v>
      </c>
      <c r="I17" s="24">
        <f t="shared" ref="I17:L17" si="11">I6*I29</f>
        <v>231122.59199999998</v>
      </c>
      <c r="J17" s="24">
        <f t="shared" si="11"/>
        <v>230774.19551999998</v>
      </c>
      <c r="K17" s="24">
        <f t="shared" si="11"/>
        <v>245901.65529600004</v>
      </c>
      <c r="L17" s="24">
        <f t="shared" si="11"/>
        <v>237986.80732800002</v>
      </c>
      <c r="M17" s="92"/>
      <c r="N17" s="92"/>
      <c r="O17" s="39" t="str">
        <f t="shared" si="5"/>
        <v>General and administrative</v>
      </c>
      <c r="P17" s="100">
        <f>Statement!T10</f>
        <v>63519</v>
      </c>
      <c r="Q17" s="100">
        <f>Statement!U10</f>
        <v>50090</v>
      </c>
      <c r="R17" s="100">
        <f>Statement!V10</f>
        <v>48997</v>
      </c>
      <c r="S17" s="100">
        <f>Statement!W10</f>
        <v>54679</v>
      </c>
      <c r="T17" s="100">
        <f>Statement!X10</f>
        <v>52889</v>
      </c>
      <c r="U17" s="100">
        <f>Statement!Y10</f>
        <v>53175</v>
      </c>
      <c r="V17" s="100">
        <f>Statement!Z10</f>
        <v>53548</v>
      </c>
      <c r="W17" s="101">
        <f>Statement!AA10</f>
        <v>52706</v>
      </c>
      <c r="X17" s="25">
        <f>X29*X$6</f>
        <v>55690.040000000008</v>
      </c>
      <c r="Y17" s="24"/>
      <c r="Z17" s="24"/>
      <c r="AB17" s="24">
        <f t="shared" si="9"/>
        <v>215119.04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1362807.6</v>
      </c>
      <c r="I18" s="127">
        <f>SUM(I15:I17)</f>
        <v>1483036.632</v>
      </c>
      <c r="J18" s="127">
        <f>SUM(J15:J17)</f>
        <v>1541991.2155199999</v>
      </c>
      <c r="K18" s="127">
        <f>SUM(K15:K17)</f>
        <v>1631892.8033280002</v>
      </c>
      <c r="L18" s="127">
        <f>SUM(L15:L17)</f>
        <v>1665907.651296</v>
      </c>
      <c r="M18" s="92"/>
      <c r="N18" s="92"/>
      <c r="O18" s="16" t="str">
        <f t="shared" si="5"/>
        <v>OpEx</v>
      </c>
      <c r="P18" s="125">
        <f>Statement!T11</f>
        <v>356282</v>
      </c>
      <c r="Q18" s="125">
        <f>Statement!U11</f>
        <v>334254</v>
      </c>
      <c r="R18" s="125">
        <f>Statement!V11</f>
        <v>325503</v>
      </c>
      <c r="S18" s="125">
        <f>Statement!W11</f>
        <v>309179</v>
      </c>
      <c r="T18" s="125">
        <f>Statement!X11</f>
        <v>317533</v>
      </c>
      <c r="U18" s="125">
        <f>Statement!Y11</f>
        <v>329230</v>
      </c>
      <c r="V18" s="125">
        <f>Statement!Z11</f>
        <v>326886</v>
      </c>
      <c r="W18" s="126">
        <f>Statement!AA11</f>
        <v>313467</v>
      </c>
      <c r="X18" s="127">
        <f>SUM(X15:X17)</f>
        <v>310273.08000000007</v>
      </c>
      <c r="Y18" s="127"/>
      <c r="Z18" s="127"/>
      <c r="AB18" s="127">
        <f t="shared" si="9"/>
        <v>1279856.08</v>
      </c>
    </row>
    <row r="21" spans="2:28" x14ac:dyDescent="0.2">
      <c r="C21" s="260" t="s">
        <v>169</v>
      </c>
      <c r="D21" s="260"/>
      <c r="E21" s="260"/>
      <c r="F21" s="260"/>
      <c r="G21" s="260"/>
      <c r="H21" s="260"/>
      <c r="I21" s="260"/>
      <c r="J21" s="260"/>
      <c r="K21" s="260"/>
      <c r="L21" s="260"/>
      <c r="P21" s="262" t="s">
        <v>169</v>
      </c>
      <c r="Q21" s="262"/>
      <c r="R21" s="262"/>
      <c r="S21" s="262"/>
      <c r="T21" s="262"/>
      <c r="U21" s="262"/>
      <c r="V21" s="262"/>
      <c r="W21" s="262"/>
      <c r="X21" s="262"/>
      <c r="Y21" s="262"/>
      <c r="Z21" s="262"/>
    </row>
    <row r="22" spans="2:28" x14ac:dyDescent="0.2">
      <c r="B22" s="16" t="s">
        <v>170</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170</v>
      </c>
      <c r="P22" s="12" t="str">
        <f t="shared" ref="P22:Z22" si="13">P5</f>
        <v>Q2 2025</v>
      </c>
      <c r="Q22" s="12" t="str">
        <f t="shared" si="13"/>
        <v>Q3 2025</v>
      </c>
      <c r="R22" s="12" t="str">
        <f t="shared" si="13"/>
        <v>Q4 2025</v>
      </c>
      <c r="S22" s="12" t="str">
        <f t="shared" si="13"/>
        <v>Q1 2026</v>
      </c>
      <c r="T22" s="12" t="str">
        <f t="shared" si="13"/>
        <v>Q2 2026</v>
      </c>
      <c r="U22" s="12" t="str">
        <f t="shared" si="13"/>
        <v>Q3 2026</v>
      </c>
      <c r="V22" s="12" t="str">
        <f t="shared" si="13"/>
        <v>Q4 2026</v>
      </c>
      <c r="W22" s="12" t="str">
        <f t="shared" si="13"/>
        <v>Q1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7.5667266397472909E-3</v>
      </c>
      <c r="Q23" s="97">
        <f t="shared" si="14"/>
        <v>6.5979986070891826E-3</v>
      </c>
      <c r="R23" s="97">
        <f t="shared" si="14"/>
        <v>2.9057278954598888E-3</v>
      </c>
      <c r="S23" s="97">
        <f t="shared" si="14"/>
        <v>3.5555655255955854E-3</v>
      </c>
      <c r="T23" s="97">
        <f t="shared" si="14"/>
        <v>3.3174097664543526E-3</v>
      </c>
      <c r="U23" s="97">
        <f t="shared" si="14"/>
        <v>3.1889042671966101E-3</v>
      </c>
      <c r="V23" s="97">
        <f t="shared" si="14"/>
        <v>3.2321292352844584E-3</v>
      </c>
      <c r="W23" s="98">
        <f t="shared" si="14"/>
        <v>3.9772265537236307E-3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0.13763980104536558</v>
      </c>
      <c r="Q24" s="97">
        <f t="shared" ref="Q24:W24" si="18">Q12/Q$6</f>
        <v>0.12261844676345611</v>
      </c>
      <c r="R24" s="97">
        <f t="shared" si="18"/>
        <v>0.1035298338707317</v>
      </c>
      <c r="S24" s="97">
        <f t="shared" si="18"/>
        <v>0.10786710933644399</v>
      </c>
      <c r="T24" s="97">
        <f t="shared" si="18"/>
        <v>0.10568438163481954</v>
      </c>
      <c r="U24" s="97">
        <f t="shared" si="18"/>
        <v>9.7591173229744616E-2</v>
      </c>
      <c r="V24" s="97">
        <f t="shared" si="18"/>
        <v>8.4742063615786095E-2</v>
      </c>
      <c r="W24" s="98">
        <f t="shared" si="18"/>
        <v>0.10513836637331433</v>
      </c>
      <c r="X24" s="99">
        <v>8.6999999999999994E-2</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5.5E-2</v>
      </c>
      <c r="I25" s="99">
        <v>5.5E-2</v>
      </c>
      <c r="J25" s="99">
        <v>0.05</v>
      </c>
      <c r="K25" s="99">
        <v>0.05</v>
      </c>
      <c r="L25" s="99">
        <v>4.4999999999999998E-2</v>
      </c>
      <c r="O25" s="1" t="str">
        <f t="shared" si="17"/>
        <v>Professional services COGS</v>
      </c>
      <c r="P25" s="97">
        <f>P13/P$6</f>
        <v>5.5012916873515824E-2</v>
      </c>
      <c r="Q25" s="97">
        <f t="shared" ref="Q25:X30" si="20">Q13/Q$6</f>
        <v>5.0573377357586151E-2</v>
      </c>
      <c r="R25" s="97">
        <f t="shared" si="20"/>
        <v>4.589444961123202E-2</v>
      </c>
      <c r="S25" s="97">
        <f t="shared" si="20"/>
        <v>6.7637063125308441E-2</v>
      </c>
      <c r="T25" s="97">
        <f t="shared" si="20"/>
        <v>6.8977242569002117E-2</v>
      </c>
      <c r="U25" s="97">
        <f t="shared" si="20"/>
        <v>6.6599694001405946E-2</v>
      </c>
      <c r="V25" s="97">
        <f t="shared" si="20"/>
        <v>6.5702639953274425E-2</v>
      </c>
      <c r="W25" s="98">
        <f t="shared" si="20"/>
        <v>7.475465005664679E-2</v>
      </c>
      <c r="X25" s="99">
        <v>6.7000000000000004E-2</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0.15800000000000003</v>
      </c>
      <c r="I26" s="107">
        <f t="shared" si="21"/>
        <v>0.158</v>
      </c>
      <c r="J26" s="107">
        <f t="shared" si="21"/>
        <v>0.14200000000000002</v>
      </c>
      <c r="K26" s="107">
        <f t="shared" si="21"/>
        <v>0.14199999999999999</v>
      </c>
      <c r="L26" s="107">
        <f t="shared" si="21"/>
        <v>0.127</v>
      </c>
      <c r="O26" s="16" t="str">
        <f t="shared" si="17"/>
        <v>COGS</v>
      </c>
      <c r="P26" s="107">
        <f>P14/P$6</f>
        <v>0.2002194445586287</v>
      </c>
      <c r="Q26" s="107">
        <f t="shared" ref="Q26:V26" si="22">Q14/Q$6</f>
        <v>0.17978982272813143</v>
      </c>
      <c r="R26" s="107">
        <f t="shared" si="22"/>
        <v>0.15233001137742361</v>
      </c>
      <c r="S26" s="107">
        <f t="shared" si="22"/>
        <v>0.17905973798734801</v>
      </c>
      <c r="T26" s="107">
        <f t="shared" si="22"/>
        <v>0.17797903397027601</v>
      </c>
      <c r="U26" s="107">
        <f t="shared" si="22"/>
        <v>0.16737977149834718</v>
      </c>
      <c r="V26" s="107">
        <f t="shared" si="22"/>
        <v>0.15367683280434499</v>
      </c>
      <c r="W26" s="108">
        <f t="shared" si="20"/>
        <v>0.18387024298368476</v>
      </c>
      <c r="X26" s="107">
        <f t="shared" si="20"/>
        <v>0.157</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0.61447638441374464</v>
      </c>
      <c r="Q27" s="97">
        <f t="shared" ref="Q27:V27" si="24">Q15/Q$6</f>
        <v>0.52780605267684189</v>
      </c>
      <c r="R27" s="97">
        <f t="shared" si="24"/>
        <v>0.41741453949759943</v>
      </c>
      <c r="S27" s="97">
        <f t="shared" si="24"/>
        <v>0.44770122033289966</v>
      </c>
      <c r="T27" s="97">
        <f t="shared" si="24"/>
        <v>0.45974599699221513</v>
      </c>
      <c r="U27" s="97">
        <f t="shared" si="24"/>
        <v>0.43585583525697313</v>
      </c>
      <c r="V27" s="97">
        <f t="shared" si="24"/>
        <v>0.37035212541077139</v>
      </c>
      <c r="W27" s="98">
        <f t="shared" si="20"/>
        <v>0.40120989908743682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0.31124764033858965</v>
      </c>
      <c r="Q28" s="97">
        <f t="shared" si="27"/>
        <v>0.27343910808593186</v>
      </c>
      <c r="R28" s="97">
        <f t="shared" si="27"/>
        <v>0.23526718061777993</v>
      </c>
      <c r="S28" s="97">
        <f t="shared" si="27"/>
        <v>0.26593555116873796</v>
      </c>
      <c r="T28" s="97">
        <f t="shared" si="27"/>
        <v>0.27186449486907288</v>
      </c>
      <c r="U28" s="97">
        <f t="shared" si="27"/>
        <v>0.23562621469036493</v>
      </c>
      <c r="V28" s="97">
        <f t="shared" si="27"/>
        <v>0.19779175942150082</v>
      </c>
      <c r="W28" s="98">
        <f t="shared" si="20"/>
        <v>0.22205066183535621</v>
      </c>
      <c r="X28" s="99">
        <v>0.24</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0.20084868760138244</v>
      </c>
      <c r="Q29" s="97">
        <f t="shared" si="27"/>
        <v>0.14123664539705008</v>
      </c>
      <c r="R29" s="97">
        <f t="shared" si="27"/>
        <v>0.11565552371555497</v>
      </c>
      <c r="S29" s="97">
        <f t="shared" si="27"/>
        <v>0.15332394903315535</v>
      </c>
      <c r="T29" s="97">
        <f t="shared" si="27"/>
        <v>0.14621207094833688</v>
      </c>
      <c r="U29" s="97">
        <f t="shared" si="27"/>
        <v>0.12934400031134993</v>
      </c>
      <c r="V29" s="97">
        <f t="shared" si="27"/>
        <v>0.11130164391704964</v>
      </c>
      <c r="W29" s="98">
        <f t="shared" si="20"/>
        <v>0.12597578289696976</v>
      </c>
      <c r="X29" s="99">
        <v>0.14000000000000001</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v>
      </c>
      <c r="I30" s="107">
        <f t="shared" si="29"/>
        <v>0.77</v>
      </c>
      <c r="J30" s="107">
        <f t="shared" si="29"/>
        <v>0.73499999999999999</v>
      </c>
      <c r="K30" s="107">
        <f t="shared" si="29"/>
        <v>0.73</v>
      </c>
      <c r="L30" s="107">
        <f t="shared" si="29"/>
        <v>0.7</v>
      </c>
      <c r="O30" s="16" t="str">
        <f t="shared" si="17"/>
        <v>OpEx</v>
      </c>
      <c r="P30" s="107">
        <f t="shared" si="27"/>
        <v>1.1265727123537168</v>
      </c>
      <c r="Q30" s="107">
        <f t="shared" si="27"/>
        <v>0.9424818061598238</v>
      </c>
      <c r="R30" s="107">
        <f t="shared" si="27"/>
        <v>0.76833724383093427</v>
      </c>
      <c r="S30" s="107">
        <f t="shared" si="27"/>
        <v>0.86696072053479289</v>
      </c>
      <c r="T30" s="107">
        <f t="shared" si="27"/>
        <v>0.8778225628096249</v>
      </c>
      <c r="U30" s="107">
        <f t="shared" si="27"/>
        <v>0.80082605025868803</v>
      </c>
      <c r="V30" s="107">
        <f t="shared" si="27"/>
        <v>0.67944552874932185</v>
      </c>
      <c r="W30" s="108">
        <f t="shared" si="20"/>
        <v>0.74923634381976278</v>
      </c>
      <c r="X30" s="107">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 zoomScale="189" zoomScaleNormal="100" workbookViewId="0">
      <selection activeCell="H35" sqref="H35:L36"/>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172</v>
      </c>
    </row>
    <row r="2" spans="1:28" s="85" customFormat="1" ht="18" customHeight="1" x14ac:dyDescent="0.2">
      <c r="A2" s="4"/>
      <c r="B2" s="84"/>
    </row>
    <row r="3" spans="1:28" x14ac:dyDescent="0.2">
      <c r="A3" s="4"/>
      <c r="C3" s="252" t="s">
        <v>137</v>
      </c>
      <c r="D3" s="252"/>
      <c r="E3" s="252"/>
      <c r="F3" s="252"/>
      <c r="G3" s="258"/>
      <c r="H3" s="259" t="s">
        <v>138</v>
      </c>
      <c r="I3" s="252"/>
      <c r="J3" s="252"/>
      <c r="K3" s="252"/>
      <c r="L3" s="252"/>
      <c r="P3" s="263"/>
      <c r="Q3" s="263"/>
      <c r="R3" s="263"/>
      <c r="S3" s="263"/>
      <c r="T3" s="263"/>
      <c r="U3" s="263"/>
      <c r="V3" s="263"/>
      <c r="W3" s="263"/>
      <c r="X3" s="263"/>
      <c r="Y3" s="263"/>
      <c r="Z3" s="263"/>
      <c r="AB3" s="130"/>
    </row>
    <row r="4" spans="1:28" ht="10" customHeight="1" x14ac:dyDescent="0.2"/>
    <row r="5" spans="1:28" ht="16" customHeight="1" x14ac:dyDescent="0.2">
      <c r="A5" s="88"/>
      <c r="B5" s="60"/>
      <c r="C5" s="260" t="s">
        <v>140</v>
      </c>
      <c r="D5" s="260"/>
      <c r="E5" s="260"/>
      <c r="F5" s="260"/>
      <c r="G5" s="260"/>
      <c r="H5" s="260"/>
      <c r="I5" s="260"/>
      <c r="J5" s="260"/>
      <c r="K5" s="260"/>
      <c r="L5" s="260"/>
      <c r="P5" s="263"/>
      <c r="Q5" s="263"/>
      <c r="R5" s="263"/>
      <c r="S5" s="263"/>
      <c r="T5" s="263"/>
      <c r="U5" s="263"/>
      <c r="V5" s="263"/>
      <c r="W5" s="263"/>
      <c r="X5" s="263"/>
      <c r="Y5" s="263"/>
      <c r="Z5" s="263"/>
      <c r="AB5" s="131"/>
    </row>
    <row r="6" spans="1:28" x14ac:dyDescent="0.2">
      <c r="B6" s="16" t="s">
        <v>141</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1769880</v>
      </c>
      <c r="I7" s="94">
        <f>Revenue!I9</f>
        <v>1926021.5999999999</v>
      </c>
      <c r="J7" s="94">
        <f>Revenue!J9</f>
        <v>2097947.2319999998</v>
      </c>
      <c r="K7" s="94">
        <f>Revenue!K9</f>
        <v>2235469.5936000003</v>
      </c>
      <c r="L7" s="94">
        <f>Revenue!L9</f>
        <v>2379868.0732800001</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279641.04000000004</v>
      </c>
      <c r="I8" s="133">
        <f>'COGS &amp; OpEx'!I14</f>
        <v>304311.41279999999</v>
      </c>
      <c r="J8" s="133">
        <f>'COGS &amp; OpEx'!J14</f>
        <v>297908.50694400002</v>
      </c>
      <c r="K8" s="133">
        <f>'COGS &amp; OpEx'!K14</f>
        <v>317436.68229120004</v>
      </c>
      <c r="L8" s="133">
        <f>'COGS &amp; OpEx'!L14</f>
        <v>302243.24530656001</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60" t="s">
        <v>173</v>
      </c>
      <c r="D11" s="260"/>
      <c r="E11" s="260"/>
      <c r="F11" s="260"/>
      <c r="G11" s="260"/>
      <c r="H11" s="260"/>
      <c r="I11" s="260"/>
      <c r="J11" s="260"/>
      <c r="K11" s="260"/>
      <c r="L11" s="260"/>
      <c r="N11" s="93"/>
      <c r="P11" s="263"/>
      <c r="Q11" s="263"/>
      <c r="R11" s="263"/>
      <c r="S11" s="263"/>
      <c r="T11" s="263"/>
      <c r="U11" s="263"/>
      <c r="V11" s="263"/>
      <c r="W11" s="263"/>
      <c r="X11" s="263"/>
      <c r="Y11" s="263"/>
      <c r="Z11" s="263"/>
      <c r="AB11" s="131"/>
    </row>
    <row r="12" spans="1:28" x14ac:dyDescent="0.2">
      <c r="B12" s="16" t="s">
        <v>174</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175</v>
      </c>
      <c r="C13" s="135">
        <f>Statement!M30</f>
        <v>326819</v>
      </c>
      <c r="D13" s="135">
        <f>Statement!N30</f>
        <v>443477</v>
      </c>
      <c r="E13" s="135">
        <f>Statement!O30</f>
        <v>520493</v>
      </c>
      <c r="F13" s="135">
        <f>Statement!P30</f>
        <v>539866</v>
      </c>
      <c r="G13" s="136">
        <f>Statement!Q30</f>
        <v>580705</v>
      </c>
      <c r="H13" s="25">
        <f>H20*H7/365</f>
        <v>630368.21917808219</v>
      </c>
      <c r="I13" s="25">
        <f>I20*I7/365</f>
        <v>685980.2958904109</v>
      </c>
      <c r="J13" s="25">
        <f>J20*J7/365</f>
        <v>747214.08263013687</v>
      </c>
      <c r="K13" s="25">
        <f>K20*K7/365</f>
        <v>796194.64977534255</v>
      </c>
      <c r="L13" s="25">
        <f>L20*L7/365</f>
        <v>847624.24527780828</v>
      </c>
      <c r="N13" s="93"/>
      <c r="O13" s="16"/>
      <c r="P13" s="137"/>
      <c r="Q13" s="137"/>
      <c r="R13" s="137"/>
      <c r="S13" s="137"/>
      <c r="T13" s="137"/>
      <c r="U13" s="137"/>
      <c r="V13" s="137"/>
      <c r="W13" s="137"/>
      <c r="X13" s="127"/>
      <c r="Y13" s="127"/>
      <c r="Z13" s="127"/>
      <c r="AB13" s="24"/>
    </row>
    <row r="14" spans="1:28" x14ac:dyDescent="0.2">
      <c r="B14" s="39" t="s">
        <v>176</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177</v>
      </c>
      <c r="C15" s="135">
        <f>Statement!M38</f>
        <v>11515</v>
      </c>
      <c r="D15" s="135">
        <f>Statement!N38</f>
        <v>8891</v>
      </c>
      <c r="E15" s="135">
        <f>Statement!O38</f>
        <v>3447</v>
      </c>
      <c r="F15" s="135">
        <f>Statement!P38</f>
        <v>33178</v>
      </c>
      <c r="G15" s="136">
        <f>Statement!Q38</f>
        <v>10161</v>
      </c>
      <c r="H15" s="24">
        <f>H22*H8/365</f>
        <v>17621.216219178084</v>
      </c>
      <c r="I15" s="24">
        <f>I22*I8/365</f>
        <v>19175.78765589041</v>
      </c>
      <c r="J15" s="24">
        <f>J22*J8/365</f>
        <v>18772.31687592329</v>
      </c>
      <c r="K15" s="24">
        <f>K22*K8/365</f>
        <v>20002.859432048219</v>
      </c>
      <c r="L15" s="24">
        <f>L22*L8/365</f>
        <v>19045.464772742136</v>
      </c>
      <c r="N15" s="93"/>
      <c r="P15" s="138"/>
      <c r="Q15" s="138"/>
      <c r="R15" s="138"/>
      <c r="S15" s="138"/>
      <c r="T15" s="138"/>
      <c r="U15" s="138"/>
      <c r="V15" s="138"/>
      <c r="W15" s="138"/>
      <c r="X15" s="25"/>
      <c r="Y15" s="24"/>
      <c r="Z15" s="24"/>
      <c r="AB15" s="24"/>
    </row>
    <row r="16" spans="1:28" x14ac:dyDescent="0.2">
      <c r="D16" s="24"/>
    </row>
    <row r="18" spans="2:12" x14ac:dyDescent="0.2">
      <c r="C18" s="260" t="s">
        <v>178</v>
      </c>
      <c r="D18" s="260"/>
      <c r="E18" s="260"/>
      <c r="F18" s="260"/>
      <c r="G18" s="260"/>
      <c r="H18" s="260"/>
      <c r="I18" s="260"/>
      <c r="J18" s="260"/>
      <c r="K18" s="260"/>
      <c r="L18" s="260"/>
    </row>
    <row r="19" spans="2:12" x14ac:dyDescent="0.2">
      <c r="B19" s="16" t="s">
        <v>179</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180</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181</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182</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183</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3"/>
      <c r="C25" s="263"/>
    </row>
    <row r="26" spans="2:12" x14ac:dyDescent="0.2">
      <c r="B26" s="130"/>
      <c r="C26" s="260" t="s">
        <v>184</v>
      </c>
      <c r="D26" s="260"/>
      <c r="E26" s="260"/>
      <c r="F26" s="260"/>
      <c r="G26" s="260"/>
      <c r="H26" s="260"/>
      <c r="I26" s="260"/>
      <c r="J26" s="260"/>
      <c r="K26" s="260"/>
      <c r="L26" s="260"/>
    </row>
    <row r="27" spans="2:12" x14ac:dyDescent="0.2">
      <c r="B27" s="16" t="s">
        <v>174</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185</v>
      </c>
      <c r="C28" s="135">
        <f>Statement!M55</f>
        <v>-86387</v>
      </c>
      <c r="D28" s="135">
        <f>Statement!N55</f>
        <v>-123783</v>
      </c>
      <c r="E28" s="135">
        <f>Statement!O55</f>
        <v>-64217</v>
      </c>
      <c r="F28" s="135">
        <f>Statement!P55</f>
        <v>-22173</v>
      </c>
      <c r="G28" s="136">
        <f>Statement!Q55</f>
        <v>-25802</v>
      </c>
      <c r="H28" s="147">
        <f>-(H13-G13)</f>
        <v>-49663.219178082189</v>
      </c>
      <c r="I28" s="147">
        <f t="shared" ref="I28:L29" si="7">-(I13-H13)</f>
        <v>-55612.076712328708</v>
      </c>
      <c r="J28" s="147">
        <f t="shared" si="7"/>
        <v>-61233.786739725969</v>
      </c>
      <c r="K28" s="147">
        <f t="shared" si="7"/>
        <v>-48980.567145205685</v>
      </c>
      <c r="L28" s="147">
        <f t="shared" si="7"/>
        <v>-51429.595502465731</v>
      </c>
    </row>
    <row r="29" spans="2:12" x14ac:dyDescent="0.2">
      <c r="B29" s="1" t="s">
        <v>186</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187</v>
      </c>
      <c r="C30" s="135">
        <f>Statement!M57</f>
        <v>3507</v>
      </c>
      <c r="D30" s="135">
        <f>Statement!N57</f>
        <v>-1571</v>
      </c>
      <c r="E30" s="135">
        <f>Statement!O57</f>
        <v>-5052</v>
      </c>
      <c r="F30" s="135">
        <f>Statement!P57</f>
        <v>27856</v>
      </c>
      <c r="G30" s="136">
        <f>Statement!Q57</f>
        <v>-21675</v>
      </c>
      <c r="H30" s="64">
        <f>H15-G15</f>
        <v>7460.2162191780844</v>
      </c>
      <c r="I30" s="64">
        <f t="shared" ref="I30:L30" si="8">I15-H15</f>
        <v>1554.5714367123255</v>
      </c>
      <c r="J30" s="64">
        <f t="shared" si="8"/>
        <v>-403.4707799671196</v>
      </c>
      <c r="K30" s="64">
        <f t="shared" si="8"/>
        <v>1230.5425561249285</v>
      </c>
      <c r="L30" s="64">
        <f t="shared" si="8"/>
        <v>-957.39465930608276</v>
      </c>
    </row>
    <row r="31" spans="2:12" x14ac:dyDescent="0.2">
      <c r="B31" s="130"/>
      <c r="C31" s="130"/>
    </row>
    <row r="32" spans="2:12" x14ac:dyDescent="0.2">
      <c r="B32" s="130"/>
      <c r="C32" s="130"/>
    </row>
    <row r="33" spans="2:12" x14ac:dyDescent="0.2">
      <c r="B33" s="130"/>
      <c r="C33" s="260" t="s">
        <v>188</v>
      </c>
      <c r="D33" s="260"/>
      <c r="E33" s="260"/>
      <c r="F33" s="260"/>
      <c r="G33" s="260"/>
      <c r="H33" s="260"/>
      <c r="I33" s="260"/>
      <c r="J33" s="260"/>
      <c r="K33" s="260"/>
      <c r="L33" s="260"/>
    </row>
    <row r="34" spans="2:12" x14ac:dyDescent="0.2">
      <c r="B34" s="16" t="s">
        <v>174</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189</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-95299.402958904102</v>
      </c>
      <c r="I35" s="147">
        <f t="shared" ref="I35:L35" si="10">I36+I28+I29+I30</f>
        <v>-111838.15327561637</v>
      </c>
      <c r="J35" s="147">
        <f t="shared" si="10"/>
        <v>-124575.67447969309</v>
      </c>
      <c r="K35" s="147">
        <f t="shared" si="10"/>
        <v>-114814.11239708077</v>
      </c>
      <c r="L35" s="147">
        <f t="shared" si="10"/>
        <v>-123783.03236017181</v>
      </c>
    </row>
    <row r="36" spans="2:12" x14ac:dyDescent="0.2">
      <c r="B36" s="1" t="s">
        <v>190</v>
      </c>
      <c r="C36" s="141">
        <f>C35-C28-C29-C30</f>
        <v>-23022</v>
      </c>
      <c r="D36" s="141">
        <f t="shared" ref="D36:G36" si="11">D35-D28-D29-D30</f>
        <v>-21333</v>
      </c>
      <c r="E36" s="141">
        <f t="shared" si="11"/>
        <v>2341</v>
      </c>
      <c r="F36" s="141">
        <f t="shared" si="11"/>
        <v>-47455</v>
      </c>
      <c r="G36" s="142">
        <f t="shared" si="11"/>
        <v>-101730</v>
      </c>
      <c r="H36" s="64">
        <f>H7*H37</f>
        <v>-53096.4</v>
      </c>
      <c r="I36" s="64">
        <f>I7*I37</f>
        <v>-57780.647999999994</v>
      </c>
      <c r="J36" s="64">
        <f>J7*J37</f>
        <v>-62938.416959999995</v>
      </c>
      <c r="K36" s="64">
        <f>K7*K37</f>
        <v>-67064.087808000011</v>
      </c>
      <c r="L36" s="64">
        <f>L7*L37</f>
        <v>-71396.042198399999</v>
      </c>
    </row>
    <row r="37" spans="2:12" x14ac:dyDescent="0.2">
      <c r="B37" s="143" t="s">
        <v>170</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60" t="s">
        <v>191</v>
      </c>
      <c r="D40" s="260"/>
      <c r="E40" s="260"/>
      <c r="F40" s="260"/>
      <c r="G40" s="260"/>
      <c r="H40" s="260"/>
      <c r="I40" s="260"/>
      <c r="J40" s="260"/>
      <c r="K40" s="260"/>
      <c r="L40" s="260"/>
    </row>
    <row r="41" spans="2:12" x14ac:dyDescent="0.2">
      <c r="B41" s="16" t="s">
        <v>174</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17698.8</v>
      </c>
      <c r="I42" s="25">
        <f>I7*I43</f>
        <v>19260.216</v>
      </c>
      <c r="J42" s="25">
        <f>J7*J43</f>
        <v>20979.472319999997</v>
      </c>
      <c r="K42" s="25">
        <f>K7*K43</f>
        <v>22354.695936000004</v>
      </c>
      <c r="L42" s="25">
        <f>L7*L43</f>
        <v>23798.680732800003</v>
      </c>
    </row>
    <row r="43" spans="2:12" x14ac:dyDescent="0.2">
      <c r="B43" s="143" t="s">
        <v>192</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193</v>
      </c>
      <c r="C44" s="144">
        <f>C42/C45</f>
        <v>1.6561549724068025</v>
      </c>
      <c r="D44" s="144">
        <f t="shared" ref="D44:L44" si="13">D42/D45</f>
        <v>0.78618517740919591</v>
      </c>
      <c r="E44" s="144">
        <f t="shared" si="13"/>
        <v>3.0777717243257969</v>
      </c>
      <c r="F44" s="144">
        <f t="shared" si="13"/>
        <v>1.1547276016886685</v>
      </c>
      <c r="G44" s="145">
        <f t="shared" si="13"/>
        <v>0.89085468290634184</v>
      </c>
      <c r="H44" s="144">
        <f t="shared" si="13"/>
        <v>0.90909090909090906</v>
      </c>
      <c r="I44" s="144">
        <f t="shared" si="13"/>
        <v>0.90909090909090928</v>
      </c>
      <c r="J44" s="144">
        <f t="shared" si="13"/>
        <v>0.90909090909090917</v>
      </c>
      <c r="K44" s="144">
        <f t="shared" si="13"/>
        <v>0.90909090909090917</v>
      </c>
      <c r="L44" s="144">
        <f t="shared" si="13"/>
        <v>0.90909090909090917</v>
      </c>
    </row>
    <row r="45" spans="2:12" x14ac:dyDescent="0.2">
      <c r="B45" s="1" t="s">
        <v>61</v>
      </c>
      <c r="C45" s="135">
        <f>-Statement!M60</f>
        <v>8879</v>
      </c>
      <c r="D45" s="135">
        <f>-Statement!N60</f>
        <v>23815</v>
      </c>
      <c r="E45" s="135">
        <f>-Statement!O60</f>
        <v>7342</v>
      </c>
      <c r="F45" s="135">
        <f>-Statement!P60</f>
        <v>14923</v>
      </c>
      <c r="G45" s="136">
        <f>-Statement!Q60</f>
        <v>19048</v>
      </c>
      <c r="H45" s="25">
        <f>H7*H46</f>
        <v>19468.68</v>
      </c>
      <c r="I45" s="25">
        <f>I7*I46</f>
        <v>21186.237599999997</v>
      </c>
      <c r="J45" s="25">
        <f>J7*J46</f>
        <v>23077.419551999996</v>
      </c>
      <c r="K45" s="25">
        <f>K7*K46</f>
        <v>24590.165529600003</v>
      </c>
      <c r="L45" s="25">
        <f>L7*L46</f>
        <v>26178.548806080002</v>
      </c>
    </row>
    <row r="46" spans="2:12" x14ac:dyDescent="0.2">
      <c r="B46" s="143" t="s">
        <v>192</v>
      </c>
      <c r="C46" s="144">
        <f>C45/C7</f>
        <v>9.951224541945549E-3</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2" zoomScale="183" workbookViewId="0">
      <selection activeCell="C25" sqref="C25:L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194</v>
      </c>
    </row>
    <row r="2" spans="1:31" x14ac:dyDescent="0.2">
      <c r="A2" s="4"/>
      <c r="C2" s="252" t="s">
        <v>137</v>
      </c>
      <c r="D2" s="252"/>
      <c r="E2" s="252"/>
      <c r="F2" s="252"/>
      <c r="G2" s="258"/>
      <c r="H2" s="259" t="s">
        <v>138</v>
      </c>
      <c r="I2" s="252"/>
      <c r="J2" s="252"/>
      <c r="K2" s="252"/>
      <c r="L2" s="252"/>
      <c r="S2" s="263"/>
      <c r="T2" s="263"/>
      <c r="U2" s="263"/>
      <c r="V2" s="263"/>
      <c r="W2" s="263"/>
      <c r="X2" s="263"/>
      <c r="Y2" s="263"/>
      <c r="Z2" s="263"/>
      <c r="AA2" s="263"/>
      <c r="AB2" s="263"/>
      <c r="AC2" s="263"/>
      <c r="AE2" s="130"/>
    </row>
    <row r="3" spans="1:31" ht="10" customHeight="1" x14ac:dyDescent="0.2"/>
    <row r="4" spans="1:31" ht="16" customHeight="1" x14ac:dyDescent="0.2">
      <c r="A4" s="88"/>
      <c r="B4" s="60"/>
      <c r="C4" s="260" t="s">
        <v>19</v>
      </c>
      <c r="D4" s="260"/>
      <c r="E4" s="260"/>
      <c r="F4" s="260"/>
      <c r="G4" s="260"/>
      <c r="H4" s="260"/>
      <c r="I4" s="260"/>
      <c r="J4" s="260"/>
      <c r="K4" s="260"/>
      <c r="L4" s="260"/>
      <c r="S4" s="263"/>
      <c r="T4" s="263"/>
      <c r="U4" s="263"/>
      <c r="V4" s="263"/>
      <c r="W4" s="263"/>
      <c r="X4" s="263"/>
      <c r="Y4" s="263"/>
      <c r="Z4" s="263"/>
      <c r="AA4" s="263"/>
      <c r="AB4" s="263"/>
      <c r="AC4" s="263"/>
      <c r="AE4" s="131"/>
    </row>
    <row r="5" spans="1:31" x14ac:dyDescent="0.2">
      <c r="B5" s="16" t="s">
        <v>174</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2" t="s">
        <v>195</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279641.04000000004</v>
      </c>
      <c r="I7" s="133">
        <f>'COGS &amp; OpEx'!I14</f>
        <v>304311.41279999999</v>
      </c>
      <c r="J7" s="133">
        <f>'COGS &amp; OpEx'!J14</f>
        <v>297908.50694400002</v>
      </c>
      <c r="K7" s="133">
        <f>'COGS &amp; OpEx'!K14</f>
        <v>317436.68229120004</v>
      </c>
      <c r="L7" s="133">
        <f>'COGS &amp; OpEx'!L14</f>
        <v>302243.24530656001</v>
      </c>
      <c r="N7" s="92" t="s">
        <v>196</v>
      </c>
      <c r="Q7" s="92"/>
      <c r="S7" s="90"/>
      <c r="T7" s="90"/>
      <c r="U7" s="90"/>
      <c r="V7" s="90"/>
      <c r="W7" s="90"/>
      <c r="X7" s="90"/>
      <c r="Y7" s="90"/>
      <c r="Z7" s="90"/>
      <c r="AA7" s="64"/>
      <c r="AB7" s="64"/>
      <c r="AC7" s="64"/>
      <c r="AE7" s="64"/>
    </row>
    <row r="8" spans="1:31" x14ac:dyDescent="0.2">
      <c r="B8" s="16" t="s">
        <v>197</v>
      </c>
      <c r="C8" s="96">
        <f>C6-C7</f>
        <v>723384</v>
      </c>
      <c r="D8" s="96">
        <f t="shared" ref="D8:L8" si="1">D6-D7</f>
        <v>878530</v>
      </c>
      <c r="E8" s="96">
        <f t="shared" si="1"/>
        <v>1112148</v>
      </c>
      <c r="F8" s="96">
        <f t="shared" si="1"/>
        <v>1182722</v>
      </c>
      <c r="G8" s="148">
        <f t="shared" si="1"/>
        <v>1339588</v>
      </c>
      <c r="H8" s="96">
        <f t="shared" si="1"/>
        <v>1490238.96</v>
      </c>
      <c r="I8" s="96">
        <f t="shared" si="1"/>
        <v>1621710.1871999998</v>
      </c>
      <c r="J8" s="96">
        <f t="shared" si="1"/>
        <v>1800038.7250559998</v>
      </c>
      <c r="K8" s="96">
        <f t="shared" si="1"/>
        <v>1918032.9113088003</v>
      </c>
      <c r="L8" s="96">
        <f t="shared" si="1"/>
        <v>2077624.8279734401</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1362807.6</v>
      </c>
      <c r="I9" s="133">
        <f>'COGS &amp; OpEx'!I18</f>
        <v>1483036.632</v>
      </c>
      <c r="J9" s="133">
        <f>'COGS &amp; OpEx'!J18</f>
        <v>1541991.2155199999</v>
      </c>
      <c r="K9" s="133">
        <f>'COGS &amp; OpEx'!K18</f>
        <v>1631892.8033280002</v>
      </c>
      <c r="L9" s="133">
        <f>'COGS &amp; OpEx'!L18</f>
        <v>1665907.651296</v>
      </c>
      <c r="N9" s="149" t="s">
        <v>196</v>
      </c>
      <c r="Q9" s="92"/>
      <c r="S9" s="90"/>
      <c r="T9" s="90"/>
      <c r="U9" s="90"/>
      <c r="V9" s="90"/>
      <c r="W9" s="90"/>
      <c r="X9" s="90"/>
      <c r="Y9" s="90"/>
      <c r="Z9" s="90"/>
      <c r="AA9" s="64"/>
      <c r="AB9" s="64"/>
      <c r="AC9" s="64"/>
      <c r="AE9" s="64"/>
    </row>
    <row r="10" spans="1:31" x14ac:dyDescent="0.2">
      <c r="B10" s="16" t="s">
        <v>198</v>
      </c>
      <c r="C10" s="96">
        <f t="shared" ref="C10:L10" si="2">C8-C9</f>
        <v>-500946</v>
      </c>
      <c r="D10" s="96">
        <f t="shared" si="2"/>
        <v>-348283</v>
      </c>
      <c r="E10" s="96">
        <f t="shared" si="2"/>
        <v>-164720</v>
      </c>
      <c r="F10" s="96">
        <f t="shared" si="2"/>
        <v>-162569</v>
      </c>
      <c r="G10" s="148">
        <f t="shared" si="2"/>
        <v>56760</v>
      </c>
      <c r="H10" s="96">
        <f t="shared" si="2"/>
        <v>127431.35999999987</v>
      </c>
      <c r="I10" s="96">
        <f t="shared" si="2"/>
        <v>138673.55519999983</v>
      </c>
      <c r="J10" s="96">
        <f t="shared" si="2"/>
        <v>258047.50953599997</v>
      </c>
      <c r="K10" s="96">
        <f t="shared" si="2"/>
        <v>286140.10798080009</v>
      </c>
      <c r="L10" s="96">
        <f t="shared" si="2"/>
        <v>411717.17667744006</v>
      </c>
      <c r="N10" s="92"/>
      <c r="Q10" s="92"/>
      <c r="S10" s="90"/>
      <c r="T10" s="90"/>
      <c r="U10" s="90"/>
      <c r="V10" s="90"/>
      <c r="W10" s="90"/>
      <c r="X10" s="90"/>
      <c r="Y10" s="90"/>
      <c r="Z10" s="90"/>
      <c r="AA10" s="64"/>
      <c r="AB10" s="64"/>
      <c r="AC10" s="64"/>
      <c r="AE10" s="64"/>
    </row>
    <row r="13" spans="1:31" x14ac:dyDescent="0.2">
      <c r="C13" s="260" t="s">
        <v>199</v>
      </c>
      <c r="D13" s="260"/>
      <c r="E13" s="260"/>
      <c r="F13" s="260"/>
      <c r="G13" s="260"/>
      <c r="H13" s="260"/>
      <c r="I13" s="260"/>
      <c r="J13" s="260"/>
      <c r="K13" s="260"/>
      <c r="L13" s="260"/>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204</v>
      </c>
    </row>
    <row r="18" spans="2:14" x14ac:dyDescent="0.2">
      <c r="C18" s="260" t="s">
        <v>200</v>
      </c>
      <c r="D18" s="260"/>
      <c r="E18" s="260"/>
      <c r="F18" s="260"/>
      <c r="G18" s="260"/>
      <c r="H18" s="260"/>
      <c r="I18" s="260"/>
      <c r="J18" s="260"/>
      <c r="K18" s="260"/>
      <c r="L18" s="260"/>
    </row>
    <row r="19" spans="2:14" x14ac:dyDescent="0.2">
      <c r="B19" s="16" t="s">
        <v>174</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17698.8</v>
      </c>
      <c r="I20" s="90">
        <f>'WC &amp; Investments'!I42</f>
        <v>19260.216</v>
      </c>
      <c r="J20" s="90">
        <f>'WC &amp; Investments'!J42</f>
        <v>20979.472319999997</v>
      </c>
      <c r="K20" s="90">
        <f>'WC &amp; Investments'!K42</f>
        <v>22354.695936000004</v>
      </c>
      <c r="L20" s="90">
        <f>'WC &amp; Investments'!L42</f>
        <v>23798.680732800003</v>
      </c>
      <c r="N20" s="1" t="s">
        <v>201</v>
      </c>
    </row>
    <row r="21" spans="2:14" x14ac:dyDescent="0.2">
      <c r="B21" s="1" t="s">
        <v>61</v>
      </c>
      <c r="C21" s="90">
        <f>'WC &amp; Investments'!C45</f>
        <v>8879</v>
      </c>
      <c r="D21" s="90">
        <f>'WC &amp; Investments'!D45</f>
        <v>23815</v>
      </c>
      <c r="E21" s="90">
        <f>'WC &amp; Investments'!E45</f>
        <v>7342</v>
      </c>
      <c r="F21" s="90">
        <f>'WC &amp; Investments'!F45</f>
        <v>14923</v>
      </c>
      <c r="G21" s="91">
        <f>'WC &amp; Investments'!G45</f>
        <v>19048</v>
      </c>
      <c r="H21" s="90">
        <f>'WC &amp; Investments'!H45</f>
        <v>19468.68</v>
      </c>
      <c r="I21" s="90">
        <f>'WC &amp; Investments'!I45</f>
        <v>21186.237599999997</v>
      </c>
      <c r="J21" s="90">
        <f>'WC &amp; Investments'!J45</f>
        <v>23077.419551999996</v>
      </c>
      <c r="K21" s="90">
        <f>'WC &amp; Investments'!K45</f>
        <v>24590.165529600003</v>
      </c>
      <c r="L21" s="90">
        <f>'WC &amp; Investments'!L45</f>
        <v>26178.548806080002</v>
      </c>
      <c r="N21" s="1" t="s">
        <v>201</v>
      </c>
    </row>
    <row r="22" spans="2:14" x14ac:dyDescent="0.2">
      <c r="B22" s="1" t="s">
        <v>202</v>
      </c>
      <c r="C22" s="90">
        <f>'WC &amp; Investments'!C35</f>
        <v>-105902</v>
      </c>
      <c r="D22" s="90">
        <f>'WC &amp; Investments'!D35</f>
        <v>-146687</v>
      </c>
      <c r="E22" s="90">
        <f>'WC &amp; Investments'!E35</f>
        <v>-66928</v>
      </c>
      <c r="F22" s="90">
        <f>'WC &amp; Investments'!F35</f>
        <v>-41772</v>
      </c>
      <c r="G22" s="91">
        <f>'WC &amp; Investments'!G35</f>
        <v>-149207</v>
      </c>
      <c r="H22" s="90">
        <f>'WC &amp; Investments'!H35</f>
        <v>-95299.402958904102</v>
      </c>
      <c r="I22" s="90">
        <f>'WC &amp; Investments'!I35</f>
        <v>-111838.15327561637</v>
      </c>
      <c r="J22" s="90">
        <f>'WC &amp; Investments'!J35</f>
        <v>-124575.67447969309</v>
      </c>
      <c r="K22" s="90">
        <f>'WC &amp; Investments'!K35</f>
        <v>-114814.11239708077</v>
      </c>
      <c r="L22" s="90">
        <f>'WC &amp; Investments'!L35</f>
        <v>-123783.03236017181</v>
      </c>
      <c r="N22" s="1" t="s">
        <v>201</v>
      </c>
    </row>
    <row r="25" spans="2:14" x14ac:dyDescent="0.2">
      <c r="C25" s="260" t="s">
        <v>311</v>
      </c>
      <c r="D25" s="260"/>
      <c r="E25" s="260"/>
      <c r="F25" s="260"/>
      <c r="G25" s="260"/>
      <c r="H25" s="260"/>
      <c r="I25" s="260"/>
      <c r="J25" s="260"/>
      <c r="K25" s="260"/>
      <c r="L25" s="260"/>
    </row>
    <row r="26" spans="2:14" x14ac:dyDescent="0.2">
      <c r="B26" s="16" t="s">
        <v>174</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203</v>
      </c>
      <c r="C27" s="147">
        <f>C10*(1-C15)</f>
        <v>-500946</v>
      </c>
      <c r="D27" s="147">
        <f t="shared" ref="D27:L27" si="6">D10*(1-D15)</f>
        <v>-348283</v>
      </c>
      <c r="E27" s="147">
        <f t="shared" si="6"/>
        <v>-164720</v>
      </c>
      <c r="F27" s="147">
        <f t="shared" si="6"/>
        <v>-162569</v>
      </c>
      <c r="G27" s="152">
        <f t="shared" si="6"/>
        <v>56760</v>
      </c>
      <c r="H27" s="147">
        <f t="shared" si="6"/>
        <v>100670.77439999991</v>
      </c>
      <c r="I27" s="147">
        <f t="shared" si="6"/>
        <v>109552.10860799986</v>
      </c>
      <c r="J27" s="147">
        <f t="shared" si="6"/>
        <v>203857.53253343998</v>
      </c>
      <c r="K27" s="147">
        <f t="shared" si="6"/>
        <v>226050.68530483209</v>
      </c>
      <c r="L27" s="147">
        <f t="shared" si="6"/>
        <v>325256.56957517768</v>
      </c>
    </row>
    <row r="28" spans="2:14" x14ac:dyDescent="0.2">
      <c r="B28" s="16" t="s">
        <v>311</v>
      </c>
      <c r="C28" s="96">
        <f>C27+C20-C21+C22</f>
        <v>-601022</v>
      </c>
      <c r="D28" s="96">
        <f t="shared" ref="D28:L28" si="7">D27+D20-D21+D22</f>
        <v>-500062</v>
      </c>
      <c r="E28" s="96">
        <f t="shared" si="7"/>
        <v>-216393</v>
      </c>
      <c r="F28" s="96">
        <f t="shared" si="7"/>
        <v>-202032</v>
      </c>
      <c r="G28" s="148">
        <f t="shared" si="7"/>
        <v>-94526</v>
      </c>
      <c r="H28" s="96">
        <f t="shared" si="7"/>
        <v>3601.4914410958008</v>
      </c>
      <c r="I28" s="96">
        <f t="shared" si="7"/>
        <v>-4212.0662676164939</v>
      </c>
      <c r="J28" s="96">
        <f t="shared" si="7"/>
        <v>77183.910821746889</v>
      </c>
      <c r="K28" s="96">
        <f t="shared" si="7"/>
        <v>109001.10331415133</v>
      </c>
      <c r="L28" s="96">
        <f t="shared" si="7"/>
        <v>199093.66914172584</v>
      </c>
    </row>
    <row r="31" spans="2:14" x14ac:dyDescent="0.2">
      <c r="C31" s="260" t="s">
        <v>78</v>
      </c>
      <c r="D31" s="260"/>
      <c r="E31" s="260"/>
      <c r="F31" s="260"/>
      <c r="G31" s="260"/>
      <c r="H31" s="260"/>
      <c r="I31" s="260"/>
      <c r="J31" s="260"/>
      <c r="K31" s="260"/>
      <c r="L31" s="260"/>
    </row>
    <row r="32" spans="2:14" x14ac:dyDescent="0.2">
      <c r="B32" s="16" t="s">
        <v>390</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7">
        <f>H8/H6</f>
        <v>0.84199999999999997</v>
      </c>
      <c r="I33" s="237">
        <f t="shared" ref="I33:L33" si="9">I8/I6</f>
        <v>0.84199999999999997</v>
      </c>
      <c r="J33" s="237">
        <f t="shared" si="9"/>
        <v>0.85799999999999998</v>
      </c>
      <c r="K33" s="237">
        <f t="shared" si="9"/>
        <v>0.8580000000000001</v>
      </c>
      <c r="L33" s="237">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7">
        <f>H10/H6</f>
        <v>7.1999999999999925E-2</v>
      </c>
      <c r="I34" s="237">
        <f t="shared" ref="I34:L34" si="10">I10/I6</f>
        <v>7.1999999999999911E-2</v>
      </c>
      <c r="J34" s="237">
        <f t="shared" si="10"/>
        <v>0.123</v>
      </c>
      <c r="K34" s="237">
        <f t="shared" si="10"/>
        <v>0.12800000000000003</v>
      </c>
      <c r="L34" s="237">
        <f t="shared" si="10"/>
        <v>0.17300000000000001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206</v>
      </c>
    </row>
    <row r="2" spans="1:3" s="85" customFormat="1" ht="18" customHeight="1" x14ac:dyDescent="0.2">
      <c r="A2" s="4"/>
      <c r="B2" s="84"/>
    </row>
    <row r="3" spans="1:3" ht="17" customHeight="1" x14ac:dyDescent="0.2"/>
    <row r="4" spans="1:3" ht="17" customHeight="1" x14ac:dyDescent="0.2">
      <c r="B4" s="252" t="s">
        <v>207</v>
      </c>
      <c r="C4" s="252"/>
    </row>
    <row r="5" spans="1:3" ht="17" customHeight="1" x14ac:dyDescent="0.2">
      <c r="B5" s="1" t="s">
        <v>208</v>
      </c>
      <c r="C5" s="157">
        <f>Statement!AC78</f>
        <v>522355</v>
      </c>
    </row>
    <row r="6" spans="1:3" ht="17" customHeight="1" x14ac:dyDescent="0.2">
      <c r="B6" s="1" t="s">
        <v>1</v>
      </c>
      <c r="C6" s="154">
        <f ca="1">Overview!C5</f>
        <v>9.9350000000000005</v>
      </c>
    </row>
    <row r="7" spans="1:3" ht="17" customHeight="1" x14ac:dyDescent="0.2">
      <c r="B7" s="1" t="s">
        <v>209</v>
      </c>
      <c r="C7" s="155">
        <f ca="1">C5*C6</f>
        <v>5189596.9249999998</v>
      </c>
    </row>
    <row r="8" spans="1:3" ht="17" customHeight="1" x14ac:dyDescent="0.2">
      <c r="B8" s="1" t="s">
        <v>210</v>
      </c>
      <c r="C8" s="133">
        <f>Statement!AC108</f>
        <v>0</v>
      </c>
    </row>
    <row r="9" spans="1:3" ht="17" customHeight="1" x14ac:dyDescent="0.2">
      <c r="B9" s="1" t="s">
        <v>211</v>
      </c>
      <c r="C9" s="156">
        <f ca="1">Overview!F27</f>
        <v>4.3920000000000001E-2</v>
      </c>
    </row>
    <row r="10" spans="1:3" ht="17" customHeight="1" x14ac:dyDescent="0.2">
      <c r="B10" s="1" t="s">
        <v>9</v>
      </c>
      <c r="C10" s="154">
        <f ca="1">Overview!C13</f>
        <v>0.98829999999999996</v>
      </c>
    </row>
    <row r="11" spans="1:3" ht="17" customHeight="1" x14ac:dyDescent="0.2">
      <c r="B11" s="1" t="s">
        <v>212</v>
      </c>
      <c r="C11" s="156">
        <f>[1]Sheet1!$C$12</f>
        <v>4.4999999999999998E-2</v>
      </c>
    </row>
    <row r="12" spans="1:3" ht="17" customHeight="1" x14ac:dyDescent="0.2">
      <c r="B12" s="1" t="s">
        <v>74</v>
      </c>
      <c r="C12" s="156">
        <f>Overview!C26</f>
        <v>0.21</v>
      </c>
    </row>
    <row r="13" spans="1:3" ht="17" customHeight="1" x14ac:dyDescent="0.2">
      <c r="B13" s="1" t="s">
        <v>213</v>
      </c>
      <c r="C13" s="156">
        <f>Overview!C27</f>
        <v>0</v>
      </c>
    </row>
    <row r="14" spans="1:3" ht="17" customHeight="1" x14ac:dyDescent="0.2"/>
    <row r="15" spans="1:3" ht="17" customHeight="1" x14ac:dyDescent="0.2">
      <c r="B15" s="252" t="s">
        <v>214</v>
      </c>
      <c r="C15" s="252"/>
    </row>
    <row r="16" spans="1:3" ht="17" customHeight="1" x14ac:dyDescent="0.2">
      <c r="B16" s="1" t="s">
        <v>215</v>
      </c>
      <c r="C16" s="46">
        <f ca="1">C8/(C8+C7)</f>
        <v>0</v>
      </c>
    </row>
    <row r="17" spans="2:3" ht="17" customHeight="1" x14ac:dyDescent="0.2">
      <c r="B17" s="1" t="s">
        <v>216</v>
      </c>
      <c r="C17" s="46">
        <f ca="1">C7/(C8+C7)</f>
        <v>1</v>
      </c>
    </row>
    <row r="18" spans="2:3" ht="17" customHeight="1" x14ac:dyDescent="0.2">
      <c r="B18" s="1" t="s">
        <v>217</v>
      </c>
      <c r="C18" s="46">
        <f>C13*(1-C12)</f>
        <v>0</v>
      </c>
    </row>
    <row r="19" spans="2:3" ht="17" customHeight="1" x14ac:dyDescent="0.2">
      <c r="B19" s="1" t="s">
        <v>218</v>
      </c>
      <c r="C19" s="46">
        <f ca="1">C9+C10*C11</f>
        <v>8.83935E-2</v>
      </c>
    </row>
    <row r="20" spans="2:3" ht="17" customHeight="1" x14ac:dyDescent="0.2">
      <c r="B20" s="1" t="s">
        <v>206</v>
      </c>
      <c r="C20" s="46">
        <f ca="1">(C17*C19)+(C16*C18)</f>
        <v>8.83935E-2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C6" sqref="C6:L6"/>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220</v>
      </c>
    </row>
    <row r="2" spans="1:28" s="85" customFormat="1" ht="18" customHeight="1" x14ac:dyDescent="0.2">
      <c r="A2" s="4"/>
      <c r="B2" s="84"/>
    </row>
    <row r="3" spans="1:28" x14ac:dyDescent="0.2">
      <c r="A3" s="4"/>
      <c r="C3" s="252" t="s">
        <v>137</v>
      </c>
      <c r="D3" s="252"/>
      <c r="E3" s="252"/>
      <c r="F3" s="252"/>
      <c r="G3" s="258"/>
      <c r="H3" s="259" t="s">
        <v>138</v>
      </c>
      <c r="I3" s="252"/>
      <c r="J3" s="252"/>
      <c r="K3" s="252"/>
      <c r="L3" s="252"/>
      <c r="P3" s="263"/>
      <c r="Q3" s="263"/>
      <c r="R3" s="263"/>
      <c r="S3" s="263"/>
      <c r="T3" s="263"/>
      <c r="U3" s="263"/>
      <c r="V3" s="263"/>
      <c r="W3" s="263"/>
      <c r="X3" s="263"/>
      <c r="Y3" s="263"/>
      <c r="Z3" s="263"/>
      <c r="AB3" s="130"/>
    </row>
    <row r="4" spans="1:28" ht="10" customHeight="1" x14ac:dyDescent="0.2"/>
    <row r="5" spans="1:28" ht="16" customHeight="1" x14ac:dyDescent="0.2">
      <c r="A5" s="88"/>
      <c r="B5" s="60"/>
      <c r="C5" s="260" t="s">
        <v>221</v>
      </c>
      <c r="D5" s="260"/>
      <c r="E5" s="260"/>
      <c r="F5" s="260"/>
      <c r="G5" s="260"/>
      <c r="H5" s="260"/>
      <c r="I5" s="260"/>
      <c r="J5" s="260"/>
      <c r="K5" s="260"/>
      <c r="L5" s="260"/>
      <c r="P5" s="263"/>
      <c r="Q5" s="263"/>
      <c r="R5" s="263"/>
      <c r="S5" s="263"/>
      <c r="T5" s="263"/>
      <c r="U5" s="263"/>
      <c r="V5" s="263"/>
      <c r="W5" s="263"/>
      <c r="X5" s="263"/>
      <c r="Y5" s="263"/>
      <c r="Z5" s="263"/>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311</v>
      </c>
      <c r="C7" s="133">
        <f>'FCF &amp; Other'!C28</f>
        <v>-601022</v>
      </c>
      <c r="D7" s="133">
        <f>'FCF &amp; Other'!D28</f>
        <v>-500062</v>
      </c>
      <c r="E7" s="133">
        <f>'FCF &amp; Other'!E28</f>
        <v>-216393</v>
      </c>
      <c r="F7" s="133">
        <f>'FCF &amp; Other'!F28</f>
        <v>-202032</v>
      </c>
      <c r="G7" s="134">
        <f>'FCF &amp; Other'!G28</f>
        <v>-94526</v>
      </c>
      <c r="H7" s="133">
        <f>'FCF &amp; Other'!H28</f>
        <v>3601.4914410958008</v>
      </c>
      <c r="I7" s="133">
        <f>'FCF &amp; Other'!I28</f>
        <v>-4212.0662676164939</v>
      </c>
      <c r="J7" s="133">
        <f>'FCF &amp; Other'!J28</f>
        <v>77183.910821746889</v>
      </c>
      <c r="K7" s="133">
        <f>'FCF &amp; Other'!K28</f>
        <v>109001.10331415133</v>
      </c>
      <c r="L7" s="133">
        <f>'FCF &amp; Other'!L28</f>
        <v>199093.66914172584</v>
      </c>
      <c r="N7" s="93"/>
      <c r="O7" s="16"/>
      <c r="P7" s="94"/>
      <c r="Q7" s="94"/>
      <c r="R7" s="94"/>
      <c r="S7" s="94"/>
      <c r="T7" s="94"/>
      <c r="U7" s="94"/>
      <c r="V7" s="94"/>
      <c r="W7" s="94"/>
      <c r="X7" s="96"/>
      <c r="Y7" s="96"/>
      <c r="Z7" s="96"/>
      <c r="AB7" s="96"/>
    </row>
    <row r="8" spans="1:28" x14ac:dyDescent="0.2">
      <c r="B8" s="39" t="s">
        <v>222</v>
      </c>
      <c r="C8" s="147">
        <v>0</v>
      </c>
      <c r="D8" s="147">
        <v>0</v>
      </c>
      <c r="E8" s="147">
        <v>0</v>
      </c>
      <c r="F8" s="147">
        <v>0</v>
      </c>
      <c r="G8" s="152">
        <v>0</v>
      </c>
      <c r="H8" s="147">
        <v>0</v>
      </c>
      <c r="I8" s="147">
        <v>0</v>
      </c>
      <c r="J8" s="147">
        <v>0</v>
      </c>
      <c r="K8" s="147">
        <v>0</v>
      </c>
      <c r="L8" s="147">
        <f>L7*(1+C14)/(C15-C14)</f>
        <v>2538444.2815570044</v>
      </c>
      <c r="N8" s="93"/>
      <c r="O8" s="16"/>
      <c r="P8" s="94"/>
      <c r="Q8" s="94"/>
      <c r="R8" s="94"/>
      <c r="S8" s="94"/>
      <c r="T8" s="94"/>
      <c r="U8" s="94"/>
      <c r="V8" s="94"/>
      <c r="W8" s="94"/>
      <c r="X8" s="96"/>
      <c r="Y8" s="96"/>
      <c r="Z8" s="96"/>
      <c r="AB8" s="96"/>
    </row>
    <row r="9" spans="1:28" x14ac:dyDescent="0.2">
      <c r="B9" s="1" t="s">
        <v>223</v>
      </c>
      <c r="C9" s="158"/>
      <c r="D9" s="158"/>
      <c r="E9" s="158"/>
      <c r="F9" s="158"/>
      <c r="G9" s="159"/>
      <c r="H9" s="160">
        <v>1</v>
      </c>
      <c r="I9" s="160">
        <v>2</v>
      </c>
      <c r="J9" s="160">
        <v>3</v>
      </c>
      <c r="K9" s="160">
        <v>4</v>
      </c>
      <c r="L9" s="160">
        <v>5</v>
      </c>
      <c r="N9" s="93"/>
    </row>
    <row r="10" spans="1:28" x14ac:dyDescent="0.2">
      <c r="B10" s="1" t="s">
        <v>373</v>
      </c>
      <c r="C10" s="158"/>
      <c r="D10" s="158"/>
      <c r="E10" s="158"/>
      <c r="F10" s="158"/>
      <c r="G10" s="159"/>
      <c r="H10" s="147">
        <f>H7/(1+$C$15)^H9</f>
        <v>3274.0831282689096</v>
      </c>
      <c r="I10" s="147">
        <f t="shared" ref="I10:L10" si="0">I7/(1+$C$15)^I9</f>
        <v>-3481.0465021623909</v>
      </c>
      <c r="J10" s="147">
        <f t="shared" si="0"/>
        <v>57989.414591845882</v>
      </c>
      <c r="K10" s="147">
        <f t="shared" si="0"/>
        <v>74449.220213203545</v>
      </c>
      <c r="L10" s="147">
        <f t="shared" si="0"/>
        <v>123621.50445618207</v>
      </c>
      <c r="N10" s="93"/>
    </row>
    <row r="11" spans="1:28" x14ac:dyDescent="0.2">
      <c r="B11" s="1" t="s">
        <v>224</v>
      </c>
      <c r="C11" s="158"/>
      <c r="D11" s="158"/>
      <c r="E11" s="158"/>
      <c r="F11" s="158"/>
      <c r="G11" s="159"/>
      <c r="H11" s="158"/>
      <c r="I11" s="158"/>
      <c r="J11" s="158"/>
      <c r="K11" s="158"/>
      <c r="L11" s="147">
        <f>L8/(1+C15)^L9</f>
        <v>1576174.1818163213</v>
      </c>
    </row>
    <row r="13" spans="1:28" x14ac:dyDescent="0.2">
      <c r="B13" s="252" t="s">
        <v>225</v>
      </c>
      <c r="C13" s="252"/>
    </row>
    <row r="14" spans="1:28" x14ac:dyDescent="0.2">
      <c r="B14" s="1" t="s">
        <v>226</v>
      </c>
      <c r="C14" s="161">
        <v>0.02</v>
      </c>
    </row>
    <row r="15" spans="1:28" x14ac:dyDescent="0.2">
      <c r="B15" s="1" t="s">
        <v>206</v>
      </c>
      <c r="C15" s="156">
        <f>IF(Overview!C28&gt;0,Overview!C28,WACC!C20)</f>
        <v>0.1</v>
      </c>
    </row>
    <row r="18" spans="2:3" x14ac:dyDescent="0.2">
      <c r="B18" s="252" t="s">
        <v>227</v>
      </c>
      <c r="C18" s="252"/>
    </row>
    <row r="19" spans="2:3" x14ac:dyDescent="0.2">
      <c r="B19" s="1" t="s">
        <v>228</v>
      </c>
      <c r="C19" s="64">
        <f>SUM(H10:L10)</f>
        <v>255853.175887338</v>
      </c>
    </row>
    <row r="20" spans="2:3" x14ac:dyDescent="0.2">
      <c r="B20" s="1" t="s">
        <v>224</v>
      </c>
      <c r="C20" s="64">
        <f>L11</f>
        <v>1576174.1818163213</v>
      </c>
    </row>
    <row r="21" spans="2:3" x14ac:dyDescent="0.2">
      <c r="B21" s="16" t="s">
        <v>229</v>
      </c>
      <c r="C21" s="96">
        <f>C19+C20</f>
        <v>1832027.3577036592</v>
      </c>
    </row>
    <row r="22" spans="2:3" x14ac:dyDescent="0.2">
      <c r="B22" s="1" t="s">
        <v>230</v>
      </c>
      <c r="C22" s="90">
        <f>Statement!AC107</f>
        <v>1415746</v>
      </c>
    </row>
    <row r="23" spans="2:3" x14ac:dyDescent="0.2">
      <c r="B23" s="1" t="s">
        <v>231</v>
      </c>
      <c r="C23" s="90">
        <f>Statement!AC108</f>
        <v>0</v>
      </c>
    </row>
    <row r="24" spans="2:3" x14ac:dyDescent="0.2">
      <c r="B24" s="16" t="s">
        <v>232</v>
      </c>
      <c r="C24" s="96">
        <f>C21+C22-C23</f>
        <v>3247773.3577036592</v>
      </c>
    </row>
    <row r="25" spans="2:3" x14ac:dyDescent="0.2">
      <c r="B25" s="1" t="s">
        <v>70</v>
      </c>
      <c r="C25" s="90">
        <f>Statement!AC78</f>
        <v>522355</v>
      </c>
    </row>
    <row r="26" spans="2:3" x14ac:dyDescent="0.2">
      <c r="B26" s="162" t="s">
        <v>233</v>
      </c>
      <c r="C26" s="163">
        <f>C24/C25</f>
        <v>6.2175596245918179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zoomScale="192" zoomScaleNormal="100" workbookViewId="0">
      <selection activeCell="C5" sqref="C5:L5"/>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234</v>
      </c>
    </row>
    <row r="2" spans="1:14" x14ac:dyDescent="0.2">
      <c r="A2" s="4"/>
      <c r="C2" s="252" t="s">
        <v>137</v>
      </c>
      <c r="D2" s="252"/>
      <c r="E2" s="252"/>
      <c r="F2" s="252"/>
      <c r="G2" s="258"/>
      <c r="H2" s="259" t="s">
        <v>138</v>
      </c>
      <c r="I2" s="252"/>
      <c r="J2" s="252"/>
      <c r="K2" s="252"/>
      <c r="L2" s="252"/>
    </row>
    <row r="3" spans="1:14" ht="10" customHeight="1" x14ac:dyDescent="0.2"/>
    <row r="4" spans="1:14" ht="16" customHeight="1" x14ac:dyDescent="0.2">
      <c r="A4" s="88"/>
      <c r="B4" s="60"/>
      <c r="C4" s="260" t="s">
        <v>235</v>
      </c>
      <c r="D4" s="260"/>
      <c r="E4" s="260"/>
      <c r="F4" s="260"/>
      <c r="G4" s="260"/>
      <c r="H4" s="260"/>
      <c r="I4" s="260"/>
      <c r="J4" s="260"/>
      <c r="K4" s="260"/>
      <c r="L4" s="260"/>
    </row>
    <row r="5" spans="1:14" x14ac:dyDescent="0.2">
      <c r="B5" s="16" t="s">
        <v>141</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row>
    <row r="7" spans="1:14" x14ac:dyDescent="0.2">
      <c r="B7" s="16" t="s">
        <v>198</v>
      </c>
      <c r="C7" s="94">
        <f>'FCF &amp; Other'!C10</f>
        <v>-500946</v>
      </c>
      <c r="D7" s="94">
        <f>'FCF &amp; Other'!D10</f>
        <v>-348283</v>
      </c>
      <c r="E7" s="94">
        <f>'FCF &amp; Other'!E10</f>
        <v>-164720</v>
      </c>
      <c r="F7" s="94">
        <f>'FCF &amp; Other'!F10</f>
        <v>-162569</v>
      </c>
      <c r="G7" s="95">
        <f>'FCF &amp; Other'!G10</f>
        <v>56760</v>
      </c>
      <c r="H7" s="94">
        <f>'FCF &amp; Other'!H10</f>
        <v>127431.35999999987</v>
      </c>
      <c r="I7" s="94">
        <f>'FCF &amp; Other'!I10</f>
        <v>138673.55519999983</v>
      </c>
      <c r="J7" s="94">
        <f>'FCF &amp; Other'!J10</f>
        <v>258047.50953599997</v>
      </c>
      <c r="K7" s="94">
        <f>'FCF &amp; Other'!K10</f>
        <v>286140.10798080009</v>
      </c>
      <c r="L7" s="94">
        <f>'FCF &amp; Other'!L10</f>
        <v>411717.17667744006</v>
      </c>
      <c r="N7" s="93"/>
    </row>
    <row r="8" spans="1:14" x14ac:dyDescent="0.2">
      <c r="B8" s="16" t="s">
        <v>311</v>
      </c>
      <c r="C8" s="94">
        <f>'FCF &amp; Other'!C28</f>
        <v>-601022</v>
      </c>
      <c r="D8" s="94">
        <f>'FCF &amp; Other'!D28</f>
        <v>-500062</v>
      </c>
      <c r="E8" s="94">
        <f>'FCF &amp; Other'!E28</f>
        <v>-216393</v>
      </c>
      <c r="F8" s="94">
        <f>'FCF &amp; Other'!F28</f>
        <v>-202032</v>
      </c>
      <c r="G8" s="95">
        <f>'FCF &amp; Other'!G28</f>
        <v>-94526</v>
      </c>
      <c r="H8" s="94">
        <f>'FCF &amp; Other'!H28</f>
        <v>3601.4914410958008</v>
      </c>
      <c r="I8" s="94">
        <f>'FCF &amp; Other'!I28</f>
        <v>-4212.0662676164939</v>
      </c>
      <c r="J8" s="94">
        <f>'FCF &amp; Other'!J28</f>
        <v>77183.910821746889</v>
      </c>
      <c r="K8" s="94">
        <f>'FCF &amp; Other'!K28</f>
        <v>109001.10331415133</v>
      </c>
      <c r="L8" s="94">
        <f>'FCF &amp; Other'!L28</f>
        <v>199093.66914172584</v>
      </c>
      <c r="N8" s="93"/>
    </row>
    <row r="9" spans="1:14" x14ac:dyDescent="0.2">
      <c r="N9" s="93"/>
    </row>
    <row r="10" spans="1:14" x14ac:dyDescent="0.2">
      <c r="C10" s="260" t="s">
        <v>146</v>
      </c>
      <c r="D10" s="260"/>
      <c r="E10" s="260"/>
      <c r="F10" s="260"/>
      <c r="G10" s="260"/>
      <c r="H10" s="260"/>
      <c r="I10" s="260"/>
      <c r="J10" s="260"/>
      <c r="K10" s="260"/>
      <c r="L10" s="260"/>
      <c r="N10" s="93"/>
    </row>
    <row r="11" spans="1:14" x14ac:dyDescent="0.2">
      <c r="B11" s="16" t="s">
        <v>236</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20</v>
      </c>
      <c r="C12" s="158"/>
      <c r="D12" s="97">
        <f>(D6-C6)/C6</f>
        <v>0.18641482451146088</v>
      </c>
      <c r="E12" s="97">
        <f t="shared" ref="E12:L12" si="1">(E6-D6)/D6</f>
        <v>0.23568437370404344</v>
      </c>
      <c r="F12" s="97">
        <f t="shared" si="1"/>
        <v>9.2955127852289474E-2</v>
      </c>
      <c r="G12" s="98">
        <f t="shared" si="1"/>
        <v>0.12653882310808692</v>
      </c>
      <c r="H12" s="97">
        <f t="shared" si="1"/>
        <v>9.8913926232419291E-2</v>
      </c>
      <c r="I12" s="97">
        <f t="shared" si="1"/>
        <v>8.8221574344023251E-2</v>
      </c>
      <c r="J12" s="97">
        <f t="shared" si="1"/>
        <v>8.9264643761004542E-2</v>
      </c>
      <c r="K12" s="97">
        <f t="shared" si="1"/>
        <v>6.5550915438849527E-2</v>
      </c>
      <c r="L12" s="97">
        <f t="shared" si="1"/>
        <v>6.4594249053265163E-2</v>
      </c>
      <c r="N12" s="93"/>
    </row>
    <row r="13" spans="1:14" x14ac:dyDescent="0.2">
      <c r="B13" s="1" t="s">
        <v>198</v>
      </c>
      <c r="C13" s="158"/>
      <c r="D13" s="97">
        <f>IF(C7=0,
IF(D7=0,0,IF(D7&gt;0,1,-1)),
(D7-C7)/ABS(C7)
)</f>
        <v>0.3047494141085067</v>
      </c>
      <c r="E13" s="97">
        <f t="shared" ref="E13:L13" si="2">IF(D7=0,
IF(E7=0,0,IF(E7&gt;0,1,-1)),
(E7-D7)/ABS(D7)
)</f>
        <v>0.52705127726590162</v>
      </c>
      <c r="F13" s="97">
        <f t="shared" si="2"/>
        <v>1.3058523555123847E-2</v>
      </c>
      <c r="G13" s="98">
        <f t="shared" si="2"/>
        <v>1.3491440557547871</v>
      </c>
      <c r="H13" s="97">
        <f t="shared" si="2"/>
        <v>1.2450909090909068</v>
      </c>
      <c r="I13" s="97">
        <f t="shared" si="2"/>
        <v>8.8221574344023085E-2</v>
      </c>
      <c r="J13" s="97">
        <f t="shared" si="2"/>
        <v>0.86082709975838489</v>
      </c>
      <c r="K13" s="97">
        <f t="shared" si="2"/>
        <v>0.10886599330221768</v>
      </c>
      <c r="L13" s="97">
        <f t="shared" si="2"/>
        <v>0.43886566473605354</v>
      </c>
      <c r="N13" s="93"/>
    </row>
    <row r="14" spans="1:14" x14ac:dyDescent="0.2">
      <c r="B14" s="1" t="s">
        <v>311</v>
      </c>
      <c r="C14" s="158"/>
      <c r="D14" s="97">
        <f>IF(C8=0,
IF(D8=0,0,IF(D8&gt;0,1,-1)),
(D8-C8)/ABS(C8)
)</f>
        <v>0.16798053981385042</v>
      </c>
      <c r="E14" s="97">
        <f t="shared" ref="E14:L14" si="3">IF(D8=0,
IF(E8=0,0,IF(E8&gt;0,1,-1)),
(E8-D8)/ABS(D8)
)</f>
        <v>0.5672676588103075</v>
      </c>
      <c r="F14" s="97">
        <f t="shared" si="3"/>
        <v>6.6365363020060728E-2</v>
      </c>
      <c r="G14" s="98">
        <f t="shared" si="3"/>
        <v>0.53212362398035951</v>
      </c>
      <c r="H14" s="97">
        <f t="shared" si="3"/>
        <v>1.038100537853033</v>
      </c>
      <c r="I14" s="97">
        <f t="shared" si="3"/>
        <v>-2.1695338824225883</v>
      </c>
      <c r="J14" s="97">
        <f t="shared" si="3"/>
        <v>19.324476852407972</v>
      </c>
      <c r="K14" s="97">
        <f t="shared" si="3"/>
        <v>0.4122257106909879</v>
      </c>
      <c r="L14" s="97">
        <f t="shared" si="3"/>
        <v>0.82652893492205615</v>
      </c>
      <c r="N14" s="93"/>
    </row>
    <row r="15" spans="1:14" x14ac:dyDescent="0.2">
      <c r="N15" s="93"/>
    </row>
    <row r="16" spans="1:14" x14ac:dyDescent="0.2">
      <c r="C16" s="260" t="s">
        <v>237</v>
      </c>
      <c r="D16" s="260"/>
      <c r="E16" s="260"/>
      <c r="F16" s="260"/>
      <c r="G16" s="260"/>
      <c r="H16" s="260"/>
      <c r="I16" s="260"/>
      <c r="J16" s="260"/>
      <c r="K16" s="260"/>
      <c r="L16" s="260"/>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238</v>
      </c>
      <c r="C18" s="103">
        <f>Statement!M22</f>
        <v>454625</v>
      </c>
      <c r="D18" s="103">
        <f>Statement!N22</f>
        <v>548022</v>
      </c>
      <c r="E18" s="103">
        <f>Statement!O22</f>
        <v>653855</v>
      </c>
      <c r="F18" s="103">
        <f>Statement!P22</f>
        <v>559933</v>
      </c>
      <c r="G18" s="104">
        <f>Statement!Q22</f>
        <v>544860</v>
      </c>
      <c r="H18" s="164">
        <f>G18*(1+H19)</f>
        <v>528514.19999999995</v>
      </c>
      <c r="I18" s="164">
        <f t="shared" ref="I18:L18" si="5">H18*(1+I19)</f>
        <v>512658.77399999992</v>
      </c>
      <c r="J18" s="164">
        <f t="shared" si="5"/>
        <v>502405.59851999988</v>
      </c>
      <c r="K18" s="164">
        <f t="shared" si="5"/>
        <v>492357.48654959985</v>
      </c>
      <c r="L18" s="164">
        <f t="shared" si="5"/>
        <v>482510.33681860787</v>
      </c>
      <c r="N18" s="93"/>
    </row>
    <row r="19" spans="2:14" x14ac:dyDescent="0.2">
      <c r="B19" s="1" t="s">
        <v>239</v>
      </c>
      <c r="C19" s="158"/>
      <c r="D19" s="165">
        <f>D18/C18-1</f>
        <v>0.20543744844652179</v>
      </c>
      <c r="E19" s="165">
        <f t="shared" ref="E19:G19" si="6">E18/D18-1</f>
        <v>0.19311815948994759</v>
      </c>
      <c r="F19" s="165">
        <f t="shared" si="6"/>
        <v>-0.14364346835307518</v>
      </c>
      <c r="G19" s="166">
        <f t="shared" si="6"/>
        <v>-2.6919292129594097E-2</v>
      </c>
      <c r="H19" s="167">
        <v>-0.03</v>
      </c>
      <c r="I19" s="99">
        <v>-0.03</v>
      </c>
      <c r="J19" s="99">
        <v>-0.02</v>
      </c>
      <c r="K19" s="99">
        <v>-0.02</v>
      </c>
      <c r="L19" s="99">
        <v>-0.02</v>
      </c>
      <c r="N19" s="93"/>
    </row>
    <row r="20" spans="2:14" x14ac:dyDescent="0.2">
      <c r="N20" s="93"/>
    </row>
    <row r="21" spans="2:14" x14ac:dyDescent="0.2">
      <c r="C21" s="260" t="s">
        <v>240</v>
      </c>
      <c r="D21" s="260"/>
      <c r="E21" s="260"/>
      <c r="F21" s="260"/>
      <c r="G21" s="260"/>
      <c r="H21" s="260"/>
      <c r="I21" s="260"/>
      <c r="J21" s="260"/>
      <c r="K21" s="260"/>
      <c r="L21" s="260"/>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8">
        <f>Statement!M116</f>
        <v>33.43</v>
      </c>
      <c r="D23" s="168">
        <f>Statement!N116</f>
        <v>14.57</v>
      </c>
      <c r="E23" s="168">
        <f>Statement!O116</f>
        <v>23.85</v>
      </c>
      <c r="F23" s="168">
        <f>Statement!P116</f>
        <v>14.58</v>
      </c>
      <c r="G23" s="169">
        <f>Statement!Q116</f>
        <v>12.59</v>
      </c>
      <c r="H23" s="158"/>
      <c r="I23" s="158"/>
      <c r="J23" s="158"/>
      <c r="K23" s="158"/>
      <c r="L23" s="158"/>
      <c r="N23" s="93"/>
    </row>
    <row r="24" spans="2:14" x14ac:dyDescent="0.2">
      <c r="N24" s="93"/>
    </row>
    <row r="25" spans="2:14" x14ac:dyDescent="0.2">
      <c r="N25" s="93"/>
    </row>
    <row r="26" spans="2:14" x14ac:dyDescent="0.2">
      <c r="C26" s="260" t="s">
        <v>241</v>
      </c>
      <c r="D26" s="260"/>
      <c r="E26" s="260"/>
      <c r="F26" s="260"/>
      <c r="G26" s="260"/>
      <c r="H26" s="260"/>
      <c r="I26" s="260"/>
      <c r="J26" s="260"/>
      <c r="K26" s="260"/>
      <c r="L26" s="260"/>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242</v>
      </c>
      <c r="C28" s="170">
        <f>C23/(C6/C18)</f>
        <v>17.03343197885799</v>
      </c>
      <c r="D28" s="170">
        <f t="shared" ref="D28:G28" si="9">D23/(D6/D18)</f>
        <v>7.5428149003241138</v>
      </c>
      <c r="E28" s="170">
        <f t="shared" si="9"/>
        <v>11.921699837623619</v>
      </c>
      <c r="F28" s="170">
        <f t="shared" si="9"/>
        <v>5.7103089537122012</v>
      </c>
      <c r="G28" s="171">
        <f t="shared" si="9"/>
        <v>4.2592243004348767</v>
      </c>
      <c r="H28" s="158"/>
      <c r="I28" s="158"/>
      <c r="J28" s="158"/>
      <c r="K28" s="158"/>
      <c r="L28" s="158"/>
      <c r="N28" s="93"/>
    </row>
    <row r="29" spans="2:14" x14ac:dyDescent="0.2">
      <c r="B29" s="1" t="s">
        <v>243</v>
      </c>
      <c r="C29" s="164">
        <f>C23*C18</f>
        <v>15198113.75</v>
      </c>
      <c r="D29" s="164">
        <f t="shared" ref="D29:G29" si="10">D23*D18</f>
        <v>7984680.54</v>
      </c>
      <c r="E29" s="164">
        <f t="shared" si="10"/>
        <v>15594441.75</v>
      </c>
      <c r="F29" s="164">
        <f t="shared" si="10"/>
        <v>8163823.1399999997</v>
      </c>
      <c r="G29" s="172">
        <f t="shared" si="10"/>
        <v>6859787.4000000004</v>
      </c>
      <c r="H29" s="158"/>
      <c r="I29" s="158"/>
      <c r="J29" s="158"/>
      <c r="K29" s="158"/>
      <c r="L29" s="158"/>
      <c r="N29" s="93"/>
    </row>
    <row r="30" spans="2:14" x14ac:dyDescent="0.2">
      <c r="B30" s="1" t="s">
        <v>210</v>
      </c>
      <c r="C30" s="90">
        <f>Statement!M108</f>
        <v>0</v>
      </c>
      <c r="D30" s="173">
        <f>Statement!N108</f>
        <v>0</v>
      </c>
      <c r="E30" s="173">
        <f>Statement!O108</f>
        <v>0</v>
      </c>
      <c r="F30" s="173">
        <f>Statement!P108</f>
        <v>0</v>
      </c>
      <c r="G30" s="174">
        <f>Statement!Q108</f>
        <v>0</v>
      </c>
      <c r="H30" s="158"/>
      <c r="I30" s="158"/>
      <c r="J30" s="158"/>
      <c r="K30" s="158"/>
      <c r="L30" s="158"/>
      <c r="N30" s="93"/>
    </row>
    <row r="31" spans="2:14" x14ac:dyDescent="0.2">
      <c r="B31" s="1" t="s">
        <v>219</v>
      </c>
      <c r="C31" s="173">
        <f>Statement!M107</f>
        <v>1884663</v>
      </c>
      <c r="D31" s="173">
        <f>Statement!N107</f>
        <v>1759835</v>
      </c>
      <c r="E31" s="173">
        <f>Statement!O107</f>
        <v>1879823</v>
      </c>
      <c r="F31" s="173">
        <f>Statement!P107</f>
        <v>1723631</v>
      </c>
      <c r="G31" s="174">
        <f>Statement!Q107</f>
        <v>1689476</v>
      </c>
      <c r="H31" s="158"/>
      <c r="I31" s="158"/>
      <c r="J31" s="158"/>
      <c r="K31" s="158"/>
      <c r="L31" s="158"/>
      <c r="N31" s="93"/>
    </row>
    <row r="32" spans="2:14" x14ac:dyDescent="0.2">
      <c r="B32" s="1" t="s">
        <v>244</v>
      </c>
      <c r="C32" s="164">
        <f>C29+C30-C31</f>
        <v>13313450.75</v>
      </c>
      <c r="D32" s="164">
        <f t="shared" ref="D32:G32" si="11">D29+D30-D31</f>
        <v>6224845.54</v>
      </c>
      <c r="E32" s="164">
        <f t="shared" si="11"/>
        <v>13714618.75</v>
      </c>
      <c r="F32" s="164">
        <f t="shared" si="11"/>
        <v>6440192.1399999997</v>
      </c>
      <c r="G32" s="172">
        <f t="shared" si="11"/>
        <v>5170311.4000000004</v>
      </c>
      <c r="H32" s="158"/>
      <c r="I32" s="158"/>
      <c r="J32" s="158"/>
      <c r="K32" s="158"/>
      <c r="L32" s="158"/>
      <c r="N32" s="93"/>
    </row>
    <row r="33" spans="2:14" x14ac:dyDescent="0.2">
      <c r="B33" s="16" t="s">
        <v>245</v>
      </c>
      <c r="C33" s="170">
        <f>C32/C7</f>
        <v>-26.57661853772662</v>
      </c>
      <c r="D33" s="170">
        <f t="shared" ref="D33:G33" si="12">D32/D7</f>
        <v>-17.872952570179997</v>
      </c>
      <c r="E33" s="170">
        <f t="shared" si="12"/>
        <v>-83.260191537153958</v>
      </c>
      <c r="F33" s="170">
        <f t="shared" si="12"/>
        <v>-39.615130436922165</v>
      </c>
      <c r="G33" s="171">
        <f t="shared" si="12"/>
        <v>91.090757575757578</v>
      </c>
      <c r="H33" s="158"/>
      <c r="I33" s="158"/>
      <c r="J33" s="158"/>
      <c r="K33" s="158"/>
      <c r="L33" s="158"/>
      <c r="N33" s="93"/>
    </row>
    <row r="34" spans="2:14" x14ac:dyDescent="0.2">
      <c r="B34" s="16" t="s">
        <v>374</v>
      </c>
      <c r="C34" s="170">
        <f>C32/C8</f>
        <v>-22.151353444632644</v>
      </c>
      <c r="D34" s="170">
        <f t="shared" ref="D34:G34" si="13">D32/D8</f>
        <v>-12.448147509708797</v>
      </c>
      <c r="E34" s="170">
        <f t="shared" si="13"/>
        <v>-63.37829204271857</v>
      </c>
      <c r="F34" s="170">
        <f t="shared" si="13"/>
        <v>-31.877089470974894</v>
      </c>
      <c r="G34" s="171">
        <f t="shared" si="13"/>
        <v>-54.697240970738214</v>
      </c>
      <c r="H34" s="158"/>
      <c r="I34" s="158"/>
      <c r="J34" s="158"/>
      <c r="K34" s="158"/>
      <c r="L34" s="158"/>
      <c r="N34" s="93"/>
    </row>
    <row r="35" spans="2:14" x14ac:dyDescent="0.2">
      <c r="N35" s="93"/>
    </row>
    <row r="36" spans="2:14" x14ac:dyDescent="0.2">
      <c r="N36" s="93"/>
    </row>
    <row r="37" spans="2:14" x14ac:dyDescent="0.2">
      <c r="B37" s="252" t="s">
        <v>246</v>
      </c>
      <c r="C37" s="252"/>
      <c r="N37" s="93"/>
    </row>
    <row r="38" spans="2:14" x14ac:dyDescent="0.2">
      <c r="B38" s="1" t="s">
        <v>247</v>
      </c>
      <c r="C38" s="64">
        <f>L7</f>
        <v>411717.17667744006</v>
      </c>
    </row>
    <row r="39" spans="2:14" x14ac:dyDescent="0.2">
      <c r="B39" s="1" t="s">
        <v>206</v>
      </c>
      <c r="C39" s="156">
        <f>IF(Overview!C28&gt;0,Overview!C28,WACC!C20)</f>
        <v>0.1</v>
      </c>
    </row>
    <row r="40" spans="2:14" x14ac:dyDescent="0.2">
      <c r="B40" s="39" t="s">
        <v>248</v>
      </c>
      <c r="C40" s="114">
        <v>25</v>
      </c>
    </row>
    <row r="41" spans="2:14" x14ac:dyDescent="0.2">
      <c r="B41" s="1" t="s">
        <v>249</v>
      </c>
      <c r="C41" s="24">
        <f>L18</f>
        <v>482510.33681860787</v>
      </c>
    </row>
    <row r="42" spans="2:14" x14ac:dyDescent="0.2">
      <c r="B42" s="1" t="s">
        <v>244</v>
      </c>
      <c r="C42" s="24">
        <f>(C38*C40)</f>
        <v>10292929.416936001</v>
      </c>
    </row>
    <row r="43" spans="2:14" x14ac:dyDescent="0.2">
      <c r="B43" s="1" t="s">
        <v>408</v>
      </c>
      <c r="C43" s="24">
        <f>C42/(1+C39)^5-G30+G31</f>
        <v>8080575.3517183978</v>
      </c>
    </row>
    <row r="44" spans="2:14" x14ac:dyDescent="0.2">
      <c r="B44" s="1" t="s">
        <v>70</v>
      </c>
      <c r="C44" s="90">
        <f>Statement!AC78</f>
        <v>522355</v>
      </c>
    </row>
    <row r="45" spans="2:14" x14ac:dyDescent="0.2">
      <c r="B45" s="162" t="s">
        <v>250</v>
      </c>
      <c r="C45" s="163">
        <f>C43/C44</f>
        <v>15.469508957927841</v>
      </c>
    </row>
    <row r="47" spans="2:14" x14ac:dyDescent="0.2">
      <c r="B47" s="252" t="s">
        <v>251</v>
      </c>
      <c r="C47" s="252"/>
    </row>
    <row r="48" spans="2:14" x14ac:dyDescent="0.2">
      <c r="B48" s="1" t="s">
        <v>252</v>
      </c>
      <c r="C48" s="64">
        <f>L6</f>
        <v>2379868.0732800001</v>
      </c>
    </row>
    <row r="49" spans="2:3" x14ac:dyDescent="0.2">
      <c r="B49" s="1" t="s">
        <v>407</v>
      </c>
      <c r="C49" s="156">
        <f>Overview!C29</f>
        <v>0.12</v>
      </c>
    </row>
    <row r="50" spans="2:3" x14ac:dyDescent="0.2">
      <c r="B50" s="39" t="s">
        <v>253</v>
      </c>
      <c r="C50" s="114">
        <v>5</v>
      </c>
    </row>
    <row r="51" spans="2:3" x14ac:dyDescent="0.2">
      <c r="B51" s="1" t="s">
        <v>249</v>
      </c>
      <c r="C51" s="24">
        <f>L18</f>
        <v>482510.33681860787</v>
      </c>
    </row>
    <row r="52" spans="2:3" x14ac:dyDescent="0.2">
      <c r="B52" s="1" t="s">
        <v>233</v>
      </c>
      <c r="C52" s="24">
        <f>(C48*C50)/C51</f>
        <v>24.661316988268727</v>
      </c>
    </row>
    <row r="53" spans="2:3" x14ac:dyDescent="0.2">
      <c r="B53" s="162" t="s">
        <v>250</v>
      </c>
      <c r="C53" s="163">
        <f>C52/(1+C49)^5</f>
        <v>13.993493556532998</v>
      </c>
    </row>
    <row r="55" spans="2:3" x14ac:dyDescent="0.2">
      <c r="B55" s="252" t="s">
        <v>375</v>
      </c>
      <c r="C55" s="252"/>
    </row>
    <row r="56" spans="2:3" x14ac:dyDescent="0.2">
      <c r="B56" s="1" t="s">
        <v>254</v>
      </c>
      <c r="C56" s="64">
        <f>L8</f>
        <v>199093.66914172584</v>
      </c>
    </row>
    <row r="57" spans="2:3" x14ac:dyDescent="0.2">
      <c r="B57" s="1" t="s">
        <v>206</v>
      </c>
      <c r="C57" s="156">
        <f>IF(Overview!C28&gt;0,Overview!C28,WACC!C20)</f>
        <v>0.1</v>
      </c>
    </row>
    <row r="58" spans="2:3" x14ac:dyDescent="0.2">
      <c r="B58" s="39" t="s">
        <v>409</v>
      </c>
      <c r="C58" s="114">
        <v>30</v>
      </c>
    </row>
    <row r="59" spans="2:3" x14ac:dyDescent="0.2">
      <c r="B59" s="1" t="s">
        <v>244</v>
      </c>
      <c r="C59" s="24">
        <f>(C56*C58)</f>
        <v>5972810.0742517756</v>
      </c>
    </row>
    <row r="60" spans="2:3" x14ac:dyDescent="0.2">
      <c r="B60" s="1" t="s">
        <v>408</v>
      </c>
      <c r="C60" s="24">
        <f>C59/(1+C57)^5-G30+G31</f>
        <v>5398121.1336854622</v>
      </c>
    </row>
    <row r="61" spans="2:3" x14ac:dyDescent="0.2">
      <c r="B61" s="1" t="s">
        <v>70</v>
      </c>
      <c r="C61" s="90">
        <f>Statement!AC78</f>
        <v>522355</v>
      </c>
    </row>
    <row r="62" spans="2:3" x14ac:dyDescent="0.2">
      <c r="B62" s="162" t="s">
        <v>250</v>
      </c>
      <c r="C62" s="163">
        <f>C60/C61</f>
        <v>10.334200177437685</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255</v>
      </c>
    </row>
    <row r="2" spans="1:14" x14ac:dyDescent="0.2">
      <c r="N2" s="93"/>
    </row>
    <row r="3" spans="1:14" x14ac:dyDescent="0.2">
      <c r="N3" s="93"/>
    </row>
    <row r="4" spans="1:14" x14ac:dyDescent="0.2">
      <c r="B4" s="252" t="s">
        <v>256</v>
      </c>
      <c r="C4" s="252"/>
      <c r="N4" s="93"/>
    </row>
    <row r="5" spans="1:14" x14ac:dyDescent="0.2">
      <c r="B5" s="1" t="s">
        <v>257</v>
      </c>
      <c r="C5" s="154">
        <f>DCF!C26</f>
        <v>6.2175596245918179</v>
      </c>
    </row>
    <row r="6" spans="1:14" x14ac:dyDescent="0.2">
      <c r="B6" s="1" t="s">
        <v>258</v>
      </c>
      <c r="C6" s="154">
        <f>Multiples!C45</f>
        <v>15.469508957927841</v>
      </c>
    </row>
    <row r="7" spans="1:14" x14ac:dyDescent="0.2">
      <c r="B7" s="1" t="s">
        <v>259</v>
      </c>
      <c r="C7" s="154">
        <f>Multiples!C53</f>
        <v>13.993493556532998</v>
      </c>
    </row>
    <row r="8" spans="1:14" x14ac:dyDescent="0.2">
      <c r="B8" s="1" t="s">
        <v>376</v>
      </c>
      <c r="C8" s="154">
        <f>Multiples!C62</f>
        <v>10.334200177437685</v>
      </c>
    </row>
    <row r="9" spans="1:14" x14ac:dyDescent="0.2">
      <c r="B9" s="162" t="s">
        <v>260</v>
      </c>
      <c r="C9" s="163">
        <f>AVERAGE(C5:C8)</f>
        <v>11.503690579122585</v>
      </c>
    </row>
    <row r="10" spans="1:14" x14ac:dyDescent="0.2">
      <c r="B10" s="1" t="s">
        <v>261</v>
      </c>
      <c r="C10" s="154">
        <f ca="1">Overview!C5</f>
        <v>9.9350000000000005</v>
      </c>
    </row>
    <row r="11" spans="1:14" x14ac:dyDescent="0.2">
      <c r="B11" s="1" t="s">
        <v>262</v>
      </c>
      <c r="C11" s="175">
        <f ca="1">(C9-C10)/C10</f>
        <v>0.15789537786840308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6" sqref="C6"/>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263</v>
      </c>
    </row>
    <row r="2" spans="1:28" s="85" customFormat="1" ht="18" customHeight="1" x14ac:dyDescent="0.2">
      <c r="A2" s="4"/>
      <c r="B2" s="84"/>
    </row>
    <row r="3" spans="1:28" x14ac:dyDescent="0.2">
      <c r="A3" s="4"/>
      <c r="C3" s="252" t="s">
        <v>137</v>
      </c>
      <c r="D3" s="252"/>
      <c r="E3" s="252"/>
      <c r="F3" s="252"/>
      <c r="G3" s="258"/>
      <c r="H3" s="259" t="s">
        <v>138</v>
      </c>
      <c r="I3" s="252"/>
      <c r="J3" s="252"/>
      <c r="K3" s="252"/>
      <c r="L3" s="252"/>
      <c r="P3" s="263"/>
      <c r="Q3" s="263"/>
      <c r="R3" s="263"/>
      <c r="S3" s="263"/>
      <c r="T3" s="263"/>
      <c r="U3" s="263"/>
      <c r="V3" s="263"/>
      <c r="W3" s="263"/>
      <c r="X3" s="263"/>
      <c r="Y3" s="263"/>
      <c r="Z3" s="263"/>
      <c r="AB3" s="130"/>
    </row>
    <row r="4" spans="1:28" ht="10" customHeight="1" x14ac:dyDescent="0.2"/>
    <row r="5" spans="1:28" ht="16" customHeight="1" x14ac:dyDescent="0.2">
      <c r="A5" s="88"/>
      <c r="B5" s="60"/>
      <c r="C5" s="260" t="s">
        <v>221</v>
      </c>
      <c r="D5" s="260"/>
      <c r="E5" s="260"/>
      <c r="F5" s="260"/>
      <c r="G5" s="260"/>
      <c r="H5" s="260"/>
      <c r="I5" s="260"/>
      <c r="J5" s="260"/>
      <c r="K5" s="260"/>
      <c r="L5" s="260"/>
      <c r="P5" s="263"/>
      <c r="Q5" s="263"/>
      <c r="R5" s="263"/>
      <c r="S5" s="263"/>
      <c r="T5" s="263"/>
      <c r="U5" s="263"/>
      <c r="V5" s="263"/>
      <c r="W5" s="263"/>
      <c r="X5" s="263"/>
      <c r="Y5" s="263"/>
      <c r="Z5" s="263"/>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311</v>
      </c>
      <c r="C7" s="133">
        <f>'FCF &amp; Other'!C28</f>
        <v>-601022</v>
      </c>
      <c r="D7" s="133">
        <f>'FCF &amp; Other'!D28</f>
        <v>-500062</v>
      </c>
      <c r="E7" s="133">
        <f>'FCF &amp; Other'!E28</f>
        <v>-216393</v>
      </c>
      <c r="F7" s="133">
        <f>'FCF &amp; Other'!F28</f>
        <v>-202032</v>
      </c>
      <c r="G7" s="134">
        <v>8000</v>
      </c>
      <c r="H7" s="147">
        <f>G7*(1+$C$17)</f>
        <v>17600</v>
      </c>
      <c r="I7" s="147">
        <f t="shared" ref="I7:L7" si="0">H7*(1+$C$17)</f>
        <v>38720</v>
      </c>
      <c r="J7" s="147">
        <f t="shared" si="0"/>
        <v>85184</v>
      </c>
      <c r="K7" s="147">
        <f t="shared" si="0"/>
        <v>187404.80000000002</v>
      </c>
      <c r="L7" s="147">
        <f t="shared" si="0"/>
        <v>412290.56000000006</v>
      </c>
      <c r="N7" s="93"/>
      <c r="O7" s="16"/>
      <c r="P7" s="94"/>
      <c r="Q7" s="94"/>
      <c r="R7" s="94"/>
      <c r="S7" s="94"/>
      <c r="T7" s="94"/>
      <c r="U7" s="94"/>
      <c r="V7" s="94"/>
      <c r="W7" s="94"/>
      <c r="X7" s="96"/>
      <c r="Y7" s="96"/>
      <c r="Z7" s="96"/>
      <c r="AB7" s="96"/>
    </row>
    <row r="8" spans="1:28" x14ac:dyDescent="0.2">
      <c r="B8" s="39" t="s">
        <v>222</v>
      </c>
      <c r="C8" s="158"/>
      <c r="D8" s="158"/>
      <c r="E8" s="158"/>
      <c r="F8" s="158"/>
      <c r="G8" s="159"/>
      <c r="H8" s="158"/>
      <c r="I8" s="158"/>
      <c r="J8" s="158"/>
      <c r="K8" s="158"/>
      <c r="L8" s="147">
        <f>L7*(1+C20)/(C21-C20)</f>
        <v>5256704.6400000006</v>
      </c>
      <c r="N8" s="93"/>
      <c r="O8" s="16"/>
      <c r="P8" s="94"/>
      <c r="Q8" s="94"/>
      <c r="R8" s="94"/>
      <c r="S8" s="94"/>
      <c r="T8" s="94"/>
      <c r="U8" s="94"/>
      <c r="V8" s="94"/>
      <c r="W8" s="94"/>
      <c r="X8" s="96"/>
      <c r="Y8" s="96"/>
      <c r="Z8" s="96"/>
      <c r="AB8" s="96"/>
    </row>
    <row r="9" spans="1:28" x14ac:dyDescent="0.2">
      <c r="B9" s="1" t="s">
        <v>223</v>
      </c>
      <c r="C9" s="158"/>
      <c r="D9" s="158"/>
      <c r="E9" s="158"/>
      <c r="F9" s="158"/>
      <c r="G9" s="159"/>
      <c r="H9" s="160">
        <v>1</v>
      </c>
      <c r="I9" s="160">
        <v>2</v>
      </c>
      <c r="J9" s="160">
        <v>3</v>
      </c>
      <c r="K9" s="160">
        <v>4</v>
      </c>
      <c r="L9" s="160">
        <v>5</v>
      </c>
      <c r="N9" s="93"/>
    </row>
    <row r="10" spans="1:28" x14ac:dyDescent="0.2">
      <c r="B10" s="1" t="s">
        <v>373</v>
      </c>
      <c r="C10" s="158"/>
      <c r="D10" s="158"/>
      <c r="E10" s="158"/>
      <c r="F10" s="158"/>
      <c r="G10" s="159"/>
      <c r="H10" s="147">
        <f>H7/(1+$C$21)^H9</f>
        <v>15999.999999999998</v>
      </c>
      <c r="I10" s="147">
        <f t="shared" ref="I10:L10" si="1">I7/(1+$C$21)^I9</f>
        <v>31999.999999999996</v>
      </c>
      <c r="J10" s="147">
        <f t="shared" si="1"/>
        <v>63999.999999999978</v>
      </c>
      <c r="K10" s="147">
        <f t="shared" si="1"/>
        <v>127999.99999999997</v>
      </c>
      <c r="L10" s="147">
        <f t="shared" si="1"/>
        <v>255999.99999999994</v>
      </c>
      <c r="N10" s="93"/>
    </row>
    <row r="11" spans="1:28" x14ac:dyDescent="0.2">
      <c r="B11" s="1" t="s">
        <v>224</v>
      </c>
      <c r="C11" s="158"/>
      <c r="D11" s="158"/>
      <c r="E11" s="158"/>
      <c r="F11" s="158"/>
      <c r="G11" s="159"/>
      <c r="H11" s="158"/>
      <c r="I11" s="158"/>
      <c r="J11" s="158"/>
      <c r="K11" s="158"/>
      <c r="L11" s="147">
        <f>L8/(1+C21)^L9</f>
        <v>3263999.9999999991</v>
      </c>
    </row>
    <row r="13" spans="1:28" ht="17" thickBot="1" x14ac:dyDescent="0.25"/>
    <row r="14" spans="1:28" x14ac:dyDescent="0.2">
      <c r="B14" s="264" t="s">
        <v>264</v>
      </c>
      <c r="C14" s="265"/>
    </row>
    <row r="15" spans="1:28" x14ac:dyDescent="0.2">
      <c r="B15" s="176" t="s">
        <v>265</v>
      </c>
      <c r="C15" s="177">
        <f ca="1">Overview!C5</f>
        <v>9.9350000000000005</v>
      </c>
    </row>
    <row r="16" spans="1:28" x14ac:dyDescent="0.2">
      <c r="B16" s="176" t="s">
        <v>266</v>
      </c>
      <c r="C16" s="177">
        <f>C36</f>
        <v>9.9894542008526948</v>
      </c>
    </row>
    <row r="17" spans="2:9" ht="17" thickBot="1" x14ac:dyDescent="0.25">
      <c r="B17" s="178" t="s">
        <v>377</v>
      </c>
      <c r="C17" s="179">
        <v>1.2</v>
      </c>
      <c r="E17" s="266" t="s">
        <v>267</v>
      </c>
      <c r="F17" s="266"/>
      <c r="G17" s="266"/>
      <c r="H17" s="266"/>
      <c r="I17" s="266"/>
    </row>
    <row r="18" spans="2:9" ht="17" thickBot="1" x14ac:dyDescent="0.25"/>
    <row r="19" spans="2:9" x14ac:dyDescent="0.2">
      <c r="B19" s="264" t="s">
        <v>225</v>
      </c>
      <c r="C19" s="265"/>
    </row>
    <row r="20" spans="2:9" x14ac:dyDescent="0.2">
      <c r="B20" s="180" t="s">
        <v>226</v>
      </c>
      <c r="C20" s="181">
        <v>0.02</v>
      </c>
    </row>
    <row r="21" spans="2:9" x14ac:dyDescent="0.2">
      <c r="B21" s="180" t="s">
        <v>206</v>
      </c>
      <c r="C21" s="243">
        <f>IF(Overview!C28&gt;0,Overview!C28,WACC!C20)</f>
        <v>0.1</v>
      </c>
    </row>
    <row r="22" spans="2:9" x14ac:dyDescent="0.2">
      <c r="B22" s="180" t="s">
        <v>70</v>
      </c>
      <c r="C22" s="244">
        <f>Statement!AC75</f>
        <v>518121</v>
      </c>
    </row>
    <row r="23" spans="2:9" x14ac:dyDescent="0.2">
      <c r="B23" s="180" t="s">
        <v>268</v>
      </c>
      <c r="C23" s="182">
        <f ca="1">C15*C22</f>
        <v>5147532.1350000007</v>
      </c>
    </row>
    <row r="24" spans="2:9" x14ac:dyDescent="0.2">
      <c r="B24" s="180" t="s">
        <v>219</v>
      </c>
      <c r="C24" s="244">
        <f>Statement!AC107</f>
        <v>1415746</v>
      </c>
    </row>
    <row r="25" spans="2:9" x14ac:dyDescent="0.2">
      <c r="B25" s="180" t="s">
        <v>210</v>
      </c>
      <c r="C25" s="244">
        <f>Statement!AC108</f>
        <v>0</v>
      </c>
    </row>
    <row r="26" spans="2:9" ht="17" thickBot="1" x14ac:dyDescent="0.25">
      <c r="B26" s="178" t="s">
        <v>269</v>
      </c>
      <c r="C26" s="183">
        <f ca="1">C23+C25-C24</f>
        <v>3731786.1350000007</v>
      </c>
    </row>
    <row r="27" spans="2:9" ht="17" thickBot="1" x14ac:dyDescent="0.25"/>
    <row r="28" spans="2:9" x14ac:dyDescent="0.2">
      <c r="B28" s="264" t="s">
        <v>227</v>
      </c>
      <c r="C28" s="265"/>
    </row>
    <row r="29" spans="2:9" x14ac:dyDescent="0.2">
      <c r="B29" s="180" t="s">
        <v>228</v>
      </c>
      <c r="C29" s="182">
        <f>SUM(H10:L10)</f>
        <v>495999.99999999988</v>
      </c>
    </row>
    <row r="30" spans="2:9" x14ac:dyDescent="0.2">
      <c r="B30" s="180" t="s">
        <v>224</v>
      </c>
      <c r="C30" s="182">
        <f>L11</f>
        <v>3263999.9999999991</v>
      </c>
    </row>
    <row r="31" spans="2:9" x14ac:dyDescent="0.2">
      <c r="B31" s="184" t="s">
        <v>229</v>
      </c>
      <c r="C31" s="185">
        <f>C29+C30</f>
        <v>3759999.9999999991</v>
      </c>
    </row>
    <row r="32" spans="2:9" x14ac:dyDescent="0.2">
      <c r="B32" s="180" t="s">
        <v>230</v>
      </c>
      <c r="C32" s="186">
        <f>C24</f>
        <v>1415746</v>
      </c>
    </row>
    <row r="33" spans="2:12" x14ac:dyDescent="0.2">
      <c r="B33" s="180" t="s">
        <v>231</v>
      </c>
      <c r="C33" s="186">
        <f>C25</f>
        <v>0</v>
      </c>
    </row>
    <row r="34" spans="2:12" x14ac:dyDescent="0.2">
      <c r="B34" s="184" t="s">
        <v>232</v>
      </c>
      <c r="C34" s="185">
        <f>C31+C32-C33</f>
        <v>5175745.9999999991</v>
      </c>
    </row>
    <row r="35" spans="2:12" x14ac:dyDescent="0.2">
      <c r="B35" s="180" t="s">
        <v>70</v>
      </c>
      <c r="C35" s="182">
        <f>C22</f>
        <v>518121</v>
      </c>
    </row>
    <row r="36" spans="2:12" ht="17" thickBot="1" x14ac:dyDescent="0.25">
      <c r="B36" s="187" t="s">
        <v>233</v>
      </c>
      <c r="C36" s="188">
        <f>C34/C35</f>
        <v>9.9894542008526948</v>
      </c>
    </row>
    <row r="39" spans="2:12" x14ac:dyDescent="0.2">
      <c r="C39" s="260" t="s">
        <v>270</v>
      </c>
      <c r="D39" s="260"/>
      <c r="E39" s="260"/>
      <c r="F39" s="260"/>
      <c r="G39" s="260"/>
      <c r="H39" s="260"/>
      <c r="I39" s="260"/>
      <c r="J39" s="260"/>
      <c r="K39" s="260"/>
      <c r="L39" s="260"/>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311</v>
      </c>
      <c r="C41" s="133">
        <f>C7</f>
        <v>-601022</v>
      </c>
      <c r="D41" s="133">
        <f t="shared" si="2"/>
        <v>-500062</v>
      </c>
      <c r="E41" s="133">
        <f t="shared" si="2"/>
        <v>-216393</v>
      </c>
      <c r="F41" s="133">
        <f t="shared" si="2"/>
        <v>-202032</v>
      </c>
      <c r="G41" s="134">
        <f t="shared" si="2"/>
        <v>8000</v>
      </c>
      <c r="H41" s="164">
        <f t="shared" si="2"/>
        <v>17600</v>
      </c>
      <c r="I41" s="164">
        <f t="shared" si="2"/>
        <v>38720</v>
      </c>
      <c r="J41" s="164">
        <f t="shared" si="2"/>
        <v>85184</v>
      </c>
      <c r="K41" s="164">
        <f t="shared" si="2"/>
        <v>187404.80000000002</v>
      </c>
      <c r="L41" s="164">
        <f t="shared" si="2"/>
        <v>412290.56000000006</v>
      </c>
    </row>
    <row r="42" spans="2:12" x14ac:dyDescent="0.2">
      <c r="B42" s="1" t="s">
        <v>198</v>
      </c>
      <c r="C42" s="133">
        <f>'FCF &amp; Other'!C10</f>
        <v>-500946</v>
      </c>
      <c r="D42" s="133">
        <f>'FCF &amp; Other'!D10</f>
        <v>-348283</v>
      </c>
      <c r="E42" s="133">
        <f>'FCF &amp; Other'!E10</f>
        <v>-164720</v>
      </c>
      <c r="F42" s="133">
        <f>'FCF &amp; Other'!F10</f>
        <v>-162569</v>
      </c>
      <c r="G42" s="134">
        <f>'FCF &amp; Other'!G10</f>
        <v>56760</v>
      </c>
      <c r="H42" s="164">
        <f>H41/H43</f>
        <v>15999.999999999998</v>
      </c>
      <c r="I42" s="164">
        <f t="shared" ref="I42:L42" si="3">I41/I43</f>
        <v>35200</v>
      </c>
      <c r="J42" s="164">
        <f t="shared" si="3"/>
        <v>77440</v>
      </c>
      <c r="K42" s="164">
        <f t="shared" si="3"/>
        <v>170368</v>
      </c>
      <c r="L42" s="164">
        <f t="shared" si="3"/>
        <v>374809.60000000003</v>
      </c>
    </row>
    <row r="43" spans="2:12" x14ac:dyDescent="0.2">
      <c r="B43" s="143" t="s">
        <v>378</v>
      </c>
      <c r="C43" s="97">
        <f>C41/C42</f>
        <v>1.1997740275398945</v>
      </c>
      <c r="D43" s="97">
        <f t="shared" ref="D43:G43" si="4">D41/D42</f>
        <v>1.4357921575270685</v>
      </c>
      <c r="E43" s="97">
        <f t="shared" si="4"/>
        <v>1.3137020398251578</v>
      </c>
      <c r="F43" s="97">
        <f t="shared" si="4"/>
        <v>1.2427461570164053</v>
      </c>
      <c r="G43" s="98">
        <f t="shared" si="4"/>
        <v>0.14094432699083861</v>
      </c>
      <c r="H43" s="189">
        <v>1.1000000000000001</v>
      </c>
      <c r="I43" s="189">
        <v>1.1000000000000001</v>
      </c>
      <c r="J43" s="189">
        <v>1.1000000000000001</v>
      </c>
      <c r="K43" s="189">
        <v>1.1000000000000001</v>
      </c>
      <c r="L43" s="189">
        <v>1.1000000000000001</v>
      </c>
    </row>
    <row r="44" spans="2:12" x14ac:dyDescent="0.2">
      <c r="B44" s="1" t="s">
        <v>20</v>
      </c>
      <c r="C44" s="133">
        <f>Revenue!C9</f>
        <v>892252</v>
      </c>
      <c r="D44" s="133">
        <f>Revenue!D9</f>
        <v>1058581</v>
      </c>
      <c r="E44" s="133">
        <f>Revenue!E9</f>
        <v>1308072</v>
      </c>
      <c r="F44" s="133">
        <f>Revenue!F9</f>
        <v>1429664</v>
      </c>
      <c r="G44" s="134">
        <f>Revenue!G9</f>
        <v>1610572</v>
      </c>
      <c r="H44" s="164">
        <f>H41/H45</f>
        <v>1760000</v>
      </c>
      <c r="I44" s="164">
        <f t="shared" ref="I44:L44" si="5">I41/I45</f>
        <v>1936000</v>
      </c>
      <c r="J44" s="164">
        <f t="shared" si="5"/>
        <v>2028190.476190476</v>
      </c>
      <c r="K44" s="164">
        <f t="shared" si="5"/>
        <v>2677211.4285714286</v>
      </c>
      <c r="L44" s="164">
        <f t="shared" si="5"/>
        <v>2748603.7333333339</v>
      </c>
    </row>
    <row r="45" spans="2:12" x14ac:dyDescent="0.2">
      <c r="B45" s="143" t="s">
        <v>379</v>
      </c>
      <c r="C45" s="97">
        <f>C41/C44</f>
        <v>-0.67360117993571322</v>
      </c>
      <c r="D45" s="97">
        <f t="shared" ref="D45:G45" si="6">D41/D44</f>
        <v>-0.47238898109828159</v>
      </c>
      <c r="E45" s="97">
        <f t="shared" si="6"/>
        <v>-0.16542896721281397</v>
      </c>
      <c r="F45" s="97">
        <f t="shared" si="6"/>
        <v>-0.14131432280591805</v>
      </c>
      <c r="G45" s="98">
        <f t="shared" si="6"/>
        <v>4.967179362363185E-3</v>
      </c>
      <c r="H45" s="189">
        <v>0.01</v>
      </c>
      <c r="I45" s="189">
        <v>0.02</v>
      </c>
      <c r="J45" s="189">
        <v>4.2000000000000003E-2</v>
      </c>
      <c r="K45" s="189">
        <v>7.0000000000000007E-2</v>
      </c>
      <c r="L45" s="189">
        <v>0.15</v>
      </c>
    </row>
    <row r="46" spans="2:12" x14ac:dyDescent="0.2">
      <c r="B46" s="143" t="s">
        <v>380</v>
      </c>
      <c r="C46" s="158"/>
      <c r="D46" s="97">
        <f>D41/C41-1</f>
        <v>-0.16798053981385042</v>
      </c>
      <c r="E46" s="97">
        <f t="shared" ref="E46:L47" si="7">E41/D41-1</f>
        <v>-0.5672676588103075</v>
      </c>
      <c r="F46" s="97">
        <f t="shared" si="7"/>
        <v>-6.6365363020060686E-2</v>
      </c>
      <c r="G46" s="98">
        <f t="shared" si="7"/>
        <v>-1.0395976874950503</v>
      </c>
      <c r="H46" s="190">
        <f t="shared" si="7"/>
        <v>1.2000000000000002</v>
      </c>
      <c r="I46" s="190">
        <f t="shared" si="7"/>
        <v>1.2000000000000002</v>
      </c>
      <c r="J46" s="190">
        <f t="shared" si="7"/>
        <v>1.2000000000000002</v>
      </c>
      <c r="K46" s="190">
        <f t="shared" si="7"/>
        <v>1.2000000000000002</v>
      </c>
      <c r="L46" s="190">
        <f t="shared" si="7"/>
        <v>1.2000000000000002</v>
      </c>
    </row>
    <row r="47" spans="2:12" x14ac:dyDescent="0.2">
      <c r="B47" s="143" t="s">
        <v>271</v>
      </c>
      <c r="C47" s="158"/>
      <c r="D47" s="97">
        <f>D42/C42-1</f>
        <v>-0.30474941410850676</v>
      </c>
      <c r="E47" s="97">
        <f t="shared" si="7"/>
        <v>-0.52705127726590151</v>
      </c>
      <c r="F47" s="97">
        <f t="shared" si="7"/>
        <v>-1.3058523555123824E-2</v>
      </c>
      <c r="G47" s="98">
        <f t="shared" si="7"/>
        <v>-1.3491440557547871</v>
      </c>
      <c r="H47" s="190">
        <f t="shared" si="7"/>
        <v>-0.71811134601832283</v>
      </c>
      <c r="I47" s="190">
        <f t="shared" si="7"/>
        <v>1.2000000000000002</v>
      </c>
      <c r="J47" s="190">
        <f t="shared" si="7"/>
        <v>1.2000000000000002</v>
      </c>
      <c r="K47" s="190">
        <f t="shared" si="7"/>
        <v>1.2000000000000002</v>
      </c>
      <c r="L47" s="190">
        <f t="shared" si="7"/>
        <v>1.2000000000000002</v>
      </c>
    </row>
    <row r="48" spans="2:12" x14ac:dyDescent="0.2">
      <c r="B48" s="143" t="s">
        <v>272</v>
      </c>
      <c r="C48" s="158"/>
      <c r="D48" s="97">
        <f>D44/C44-1</f>
        <v>0.18641482451146096</v>
      </c>
      <c r="E48" s="97">
        <f t="shared" ref="E48:L48" si="8">E44/D44-1</f>
        <v>0.23568437370404349</v>
      </c>
      <c r="F48" s="97">
        <f t="shared" si="8"/>
        <v>9.2955127852289543E-2</v>
      </c>
      <c r="G48" s="98">
        <f t="shared" si="8"/>
        <v>0.12653882310808684</v>
      </c>
      <c r="H48" s="190">
        <f t="shared" si="8"/>
        <v>9.2779459719900759E-2</v>
      </c>
      <c r="I48" s="190">
        <f t="shared" si="8"/>
        <v>0.10000000000000009</v>
      </c>
      <c r="J48" s="190">
        <f t="shared" si="8"/>
        <v>4.761904761904745E-2</v>
      </c>
      <c r="K48" s="190">
        <f t="shared" si="8"/>
        <v>0.32000000000000006</v>
      </c>
      <c r="L48" s="190">
        <f t="shared" si="8"/>
        <v>2.6666666666666838E-2</v>
      </c>
    </row>
    <row r="49" spans="2:12" x14ac:dyDescent="0.2">
      <c r="B49" s="143" t="s">
        <v>273</v>
      </c>
      <c r="C49" s="97">
        <f>C42/C44</f>
        <v>-0.56144004160259653</v>
      </c>
      <c r="D49" s="97">
        <f t="shared" ref="D49:L49" si="9">D42/D44</f>
        <v>-0.32900930585377974</v>
      </c>
      <c r="E49" s="97">
        <f t="shared" si="9"/>
        <v>-0.12592579001767487</v>
      </c>
      <c r="F49" s="97">
        <f t="shared" si="9"/>
        <v>-0.11371133357208407</v>
      </c>
      <c r="G49" s="98">
        <f t="shared" si="9"/>
        <v>3.5242137575966802E-2</v>
      </c>
      <c r="H49" s="190">
        <f t="shared" si="9"/>
        <v>9.0909090909090905E-3</v>
      </c>
      <c r="I49" s="190">
        <f t="shared" si="9"/>
        <v>1.8181818181818181E-2</v>
      </c>
      <c r="J49" s="190">
        <f t="shared" si="9"/>
        <v>3.8181818181818185E-2</v>
      </c>
      <c r="K49" s="190">
        <f t="shared" si="9"/>
        <v>6.363636363636363E-2</v>
      </c>
      <c r="L49" s="190">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2026-06-25T21:54:25Z</dcterms:modified>
</cp:coreProperties>
</file>