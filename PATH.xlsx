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FCCF7EC2-BA11-9645-9682-D05CDBD6917D}"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8" i="3" l="1"/>
  <c r="I13" i="1"/>
  <c r="H7" i="1"/>
  <c r="H6" i="1"/>
  <c r="C83" i="12"/>
  <c r="C81" i="12"/>
  <c r="C80" i="12"/>
  <c r="C75" i="12"/>
  <c r="C74" i="12"/>
  <c r="C77" i="12" s="1"/>
  <c r="G36" i="12"/>
  <c r="F36" i="12"/>
  <c r="E36" i="12"/>
  <c r="D36" i="12"/>
  <c r="C36" i="12"/>
  <c r="G15" i="8"/>
  <c r="F15" i="8"/>
  <c r="E15" i="8"/>
  <c r="D15" i="8"/>
  <c r="C15" i="8"/>
  <c r="AA74" i="3"/>
  <c r="AA110" i="3"/>
  <c r="AC59" i="3"/>
  <c r="AA29" i="3"/>
  <c r="Z199" i="3"/>
  <c r="Y199" i="3"/>
  <c r="X199" i="3"/>
  <c r="W199" i="3"/>
  <c r="V199" i="3"/>
  <c r="U199" i="3"/>
  <c r="T199" i="3"/>
  <c r="Z198" i="3"/>
  <c r="Y198" i="3"/>
  <c r="X198" i="3"/>
  <c r="W198" i="3"/>
  <c r="V198" i="3"/>
  <c r="U198" i="3"/>
  <c r="T198" i="3"/>
  <c r="Z197" i="3"/>
  <c r="Y197" i="3"/>
  <c r="X197" i="3"/>
  <c r="W197" i="3"/>
  <c r="V197" i="3"/>
  <c r="U197" i="3"/>
  <c r="T197" i="3"/>
  <c r="Z179" i="3"/>
  <c r="Y179" i="3"/>
  <c r="X179" i="3"/>
  <c r="W179" i="3"/>
  <c r="V179" i="3"/>
  <c r="U179" i="3"/>
  <c r="T179" i="3"/>
  <c r="Z178" i="3"/>
  <c r="Y178" i="3"/>
  <c r="X178" i="3"/>
  <c r="W178" i="3"/>
  <c r="V178" i="3"/>
  <c r="U178" i="3"/>
  <c r="T178" i="3"/>
  <c r="Z177" i="3"/>
  <c r="Y177" i="3"/>
  <c r="X177" i="3"/>
  <c r="W177" i="3"/>
  <c r="V177" i="3"/>
  <c r="U177" i="3"/>
  <c r="T177" i="3"/>
  <c r="Z174" i="3"/>
  <c r="Y174" i="3"/>
  <c r="X174" i="3"/>
  <c r="W174" i="3"/>
  <c r="V174" i="3"/>
  <c r="U174" i="3"/>
  <c r="T174" i="3"/>
  <c r="Z173" i="3"/>
  <c r="Y173" i="3"/>
  <c r="X173" i="3"/>
  <c r="W173" i="3"/>
  <c r="V173" i="3"/>
  <c r="U173" i="3"/>
  <c r="T173" i="3"/>
  <c r="Z157" i="3"/>
  <c r="Y157" i="3"/>
  <c r="X157" i="3"/>
  <c r="W157" i="3"/>
  <c r="V157" i="3"/>
  <c r="U157" i="3"/>
  <c r="T157" i="3"/>
  <c r="Z149" i="3"/>
  <c r="Y149" i="3"/>
  <c r="X149" i="3"/>
  <c r="W149" i="3"/>
  <c r="V149" i="3"/>
  <c r="U149" i="3"/>
  <c r="T149" i="3"/>
  <c r="Z148" i="3"/>
  <c r="Y148" i="3"/>
  <c r="X148" i="3"/>
  <c r="W148" i="3"/>
  <c r="V148" i="3"/>
  <c r="U148" i="3"/>
  <c r="T148" i="3"/>
  <c r="Z145" i="3"/>
  <c r="Y145" i="3"/>
  <c r="X145" i="3"/>
  <c r="W145" i="3"/>
  <c r="V145" i="3"/>
  <c r="U145" i="3"/>
  <c r="T145" i="3"/>
  <c r="Z143" i="3"/>
  <c r="Y143" i="3"/>
  <c r="X143" i="3"/>
  <c r="W143" i="3"/>
  <c r="V143" i="3"/>
  <c r="U143" i="3"/>
  <c r="T143" i="3"/>
  <c r="Z142" i="3"/>
  <c r="Z144" i="3" s="1"/>
  <c r="Y142" i="3"/>
  <c r="X142" i="3"/>
  <c r="W142" i="3"/>
  <c r="V142" i="3"/>
  <c r="U142" i="3"/>
  <c r="T142" i="3"/>
  <c r="Z141" i="3"/>
  <c r="Z135" i="3"/>
  <c r="Z136" i="3" s="1"/>
  <c r="Y135" i="3"/>
  <c r="Y136" i="3" s="1"/>
  <c r="X135" i="3"/>
  <c r="X136" i="3" s="1"/>
  <c r="W135" i="3"/>
  <c r="W136" i="3" s="1"/>
  <c r="V135" i="3"/>
  <c r="V136" i="3" s="1"/>
  <c r="U135" i="3"/>
  <c r="U136" i="3" s="1"/>
  <c r="T135" i="3"/>
  <c r="T136" i="3" s="1"/>
  <c r="Z131" i="3"/>
  <c r="Z132" i="3" s="1"/>
  <c r="Y131" i="3"/>
  <c r="Y132" i="3" s="1"/>
  <c r="X131" i="3"/>
  <c r="X132" i="3" s="1"/>
  <c r="W131" i="3"/>
  <c r="W132" i="3" s="1"/>
  <c r="V131" i="3"/>
  <c r="V132" i="3" s="1"/>
  <c r="U131" i="3"/>
  <c r="U132" i="3" s="1"/>
  <c r="T131" i="3"/>
  <c r="T132" i="3" s="1"/>
  <c r="Z117" i="3"/>
  <c r="Y117" i="3"/>
  <c r="X117" i="3"/>
  <c r="W117" i="3"/>
  <c r="V117" i="3"/>
  <c r="U117" i="3"/>
  <c r="T117" i="3"/>
  <c r="Z112" i="3"/>
  <c r="Y112" i="3"/>
  <c r="X112" i="3"/>
  <c r="W112" i="3"/>
  <c r="V112" i="3"/>
  <c r="U112" i="3"/>
  <c r="T112" i="3"/>
  <c r="Z111" i="3"/>
  <c r="Y111" i="3"/>
  <c r="X111" i="3"/>
  <c r="W111" i="3"/>
  <c r="V111" i="3"/>
  <c r="U111" i="3"/>
  <c r="T111" i="3"/>
  <c r="Z110" i="3"/>
  <c r="Y110" i="3"/>
  <c r="X110" i="3"/>
  <c r="W110" i="3"/>
  <c r="V110" i="3"/>
  <c r="U110" i="3"/>
  <c r="T110" i="3"/>
  <c r="Z108" i="3"/>
  <c r="Y108" i="3"/>
  <c r="X108" i="3"/>
  <c r="W108" i="3"/>
  <c r="V108" i="3"/>
  <c r="U108" i="3"/>
  <c r="T108" i="3"/>
  <c r="Z103" i="3"/>
  <c r="Y103" i="3"/>
  <c r="X103" i="3"/>
  <c r="W103" i="3"/>
  <c r="V103" i="3"/>
  <c r="U103" i="3"/>
  <c r="T103" i="3"/>
  <c r="Z102" i="3"/>
  <c r="Y102" i="3"/>
  <c r="X102" i="3"/>
  <c r="W102" i="3"/>
  <c r="V102" i="3"/>
  <c r="U102" i="3"/>
  <c r="T102" i="3"/>
  <c r="Z98" i="3"/>
  <c r="Y98" i="3"/>
  <c r="X98" i="3"/>
  <c r="W98" i="3"/>
  <c r="V98" i="3"/>
  <c r="U98" i="3"/>
  <c r="T98" i="3"/>
  <c r="Z97" i="3"/>
  <c r="Y97" i="3"/>
  <c r="X97" i="3"/>
  <c r="W97" i="3"/>
  <c r="V97" i="3"/>
  <c r="U97" i="3"/>
  <c r="T97" i="3"/>
  <c r="Z96" i="3"/>
  <c r="Y96" i="3"/>
  <c r="X96" i="3"/>
  <c r="W96" i="3"/>
  <c r="V96" i="3"/>
  <c r="U96" i="3"/>
  <c r="T96" i="3"/>
  <c r="Z94" i="3"/>
  <c r="Y94" i="3"/>
  <c r="X94" i="3"/>
  <c r="W94" i="3"/>
  <c r="V94" i="3"/>
  <c r="U94" i="3"/>
  <c r="T94" i="3"/>
  <c r="Z93" i="3"/>
  <c r="Y93" i="3"/>
  <c r="X93" i="3"/>
  <c r="W93" i="3"/>
  <c r="V93" i="3"/>
  <c r="U93" i="3"/>
  <c r="T93" i="3"/>
  <c r="Z92" i="3"/>
  <c r="Y92" i="3"/>
  <c r="X92" i="3"/>
  <c r="W92" i="3"/>
  <c r="V92" i="3"/>
  <c r="U92" i="3"/>
  <c r="T92" i="3"/>
  <c r="Z90" i="3"/>
  <c r="Y90" i="3"/>
  <c r="X90" i="3"/>
  <c r="W90" i="3"/>
  <c r="V90" i="3"/>
  <c r="U90" i="3"/>
  <c r="T90" i="3"/>
  <c r="Z89" i="3"/>
  <c r="Y89" i="3"/>
  <c r="X89" i="3"/>
  <c r="W89" i="3"/>
  <c r="V89" i="3"/>
  <c r="U89" i="3"/>
  <c r="T89" i="3"/>
  <c r="Z83" i="3"/>
  <c r="Z106" i="3" s="1"/>
  <c r="Y83" i="3"/>
  <c r="Y106" i="3" s="1"/>
  <c r="X83" i="3"/>
  <c r="X106" i="3" s="1"/>
  <c r="W83" i="3"/>
  <c r="W106" i="3" s="1"/>
  <c r="V83" i="3"/>
  <c r="V106" i="3" s="1"/>
  <c r="U83" i="3"/>
  <c r="U106" i="3" s="1"/>
  <c r="T83" i="3"/>
  <c r="T106" i="3" s="1"/>
  <c r="Z82" i="3"/>
  <c r="Y82" i="3"/>
  <c r="X82" i="3"/>
  <c r="W82" i="3"/>
  <c r="V82" i="3"/>
  <c r="U82" i="3"/>
  <c r="T82" i="3"/>
  <c r="Z77" i="3"/>
  <c r="Y77" i="3"/>
  <c r="X77" i="3"/>
  <c r="W77" i="3"/>
  <c r="V77" i="3"/>
  <c r="U77" i="3"/>
  <c r="T77" i="3"/>
  <c r="Z74" i="3"/>
  <c r="Z75" i="3" s="1"/>
  <c r="Y74" i="3"/>
  <c r="Y75" i="3" s="1"/>
  <c r="X74" i="3"/>
  <c r="X75" i="3" s="1"/>
  <c r="W74" i="3"/>
  <c r="W75" i="3" s="1"/>
  <c r="V74" i="3"/>
  <c r="V75" i="3" s="1"/>
  <c r="U74" i="3"/>
  <c r="U75" i="3" s="1"/>
  <c r="T74" i="3"/>
  <c r="T75" i="3" s="1"/>
  <c r="Z71" i="3"/>
  <c r="Y71" i="3"/>
  <c r="X71" i="3"/>
  <c r="W71" i="3"/>
  <c r="V71" i="3"/>
  <c r="U71" i="3"/>
  <c r="T71" i="3"/>
  <c r="Z63" i="3"/>
  <c r="Z58" i="3"/>
  <c r="V58" i="3"/>
  <c r="Z42" i="3"/>
  <c r="Y42" i="3"/>
  <c r="X42" i="3"/>
  <c r="W42" i="3"/>
  <c r="V42" i="3"/>
  <c r="U42" i="3"/>
  <c r="T42" i="3"/>
  <c r="Z36" i="3"/>
  <c r="Y36" i="3"/>
  <c r="X36" i="3"/>
  <c r="W36" i="3"/>
  <c r="V36" i="3"/>
  <c r="U36" i="3"/>
  <c r="T36" i="3"/>
  <c r="Y30" i="3"/>
  <c r="Y141" i="3" s="1"/>
  <c r="Y144" i="3" s="1"/>
  <c r="X30" i="3"/>
  <c r="X141" i="3" s="1"/>
  <c r="X144" i="3" s="1"/>
  <c r="W30" i="3"/>
  <c r="W141" i="3" s="1"/>
  <c r="W144" i="3" s="1"/>
  <c r="V30" i="3"/>
  <c r="V141" i="3" s="1"/>
  <c r="V144" i="3" s="1"/>
  <c r="U30" i="3"/>
  <c r="U141" i="3" s="1"/>
  <c r="U144" i="3" s="1"/>
  <c r="T30" i="3"/>
  <c r="T141" i="3" s="1"/>
  <c r="T144" i="3" s="1"/>
  <c r="Z29" i="3"/>
  <c r="Z107" i="3" s="1"/>
  <c r="Y29" i="3"/>
  <c r="Y107" i="3" s="1"/>
  <c r="X29" i="3"/>
  <c r="X107" i="3" s="1"/>
  <c r="W29" i="3"/>
  <c r="W107" i="3" s="1"/>
  <c r="V29" i="3"/>
  <c r="V107" i="3" s="1"/>
  <c r="U29" i="3"/>
  <c r="U107" i="3" s="1"/>
  <c r="T29" i="3"/>
  <c r="T107" i="3" s="1"/>
  <c r="Z26" i="3"/>
  <c r="Y26" i="3"/>
  <c r="X26" i="3"/>
  <c r="W26" i="3"/>
  <c r="V26" i="3"/>
  <c r="U26" i="3"/>
  <c r="T26" i="3"/>
  <c r="Z24" i="3"/>
  <c r="Y24" i="3"/>
  <c r="X24" i="3"/>
  <c r="W24" i="3"/>
  <c r="V24" i="3"/>
  <c r="U24" i="3"/>
  <c r="T24" i="3"/>
  <c r="Z22" i="3"/>
  <c r="Y22" i="3"/>
  <c r="X22" i="3"/>
  <c r="W22" i="3"/>
  <c r="V22" i="3"/>
  <c r="U22" i="3"/>
  <c r="T22" i="3"/>
  <c r="Z20" i="3"/>
  <c r="Y20" i="3"/>
  <c r="X20" i="3"/>
  <c r="W20" i="3"/>
  <c r="V20" i="3"/>
  <c r="U20" i="3"/>
  <c r="T20" i="3"/>
  <c r="Z11" i="3"/>
  <c r="Z69" i="3" s="1"/>
  <c r="Z70" i="3" s="1"/>
  <c r="Y11" i="3"/>
  <c r="X11" i="3"/>
  <c r="W11" i="3"/>
  <c r="V11" i="3"/>
  <c r="U11" i="3"/>
  <c r="T11" i="3"/>
  <c r="Z7" i="3"/>
  <c r="Z101" i="3" s="1"/>
  <c r="Y7" i="3"/>
  <c r="X7" i="3"/>
  <c r="W7" i="3"/>
  <c r="V7" i="3"/>
  <c r="U7" i="3"/>
  <c r="T7" i="3"/>
  <c r="AA117" i="3"/>
  <c r="C24" i="21"/>
  <c r="G7" i="21"/>
  <c r="F7" i="21"/>
  <c r="E7" i="21"/>
  <c r="D7" i="21"/>
  <c r="C7" i="21"/>
  <c r="G6" i="21"/>
  <c r="F6" i="21"/>
  <c r="E6" i="21"/>
  <c r="D6" i="21"/>
  <c r="C6" i="21"/>
  <c r="G11" i="21"/>
  <c r="F11" i="21"/>
  <c r="E11" i="21"/>
  <c r="L5" i="21"/>
  <c r="K5" i="21"/>
  <c r="J5" i="21"/>
  <c r="I5" i="21"/>
  <c r="H5" i="21"/>
  <c r="G5" i="21"/>
  <c r="F5" i="21"/>
  <c r="E5" i="21"/>
  <c r="D5" i="21"/>
  <c r="C5" i="21"/>
  <c r="C54" i="12"/>
  <c r="I18" i="1" s="1"/>
  <c r="C68" i="12"/>
  <c r="C47" i="12"/>
  <c r="G45" i="7"/>
  <c r="F45" i="7"/>
  <c r="E45" i="7"/>
  <c r="D45" i="7"/>
  <c r="C45" i="7"/>
  <c r="L5" i="12"/>
  <c r="K5" i="12"/>
  <c r="J5" i="12"/>
  <c r="I5" i="12"/>
  <c r="H5" i="12"/>
  <c r="G5" i="12"/>
  <c r="F5" i="12"/>
  <c r="E5" i="12"/>
  <c r="D5" i="12"/>
  <c r="C5" i="12"/>
  <c r="L6" i="11"/>
  <c r="K6" i="11"/>
  <c r="J6" i="11"/>
  <c r="I6" i="11"/>
  <c r="H6" i="11"/>
  <c r="G6" i="11"/>
  <c r="F6" i="11"/>
  <c r="E6" i="11"/>
  <c r="D6" i="11"/>
  <c r="C6" i="11"/>
  <c r="L73" i="19"/>
  <c r="K73" i="19"/>
  <c r="J73" i="19"/>
  <c r="I73" i="19"/>
  <c r="H73" i="19"/>
  <c r="G73" i="19"/>
  <c r="F73" i="19"/>
  <c r="E73" i="19"/>
  <c r="D73" i="19"/>
  <c r="C73" i="19"/>
  <c r="L72" i="19"/>
  <c r="K72" i="19"/>
  <c r="J72" i="19"/>
  <c r="I72" i="19"/>
  <c r="H72" i="19"/>
  <c r="G72" i="19"/>
  <c r="F72" i="19"/>
  <c r="E72" i="19"/>
  <c r="D72" i="19"/>
  <c r="C72" i="19"/>
  <c r="L71" i="19"/>
  <c r="K71" i="19"/>
  <c r="J71" i="19"/>
  <c r="I71" i="19"/>
  <c r="H71" i="19"/>
  <c r="G71" i="19"/>
  <c r="F71" i="19"/>
  <c r="E71" i="19"/>
  <c r="D71" i="19"/>
  <c r="C71" i="19"/>
  <c r="Q180" i="3"/>
  <c r="P180" i="3"/>
  <c r="O180" i="3"/>
  <c r="N180" i="3"/>
  <c r="M180" i="3"/>
  <c r="Q183" i="3"/>
  <c r="P183" i="3"/>
  <c r="O183" i="3"/>
  <c r="N183" i="3"/>
  <c r="M183" i="3"/>
  <c r="AC34" i="3"/>
  <c r="Q208" i="3"/>
  <c r="P208" i="3"/>
  <c r="O208" i="3"/>
  <c r="N208" i="3"/>
  <c r="G10" i="16"/>
  <c r="Q117" i="3"/>
  <c r="P117" i="3"/>
  <c r="O117" i="3"/>
  <c r="N117" i="3"/>
  <c r="M117" i="3"/>
  <c r="F26" i="1" a="1"/>
  <c r="J65" i="20"/>
  <c r="I65" i="20"/>
  <c r="H65" i="20"/>
  <c r="G65" i="20"/>
  <c r="F65" i="20"/>
  <c r="E65" i="20"/>
  <c r="D65" i="20"/>
  <c r="J64" i="20"/>
  <c r="I64" i="20"/>
  <c r="H64" i="20"/>
  <c r="G64" i="20"/>
  <c r="F64" i="20"/>
  <c r="E64" i="20"/>
  <c r="D64" i="20"/>
  <c r="J63" i="20"/>
  <c r="I63" i="20"/>
  <c r="H63" i="20"/>
  <c r="G63" i="20"/>
  <c r="F63" i="20"/>
  <c r="E63" i="20"/>
  <c r="D63" i="20"/>
  <c r="C65"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0" i="19"/>
  <c r="F70" i="19"/>
  <c r="E70" i="19"/>
  <c r="D70" i="19"/>
  <c r="C70" i="19"/>
  <c r="G69" i="19"/>
  <c r="F69" i="19"/>
  <c r="E69" i="19"/>
  <c r="D69" i="19"/>
  <c r="C69" i="19"/>
  <c r="G68" i="19"/>
  <c r="F68" i="19"/>
  <c r="E68" i="19"/>
  <c r="D68" i="19"/>
  <c r="C68" i="19"/>
  <c r="L67" i="19"/>
  <c r="K67" i="19"/>
  <c r="J67" i="19"/>
  <c r="I67" i="19"/>
  <c r="H67" i="19"/>
  <c r="G67" i="19"/>
  <c r="F67" i="19"/>
  <c r="E67" i="19"/>
  <c r="D67" i="19"/>
  <c r="C67" i="19"/>
  <c r="L66" i="19"/>
  <c r="K66" i="19"/>
  <c r="J66" i="19"/>
  <c r="I66" i="19"/>
  <c r="H66" i="19"/>
  <c r="G66" i="19"/>
  <c r="F66" i="19"/>
  <c r="E66" i="19"/>
  <c r="D66" i="19"/>
  <c r="C66" i="19"/>
  <c r="L65" i="19"/>
  <c r="K65" i="19"/>
  <c r="J65" i="19"/>
  <c r="I65" i="19"/>
  <c r="H65" i="19"/>
  <c r="G65" i="19"/>
  <c r="F65" i="19"/>
  <c r="E65" i="19"/>
  <c r="D65" i="19"/>
  <c r="C65" i="19"/>
  <c r="G64" i="19"/>
  <c r="F64" i="19"/>
  <c r="E64" i="19"/>
  <c r="D64" i="19"/>
  <c r="G63" i="19"/>
  <c r="F63" i="19"/>
  <c r="E63" i="19"/>
  <c r="D63" i="19"/>
  <c r="G62" i="19"/>
  <c r="F62" i="19"/>
  <c r="E62" i="19"/>
  <c r="D62" i="19"/>
  <c r="C64" i="19"/>
  <c r="C63" i="19"/>
  <c r="C62" i="19"/>
  <c r="G61" i="19"/>
  <c r="F61" i="19"/>
  <c r="E61" i="19"/>
  <c r="D61" i="19"/>
  <c r="G60"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L56" i="19"/>
  <c r="K56" i="19"/>
  <c r="J56" i="19"/>
  <c r="I56" i="19"/>
  <c r="H56" i="19"/>
  <c r="G56" i="19"/>
  <c r="F56" i="19"/>
  <c r="E56" i="19"/>
  <c r="D56" i="19"/>
  <c r="L55" i="19"/>
  <c r="K55" i="19"/>
  <c r="J55" i="19"/>
  <c r="I55" i="19"/>
  <c r="H55" i="19"/>
  <c r="G55" i="19"/>
  <c r="F55" i="19"/>
  <c r="E55" i="19"/>
  <c r="D55" i="19"/>
  <c r="C56" i="19"/>
  <c r="C55" i="19"/>
  <c r="G7" i="16"/>
  <c r="F7" i="16"/>
  <c r="L71" i="3"/>
  <c r="K71" i="3"/>
  <c r="J71" i="3"/>
  <c r="I71" i="3"/>
  <c r="H71" i="3"/>
  <c r="G71" i="3"/>
  <c r="F71" i="3"/>
  <c r="E71" i="3"/>
  <c r="D71" i="3"/>
  <c r="C71" i="3"/>
  <c r="Q203" i="3"/>
  <c r="P203" i="3"/>
  <c r="O203" i="3"/>
  <c r="N203" i="3"/>
  <c r="M203" i="3"/>
  <c r="AC84" i="3"/>
  <c r="AC45" i="3"/>
  <c r="AC65" i="3"/>
  <c r="AA112" i="3"/>
  <c r="Q112" i="3"/>
  <c r="P112" i="3"/>
  <c r="O112" i="3"/>
  <c r="N112" i="3"/>
  <c r="M112" i="3"/>
  <c r="AC48" i="3"/>
  <c r="AA111" i="3"/>
  <c r="Q111" i="3"/>
  <c r="P111" i="3"/>
  <c r="O111" i="3"/>
  <c r="N111" i="3"/>
  <c r="M111" i="3"/>
  <c r="AC17" i="3"/>
  <c r="C13" i="10"/>
  <c r="C12" i="10"/>
  <c r="C11" i="10"/>
  <c r="G29" i="7"/>
  <c r="F29" i="7"/>
  <c r="E29" i="7"/>
  <c r="D29" i="7"/>
  <c r="C29" i="7"/>
  <c r="AC56" i="3"/>
  <c r="G14" i="7"/>
  <c r="F14" i="7"/>
  <c r="E14" i="7"/>
  <c r="D14" i="7"/>
  <c r="C14" i="7"/>
  <c r="AA108" i="3"/>
  <c r="Q108" i="3"/>
  <c r="P108" i="3"/>
  <c r="O108" i="3"/>
  <c r="N108" i="3"/>
  <c r="M108" i="3"/>
  <c r="AC39" i="3"/>
  <c r="AA77" i="3"/>
  <c r="H9" i="1"/>
  <c r="H8" i="1"/>
  <c r="H5" i="1"/>
  <c r="H4" i="1"/>
  <c r="H3" i="1"/>
  <c r="G34" i="18"/>
  <c r="F34" i="18"/>
  <c r="D34" i="18"/>
  <c r="C34" i="18"/>
  <c r="G32" i="18"/>
  <c r="F32" i="18"/>
  <c r="D32" i="18"/>
  <c r="C32" i="18"/>
  <c r="G28" i="18"/>
  <c r="F28" i="18"/>
  <c r="D28" i="18"/>
  <c r="C28" i="18"/>
  <c r="G26" i="18"/>
  <c r="F26" i="18"/>
  <c r="D26" i="18"/>
  <c r="C26" i="18"/>
  <c r="G24" i="18"/>
  <c r="F24" i="18"/>
  <c r="D24" i="18"/>
  <c r="C24" i="18"/>
  <c r="AA199" i="3"/>
  <c r="AA198" i="3"/>
  <c r="AA197" i="3"/>
  <c r="G16" i="18"/>
  <c r="F16" i="18"/>
  <c r="D16" i="18"/>
  <c r="C16" i="18"/>
  <c r="G14" i="18"/>
  <c r="F14" i="18"/>
  <c r="D14" i="18"/>
  <c r="C14" i="18"/>
  <c r="G8" i="18"/>
  <c r="F8" i="18"/>
  <c r="D8" i="18"/>
  <c r="C8" i="18"/>
  <c r="G6" i="18"/>
  <c r="F6" i="18"/>
  <c r="D6" i="18"/>
  <c r="C6" i="18"/>
  <c r="G5" i="18"/>
  <c r="G4" i="18"/>
  <c r="F5" i="18"/>
  <c r="F4" i="18"/>
  <c r="D5" i="18"/>
  <c r="D4" i="18"/>
  <c r="C5" i="18"/>
  <c r="C4" i="18"/>
  <c r="Q199" i="3"/>
  <c r="P199" i="3"/>
  <c r="O199" i="3"/>
  <c r="N199" i="3"/>
  <c r="M199" i="3"/>
  <c r="Q198" i="3"/>
  <c r="P198" i="3"/>
  <c r="O198" i="3"/>
  <c r="N198" i="3"/>
  <c r="M198" i="3"/>
  <c r="Q197" i="3"/>
  <c r="P197" i="3"/>
  <c r="O197" i="3"/>
  <c r="N197" i="3"/>
  <c r="M197" i="3"/>
  <c r="G22" i="17"/>
  <c r="F22" i="17"/>
  <c r="E22" i="17"/>
  <c r="D22" i="17"/>
  <c r="C22" i="17"/>
  <c r="G21" i="17"/>
  <c r="F21" i="17"/>
  <c r="E21" i="17"/>
  <c r="D21" i="17"/>
  <c r="C21" i="17"/>
  <c r="G6" i="17"/>
  <c r="F6" i="17"/>
  <c r="E6" i="17"/>
  <c r="D6" i="17"/>
  <c r="C6" i="17"/>
  <c r="I3" i="17"/>
  <c r="G3" i="17"/>
  <c r="F3" i="17"/>
  <c r="E3" i="17"/>
  <c r="D3" i="17"/>
  <c r="C3" i="17"/>
  <c r="G2" i="17"/>
  <c r="F2" i="17"/>
  <c r="E2" i="17"/>
  <c r="D2" i="17"/>
  <c r="C2" i="17"/>
  <c r="Q110" i="3"/>
  <c r="P110" i="3"/>
  <c r="O110" i="3"/>
  <c r="N110" i="3"/>
  <c r="M110" i="3"/>
  <c r="AA142" i="3"/>
  <c r="Q142" i="3"/>
  <c r="P142" i="3"/>
  <c r="O142" i="3"/>
  <c r="N142" i="3"/>
  <c r="M142" i="3"/>
  <c r="AC31" i="3"/>
  <c r="AC64" i="3"/>
  <c r="Q174" i="3"/>
  <c r="P174" i="3"/>
  <c r="O174" i="3"/>
  <c r="N174" i="3"/>
  <c r="M174" i="3"/>
  <c r="Q173" i="3"/>
  <c r="P173" i="3"/>
  <c r="O173" i="3"/>
  <c r="N173" i="3"/>
  <c r="M173" i="3"/>
  <c r="M79" i="3"/>
  <c r="N79" i="3"/>
  <c r="O79" i="3"/>
  <c r="P79" i="3"/>
  <c r="Q79" i="3"/>
  <c r="AA149" i="3"/>
  <c r="Q149" i="3"/>
  <c r="P149" i="3"/>
  <c r="O149" i="3"/>
  <c r="N149" i="3"/>
  <c r="M149" i="3"/>
  <c r="AA148" i="3"/>
  <c r="Q148" i="3"/>
  <c r="P148" i="3"/>
  <c r="O148" i="3"/>
  <c r="N148" i="3"/>
  <c r="M148" i="3"/>
  <c r="AA143" i="3"/>
  <c r="Q143" i="3"/>
  <c r="P143" i="3"/>
  <c r="O143" i="3"/>
  <c r="N143" i="3"/>
  <c r="M143" i="3"/>
  <c r="G9" i="16"/>
  <c r="F6" i="16"/>
  <c r="G6" i="16"/>
  <c r="AC62" i="3"/>
  <c r="AC61" i="3"/>
  <c r="AC60" i="3"/>
  <c r="AC54" i="3"/>
  <c r="AC53" i="3"/>
  <c r="AC76" i="3"/>
  <c r="P77" i="3"/>
  <c r="O77" i="3"/>
  <c r="N77" i="3"/>
  <c r="M77" i="3"/>
  <c r="Q77" i="3"/>
  <c r="AA135" i="3"/>
  <c r="AA131" i="3"/>
  <c r="E31" i="12"/>
  <c r="D31" i="12"/>
  <c r="G24" i="12"/>
  <c r="F24" i="12"/>
  <c r="E24" i="12"/>
  <c r="D24" i="12"/>
  <c r="C24" i="12"/>
  <c r="AC108" i="3"/>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7" i="6"/>
  <c r="V17" i="6"/>
  <c r="U17" i="6"/>
  <c r="T17" i="6"/>
  <c r="S17" i="6"/>
  <c r="R17" i="6"/>
  <c r="Q17" i="6"/>
  <c r="P17" i="6"/>
  <c r="W16" i="6"/>
  <c r="V16" i="6"/>
  <c r="U16" i="6"/>
  <c r="T16" i="6"/>
  <c r="S16" i="6"/>
  <c r="R16" i="6"/>
  <c r="Q16" i="6"/>
  <c r="P16" i="6"/>
  <c r="W15" i="6"/>
  <c r="V15" i="6"/>
  <c r="U15" i="6"/>
  <c r="T15" i="6"/>
  <c r="S15" i="6"/>
  <c r="R15" i="6"/>
  <c r="Q15" i="6"/>
  <c r="P15" i="6"/>
  <c r="W14" i="6"/>
  <c r="V14" i="6"/>
  <c r="U14" i="6"/>
  <c r="T14" i="6"/>
  <c r="S14" i="6"/>
  <c r="R14" i="6"/>
  <c r="Q14" i="6"/>
  <c r="P14" i="6"/>
  <c r="W13" i="6"/>
  <c r="V13" i="6"/>
  <c r="U13" i="6"/>
  <c r="T13" i="6"/>
  <c r="S13" i="6"/>
  <c r="R13" i="6"/>
  <c r="Q13" i="6"/>
  <c r="P13" i="6"/>
  <c r="W12" i="6"/>
  <c r="V12" i="6"/>
  <c r="U12" i="6"/>
  <c r="T12" i="6"/>
  <c r="S12" i="6"/>
  <c r="R12" i="6"/>
  <c r="Q12" i="6"/>
  <c r="P12" i="6"/>
  <c r="W11" i="6"/>
  <c r="V11" i="6"/>
  <c r="U11" i="6"/>
  <c r="T11" i="6"/>
  <c r="S11" i="6"/>
  <c r="R11" i="6"/>
  <c r="Q11" i="6"/>
  <c r="P11" i="6"/>
  <c r="O18" i="6"/>
  <c r="O14" i="6"/>
  <c r="B30" i="6"/>
  <c r="B26" i="6"/>
  <c r="G17" i="6"/>
  <c r="F17" i="6"/>
  <c r="E17" i="6"/>
  <c r="D17" i="6"/>
  <c r="C17" i="6"/>
  <c r="G16" i="6"/>
  <c r="F16" i="6"/>
  <c r="E16" i="6"/>
  <c r="D16" i="6"/>
  <c r="C16" i="6"/>
  <c r="G15" i="6"/>
  <c r="F15" i="6"/>
  <c r="E15" i="6"/>
  <c r="D15" i="6"/>
  <c r="C15" i="6"/>
  <c r="B17" i="6"/>
  <c r="B16" i="6"/>
  <c r="B15" i="6"/>
  <c r="G13" i="6"/>
  <c r="F13" i="6"/>
  <c r="E13" i="6"/>
  <c r="D13" i="6"/>
  <c r="C13" i="6"/>
  <c r="G12" i="6"/>
  <c r="F12" i="6"/>
  <c r="E12" i="6"/>
  <c r="D12" i="6"/>
  <c r="C12" i="6"/>
  <c r="G11" i="6"/>
  <c r="F11" i="6"/>
  <c r="E11" i="6"/>
  <c r="D11" i="6"/>
  <c r="C11" i="6"/>
  <c r="B13" i="6"/>
  <c r="B12" i="6"/>
  <c r="B11" i="6"/>
  <c r="G14" i="6"/>
  <c r="F14" i="6"/>
  <c r="E14" i="6"/>
  <c r="D14" i="6"/>
  <c r="C14" i="6"/>
  <c r="B5" i="6"/>
  <c r="Z22" i="6"/>
  <c r="Y22" i="6"/>
  <c r="X22" i="6"/>
  <c r="Z10" i="6"/>
  <c r="Y10" i="6"/>
  <c r="X10" i="6"/>
  <c r="AE22" i="5"/>
  <c r="R35" i="5"/>
  <c r="R34" i="5"/>
  <c r="AA9" i="5"/>
  <c r="AA24" i="5"/>
  <c r="Z25" i="5"/>
  <c r="Y25" i="5"/>
  <c r="X25" i="5"/>
  <c r="W25" i="5"/>
  <c r="V25" i="5"/>
  <c r="U25" i="5"/>
  <c r="T25" i="5"/>
  <c r="Z23" i="5"/>
  <c r="Y23" i="5"/>
  <c r="X23" i="5"/>
  <c r="W23" i="5"/>
  <c r="V23" i="5"/>
  <c r="U23" i="5"/>
  <c r="T23" i="5"/>
  <c r="S23" i="5"/>
  <c r="Z22" i="5"/>
  <c r="Y22" i="5"/>
  <c r="X22" i="5"/>
  <c r="W22" i="5"/>
  <c r="V22" i="5"/>
  <c r="U22" i="5"/>
  <c r="T22" i="5"/>
  <c r="S22" i="5"/>
  <c r="Z21" i="5"/>
  <c r="Y21" i="5"/>
  <c r="X21" i="5"/>
  <c r="W21" i="5"/>
  <c r="V21" i="5"/>
  <c r="U21" i="5"/>
  <c r="T21" i="5"/>
  <c r="S21" i="5"/>
  <c r="Z8" i="5"/>
  <c r="Y8" i="5"/>
  <c r="X8" i="5"/>
  <c r="W8" i="5"/>
  <c r="V8" i="5"/>
  <c r="U8" i="5"/>
  <c r="T8" i="5"/>
  <c r="S8" i="5"/>
  <c r="Z7" i="5"/>
  <c r="Y7" i="5"/>
  <c r="X7" i="5"/>
  <c r="W7" i="5"/>
  <c r="V7" i="5"/>
  <c r="U7" i="5"/>
  <c r="T7" i="5"/>
  <c r="S7" i="5"/>
  <c r="Z6" i="5"/>
  <c r="Y6" i="5"/>
  <c r="X6" i="5"/>
  <c r="W6" i="5"/>
  <c r="V6" i="5"/>
  <c r="U6" i="5"/>
  <c r="T6" i="5"/>
  <c r="S6" i="5"/>
  <c r="Z9" i="5"/>
  <c r="Y9" i="5"/>
  <c r="X9" i="5"/>
  <c r="W9" i="5"/>
  <c r="V9" i="5"/>
  <c r="U9" i="5"/>
  <c r="T9" i="5"/>
  <c r="S9" i="5"/>
  <c r="Z5" i="5"/>
  <c r="Y5" i="5"/>
  <c r="X5" i="5"/>
  <c r="W5" i="5"/>
  <c r="V5" i="5"/>
  <c r="U5" i="5"/>
  <c r="T5" i="5"/>
  <c r="S5" i="5"/>
  <c r="R5" i="5"/>
  <c r="H9" i="5"/>
  <c r="L24" i="5"/>
  <c r="K24" i="5"/>
  <c r="J24" i="5"/>
  <c r="I24" i="5"/>
  <c r="H24" i="5"/>
  <c r="G25" i="5"/>
  <c r="F25" i="5"/>
  <c r="E25" i="5"/>
  <c r="D25" i="5"/>
  <c r="G23" i="5"/>
  <c r="F23" i="5"/>
  <c r="E23" i="5"/>
  <c r="D23" i="5"/>
  <c r="C23" i="5"/>
  <c r="G22" i="5"/>
  <c r="F22" i="5"/>
  <c r="E22" i="5"/>
  <c r="D22" i="5"/>
  <c r="C22" i="5"/>
  <c r="G21" i="5"/>
  <c r="F21" i="5"/>
  <c r="E21" i="5"/>
  <c r="D21" i="5"/>
  <c r="C21" i="5"/>
  <c r="G8" i="5"/>
  <c r="F8" i="5"/>
  <c r="E8" i="5"/>
  <c r="D8" i="5"/>
  <c r="C8" i="5"/>
  <c r="G7" i="5"/>
  <c r="F7" i="5"/>
  <c r="E7" i="5"/>
  <c r="D7" i="5"/>
  <c r="C7" i="5"/>
  <c r="G6" i="5"/>
  <c r="F6" i="5"/>
  <c r="E6" i="5"/>
  <c r="D6" i="5"/>
  <c r="C6" i="5"/>
  <c r="B8" i="5"/>
  <c r="B7" i="5"/>
  <c r="B6" i="5"/>
  <c r="G9" i="5"/>
  <c r="F9" i="5"/>
  <c r="E9" i="5"/>
  <c r="D9" i="5"/>
  <c r="C9" i="5"/>
  <c r="G5" i="5"/>
  <c r="F5" i="5"/>
  <c r="E5" i="5"/>
  <c r="D5" i="5"/>
  <c r="C5" i="5"/>
  <c r="AC33" i="5"/>
  <c r="AB33" i="5"/>
  <c r="AA33" i="5"/>
  <c r="AE20" i="5"/>
  <c r="AC20" i="5"/>
  <c r="AB20" i="5"/>
  <c r="AA20" i="5"/>
  <c r="AE19" i="5"/>
  <c r="R16" i="5"/>
  <c r="B16" i="5"/>
  <c r="AC12" i="5"/>
  <c r="AB12" i="5"/>
  <c r="AA12" i="5"/>
  <c r="AC214" i="3"/>
  <c r="AC217" i="3"/>
  <c r="AC216" i="3"/>
  <c r="AC215" i="3"/>
  <c r="AC213" i="3"/>
  <c r="AA83" i="3"/>
  <c r="O83" i="3"/>
  <c r="N83" i="3"/>
  <c r="M83" i="3"/>
  <c r="L83" i="3"/>
  <c r="K83" i="3"/>
  <c r="J83" i="3"/>
  <c r="I83" i="3"/>
  <c r="H83" i="3"/>
  <c r="G83" i="3"/>
  <c r="F83" i="3"/>
  <c r="E83" i="3"/>
  <c r="D83" i="3"/>
  <c r="C83" i="3"/>
  <c r="P83" i="3"/>
  <c r="Q83" i="3"/>
  <c r="P124" i="3"/>
  <c r="O124" i="3"/>
  <c r="N124" i="3"/>
  <c r="M124" i="3"/>
  <c r="Q124" i="3"/>
  <c r="P122" i="3"/>
  <c r="O122" i="3"/>
  <c r="N122" i="3"/>
  <c r="M122" i="3"/>
  <c r="Q122" i="3"/>
  <c r="AC193" i="3"/>
  <c r="AC192" i="3"/>
  <c r="AC191" i="3"/>
  <c r="AC189" i="3"/>
  <c r="AC188" i="3"/>
  <c r="AC187" i="3"/>
  <c r="AA102" i="3"/>
  <c r="AC81" i="3"/>
  <c r="AA82" i="3"/>
  <c r="M74" i="3"/>
  <c r="N74" i="3"/>
  <c r="O74" i="3"/>
  <c r="P74" i="3"/>
  <c r="Q74" i="3"/>
  <c r="Q82" i="3"/>
  <c r="P82" i="3"/>
  <c r="O82" i="3"/>
  <c r="N82" i="3"/>
  <c r="M82" i="3"/>
  <c r="M58" i="3"/>
  <c r="N58" i="3"/>
  <c r="O58" i="3"/>
  <c r="P58" i="3"/>
  <c r="Q58" i="3"/>
  <c r="AC50" i="3"/>
  <c r="AC49" i="3"/>
  <c r="AC47" i="3"/>
  <c r="AC46" i="3"/>
  <c r="AC44" i="3"/>
  <c r="AC43" i="3"/>
  <c r="AC41" i="3"/>
  <c r="AC40" i="3"/>
  <c r="AC38" i="3"/>
  <c r="AC37" i="3"/>
  <c r="AC35" i="3"/>
  <c r="AC33" i="3"/>
  <c r="AC32" i="3"/>
  <c r="AC30" i="3"/>
  <c r="AA42" i="3"/>
  <c r="AA36" i="3"/>
  <c r="O42" i="3"/>
  <c r="N42" i="3"/>
  <c r="M42" i="3"/>
  <c r="M30" i="3"/>
  <c r="M29" i="3"/>
  <c r="M36" i="3"/>
  <c r="O36" i="3"/>
  <c r="N36" i="3"/>
  <c r="N30" i="3"/>
  <c r="O30" i="3"/>
  <c r="N29" i="3"/>
  <c r="O29" i="3"/>
  <c r="P42" i="3"/>
  <c r="Q42" i="3"/>
  <c r="P36" i="3"/>
  <c r="Q36" i="3"/>
  <c r="P30" i="3"/>
  <c r="Q30" i="3"/>
  <c r="P29" i="3"/>
  <c r="Q29" i="3"/>
  <c r="AA98" i="3"/>
  <c r="AA97" i="3"/>
  <c r="AA96" i="3"/>
  <c r="AA94" i="3"/>
  <c r="AA93" i="3"/>
  <c r="AA92" i="3"/>
  <c r="AA90" i="3"/>
  <c r="AA89" i="3"/>
  <c r="AC25" i="3"/>
  <c r="AC23" i="3"/>
  <c r="AC21" i="3"/>
  <c r="AC19" i="3"/>
  <c r="AC18" i="3"/>
  <c r="AC16" i="3"/>
  <c r="AC15" i="3"/>
  <c r="AC14" i="3"/>
  <c r="AC13" i="3"/>
  <c r="AC12" i="3"/>
  <c r="AC10" i="3"/>
  <c r="AC9" i="3"/>
  <c r="AC8" i="3"/>
  <c r="AC6" i="3"/>
  <c r="AC5" i="3"/>
  <c r="AA26" i="3"/>
  <c r="AA24" i="3"/>
  <c r="AA22" i="3"/>
  <c r="AA20" i="3"/>
  <c r="AA11" i="3"/>
  <c r="AA7" i="3"/>
  <c r="Q102" i="3"/>
  <c r="P102" i="3"/>
  <c r="O102" i="3"/>
  <c r="N102" i="3"/>
  <c r="M102" i="3"/>
  <c r="Q98" i="3"/>
  <c r="P98" i="3"/>
  <c r="O98" i="3"/>
  <c r="N98" i="3"/>
  <c r="M98" i="3"/>
  <c r="Q97" i="3"/>
  <c r="P97" i="3"/>
  <c r="O97" i="3"/>
  <c r="N97" i="3"/>
  <c r="M97" i="3"/>
  <c r="Q96" i="3"/>
  <c r="P96" i="3"/>
  <c r="O96" i="3"/>
  <c r="N96" i="3"/>
  <c r="M96" i="3"/>
  <c r="Q94" i="3"/>
  <c r="P94" i="3"/>
  <c r="O94" i="3"/>
  <c r="N94" i="3"/>
  <c r="M94" i="3"/>
  <c r="Q93" i="3"/>
  <c r="P93" i="3"/>
  <c r="O93" i="3"/>
  <c r="N93" i="3"/>
  <c r="M93" i="3"/>
  <c r="Q92" i="3"/>
  <c r="P92" i="3"/>
  <c r="O92" i="3"/>
  <c r="N92" i="3"/>
  <c r="M92" i="3"/>
  <c r="Q90" i="3"/>
  <c r="P90" i="3"/>
  <c r="O90" i="3"/>
  <c r="N90" i="3"/>
  <c r="M90" i="3"/>
  <c r="Q89" i="3"/>
  <c r="P89" i="3"/>
  <c r="O89" i="3"/>
  <c r="N89" i="3"/>
  <c r="M89" i="3"/>
  <c r="M26" i="3"/>
  <c r="N26" i="3"/>
  <c r="O26" i="3"/>
  <c r="P26" i="3"/>
  <c r="Q26" i="3"/>
  <c r="Q24" i="3"/>
  <c r="P24" i="3"/>
  <c r="O24" i="3"/>
  <c r="N24" i="3"/>
  <c r="M24" i="3"/>
  <c r="Q22" i="3"/>
  <c r="P22" i="3"/>
  <c r="O22" i="3"/>
  <c r="N22" i="3"/>
  <c r="M22" i="3"/>
  <c r="Q20" i="3"/>
  <c r="P20" i="3"/>
  <c r="O20" i="3"/>
  <c r="N20" i="3"/>
  <c r="M20" i="3"/>
  <c r="Q11" i="3"/>
  <c r="Q7" i="3"/>
  <c r="L22" i="3"/>
  <c r="K22" i="3"/>
  <c r="J22" i="3"/>
  <c r="I22" i="3"/>
  <c r="H22" i="3"/>
  <c r="G22" i="3"/>
  <c r="F22" i="3"/>
  <c r="E22" i="3"/>
  <c r="D22" i="3"/>
  <c r="C22" i="3"/>
  <c r="L20" i="3"/>
  <c r="K20" i="3"/>
  <c r="J20" i="3"/>
  <c r="I20" i="3"/>
  <c r="H20" i="3"/>
  <c r="G20" i="3"/>
  <c r="F20" i="3"/>
  <c r="E20" i="3"/>
  <c r="D20" i="3"/>
  <c r="C20" i="3"/>
  <c r="P11" i="3"/>
  <c r="O11" i="3"/>
  <c r="N11" i="3"/>
  <c r="M11" i="3"/>
  <c r="L11" i="3"/>
  <c r="K11" i="3"/>
  <c r="J11" i="3"/>
  <c r="I11" i="3"/>
  <c r="H11" i="3"/>
  <c r="G11" i="3"/>
  <c r="F11" i="3"/>
  <c r="E11" i="3"/>
  <c r="D11" i="3"/>
  <c r="C11" i="3"/>
  <c r="P7" i="3"/>
  <c r="O7" i="3"/>
  <c r="N7" i="3"/>
  <c r="M7" i="3"/>
  <c r="L7" i="3"/>
  <c r="K7" i="3"/>
  <c r="J7" i="3"/>
  <c r="I7" i="3"/>
  <c r="H7" i="3"/>
  <c r="G7" i="3"/>
  <c r="F7" i="3"/>
  <c r="E7" i="3"/>
  <c r="D7" i="3"/>
  <c r="C7" i="3"/>
  <c r="C8" i="1" a="1"/>
  <c r="C9" i="1" a="1"/>
  <c r="C10" i="1" a="1"/>
  <c r="C14" i="1" a="1"/>
  <c r="C13" i="1" a="1"/>
  <c r="C12" i="1" a="1"/>
  <c r="C11" i="1" a="1"/>
  <c r="C7" i="1" a="1"/>
  <c r="C6" i="1" a="1"/>
  <c r="C5" i="1" a="1"/>
  <c r="C4" i="1" a="1"/>
  <c r="C78" i="12" l="1"/>
  <c r="AA174" i="3"/>
  <c r="AA173" i="3"/>
  <c r="AC180" i="3"/>
  <c r="Z78" i="3"/>
  <c r="Z153" i="3" s="1"/>
  <c r="Z154" i="3" s="1"/>
  <c r="Z152" i="3"/>
  <c r="Y78" i="3"/>
  <c r="Y153" i="3" s="1"/>
  <c r="Y154" i="3" s="1"/>
  <c r="Y152" i="3"/>
  <c r="X78" i="3"/>
  <c r="X153" i="3" s="1"/>
  <c r="X154" i="3" s="1"/>
  <c r="X152" i="3"/>
  <c r="W78" i="3"/>
  <c r="W153" i="3" s="1"/>
  <c r="W154" i="3" s="1"/>
  <c r="W152" i="3"/>
  <c r="V78" i="3"/>
  <c r="V153" i="3" s="1"/>
  <c r="V154" i="3" s="1"/>
  <c r="V152" i="3"/>
  <c r="U78" i="3"/>
  <c r="U153" i="3" s="1"/>
  <c r="U154" i="3" s="1"/>
  <c r="U152" i="3"/>
  <c r="T78" i="3"/>
  <c r="T153" i="3" s="1"/>
  <c r="T154" i="3" s="1"/>
  <c r="T152" i="3"/>
  <c r="Z146" i="3"/>
  <c r="Z147" i="3"/>
  <c r="Z172" i="3"/>
  <c r="Z175" i="3"/>
  <c r="Y172" i="3"/>
  <c r="Y175" i="3"/>
  <c r="Y146" i="3"/>
  <c r="Y147" i="3"/>
  <c r="X146" i="3"/>
  <c r="X147" i="3"/>
  <c r="X172" i="3"/>
  <c r="X175" i="3"/>
  <c r="W146" i="3"/>
  <c r="W147" i="3"/>
  <c r="W172" i="3"/>
  <c r="W175" i="3"/>
  <c r="V146" i="3"/>
  <c r="V147" i="3"/>
  <c r="V172" i="3"/>
  <c r="V175" i="3"/>
  <c r="U147" i="3"/>
  <c r="U172" i="3"/>
  <c r="U175" i="3"/>
  <c r="U146" i="3"/>
  <c r="T146" i="3"/>
  <c r="T147" i="3"/>
  <c r="T172" i="3"/>
  <c r="T175" i="3"/>
  <c r="Z95" i="3"/>
  <c r="Y69" i="3"/>
  <c r="Y70" i="3" s="1"/>
  <c r="X69" i="3"/>
  <c r="X70" i="3" s="1"/>
  <c r="Y95" i="3"/>
  <c r="W69" i="3"/>
  <c r="W70" i="3" s="1"/>
  <c r="X95" i="3"/>
  <c r="V69" i="3"/>
  <c r="V70" i="3" s="1"/>
  <c r="W95" i="3"/>
  <c r="U69" i="3"/>
  <c r="U70" i="3" s="1"/>
  <c r="V95" i="3"/>
  <c r="T69" i="3"/>
  <c r="T70" i="3" s="1"/>
  <c r="U95" i="3"/>
  <c r="T95" i="3"/>
  <c r="Y101" i="3"/>
  <c r="H60" i="20" s="1"/>
  <c r="Z91" i="3"/>
  <c r="Y91" i="3"/>
  <c r="X101" i="3"/>
  <c r="G60" i="20" s="1"/>
  <c r="W101" i="3"/>
  <c r="F60" i="20" s="1"/>
  <c r="X91" i="3"/>
  <c r="W91" i="3"/>
  <c r="V101" i="3"/>
  <c r="E60" i="20" s="1"/>
  <c r="V91" i="3"/>
  <c r="U101" i="3"/>
  <c r="D60" i="20" s="1"/>
  <c r="T91" i="3"/>
  <c r="U91" i="3"/>
  <c r="T101" i="3"/>
  <c r="C60" i="20" s="1"/>
  <c r="D11" i="21"/>
  <c r="G16" i="21"/>
  <c r="C21" i="21"/>
  <c r="C23" i="21" s="1"/>
  <c r="C26" i="21" s="1"/>
  <c r="I11" i="1" s="1"/>
  <c r="F16" i="21"/>
  <c r="G12" i="21"/>
  <c r="E16" i="21"/>
  <c r="F12" i="21"/>
  <c r="E12" i="21"/>
  <c r="D16" i="21"/>
  <c r="C16" i="21"/>
  <c r="D12" i="21"/>
  <c r="L10" i="21"/>
  <c r="L15" i="21"/>
  <c r="K15" i="21"/>
  <c r="K10" i="21"/>
  <c r="J15" i="21"/>
  <c r="J10" i="21"/>
  <c r="I10" i="21"/>
  <c r="I15" i="21"/>
  <c r="H15" i="21"/>
  <c r="H10" i="21"/>
  <c r="G10" i="21"/>
  <c r="G15" i="21"/>
  <c r="F15" i="21"/>
  <c r="F10" i="21"/>
  <c r="E10" i="21"/>
  <c r="E15" i="21"/>
  <c r="D15" i="21"/>
  <c r="D10" i="21"/>
  <c r="C15" i="21"/>
  <c r="C10" i="21"/>
  <c r="AC182" i="3"/>
  <c r="AC181" i="3"/>
  <c r="Q182" i="3"/>
  <c r="P182" i="3"/>
  <c r="O182" i="3"/>
  <c r="N182" i="3"/>
  <c r="M182" i="3"/>
  <c r="Q181" i="3"/>
  <c r="P181" i="3"/>
  <c r="O181" i="3"/>
  <c r="N181" i="3"/>
  <c r="M181" i="3"/>
  <c r="AA107" i="3"/>
  <c r="Q107" i="3"/>
  <c r="P107" i="3"/>
  <c r="O107" i="3"/>
  <c r="N107" i="3"/>
  <c r="M107" i="3"/>
  <c r="Q209" i="3"/>
  <c r="P209" i="3"/>
  <c r="O209" i="3"/>
  <c r="N209" i="3"/>
  <c r="Q207" i="3"/>
  <c r="P207" i="3"/>
  <c r="O207" i="3"/>
  <c r="N207" i="3"/>
  <c r="F31" i="12"/>
  <c r="C23" i="11"/>
  <c r="C25" i="14"/>
  <c r="AA136" i="3"/>
  <c r="AA132" i="3"/>
  <c r="F10" i="16"/>
  <c r="Q163" i="3"/>
  <c r="P163" i="3"/>
  <c r="O163" i="3"/>
  <c r="N163" i="3"/>
  <c r="Q162" i="3"/>
  <c r="P162" i="3"/>
  <c r="O162" i="3"/>
  <c r="N162" i="3"/>
  <c r="M163" i="3"/>
  <c r="M162" i="3"/>
  <c r="Q151" i="3"/>
  <c r="P151" i="3"/>
  <c r="O151" i="3"/>
  <c r="N151" i="3"/>
  <c r="M151" i="3"/>
  <c r="Q150" i="3"/>
  <c r="P150" i="3"/>
  <c r="O150" i="3"/>
  <c r="N150" i="3"/>
  <c r="M150" i="3"/>
  <c r="AA157" i="3"/>
  <c r="J66" i="20" s="1"/>
  <c r="I66" i="20"/>
  <c r="H66" i="20"/>
  <c r="G66" i="20"/>
  <c r="F66" i="20"/>
  <c r="E66" i="20"/>
  <c r="D66" i="20"/>
  <c r="C66" i="20"/>
  <c r="J61" i="20"/>
  <c r="I61" i="20"/>
  <c r="H61" i="20"/>
  <c r="G61" i="20"/>
  <c r="F61" i="20"/>
  <c r="E61" i="20"/>
  <c r="D61" i="20"/>
  <c r="C61" i="20"/>
  <c r="F27" i="1" s="1"/>
  <c r="C9" i="10" s="1"/>
  <c r="L63" i="19"/>
  <c r="K63" i="19"/>
  <c r="J63" i="19"/>
  <c r="I63" i="19"/>
  <c r="H63" i="19"/>
  <c r="G34" i="8"/>
  <c r="F34" i="8"/>
  <c r="E34" i="8"/>
  <c r="D34" i="8"/>
  <c r="C34" i="8"/>
  <c r="G8" i="16"/>
  <c r="F8" i="16"/>
  <c r="AA71" i="3"/>
  <c r="O71" i="3"/>
  <c r="N71" i="3"/>
  <c r="M71" i="3"/>
  <c r="P71" i="3"/>
  <c r="Q71" i="3"/>
  <c r="Q69" i="3"/>
  <c r="P69" i="3"/>
  <c r="O69" i="3"/>
  <c r="N69" i="3"/>
  <c r="M69" i="3"/>
  <c r="L69" i="3"/>
  <c r="K69" i="3"/>
  <c r="J69" i="3"/>
  <c r="I69" i="3"/>
  <c r="H69" i="3"/>
  <c r="G69" i="3"/>
  <c r="F69" i="3"/>
  <c r="E69" i="3"/>
  <c r="D69" i="3"/>
  <c r="C69" i="3"/>
  <c r="AA69" i="3"/>
  <c r="Q157" i="3"/>
  <c r="Q167" i="3" s="1"/>
  <c r="P157" i="3"/>
  <c r="P167" i="3" s="1"/>
  <c r="O157" i="3"/>
  <c r="O167" i="3" s="1"/>
  <c r="N157" i="3"/>
  <c r="N167" i="3" s="1"/>
  <c r="M157" i="3"/>
  <c r="M167" i="3" s="1"/>
  <c r="AC112" i="3"/>
  <c r="Q121" i="3"/>
  <c r="P121" i="3"/>
  <c r="O121" i="3"/>
  <c r="N121" i="3"/>
  <c r="M121" i="3"/>
  <c r="AA103" i="3"/>
  <c r="J62" i="20" s="1"/>
  <c r="I62" i="20"/>
  <c r="H62" i="20"/>
  <c r="G62" i="20"/>
  <c r="F62" i="20"/>
  <c r="E62" i="20"/>
  <c r="D62" i="20"/>
  <c r="C62" i="20"/>
  <c r="Q103" i="3"/>
  <c r="L64" i="19" s="1"/>
  <c r="P103" i="3"/>
  <c r="K64" i="19" s="1"/>
  <c r="O103" i="3"/>
  <c r="J64" i="19" s="1"/>
  <c r="N103" i="3"/>
  <c r="I64" i="19" s="1"/>
  <c r="M103" i="3"/>
  <c r="H64" i="19" s="1"/>
  <c r="AC111" i="3"/>
  <c r="G35" i="7"/>
  <c r="AC63" i="3"/>
  <c r="G31" i="12"/>
  <c r="E35" i="7"/>
  <c r="F35" i="7"/>
  <c r="D35" i="7"/>
  <c r="C35" i="7"/>
  <c r="AC83" i="3"/>
  <c r="AC106" i="3" s="1"/>
  <c r="AA145" i="3"/>
  <c r="Q145" i="3"/>
  <c r="N145" i="3"/>
  <c r="P145" i="3"/>
  <c r="O145" i="3"/>
  <c r="M145" i="3"/>
  <c r="C31" i="12"/>
  <c r="G91" i="17"/>
  <c r="G90" i="17"/>
  <c r="D90" i="17"/>
  <c r="C90" i="17"/>
  <c r="G89" i="17"/>
  <c r="F20" i="18"/>
  <c r="C20" i="18"/>
  <c r="F18" i="18"/>
  <c r="C18" i="18"/>
  <c r="F12" i="18"/>
  <c r="C12" i="18"/>
  <c r="F10" i="18"/>
  <c r="C10" i="18"/>
  <c r="G94" i="17"/>
  <c r="F94" i="17"/>
  <c r="E94" i="17"/>
  <c r="D94" i="17"/>
  <c r="C94" i="17"/>
  <c r="F91" i="17"/>
  <c r="E91" i="17"/>
  <c r="D91" i="17"/>
  <c r="C91" i="17"/>
  <c r="F90" i="17"/>
  <c r="E90" i="17"/>
  <c r="F89" i="17"/>
  <c r="E89" i="17"/>
  <c r="D89" i="17"/>
  <c r="C89" i="17"/>
  <c r="X6" i="6"/>
  <c r="AA8" i="5"/>
  <c r="AA6" i="5"/>
  <c r="H7" i="7"/>
  <c r="H6" i="12"/>
  <c r="H6" i="8"/>
  <c r="H6" i="6"/>
  <c r="AC29" i="3"/>
  <c r="G20" i="18"/>
  <c r="D20" i="18"/>
  <c r="G18" i="18"/>
  <c r="D18" i="18"/>
  <c r="C17" i="18"/>
  <c r="AA106" i="3"/>
  <c r="C15" i="18"/>
  <c r="G12" i="18"/>
  <c r="D12" i="18"/>
  <c r="C9" i="18"/>
  <c r="G10" i="18"/>
  <c r="C7" i="18"/>
  <c r="D10" i="18"/>
  <c r="G31" i="18"/>
  <c r="D31" i="18"/>
  <c r="G23" i="18"/>
  <c r="F33" i="18"/>
  <c r="I60" i="20"/>
  <c r="C31" i="18"/>
  <c r="C33" i="18"/>
  <c r="F31" i="18"/>
  <c r="F23" i="18"/>
  <c r="F35" i="18"/>
  <c r="C35"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79" i="3"/>
  <c r="Q179" i="3"/>
  <c r="G77" i="17" s="1"/>
  <c r="P179" i="3"/>
  <c r="F77" i="17" s="1"/>
  <c r="O179" i="3"/>
  <c r="E77" i="17" s="1"/>
  <c r="N179" i="3"/>
  <c r="D77" i="17" s="1"/>
  <c r="M179" i="3"/>
  <c r="C77" i="17" s="1"/>
  <c r="AA178" i="3"/>
  <c r="Q178" i="3"/>
  <c r="G76" i="17" s="1"/>
  <c r="P178" i="3"/>
  <c r="F76" i="17" s="1"/>
  <c r="O178" i="3"/>
  <c r="E76" i="17" s="1"/>
  <c r="N178" i="3"/>
  <c r="D76" i="17" s="1"/>
  <c r="M178" i="3"/>
  <c r="C76" i="17" s="1"/>
  <c r="AA177" i="3"/>
  <c r="Q177" i="3"/>
  <c r="G75" i="17" s="1"/>
  <c r="P177" i="3"/>
  <c r="F75" i="17" s="1"/>
  <c r="O177" i="3"/>
  <c r="E75" i="17" s="1"/>
  <c r="N177" i="3"/>
  <c r="D75" i="17" s="1"/>
  <c r="M177" i="3"/>
  <c r="C75" i="17" s="1"/>
  <c r="AC110" i="3"/>
  <c r="D23" i="17"/>
  <c r="E23" i="17"/>
  <c r="F23" i="17"/>
  <c r="G23" i="17"/>
  <c r="C23" i="17"/>
  <c r="AC142" i="3"/>
  <c r="I39" i="17" s="1"/>
  <c r="AC173" i="3"/>
  <c r="I71" i="17" s="1"/>
  <c r="AC174" i="3"/>
  <c r="AC79" i="3"/>
  <c r="Q80" i="3"/>
  <c r="P80" i="3"/>
  <c r="N80" i="3"/>
  <c r="M80" i="3"/>
  <c r="O80" i="3"/>
  <c r="AC149" i="3"/>
  <c r="AC148" i="3"/>
  <c r="AC145" i="3"/>
  <c r="AA141" i="3"/>
  <c r="AC143" i="3"/>
  <c r="AC141" i="3"/>
  <c r="Q141" i="3"/>
  <c r="P141" i="3"/>
  <c r="O141" i="3"/>
  <c r="N141" i="3"/>
  <c r="M141" i="3"/>
  <c r="F9" i="16"/>
  <c r="F17" i="16"/>
  <c r="AC58" i="3"/>
  <c r="F16" i="16"/>
  <c r="F18" i="16" s="1"/>
  <c r="AC77" i="3"/>
  <c r="O30" i="6"/>
  <c r="O26" i="6"/>
  <c r="AC57" i="3"/>
  <c r="AC55" i="3"/>
  <c r="O106" i="3"/>
  <c r="O109" i="3" s="1"/>
  <c r="O158" i="3" s="1"/>
  <c r="N106" i="3"/>
  <c r="N109" i="3" s="1"/>
  <c r="N158" i="3" s="1"/>
  <c r="M106" i="3"/>
  <c r="M109" i="3" s="1"/>
  <c r="M158" i="3" s="1"/>
  <c r="L106" i="3"/>
  <c r="K106" i="3"/>
  <c r="J106" i="3"/>
  <c r="I106" i="3"/>
  <c r="H106" i="3"/>
  <c r="G106" i="3"/>
  <c r="F106" i="3"/>
  <c r="E106" i="3"/>
  <c r="D106" i="3"/>
  <c r="C106" i="3"/>
  <c r="G6" i="14"/>
  <c r="F6" i="14"/>
  <c r="E6" i="14"/>
  <c r="D6" i="14"/>
  <c r="C6" i="14"/>
  <c r="G19" i="12"/>
  <c r="F19" i="12"/>
  <c r="E19" i="12"/>
  <c r="D19" i="12"/>
  <c r="C19" i="12"/>
  <c r="G6" i="12"/>
  <c r="F6" i="12"/>
  <c r="E6" i="12"/>
  <c r="D6" i="12"/>
  <c r="C6" i="12"/>
  <c r="C8" i="10"/>
  <c r="H7" i="14"/>
  <c r="C18" i="10"/>
  <c r="E7" i="8"/>
  <c r="E6" i="8"/>
  <c r="F5" i="8"/>
  <c r="F32" i="8" s="1"/>
  <c r="E5" i="8"/>
  <c r="E32" i="8" s="1"/>
  <c r="C5" i="8"/>
  <c r="C32" i="8" s="1"/>
  <c r="E13" i="7"/>
  <c r="C13" i="7"/>
  <c r="D7" i="7"/>
  <c r="G6" i="7"/>
  <c r="H6" i="7" s="1"/>
  <c r="E6" i="7"/>
  <c r="U18" i="6"/>
  <c r="T18" i="6"/>
  <c r="P18" i="6"/>
  <c r="O16" i="6"/>
  <c r="O28" i="6" s="1"/>
  <c r="O15" i="6"/>
  <c r="O27" i="6" s="1"/>
  <c r="W6" i="6"/>
  <c r="T6" i="6"/>
  <c r="V5" i="6"/>
  <c r="S5" i="6"/>
  <c r="P5" i="6"/>
  <c r="B29" i="6"/>
  <c r="B27" i="6"/>
  <c r="E18" i="6"/>
  <c r="D18" i="6"/>
  <c r="G6" i="6"/>
  <c r="E6" i="6"/>
  <c r="C6" i="6"/>
  <c r="F5" i="6"/>
  <c r="Z35" i="5"/>
  <c r="X35" i="5"/>
  <c r="V35" i="5"/>
  <c r="AA34" i="5"/>
  <c r="Y34" i="5"/>
  <c r="X34" i="5"/>
  <c r="W34" i="5"/>
  <c r="U34" i="5"/>
  <c r="Z29" i="5"/>
  <c r="Y29" i="5"/>
  <c r="V29" i="5"/>
  <c r="U29" i="5"/>
  <c r="T29" i="5"/>
  <c r="Y28" i="5"/>
  <c r="X28" i="5"/>
  <c r="V28" i="5"/>
  <c r="R6" i="5"/>
  <c r="G21" i="8"/>
  <c r="E21" i="8"/>
  <c r="G20" i="8"/>
  <c r="F20" i="8"/>
  <c r="C20" i="8"/>
  <c r="F7" i="8"/>
  <c r="C7" i="8"/>
  <c r="F6" i="8"/>
  <c r="G5" i="8"/>
  <c r="D5" i="8"/>
  <c r="D32" i="8" s="1"/>
  <c r="F13" i="7"/>
  <c r="D13" i="7"/>
  <c r="F7" i="7"/>
  <c r="C6" i="7"/>
  <c r="V18" i="6"/>
  <c r="R18" i="6"/>
  <c r="U6" i="6"/>
  <c r="R6" i="6"/>
  <c r="P6" i="6"/>
  <c r="Q5" i="6"/>
  <c r="G18" i="6"/>
  <c r="C18" i="6"/>
  <c r="E5" i="6"/>
  <c r="C5" i="6"/>
  <c r="Y35" i="5"/>
  <c r="U35" i="5"/>
  <c r="T35" i="5"/>
  <c r="Z34" i="5"/>
  <c r="V34" i="5"/>
  <c r="Z28" i="5"/>
  <c r="X29" i="5"/>
  <c r="W29" i="5"/>
  <c r="W28" i="5"/>
  <c r="R7" i="5"/>
  <c r="F21" i="8"/>
  <c r="D21" i="8"/>
  <c r="C21" i="8"/>
  <c r="E20" i="8"/>
  <c r="D20" i="8"/>
  <c r="G7" i="8"/>
  <c r="D7" i="8"/>
  <c r="G6" i="8"/>
  <c r="D6" i="8"/>
  <c r="C6" i="8"/>
  <c r="G13" i="7"/>
  <c r="G7" i="7"/>
  <c r="E7" i="7"/>
  <c r="C7" i="7"/>
  <c r="F6" i="7"/>
  <c r="D6" i="7"/>
  <c r="W18" i="6"/>
  <c r="S18" i="6"/>
  <c r="Q18" i="6"/>
  <c r="O17" i="6"/>
  <c r="O29" i="6" s="1"/>
  <c r="V6" i="6"/>
  <c r="S6" i="6"/>
  <c r="Q6" i="6"/>
  <c r="W5" i="6"/>
  <c r="U5" i="6"/>
  <c r="T5" i="6"/>
  <c r="R5" i="6"/>
  <c r="B28" i="6"/>
  <c r="F18" i="6"/>
  <c r="F6" i="6"/>
  <c r="D6" i="6"/>
  <c r="D28" i="6" s="1"/>
  <c r="D5" i="6"/>
  <c r="AE25" i="5"/>
  <c r="AA23" i="5"/>
  <c r="AE9" i="5"/>
  <c r="AB6" i="6" s="1"/>
  <c r="R8" i="5"/>
  <c r="G5" i="6"/>
  <c r="W35" i="5"/>
  <c r="T34" i="5"/>
  <c r="U28" i="5"/>
  <c r="T28" i="5"/>
  <c r="S29" i="5"/>
  <c r="S28" i="5"/>
  <c r="Z27" i="5"/>
  <c r="Y27" i="5"/>
  <c r="X27" i="5"/>
  <c r="W27" i="5"/>
  <c r="V27" i="5"/>
  <c r="U27" i="5"/>
  <c r="T27" i="5"/>
  <c r="S27" i="5"/>
  <c r="G8" i="7"/>
  <c r="E8" i="7"/>
  <c r="F8" i="7"/>
  <c r="C8" i="7"/>
  <c r="D8" i="7"/>
  <c r="G44" i="7"/>
  <c r="F44" i="7"/>
  <c r="E44" i="7"/>
  <c r="D44" i="7"/>
  <c r="C44" i="7"/>
  <c r="O11" i="6"/>
  <c r="O13" i="6"/>
  <c r="O25" i="6" s="1"/>
  <c r="B23" i="6"/>
  <c r="O12" i="6"/>
  <c r="O24" i="6" s="1"/>
  <c r="B25" i="6"/>
  <c r="B24" i="6"/>
  <c r="O23" i="6"/>
  <c r="AB9" i="6"/>
  <c r="AB10" i="6"/>
  <c r="G35" i="5"/>
  <c r="F35" i="5"/>
  <c r="E35" i="5"/>
  <c r="D35" i="5"/>
  <c r="H34" i="5"/>
  <c r="G34" i="5"/>
  <c r="F34" i="5"/>
  <c r="E34" i="5"/>
  <c r="D34" i="5"/>
  <c r="H6" i="5"/>
  <c r="G29" i="5"/>
  <c r="F29" i="5"/>
  <c r="E29" i="5"/>
  <c r="D29" i="5"/>
  <c r="C29" i="5"/>
  <c r="H8" i="5"/>
  <c r="G28" i="5"/>
  <c r="F28" i="5"/>
  <c r="E28" i="5"/>
  <c r="D28" i="5"/>
  <c r="C28" i="5"/>
  <c r="G27" i="5"/>
  <c r="F27" i="5"/>
  <c r="E27" i="5"/>
  <c r="D27" i="5"/>
  <c r="C27" i="5"/>
  <c r="I21" i="5"/>
  <c r="AE8" i="5"/>
  <c r="H23" i="5"/>
  <c r="H35" i="5" s="1"/>
  <c r="G33" i="5"/>
  <c r="F33" i="5"/>
  <c r="E33" i="5"/>
  <c r="D33" i="5"/>
  <c r="E12" i="5"/>
  <c r="D12" i="5"/>
  <c r="F12" i="5"/>
  <c r="G12" i="5"/>
  <c r="S12" i="5"/>
  <c r="S20" i="5"/>
  <c r="S33" i="5"/>
  <c r="C33" i="5"/>
  <c r="C12" i="5"/>
  <c r="Z20" i="5"/>
  <c r="Y20" i="5"/>
  <c r="X20" i="5"/>
  <c r="W20" i="5"/>
  <c r="V20" i="5"/>
  <c r="U20" i="5"/>
  <c r="T20" i="5"/>
  <c r="G20" i="5"/>
  <c r="F20" i="5"/>
  <c r="E20" i="5"/>
  <c r="D20" i="5"/>
  <c r="C20" i="5"/>
  <c r="Z16" i="5"/>
  <c r="Y16" i="5"/>
  <c r="X16" i="5"/>
  <c r="W16" i="5"/>
  <c r="V16" i="5"/>
  <c r="U16" i="5"/>
  <c r="T16" i="5"/>
  <c r="G16" i="5"/>
  <c r="F16" i="5"/>
  <c r="E16" i="5"/>
  <c r="D16" i="5"/>
  <c r="Z15" i="5"/>
  <c r="Y15" i="5"/>
  <c r="X15" i="5"/>
  <c r="W15" i="5"/>
  <c r="V15" i="5"/>
  <c r="U15" i="5"/>
  <c r="T15" i="5"/>
  <c r="G15" i="5"/>
  <c r="F15" i="5"/>
  <c r="E15" i="5"/>
  <c r="D15" i="5"/>
  <c r="B15" i="5"/>
  <c r="Z14" i="5"/>
  <c r="Y14" i="5"/>
  <c r="X14" i="5"/>
  <c r="W14" i="5"/>
  <c r="V14" i="5"/>
  <c r="U14" i="5"/>
  <c r="T14" i="5"/>
  <c r="G14" i="5"/>
  <c r="F14" i="5"/>
  <c r="E14" i="5"/>
  <c r="D14" i="5"/>
  <c r="B14" i="5"/>
  <c r="Z13" i="5"/>
  <c r="Y13" i="5"/>
  <c r="X13" i="5"/>
  <c r="W13" i="5"/>
  <c r="V13" i="5"/>
  <c r="U13" i="5"/>
  <c r="T13" i="5"/>
  <c r="G13" i="5"/>
  <c r="F13" i="5"/>
  <c r="E13" i="5"/>
  <c r="D13" i="5"/>
  <c r="B13" i="5"/>
  <c r="Z12" i="5"/>
  <c r="Y12" i="5"/>
  <c r="X12" i="5"/>
  <c r="W12" i="5"/>
  <c r="V12" i="5"/>
  <c r="U12" i="5"/>
  <c r="T12" i="5"/>
  <c r="H5" i="5"/>
  <c r="H6" i="14" s="1"/>
  <c r="W33" i="5"/>
  <c r="U33" i="5"/>
  <c r="Z33" i="5"/>
  <c r="Y33" i="5"/>
  <c r="X33" i="5"/>
  <c r="V33" i="5"/>
  <c r="T33" i="5"/>
  <c r="P106" i="3"/>
  <c r="P109" i="3" s="1"/>
  <c r="P158" i="3" s="1"/>
  <c r="Q106" i="3"/>
  <c r="AC124" i="3"/>
  <c r="AC122" i="3"/>
  <c r="AC102" i="3"/>
  <c r="AA101" i="3"/>
  <c r="J60" i="20" s="1"/>
  <c r="AC82" i="3"/>
  <c r="AC74" i="3"/>
  <c r="AA75" i="3"/>
  <c r="M75" i="3"/>
  <c r="N75" i="3"/>
  <c r="O75" i="3"/>
  <c r="P75" i="3"/>
  <c r="Q75" i="3"/>
  <c r="AC42" i="3"/>
  <c r="AC36" i="3"/>
  <c r="AA91" i="3"/>
  <c r="C11" i="18" s="1"/>
  <c r="AA95" i="3"/>
  <c r="C13" i="18" s="1"/>
  <c r="AC11" i="3"/>
  <c r="AC7" i="3"/>
  <c r="AC101" i="3" s="1"/>
  <c r="Q101" i="3"/>
  <c r="P101" i="3"/>
  <c r="O101" i="3"/>
  <c r="N101" i="3"/>
  <c r="M101" i="3"/>
  <c r="Q95" i="3"/>
  <c r="G83" i="17" s="1"/>
  <c r="P95" i="3"/>
  <c r="F83" i="17" s="1"/>
  <c r="O95" i="3"/>
  <c r="E83" i="17" s="1"/>
  <c r="N95" i="3"/>
  <c r="D83" i="17" s="1"/>
  <c r="M95" i="3"/>
  <c r="C83" i="17" s="1"/>
  <c r="AC26" i="3"/>
  <c r="F5" i="1" s="1"/>
  <c r="AC24" i="3"/>
  <c r="AC22" i="3"/>
  <c r="AC20" i="3"/>
  <c r="Q91" i="3"/>
  <c r="G82" i="17" s="1"/>
  <c r="O91" i="3"/>
  <c r="E82" i="17" s="1"/>
  <c r="M91" i="3"/>
  <c r="C82" i="17" s="1"/>
  <c r="P91" i="3"/>
  <c r="F82" i="17" s="1"/>
  <c r="N91" i="3"/>
  <c r="D82" i="17" s="1"/>
  <c r="C10" i="10" s="1"/>
  <c r="C11" i="13" s="1"/>
  <c r="AC75" i="3" l="1"/>
  <c r="C22" i="14" s="1"/>
  <c r="AA152" i="3"/>
  <c r="C52" i="16"/>
  <c r="G53" i="17"/>
  <c r="F53" i="17"/>
  <c r="E53" i="17"/>
  <c r="D53" i="17"/>
  <c r="G51" i="17"/>
  <c r="F51" i="17"/>
  <c r="E51" i="17"/>
  <c r="D51" i="17"/>
  <c r="C51" i="17"/>
  <c r="C53" i="17"/>
  <c r="Q152" i="3"/>
  <c r="P152" i="3"/>
  <c r="O152" i="3"/>
  <c r="N152" i="3"/>
  <c r="M152" i="3"/>
  <c r="AC69" i="3"/>
  <c r="AC157" i="3"/>
  <c r="M78" i="3"/>
  <c r="M153" i="3" s="1"/>
  <c r="N78" i="3"/>
  <c r="N153" i="3" s="1"/>
  <c r="O78" i="3"/>
  <c r="O153" i="3" s="1"/>
  <c r="P78" i="3"/>
  <c r="P153" i="3" s="1"/>
  <c r="Q78" i="3"/>
  <c r="Q153" i="3" s="1"/>
  <c r="F22" i="8"/>
  <c r="AC71" i="3"/>
  <c r="Q168" i="3"/>
  <c r="L60" i="19"/>
  <c r="Q170" i="3"/>
  <c r="P168" i="3"/>
  <c r="K60" i="19"/>
  <c r="P170" i="3"/>
  <c r="O168" i="3"/>
  <c r="J60" i="19"/>
  <c r="O170" i="3"/>
  <c r="N168" i="3"/>
  <c r="I60" i="19"/>
  <c r="N170" i="3"/>
  <c r="M168" i="3"/>
  <c r="H60" i="19"/>
  <c r="M170" i="3"/>
  <c r="H5" i="8"/>
  <c r="H32" i="8" s="1"/>
  <c r="G32" i="8"/>
  <c r="G16" i="17"/>
  <c r="G33" i="8"/>
  <c r="L62" i="19"/>
  <c r="F16" i="17"/>
  <c r="F33" i="8"/>
  <c r="K62" i="19"/>
  <c r="E16" i="17"/>
  <c r="E33" i="8"/>
  <c r="J62" i="19"/>
  <c r="D16" i="17"/>
  <c r="D33" i="8"/>
  <c r="I62" i="19"/>
  <c r="C16" i="17"/>
  <c r="C33" i="8"/>
  <c r="H62" i="19"/>
  <c r="C19" i="10"/>
  <c r="E22" i="8"/>
  <c r="C22" i="8"/>
  <c r="G44" i="17"/>
  <c r="F44" i="17"/>
  <c r="E44" i="17"/>
  <c r="D44" i="17"/>
  <c r="C44" i="17"/>
  <c r="G26" i="17"/>
  <c r="F26" i="17"/>
  <c r="E26" i="17"/>
  <c r="D26" i="17"/>
  <c r="C26" i="17"/>
  <c r="G18" i="17"/>
  <c r="F18" i="17"/>
  <c r="E18" i="17"/>
  <c r="D18" i="17"/>
  <c r="C18" i="17"/>
  <c r="G22" i="8"/>
  <c r="D22" i="8"/>
  <c r="P123" i="3"/>
  <c r="K68" i="19" s="1"/>
  <c r="O123" i="3"/>
  <c r="J68" i="19" s="1"/>
  <c r="N123" i="3"/>
  <c r="I68" i="19" s="1"/>
  <c r="M123" i="3"/>
  <c r="H68" i="19" s="1"/>
  <c r="Q123" i="3"/>
  <c r="L68" i="19" s="1"/>
  <c r="Q70" i="3"/>
  <c r="O140" i="3"/>
  <c r="J70" i="19" s="1"/>
  <c r="N140" i="3"/>
  <c r="I70" i="19" s="1"/>
  <c r="M140" i="3"/>
  <c r="H70" i="19" s="1"/>
  <c r="K61" i="19"/>
  <c r="P140" i="3"/>
  <c r="K70" i="19" s="1"/>
  <c r="AC80" i="3"/>
  <c r="AC103" i="3"/>
  <c r="AC121" i="3"/>
  <c r="I26" i="17" s="1"/>
  <c r="C31" i="16"/>
  <c r="F21" i="18"/>
  <c r="C19" i="18"/>
  <c r="C21" i="18"/>
  <c r="F19" i="18"/>
  <c r="F11" i="18"/>
  <c r="AA7" i="5"/>
  <c r="X11" i="6"/>
  <c r="AA15" i="5"/>
  <c r="X16" i="6"/>
  <c r="AB16" i="6" s="1"/>
  <c r="X13" i="6"/>
  <c r="AB13" i="6" s="1"/>
  <c r="X15" i="6"/>
  <c r="X12" i="6"/>
  <c r="X17" i="6"/>
  <c r="AB17" i="6" s="1"/>
  <c r="H42" i="7"/>
  <c r="H20" i="8" s="1"/>
  <c r="H13" i="7"/>
  <c r="H28" i="7" s="1"/>
  <c r="H15" i="6"/>
  <c r="H16" i="6"/>
  <c r="H17" i="6"/>
  <c r="H11" i="6"/>
  <c r="H14" i="6" s="1"/>
  <c r="H12" i="6"/>
  <c r="H13" i="6"/>
  <c r="H45" i="7"/>
  <c r="H21" i="8" s="1"/>
  <c r="H36" i="7"/>
  <c r="F13" i="18"/>
  <c r="Q169" i="3"/>
  <c r="G59" i="17" s="1"/>
  <c r="P169" i="3"/>
  <c r="F59" i="17" s="1"/>
  <c r="O169" i="3"/>
  <c r="E59" i="17" s="1"/>
  <c r="N169" i="3"/>
  <c r="D59" i="17" s="1"/>
  <c r="M169" i="3"/>
  <c r="C59" i="17" s="1"/>
  <c r="AC177" i="3"/>
  <c r="AC178" i="3"/>
  <c r="AC179" i="3"/>
  <c r="I23" i="17"/>
  <c r="G22" i="7"/>
  <c r="D22" i="7"/>
  <c r="E21" i="7"/>
  <c r="C21" i="7"/>
  <c r="C53" i="16"/>
  <c r="I72" i="17"/>
  <c r="F34" i="16"/>
  <c r="I48" i="17"/>
  <c r="F32" i="16"/>
  <c r="I47" i="17"/>
  <c r="F30" i="16"/>
  <c r="I44" i="17"/>
  <c r="C32" i="16"/>
  <c r="I40" i="17"/>
  <c r="C30" i="16"/>
  <c r="I38" i="17"/>
  <c r="Q144" i="3"/>
  <c r="G41" i="17" s="1"/>
  <c r="G38" i="17"/>
  <c r="P144" i="3"/>
  <c r="F41" i="17" s="1"/>
  <c r="F38" i="17"/>
  <c r="O144" i="3"/>
  <c r="E41" i="17" s="1"/>
  <c r="E38" i="17"/>
  <c r="N144" i="3"/>
  <c r="D41" i="17" s="1"/>
  <c r="D38" i="17"/>
  <c r="M144" i="3"/>
  <c r="C41" i="17" s="1"/>
  <c r="C38" i="17"/>
  <c r="C25" i="16"/>
  <c r="I29" i="17"/>
  <c r="C23" i="16"/>
  <c r="I27" i="17"/>
  <c r="C17" i="16"/>
  <c r="I17" i="17"/>
  <c r="C16" i="16"/>
  <c r="I16" i="17"/>
  <c r="AA175" i="3"/>
  <c r="Q175" i="3"/>
  <c r="G67" i="17" s="1"/>
  <c r="P175" i="3"/>
  <c r="F67" i="17" s="1"/>
  <c r="O175" i="3"/>
  <c r="E67" i="17" s="1"/>
  <c r="N175" i="3"/>
  <c r="D67" i="17" s="1"/>
  <c r="M175" i="3"/>
  <c r="C67" i="17" s="1"/>
  <c r="AA144" i="3"/>
  <c r="C33" i="14"/>
  <c r="D30" i="12"/>
  <c r="F29" i="12"/>
  <c r="E20" i="12"/>
  <c r="H19" i="12"/>
  <c r="I19" i="12" s="1"/>
  <c r="J19" i="12" s="1"/>
  <c r="K19" i="12" s="1"/>
  <c r="L19" i="12" s="1"/>
  <c r="AA146" i="3"/>
  <c r="AA172" i="3"/>
  <c r="Q146" i="3"/>
  <c r="G45" i="17" s="1"/>
  <c r="Q172" i="3"/>
  <c r="G66" i="17" s="1"/>
  <c r="P146" i="3"/>
  <c r="F45" i="17" s="1"/>
  <c r="P172" i="3"/>
  <c r="F66" i="17" s="1"/>
  <c r="O146" i="3"/>
  <c r="E45" i="17" s="1"/>
  <c r="O172" i="3"/>
  <c r="E66" i="17" s="1"/>
  <c r="N146" i="3"/>
  <c r="D45" i="17" s="1"/>
  <c r="N172" i="3"/>
  <c r="D66" i="17" s="1"/>
  <c r="M146" i="3"/>
  <c r="C45" i="17" s="1"/>
  <c r="M172" i="3"/>
  <c r="C66" i="17" s="1"/>
  <c r="AC144" i="3"/>
  <c r="I41" i="17" s="1"/>
  <c r="C9" i="17"/>
  <c r="D9" i="17"/>
  <c r="E9" i="17"/>
  <c r="G10" i="17"/>
  <c r="F10" i="17"/>
  <c r="E10" i="17"/>
  <c r="D10" i="17"/>
  <c r="C10" i="17"/>
  <c r="G9" i="17"/>
  <c r="F9" i="17"/>
  <c r="C5" i="16"/>
  <c r="H5" i="6"/>
  <c r="G22" i="6"/>
  <c r="G10" i="6"/>
  <c r="T28" i="6"/>
  <c r="T27" i="6"/>
  <c r="G29" i="6"/>
  <c r="G27" i="6"/>
  <c r="AC107" i="3"/>
  <c r="AA147" i="3"/>
  <c r="G32" i="12"/>
  <c r="Q147" i="3"/>
  <c r="G46" i="17" s="1"/>
  <c r="F32" i="12"/>
  <c r="P147" i="3"/>
  <c r="F46" i="17" s="1"/>
  <c r="E32" i="12"/>
  <c r="O147" i="3"/>
  <c r="E46" i="17" s="1"/>
  <c r="D32" i="12"/>
  <c r="N147" i="3"/>
  <c r="D46" i="17" s="1"/>
  <c r="C32" i="12"/>
  <c r="M147" i="3"/>
  <c r="C46" i="17" s="1"/>
  <c r="AC109" i="3"/>
  <c r="Q109" i="3"/>
  <c r="Q158" i="3" s="1"/>
  <c r="E46" i="7"/>
  <c r="Q25" i="6"/>
  <c r="F25" i="6"/>
  <c r="D23" i="6"/>
  <c r="D22" i="6"/>
  <c r="V23" i="6"/>
  <c r="S23" i="6"/>
  <c r="Q23" i="6"/>
  <c r="W10" i="6"/>
  <c r="U10" i="6"/>
  <c r="R10" i="6"/>
  <c r="AA78" i="3"/>
  <c r="F20" i="12"/>
  <c r="D20" i="12"/>
  <c r="H13" i="12"/>
  <c r="G13" i="12"/>
  <c r="C30" i="12"/>
  <c r="E29" i="12"/>
  <c r="D29" i="12"/>
  <c r="G20" i="12"/>
  <c r="F13" i="12"/>
  <c r="E13" i="12"/>
  <c r="D13" i="12"/>
  <c r="G30" i="12"/>
  <c r="G8" i="8"/>
  <c r="D8" i="8"/>
  <c r="C46" i="7"/>
  <c r="G43" i="7"/>
  <c r="C43" i="7"/>
  <c r="F27" i="7"/>
  <c r="D12" i="7"/>
  <c r="V29" i="6"/>
  <c r="D26" i="6"/>
  <c r="F24" i="6"/>
  <c r="D36" i="7"/>
  <c r="D37" i="7" s="1"/>
  <c r="E27" i="7"/>
  <c r="S29" i="6"/>
  <c r="Q29" i="6"/>
  <c r="V26" i="6"/>
  <c r="S26" i="6"/>
  <c r="Q26" i="6"/>
  <c r="V24" i="6"/>
  <c r="S24" i="6"/>
  <c r="Q24" i="6"/>
  <c r="R15" i="5"/>
  <c r="R13" i="5"/>
  <c r="Q27" i="6"/>
  <c r="F29" i="6"/>
  <c r="F28" i="6"/>
  <c r="F30" i="12"/>
  <c r="E30" i="12"/>
  <c r="G29" i="12"/>
  <c r="C29" i="12"/>
  <c r="D27" i="6"/>
  <c r="I6" i="7"/>
  <c r="S28" i="6"/>
  <c r="Q28" i="6"/>
  <c r="V30" i="6"/>
  <c r="D29" i="6"/>
  <c r="G46" i="7"/>
  <c r="C35" i="14"/>
  <c r="C15" i="14"/>
  <c r="I7" i="14"/>
  <c r="AC116" i="3"/>
  <c r="AC117" i="3" s="1"/>
  <c r="C6" i="10"/>
  <c r="E30" i="6"/>
  <c r="E9" i="8"/>
  <c r="D9" i="8"/>
  <c r="D30" i="6"/>
  <c r="G30" i="6"/>
  <c r="G9" i="8"/>
  <c r="C9" i="8"/>
  <c r="C30" i="6"/>
  <c r="F30" i="6"/>
  <c r="F9" i="8"/>
  <c r="AA35" i="5"/>
  <c r="AE23" i="5"/>
  <c r="U27" i="6"/>
  <c r="P27" i="6"/>
  <c r="U30" i="6"/>
  <c r="T30" i="6"/>
  <c r="P30" i="6"/>
  <c r="C29" i="6"/>
  <c r="G28" i="6"/>
  <c r="E27" i="6"/>
  <c r="C27" i="6"/>
  <c r="U28" i="6"/>
  <c r="P28" i="6"/>
  <c r="W28" i="6"/>
  <c r="V28" i="6"/>
  <c r="W27" i="6"/>
  <c r="V27" i="6"/>
  <c r="S27" i="6"/>
  <c r="W30" i="6"/>
  <c r="S30" i="6"/>
  <c r="Q30" i="6"/>
  <c r="E29" i="6"/>
  <c r="E28" i="6"/>
  <c r="C28" i="6"/>
  <c r="F27" i="6"/>
  <c r="H19" i="7"/>
  <c r="C23" i="6"/>
  <c r="Q10" i="6"/>
  <c r="F22" i="6"/>
  <c r="G26" i="8"/>
  <c r="C19" i="8"/>
  <c r="F14" i="8"/>
  <c r="G14" i="8"/>
  <c r="C14" i="8"/>
  <c r="C8" i="8"/>
  <c r="F46" i="7"/>
  <c r="G41" i="7"/>
  <c r="H34" i="7"/>
  <c r="E34" i="7"/>
  <c r="C25" i="6"/>
  <c r="S10" i="6"/>
  <c r="P10" i="6"/>
  <c r="F8" i="8"/>
  <c r="E26" i="8"/>
  <c r="D26" i="8"/>
  <c r="C26" i="8"/>
  <c r="G19" i="8"/>
  <c r="F19" i="8"/>
  <c r="E14" i="8"/>
  <c r="G36" i="7"/>
  <c r="G37" i="7" s="1"/>
  <c r="F20" i="7"/>
  <c r="H12" i="7"/>
  <c r="C12" i="7"/>
  <c r="W23" i="6"/>
  <c r="R23" i="6"/>
  <c r="R14" i="5"/>
  <c r="E19" i="8"/>
  <c r="D14" i="8"/>
  <c r="E8" i="8"/>
  <c r="F26" i="8"/>
  <c r="D19" i="8"/>
  <c r="F43" i="7"/>
  <c r="E41" i="7"/>
  <c r="D43" i="7"/>
  <c r="C41" i="7"/>
  <c r="C34" i="7"/>
  <c r="E26" i="6"/>
  <c r="C27" i="7"/>
  <c r="F22" i="7"/>
  <c r="F21" i="7"/>
  <c r="D21" i="7"/>
  <c r="G20" i="7"/>
  <c r="F12" i="7"/>
  <c r="E12" i="7"/>
  <c r="D46" i="7"/>
  <c r="E43" i="7"/>
  <c r="H41" i="7"/>
  <c r="F36" i="7"/>
  <c r="F37" i="7" s="1"/>
  <c r="G34" i="7"/>
  <c r="D34" i="7"/>
  <c r="G27" i="7"/>
  <c r="G21" i="7"/>
  <c r="C20" i="7"/>
  <c r="G19" i="7"/>
  <c r="F19" i="7"/>
  <c r="E19" i="7"/>
  <c r="D19" i="7"/>
  <c r="C19" i="7"/>
  <c r="F41" i="7"/>
  <c r="D41" i="7"/>
  <c r="E36" i="7"/>
  <c r="E37" i="7" s="1"/>
  <c r="C36" i="7"/>
  <c r="C37" i="7" s="1"/>
  <c r="F34" i="7"/>
  <c r="H27" i="7"/>
  <c r="D27" i="7"/>
  <c r="E22" i="7"/>
  <c r="C22" i="7"/>
  <c r="E20" i="7"/>
  <c r="D20" i="7"/>
  <c r="G12" i="7"/>
  <c r="W29" i="6"/>
  <c r="R29" i="6"/>
  <c r="W26" i="6"/>
  <c r="T26" i="6"/>
  <c r="W25" i="6"/>
  <c r="V25" i="6"/>
  <c r="U25" i="6"/>
  <c r="T25" i="6"/>
  <c r="S25" i="6"/>
  <c r="R25" i="6"/>
  <c r="F26" i="6"/>
  <c r="G25" i="6"/>
  <c r="D25" i="6"/>
  <c r="E24" i="6"/>
  <c r="D24" i="6"/>
  <c r="C24" i="6"/>
  <c r="U29" i="6"/>
  <c r="R26" i="6"/>
  <c r="P26" i="6"/>
  <c r="P25" i="6"/>
  <c r="W24" i="6"/>
  <c r="U24" i="6"/>
  <c r="T24" i="6"/>
  <c r="R24" i="6"/>
  <c r="P24" i="6"/>
  <c r="E25" i="6"/>
  <c r="G24" i="6"/>
  <c r="T29" i="6"/>
  <c r="P29" i="6"/>
  <c r="U26" i="6"/>
  <c r="G26" i="6"/>
  <c r="C26" i="6"/>
  <c r="E22" i="6"/>
  <c r="C22" i="6"/>
  <c r="U23" i="6"/>
  <c r="T23" i="6"/>
  <c r="P23" i="6"/>
  <c r="F10" i="6"/>
  <c r="D10" i="6"/>
  <c r="C10" i="6"/>
  <c r="G23" i="6"/>
  <c r="F23" i="6"/>
  <c r="E23" i="6"/>
  <c r="W22" i="6"/>
  <c r="V22" i="6"/>
  <c r="U22" i="6"/>
  <c r="T22" i="6"/>
  <c r="S22" i="6"/>
  <c r="R22" i="6"/>
  <c r="Q22" i="6"/>
  <c r="P22" i="6"/>
  <c r="V10" i="6"/>
  <c r="T10" i="6"/>
  <c r="E10" i="6"/>
  <c r="R28" i="6"/>
  <c r="R27" i="6"/>
  <c r="R30" i="6"/>
  <c r="I23" i="5"/>
  <c r="I35" i="5" s="1"/>
  <c r="J21" i="5"/>
  <c r="J34" i="5" s="1"/>
  <c r="H7" i="5"/>
  <c r="I9" i="5"/>
  <c r="I34" i="5"/>
  <c r="AE21" i="5"/>
  <c r="H15" i="5"/>
  <c r="I5" i="5"/>
  <c r="I6" i="14" s="1"/>
  <c r="H12" i="5"/>
  <c r="H20" i="5"/>
  <c r="H33" i="5"/>
  <c r="AA70" i="3"/>
  <c r="P70" i="3"/>
  <c r="M70" i="3"/>
  <c r="L70" i="3"/>
  <c r="O70" i="3"/>
  <c r="N70" i="3"/>
  <c r="K70" i="3"/>
  <c r="J70" i="3"/>
  <c r="I70" i="3"/>
  <c r="H70" i="3"/>
  <c r="G70" i="3"/>
  <c r="F70" i="3"/>
  <c r="E70" i="3"/>
  <c r="D70" i="3"/>
  <c r="C70" i="3"/>
  <c r="AC78" i="3" l="1"/>
  <c r="AA153" i="3"/>
  <c r="AA154" i="3" s="1"/>
  <c r="AC167" i="3"/>
  <c r="AC170" i="3"/>
  <c r="AC168" i="3"/>
  <c r="C67" i="12"/>
  <c r="C46" i="12"/>
  <c r="AC183" i="3"/>
  <c r="Q171" i="3"/>
  <c r="G63" i="17" s="1"/>
  <c r="D11" i="17"/>
  <c r="G58" i="17"/>
  <c r="E60" i="17"/>
  <c r="D58" i="17"/>
  <c r="D60" i="17"/>
  <c r="C58" i="17"/>
  <c r="N171" i="3"/>
  <c r="D63" i="17" s="1"/>
  <c r="C11" i="17"/>
  <c r="C60" i="17"/>
  <c r="P171" i="3"/>
  <c r="F63" i="17" s="1"/>
  <c r="G11" i="17"/>
  <c r="E11" i="17"/>
  <c r="M171" i="3"/>
  <c r="C63" i="17" s="1"/>
  <c r="O171" i="3"/>
  <c r="E63" i="17" s="1"/>
  <c r="F11" i="17"/>
  <c r="H26" i="8"/>
  <c r="I5" i="8"/>
  <c r="I32" i="8" s="1"/>
  <c r="H14" i="8"/>
  <c r="H19" i="8"/>
  <c r="C22" i="11"/>
  <c r="C24" i="14"/>
  <c r="C25" i="11"/>
  <c r="C49" i="12"/>
  <c r="C70" i="12"/>
  <c r="AC70" i="3"/>
  <c r="M165" i="3"/>
  <c r="C55" i="17" s="1"/>
  <c r="M154" i="3"/>
  <c r="M176" i="3"/>
  <c r="C68" i="17" s="1"/>
  <c r="M159" i="3"/>
  <c r="M161" i="3"/>
  <c r="C52" i="17" s="1"/>
  <c r="M164" i="3"/>
  <c r="C54" i="17" s="1"/>
  <c r="C7" i="17"/>
  <c r="N154" i="3"/>
  <c r="N159" i="3"/>
  <c r="N176" i="3"/>
  <c r="D68" i="17" s="1"/>
  <c r="N164" i="3"/>
  <c r="D54" i="17" s="1"/>
  <c r="D7" i="17"/>
  <c r="N165" i="3"/>
  <c r="D55" i="17" s="1"/>
  <c r="N161" i="3"/>
  <c r="D52" i="17" s="1"/>
  <c r="O161" i="3"/>
  <c r="E52" i="17" s="1"/>
  <c r="O176" i="3"/>
  <c r="E68" i="17" s="1"/>
  <c r="O164" i="3"/>
  <c r="E54" i="17" s="1"/>
  <c r="E7" i="17"/>
  <c r="O154" i="3"/>
  <c r="O165" i="3"/>
  <c r="E55" i="17" s="1"/>
  <c r="O159" i="3"/>
  <c r="P159" i="3"/>
  <c r="P176" i="3"/>
  <c r="F68" i="17" s="1"/>
  <c r="P164" i="3"/>
  <c r="F54" i="17" s="1"/>
  <c r="P154" i="3"/>
  <c r="P161" i="3"/>
  <c r="F52" i="17" s="1"/>
  <c r="P165" i="3"/>
  <c r="F55" i="17" s="1"/>
  <c r="F7" i="17"/>
  <c r="Q176" i="3"/>
  <c r="G68" i="17" s="1"/>
  <c r="Q164" i="3"/>
  <c r="G54" i="17" s="1"/>
  <c r="G7" i="17"/>
  <c r="Q154" i="3"/>
  <c r="Q165" i="3"/>
  <c r="G55" i="17" s="1"/>
  <c r="Q159" i="3"/>
  <c r="Q161" i="3"/>
  <c r="G52" i="17" s="1"/>
  <c r="AC163" i="3"/>
  <c r="AC162" i="3"/>
  <c r="AC153" i="3"/>
  <c r="AC152" i="3"/>
  <c r="AC151" i="3"/>
  <c r="AC150" i="3"/>
  <c r="G60" i="17"/>
  <c r="F58" i="17"/>
  <c r="F60" i="17"/>
  <c r="E58" i="17"/>
  <c r="P125" i="3"/>
  <c r="F28" i="17"/>
  <c r="F33" i="17" s="1"/>
  <c r="O125" i="3"/>
  <c r="E28" i="17"/>
  <c r="E33" i="17" s="1"/>
  <c r="N125" i="3"/>
  <c r="D28" i="17"/>
  <c r="D33" i="17" s="1"/>
  <c r="M125" i="3"/>
  <c r="C28" i="17"/>
  <c r="C33" i="17" s="1"/>
  <c r="Q125" i="3"/>
  <c r="O166" i="3"/>
  <c r="J61" i="19"/>
  <c r="N166" i="3"/>
  <c r="I61" i="19"/>
  <c r="M166" i="3"/>
  <c r="H61" i="19"/>
  <c r="G28" i="17"/>
  <c r="G33" i="17" s="1"/>
  <c r="E35" i="17"/>
  <c r="D35" i="17"/>
  <c r="C35" i="17"/>
  <c r="F35" i="17"/>
  <c r="P166" i="3"/>
  <c r="AC171" i="3"/>
  <c r="I63" i="17" s="1"/>
  <c r="AC123" i="3"/>
  <c r="I28" i="17" s="1"/>
  <c r="I33" i="17" s="1"/>
  <c r="C22" i="16"/>
  <c r="AC140" i="3"/>
  <c r="L61" i="19"/>
  <c r="Q140" i="3"/>
  <c r="L70" i="19" s="1"/>
  <c r="C18" i="16"/>
  <c r="I18" i="17"/>
  <c r="AB11" i="6"/>
  <c r="AB15" i="6"/>
  <c r="X18" i="6"/>
  <c r="AB12" i="6"/>
  <c r="X14" i="6"/>
  <c r="X26" i="6" s="1"/>
  <c r="H26" i="6"/>
  <c r="H8" i="7"/>
  <c r="H7" i="8"/>
  <c r="H8" i="8" s="1"/>
  <c r="H33" i="8" s="1"/>
  <c r="H44" i="7"/>
  <c r="H18" i="6"/>
  <c r="I6" i="6"/>
  <c r="I6" i="8"/>
  <c r="I7" i="7"/>
  <c r="I6" i="12"/>
  <c r="I13" i="12" s="1"/>
  <c r="F52" i="16"/>
  <c r="I75" i="17"/>
  <c r="F53" i="16"/>
  <c r="I76" i="17"/>
  <c r="F54" i="16"/>
  <c r="I77" i="17"/>
  <c r="AC169" i="3"/>
  <c r="I6" i="17"/>
  <c r="C23" i="14"/>
  <c r="C56" i="12"/>
  <c r="C33" i="16"/>
  <c r="F18" i="1"/>
  <c r="AC172" i="3"/>
  <c r="AC175" i="3"/>
  <c r="I67" i="17" s="1"/>
  <c r="C33" i="12"/>
  <c r="D33" i="12"/>
  <c r="F33" i="12"/>
  <c r="E33" i="12"/>
  <c r="G33" i="12"/>
  <c r="I5" i="6"/>
  <c r="H10" i="6"/>
  <c r="H22" i="6"/>
  <c r="AC147" i="3"/>
  <c r="I46" i="17" s="1"/>
  <c r="AC146" i="3"/>
  <c r="I45" i="17" s="1"/>
  <c r="D10" i="8"/>
  <c r="G10" i="8"/>
  <c r="C5" i="10"/>
  <c r="C7" i="10" s="1"/>
  <c r="C17" i="10" s="1"/>
  <c r="J6" i="7"/>
  <c r="I27" i="7"/>
  <c r="I19" i="7"/>
  <c r="I41" i="7"/>
  <c r="I34" i="7"/>
  <c r="G18" i="12"/>
  <c r="G23" i="12"/>
  <c r="G12" i="12"/>
  <c r="G28" i="12"/>
  <c r="F18" i="12"/>
  <c r="F23" i="12"/>
  <c r="F28" i="12"/>
  <c r="F12" i="12"/>
  <c r="E28" i="12"/>
  <c r="E12" i="12"/>
  <c r="E18" i="12"/>
  <c r="E23" i="12"/>
  <c r="D28" i="12"/>
  <c r="D12" i="12"/>
  <c r="D18" i="12"/>
  <c r="D23" i="12"/>
  <c r="C12" i="12"/>
  <c r="C23" i="12"/>
  <c r="C18" i="12"/>
  <c r="C28" i="12"/>
  <c r="C10" i="8"/>
  <c r="F10" i="8"/>
  <c r="E10" i="8"/>
  <c r="I12" i="7"/>
  <c r="J7" i="14"/>
  <c r="E23" i="7"/>
  <c r="D23" i="7"/>
  <c r="F23" i="7"/>
  <c r="G23" i="7"/>
  <c r="C23" i="7"/>
  <c r="J9" i="5"/>
  <c r="K21" i="5"/>
  <c r="J23" i="5"/>
  <c r="J35" i="5" s="1"/>
  <c r="I6" i="5"/>
  <c r="I8" i="5"/>
  <c r="I15" i="5" s="1"/>
  <c r="J5" i="5"/>
  <c r="J6" i="14" s="1"/>
  <c r="I12" i="5"/>
  <c r="I20" i="5"/>
  <c r="I33" i="5"/>
  <c r="H15" i="7" l="1"/>
  <c r="H30" i="7" s="1"/>
  <c r="H14" i="7"/>
  <c r="H29" i="7" s="1"/>
  <c r="H35" i="7" s="1"/>
  <c r="H22" i="8" s="1"/>
  <c r="AB14" i="6"/>
  <c r="Q155" i="3"/>
  <c r="G12" i="17" s="1"/>
  <c r="Q156" i="3"/>
  <c r="G13" i="17" s="1"/>
  <c r="I14" i="8"/>
  <c r="I19" i="8"/>
  <c r="I26" i="8"/>
  <c r="J5" i="8"/>
  <c r="J32" i="8" s="1"/>
  <c r="C8" i="17"/>
  <c r="D8" i="17"/>
  <c r="E8" i="17"/>
  <c r="F8" i="17"/>
  <c r="G8" i="17"/>
  <c r="C32" i="14"/>
  <c r="M155" i="3"/>
  <c r="C12" i="17" s="1"/>
  <c r="M156" i="3"/>
  <c r="C13" i="17" s="1"/>
  <c r="M160" i="3"/>
  <c r="N155" i="3"/>
  <c r="D12" i="17" s="1"/>
  <c r="N156" i="3"/>
  <c r="D13" i="17" s="1"/>
  <c r="N160" i="3"/>
  <c r="O155" i="3"/>
  <c r="E12" i="17" s="1"/>
  <c r="O156" i="3"/>
  <c r="E13" i="17" s="1"/>
  <c r="O160" i="3"/>
  <c r="P155" i="3"/>
  <c r="F12" i="17" s="1"/>
  <c r="P156" i="3"/>
  <c r="F13" i="17" s="1"/>
  <c r="P160" i="3"/>
  <c r="C46" i="16"/>
  <c r="F17" i="1"/>
  <c r="C24" i="16"/>
  <c r="F22" i="16" s="1"/>
  <c r="F12" i="1"/>
  <c r="AC125" i="3"/>
  <c r="I30" i="17" s="1"/>
  <c r="I34" i="17" s="1"/>
  <c r="I10" i="17"/>
  <c r="I9" i="17"/>
  <c r="I53" i="17"/>
  <c r="AC154" i="3"/>
  <c r="I51" i="17"/>
  <c r="F30" i="17"/>
  <c r="F34" i="17" s="1"/>
  <c r="K69" i="19"/>
  <c r="E30" i="17"/>
  <c r="E34" i="17" s="1"/>
  <c r="J69" i="19"/>
  <c r="D30" i="17"/>
  <c r="D34" i="17" s="1"/>
  <c r="I69" i="19"/>
  <c r="C30" i="17"/>
  <c r="C34" i="17" s="1"/>
  <c r="H69" i="19"/>
  <c r="G30" i="17"/>
  <c r="G34" i="17" s="1"/>
  <c r="L69" i="19"/>
  <c r="I35" i="17"/>
  <c r="AC166" i="3"/>
  <c r="G35" i="17"/>
  <c r="Q166" i="3"/>
  <c r="I7" i="17"/>
  <c r="AB18" i="6"/>
  <c r="X30" i="6"/>
  <c r="H9" i="8"/>
  <c r="H10" i="8" s="1"/>
  <c r="H30" i="6"/>
  <c r="I11" i="6"/>
  <c r="I12" i="6"/>
  <c r="I13" i="6"/>
  <c r="I15" i="6"/>
  <c r="I16" i="6"/>
  <c r="I17" i="6"/>
  <c r="I13" i="7"/>
  <c r="I28" i="7" s="1"/>
  <c r="I42" i="7"/>
  <c r="I36" i="7"/>
  <c r="I45" i="7"/>
  <c r="I21" i="8" s="1"/>
  <c r="J6" i="12"/>
  <c r="J13" i="12" s="1"/>
  <c r="J6" i="8"/>
  <c r="J7" i="7"/>
  <c r="J6" i="6"/>
  <c r="I11" i="17"/>
  <c r="C10" i="16"/>
  <c r="F38" i="16"/>
  <c r="I58" i="17"/>
  <c r="F39" i="16"/>
  <c r="I59" i="17"/>
  <c r="F40" i="16"/>
  <c r="I60" i="17"/>
  <c r="F46" i="16"/>
  <c r="I66" i="17"/>
  <c r="C8" i="16"/>
  <c r="F6" i="1"/>
  <c r="C9" i="16"/>
  <c r="F7" i="1"/>
  <c r="C40" i="16"/>
  <c r="F11" i="1"/>
  <c r="F47" i="16"/>
  <c r="F16" i="1"/>
  <c r="F33" i="16"/>
  <c r="F20" i="1"/>
  <c r="F31" i="16"/>
  <c r="F19" i="1"/>
  <c r="AC164" i="3"/>
  <c r="I54" i="17" s="1"/>
  <c r="AC165" i="3"/>
  <c r="F24" i="16"/>
  <c r="F14" i="1"/>
  <c r="AC176" i="3"/>
  <c r="I68" i="17" s="1"/>
  <c r="F3" i="1"/>
  <c r="C38" i="16"/>
  <c r="F9" i="1"/>
  <c r="C26" i="14"/>
  <c r="J5" i="6"/>
  <c r="I10" i="6"/>
  <c r="I22" i="6"/>
  <c r="Q160" i="3"/>
  <c r="C6" i="16"/>
  <c r="AC161" i="3"/>
  <c r="I52" i="17" s="1"/>
  <c r="AC159" i="3"/>
  <c r="D27" i="8"/>
  <c r="D28" i="8" s="1"/>
  <c r="G27" i="8"/>
  <c r="G28" i="8" s="1"/>
  <c r="G7" i="12"/>
  <c r="D7" i="12"/>
  <c r="C16" i="10"/>
  <c r="C20" i="10" s="1"/>
  <c r="C21" i="14" s="1"/>
  <c r="J34" i="7"/>
  <c r="J41" i="7"/>
  <c r="J12" i="7"/>
  <c r="J19" i="7"/>
  <c r="J27" i="7"/>
  <c r="K6" i="7"/>
  <c r="C7" i="12"/>
  <c r="C27" i="8"/>
  <c r="C28" i="8" s="1"/>
  <c r="F7" i="12"/>
  <c r="F27" i="8"/>
  <c r="F28" i="8" s="1"/>
  <c r="E7" i="12"/>
  <c r="E27" i="8"/>
  <c r="E28" i="8" s="1"/>
  <c r="H18" i="12"/>
  <c r="H12" i="12"/>
  <c r="H28" i="12"/>
  <c r="H23" i="12"/>
  <c r="K7" i="14"/>
  <c r="K34" i="5"/>
  <c r="K23" i="5"/>
  <c r="K35" i="5" s="1"/>
  <c r="K9" i="5"/>
  <c r="L21" i="5"/>
  <c r="L34" i="5" s="1"/>
  <c r="J8" i="5"/>
  <c r="J6" i="5"/>
  <c r="I7" i="5"/>
  <c r="K5" i="5"/>
  <c r="K6" i="14" s="1"/>
  <c r="J12" i="5"/>
  <c r="J20" i="5"/>
  <c r="J33" i="5"/>
  <c r="H13" i="5"/>
  <c r="H14" i="5"/>
  <c r="AE6" i="5"/>
  <c r="AA13" i="5"/>
  <c r="H27" i="8" l="1"/>
  <c r="H28" i="8" s="1"/>
  <c r="H34" i="8"/>
  <c r="F14" i="12"/>
  <c r="J26" i="8"/>
  <c r="J19" i="8"/>
  <c r="J14" i="8"/>
  <c r="K5" i="8"/>
  <c r="K32" i="8" s="1"/>
  <c r="C62" i="12"/>
  <c r="C41" i="12"/>
  <c r="C15" i="11"/>
  <c r="I17" i="1" s="1"/>
  <c r="C26" i="16"/>
  <c r="F23" i="16" s="1"/>
  <c r="F13" i="1"/>
  <c r="G14" i="12"/>
  <c r="E14" i="12"/>
  <c r="C34" i="12"/>
  <c r="D14" i="12"/>
  <c r="H7" i="12"/>
  <c r="J7" i="5"/>
  <c r="J15" i="5"/>
  <c r="I44" i="7"/>
  <c r="I20" i="8"/>
  <c r="J13" i="7"/>
  <c r="J28" i="7" s="1"/>
  <c r="J36" i="7"/>
  <c r="J42" i="7"/>
  <c r="J45" i="7"/>
  <c r="J21" i="8" s="1"/>
  <c r="J16" i="6"/>
  <c r="J17" i="6"/>
  <c r="J15" i="6"/>
  <c r="J18" i="6" s="1"/>
  <c r="J11" i="6"/>
  <c r="J12" i="6"/>
  <c r="J13" i="6"/>
  <c r="I14" i="6"/>
  <c r="I18" i="6"/>
  <c r="K6" i="12"/>
  <c r="K13" i="12" s="1"/>
  <c r="K7" i="7"/>
  <c r="K6" i="6"/>
  <c r="K6" i="8"/>
  <c r="C42" i="16"/>
  <c r="I55" i="17"/>
  <c r="F4" i="1"/>
  <c r="I8" i="17"/>
  <c r="F10" i="1"/>
  <c r="C41" i="16"/>
  <c r="F48" i="16"/>
  <c r="F15" i="1"/>
  <c r="C39" i="16"/>
  <c r="F8" i="1"/>
  <c r="D7" i="11"/>
  <c r="D8" i="12"/>
  <c r="G7" i="11"/>
  <c r="G8" i="12"/>
  <c r="K5" i="6"/>
  <c r="J22" i="6"/>
  <c r="J10" i="6"/>
  <c r="G34" i="12"/>
  <c r="AC155" i="3"/>
  <c r="C7" i="16"/>
  <c r="AC156" i="3"/>
  <c r="AC160" i="3"/>
  <c r="D7" i="14"/>
  <c r="D34" i="12"/>
  <c r="K12" i="7"/>
  <c r="K19" i="7"/>
  <c r="K27" i="7"/>
  <c r="K34" i="7"/>
  <c r="K41" i="7"/>
  <c r="L6" i="7"/>
  <c r="C7" i="11"/>
  <c r="C8" i="12"/>
  <c r="C7" i="14"/>
  <c r="F34" i="12"/>
  <c r="F7" i="11"/>
  <c r="F8" i="12"/>
  <c r="F7" i="14"/>
  <c r="E34" i="12"/>
  <c r="E7" i="11"/>
  <c r="E8" i="12"/>
  <c r="E7" i="14"/>
  <c r="I18" i="12"/>
  <c r="I12" i="12"/>
  <c r="I28" i="12"/>
  <c r="I23" i="12"/>
  <c r="L7" i="14"/>
  <c r="K6" i="5"/>
  <c r="K8" i="5"/>
  <c r="K15" i="5" s="1"/>
  <c r="L9" i="5"/>
  <c r="L23" i="5"/>
  <c r="L35" i="5" s="1"/>
  <c r="L5" i="5"/>
  <c r="L6" i="14" s="1"/>
  <c r="K12" i="5"/>
  <c r="K20" i="5"/>
  <c r="K33" i="5"/>
  <c r="I13" i="5"/>
  <c r="AE7" i="5"/>
  <c r="AA14" i="5"/>
  <c r="H16" i="5"/>
  <c r="F15" i="12" l="1"/>
  <c r="K26" i="8"/>
  <c r="L5" i="8"/>
  <c r="L32" i="8" s="1"/>
  <c r="K19" i="8"/>
  <c r="K14" i="8"/>
  <c r="E15" i="12"/>
  <c r="H14" i="12"/>
  <c r="G15" i="12"/>
  <c r="C35" i="12"/>
  <c r="D15" i="12"/>
  <c r="H8" i="12"/>
  <c r="H7" i="11"/>
  <c r="J44" i="7"/>
  <c r="J20" i="8"/>
  <c r="J30" i="6"/>
  <c r="J9" i="8"/>
  <c r="I7" i="8"/>
  <c r="I8" i="8" s="1"/>
  <c r="I33" i="8" s="1"/>
  <c r="I8" i="7"/>
  <c r="I26" i="6"/>
  <c r="I9" i="8"/>
  <c r="I30" i="6"/>
  <c r="K42" i="7"/>
  <c r="K13" i="7"/>
  <c r="K28" i="7" s="1"/>
  <c r="K36" i="7"/>
  <c r="K45" i="7"/>
  <c r="K21" i="8" s="1"/>
  <c r="K16" i="6"/>
  <c r="K11" i="6"/>
  <c r="K12" i="6"/>
  <c r="K13" i="6"/>
  <c r="K17" i="6"/>
  <c r="K15" i="6"/>
  <c r="K18" i="6" s="1"/>
  <c r="J14" i="6"/>
  <c r="L6" i="8"/>
  <c r="L7" i="7"/>
  <c r="L6" i="12"/>
  <c r="L6" i="6"/>
  <c r="C11" i="16"/>
  <c r="I12" i="17"/>
  <c r="C12" i="16"/>
  <c r="I13" i="17"/>
  <c r="D35" i="12"/>
  <c r="G35" i="12"/>
  <c r="L5" i="6"/>
  <c r="K22" i="6"/>
  <c r="K10" i="6"/>
  <c r="L12" i="7"/>
  <c r="L27" i="7"/>
  <c r="L19" i="7"/>
  <c r="L41" i="7"/>
  <c r="L34" i="7"/>
  <c r="K10" i="14"/>
  <c r="I10" i="14"/>
  <c r="H10" i="14"/>
  <c r="J10" i="14"/>
  <c r="F35" i="12"/>
  <c r="E35" i="12"/>
  <c r="J18" i="12"/>
  <c r="J23" i="12"/>
  <c r="J28" i="12"/>
  <c r="J12" i="12"/>
  <c r="L8" i="14"/>
  <c r="L11" i="14" s="1"/>
  <c r="C30" i="14" s="1"/>
  <c r="L10" i="14"/>
  <c r="K7" i="5"/>
  <c r="L8" i="5"/>
  <c r="L15" i="5" s="1"/>
  <c r="L6" i="5"/>
  <c r="I14" i="5"/>
  <c r="L12" i="5"/>
  <c r="L20" i="5"/>
  <c r="L33" i="5"/>
  <c r="J13" i="5"/>
  <c r="J14" i="5"/>
  <c r="AA16" i="5"/>
  <c r="I15" i="7" l="1"/>
  <c r="I30" i="7" s="1"/>
  <c r="I14" i="7"/>
  <c r="I29" i="7" s="1"/>
  <c r="I35" i="7" s="1"/>
  <c r="I22" i="8" s="1"/>
  <c r="L14" i="8"/>
  <c r="L19" i="8"/>
  <c r="L26" i="8"/>
  <c r="H15" i="12"/>
  <c r="H10" i="11"/>
  <c r="H9" i="12" s="1"/>
  <c r="K14" i="6"/>
  <c r="K44" i="7"/>
  <c r="K20" i="8"/>
  <c r="K9" i="8"/>
  <c r="K30" i="6"/>
  <c r="J7" i="8"/>
  <c r="J8" i="8" s="1"/>
  <c r="J26" i="6"/>
  <c r="J8" i="7"/>
  <c r="L36" i="7"/>
  <c r="L42" i="7"/>
  <c r="L13" i="7"/>
  <c r="L28" i="7" s="1"/>
  <c r="L45" i="7"/>
  <c r="L21" i="8" s="1"/>
  <c r="L13" i="12"/>
  <c r="C53" i="12"/>
  <c r="C57" i="12" s="1"/>
  <c r="C58" i="12" s="1"/>
  <c r="C7" i="13" s="1"/>
  <c r="I5" i="1" s="1"/>
  <c r="L11" i="6"/>
  <c r="L12" i="6"/>
  <c r="L13" i="6"/>
  <c r="L15" i="6"/>
  <c r="L16" i="6"/>
  <c r="L17" i="6"/>
  <c r="I10" i="8"/>
  <c r="I34" i="8" s="1"/>
  <c r="L10" i="6"/>
  <c r="L22" i="6"/>
  <c r="C29" i="14"/>
  <c r="K28" i="12"/>
  <c r="K12" i="12"/>
  <c r="K18" i="12"/>
  <c r="K23" i="12"/>
  <c r="L7" i="5"/>
  <c r="I16" i="5"/>
  <c r="K13" i="5"/>
  <c r="J16" i="5"/>
  <c r="K26" i="6" l="1"/>
  <c r="K7" i="8"/>
  <c r="K8" i="8" s="1"/>
  <c r="K8" i="7"/>
  <c r="K14" i="7" s="1"/>
  <c r="K15" i="7"/>
  <c r="J10" i="8"/>
  <c r="J33" i="8"/>
  <c r="J15" i="7"/>
  <c r="J30" i="7" s="1"/>
  <c r="J14" i="7"/>
  <c r="J29" i="7" s="1"/>
  <c r="L14" i="6"/>
  <c r="L44" i="7"/>
  <c r="L20" i="8"/>
  <c r="I7" i="12"/>
  <c r="I27" i="8"/>
  <c r="I28" i="8" s="1"/>
  <c r="L18" i="6"/>
  <c r="C31" i="14"/>
  <c r="C34" i="14" s="1"/>
  <c r="C36" i="14" s="1"/>
  <c r="C16" i="14" s="1"/>
  <c r="L12" i="12"/>
  <c r="L18" i="12"/>
  <c r="L23" i="12"/>
  <c r="L28" i="12"/>
  <c r="K14" i="5"/>
  <c r="L13" i="5"/>
  <c r="K30" i="7" l="1"/>
  <c r="K33" i="8"/>
  <c r="K10" i="8"/>
  <c r="J34" i="8"/>
  <c r="J27" i="8"/>
  <c r="J7" i="12"/>
  <c r="J14" i="12" s="1"/>
  <c r="L8" i="7"/>
  <c r="L7" i="8"/>
  <c r="L8" i="8" s="1"/>
  <c r="L33" i="8" s="1"/>
  <c r="J35" i="7"/>
  <c r="J22" i="8" s="1"/>
  <c r="K29" i="7"/>
  <c r="K35" i="7" s="1"/>
  <c r="K22" i="8" s="1"/>
  <c r="I14" i="12"/>
  <c r="L26" i="6"/>
  <c r="I7" i="11"/>
  <c r="I10" i="11" s="1"/>
  <c r="I9" i="12" s="1"/>
  <c r="I8" i="12"/>
  <c r="L9" i="8"/>
  <c r="L30" i="6"/>
  <c r="K16" i="5"/>
  <c r="L14" i="5"/>
  <c r="J28" i="8" l="1"/>
  <c r="K34" i="8"/>
  <c r="K7" i="12"/>
  <c r="K14" i="12" s="1"/>
  <c r="K27" i="8"/>
  <c r="K28" i="8" s="1"/>
  <c r="L10" i="8"/>
  <c r="L15" i="7"/>
  <c r="L30" i="7" s="1"/>
  <c r="L14" i="7"/>
  <c r="L29" i="7" s="1"/>
  <c r="I15" i="12"/>
  <c r="L16" i="5"/>
  <c r="L35" i="7" l="1"/>
  <c r="L22" i="8" s="1"/>
  <c r="J8" i="12"/>
  <c r="J7" i="11"/>
  <c r="J10" i="11" s="1"/>
  <c r="J9" i="12" s="1"/>
  <c r="K8" i="12"/>
  <c r="K7" i="11"/>
  <c r="K10" i="11" s="1"/>
  <c r="K9" i="12" s="1"/>
  <c r="L34" i="8"/>
  <c r="L27" i="8"/>
  <c r="L7" i="12"/>
  <c r="AC66" i="3"/>
  <c r="C79" i="12" l="1"/>
  <c r="C82" i="12" s="1"/>
  <c r="C84" i="12" s="1"/>
  <c r="C9" i="13" s="1"/>
  <c r="I7" i="1" s="1"/>
  <c r="L28" i="8"/>
  <c r="J15" i="12"/>
  <c r="K15" i="12"/>
  <c r="L14" i="12"/>
  <c r="C40" i="12"/>
  <c r="C43" i="12" s="1"/>
  <c r="C44" i="12" s="1"/>
  <c r="C45" i="12" s="1"/>
  <c r="C48" i="12" s="1"/>
  <c r="C50" i="12" s="1"/>
  <c r="C6" i="13" s="1"/>
  <c r="I4" i="1" s="1"/>
  <c r="L8" i="12" l="1"/>
  <c r="L7" i="11"/>
  <c r="L15" i="12" l="1"/>
  <c r="C61" i="12"/>
  <c r="C64" i="12" s="1"/>
  <c r="C65" i="12" s="1"/>
  <c r="C66" i="12" s="1"/>
  <c r="C69" i="12" s="1"/>
  <c r="C71" i="12" s="1"/>
  <c r="C8" i="13" s="1"/>
  <c r="I6" i="1" s="1"/>
  <c r="L8" i="11"/>
  <c r="L11" i="11" s="1"/>
  <c r="C20" i="11" s="1"/>
  <c r="L10" i="11"/>
  <c r="C19" i="11" l="1"/>
  <c r="C21" i="11" s="1"/>
  <c r="C24" i="11" s="1"/>
  <c r="C26" i="11" s="1"/>
  <c r="C5" i="13" s="1"/>
  <c r="C10" i="13" s="1"/>
  <c r="L9" i="12"/>
  <c r="I3" i="1" l="1"/>
  <c r="I8" i="1" l="1"/>
  <c r="C12" i="13"/>
  <c r="I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tc={BD518828-4CC2-0B4C-8B09-D92EFD9BB7AB}</author>
    <author>tc={9D8CB7E8-8C73-9749-8D8A-8250F244A2BB}</author>
  </authors>
  <commentList>
    <comment ref="B84"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6"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 ref="B216" authorId="2" shapeId="0" xr:uid="{BD518828-4CC2-0B4C-8B09-D92EFD9BB7AB}">
      <text>
        <t>[Threaded comment]
Your version of Excel allows you to read this threaded comment; however, any edits to it will get removed if the file is opened in a newer version of Excel. Learn more: https://go.microsoft.com/fwlink/?linkid=870924
Comment:
    Actual value</t>
      </text>
    </comment>
    <comment ref="B217" authorId="3" shapeId="0" xr:uid="{9D8CB7E8-8C73-9749-8D8A-8250F244A2BB}">
      <text>
        <t>[Threaded comment]
Your version of Excel allows you to read this threaded comment; however, any edits to it will get removed if the file is opened in a newer version of Excel. Learn more: https://go.microsoft.com/fwlink/?linkid=870924
Comment:
    Actual value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<sst xmlns="http://schemas.openxmlformats.org/spreadsheetml/2006/main" count="843" uniqueCount="442">
  <si>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</si>
  <si>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</si>
  <si>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</si>
  <si>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</si>
  <si>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</si>
  <si>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</si>
  <si>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</si>
  <si>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</si>
  <si>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</si>
  <si>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</si>
  <si>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</si>
  <si>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</si>
  <si>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</si>
  <si>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</si>
  <si>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K</t>
  </si>
  <si>
    <t>Financials -&gt;</t>
  </si>
  <si>
    <t>Date</t>
  </si>
  <si>
    <t>FY</t>
  </si>
  <si>
    <t>Automatic Data</t>
  </si>
  <si>
    <t>Income statement</t>
  </si>
  <si>
    <t>Revenue</t>
  </si>
  <si>
    <t>COGS</t>
  </si>
  <si>
    <t>Gross Profit</t>
  </si>
  <si>
    <t>R&amp;D</t>
  </si>
  <si>
    <t>Sales and marketing</t>
  </si>
  <si>
    <t>General and administrative</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</si>
  <si>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</si>
  <si>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</si>
  <si>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</si>
  <si>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</si>
  <si>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</si>
  <si>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</si>
  <si>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</si>
  <si>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</si>
  <si>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</si>
  <si>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</si>
  <si>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</si>
  <si>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</si>
  <si>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</si>
  <si>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</si>
  <si>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</si>
  <si>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</si>
  <si>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</si>
  <si>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</si>
  <si>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</si>
  <si>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</si>
  <si>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</si>
  <si>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</si>
  <si>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</si>
  <si>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</si>
  <si>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</si>
  <si>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</si>
  <si>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</si>
  <si>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</si>
  <si>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</si>
  <si>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</si>
  <si>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</si>
  <si>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</si>
  <si>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</si>
  <si>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</si>
  <si>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</si>
  <si>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</si>
  <si>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</si>
  <si>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</si>
  <si>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</si>
  <si>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</si>
  <si>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</si>
  <si>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</si>
  <si>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</si>
  <si>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</si>
  <si>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</si>
  <si>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</si>
  <si>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</si>
  <si>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</si>
  <si>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</si>
  <si>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</si>
  <si>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</si>
  <si>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</si>
  <si>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</si>
  <si>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</si>
  <si>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</si>
  <si>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</si>
  <si>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</si>
  <si>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</si>
  <si>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</si>
  <si>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</si>
  <si>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31.01.2026</t>
  </si>
  <si>
    <t>31.01.2025</t>
  </si>
  <si>
    <t>31.01.2024</t>
  </si>
  <si>
    <t>31.01.2023</t>
  </si>
  <si>
    <t>31.01.2022</t>
  </si>
  <si>
    <t>Q4 2026</t>
  </si>
  <si>
    <t>Q4 2025</t>
  </si>
  <si>
    <t>31.10.2025</t>
  </si>
  <si>
    <t>Q3 2026</t>
  </si>
  <si>
    <t>31.10.2024</t>
  </si>
  <si>
    <t>Q3 2025</t>
  </si>
  <si>
    <t>31.07.2025</t>
  </si>
  <si>
    <t>Q2 2026</t>
  </si>
  <si>
    <t>30.04.2025</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</si>
  <si>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</si>
  <si>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</si>
  <si>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</si>
  <si>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</si>
  <si>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</si>
  <si>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</si>
  <si>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</si>
  <si>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</si>
  <si>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</si>
  <si>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</si>
  <si>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</si>
  <si>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Licenses</t>
  </si>
  <si>
    <t>Subscription services</t>
  </si>
  <si>
    <t>Professional services</t>
  </si>
  <si>
    <t>Licenses COGS</t>
  </si>
  <si>
    <t>Subscription services COGS</t>
  </si>
  <si>
    <t>Professional services COGS</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</si>
  <si>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</si>
  <si>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</si>
  <si>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</si>
  <si>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</si>
  <si>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</si>
  <si>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</si>
  <si>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</si>
  <si>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</si>
  <si>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</si>
  <si>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</si>
  <si>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</si>
  <si>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ARR</t>
  </si>
  <si>
    <t>New ARR</t>
  </si>
  <si>
    <t>Net retention rate</t>
  </si>
  <si>
    <t>Customers &gt;= 1M</t>
  </si>
  <si>
    <t>Customers &gt;= 100K</t>
  </si>
  <si>
    <t>Forecast -&gt;</t>
  </si>
  <si>
    <t>Revenue forecast</t>
  </si>
  <si>
    <t>History</t>
  </si>
  <si>
    <t>Forecast</t>
  </si>
  <si>
    <t>TTM</t>
  </si>
  <si>
    <t>Revenues</t>
  </si>
  <si>
    <t>Revenues (thousand)</t>
  </si>
  <si>
    <t>FQ1</t>
  </si>
  <si>
    <t>FQ2</t>
  </si>
  <si>
    <t>FQ3</t>
  </si>
  <si>
    <t>Total</t>
  </si>
  <si>
    <t>Growth rates</t>
  </si>
  <si>
    <t>Revenue growth %</t>
  </si>
  <si>
    <t>Drivers and metrics</t>
  </si>
  <si>
    <t>Metric (thousand)</t>
  </si>
  <si>
    <t>Growth rates for metrics</t>
  </si>
  <si>
    <t>Metrics growth %</t>
  </si>
  <si>
    <t>Revenue to ARR</t>
  </si>
  <si>
    <t>ARR * Revenue to ARR</t>
  </si>
  <si>
    <t>New logo ARR</t>
  </si>
  <si>
    <t>New Customers &gt;= 100k</t>
  </si>
  <si>
    <t>Avg initial contract value</t>
  </si>
  <si>
    <t xml:space="preserve">ARR(t-1) * NRR + New logo ARR </t>
  </si>
  <si>
    <t>ARR(t) - ARR(t-1)</t>
  </si>
  <si>
    <t>New customers * avg initial contract value</t>
  </si>
  <si>
    <t>Professional services % revenue</t>
  </si>
  <si>
    <t>Revenue * Professional services % revenue</t>
  </si>
  <si>
    <t>Licenses % revenue</t>
  </si>
  <si>
    <t>Revenue * Licenses % revenue</t>
  </si>
  <si>
    <t>Revenue - License - Professional services</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</si>
  <si>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</si>
  <si>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</si>
  <si>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</si>
  <si>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</si>
  <si>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</si>
  <si>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</si>
  <si>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</si>
  <si>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</si>
  <si>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</si>
  <si>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</si>
  <si>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</si>
  <si>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</si>
  <si>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</si>
  <si>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</si>
  <si>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</si>
  <si>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</si>
  <si>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</si>
  <si>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</si>
  <si>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</si>
  <si>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</si>
  <si>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</si>
  <si>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</si>
  <si>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</si>
  <si>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</si>
  <si>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</si>
  <si>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</si>
  <si>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</si>
  <si>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</si>
  <si>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</si>
  <si>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</si>
  <si>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</si>
  <si>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</si>
  <si>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</si>
  <si>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</si>
  <si>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</si>
  <si>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</si>
  <si>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</si>
  <si>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</si>
  <si>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</si>
  <si>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</si>
  <si>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</si>
  <si>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</si>
  <si>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</si>
  <si>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</si>
  <si>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</si>
  <si>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</si>
  <si>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</si>
  <si>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</si>
  <si>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</si>
  <si>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</si>
  <si>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</si>
  <si>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</si>
  <si>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</si>
  <si>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</si>
  <si>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</si>
  <si>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</si>
  <si>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</si>
  <si>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</si>
  <si>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</si>
  <si>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</si>
  <si>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</si>
  <si>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</si>
  <si>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</si>
  <si>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</si>
  <si>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</si>
  <si>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</si>
  <si>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</si>
  <si>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</si>
  <si>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</si>
  <si>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</si>
  <si>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</si>
  <si>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</si>
  <si>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</si>
  <si>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</si>
  <si>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</si>
  <si>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</si>
  <si>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</si>
  <si>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</si>
  <si>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</si>
  <si>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</si>
  <si>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</si>
  <si>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</si>
  <si>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</si>
  <si>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</si>
  <si>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</si>
  <si>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</si>
  <si>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</si>
  <si>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</si>
  <si>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</si>
  <si>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</si>
  <si>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</si>
  <si>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</si>
  <si>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</si>
  <si>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</si>
  <si>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</si>
  <si>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</si>
  <si>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</si>
  <si>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</si>
  <si>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</si>
  <si>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</si>
  <si>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</si>
  <si>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</si>
  <si>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</si>
  <si>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</si>
  <si>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</si>
  <si>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</si>
  <si>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</si>
  <si>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</si>
  <si>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ARR Lower</t>
  </si>
  <si>
    <t>ARR Upper</t>
  </si>
  <si>
    <t>Actual ARR</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</si>
  <si>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</si>
  <si>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</si>
  <si>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</si>
  <si>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</si>
  <si>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</si>
  <si>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</si>
  <si>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</si>
  <si>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</si>
  <si>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</si>
  <si>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</si>
  <si>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</si>
  <si>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</si>
  <si>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</si>
  <si>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</si>
  <si>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</si>
  <si>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</si>
  <si>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</si>
  <si>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</si>
  <si>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</si>
  <si>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</si>
  <si>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</si>
  <si>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</si>
  <si>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</si>
  <si>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</si>
  <si>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</si>
  <si>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</si>
  <si>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</si>
  <si>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</si>
  <si>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</si>
  <si>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</si>
  <si>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</si>
  <si>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</si>
  <si>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</si>
  <si>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</si>
  <si>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</si>
  <si>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</si>
  <si>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</si>
  <si>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</si>
  <si>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</si>
  <si>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</si>
  <si>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</si>
  <si>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</si>
  <si>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</si>
  <si>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</si>
  <si>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</si>
  <si>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</si>
  <si>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</si>
  <si>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</si>
  <si>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</si>
  <si>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</si>
  <si>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</si>
  <si>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</si>
  <si>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</si>
  <si>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</si>
  <si>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</si>
  <si>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</si>
  <si>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</si>
  <si>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</si>
  <si>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</si>
  <si>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</si>
  <si>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</si>
  <si>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</si>
  <si>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</si>
  <si>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</si>
  <si>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</si>
  <si>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</si>
  <si>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</si>
  <si>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</si>
  <si>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</si>
  <si>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</si>
  <si>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</si>
  <si>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</si>
  <si>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</si>
  <si>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</si>
  <si>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</si>
  <si>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</si>
  <si>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</si>
  <si>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</si>
  <si>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</si>
  <si>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Licenses Revenue</t>
  </si>
  <si>
    <t>Subscription services Revenue</t>
  </si>
  <si>
    <t>Professional services Revenue</t>
  </si>
  <si>
    <t>Growth rate breakdown</t>
  </si>
  <si>
    <t>Other growth rates</t>
  </si>
  <si>
    <t>Latest 2 quarters</t>
  </si>
  <si>
    <t>YoY</t>
  </si>
  <si>
    <t>Growth</t>
  </si>
  <si>
    <t>Operating profit</t>
  </si>
  <si>
    <t>Diluted shares outstanding</t>
  </si>
  <si>
    <t>Revenue breakdown</t>
  </si>
  <si>
    <t>Income statement growth</t>
  </si>
  <si>
    <t>Metrics growth</t>
  </si>
  <si>
    <t>PV of FCFF</t>
  </si>
  <si>
    <t>EV/FCFF</t>
  </si>
  <si>
    <t>EV/FCFF valuation</t>
  </si>
  <si>
    <t>EV/FCFF price</t>
  </si>
  <si>
    <t>FCFF Growth</t>
  </si>
  <si>
    <t>Valuation</t>
  </si>
  <si>
    <t>30.04.2026</t>
  </si>
  <si>
    <t>Q1 2027</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</si>
  <si>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</si>
  <si>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</si>
  <si>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</si>
  <si>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</si>
  <si>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</si>
  <si>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</si>
  <si>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</si>
  <si>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</si>
  <si>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</si>
  <si>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</si>
  <si>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</si>
  <si>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</si>
  <si>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KPMG</t>
  </si>
  <si>
    <t>Empower customers to combine automation, AI agents and people, devilering end to end process orchestration that drives innovation</t>
  </si>
  <si>
    <t>Revenue Licenses</t>
  </si>
  <si>
    <t>Revenue Subscription</t>
  </si>
  <si>
    <t>Revenue Professional</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</si>
  <si>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</si>
  <si>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</si>
  <si>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</si>
  <si>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</si>
  <si>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</si>
  <si>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</si>
  <si>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</si>
  <si>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</si>
  <si>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</si>
  <si>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</si>
  <si>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</si>
  <si>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</si>
  <si>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</si>
  <si>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</si>
  <si>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</si>
  <si>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</si>
  <si>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</si>
  <si>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Manual Cost of Equity</t>
  </si>
  <si>
    <t>Dividend discount model</t>
  </si>
  <si>
    <t>Dividend per share</t>
  </si>
  <si>
    <t>Ratios</t>
  </si>
  <si>
    <t>Payout</t>
  </si>
  <si>
    <t>DDM valuation</t>
  </si>
  <si>
    <t>Latest dividend</t>
  </si>
  <si>
    <t>Year 1 growth rate</t>
  </si>
  <si>
    <t>Year 1 dividend</t>
  </si>
  <si>
    <t>Perpetual dividend growth</t>
  </si>
  <si>
    <t>DDM price</t>
  </si>
  <si>
    <t>Q2 2027</t>
  </si>
  <si>
    <t>31.07.2026</t>
  </si>
  <si>
    <t>03.09.2026</t>
  </si>
  <si>
    <t>-</t>
  </si>
  <si>
    <t>Revenue and ARR for FY 2027 are 1789M-1794M and 2065B-2070B</t>
  </si>
  <si>
    <t>Non GAAP EBIT for Q3 2027 and FY 2027 are 100M and 445M</t>
  </si>
  <si>
    <t>Terminal EV</t>
  </si>
  <si>
    <t>PV of Terminal EV</t>
  </si>
  <si>
    <t>Total EV</t>
  </si>
  <si>
    <t>Year 5 FCFF</t>
  </si>
  <si>
    <t>EV/Sales</t>
  </si>
  <si>
    <t>EV/Sales valuation</t>
  </si>
  <si>
    <t>Year 5 Sales</t>
  </si>
  <si>
    <t>Applied EV/Sales ratio</t>
  </si>
  <si>
    <t>Reverse DCF rate</t>
  </si>
  <si>
    <t>Discount rates used</t>
  </si>
  <si>
    <t>Cost of Equity</t>
  </si>
  <si>
    <t>Links</t>
  </si>
  <si>
    <t>Financials -&gt;'!B13</t>
  </si>
  <si>
    <t>Analysis -&gt;'!B13</t>
  </si>
  <si>
    <t>Forecast -&gt;'!B13</t>
  </si>
  <si>
    <t>Valuation -&gt;'!B13</t>
  </si>
  <si>
    <t>Overview'!B3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</si>
</sst>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7"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i/>
      <sz val="12"/>
      <color theme="9"/>
      <name val="Aptos Narrow"/>
      <scheme val="minor"/>
    </font>
    <font>
      <b/>
      <sz val="12"/>
      <color rgb="FF4EA72E"/>
      <name val="Aptos Narrow"/>
      <scheme val="minor"/>
    </font>
    <font>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right style="thick">
        <color theme="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6" fillId="0" borderId="0" applyNumberFormat="0" applyFill="0" applyBorder="0" applyAlignment="0" applyProtection="0"/>
  </cellStyleXfs>
  <cellXfs count="273">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9" fontId="11" fillId="2" borderId="0" xfId="1" applyFont="1" applyFill="1"/>
    <xf numFmtId="37" fontId="11" fillId="2" borderId="0" xfId="0"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9" fillId="12" borderId="15" xfId="0" applyNumberFormat="1" applyFont="1" applyFill="1" applyBorder="1"/>
    <xf numFmtId="38" fontId="16" fillId="2" borderId="0" xfId="0" applyNumberFormat="1" applyFont="1" applyFill="1"/>
    <xf numFmtId="38" fontId="16" fillId="2" borderId="14" xfId="0" applyNumberFormat="1" applyFont="1" applyFill="1" applyBorder="1"/>
    <xf numFmtId="38" fontId="16" fillId="2" borderId="15"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37" fontId="0" fillId="3" borderId="0" xfId="0" applyNumberFormat="1" applyFill="1"/>
    <xf numFmtId="168" fontId="16" fillId="11" borderId="14" xfId="1" applyNumberFormat="1" applyFont="1" applyFill="1" applyBorder="1"/>
    <xf numFmtId="3" fontId="0" fillId="3" borderId="0" xfId="0" applyNumberFormat="1" applyFill="1"/>
    <xf numFmtId="165" fontId="0" fillId="12" borderId="0" xfId="0" applyNumberFormat="1" applyFill="1"/>
    <xf numFmtId="165" fontId="0" fillId="12" borderId="14" xfId="0" applyNumberFormat="1" applyFill="1" applyBorder="1"/>
    <xf numFmtId="2" fontId="0" fillId="3" borderId="0" xfId="0" applyNumberFormat="1" applyFill="1"/>
    <xf numFmtId="38" fontId="16" fillId="12" borderId="0" xfId="0" applyNumberFormat="1" applyFont="1" applyFill="1"/>
    <xf numFmtId="9" fontId="21" fillId="2" borderId="0" xfId="1" applyFont="1" applyFill="1"/>
    <xf numFmtId="9" fontId="21" fillId="2" borderId="14" xfId="1" applyFont="1" applyFill="1" applyBorder="1"/>
    <xf numFmtId="9" fontId="18" fillId="3" borderId="0" xfId="1" applyFont="1" applyFill="1"/>
    <xf numFmtId="9" fontId="21" fillId="2" borderId="15" xfId="1" applyFont="1" applyFill="1" applyBorder="1"/>
    <xf numFmtId="169" fontId="0" fillId="2" borderId="0" xfId="0" applyNumberFormat="1" applyFill="1"/>
    <xf numFmtId="169" fontId="0" fillId="2" borderId="15" xfId="0" applyNumberFormat="1" applyFill="1" applyBorder="1"/>
    <xf numFmtId="39" fontId="0" fillId="2" borderId="0" xfId="0" applyNumberFormat="1" applyFill="1"/>
    <xf numFmtId="39" fontId="0" fillId="2" borderId="15" xfId="0" applyNumberFormat="1" applyFill="1" applyBorder="1"/>
    <xf numFmtId="9" fontId="18" fillId="2" borderId="0" xfId="1" applyFont="1" applyFill="1"/>
    <xf numFmtId="38" fontId="22" fillId="12" borderId="0" xfId="0" applyNumberFormat="1" applyFont="1" applyFill="1"/>
    <xf numFmtId="38" fontId="22" fillId="12" borderId="14" xfId="0" applyNumberFormat="1" applyFont="1" applyFill="1" applyBorder="1"/>
    <xf numFmtId="38" fontId="7" fillId="2" borderId="0" xfId="0" applyNumberFormat="1" applyFont="1" applyFill="1"/>
    <xf numFmtId="38" fontId="23" fillId="12" borderId="0" xfId="0" applyNumberFormat="1" applyFont="1" applyFill="1"/>
    <xf numFmtId="38" fontId="23" fillId="12" borderId="14" xfId="0" applyNumberFormat="1" applyFont="1" applyFill="1" applyBorder="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2"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4"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5" fillId="12" borderId="0" xfId="0" applyNumberFormat="1" applyFont="1" applyFill="1"/>
    <xf numFmtId="168" fontId="25" fillId="12" borderId="14" xfId="0" applyNumberFormat="1" applyFont="1" applyFill="1" applyBorder="1"/>
    <xf numFmtId="168" fontId="25"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20" xfId="0" applyFill="1" applyBorder="1"/>
    <xf numFmtId="167" fontId="0" fillId="9" borderId="21" xfId="0" applyNumberFormat="1" applyFill="1" applyBorder="1"/>
    <xf numFmtId="0" fontId="0" fillId="2" borderId="22" xfId="0" applyFill="1" applyBorder="1"/>
    <xf numFmtId="10" fontId="10" fillId="3" borderId="23" xfId="1" applyNumberFormat="1" applyFont="1" applyFill="1" applyBorder="1"/>
    <xf numFmtId="0" fontId="0" fillId="2" borderId="20" xfId="0" applyFill="1" applyBorder="1"/>
    <xf numFmtId="10" fontId="10" fillId="3" borderId="21" xfId="1" applyNumberFormat="1" applyFont="1" applyFill="1" applyBorder="1"/>
    <xf numFmtId="37" fontId="0" fillId="2" borderId="21" xfId="0" applyNumberFormat="1" applyFill="1" applyBorder="1"/>
    <xf numFmtId="37" fontId="10" fillId="2" borderId="23" xfId="0" applyNumberFormat="1" applyFont="1" applyFill="1" applyBorder="1"/>
    <xf numFmtId="0" fontId="7" fillId="2" borderId="20" xfId="0" applyFont="1" applyFill="1" applyBorder="1"/>
    <xf numFmtId="37" fontId="7" fillId="2" borderId="21" xfId="0" applyNumberFormat="1" applyFont="1" applyFill="1" applyBorder="1"/>
    <xf numFmtId="38" fontId="0" fillId="2" borderId="21" xfId="0" applyNumberFormat="1" applyFill="1" applyBorder="1"/>
    <xf numFmtId="0" fontId="0" fillId="9" borderId="24" xfId="0" applyFill="1" applyBorder="1"/>
    <xf numFmtId="167" fontId="0" fillId="9" borderId="25"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6" xfId="0" applyFill="1" applyBorder="1"/>
    <xf numFmtId="0" fontId="0" fillId="7" borderId="27"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7"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6" xfId="0" applyNumberFormat="1" applyFill="1" applyBorder="1"/>
    <xf numFmtId="3" fontId="0" fillId="18" borderId="28" xfId="0" applyNumberFormat="1" applyFill="1" applyBorder="1"/>
    <xf numFmtId="2" fontId="0" fillId="18" borderId="28"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7" xfId="0" applyFont="1" applyFill="1" applyBorder="1" applyAlignment="1">
      <alignment horizontal="left" indent="1"/>
    </xf>
    <xf numFmtId="0" fontId="0" fillId="7" borderId="17"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6"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1" xfId="1" applyNumberFormat="1" applyFont="1" applyFill="1" applyBorder="1"/>
    <xf numFmtId="3" fontId="12" fillId="2" borderId="21"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9" fontId="17" fillId="2" borderId="0" xfId="0" applyNumberFormat="1" applyFont="1" applyFill="1"/>
    <xf numFmtId="39" fontId="17" fillId="2" borderId="14" xfId="0" applyNumberFormat="1" applyFont="1" applyFill="1" applyBorder="1"/>
    <xf numFmtId="10" fontId="0" fillId="3" borderId="0" xfId="1" applyNumberFormat="1" applyFont="1" applyFill="1"/>
    <xf numFmtId="39" fontId="10" fillId="2" borderId="0" xfId="0" applyNumberFormat="1" applyFont="1" applyFill="1"/>
    <xf numFmtId="0" fontId="7" fillId="9" borderId="16" xfId="0" applyFont="1" applyFill="1" applyBorder="1"/>
    <xf numFmtId="167" fontId="7" fillId="9" borderId="17" xfId="0" applyNumberFormat="1" applyFont="1" applyFill="1" applyBorder="1"/>
    <xf numFmtId="168" fontId="0" fillId="17" borderId="26" xfId="1" applyNumberFormat="1" applyFont="1" applyFill="1" applyBorder="1"/>
    <xf numFmtId="168" fontId="0" fillId="17" borderId="27" xfId="1" applyNumberFormat="1" applyFont="1" applyFill="1" applyBorder="1"/>
    <xf numFmtId="0" fontId="26" fillId="8" borderId="26" xfId="2" quotePrefix="1" applyFill="1" applyBorder="1" applyAlignment="1">
      <alignment horizontal="center"/>
    </xf>
    <xf numFmtId="0" fontId="26" fillId="8" borderId="27" xfId="2" quotePrefix="1" applyFill="1" applyBorder="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2" borderId="0" xfId="0" applyFont="1" applyFill="1" applyAlignment="1">
      <alignment horizontal="center"/>
    </xf>
    <xf numFmtId="0" fontId="0" fillId="2" borderId="0" xfId="0" applyFill="1" applyAlignment="1">
      <alignment horizontal="left"/>
    </xf>
    <xf numFmtId="0" fontId="4" fillId="4" borderId="18" xfId="0" applyFont="1" applyFill="1" applyBorder="1" applyAlignment="1">
      <alignment horizontal="center"/>
    </xf>
    <xf numFmtId="0" fontId="4" fillId="4" borderId="19" xfId="0" applyFont="1" applyFill="1" applyBorder="1" applyAlignment="1">
      <alignment horizontal="center"/>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31.01.2022</c:v>
                </c:pt>
                <c:pt idx="1">
                  <c:v>31.01.2023</c:v>
                </c:pt>
                <c:pt idx="2">
                  <c:v>31.01.2024</c:v>
                </c:pt>
                <c:pt idx="3">
                  <c:v>31.01.2025</c:v>
                </c:pt>
                <c:pt idx="4">
                  <c:v>31.01.2026</c:v>
                </c:pt>
              </c:strCache>
            </c:strRef>
          </c:cat>
          <c:val>
            <c:numRef>
              <c:f>'Graphs Year'!$H$57:$L$57</c:f>
              <c:numCache>
                <c:formatCode>#,##0_);[Red]\(#,##0\)</c:formatCode>
                <c:ptCount val="5"/>
                <c:pt idx="0">
                  <c:v>892252</c:v>
                </c:pt>
                <c:pt idx="1">
                  <c:v>1058581</c:v>
                </c:pt>
                <c:pt idx="2">
                  <c:v>1308072</c:v>
                </c:pt>
                <c:pt idx="3">
                  <c:v>1429664</c:v>
                </c:pt>
                <c:pt idx="4">
                  <c:v>1610572</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31.01.2022</c:v>
                </c:pt>
                <c:pt idx="1">
                  <c:v>31.01.2023</c:v>
                </c:pt>
                <c:pt idx="2">
                  <c:v>31.01.2024</c:v>
                </c:pt>
                <c:pt idx="3">
                  <c:v>31.01.2025</c:v>
                </c:pt>
                <c:pt idx="4">
                  <c:v>31.01.2026</c:v>
                </c:pt>
              </c:strCache>
            </c:strRef>
          </c:cat>
          <c:val>
            <c:numRef>
              <c:f>'Graphs Year'!$H$58:$L$58</c:f>
              <c:numCache>
                <c:formatCode>#,##0_);\(#,##0\)</c:formatCode>
                <c:ptCount val="5"/>
                <c:pt idx="0">
                  <c:v>-500946</c:v>
                </c:pt>
                <c:pt idx="1">
                  <c:v>-348283</c:v>
                </c:pt>
                <c:pt idx="2">
                  <c:v>-164720</c:v>
                </c:pt>
                <c:pt idx="3">
                  <c:v>-162569</c:v>
                </c:pt>
                <c:pt idx="4">
                  <c:v>56760</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31.01.2022</c:v>
                </c:pt>
                <c:pt idx="1">
                  <c:v>31.01.2023</c:v>
                </c:pt>
                <c:pt idx="2">
                  <c:v>31.01.2024</c:v>
                </c:pt>
                <c:pt idx="3">
                  <c:v>31.01.2025</c:v>
                </c:pt>
                <c:pt idx="4">
                  <c:v>31.01.2026</c:v>
                </c:pt>
              </c:strCache>
            </c:strRef>
          </c:cat>
          <c:val>
            <c:numRef>
              <c:f>'Graphs Year'!$H$59:$L$59</c:f>
              <c:numCache>
                <c:formatCode>#,##0_);\(#,##0\)</c:formatCode>
                <c:ptCount val="5"/>
                <c:pt idx="0">
                  <c:v>-525586</c:v>
                </c:pt>
                <c:pt idx="1">
                  <c:v>-328352</c:v>
                </c:pt>
                <c:pt idx="2">
                  <c:v>-89883</c:v>
                </c:pt>
                <c:pt idx="3">
                  <c:v>-73694</c:v>
                </c:pt>
                <c:pt idx="4">
                  <c:v>282330</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-582375</c:v>
                </c:pt>
                <c:pt idx="1">
                  <c:v>-403636</c:v>
                </c:pt>
                <c:pt idx="2">
                  <c:v>-80215</c:v>
                </c:pt>
                <c:pt idx="3">
                  <c:v>-52509</c:v>
                </c:pt>
                <c:pt idx="4">
                  <c:v>61484</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-603972</c:v>
                </c:pt>
                <c:pt idx="1">
                  <c:v>-500062</c:v>
                </c:pt>
                <c:pt idx="2">
                  <c:v>-216393</c:v>
                </c:pt>
                <c:pt idx="3">
                  <c:v>-202032</c:v>
                </c:pt>
                <c:pt idx="4">
                  <c:v>-94526</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0.81073956684882742</c:v>
                </c:pt>
                <c:pt idx="1">
                  <c:v>0.82991287393217905</c:v>
                </c:pt>
                <c:pt idx="2">
                  <c:v>0.85021925398601916</c:v>
                </c:pt>
                <c:pt idx="3">
                  <c:v>0.82727270183763457</c:v>
                </c:pt>
                <c:pt idx="4">
                  <c:v>0.83174673345867178</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-0.56144004160259653</c:v>
                </c:pt>
                <c:pt idx="1">
                  <c:v>-0.32900930585377974</c:v>
                </c:pt>
                <c:pt idx="2">
                  <c:v>-0.12592579001767487</c:v>
                </c:pt>
                <c:pt idx="3">
                  <c:v>-0.11371133357208407</c:v>
                </c:pt>
                <c:pt idx="4">
                  <c:v>3.5242137575966802E-2</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-0.58905555829519018</c:v>
                </c:pt>
                <c:pt idx="1">
                  <c:v>-0.31018127096556619</c:v>
                </c:pt>
                <c:pt idx="2">
                  <c:v>-6.8714107480322181E-2</c:v>
                </c:pt>
                <c:pt idx="3">
                  <c:v>-5.1546377330617545E-2</c:v>
                </c:pt>
                <c:pt idx="4">
                  <c:v>0.17529796867199976</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License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481427</c:v>
                </c:pt>
                <c:pt idx="1">
                  <c:v>497836</c:v>
                </c:pt>
                <c:pt idx="2">
                  <c:v>621392</c:v>
                </c:pt>
                <c:pt idx="3">
                  <c:v>587152</c:v>
                </c:pt>
                <c:pt idx="4">
                  <c:v>606394</c:v>
                </c:pt>
              </c:numCache>
            </c:numRef>
          </c:val>
          <c:extLst>
            <c:ext xmlns:c16="http://schemas.microsoft.com/office/drawing/2014/chart" uri="{C3380CC4-5D6E-409C-BE32-E72D297353CC}">
              <c16:uniqueId val="{00000000-CDE5-154C-8153-319428CD8714}"/>
            </c:ext>
          </c:extLst>
        </c:ser>
        <c:ser>
          <c:idx val="1"/>
          <c:order val="1"/>
          <c:tx>
            <c:v>Subscription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369867</c:v>
                </c:pt>
                <c:pt idx="1">
                  <c:v>508823</c:v>
                </c:pt>
                <c:pt idx="2">
                  <c:v>649918</c:v>
                </c:pt>
                <c:pt idx="3">
                  <c:v>801947</c:v>
                </c:pt>
                <c:pt idx="4">
                  <c:v>954472</c:v>
                </c:pt>
              </c:numCache>
            </c:numRef>
          </c:val>
          <c:extLst>
            <c:ext xmlns:c16="http://schemas.microsoft.com/office/drawing/2014/chart" uri="{C3380CC4-5D6E-409C-BE32-E72D297353CC}">
              <c16:uniqueId val="{00000001-CDE5-154C-8153-319428CD8714}"/>
            </c:ext>
          </c:extLst>
        </c:ser>
        <c:ser>
          <c:idx val="2"/>
          <c:order val="2"/>
          <c:tx>
            <c:v>Professional</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40958</c:v>
                </c:pt>
                <c:pt idx="1">
                  <c:v>51922</c:v>
                </c:pt>
                <c:pt idx="2">
                  <c:v>36762</c:v>
                </c:pt>
                <c:pt idx="3">
                  <c:v>40555</c:v>
                </c:pt>
                <c:pt idx="4">
                  <c:v>49706</c:v>
                </c:pt>
              </c:numCache>
            </c:numRef>
          </c:val>
          <c:extLst>
            <c:ext xmlns:c16="http://schemas.microsoft.com/office/drawing/2014/chart" uri="{C3380CC4-5D6E-409C-BE32-E72D297353CC}">
              <c16:uniqueId val="{00000002-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0.00%</c:formatCode>
                <c:ptCount val="5"/>
                <c:pt idx="0">
                  <c:v>-0.20431339773367801</c:v>
                </c:pt>
                <c:pt idx="1">
                  <c:v>-0.12004653397221271</c:v>
                </c:pt>
                <c:pt idx="2">
                  <c:v>-3.0419750111515053E-2</c:v>
                </c:pt>
                <c:pt idx="3">
                  <c:v>-2.5719740199003933E-2</c:v>
                </c:pt>
                <c:pt idx="4">
                  <c:v>8.8805359838953199E-2</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-0.27346966596372269</c:v>
                </c:pt>
                <c:pt idx="1">
                  <c:v>-0.17100259457815453</c:v>
                </c:pt>
                <c:pt idx="2">
                  <c:v>-4.4582300405631825E-2</c:v>
                </c:pt>
                <c:pt idx="3">
                  <c:v>-3.9926057639067224E-2</c:v>
                </c:pt>
                <c:pt idx="4">
                  <c:v>0.13556696550972422</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-13.446770816556612</c:v>
                </c:pt>
                <c:pt idx="1">
                  <c:v>-2.1723832513114152</c:v>
                </c:pt>
                <c:pt idx="2">
                  <c:v>-1.2085904425090432</c:v>
                </c:pt>
                <c:pt idx="3">
                  <c:v>-1.3311034872391121</c:v>
                </c:pt>
                <c:pt idx="4">
                  <c:v>0.14438669993971168</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Year'!$H$71:$L$71</c:f>
              <c:numCache>
                <c:formatCode>0</c:formatCode>
                <c:ptCount val="5"/>
                <c:pt idx="0">
                  <c:v>100</c:v>
                </c:pt>
                <c:pt idx="1">
                  <c:v>43.583607538139404</c:v>
                </c:pt>
                <c:pt idx="2">
                  <c:v>71.343104995513016</c:v>
                </c:pt>
                <c:pt idx="3">
                  <c:v>43.613520789709838</c:v>
                </c:pt>
                <c:pt idx="4">
                  <c:v>37.660783727191152</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118.64148245114609</c:v>
                </c:pt>
                <c:pt idx="2">
                  <c:v>146.60342593796372</c:v>
                </c:pt>
                <c:pt idx="3">
                  <c:v>160.23096613961079</c:v>
                </c:pt>
                <c:pt idx="4">
                  <c:v>180.50640402038886</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148.27586206896552</c:v>
                </c:pt>
                <c:pt idx="2">
                  <c:v>186.20689655172413</c:v>
                </c:pt>
                <c:pt idx="3">
                  <c:v>188.79310344827584</c:v>
                </c:pt>
                <c:pt idx="4">
                  <c:v>244.82758620689654</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354653</c:v>
                </c:pt>
                <c:pt idx="1">
                  <c:v>423646</c:v>
                </c:pt>
                <c:pt idx="2">
                  <c:v>356624</c:v>
                </c:pt>
                <c:pt idx="3">
                  <c:v>361728</c:v>
                </c:pt>
                <c:pt idx="4">
                  <c:v>411113</c:v>
                </c:pt>
                <c:pt idx="5">
                  <c:v>481107</c:v>
                </c:pt>
                <c:pt idx="6">
                  <c:v>418382</c:v>
                </c:pt>
                <c:pt idx="7">
                  <c:v>410256</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-43364</c:v>
                </c:pt>
                <c:pt idx="1">
                  <c:v>33609</c:v>
                </c:pt>
                <c:pt idx="2">
                  <c:v>-16412</c:v>
                </c:pt>
                <c:pt idx="3">
                  <c:v>-20185</c:v>
                </c:pt>
                <c:pt idx="4">
                  <c:v>13071</c:v>
                </c:pt>
                <c:pt idx="5">
                  <c:v>80286</c:v>
                </c:pt>
                <c:pt idx="6">
                  <c:v>27987</c:v>
                </c:pt>
                <c:pt idx="7">
                  <c:v>31604</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-10655</c:v>
                </c:pt>
                <c:pt idx="1">
                  <c:v>51794</c:v>
                </c:pt>
                <c:pt idx="2">
                  <c:v>-22555</c:v>
                </c:pt>
                <c:pt idx="3">
                  <c:v>1584</c:v>
                </c:pt>
                <c:pt idx="4">
                  <c:v>198839</c:v>
                </c:pt>
                <c:pt idx="5">
                  <c:v>104462</c:v>
                </c:pt>
                <c:pt idx="6">
                  <c:v>22525</c:v>
                </c:pt>
                <c:pt idx="7">
                  <c:v>36089</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0.82021017727186851</c:v>
                </c:pt>
                <c:pt idx="1">
                  <c:v>0.84766998862257636</c:v>
                </c:pt>
                <c:pt idx="2">
                  <c:v>0.82094026201265202</c:v>
                </c:pt>
                <c:pt idx="3">
                  <c:v>0.82202096602972397</c:v>
                </c:pt>
                <c:pt idx="4">
                  <c:v>0.83262022850165285</c:v>
                </c:pt>
                <c:pt idx="5">
                  <c:v>0.84632316719565504</c:v>
                </c:pt>
                <c:pt idx="6">
                  <c:v>0.81612975701631518</c:v>
                </c:pt>
                <c:pt idx="7">
                  <c:v>0.80356899106899105</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-0.12227162888795527</c:v>
                </c:pt>
                <c:pt idx="1">
                  <c:v>7.9332744791642082E-2</c:v>
                </c:pt>
                <c:pt idx="2">
                  <c:v>-4.602045852214097E-2</c:v>
                </c:pt>
                <c:pt idx="3">
                  <c:v>-5.5801596779900917E-2</c:v>
                </c:pt>
                <c:pt idx="4">
                  <c:v>3.1794178242964828E-2</c:v>
                </c:pt>
                <c:pt idx="5">
                  <c:v>0.16687763844633313</c:v>
                </c:pt>
                <c:pt idx="6">
                  <c:v>6.689341319655244E-2</c:v>
                </c:pt>
                <c:pt idx="7">
                  <c:v>7.703482703482703E-2</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-3.0043450922450959E-2</c:v>
                </c:pt>
                <c:pt idx="1">
                  <c:v>0.12225773405154303</c:v>
                </c:pt>
                <c:pt idx="2">
                  <c:v>-6.3245883619722734E-2</c:v>
                </c:pt>
                <c:pt idx="3">
                  <c:v>4.3789808917197451E-3</c:v>
                </c:pt>
                <c:pt idx="4">
                  <c:v>0.48366021020984495</c:v>
                </c:pt>
                <c:pt idx="5">
                  <c:v>0.2171284142612766</c:v>
                </c:pt>
                <c:pt idx="6">
                  <c:v>5.3838358246769698E-2</c:v>
                </c:pt>
                <c:pt idx="7">
                  <c:v>8.7967025467025464E-2</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Licenses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137174</c:v>
                </c:pt>
                <c:pt idx="1">
                  <c:v>197609</c:v>
                </c:pt>
                <c:pt idx="2">
                  <c:v>128286</c:v>
                </c:pt>
                <c:pt idx="3">
                  <c:v>112161</c:v>
                </c:pt>
                <c:pt idx="4">
                  <c:v>150043</c:v>
                </c:pt>
                <c:pt idx="5">
                  <c:v>215904</c:v>
                </c:pt>
                <c:pt idx="6">
                  <c:v>149309</c:v>
                </c:pt>
                <c:pt idx="7">
                  <c:v>123843</c:v>
                </c:pt>
              </c:numCache>
            </c:numRef>
          </c:val>
          <c:extLst>
            <c:ext xmlns:c16="http://schemas.microsoft.com/office/drawing/2014/chart" uri="{C3380CC4-5D6E-409C-BE32-E72D297353CC}">
              <c16:uniqueId val="{00000000-2E19-FD44-9C5E-C1716B02A7E3}"/>
            </c:ext>
          </c:extLst>
        </c:ser>
        <c:ser>
          <c:idx val="1"/>
          <c:order val="1"/>
          <c:tx>
            <c:v>Subscription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206922</c:v>
                </c:pt>
                <c:pt idx="1">
                  <c:v>215221</c:v>
                </c:pt>
                <c:pt idx="2">
                  <c:v>217303</c:v>
                </c:pt>
                <c:pt idx="3">
                  <c:v>238363</c:v>
                </c:pt>
                <c:pt idx="4">
                  <c:v>247573</c:v>
                </c:pt>
                <c:pt idx="5">
                  <c:v>251233</c:v>
                </c:pt>
                <c:pt idx="6">
                  <c:v>252903</c:v>
                </c:pt>
                <c:pt idx="7">
                  <c:v>266067</c:v>
                </c:pt>
              </c:numCache>
            </c:numRef>
          </c:val>
          <c:extLst>
            <c:ext xmlns:c16="http://schemas.microsoft.com/office/drawing/2014/chart" uri="{C3380CC4-5D6E-409C-BE32-E72D297353CC}">
              <c16:uniqueId val="{00000001-2E19-FD44-9C5E-C1716B02A7E3}"/>
            </c:ext>
          </c:extLst>
        </c:ser>
        <c:ser>
          <c:idx val="2"/>
          <c:order val="2"/>
          <c:tx>
            <c:v>Professional</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10557</c:v>
                </c:pt>
                <c:pt idx="1">
                  <c:v>10816</c:v>
                </c:pt>
                <c:pt idx="2">
                  <c:v>11035</c:v>
                </c:pt>
                <c:pt idx="3">
                  <c:v>11204</c:v>
                </c:pt>
                <c:pt idx="4">
                  <c:v>13497</c:v>
                </c:pt>
                <c:pt idx="5">
                  <c:v>13970</c:v>
                </c:pt>
                <c:pt idx="6">
                  <c:v>16170</c:v>
                </c:pt>
                <c:pt idx="7">
                  <c:v>20346</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Quarter'!$C$66:$J$66</c:f>
              <c:numCache>
                <c:formatCode>#,##0_);\(#,##0\)</c:formatCode>
                <c:ptCount val="8"/>
                <c:pt idx="0">
                  <c:v>-64293</c:v>
                </c:pt>
                <c:pt idx="1">
                  <c:v>0</c:v>
                </c:pt>
                <c:pt idx="2">
                  <c:v>29809</c:v>
                </c:pt>
                <c:pt idx="3">
                  <c:v>-36419</c:v>
                </c:pt>
                <c:pt idx="4">
                  <c:v>-46368</c:v>
                </c:pt>
                <c:pt idx="5">
                  <c:v>114462</c:v>
                </c:pt>
                <c:pt idx="6">
                  <c:v>75934</c:v>
                </c:pt>
                <c:pt idx="7">
                  <c:v>-15652</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https://www.bing.com/financeapi/forcetrigger?t=c1dbvh&amp;q=XNYS%3aPATH&amp;form=skydnc</v>
    <v>Learn more on Bing</v>
  </rv>
  <rv s="1">
    <v>0</v>
    <v>UIPATH, INC. (XNYS:PATH)</v>
    <v>2</v>
    <v>3</v>
    <v>Finance</v>
    <v>4</v>
    <v>en-US</v>
    <v>c1dbvh</v>
    <v>268435456</v>
    <v>1</v>
    <v>Powered by Refinitiv</v>
    <v>19.84</v>
    <v>9.2002000000000006</v>
    <v>1.0629999999999999</v>
    <v>-0.155</v>
    <v>-1.1498999999999999E-2</v>
    <v>0</v>
    <v>0</v>
    <v>USD</v>
    <v>UiPath, Inc. is focused on agentic automation and orchestration, empowering enterprises to harness the full potential of AI agents to autonomously execute and optimize complex business processes. It is focused on building and managing automations, starting with computer vision technology and user interface automation in its initial robotic process automation offering. Its AI-powered UiPath Platform offers a robust set of capabilities that allows its customers to discover opportunities for automation, automate using a digital workforce that seamlessly collaborates with humans, and operate a mission-critical automation program at scale. It enables employees to quickly build automations for both existing and new processes and to automate a range of actions including logging into applications, moving folders, filling in forms, reading emails and others. Its platform allows users to design and combine UI automations, API integrations and AI-based document understanding in a single workflow.</v>
    <v>3981</v>
    <v>New York Stock Exchange</v>
    <v>XNYS</v>
    <v>XNYS</v>
    <v>One Vanderbilt Avenue, 60th Floor, NEW YORK, NY, 10017 US</v>
    <v>13.824999999999999</v>
    <v>Software &amp; IT Services</v>
    <v>Stock</v>
    <v>46307.862073425778</v>
    <v>0</v>
    <v>13.11</v>
    <v>6944395705</v>
    <v>UIPATH, INC.</v>
    <v>UIPATH, INC.</v>
    <v>13.64</v>
    <v>19.8703</v>
    <v>13.48</v>
    <v>13.324999999999999</v>
    <v>13.32</v>
    <v>521155400</v>
    <v>PATH</v>
    <v>UIPATH, INC. (XNYS:PATH)</v>
    <v>22817057</v>
    <v>46968664</v>
    <v>2015</v>
  </rv>
  <rv s="2">
    <v>1</v>
  </rv>
  <rv s="0">
    <v>https://www.bing.com/financeapi/forcetrigger?t=a33knm&amp;q=10+Y+TSY+YLD+NDX&amp;form=skydnc</v>
    <v>Learn more on Bing</v>
  </rv>
  <rv s="3">
    <v>5</v>
    <v>10 Y TSY YLD NDX</v>
    <v>6</v>
    <v>7</v>
    <v>Finance</v>
    <v>8</v>
    <v>en-US</v>
    <v>a33knm</v>
    <v>268435456</v>
    <v>1</v>
    <v>Powered by Refinitiv</v>
    <v>53.64</v>
    <v>39.47</v>
    <v>0.13</v>
    <v>2.4849999999999998E-3</v>
    <v>US</v>
    <v>52.8</v>
    <v>Index</v>
    <v>3</v>
    <v>52.34</v>
    <v>10 Y TSY YLD NDX</v>
    <v>52.36</v>
    <v>52.31</v>
    <v>52.44</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4" dT="2026-02-17T21:45:28.65" personId="{A0F62302-F8D3-B346-B5DF-839B413AE710}" id="{22B2B3EF-EBF6-0D4F-BF74-BA371A77FD6F}">
    <text>Actual number</text>
  </threadedComment>
  <threadedComment ref="B116"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 ref="B216" dT="2026-05-20T20:26:42.93" personId="{A0F62302-F8D3-B346-B5DF-839B413AE710}" id="{BD518828-4CC2-0B4C-8B09-D92EFD9BB7AB}">
    <text>Actual value</text>
  </threadedComment>
  <threadedComment ref="B217" dT="2026-05-20T20:26:51.62" personId="{A0F62302-F8D3-B346-B5DF-839B413AE710}" id="{9D8CB7E8-8C73-9749-8D8A-8250F244A2BB}">
    <text>Actual value</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59"/>
  <sheetViews>
    <sheetView tabSelected="1" topLeftCell="B1" zoomScale="160" zoomScaleNormal="160" workbookViewId="0">
      <selection activeCell="B3" sqref="B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16406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55" t="s">
        <v>18</v>
      </c>
      <c r="C2" s="256"/>
      <c r="E2" s="255" t="s">
        <v>329</v>
      </c>
      <c r="F2" s="256"/>
      <c r="H2" s="255" t="s">
        <v>371</v>
      </c>
      <c r="I2" s="256"/>
      <c r="K2" s="153" t="s">
        <v>436</v>
      </c>
    </row>
    <row r="3" spans="2:11" x14ac:dyDescent="0.2">
      <c r="B3" s="202" t="s">
        <v>11</v>
      </c>
      <c r="C3" s="234" t="e" vm="1">
        <v>#VALUE!</v>
      </c>
      <c r="D3" s="2"/>
      <c r="E3" s="202" t="s">
        <v>281</v>
      </c>
      <c r="F3" s="204">
        <f ca="1">Statement!AC153</f>
        <v>6989162.375</v>
      </c>
      <c r="H3" s="202" t="str">
        <f>'AVG target price'!B5</f>
        <v>DCF price</v>
      </c>
      <c r="I3" s="228">
        <f>'AVG target price'!C5</f>
        <v>6.0868928055205176</v>
      </c>
      <c r="K3" s="253" t="s">
        <v>437</v>
      </c>
    </row>
    <row r="4" spans="2:11" x14ac:dyDescent="0.2">
      <c r="B4" s="202" t="s">
        <v>0</v>
      </c>
      <c r="C4" s="206" t="str" cm="1">
        <f t="array" aca="1" ref="C4" ca="1">_FV(C3,"Ticker symbol",TRUE)</f>
        <v>PATH</v>
      </c>
      <c r="E4" s="203" t="s">
        <v>227</v>
      </c>
      <c r="F4" s="205">
        <f ca="1">Statement!AC154</f>
        <v>5584137.375</v>
      </c>
      <c r="H4" s="202" t="str">
        <f>'AVG target price'!B6</f>
        <v>EV/EBIT price</v>
      </c>
      <c r="I4" s="228">
        <f>'AVG target price'!C6</f>
        <v>15.500001157758549</v>
      </c>
      <c r="K4" s="253" t="s">
        <v>438</v>
      </c>
    </row>
    <row r="5" spans="2:11" x14ac:dyDescent="0.2">
      <c r="B5" s="202" t="s">
        <v>1</v>
      </c>
      <c r="C5" s="225" cm="1">
        <f t="array" aca="1" ref="C5" ca="1">_FV(C3,"Price",TRUE)</f>
        <v>13.324999999999999</v>
      </c>
      <c r="E5" s="202" t="s">
        <v>285</v>
      </c>
      <c r="F5" s="207">
        <f>Statement!AC26</f>
        <v>0.67000000000000015</v>
      </c>
      <c r="H5" s="202" t="str">
        <f>'AVG target price'!B7</f>
        <v>PS price</v>
      </c>
      <c r="I5" s="228">
        <f>'AVG target price'!C7</f>
        <v>11.635364421878764</v>
      </c>
      <c r="K5" s="253" t="s">
        <v>439</v>
      </c>
    </row>
    <row r="6" spans="2:11" x14ac:dyDescent="0.2">
      <c r="B6" s="202" t="s">
        <v>2</v>
      </c>
      <c r="C6" s="225" cm="1">
        <f t="array" aca="1" ref="C6" ca="1">_FV(C3,"Price (Extended hours)",TRUE)</f>
        <v>13.32</v>
      </c>
      <c r="E6" s="202" t="s">
        <v>279</v>
      </c>
      <c r="F6" s="207">
        <f ca="1">Statement!AC150</f>
        <v>19.88805970149253</v>
      </c>
      <c r="H6" s="202" t="str">
        <f>'AVG target price'!B8</f>
        <v>EV/FCFF price</v>
      </c>
      <c r="I6" s="228">
        <f>'AVG target price'!C8</f>
        <v>9.9292211427795856</v>
      </c>
      <c r="K6" s="254" t="s">
        <v>440</v>
      </c>
    </row>
    <row r="7" spans="2:11" x14ac:dyDescent="0.2">
      <c r="B7" s="202" t="s">
        <v>3</v>
      </c>
      <c r="C7" s="6" cm="1">
        <f t="array" aca="1" ref="C7" ca="1">_FV(C3,"Change")</f>
        <v>-0.155</v>
      </c>
      <c r="E7" s="203" t="s">
        <v>240</v>
      </c>
      <c r="F7" s="208">
        <f ca="1">Statement!AC151</f>
        <v>4.1332066947127535</v>
      </c>
      <c r="H7" s="202" t="str">
        <f>'AVG target price'!B9</f>
        <v>EV/Sales</v>
      </c>
      <c r="I7" s="228">
        <f>'AVG target price'!C9</f>
        <v>11.620183872158711</v>
      </c>
    </row>
    <row r="8" spans="2:11" x14ac:dyDescent="0.2">
      <c r="B8" s="202" t="s">
        <v>4</v>
      </c>
      <c r="C8" s="6" cm="1">
        <f t="array" aca="1" ref="C8" ca="1">_FV(C3,"Change (extended hours)",TRUE)</f>
        <v>0</v>
      </c>
      <c r="E8" s="202" t="s">
        <v>307</v>
      </c>
      <c r="F8" s="209">
        <f ca="1">Statement!AC161</f>
        <v>1.8367866292418194E-2</v>
      </c>
      <c r="H8" s="201" t="str">
        <f>'AVG target price'!B10</f>
        <v>AVG price</v>
      </c>
      <c r="I8" s="229">
        <f>'AVG target price'!C10</f>
        <v>10.954332680019224</v>
      </c>
    </row>
    <row r="9" spans="2:11" x14ac:dyDescent="0.2">
      <c r="B9" s="202" t="s">
        <v>5</v>
      </c>
      <c r="C9" s="73" cm="1">
        <f t="array" aca="1" ref="C9" ca="1">_FV(C3,"Change (%)",TRUE)</f>
        <v>-1.1498999999999999E-2</v>
      </c>
      <c r="E9" s="202" t="s">
        <v>330</v>
      </c>
      <c r="F9" s="209">
        <f ca="1">Statement!AC162</f>
        <v>5.0281425891182001E-2</v>
      </c>
      <c r="H9" s="201" t="str">
        <f>'AVG target price'!B12</f>
        <v>Upside/Downside</v>
      </c>
      <c r="I9" s="230">
        <f ca="1">'AVG target price'!C12</f>
        <v>-0.17791124352576176</v>
      </c>
    </row>
    <row r="10" spans="2:11" x14ac:dyDescent="0.2">
      <c r="B10" s="202" t="s">
        <v>6</v>
      </c>
      <c r="C10" s="73" cm="1">
        <f t="array" aca="1" ref="C10" ca="1">_FV(C3,"Change % (extended hours)",TRUE)</f>
        <v>0</v>
      </c>
      <c r="E10" s="202" t="s">
        <v>335</v>
      </c>
      <c r="F10" s="209">
        <f ca="1">Statement!AC164</f>
        <v>3.8423488479905288E-2</v>
      </c>
    </row>
    <row r="11" spans="2:11" x14ac:dyDescent="0.2">
      <c r="B11" s="202" t="s">
        <v>7</v>
      </c>
      <c r="C11" s="226" cm="1">
        <f t="array" aca="1" ref="C11" ca="1">_FV(C3,"52 week high",TRUE)</f>
        <v>19.84</v>
      </c>
      <c r="E11" s="203" t="s">
        <v>331</v>
      </c>
      <c r="F11" s="210">
        <f ca="1">Statement!AC163</f>
        <v>0</v>
      </c>
      <c r="H11" s="201" t="s">
        <v>418</v>
      </c>
      <c r="I11" s="229">
        <f>DDM!C26</f>
        <v>0</v>
      </c>
    </row>
    <row r="12" spans="2:11" x14ac:dyDescent="0.2">
      <c r="B12" s="202" t="s">
        <v>8</v>
      </c>
      <c r="C12" s="226" cm="1">
        <f t="array" aca="1" ref="C12" ca="1">_FV(C3,"52 week low",TRUE)</f>
        <v>9.2002000000000006</v>
      </c>
      <c r="E12" s="202" t="s">
        <v>119</v>
      </c>
      <c r="F12" s="209">
        <f>Statement!AC123</f>
        <v>0.12448204853394841</v>
      </c>
    </row>
    <row r="13" spans="2:11" x14ac:dyDescent="0.2">
      <c r="B13" s="202" t="s">
        <v>9</v>
      </c>
      <c r="C13" s="226" cm="1">
        <f t="array" aca="1" ref="C13" ca="1">_FV(C3,"Beta")</f>
        <v>1.0629999999999999</v>
      </c>
      <c r="E13" s="202" t="s">
        <v>121</v>
      </c>
      <c r="F13" s="209">
        <f>Statement!AC125</f>
        <v>0.18573545162533595</v>
      </c>
      <c r="H13" s="201" t="s">
        <v>433</v>
      </c>
      <c r="I13" s="230">
        <f>'Reverse DCF'!C17</f>
        <v>1.4</v>
      </c>
    </row>
    <row r="14" spans="2:11" x14ac:dyDescent="0.2">
      <c r="B14" s="203" t="s">
        <v>10</v>
      </c>
      <c r="C14" s="227" cm="1">
        <f t="array" aca="1" ref="C14" ca="1">_FV(C3,"Volume average",TRUE)</f>
        <v>46968664</v>
      </c>
      <c r="E14" s="203" t="s">
        <v>122</v>
      </c>
      <c r="F14" s="210">
        <f>Statement!AC140</f>
        <v>0.28139960185897273</v>
      </c>
    </row>
    <row r="15" spans="2:11" x14ac:dyDescent="0.2">
      <c r="E15" s="202" t="s">
        <v>332</v>
      </c>
      <c r="F15" s="209">
        <f ca="1">Statement!AC176</f>
        <v>0.20102909685225334</v>
      </c>
    </row>
    <row r="16" spans="2:11" x14ac:dyDescent="0.2">
      <c r="E16" s="203" t="s">
        <v>337</v>
      </c>
      <c r="F16" s="208">
        <f>Statement!AC175</f>
        <v>2.6959777878408766</v>
      </c>
      <c r="H16" s="255" t="s">
        <v>434</v>
      </c>
      <c r="I16" s="256"/>
    </row>
    <row r="17" spans="2:9" x14ac:dyDescent="0.2">
      <c r="B17" s="257" t="s">
        <v>101</v>
      </c>
      <c r="C17" s="257"/>
      <c r="E17" s="201" t="s">
        <v>338</v>
      </c>
      <c r="F17" s="211">
        <f>Statement!AC171</f>
        <v>0.2226990648503856</v>
      </c>
      <c r="H17" s="202" t="s">
        <v>204</v>
      </c>
      <c r="I17" s="251">
        <f>DCF!C15</f>
        <v>0.1</v>
      </c>
    </row>
    <row r="18" spans="2:9" x14ac:dyDescent="0.2">
      <c r="B18" s="201" t="s">
        <v>12</v>
      </c>
      <c r="C18" s="69" t="s">
        <v>14</v>
      </c>
      <c r="E18" s="202" t="s">
        <v>339</v>
      </c>
      <c r="F18" s="207">
        <f>Statement!AC144</f>
        <v>45.101495784048865</v>
      </c>
      <c r="H18" s="203" t="s">
        <v>435</v>
      </c>
      <c r="I18" s="252">
        <f>Multiples!C54</f>
        <v>0.12</v>
      </c>
    </row>
    <row r="19" spans="2:9" x14ac:dyDescent="0.2">
      <c r="B19" s="201" t="s">
        <v>13</v>
      </c>
      <c r="C19" s="70">
        <v>1000</v>
      </c>
      <c r="E19" s="202" t="s">
        <v>300</v>
      </c>
      <c r="F19" s="207">
        <f>Statement!AC146</f>
        <v>-0.72106144514564929</v>
      </c>
    </row>
    <row r="20" spans="2:9" x14ac:dyDescent="0.2">
      <c r="B20" s="201" t="s">
        <v>102</v>
      </c>
      <c r="C20" s="69" t="s">
        <v>103</v>
      </c>
      <c r="E20" s="203" t="s">
        <v>340</v>
      </c>
      <c r="F20" s="208">
        <f>Statement!AC147</f>
        <v>2.1209291205537757</v>
      </c>
    </row>
    <row r="21" spans="2:9" x14ac:dyDescent="0.2">
      <c r="B21" s="201" t="s">
        <v>104</v>
      </c>
      <c r="C21" s="69" t="s">
        <v>105</v>
      </c>
      <c r="I21" s="50"/>
    </row>
    <row r="22" spans="2:9" x14ac:dyDescent="0.2">
      <c r="B22" s="201" t="s">
        <v>106</v>
      </c>
      <c r="C22" s="69" t="s">
        <v>105</v>
      </c>
    </row>
    <row r="25" spans="2:9" x14ac:dyDescent="0.2">
      <c r="B25" s="257" t="s">
        <v>124</v>
      </c>
      <c r="C25" s="257"/>
      <c r="E25" s="255" t="s">
        <v>391</v>
      </c>
      <c r="F25" s="256"/>
    </row>
    <row r="26" spans="2:9" x14ac:dyDescent="0.2">
      <c r="B26" s="201" t="s">
        <v>125</v>
      </c>
      <c r="C26" s="187">
        <v>0.21</v>
      </c>
      <c r="E26" s="202" t="e" vm="2">
        <v>#VALUE!</v>
      </c>
      <c r="F26" s="236" cm="1">
        <f t="array" aca="1" ref="F26" ca="1">_FV(E26,"Price")</f>
        <v>52.44</v>
      </c>
    </row>
    <row r="27" spans="2:9" x14ac:dyDescent="0.2">
      <c r="B27" s="201" t="s">
        <v>211</v>
      </c>
      <c r="C27" s="238">
        <v>0</v>
      </c>
      <c r="E27" s="203" t="s">
        <v>392</v>
      </c>
      <c r="F27" s="237">
        <f ca="1">F26/1000</f>
        <v>5.2440000000000001E-2</v>
      </c>
    </row>
    <row r="28" spans="2:9" x14ac:dyDescent="0.2">
      <c r="B28" s="201" t="s">
        <v>396</v>
      </c>
      <c r="C28" s="238">
        <v>0.1</v>
      </c>
    </row>
    <row r="29" spans="2:9" x14ac:dyDescent="0.2">
      <c r="B29" s="201" t="s">
        <v>408</v>
      </c>
      <c r="C29" s="238">
        <v>0.12</v>
      </c>
    </row>
    <row r="33" spans="2:8" x14ac:dyDescent="0.2">
      <c r="B33" s="153" t="s">
        <v>381</v>
      </c>
      <c r="C33" s="153"/>
      <c r="D33" s="153"/>
      <c r="E33" s="153"/>
      <c r="F33" s="153"/>
      <c r="G33" s="153"/>
      <c r="H33" s="153"/>
    </row>
    <row r="35" spans="2:8" x14ac:dyDescent="0.2">
      <c r="B35" s="16" t="s">
        <v>382</v>
      </c>
      <c r="C35" s="1" t="s">
        <v>387</v>
      </c>
    </row>
    <row r="36" spans="2:8" x14ac:dyDescent="0.2">
      <c r="B36" s="16" t="s">
        <v>383</v>
      </c>
      <c r="C36" s="1" t="s">
        <v>386</v>
      </c>
    </row>
    <row r="39" spans="2:8" ht="6" customHeight="1" x14ac:dyDescent="0.2">
      <c r="B39" s="153"/>
      <c r="C39" s="153"/>
      <c r="D39" s="153"/>
      <c r="E39" s="153"/>
      <c r="F39" s="153"/>
      <c r="G39" s="153"/>
      <c r="H39" s="153"/>
    </row>
    <row r="42" spans="2:8" x14ac:dyDescent="0.2">
      <c r="B42" s="153" t="s">
        <v>384</v>
      </c>
      <c r="C42" s="153"/>
      <c r="D42" s="153"/>
      <c r="E42" s="153"/>
      <c r="F42" s="153"/>
      <c r="G42" s="153"/>
      <c r="H42" s="153"/>
    </row>
    <row r="44" spans="2:8" x14ac:dyDescent="0.2">
      <c r="B44" s="41" t="s">
        <v>385</v>
      </c>
      <c r="C44" s="41" t="s">
        <v>421</v>
      </c>
      <c r="D44" s="41"/>
      <c r="E44" s="41" t="s">
        <v>419</v>
      </c>
    </row>
    <row r="45" spans="2:8" x14ac:dyDescent="0.2">
      <c r="B45" s="1" t="s">
        <v>422</v>
      </c>
      <c r="C45" s="1" t="s">
        <v>423</v>
      </c>
    </row>
    <row r="46" spans="2:8" x14ac:dyDescent="0.2">
      <c r="B46" s="1" t="s">
        <v>422</v>
      </c>
      <c r="C46" s="1" t="s">
        <v>424</v>
      </c>
    </row>
    <row r="49" spans="2:8" ht="5" customHeight="1" x14ac:dyDescent="0.2">
      <c r="B49" s="153"/>
      <c r="C49" s="153"/>
      <c r="D49" s="153"/>
      <c r="E49" s="153"/>
      <c r="F49" s="153"/>
      <c r="G49" s="153"/>
      <c r="H49" s="153"/>
    </row>
    <row r="52" spans="2:8" x14ac:dyDescent="0.2">
      <c r="B52" s="153" t="s">
        <v>126</v>
      </c>
      <c r="C52" s="153"/>
      <c r="D52" s="153"/>
      <c r="E52" s="153"/>
      <c r="F52" s="153"/>
      <c r="G52" s="153"/>
      <c r="H52" s="153"/>
    </row>
    <row r="54" spans="2:8" x14ac:dyDescent="0.2">
      <c r="B54" s="41" t="s">
        <v>385</v>
      </c>
      <c r="C54" s="41" t="s">
        <v>372</v>
      </c>
      <c r="D54" s="41"/>
      <c r="E54" s="41" t="s">
        <v>373</v>
      </c>
    </row>
    <row r="59" spans="2:8" ht="5" customHeight="1" x14ac:dyDescent="0.2">
      <c r="B59" s="153"/>
      <c r="C59" s="153"/>
      <c r="D59" s="153"/>
      <c r="E59" s="153"/>
      <c r="F59" s="153"/>
      <c r="G59" s="153"/>
      <c r="H59" s="153"/>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07A374E3-A90C-C541-BD83-0654A3D02307}"/>
    <hyperlink ref="K4" location="'Analysis -&gt;'!B13" display="'Analysis -&gt;'!B13" xr:uid="{5E6B57E8-C262-AE48-869D-CDD3B301EEE2}"/>
    <hyperlink ref="K5" location="'Forecast -&gt;'!B13" display="'Forecast -&gt;'!B13" xr:uid="{AA5F9CEA-31B2-764E-8F02-A27DAE03F15E}"/>
    <hyperlink ref="K6" location="'Valuation -&gt;'!B13" display="'Valuation -&gt;'!B13" xr:uid="{DCBD3BE1-7BD3-EA45-A5B8-9E5F9A6B38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33203125" style="1" customWidth="1"/>
    <col min="9" max="16384" width="10.83203125" style="1"/>
  </cols>
  <sheetData>
    <row r="5" spans="2:8" x14ac:dyDescent="0.2">
      <c r="H5" s="153" t="s">
        <v>436</v>
      </c>
    </row>
    <row r="6" spans="2:8" x14ac:dyDescent="0.2">
      <c r="H6" s="253" t="s">
        <v>441</v>
      </c>
    </row>
    <row r="7" spans="2:8" x14ac:dyDescent="0.2">
      <c r="H7" s="253" t="s">
        <v>437</v>
      </c>
    </row>
    <row r="8" spans="2:8" x14ac:dyDescent="0.2">
      <c r="H8" s="253" t="s">
        <v>438</v>
      </c>
    </row>
    <row r="9" spans="2:8" x14ac:dyDescent="0.2">
      <c r="H9" s="253" t="s">
        <v>439</v>
      </c>
    </row>
    <row r="10" spans="2:8" x14ac:dyDescent="0.2">
      <c r="H10" s="254" t="s">
        <v>440</v>
      </c>
    </row>
    <row r="13" spans="2:8" s="4" customFormat="1" ht="49" x14ac:dyDescent="0.2">
      <c r="B13" s="3" t="s">
        <v>15</v>
      </c>
    </row>
  </sheetData>
  <hyperlinks>
    <hyperlink ref="H6" location="Overview!B3" display="Overview'!B3" xr:uid="{ABC91E57-74F5-F947-881A-74D7B468126D}"/>
    <hyperlink ref="H8" location="'Analysis -&gt;'!B13" display="'Analysis -&gt;'!B13" xr:uid="{7D780858-565A-AA45-AA40-5ACC73A0F661}"/>
    <hyperlink ref="H9" location="'Forecast -&gt;'!B13" display="'Forecast -&gt;'!B13" xr:uid="{2B957273-5E1D-AD4F-BA8D-3F533013EA14}"/>
    <hyperlink ref="H10" location="'Valuation -&gt;'!B13" display="'Valuation -&gt;'!B13" xr:uid="{C9DC62F4-1FB6-8E4D-8933-496B7E82272E}"/>
    <hyperlink ref="H7" location="'Financials -&gt;'!B13" display="'Financials -&gt;'!B13" xr:uid="{A6C56304-CFA6-F649-98A4-DE698827E2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18"/>
  <sheetViews>
    <sheetView zoomScale="170" zoomScaleNormal="150" workbookViewId="0">
      <pane xSplit="2" ySplit="3" topLeftCell="Y151" activePane="bottomRight" state="frozen"/>
      <selection pane="topRight" activeCell="C1" sqref="C1"/>
      <selection pane="bottomLeft" activeCell="A4" sqref="A4"/>
      <selection pane="bottomRight" activeCell="AC158" sqref="AC158"/>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16</v>
      </c>
      <c r="C2" s="9"/>
      <c r="D2" s="9"/>
      <c r="E2" s="9"/>
      <c r="F2" s="9"/>
      <c r="G2" s="9"/>
      <c r="H2" s="9"/>
      <c r="I2" s="9"/>
      <c r="M2" s="10" t="s">
        <v>90</v>
      </c>
      <c r="N2" s="10" t="s">
        <v>89</v>
      </c>
      <c r="O2" s="10" t="s">
        <v>88</v>
      </c>
      <c r="P2" s="10" t="s">
        <v>87</v>
      </c>
      <c r="Q2" s="10" t="s">
        <v>86</v>
      </c>
      <c r="R2" s="7"/>
      <c r="S2" s="7"/>
      <c r="T2" s="10" t="s">
        <v>95</v>
      </c>
      <c r="U2" s="10" t="s">
        <v>87</v>
      </c>
      <c r="V2" s="10" t="s">
        <v>99</v>
      </c>
      <c r="W2" s="10" t="s">
        <v>97</v>
      </c>
      <c r="X2" s="10" t="s">
        <v>93</v>
      </c>
      <c r="Y2" s="10" t="s">
        <v>86</v>
      </c>
      <c r="Z2" s="10" t="s">
        <v>372</v>
      </c>
      <c r="AA2" s="10" t="s">
        <v>420</v>
      </c>
      <c r="AB2" s="7"/>
      <c r="AD2" s="7"/>
      <c r="AE2" s="7"/>
    </row>
    <row r="3" spans="1:31" s="13" customFormat="1" x14ac:dyDescent="0.2">
      <c r="A3" s="11"/>
      <c r="B3" s="12" t="s">
        <v>17</v>
      </c>
      <c r="M3" s="13">
        <v>2022</v>
      </c>
      <c r="N3" s="13">
        <v>2023</v>
      </c>
      <c r="O3" s="13">
        <v>2024</v>
      </c>
      <c r="P3" s="13">
        <v>2025</v>
      </c>
      <c r="Q3" s="13">
        <v>2026</v>
      </c>
      <c r="R3" s="11"/>
      <c r="S3" s="11"/>
      <c r="T3" s="10" t="s">
        <v>96</v>
      </c>
      <c r="U3" s="10" t="s">
        <v>92</v>
      </c>
      <c r="V3" s="10" t="s">
        <v>100</v>
      </c>
      <c r="W3" s="10" t="s">
        <v>98</v>
      </c>
      <c r="X3" s="10" t="s">
        <v>94</v>
      </c>
      <c r="Y3" s="10" t="s">
        <v>91</v>
      </c>
      <c r="Z3" s="10" t="s">
        <v>373</v>
      </c>
      <c r="AA3" s="10" t="s">
        <v>419</v>
      </c>
      <c r="AB3" s="11"/>
      <c r="AC3" s="59" t="s">
        <v>85</v>
      </c>
      <c r="AD3" s="11"/>
      <c r="AE3" s="11"/>
    </row>
    <row r="4" spans="1:31" s="15" customFormat="1" ht="17" thickBot="1" x14ac:dyDescent="0.25">
      <c r="A4" s="11"/>
      <c r="B4" s="14" t="s">
        <v>19</v>
      </c>
      <c r="R4" s="11"/>
      <c r="S4" s="11"/>
      <c r="AB4" s="11"/>
      <c r="AD4" s="11"/>
      <c r="AE4" s="11"/>
    </row>
    <row r="5" spans="1:31" s="19" customFormat="1" x14ac:dyDescent="0.2">
      <c r="A5" s="16"/>
      <c r="B5" s="17" t="s">
        <v>20</v>
      </c>
      <c r="C5" s="18"/>
      <c r="D5" s="18"/>
      <c r="E5" s="18"/>
      <c r="F5" s="18"/>
      <c r="G5" s="18"/>
      <c r="H5" s="18"/>
      <c r="I5" s="18"/>
      <c r="J5" s="18"/>
      <c r="K5" s="18"/>
      <c r="L5" s="18"/>
      <c r="M5" s="18">
        <v>892252</v>
      </c>
      <c r="N5" s="18">
        <v>1058581</v>
      </c>
      <c r="O5" s="18">
        <v>1308072</v>
      </c>
      <c r="P5" s="18">
        <v>1429664</v>
      </c>
      <c r="Q5" s="18">
        <v>1610572</v>
      </c>
      <c r="R5" s="16"/>
      <c r="S5" s="16"/>
      <c r="T5" s="18">
        <v>354653</v>
      </c>
      <c r="U5" s="18">
        <v>423646</v>
      </c>
      <c r="V5" s="18">
        <v>356624</v>
      </c>
      <c r="W5" s="18">
        <v>361728</v>
      </c>
      <c r="X5" s="18">
        <v>411113</v>
      </c>
      <c r="Y5" s="18">
        <v>481107</v>
      </c>
      <c r="Z5" s="18">
        <v>418382</v>
      </c>
      <c r="AA5" s="18">
        <v>410256</v>
      </c>
      <c r="AB5" s="16"/>
      <c r="AC5" s="18">
        <f>SUM(X5:AA5)</f>
        <v>1720858</v>
      </c>
      <c r="AD5" s="16"/>
      <c r="AE5" s="16"/>
    </row>
    <row r="6" spans="1:31" x14ac:dyDescent="0.2">
      <c r="B6" s="20" t="s">
        <v>21</v>
      </c>
      <c r="C6" s="21"/>
      <c r="D6" s="21"/>
      <c r="E6" s="21"/>
      <c r="F6" s="21"/>
      <c r="G6" s="21"/>
      <c r="H6" s="21"/>
      <c r="I6" s="21"/>
      <c r="J6" s="21"/>
      <c r="K6" s="21"/>
      <c r="L6" s="21"/>
      <c r="M6" s="21">
        <v>168868</v>
      </c>
      <c r="N6" s="21">
        <v>180051</v>
      </c>
      <c r="O6" s="21">
        <v>195924</v>
      </c>
      <c r="P6" s="21">
        <v>246942</v>
      </c>
      <c r="Q6" s="21">
        <v>270984</v>
      </c>
      <c r="T6" s="21">
        <v>63763</v>
      </c>
      <c r="U6" s="21">
        <v>64534</v>
      </c>
      <c r="V6" s="21">
        <v>63857</v>
      </c>
      <c r="W6" s="21">
        <v>64380</v>
      </c>
      <c r="X6" s="21">
        <v>68812</v>
      </c>
      <c r="Y6" s="21">
        <v>73935</v>
      </c>
      <c r="Z6" s="21">
        <v>76928</v>
      </c>
      <c r="AA6" s="21">
        <v>80587</v>
      </c>
      <c r="AC6" s="21">
        <f t="shared" ref="AC6:AC18" si="0">SUM(X6:AA6)</f>
        <v>300262</v>
      </c>
    </row>
    <row r="7" spans="1:31" s="19" customFormat="1" x14ac:dyDescent="0.2">
      <c r="A7" s="16"/>
      <c r="B7" s="17" t="s">
        <v>22</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723384</v>
      </c>
      <c r="N7" s="22">
        <f t="shared" si="1"/>
        <v>878530</v>
      </c>
      <c r="O7" s="22">
        <f t="shared" si="1"/>
        <v>1112148</v>
      </c>
      <c r="P7" s="22">
        <f t="shared" si="1"/>
        <v>1182722</v>
      </c>
      <c r="Q7" s="22">
        <f t="shared" si="1"/>
        <v>1339588</v>
      </c>
      <c r="R7" s="16"/>
      <c r="S7" s="16"/>
      <c r="T7" s="22">
        <f t="shared" ref="T7:Y7" si="2">T5-T6</f>
        <v>290890</v>
      </c>
      <c r="U7" s="22">
        <f t="shared" si="2"/>
        <v>359112</v>
      </c>
      <c r="V7" s="22">
        <f t="shared" si="2"/>
        <v>292767</v>
      </c>
      <c r="W7" s="22">
        <f t="shared" si="2"/>
        <v>297348</v>
      </c>
      <c r="X7" s="22">
        <f t="shared" si="2"/>
        <v>342301</v>
      </c>
      <c r="Y7" s="22">
        <f t="shared" si="2"/>
        <v>407172</v>
      </c>
      <c r="Z7" s="22">
        <f t="shared" ref="Z7:AA7" si="3">Z5-Z6</f>
        <v>341454</v>
      </c>
      <c r="AA7" s="22">
        <f t="shared" si="3"/>
        <v>329669</v>
      </c>
      <c r="AB7" s="16"/>
      <c r="AC7" s="22">
        <f t="shared" si="0"/>
        <v>1420596</v>
      </c>
      <c r="AD7" s="16"/>
      <c r="AE7" s="16"/>
    </row>
    <row r="8" spans="1:31" x14ac:dyDescent="0.2">
      <c r="B8" s="20" t="s">
        <v>24</v>
      </c>
      <c r="C8" s="21"/>
      <c r="D8" s="21"/>
      <c r="E8" s="21"/>
      <c r="F8" s="21"/>
      <c r="G8" s="21"/>
      <c r="H8" s="21"/>
      <c r="I8" s="21"/>
      <c r="J8" s="21"/>
      <c r="K8" s="21"/>
      <c r="L8" s="21"/>
      <c r="M8" s="21">
        <v>697682</v>
      </c>
      <c r="N8" s="21">
        <v>701558</v>
      </c>
      <c r="O8" s="21">
        <v>713130</v>
      </c>
      <c r="P8" s="21">
        <v>738493</v>
      </c>
      <c r="Q8" s="21">
        <v>683329</v>
      </c>
      <c r="T8" s="21">
        <v>187188</v>
      </c>
      <c r="U8" s="21">
        <v>176836</v>
      </c>
      <c r="V8" s="21">
        <v>159661</v>
      </c>
      <c r="W8" s="21">
        <v>166303</v>
      </c>
      <c r="X8" s="21">
        <v>179186</v>
      </c>
      <c r="Y8" s="21">
        <v>178179</v>
      </c>
      <c r="Z8" s="21">
        <v>167859</v>
      </c>
      <c r="AA8" s="21">
        <v>164606</v>
      </c>
      <c r="AC8" s="21">
        <f t="shared" si="0"/>
        <v>689830</v>
      </c>
    </row>
    <row r="9" spans="1:31" x14ac:dyDescent="0.2">
      <c r="B9" s="20" t="s">
        <v>23</v>
      </c>
      <c r="C9" s="21"/>
      <c r="D9" s="21"/>
      <c r="E9" s="21"/>
      <c r="F9" s="21"/>
      <c r="G9" s="21"/>
      <c r="H9" s="21"/>
      <c r="I9" s="21"/>
      <c r="J9" s="21"/>
      <c r="K9" s="21"/>
      <c r="L9" s="21"/>
      <c r="M9" s="21">
        <v>276657</v>
      </c>
      <c r="N9" s="21">
        <v>285750</v>
      </c>
      <c r="O9" s="21">
        <v>332101</v>
      </c>
      <c r="P9" s="21">
        <v>380682</v>
      </c>
      <c r="Q9" s="21">
        <v>385208</v>
      </c>
      <c r="T9" s="21">
        <v>96976</v>
      </c>
      <c r="U9" s="21">
        <v>99670</v>
      </c>
      <c r="V9" s="21">
        <v>94839</v>
      </c>
      <c r="W9" s="21">
        <v>98341</v>
      </c>
      <c r="X9" s="21">
        <v>96869</v>
      </c>
      <c r="Y9" s="21">
        <v>95159</v>
      </c>
      <c r="Z9" s="21">
        <v>92902</v>
      </c>
      <c r="AA9" s="21">
        <v>83393</v>
      </c>
      <c r="AC9" s="21">
        <f t="shared" si="0"/>
        <v>368323</v>
      </c>
    </row>
    <row r="10" spans="1:31" x14ac:dyDescent="0.2">
      <c r="B10" s="23" t="s">
        <v>25</v>
      </c>
      <c r="C10" s="21"/>
      <c r="D10" s="21"/>
      <c r="E10" s="21"/>
      <c r="F10" s="21"/>
      <c r="G10" s="21"/>
      <c r="H10" s="21"/>
      <c r="I10" s="21"/>
      <c r="J10" s="21"/>
      <c r="K10" s="21"/>
      <c r="L10" s="21"/>
      <c r="M10" s="21">
        <v>249991</v>
      </c>
      <c r="N10" s="21">
        <v>239505</v>
      </c>
      <c r="O10" s="21">
        <v>231637</v>
      </c>
      <c r="P10" s="21">
        <v>226116</v>
      </c>
      <c r="Q10" s="21">
        <v>214291</v>
      </c>
      <c r="T10" s="21">
        <v>50090</v>
      </c>
      <c r="U10" s="21">
        <v>48997</v>
      </c>
      <c r="V10" s="21">
        <v>54679</v>
      </c>
      <c r="W10" s="21">
        <v>52889</v>
      </c>
      <c r="X10" s="21">
        <v>53175</v>
      </c>
      <c r="Y10" s="21">
        <v>53548</v>
      </c>
      <c r="Z10" s="21">
        <v>52706</v>
      </c>
      <c r="AA10" s="21">
        <v>50066</v>
      </c>
      <c r="AC10" s="21">
        <f t="shared" si="0"/>
        <v>209495</v>
      </c>
    </row>
    <row r="11" spans="1:31" x14ac:dyDescent="0.2">
      <c r="B11" s="23" t="s">
        <v>26</v>
      </c>
      <c r="C11" s="24">
        <f t="shared" ref="C11:Q11" si="4">SUM(C8:C10)</f>
        <v>0</v>
      </c>
      <c r="D11" s="24">
        <f t="shared" si="4"/>
        <v>0</v>
      </c>
      <c r="E11" s="24">
        <f t="shared" si="4"/>
        <v>0</v>
      </c>
      <c r="F11" s="24">
        <f t="shared" si="4"/>
        <v>0</v>
      </c>
      <c r="G11" s="24">
        <f t="shared" si="4"/>
        <v>0</v>
      </c>
      <c r="H11" s="24">
        <f t="shared" si="4"/>
        <v>0</v>
      </c>
      <c r="I11" s="24">
        <f t="shared" si="4"/>
        <v>0</v>
      </c>
      <c r="J11" s="24">
        <f t="shared" si="4"/>
        <v>0</v>
      </c>
      <c r="K11" s="24">
        <f t="shared" si="4"/>
        <v>0</v>
      </c>
      <c r="L11" s="24">
        <f t="shared" si="4"/>
        <v>0</v>
      </c>
      <c r="M11" s="24">
        <f t="shared" si="4"/>
        <v>1224330</v>
      </c>
      <c r="N11" s="24">
        <f t="shared" si="4"/>
        <v>1226813</v>
      </c>
      <c r="O11" s="24">
        <f t="shared" si="4"/>
        <v>1276868</v>
      </c>
      <c r="P11" s="24">
        <f t="shared" si="4"/>
        <v>1345291</v>
      </c>
      <c r="Q11" s="24">
        <f t="shared" si="4"/>
        <v>1282828</v>
      </c>
      <c r="T11" s="24">
        <f t="shared" ref="T11" si="5">SUM(T8:T10)</f>
        <v>334254</v>
      </c>
      <c r="U11" s="24">
        <f t="shared" ref="U11" si="6">SUM(U8:U10)</f>
        <v>325503</v>
      </c>
      <c r="V11" s="24">
        <f t="shared" ref="V11" si="7">SUM(V8:V10)</f>
        <v>309179</v>
      </c>
      <c r="W11" s="24">
        <f t="shared" ref="W11" si="8">SUM(W8:W10)</f>
        <v>317533</v>
      </c>
      <c r="X11" s="24">
        <f t="shared" ref="X11:Z11" si="9">SUM(X8:X10)</f>
        <v>329230</v>
      </c>
      <c r="Y11" s="24">
        <f t="shared" si="9"/>
        <v>326886</v>
      </c>
      <c r="Z11" s="24">
        <f t="shared" si="9"/>
        <v>313467</v>
      </c>
      <c r="AA11" s="24">
        <f t="shared" ref="AA11" si="10">SUM(AA8:AA10)</f>
        <v>298065</v>
      </c>
      <c r="AC11" s="24">
        <f t="shared" si="0"/>
        <v>1267648</v>
      </c>
    </row>
    <row r="12" spans="1:31" s="19" customFormat="1" x14ac:dyDescent="0.2">
      <c r="A12" s="16"/>
      <c r="B12" s="17" t="s">
        <v>27</v>
      </c>
      <c r="C12" s="18"/>
      <c r="D12" s="18"/>
      <c r="E12" s="18"/>
      <c r="F12" s="18"/>
      <c r="G12" s="18"/>
      <c r="H12" s="18"/>
      <c r="I12" s="18"/>
      <c r="J12" s="18"/>
      <c r="K12" s="18"/>
      <c r="L12" s="18"/>
      <c r="M12" s="61">
        <v>-500946</v>
      </c>
      <c r="N12" s="61">
        <v>-348283</v>
      </c>
      <c r="O12" s="61">
        <v>-164720</v>
      </c>
      <c r="P12" s="61">
        <v>-162569</v>
      </c>
      <c r="Q12" s="18">
        <v>56760</v>
      </c>
      <c r="R12" s="16"/>
      <c r="S12" s="16"/>
      <c r="T12" s="61">
        <v>-43364</v>
      </c>
      <c r="U12" s="18">
        <v>33609</v>
      </c>
      <c r="V12" s="61">
        <v>-16412</v>
      </c>
      <c r="W12" s="61">
        <v>-20185</v>
      </c>
      <c r="X12" s="18">
        <v>13071</v>
      </c>
      <c r="Y12" s="18">
        <v>80286</v>
      </c>
      <c r="Z12" s="18">
        <v>27987</v>
      </c>
      <c r="AA12" s="18">
        <v>31604</v>
      </c>
      <c r="AB12" s="1"/>
      <c r="AC12" s="18">
        <f t="shared" si="0"/>
        <v>152948</v>
      </c>
      <c r="AD12" s="1"/>
      <c r="AE12" s="1"/>
    </row>
    <row r="13" spans="1:31" x14ac:dyDescent="0.2">
      <c r="B13" s="23" t="s">
        <v>28</v>
      </c>
      <c r="C13" s="21"/>
      <c r="D13" s="21"/>
      <c r="E13" s="21"/>
      <c r="F13" s="21"/>
      <c r="G13" s="21"/>
      <c r="H13" s="21"/>
      <c r="I13" s="21"/>
      <c r="J13" s="21"/>
      <c r="K13" s="21"/>
      <c r="L13" s="21"/>
      <c r="M13" s="21">
        <v>3551</v>
      </c>
      <c r="N13" s="21">
        <v>27955</v>
      </c>
      <c r="O13" s="62">
        <v>57130</v>
      </c>
      <c r="P13" s="62">
        <v>49422</v>
      </c>
      <c r="Q13" s="62">
        <v>48023</v>
      </c>
      <c r="T13" s="62">
        <v>10055</v>
      </c>
      <c r="U13" s="62">
        <v>12167</v>
      </c>
      <c r="V13" s="62">
        <v>12648</v>
      </c>
      <c r="W13" s="62">
        <v>12004</v>
      </c>
      <c r="X13" s="62">
        <v>11701</v>
      </c>
      <c r="Y13" s="62">
        <v>11670</v>
      </c>
      <c r="Z13" s="62">
        <v>10401</v>
      </c>
      <c r="AA13" s="62">
        <v>10769</v>
      </c>
      <c r="AC13" s="62">
        <f t="shared" si="0"/>
        <v>44541</v>
      </c>
    </row>
    <row r="14" spans="1:31" x14ac:dyDescent="0.2">
      <c r="B14" s="23" t="s">
        <v>29</v>
      </c>
      <c r="C14" s="21"/>
      <c r="D14" s="21"/>
      <c r="E14" s="21"/>
      <c r="F14" s="21"/>
      <c r="G14" s="21"/>
      <c r="H14" s="21"/>
      <c r="I14" s="21"/>
      <c r="J14" s="21"/>
      <c r="K14" s="21"/>
      <c r="L14" s="21"/>
      <c r="M14" s="62">
        <v>-13488</v>
      </c>
      <c r="N14" s="21">
        <v>2767</v>
      </c>
      <c r="O14" s="62">
        <v>31775</v>
      </c>
      <c r="P14" s="62">
        <v>35047</v>
      </c>
      <c r="Q14" s="62">
        <v>-4155</v>
      </c>
      <c r="T14" s="62">
        <v>7810</v>
      </c>
      <c r="U14" s="62">
        <v>8848</v>
      </c>
      <c r="V14" s="62">
        <v>-15964</v>
      </c>
      <c r="W14" s="62">
        <v>11508</v>
      </c>
      <c r="X14" s="62">
        <v>-180</v>
      </c>
      <c r="Y14" s="62">
        <v>481</v>
      </c>
      <c r="Z14" s="62">
        <v>2580</v>
      </c>
      <c r="AA14" s="62">
        <v>10482</v>
      </c>
      <c r="AC14" s="62">
        <f t="shared" si="0"/>
        <v>13363</v>
      </c>
    </row>
    <row r="15" spans="1:31" s="19" customFormat="1" x14ac:dyDescent="0.2">
      <c r="A15" s="16"/>
      <c r="B15" s="17" t="s">
        <v>30</v>
      </c>
      <c r="C15" s="18"/>
      <c r="D15" s="18"/>
      <c r="E15" s="18"/>
      <c r="F15" s="18"/>
      <c r="G15" s="18"/>
      <c r="H15" s="18"/>
      <c r="I15" s="18"/>
      <c r="J15" s="18"/>
      <c r="K15" s="18"/>
      <c r="L15" s="18"/>
      <c r="M15" s="61">
        <v>-510883</v>
      </c>
      <c r="N15" s="61">
        <v>-317561</v>
      </c>
      <c r="O15" s="61">
        <v>-75815</v>
      </c>
      <c r="P15" s="61">
        <v>-78100</v>
      </c>
      <c r="Q15" s="18">
        <v>100628</v>
      </c>
      <c r="R15" s="1"/>
      <c r="S15" s="1"/>
      <c r="T15" s="61">
        <v>-25499</v>
      </c>
      <c r="U15" s="18">
        <v>54624</v>
      </c>
      <c r="V15" s="61">
        <v>-19728</v>
      </c>
      <c r="W15" s="18">
        <v>3327</v>
      </c>
      <c r="X15" s="18">
        <v>24592</v>
      </c>
      <c r="Y15" s="18">
        <v>92437</v>
      </c>
      <c r="Z15" s="18">
        <v>40968</v>
      </c>
      <c r="AA15" s="18">
        <v>52855</v>
      </c>
      <c r="AB15" s="1"/>
      <c r="AC15" s="18">
        <f t="shared" si="0"/>
        <v>210852</v>
      </c>
      <c r="AD15" s="1"/>
      <c r="AE15" s="1"/>
    </row>
    <row r="16" spans="1:31" x14ac:dyDescent="0.2">
      <c r="B16" s="23" t="s">
        <v>31</v>
      </c>
      <c r="C16" s="21"/>
      <c r="D16" s="21"/>
      <c r="E16" s="21"/>
      <c r="F16" s="21"/>
      <c r="G16" s="21"/>
      <c r="H16" s="21"/>
      <c r="I16" s="21"/>
      <c r="J16" s="21"/>
      <c r="K16" s="21"/>
      <c r="L16" s="21"/>
      <c r="M16" s="62">
        <v>-14703</v>
      </c>
      <c r="N16" s="62">
        <v>-10791</v>
      </c>
      <c r="O16" s="62">
        <v>-14068</v>
      </c>
      <c r="P16" s="62">
        <v>4406</v>
      </c>
      <c r="Q16" s="62">
        <v>181702</v>
      </c>
      <c r="T16" s="62">
        <v>14844</v>
      </c>
      <c r="U16" s="62">
        <v>-2830</v>
      </c>
      <c r="V16" s="62">
        <v>-2827</v>
      </c>
      <c r="W16" s="62">
        <v>-1743</v>
      </c>
      <c r="X16" s="62">
        <v>174247</v>
      </c>
      <c r="Y16" s="62">
        <v>12025</v>
      </c>
      <c r="Z16" s="62">
        <v>-18443</v>
      </c>
      <c r="AA16" s="62">
        <v>-16766</v>
      </c>
      <c r="AC16" s="62">
        <f t="shared" si="0"/>
        <v>151063</v>
      </c>
    </row>
    <row r="17" spans="1:31" x14ac:dyDescent="0.2">
      <c r="B17" s="23" t="s">
        <v>374</v>
      </c>
      <c r="C17" s="21"/>
      <c r="D17" s="21"/>
      <c r="E17" s="21"/>
      <c r="F17" s="21"/>
      <c r="G17" s="21"/>
      <c r="H17" s="21"/>
      <c r="I17" s="21"/>
      <c r="J17" s="21"/>
      <c r="K17" s="21"/>
      <c r="L17" s="21"/>
      <c r="M17" s="62">
        <v>0</v>
      </c>
      <c r="N17" s="62">
        <v>0</v>
      </c>
      <c r="O17" s="62">
        <v>0</v>
      </c>
      <c r="P17" s="62">
        <v>0</v>
      </c>
      <c r="Q17" s="62">
        <v>0</v>
      </c>
      <c r="T17" s="62">
        <v>0</v>
      </c>
      <c r="U17" s="62">
        <v>0</v>
      </c>
      <c r="V17" s="62">
        <v>0</v>
      </c>
      <c r="W17" s="62">
        <v>0</v>
      </c>
      <c r="X17" s="62">
        <v>0</v>
      </c>
      <c r="Y17" s="62">
        <v>0</v>
      </c>
      <c r="Z17" s="62">
        <v>0</v>
      </c>
      <c r="AA17" s="62">
        <v>0</v>
      </c>
      <c r="AC17" s="62">
        <f t="shared" si="0"/>
        <v>0</v>
      </c>
    </row>
    <row r="18" spans="1:31" s="19" customFormat="1" x14ac:dyDescent="0.2">
      <c r="A18" s="16"/>
      <c r="B18" s="17" t="s">
        <v>32</v>
      </c>
      <c r="C18" s="18"/>
      <c r="D18" s="18"/>
      <c r="E18" s="18"/>
      <c r="F18" s="18"/>
      <c r="G18" s="18"/>
      <c r="H18" s="18"/>
      <c r="I18" s="18"/>
      <c r="J18" s="18"/>
      <c r="K18" s="18"/>
      <c r="L18" s="18"/>
      <c r="M18" s="61">
        <v>-525586</v>
      </c>
      <c r="N18" s="61">
        <v>-328352</v>
      </c>
      <c r="O18" s="61">
        <v>-89883</v>
      </c>
      <c r="P18" s="61">
        <v>-73694</v>
      </c>
      <c r="Q18" s="61">
        <v>282330</v>
      </c>
      <c r="R18" s="60"/>
      <c r="S18" s="60"/>
      <c r="T18" s="61">
        <v>-10655</v>
      </c>
      <c r="U18" s="61">
        <v>51794</v>
      </c>
      <c r="V18" s="61">
        <v>-22555</v>
      </c>
      <c r="W18" s="61">
        <v>1584</v>
      </c>
      <c r="X18" s="61">
        <v>198839</v>
      </c>
      <c r="Y18" s="61">
        <v>104462</v>
      </c>
      <c r="Z18" s="61">
        <v>22525</v>
      </c>
      <c r="AA18" s="61">
        <v>36089</v>
      </c>
      <c r="AB18" s="1"/>
      <c r="AC18" s="61">
        <f t="shared" si="0"/>
        <v>361915</v>
      </c>
      <c r="AD18" s="1"/>
      <c r="AE18" s="1"/>
    </row>
    <row r="19" spans="1:31" x14ac:dyDescent="0.2">
      <c r="B19" s="23" t="s">
        <v>33</v>
      </c>
      <c r="C19" s="21"/>
      <c r="D19" s="21"/>
      <c r="E19" s="21"/>
      <c r="F19" s="21"/>
      <c r="G19" s="21"/>
      <c r="H19" s="21"/>
      <c r="I19" s="21"/>
      <c r="J19" s="21"/>
      <c r="K19" s="21"/>
      <c r="L19" s="21"/>
      <c r="M19" s="21">
        <v>454625</v>
      </c>
      <c r="N19" s="21">
        <v>548022</v>
      </c>
      <c r="O19" s="62">
        <v>563855</v>
      </c>
      <c r="P19" s="62">
        <v>559933</v>
      </c>
      <c r="Q19" s="62">
        <v>538125</v>
      </c>
      <c r="R19" s="60"/>
      <c r="S19" s="60"/>
      <c r="T19" s="62">
        <v>551036</v>
      </c>
      <c r="U19" s="62">
        <v>550948</v>
      </c>
      <c r="V19" s="62">
        <v>548451</v>
      </c>
      <c r="W19" s="62">
        <v>536169</v>
      </c>
      <c r="X19" s="62">
        <v>532255</v>
      </c>
      <c r="Y19" s="62">
        <v>535962</v>
      </c>
      <c r="Z19" s="62">
        <v>523584</v>
      </c>
      <c r="AA19" s="62">
        <v>519654</v>
      </c>
      <c r="AC19" s="62">
        <f>AVERAGE(X19:AA19)</f>
        <v>527863.75</v>
      </c>
    </row>
    <row r="20" spans="1:31" x14ac:dyDescent="0.2">
      <c r="B20" s="23" t="s">
        <v>34</v>
      </c>
      <c r="C20" s="25">
        <f t="shared" ref="C20:Q20" si="11">C19*C$85</f>
        <v>0</v>
      </c>
      <c r="D20" s="25">
        <f t="shared" si="11"/>
        <v>0</v>
      </c>
      <c r="E20" s="25">
        <f t="shared" si="11"/>
        <v>0</v>
      </c>
      <c r="F20" s="25">
        <f t="shared" si="11"/>
        <v>0</v>
      </c>
      <c r="G20" s="25">
        <f t="shared" si="11"/>
        <v>0</v>
      </c>
      <c r="H20" s="25">
        <f t="shared" si="11"/>
        <v>0</v>
      </c>
      <c r="I20" s="25">
        <f t="shared" si="11"/>
        <v>0</v>
      </c>
      <c r="J20" s="25">
        <f t="shared" si="11"/>
        <v>0</v>
      </c>
      <c r="K20" s="25">
        <f t="shared" si="11"/>
        <v>0</v>
      </c>
      <c r="L20" s="25">
        <f t="shared" si="11"/>
        <v>0</v>
      </c>
      <c r="M20" s="25">
        <f t="shared" si="11"/>
        <v>454625</v>
      </c>
      <c r="N20" s="25">
        <f t="shared" si="11"/>
        <v>548022</v>
      </c>
      <c r="O20" s="25">
        <f t="shared" si="11"/>
        <v>563855</v>
      </c>
      <c r="P20" s="25">
        <f t="shared" si="11"/>
        <v>559933</v>
      </c>
      <c r="Q20" s="25">
        <f t="shared" si="11"/>
        <v>538125</v>
      </c>
      <c r="T20" s="25">
        <f t="shared" ref="T20:Z20" si="12">T19*T$85</f>
        <v>551036</v>
      </c>
      <c r="U20" s="25">
        <f t="shared" si="12"/>
        <v>550948</v>
      </c>
      <c r="V20" s="25">
        <f t="shared" si="12"/>
        <v>548451</v>
      </c>
      <c r="W20" s="25">
        <f t="shared" si="12"/>
        <v>536169</v>
      </c>
      <c r="X20" s="25">
        <f t="shared" si="12"/>
        <v>532255</v>
      </c>
      <c r="Y20" s="25">
        <f t="shared" si="12"/>
        <v>535962</v>
      </c>
      <c r="Z20" s="25">
        <f t="shared" si="12"/>
        <v>523584</v>
      </c>
      <c r="AA20" s="25">
        <f t="shared" ref="AA20" si="13">AA19*AA$85</f>
        <v>519654</v>
      </c>
      <c r="AC20" s="25">
        <f>AC19*AC$85</f>
        <v>527863.75</v>
      </c>
    </row>
    <row r="21" spans="1:31" x14ac:dyDescent="0.2">
      <c r="B21" s="23" t="s">
        <v>35</v>
      </c>
      <c r="C21" s="21"/>
      <c r="D21" s="21"/>
      <c r="E21" s="21"/>
      <c r="F21" s="21"/>
      <c r="G21" s="21"/>
      <c r="H21" s="21"/>
      <c r="I21" s="21"/>
      <c r="J21" s="21"/>
      <c r="K21" s="21"/>
      <c r="L21" s="21"/>
      <c r="M21" s="21">
        <v>454625</v>
      </c>
      <c r="N21" s="21">
        <v>548022</v>
      </c>
      <c r="O21" s="62">
        <v>653855</v>
      </c>
      <c r="P21" s="62">
        <v>559933</v>
      </c>
      <c r="Q21" s="62">
        <v>544860</v>
      </c>
      <c r="T21" s="62">
        <v>551036</v>
      </c>
      <c r="U21" s="62">
        <v>555373</v>
      </c>
      <c r="V21" s="62">
        <v>548451</v>
      </c>
      <c r="W21" s="62">
        <v>542865</v>
      </c>
      <c r="X21" s="62">
        <v>539018</v>
      </c>
      <c r="Y21" s="62">
        <v>545284</v>
      </c>
      <c r="Z21" s="62">
        <v>527818</v>
      </c>
      <c r="AA21" s="62">
        <v>523013</v>
      </c>
      <c r="AC21" s="62">
        <f>AVERAGE(X21:AA21)</f>
        <v>533783.25</v>
      </c>
    </row>
    <row r="22" spans="1:31" x14ac:dyDescent="0.2">
      <c r="B22" s="23" t="s">
        <v>36</v>
      </c>
      <c r="C22" s="25">
        <f t="shared" ref="C22:Q22" si="14">C21*C$85</f>
        <v>0</v>
      </c>
      <c r="D22" s="25">
        <f t="shared" si="14"/>
        <v>0</v>
      </c>
      <c r="E22" s="25">
        <f t="shared" si="14"/>
        <v>0</v>
      </c>
      <c r="F22" s="25">
        <f t="shared" si="14"/>
        <v>0</v>
      </c>
      <c r="G22" s="25">
        <f t="shared" si="14"/>
        <v>0</v>
      </c>
      <c r="H22" s="25">
        <f t="shared" si="14"/>
        <v>0</v>
      </c>
      <c r="I22" s="25">
        <f t="shared" si="14"/>
        <v>0</v>
      </c>
      <c r="J22" s="25">
        <f t="shared" si="14"/>
        <v>0</v>
      </c>
      <c r="K22" s="25">
        <f t="shared" si="14"/>
        <v>0</v>
      </c>
      <c r="L22" s="25">
        <f t="shared" si="14"/>
        <v>0</v>
      </c>
      <c r="M22" s="25">
        <f t="shared" si="14"/>
        <v>454625</v>
      </c>
      <c r="N22" s="25">
        <f t="shared" si="14"/>
        <v>548022</v>
      </c>
      <c r="O22" s="25">
        <f t="shared" si="14"/>
        <v>653855</v>
      </c>
      <c r="P22" s="25">
        <f t="shared" si="14"/>
        <v>559933</v>
      </c>
      <c r="Q22" s="25">
        <f t="shared" si="14"/>
        <v>544860</v>
      </c>
      <c r="T22" s="25">
        <f t="shared" ref="T22:Z22" si="15">T21*T$85</f>
        <v>551036</v>
      </c>
      <c r="U22" s="25">
        <f t="shared" si="15"/>
        <v>555373</v>
      </c>
      <c r="V22" s="25">
        <f t="shared" si="15"/>
        <v>548451</v>
      </c>
      <c r="W22" s="25">
        <f t="shared" si="15"/>
        <v>542865</v>
      </c>
      <c r="X22" s="25">
        <f t="shared" si="15"/>
        <v>539018</v>
      </c>
      <c r="Y22" s="25">
        <f t="shared" si="15"/>
        <v>545284</v>
      </c>
      <c r="Z22" s="25">
        <f t="shared" si="15"/>
        <v>527818</v>
      </c>
      <c r="AA22" s="25">
        <f t="shared" ref="AA22" si="16">AA21*AA$85</f>
        <v>523013</v>
      </c>
      <c r="AC22" s="25">
        <f>AC21*AC$85</f>
        <v>533783.25</v>
      </c>
    </row>
    <row r="23" spans="1:31" x14ac:dyDescent="0.2">
      <c r="B23" s="23" t="s">
        <v>37</v>
      </c>
      <c r="C23" s="26"/>
      <c r="D23" s="26"/>
      <c r="E23" s="26"/>
      <c r="F23" s="26"/>
      <c r="G23" s="26"/>
      <c r="H23" s="26"/>
      <c r="I23" s="26"/>
      <c r="J23" s="26"/>
      <c r="K23" s="26"/>
      <c r="L23" s="26"/>
      <c r="M23" s="63">
        <v>-1.1599999999999999</v>
      </c>
      <c r="N23" s="63">
        <v>-0.6</v>
      </c>
      <c r="O23" s="63">
        <v>-0.16</v>
      </c>
      <c r="P23" s="63">
        <v>-0.13</v>
      </c>
      <c r="Q23" s="26">
        <v>0.52</v>
      </c>
      <c r="T23" s="63">
        <v>-0.02</v>
      </c>
      <c r="U23" s="26">
        <v>0.09</v>
      </c>
      <c r="V23" s="63">
        <v>-0.04</v>
      </c>
      <c r="W23" s="26">
        <v>0</v>
      </c>
      <c r="X23" s="26">
        <v>0.37</v>
      </c>
      <c r="Y23" s="26">
        <v>0.19</v>
      </c>
      <c r="Z23" s="26">
        <v>0.04</v>
      </c>
      <c r="AA23" s="26">
        <v>7.0000000000000007E-2</v>
      </c>
      <c r="AC23" s="26">
        <f>SUM(X23:AA23)</f>
        <v>0.67000000000000015</v>
      </c>
    </row>
    <row r="24" spans="1:31" x14ac:dyDescent="0.2">
      <c r="B24" s="23" t="s">
        <v>38</v>
      </c>
      <c r="C24" s="27"/>
      <c r="D24" s="27"/>
      <c r="E24" s="27"/>
      <c r="F24" s="27"/>
      <c r="G24" s="27"/>
      <c r="H24" s="27"/>
      <c r="I24" s="27"/>
      <c r="J24" s="27"/>
      <c r="K24" s="27"/>
      <c r="L24" s="27"/>
      <c r="M24" s="65">
        <f>M23/M$85</f>
        <v>-1.1599999999999999</v>
      </c>
      <c r="N24" s="65">
        <f>N23/N$85</f>
        <v>-0.6</v>
      </c>
      <c r="O24" s="65">
        <f>O23/O$85</f>
        <v>-0.16</v>
      </c>
      <c r="P24" s="65">
        <f>P23/P$85</f>
        <v>-0.13</v>
      </c>
      <c r="Q24" s="65">
        <f>Q23/Q$85</f>
        <v>0.52</v>
      </c>
      <c r="T24" s="65">
        <f t="shared" ref="T24:Z24" si="17">T23/T$85</f>
        <v>-0.02</v>
      </c>
      <c r="U24" s="65">
        <f t="shared" si="17"/>
        <v>0.09</v>
      </c>
      <c r="V24" s="65">
        <f t="shared" si="17"/>
        <v>-0.04</v>
      </c>
      <c r="W24" s="65">
        <f t="shared" si="17"/>
        <v>0</v>
      </c>
      <c r="X24" s="65">
        <f t="shared" si="17"/>
        <v>0.37</v>
      </c>
      <c r="Y24" s="65">
        <f t="shared" si="17"/>
        <v>0.19</v>
      </c>
      <c r="Z24" s="65">
        <f t="shared" si="17"/>
        <v>0.04</v>
      </c>
      <c r="AA24" s="65">
        <f t="shared" ref="AA24" si="18">AA23/AA$85</f>
        <v>7.0000000000000007E-2</v>
      </c>
      <c r="AC24" s="65">
        <f>AC23/AC$85</f>
        <v>0.67000000000000015</v>
      </c>
    </row>
    <row r="25" spans="1:31" x14ac:dyDescent="0.2">
      <c r="B25" s="23" t="s">
        <v>39</v>
      </c>
      <c r="C25" s="26"/>
      <c r="D25" s="26"/>
      <c r="E25" s="26"/>
      <c r="F25" s="26"/>
      <c r="G25" s="26"/>
      <c r="H25" s="26"/>
      <c r="I25" s="26"/>
      <c r="J25" s="26"/>
      <c r="K25" s="26"/>
      <c r="L25" s="26"/>
      <c r="M25" s="63">
        <v>-1.1599999999999999</v>
      </c>
      <c r="N25" s="63">
        <v>-0.6</v>
      </c>
      <c r="O25" s="63">
        <v>-0.16</v>
      </c>
      <c r="P25" s="63">
        <v>-0.13</v>
      </c>
      <c r="Q25" s="26">
        <v>0.52</v>
      </c>
      <c r="T25" s="63">
        <v>-0.02</v>
      </c>
      <c r="U25" s="26">
        <v>0.09</v>
      </c>
      <c r="V25" s="63">
        <v>-0.04</v>
      </c>
      <c r="W25" s="26">
        <v>0</v>
      </c>
      <c r="X25" s="26">
        <v>0.37</v>
      </c>
      <c r="Y25" s="26">
        <v>0.19</v>
      </c>
      <c r="Z25" s="26">
        <v>0.04</v>
      </c>
      <c r="AA25" s="26">
        <v>7.0000000000000007E-2</v>
      </c>
      <c r="AC25" s="26">
        <f>SUM(X25:AA25)</f>
        <v>0.67000000000000015</v>
      </c>
    </row>
    <row r="26" spans="1:31" s="30" customFormat="1" ht="17" thickBot="1" x14ac:dyDescent="0.25">
      <c r="A26" s="1"/>
      <c r="B26" s="28" t="s">
        <v>40</v>
      </c>
      <c r="C26" s="29"/>
      <c r="D26" s="29"/>
      <c r="E26" s="29"/>
      <c r="F26" s="29"/>
      <c r="G26" s="29"/>
      <c r="H26" s="29"/>
      <c r="I26" s="29"/>
      <c r="J26" s="29"/>
      <c r="K26" s="29"/>
      <c r="L26" s="29"/>
      <c r="M26" s="66">
        <f>M25/M$85</f>
        <v>-1.1599999999999999</v>
      </c>
      <c r="N26" s="66">
        <f>N25/N$85</f>
        <v>-0.6</v>
      </c>
      <c r="O26" s="66">
        <f>O25/O$85</f>
        <v>-0.16</v>
      </c>
      <c r="P26" s="66">
        <f>P25/P$85</f>
        <v>-0.13</v>
      </c>
      <c r="Q26" s="66">
        <f>Q25/Q$85</f>
        <v>0.52</v>
      </c>
      <c r="R26" s="1"/>
      <c r="S26" s="1"/>
      <c r="T26" s="66">
        <f t="shared" ref="T26:Z26" si="19">T25/T$85</f>
        <v>-0.02</v>
      </c>
      <c r="U26" s="66">
        <f t="shared" si="19"/>
        <v>0.09</v>
      </c>
      <c r="V26" s="66">
        <f t="shared" si="19"/>
        <v>-0.04</v>
      </c>
      <c r="W26" s="66">
        <f t="shared" si="19"/>
        <v>0</v>
      </c>
      <c r="X26" s="66">
        <f t="shared" si="19"/>
        <v>0.37</v>
      </c>
      <c r="Y26" s="66">
        <f t="shared" si="19"/>
        <v>0.19</v>
      </c>
      <c r="Z26" s="66">
        <f t="shared" si="19"/>
        <v>0.04</v>
      </c>
      <c r="AA26" s="66">
        <f t="shared" ref="AA26" si="20">AA25/AA$85</f>
        <v>7.0000000000000007E-2</v>
      </c>
      <c r="AB26" s="1"/>
      <c r="AC26" s="66">
        <f>AC25/AC$85</f>
        <v>0.67000000000000015</v>
      </c>
      <c r="AD26" s="1"/>
      <c r="AE26" s="1"/>
    </row>
    <row r="27" spans="1:31" s="30" customFormat="1" ht="17" thickBot="1" x14ac:dyDescent="0.25">
      <c r="A27" s="1"/>
      <c r="B27" s="31"/>
      <c r="J27" s="31"/>
      <c r="K27" s="31"/>
      <c r="L27" s="31"/>
      <c r="M27" s="31"/>
      <c r="N27" s="31"/>
      <c r="O27" s="31"/>
      <c r="P27" s="31"/>
      <c r="R27" s="1"/>
      <c r="S27" s="1"/>
      <c r="AB27" s="1"/>
      <c r="AD27" s="1"/>
      <c r="AE27" s="1"/>
    </row>
    <row r="28" spans="1:31" s="15" customFormat="1" ht="17" thickBot="1" x14ac:dyDescent="0.25">
      <c r="A28" s="11"/>
      <c r="B28" s="14" t="s">
        <v>41</v>
      </c>
      <c r="R28" s="1"/>
      <c r="S28" s="1"/>
      <c r="AB28" s="1"/>
      <c r="AD28" s="1"/>
      <c r="AE28" s="1"/>
    </row>
    <row r="29" spans="1:31" x14ac:dyDescent="0.2">
      <c r="B29" s="20" t="s">
        <v>42</v>
      </c>
      <c r="C29" s="21"/>
      <c r="D29" s="21"/>
      <c r="E29" s="21"/>
      <c r="F29" s="21"/>
      <c r="G29" s="21"/>
      <c r="H29" s="21"/>
      <c r="I29" s="21"/>
      <c r="J29" s="21"/>
      <c r="K29" s="21"/>
      <c r="L29" s="21"/>
      <c r="M29" s="21">
        <f>1768723+96417</f>
        <v>1865140</v>
      </c>
      <c r="N29" s="21">
        <f>1402119+354774</f>
        <v>1756893</v>
      </c>
      <c r="O29" s="21">
        <f>1061678+818145</f>
        <v>1879823</v>
      </c>
      <c r="P29" s="21">
        <f>879196+750322</f>
        <v>1629518</v>
      </c>
      <c r="Q29" s="21">
        <f>871157+601329</f>
        <v>1472486</v>
      </c>
      <c r="T29" s="21">
        <f>773630+795411</f>
        <v>1569041</v>
      </c>
      <c r="U29" s="21">
        <f>879196+750322</f>
        <v>1629518</v>
      </c>
      <c r="V29" s="21">
        <f>700641+854392</f>
        <v>1555033</v>
      </c>
      <c r="W29" s="21">
        <f>628617+818870</f>
        <v>1447487</v>
      </c>
      <c r="X29" s="21">
        <f>743660+654526</f>
        <v>1398186</v>
      </c>
      <c r="Y29" s="21">
        <f>871157+601329</f>
        <v>1472486</v>
      </c>
      <c r="Z29" s="21">
        <f>632195+675049</f>
        <v>1307244</v>
      </c>
      <c r="AA29" s="21">
        <f>607414+676576</f>
        <v>1283990</v>
      </c>
      <c r="AC29" s="21">
        <f>AA29</f>
        <v>1283990</v>
      </c>
    </row>
    <row r="30" spans="1:31" x14ac:dyDescent="0.2">
      <c r="B30" s="20" t="s">
        <v>43</v>
      </c>
      <c r="C30" s="21"/>
      <c r="D30" s="21"/>
      <c r="E30" s="21"/>
      <c r="F30" s="21"/>
      <c r="G30" s="21"/>
      <c r="H30" s="21"/>
      <c r="I30" s="21"/>
      <c r="J30" s="21"/>
      <c r="K30" s="21"/>
      <c r="L30" s="21"/>
      <c r="M30" s="21">
        <f>251988+74831</f>
        <v>326819</v>
      </c>
      <c r="N30" s="21">
        <f>374217+69260</f>
        <v>443477</v>
      </c>
      <c r="O30" s="21">
        <f>436296+84197</f>
        <v>520493</v>
      </c>
      <c r="P30" s="21">
        <f>451131+88735</f>
        <v>539866</v>
      </c>
      <c r="Q30" s="21">
        <f>488265+92440</f>
        <v>580705</v>
      </c>
      <c r="T30" s="21">
        <f>336137+109918</f>
        <v>446055</v>
      </c>
      <c r="U30" s="21">
        <f>451131+88735</f>
        <v>539866</v>
      </c>
      <c r="V30" s="21">
        <f>266619+103150</f>
        <v>369769</v>
      </c>
      <c r="W30" s="21">
        <f>269810+117418</f>
        <v>387228</v>
      </c>
      <c r="X30" s="21">
        <f>366757+129335</f>
        <v>496092</v>
      </c>
      <c r="Y30" s="21">
        <f>488265+92440</f>
        <v>580705</v>
      </c>
      <c r="Z30" s="21">
        <v>299999</v>
      </c>
      <c r="AA30" s="21">
        <v>307112</v>
      </c>
      <c r="AC30" s="21">
        <f t="shared" ref="AC30:AC50" si="21">AA30</f>
        <v>307112</v>
      </c>
    </row>
    <row r="31" spans="1:31" x14ac:dyDescent="0.2">
      <c r="B31" s="20" t="s">
        <v>174</v>
      </c>
      <c r="C31" s="21"/>
      <c r="D31" s="21"/>
      <c r="E31" s="21"/>
      <c r="F31" s="21"/>
      <c r="G31" s="21"/>
      <c r="H31" s="21"/>
      <c r="I31" s="21"/>
      <c r="J31" s="21"/>
      <c r="K31" s="21"/>
      <c r="L31" s="21"/>
      <c r="M31" s="21">
        <v>0</v>
      </c>
      <c r="N31" s="21">
        <v>0</v>
      </c>
      <c r="O31" s="21">
        <v>0</v>
      </c>
      <c r="P31" s="21">
        <v>0</v>
      </c>
      <c r="Q31" s="21">
        <v>0</v>
      </c>
      <c r="T31" s="21">
        <v>0</v>
      </c>
      <c r="U31" s="21">
        <v>0</v>
      </c>
      <c r="V31" s="21">
        <v>0</v>
      </c>
      <c r="W31" s="21">
        <v>0</v>
      </c>
      <c r="X31" s="21">
        <v>0</v>
      </c>
      <c r="Y31" s="21">
        <v>0</v>
      </c>
      <c r="Z31" s="21">
        <v>0</v>
      </c>
      <c r="AA31" s="21">
        <v>0</v>
      </c>
      <c r="AC31" s="21">
        <f>AA31</f>
        <v>0</v>
      </c>
    </row>
    <row r="32" spans="1:31" s="34" customFormat="1" x14ac:dyDescent="0.2">
      <c r="A32" s="16"/>
      <c r="B32" s="32" t="s">
        <v>44</v>
      </c>
      <c r="C32" s="33"/>
      <c r="D32" s="33"/>
      <c r="E32" s="33"/>
      <c r="F32" s="33"/>
      <c r="G32" s="33"/>
      <c r="H32" s="33"/>
      <c r="I32" s="33"/>
      <c r="J32" s="33"/>
      <c r="K32" s="33"/>
      <c r="L32" s="33"/>
      <c r="M32" s="33">
        <v>2277301</v>
      </c>
      <c r="N32" s="33">
        <v>2344407</v>
      </c>
      <c r="O32" s="33">
        <v>2580412</v>
      </c>
      <c r="P32" s="33">
        <v>2338559</v>
      </c>
      <c r="Q32" s="33">
        <v>2243945</v>
      </c>
      <c r="R32" s="1"/>
      <c r="S32" s="1"/>
      <c r="T32" s="33">
        <v>2176478</v>
      </c>
      <c r="U32" s="33">
        <v>2338559</v>
      </c>
      <c r="V32" s="33">
        <v>2109669</v>
      </c>
      <c r="W32" s="33">
        <v>2030736</v>
      </c>
      <c r="X32" s="33">
        <v>2093343</v>
      </c>
      <c r="Y32" s="33">
        <v>2243945</v>
      </c>
      <c r="Z32" s="33">
        <v>1918362</v>
      </c>
      <c r="AA32" s="33">
        <v>1926630</v>
      </c>
      <c r="AB32" s="1"/>
      <c r="AC32" s="33">
        <f t="shared" si="21"/>
        <v>1926630</v>
      </c>
      <c r="AD32" s="1"/>
      <c r="AE32" s="1"/>
    </row>
    <row r="33" spans="1:31" x14ac:dyDescent="0.2">
      <c r="B33" s="20" t="s">
        <v>45</v>
      </c>
      <c r="C33" s="21"/>
      <c r="D33" s="21"/>
      <c r="E33" s="21"/>
      <c r="F33" s="21"/>
      <c r="G33" s="21"/>
      <c r="H33" s="21"/>
      <c r="I33" s="21"/>
      <c r="J33" s="21"/>
      <c r="K33" s="21"/>
      <c r="L33" s="21"/>
      <c r="M33" s="21">
        <v>17176</v>
      </c>
      <c r="N33" s="21">
        <v>29045</v>
      </c>
      <c r="O33" s="21">
        <v>23982</v>
      </c>
      <c r="P33" s="21">
        <v>32740</v>
      </c>
      <c r="Q33" s="21">
        <v>46014</v>
      </c>
      <c r="T33" s="21">
        <v>25132</v>
      </c>
      <c r="U33" s="21">
        <v>32740</v>
      </c>
      <c r="V33" s="21">
        <v>41964</v>
      </c>
      <c r="W33" s="21">
        <v>41545</v>
      </c>
      <c r="X33" s="21">
        <v>44604</v>
      </c>
      <c r="Y33" s="21">
        <v>46014</v>
      </c>
      <c r="Z33" s="21">
        <v>45585</v>
      </c>
      <c r="AA33" s="21">
        <v>46436</v>
      </c>
      <c r="AC33" s="21">
        <f t="shared" si="21"/>
        <v>46436</v>
      </c>
    </row>
    <row r="34" spans="1:31" x14ac:dyDescent="0.2">
      <c r="B34" s="20" t="s">
        <v>403</v>
      </c>
      <c r="C34" s="21"/>
      <c r="D34" s="21"/>
      <c r="E34" s="21"/>
      <c r="F34" s="21"/>
      <c r="G34" s="21"/>
      <c r="H34" s="21"/>
      <c r="I34" s="21"/>
      <c r="J34" s="21"/>
      <c r="K34" s="21"/>
      <c r="L34" s="21"/>
      <c r="M34" s="21">
        <v>19523</v>
      </c>
      <c r="N34" s="21">
        <v>2942</v>
      </c>
      <c r="O34" s="21">
        <v>0</v>
      </c>
      <c r="P34" s="21">
        <v>94113</v>
      </c>
      <c r="Q34" s="21">
        <v>216990</v>
      </c>
      <c r="T34" s="21">
        <v>34397</v>
      </c>
      <c r="U34" s="21">
        <v>94113</v>
      </c>
      <c r="V34" s="21">
        <v>36467</v>
      </c>
      <c r="W34" s="21">
        <v>75151</v>
      </c>
      <c r="X34" s="21">
        <v>121609</v>
      </c>
      <c r="Y34" s="21">
        <v>216990</v>
      </c>
      <c r="Z34" s="21">
        <v>108502</v>
      </c>
      <c r="AA34" s="21">
        <v>121035</v>
      </c>
      <c r="AC34" s="21">
        <f t="shared" si="21"/>
        <v>121035</v>
      </c>
    </row>
    <row r="35" spans="1:31" x14ac:dyDescent="0.2">
      <c r="B35" s="20" t="s">
        <v>46</v>
      </c>
      <c r="C35" s="21"/>
      <c r="D35" s="21"/>
      <c r="E35" s="21"/>
      <c r="F35" s="21"/>
      <c r="G35" s="21"/>
      <c r="H35" s="21"/>
      <c r="I35" s="21"/>
      <c r="J35" s="21"/>
      <c r="K35" s="21"/>
      <c r="L35" s="21"/>
      <c r="M35" s="21">
        <v>53564</v>
      </c>
      <c r="N35" s="21">
        <v>88010</v>
      </c>
      <c r="O35" s="21">
        <v>89026</v>
      </c>
      <c r="P35" s="21">
        <v>87304</v>
      </c>
      <c r="Q35" s="21">
        <v>125310</v>
      </c>
      <c r="T35" s="21">
        <v>89864</v>
      </c>
      <c r="U35" s="21">
        <v>87304</v>
      </c>
      <c r="V35" s="21">
        <v>121371</v>
      </c>
      <c r="W35" s="21">
        <v>120800</v>
      </c>
      <c r="X35" s="21">
        <v>120625</v>
      </c>
      <c r="Y35" s="21">
        <v>125310</v>
      </c>
      <c r="Z35" s="21">
        <v>185695</v>
      </c>
      <c r="AA35" s="21">
        <v>179481</v>
      </c>
      <c r="AC35" s="21">
        <f t="shared" si="21"/>
        <v>179481</v>
      </c>
    </row>
    <row r="36" spans="1:31" s="34" customFormat="1" x14ac:dyDescent="0.2">
      <c r="A36" s="16"/>
      <c r="B36" s="32" t="s">
        <v>47</v>
      </c>
      <c r="C36" s="35"/>
      <c r="D36" s="35"/>
      <c r="E36" s="35"/>
      <c r="F36" s="35"/>
      <c r="G36" s="35"/>
      <c r="H36" s="35"/>
      <c r="I36" s="35"/>
      <c r="J36" s="35"/>
      <c r="K36" s="35"/>
      <c r="L36" s="35"/>
      <c r="M36" s="35">
        <f t="shared" ref="M36:O36" si="22">M37-M32</f>
        <v>295149</v>
      </c>
      <c r="N36" s="35">
        <f t="shared" si="22"/>
        <v>390799</v>
      </c>
      <c r="O36" s="35">
        <f t="shared" si="22"/>
        <v>374346</v>
      </c>
      <c r="P36" s="35">
        <f>P37-P32</f>
        <v>526711</v>
      </c>
      <c r="Q36" s="35">
        <f>Q37-Q32</f>
        <v>935255</v>
      </c>
      <c r="R36" s="1"/>
      <c r="S36" s="1"/>
      <c r="T36" s="35">
        <f t="shared" ref="T36:Y36" si="23">T37-T32</f>
        <v>486813</v>
      </c>
      <c r="U36" s="35">
        <f t="shared" si="23"/>
        <v>526711</v>
      </c>
      <c r="V36" s="35">
        <f t="shared" si="23"/>
        <v>534773</v>
      </c>
      <c r="W36" s="35">
        <f t="shared" si="23"/>
        <v>561581</v>
      </c>
      <c r="X36" s="35">
        <f t="shared" si="23"/>
        <v>802633</v>
      </c>
      <c r="Y36" s="35">
        <f t="shared" si="23"/>
        <v>935255</v>
      </c>
      <c r="Z36" s="35">
        <f t="shared" ref="Z36:AA36" si="24">Z37-Z32</f>
        <v>986338</v>
      </c>
      <c r="AA36" s="35">
        <f t="shared" si="24"/>
        <v>980737</v>
      </c>
      <c r="AB36" s="1"/>
      <c r="AC36" s="35">
        <f t="shared" si="21"/>
        <v>980737</v>
      </c>
      <c r="AD36" s="1"/>
      <c r="AE36" s="1"/>
    </row>
    <row r="37" spans="1:31" s="19" customFormat="1" x14ac:dyDescent="0.2">
      <c r="A37" s="16"/>
      <c r="B37" s="17" t="s">
        <v>48</v>
      </c>
      <c r="C37" s="18"/>
      <c r="D37" s="18"/>
      <c r="E37" s="18"/>
      <c r="F37" s="18"/>
      <c r="G37" s="18"/>
      <c r="H37" s="18"/>
      <c r="I37" s="18"/>
      <c r="J37" s="18"/>
      <c r="K37" s="18"/>
      <c r="L37" s="18"/>
      <c r="M37" s="18">
        <v>2572450</v>
      </c>
      <c r="N37" s="18">
        <v>2735206</v>
      </c>
      <c r="O37" s="18">
        <v>2954758</v>
      </c>
      <c r="P37" s="18">
        <v>2865270</v>
      </c>
      <c r="Q37" s="18">
        <v>3179200</v>
      </c>
      <c r="R37" s="1"/>
      <c r="S37" s="1"/>
      <c r="T37" s="18">
        <v>2663291</v>
      </c>
      <c r="U37" s="18">
        <v>2865270</v>
      </c>
      <c r="V37" s="18">
        <v>2644442</v>
      </c>
      <c r="W37" s="18">
        <v>2592317</v>
      </c>
      <c r="X37" s="18">
        <v>2895976</v>
      </c>
      <c r="Y37" s="18">
        <v>3179200</v>
      </c>
      <c r="Z37" s="18">
        <v>2904700</v>
      </c>
      <c r="AA37" s="18">
        <v>2907367</v>
      </c>
      <c r="AB37" s="1"/>
      <c r="AC37" s="18">
        <f t="shared" si="21"/>
        <v>2907367</v>
      </c>
      <c r="AD37" s="1"/>
      <c r="AE37" s="1"/>
    </row>
    <row r="38" spans="1:31" x14ac:dyDescent="0.2">
      <c r="B38" s="20" t="s">
        <v>49</v>
      </c>
      <c r="C38" s="21"/>
      <c r="D38" s="21"/>
      <c r="E38" s="21"/>
      <c r="F38" s="21"/>
      <c r="G38" s="21"/>
      <c r="H38" s="21"/>
      <c r="I38" s="21"/>
      <c r="J38" s="21"/>
      <c r="K38" s="21"/>
      <c r="L38" s="21"/>
      <c r="M38" s="21">
        <v>11515</v>
      </c>
      <c r="N38" s="21">
        <v>8891</v>
      </c>
      <c r="O38" s="21">
        <v>3447</v>
      </c>
      <c r="P38" s="21">
        <v>33178</v>
      </c>
      <c r="Q38" s="21">
        <v>10161</v>
      </c>
      <c r="T38" s="21">
        <v>18426</v>
      </c>
      <c r="U38" s="21">
        <v>33178</v>
      </c>
      <c r="V38" s="21">
        <v>16885</v>
      </c>
      <c r="W38" s="21">
        <v>19743</v>
      </c>
      <c r="X38" s="21">
        <v>14280</v>
      </c>
      <c r="Y38" s="21">
        <v>10161</v>
      </c>
      <c r="Z38" s="21">
        <v>19699</v>
      </c>
      <c r="AA38" s="21">
        <v>16484</v>
      </c>
      <c r="AC38" s="21">
        <f t="shared" si="21"/>
        <v>16484</v>
      </c>
    </row>
    <row r="39" spans="1:31" x14ac:dyDescent="0.2">
      <c r="B39" s="20" t="s">
        <v>208</v>
      </c>
      <c r="C39" s="21"/>
      <c r="D39" s="21"/>
      <c r="E39" s="21"/>
      <c r="F39" s="21"/>
      <c r="G39" s="21"/>
      <c r="H39" s="21"/>
      <c r="I39" s="21"/>
      <c r="J39" s="21"/>
      <c r="K39" s="21"/>
      <c r="L39" s="21"/>
      <c r="M39" s="21">
        <v>0</v>
      </c>
      <c r="N39" s="21">
        <v>0</v>
      </c>
      <c r="O39" s="21">
        <v>0</v>
      </c>
      <c r="P39" s="21">
        <v>0</v>
      </c>
      <c r="Q39" s="21">
        <v>0</v>
      </c>
      <c r="T39" s="21">
        <v>0</v>
      </c>
      <c r="U39" s="21">
        <v>0</v>
      </c>
      <c r="V39" s="21">
        <v>0</v>
      </c>
      <c r="W39" s="21">
        <v>0</v>
      </c>
      <c r="X39" s="21">
        <v>0</v>
      </c>
      <c r="Y39" s="21">
        <v>0</v>
      </c>
      <c r="Z39" s="21">
        <v>0</v>
      </c>
      <c r="AA39" s="21">
        <v>0</v>
      </c>
      <c r="AC39" s="21">
        <f t="shared" si="21"/>
        <v>0</v>
      </c>
    </row>
    <row r="40" spans="1:31" s="34" customFormat="1" x14ac:dyDescent="0.2">
      <c r="A40" s="16"/>
      <c r="B40" s="32" t="s">
        <v>50</v>
      </c>
      <c r="C40" s="33"/>
      <c r="D40" s="33"/>
      <c r="E40" s="33"/>
      <c r="F40" s="33"/>
      <c r="G40" s="33"/>
      <c r="H40" s="33"/>
      <c r="I40" s="33"/>
      <c r="J40" s="33"/>
      <c r="K40" s="33"/>
      <c r="L40" s="33"/>
      <c r="M40" s="33">
        <v>527501</v>
      </c>
      <c r="N40" s="33">
        <v>626452</v>
      </c>
      <c r="O40" s="33">
        <v>711691</v>
      </c>
      <c r="P40" s="33">
        <v>798920</v>
      </c>
      <c r="Q40" s="33">
        <v>905423</v>
      </c>
      <c r="R40" s="60"/>
      <c r="S40" s="60"/>
      <c r="T40" s="33">
        <v>695473</v>
      </c>
      <c r="U40" s="33">
        <v>798920</v>
      </c>
      <c r="V40" s="33">
        <v>715867</v>
      </c>
      <c r="W40" s="33">
        <v>738417</v>
      </c>
      <c r="X40" s="33">
        <v>788700</v>
      </c>
      <c r="Y40" s="33">
        <v>905423</v>
      </c>
      <c r="Z40" s="33">
        <v>831666</v>
      </c>
      <c r="AA40" s="33">
        <v>807258</v>
      </c>
      <c r="AB40" s="1"/>
      <c r="AC40" s="33">
        <f t="shared" si="21"/>
        <v>807258</v>
      </c>
      <c r="AD40" s="1"/>
      <c r="AE40" s="1"/>
    </row>
    <row r="41" spans="1:31" x14ac:dyDescent="0.2">
      <c r="B41" s="20" t="s">
        <v>208</v>
      </c>
      <c r="C41" s="21"/>
      <c r="D41" s="21"/>
      <c r="E41" s="21"/>
      <c r="F41" s="21"/>
      <c r="G41" s="21"/>
      <c r="H41" s="21"/>
      <c r="I41" s="21"/>
      <c r="J41" s="21"/>
      <c r="K41" s="21"/>
      <c r="L41" s="21"/>
      <c r="M41" s="21">
        <v>0</v>
      </c>
      <c r="N41" s="21">
        <v>0</v>
      </c>
      <c r="O41" s="21">
        <v>0</v>
      </c>
      <c r="P41" s="21">
        <v>0</v>
      </c>
      <c r="Q41" s="21">
        <v>0</v>
      </c>
      <c r="T41" s="21">
        <v>0</v>
      </c>
      <c r="U41" s="21">
        <v>0</v>
      </c>
      <c r="V41" s="21">
        <v>0</v>
      </c>
      <c r="W41" s="21">
        <v>0</v>
      </c>
      <c r="X41" s="21">
        <v>0</v>
      </c>
      <c r="Y41" s="21">
        <v>0</v>
      </c>
      <c r="Z41" s="21">
        <v>0</v>
      </c>
      <c r="AA41" s="21">
        <v>0</v>
      </c>
      <c r="AC41" s="21">
        <f t="shared" si="21"/>
        <v>0</v>
      </c>
    </row>
    <row r="42" spans="1:31" s="34" customFormat="1" x14ac:dyDescent="0.2">
      <c r="A42" s="16"/>
      <c r="B42" s="32" t="s">
        <v>51</v>
      </c>
      <c r="C42" s="35"/>
      <c r="D42" s="35"/>
      <c r="E42" s="35"/>
      <c r="F42" s="35"/>
      <c r="G42" s="35"/>
      <c r="H42" s="35"/>
      <c r="I42" s="35"/>
      <c r="J42" s="35"/>
      <c r="K42" s="35"/>
      <c r="L42" s="35"/>
      <c r="M42" s="35">
        <f t="shared" ref="M42:O42" si="25">M43-M40</f>
        <v>123032</v>
      </c>
      <c r="N42" s="35">
        <f t="shared" si="25"/>
        <v>188596</v>
      </c>
      <c r="O42" s="35">
        <f t="shared" si="25"/>
        <v>226953</v>
      </c>
      <c r="P42" s="35">
        <f>P43-P40</f>
        <v>220588</v>
      </c>
      <c r="Q42" s="35">
        <f>Q43-Q40</f>
        <v>191190</v>
      </c>
      <c r="R42" s="1"/>
      <c r="S42" s="1"/>
      <c r="T42" s="35">
        <f t="shared" ref="T42:Y42" si="26">T43-T40</f>
        <v>235973</v>
      </c>
      <c r="U42" s="35">
        <f t="shared" si="26"/>
        <v>220588</v>
      </c>
      <c r="V42" s="35">
        <f t="shared" si="26"/>
        <v>230114</v>
      </c>
      <c r="W42" s="35">
        <f t="shared" si="26"/>
        <v>188197</v>
      </c>
      <c r="X42" s="35">
        <f t="shared" si="26"/>
        <v>182659</v>
      </c>
      <c r="Y42" s="35">
        <f t="shared" si="26"/>
        <v>191190</v>
      </c>
      <c r="Z42" s="35">
        <f t="shared" ref="Z42:AA42" si="27">Z43-Z40</f>
        <v>170069</v>
      </c>
      <c r="AA42" s="35">
        <f t="shared" si="27"/>
        <v>151558</v>
      </c>
      <c r="AB42" s="1"/>
      <c r="AC42" s="35">
        <f t="shared" si="21"/>
        <v>151558</v>
      </c>
      <c r="AD42" s="1"/>
      <c r="AE42" s="1"/>
    </row>
    <row r="43" spans="1:31" s="19" customFormat="1" x14ac:dyDescent="0.2">
      <c r="A43" s="16"/>
      <c r="B43" s="17" t="s">
        <v>52</v>
      </c>
      <c r="C43" s="18"/>
      <c r="D43" s="18"/>
      <c r="E43" s="18"/>
      <c r="F43" s="18"/>
      <c r="G43" s="18"/>
      <c r="H43" s="18"/>
      <c r="I43" s="18"/>
      <c r="J43" s="18"/>
      <c r="K43" s="18"/>
      <c r="L43" s="18"/>
      <c r="M43" s="18">
        <v>650533</v>
      </c>
      <c r="N43" s="18">
        <v>815048</v>
      </c>
      <c r="O43" s="18">
        <v>938644</v>
      </c>
      <c r="P43" s="18">
        <v>1019508</v>
      </c>
      <c r="Q43" s="18">
        <v>1096613</v>
      </c>
      <c r="R43" s="1"/>
      <c r="S43" s="1"/>
      <c r="T43" s="18">
        <v>931446</v>
      </c>
      <c r="U43" s="18">
        <v>1019508</v>
      </c>
      <c r="V43" s="18">
        <v>945981</v>
      </c>
      <c r="W43" s="18">
        <v>926614</v>
      </c>
      <c r="X43" s="18">
        <v>971359</v>
      </c>
      <c r="Y43" s="18">
        <v>1096613</v>
      </c>
      <c r="Z43" s="18">
        <v>1001735</v>
      </c>
      <c r="AA43" s="18">
        <v>958816</v>
      </c>
      <c r="AB43" s="1"/>
      <c r="AC43" s="18">
        <f t="shared" si="21"/>
        <v>958816</v>
      </c>
      <c r="AD43" s="1"/>
      <c r="AE43" s="1"/>
    </row>
    <row r="44" spans="1:31" x14ac:dyDescent="0.2">
      <c r="B44" s="20" t="s">
        <v>54</v>
      </c>
      <c r="C44" s="21"/>
      <c r="D44" s="21"/>
      <c r="E44" s="21"/>
      <c r="F44" s="21"/>
      <c r="G44" s="21"/>
      <c r="H44" s="21"/>
      <c r="I44" s="21"/>
      <c r="J44" s="21"/>
      <c r="K44" s="21"/>
      <c r="L44" s="21"/>
      <c r="M44" s="62">
        <v>0</v>
      </c>
      <c r="N44" s="62">
        <v>0</v>
      </c>
      <c r="O44" s="62">
        <v>-102615</v>
      </c>
      <c r="P44" s="62">
        <v>-494779</v>
      </c>
      <c r="Q44" s="62">
        <v>-833905</v>
      </c>
      <c r="T44" s="62">
        <v>-486985</v>
      </c>
      <c r="U44" s="62">
        <v>-494779</v>
      </c>
      <c r="V44" s="62">
        <v>-724224</v>
      </c>
      <c r="W44" s="62">
        <v>-824842</v>
      </c>
      <c r="X44" s="62">
        <v>-824329</v>
      </c>
      <c r="Y44" s="62">
        <v>-833905</v>
      </c>
      <c r="Z44" s="62">
        <v>-1069595</v>
      </c>
      <c r="AA44" s="62">
        <v>-1092834</v>
      </c>
      <c r="AC44" s="62">
        <f t="shared" si="21"/>
        <v>-1092834</v>
      </c>
    </row>
    <row r="45" spans="1:31" x14ac:dyDescent="0.2">
      <c r="B45" s="20" t="s">
        <v>378</v>
      </c>
      <c r="C45" s="21"/>
      <c r="D45" s="21"/>
      <c r="E45" s="21"/>
      <c r="F45" s="21"/>
      <c r="G45" s="21"/>
      <c r="H45" s="21"/>
      <c r="I45" s="21"/>
      <c r="J45" s="21"/>
      <c r="K45" s="21"/>
      <c r="L45" s="21"/>
      <c r="M45" s="62">
        <v>0</v>
      </c>
      <c r="N45" s="62">
        <v>0</v>
      </c>
      <c r="O45" s="62">
        <v>0</v>
      </c>
      <c r="P45" s="62">
        <v>0</v>
      </c>
      <c r="Q45" s="62">
        <v>0</v>
      </c>
      <c r="T45" s="62">
        <v>0</v>
      </c>
      <c r="U45" s="62">
        <v>0</v>
      </c>
      <c r="V45" s="62">
        <v>0</v>
      </c>
      <c r="W45" s="62">
        <v>0</v>
      </c>
      <c r="X45" s="62">
        <v>0</v>
      </c>
      <c r="Y45" s="62">
        <v>0</v>
      </c>
      <c r="Z45" s="62">
        <v>0</v>
      </c>
      <c r="AA45" s="62">
        <v>0</v>
      </c>
      <c r="AC45" s="62">
        <f t="shared" si="21"/>
        <v>0</v>
      </c>
    </row>
    <row r="46" spans="1:31" x14ac:dyDescent="0.2">
      <c r="B46" s="20" t="s">
        <v>53</v>
      </c>
      <c r="C46" s="21"/>
      <c r="D46" s="21"/>
      <c r="E46" s="21"/>
      <c r="F46" s="21"/>
      <c r="G46" s="21"/>
      <c r="H46" s="21"/>
      <c r="I46" s="21"/>
      <c r="J46" s="21"/>
      <c r="K46" s="21"/>
      <c r="L46" s="21"/>
      <c r="M46" s="21">
        <v>3406959</v>
      </c>
      <c r="N46" s="21">
        <v>3736838</v>
      </c>
      <c r="O46" s="21">
        <v>4024079</v>
      </c>
      <c r="P46" s="62">
        <v>4333300</v>
      </c>
      <c r="Q46" s="62">
        <v>4585430</v>
      </c>
      <c r="T46" s="62">
        <v>4149569</v>
      </c>
      <c r="U46" s="62">
        <v>4333300</v>
      </c>
      <c r="V46" s="62">
        <v>4403586</v>
      </c>
      <c r="W46" s="62">
        <v>4474638</v>
      </c>
      <c r="X46" s="62">
        <v>4531257</v>
      </c>
      <c r="Y46" s="62">
        <v>4585430</v>
      </c>
      <c r="Z46" s="62">
        <v>4628200</v>
      </c>
      <c r="AA46" s="62">
        <v>4673653</v>
      </c>
      <c r="AC46" s="62">
        <f t="shared" si="21"/>
        <v>4673653</v>
      </c>
    </row>
    <row r="47" spans="1:31" x14ac:dyDescent="0.2">
      <c r="B47" s="20" t="s">
        <v>379</v>
      </c>
      <c r="C47" s="21"/>
      <c r="D47" s="21"/>
      <c r="E47" s="21"/>
      <c r="F47" s="21"/>
      <c r="G47" s="21"/>
      <c r="H47" s="21"/>
      <c r="I47" s="21"/>
      <c r="J47" s="21"/>
      <c r="K47" s="21"/>
      <c r="L47" s="21"/>
      <c r="M47" s="62">
        <v>-1495946</v>
      </c>
      <c r="N47" s="62">
        <v>-1824298</v>
      </c>
      <c r="O47" s="62">
        <v>-1914181</v>
      </c>
      <c r="P47" s="62">
        <v>-1987875</v>
      </c>
      <c r="Q47" s="62">
        <v>-1705545</v>
      </c>
      <c r="T47" s="62">
        <v>-2039669</v>
      </c>
      <c r="U47" s="62">
        <v>-1987875</v>
      </c>
      <c r="V47" s="62">
        <v>-2010430</v>
      </c>
      <c r="W47" s="62">
        <v>-2008846</v>
      </c>
      <c r="X47" s="62">
        <v>-1810007</v>
      </c>
      <c r="Y47" s="62">
        <v>-1705545</v>
      </c>
      <c r="Z47" s="62">
        <v>-1683020</v>
      </c>
      <c r="AA47" s="62">
        <v>-1646931</v>
      </c>
      <c r="AC47" s="62">
        <f t="shared" si="21"/>
        <v>-1646931</v>
      </c>
    </row>
    <row r="48" spans="1:31" x14ac:dyDescent="0.2">
      <c r="B48" s="20" t="s">
        <v>374</v>
      </c>
      <c r="C48" s="21"/>
      <c r="D48" s="21"/>
      <c r="E48" s="21"/>
      <c r="F48" s="21"/>
      <c r="G48" s="21"/>
      <c r="H48" s="21"/>
      <c r="I48" s="21"/>
      <c r="J48" s="21"/>
      <c r="K48" s="21"/>
      <c r="L48" s="21"/>
      <c r="M48" s="62">
        <v>0</v>
      </c>
      <c r="N48" s="62">
        <v>0</v>
      </c>
      <c r="O48" s="62">
        <v>0</v>
      </c>
      <c r="P48" s="62">
        <v>0</v>
      </c>
      <c r="Q48" s="62">
        <v>0</v>
      </c>
      <c r="T48" s="62">
        <v>0</v>
      </c>
      <c r="U48" s="62">
        <v>0</v>
      </c>
      <c r="V48" s="62">
        <v>0</v>
      </c>
      <c r="W48" s="62">
        <v>0</v>
      </c>
      <c r="X48" s="62">
        <v>0</v>
      </c>
      <c r="Y48" s="62">
        <v>0</v>
      </c>
      <c r="Z48" s="62">
        <v>0</v>
      </c>
      <c r="AA48" s="62">
        <v>0</v>
      </c>
      <c r="AC48" s="62">
        <f t="shared" si="21"/>
        <v>0</v>
      </c>
    </row>
    <row r="49" spans="1:31" s="34" customFormat="1" x14ac:dyDescent="0.2">
      <c r="A49" s="16"/>
      <c r="B49" s="32" t="s">
        <v>55</v>
      </c>
      <c r="C49" s="33"/>
      <c r="D49" s="33"/>
      <c r="E49" s="33"/>
      <c r="F49" s="33"/>
      <c r="G49" s="33"/>
      <c r="H49" s="33"/>
      <c r="I49" s="33"/>
      <c r="J49" s="33"/>
      <c r="K49" s="33"/>
      <c r="L49" s="33"/>
      <c r="M49" s="33">
        <v>1921917</v>
      </c>
      <c r="N49" s="33">
        <v>1920158</v>
      </c>
      <c r="O49" s="33">
        <v>2016114</v>
      </c>
      <c r="P49" s="33">
        <v>1845762</v>
      </c>
      <c r="Q49" s="33">
        <v>2082587</v>
      </c>
      <c r="R49" s="1"/>
      <c r="S49" s="1"/>
      <c r="T49" s="33">
        <v>1731845</v>
      </c>
      <c r="U49" s="33">
        <v>1845762</v>
      </c>
      <c r="V49" s="33">
        <v>1698461</v>
      </c>
      <c r="W49" s="33">
        <v>1665703</v>
      </c>
      <c r="X49" s="33">
        <v>1924617</v>
      </c>
      <c r="Y49" s="33">
        <v>2082587</v>
      </c>
      <c r="Z49" s="33">
        <v>1902965</v>
      </c>
      <c r="AA49" s="33">
        <v>1948551</v>
      </c>
      <c r="AB49" s="1"/>
      <c r="AC49" s="33">
        <f t="shared" si="21"/>
        <v>1948551</v>
      </c>
      <c r="AD49" s="1"/>
      <c r="AE49" s="1"/>
    </row>
    <row r="50" spans="1:31" s="38" customFormat="1" ht="17" thickBot="1" x14ac:dyDescent="0.25">
      <c r="A50" s="16"/>
      <c r="B50" s="36" t="s">
        <v>56</v>
      </c>
      <c r="C50" s="37"/>
      <c r="D50" s="37"/>
      <c r="E50" s="37"/>
      <c r="F50" s="37"/>
      <c r="G50" s="37"/>
      <c r="H50" s="37"/>
      <c r="I50" s="37"/>
      <c r="J50" s="37"/>
      <c r="K50" s="37"/>
      <c r="L50" s="37"/>
      <c r="M50" s="37">
        <v>2572450</v>
      </c>
      <c r="N50" s="37">
        <v>2735206</v>
      </c>
      <c r="O50" s="37">
        <v>2954758</v>
      </c>
      <c r="P50" s="37">
        <v>2865270</v>
      </c>
      <c r="Q50" s="37">
        <v>3179200</v>
      </c>
      <c r="R50" s="1"/>
      <c r="S50" s="1"/>
      <c r="T50" s="37">
        <v>2663291</v>
      </c>
      <c r="U50" s="37">
        <v>2865270</v>
      </c>
      <c r="V50" s="37">
        <v>2644442</v>
      </c>
      <c r="W50" s="37">
        <v>2592317</v>
      </c>
      <c r="X50" s="37">
        <v>2895976</v>
      </c>
      <c r="Y50" s="37">
        <v>3179200</v>
      </c>
      <c r="Z50" s="37">
        <v>2904700</v>
      </c>
      <c r="AA50" s="37">
        <v>2907367</v>
      </c>
      <c r="AB50" s="1"/>
      <c r="AC50" s="37">
        <f t="shared" si="21"/>
        <v>2907367</v>
      </c>
      <c r="AD50" s="1"/>
      <c r="AE50" s="1"/>
    </row>
    <row r="51" spans="1:31" x14ac:dyDescent="0.2">
      <c r="B51" s="1"/>
    </row>
    <row r="52" spans="1:31" s="15" customFormat="1" ht="17" thickBot="1" x14ac:dyDescent="0.25">
      <c r="A52" s="11"/>
      <c r="B52" s="14" t="s">
        <v>57</v>
      </c>
      <c r="R52" s="1"/>
      <c r="S52" s="1"/>
      <c r="AB52" s="1"/>
      <c r="AD52" s="1"/>
      <c r="AE52" s="1"/>
    </row>
    <row r="53" spans="1:31" x14ac:dyDescent="0.2">
      <c r="B53" s="20" t="s">
        <v>58</v>
      </c>
      <c r="C53" s="62"/>
      <c r="D53" s="62"/>
      <c r="E53" s="62"/>
      <c r="F53" s="62"/>
      <c r="G53" s="62"/>
      <c r="H53" s="62"/>
      <c r="I53" s="62"/>
      <c r="J53" s="62"/>
      <c r="K53" s="62"/>
      <c r="L53" s="62"/>
      <c r="M53" s="62">
        <v>14705</v>
      </c>
      <c r="N53" s="62">
        <v>18723</v>
      </c>
      <c r="O53" s="62">
        <v>22597</v>
      </c>
      <c r="P53" s="62">
        <v>17232</v>
      </c>
      <c r="Q53" s="62">
        <v>16969</v>
      </c>
      <c r="T53" s="62">
        <v>4534</v>
      </c>
      <c r="U53" s="62"/>
      <c r="V53" s="62">
        <v>3253</v>
      </c>
      <c r="W53" s="62">
        <v>4230</v>
      </c>
      <c r="X53" s="62">
        <v>4513</v>
      </c>
      <c r="Y53" s="62">
        <v>4973</v>
      </c>
      <c r="Z53" s="62">
        <v>7509</v>
      </c>
      <c r="AA53" s="62">
        <v>9005</v>
      </c>
      <c r="AC53" s="62">
        <f>SUM(X53:AA53)</f>
        <v>26000</v>
      </c>
    </row>
    <row r="54" spans="1:31" x14ac:dyDescent="0.2">
      <c r="B54" s="23" t="s">
        <v>59</v>
      </c>
      <c r="C54" s="62"/>
      <c r="D54" s="62"/>
      <c r="E54" s="62"/>
      <c r="F54" s="62"/>
      <c r="G54" s="62"/>
      <c r="H54" s="62"/>
      <c r="I54" s="62"/>
      <c r="J54" s="62"/>
      <c r="K54" s="62"/>
      <c r="L54" s="62"/>
      <c r="M54" s="62">
        <v>515583</v>
      </c>
      <c r="N54" s="62">
        <v>369840</v>
      </c>
      <c r="O54" s="62">
        <v>371955</v>
      </c>
      <c r="P54" s="62">
        <v>358151</v>
      </c>
      <c r="Q54" s="62">
        <v>290676</v>
      </c>
      <c r="T54" s="62">
        <v>87488</v>
      </c>
      <c r="U54" s="62"/>
      <c r="V54" s="62">
        <v>76361</v>
      </c>
      <c r="W54" s="62">
        <v>78006</v>
      </c>
      <c r="X54" s="62">
        <v>71475</v>
      </c>
      <c r="Y54" s="62">
        <v>64834</v>
      </c>
      <c r="Z54" s="62">
        <v>53310</v>
      </c>
      <c r="AA54" s="62">
        <v>44962</v>
      </c>
      <c r="AC54" s="62">
        <f t="shared" ref="AC54:AC58" si="28">SUM(X54:AA54)</f>
        <v>234581</v>
      </c>
    </row>
    <row r="55" spans="1:31" x14ac:dyDescent="0.2">
      <c r="B55" s="23" t="s">
        <v>107</v>
      </c>
      <c r="C55" s="62"/>
      <c r="D55" s="62"/>
      <c r="E55" s="62"/>
      <c r="F55" s="62"/>
      <c r="G55" s="62"/>
      <c r="H55" s="62"/>
      <c r="I55" s="62"/>
      <c r="J55" s="62"/>
      <c r="K55" s="62"/>
      <c r="L55" s="62"/>
      <c r="M55" s="62">
        <v>-86387</v>
      </c>
      <c r="N55" s="62">
        <v>-123783</v>
      </c>
      <c r="O55" s="62">
        <v>-64217</v>
      </c>
      <c r="P55" s="62">
        <v>-22173</v>
      </c>
      <c r="Q55" s="62">
        <v>-25802</v>
      </c>
      <c r="T55" s="62">
        <v>-67719</v>
      </c>
      <c r="U55" s="62"/>
      <c r="V55" s="62">
        <v>197443</v>
      </c>
      <c r="W55" s="62">
        <v>-5039</v>
      </c>
      <c r="X55" s="62">
        <v>-98947</v>
      </c>
      <c r="Y55" s="62">
        <v>-119259</v>
      </c>
      <c r="Z55" s="62">
        <v>194865</v>
      </c>
      <c r="AA55" s="62">
        <v>-13656</v>
      </c>
      <c r="AC55" s="62">
        <f t="shared" si="28"/>
        <v>-36997</v>
      </c>
    </row>
    <row r="56" spans="1:31" x14ac:dyDescent="0.2">
      <c r="B56" s="23" t="s">
        <v>184</v>
      </c>
      <c r="C56" s="62"/>
      <c r="D56" s="62"/>
      <c r="E56" s="62"/>
      <c r="F56" s="62"/>
      <c r="G56" s="62"/>
      <c r="H56" s="62"/>
      <c r="I56" s="62"/>
      <c r="J56" s="62"/>
      <c r="K56" s="62"/>
      <c r="L56" s="62"/>
      <c r="M56" s="62">
        <v>0</v>
      </c>
      <c r="N56" s="62">
        <v>0</v>
      </c>
      <c r="O56" s="62">
        <v>0</v>
      </c>
      <c r="P56" s="62">
        <v>0</v>
      </c>
      <c r="Q56" s="62">
        <v>0</v>
      </c>
      <c r="T56" s="62">
        <v>0</v>
      </c>
      <c r="U56" s="62">
        <v>0</v>
      </c>
      <c r="V56" s="62">
        <v>0</v>
      </c>
      <c r="W56" s="62">
        <v>0</v>
      </c>
      <c r="X56" s="62">
        <v>0</v>
      </c>
      <c r="Y56" s="62">
        <v>0</v>
      </c>
      <c r="Z56" s="62">
        <v>0</v>
      </c>
      <c r="AA56" s="62">
        <v>0</v>
      </c>
      <c r="AC56" s="62">
        <f>SUM(X56:AA56)</f>
        <v>0</v>
      </c>
    </row>
    <row r="57" spans="1:31" x14ac:dyDescent="0.2">
      <c r="B57" s="23" t="s">
        <v>108</v>
      </c>
      <c r="C57" s="62"/>
      <c r="D57" s="62"/>
      <c r="E57" s="62"/>
      <c r="F57" s="62"/>
      <c r="G57" s="62"/>
      <c r="H57" s="62"/>
      <c r="I57" s="62"/>
      <c r="J57" s="62"/>
      <c r="K57" s="62"/>
      <c r="L57" s="62"/>
      <c r="M57" s="62">
        <v>3507</v>
      </c>
      <c r="N57" s="62">
        <v>-1571</v>
      </c>
      <c r="O57" s="62">
        <v>-5052</v>
      </c>
      <c r="P57" s="62">
        <v>27856</v>
      </c>
      <c r="Q57" s="62">
        <v>-21675</v>
      </c>
      <c r="T57" s="62">
        <v>8180</v>
      </c>
      <c r="U57" s="62"/>
      <c r="V57" s="62">
        <v>-15025</v>
      </c>
      <c r="W57" s="62">
        <v>3319</v>
      </c>
      <c r="X57" s="62">
        <v>-5695</v>
      </c>
      <c r="Y57" s="62">
        <v>-4274</v>
      </c>
      <c r="Z57" s="62">
        <v>9390</v>
      </c>
      <c r="AA57" s="62">
        <v>-2533</v>
      </c>
      <c r="AC57" s="62">
        <f t="shared" si="28"/>
        <v>-3112</v>
      </c>
    </row>
    <row r="58" spans="1:31" x14ac:dyDescent="0.2">
      <c r="B58" s="23" t="s">
        <v>109</v>
      </c>
      <c r="C58" s="62"/>
      <c r="D58" s="62"/>
      <c r="E58" s="62"/>
      <c r="F58" s="62"/>
      <c r="G58" s="62"/>
      <c r="H58" s="62"/>
      <c r="I58" s="62"/>
      <c r="J58" s="62"/>
      <c r="K58" s="62"/>
      <c r="L58" s="62"/>
      <c r="M58" s="62">
        <f>-43660-130186-15360+45729+24038-9064+105481</f>
        <v>-23022</v>
      </c>
      <c r="N58" s="62">
        <f>-185-118909-59810-14954+15086-3307+160746</f>
        <v>-21333</v>
      </c>
      <c r="O58" s="62">
        <f>-14694-118833+4222+11804-4039-13590+137471</f>
        <v>2341</v>
      </c>
      <c r="P58" s="62">
        <f>-3991-89157+7065+9235-23428-15527+68348</f>
        <v>-47455</v>
      </c>
      <c r="Q58" s="62">
        <f>3208-116202-3933+46697+2583-11652-22431</f>
        <v>-101730</v>
      </c>
      <c r="T58" s="62">
        <v>7517</v>
      </c>
      <c r="U58" s="62"/>
      <c r="V58" s="62">
        <f>-9460-13954-13074+12352-72534-2146-60261</f>
        <v>-159077</v>
      </c>
      <c r="W58" s="62">
        <v>-55572</v>
      </c>
      <c r="X58" s="62">
        <v>9189</v>
      </c>
      <c r="Y58" s="62">
        <v>103730</v>
      </c>
      <c r="Z58" s="62">
        <f>-13977-26645-12870-24991-61062-4458-55423</f>
        <v>-199426</v>
      </c>
      <c r="AA58" s="62">
        <v>-87170</v>
      </c>
      <c r="AC58" s="62">
        <f t="shared" si="28"/>
        <v>-173677</v>
      </c>
    </row>
    <row r="59" spans="1:31" s="19" customFormat="1" x14ac:dyDescent="0.2">
      <c r="A59" s="16"/>
      <c r="B59" s="17" t="s">
        <v>60</v>
      </c>
      <c r="C59" s="61"/>
      <c r="D59" s="61"/>
      <c r="E59" s="61"/>
      <c r="F59" s="61"/>
      <c r="G59" s="61"/>
      <c r="H59" s="61"/>
      <c r="I59" s="61"/>
      <c r="J59" s="61"/>
      <c r="K59" s="61"/>
      <c r="L59" s="61"/>
      <c r="M59" s="61">
        <v>-54963</v>
      </c>
      <c r="N59" s="61">
        <v>-9981</v>
      </c>
      <c r="O59" s="61">
        <v>299082</v>
      </c>
      <c r="P59" s="61">
        <v>320565</v>
      </c>
      <c r="Q59" s="61">
        <v>371208</v>
      </c>
      <c r="R59" s="1"/>
      <c r="S59" s="1"/>
      <c r="T59" s="61">
        <v>28070</v>
      </c>
      <c r="U59" s="61"/>
      <c r="V59" s="61">
        <v>119002</v>
      </c>
      <c r="W59" s="61">
        <v>41587</v>
      </c>
      <c r="X59" s="61">
        <v>28271</v>
      </c>
      <c r="Y59" s="61">
        <v>182348</v>
      </c>
      <c r="Z59" s="61">
        <v>131928</v>
      </c>
      <c r="AA59" s="61">
        <v>30699</v>
      </c>
      <c r="AB59" s="1"/>
      <c r="AC59" s="61">
        <f>SUM(X59:AA59)</f>
        <v>373246</v>
      </c>
      <c r="AD59" s="1"/>
      <c r="AE59" s="1"/>
    </row>
    <row r="60" spans="1:31" x14ac:dyDescent="0.2">
      <c r="B60" s="20" t="s">
        <v>61</v>
      </c>
      <c r="C60" s="62"/>
      <c r="D60" s="62"/>
      <c r="E60" s="62"/>
      <c r="F60" s="62"/>
      <c r="G60" s="62"/>
      <c r="H60" s="62"/>
      <c r="I60" s="62"/>
      <c r="J60" s="62"/>
      <c r="K60" s="62"/>
      <c r="L60" s="62"/>
      <c r="M60" s="62">
        <v>-8879</v>
      </c>
      <c r="N60" s="62">
        <v>-23815</v>
      </c>
      <c r="O60" s="62">
        <v>-7342</v>
      </c>
      <c r="P60" s="62">
        <v>-14923</v>
      </c>
      <c r="Q60" s="62">
        <v>-19048</v>
      </c>
      <c r="T60" s="62">
        <v>-4875</v>
      </c>
      <c r="U60" s="62"/>
      <c r="V60" s="62">
        <v>-12832</v>
      </c>
      <c r="W60" s="62">
        <v>0</v>
      </c>
      <c r="X60" s="62">
        <v>-3164</v>
      </c>
      <c r="Y60" s="62">
        <v>-3052</v>
      </c>
      <c r="Z60" s="62">
        <v>-2684</v>
      </c>
      <c r="AA60" s="62">
        <v>-1389</v>
      </c>
      <c r="AC60" s="62">
        <f>SUM(X60:AA60)</f>
        <v>-10289</v>
      </c>
    </row>
    <row r="61" spans="1:31" x14ac:dyDescent="0.2">
      <c r="B61" s="20" t="s">
        <v>110</v>
      </c>
      <c r="C61" s="62"/>
      <c r="D61" s="62"/>
      <c r="E61" s="62"/>
      <c r="F61" s="62"/>
      <c r="G61" s="62"/>
      <c r="H61" s="62"/>
      <c r="I61" s="62"/>
      <c r="J61" s="62"/>
      <c r="K61" s="62"/>
      <c r="L61" s="62"/>
      <c r="M61" s="62">
        <v>-2950</v>
      </c>
      <c r="N61" s="62">
        <v>0</v>
      </c>
      <c r="O61" s="62">
        <v>0</v>
      </c>
      <c r="P61" s="62">
        <v>0</v>
      </c>
      <c r="Q61" s="62">
        <v>0</v>
      </c>
      <c r="T61" s="62">
        <v>0</v>
      </c>
      <c r="U61" s="62"/>
      <c r="V61" s="62">
        <v>0</v>
      </c>
      <c r="W61" s="62">
        <v>0</v>
      </c>
      <c r="X61" s="62">
        <v>0</v>
      </c>
      <c r="Y61" s="62">
        <v>0</v>
      </c>
      <c r="Z61" s="62">
        <v>0</v>
      </c>
      <c r="AA61" s="62">
        <v>0</v>
      </c>
      <c r="AC61" s="62">
        <f t="shared" ref="AC61:AC66" si="29">SUM(X61:AA61)</f>
        <v>0</v>
      </c>
    </row>
    <row r="62" spans="1:31" s="19" customFormat="1" x14ac:dyDescent="0.2">
      <c r="A62" s="16"/>
      <c r="B62" s="17" t="s">
        <v>62</v>
      </c>
      <c r="C62" s="61"/>
      <c r="D62" s="61"/>
      <c r="E62" s="61"/>
      <c r="F62" s="61"/>
      <c r="G62" s="61"/>
      <c r="H62" s="61"/>
      <c r="I62" s="61"/>
      <c r="J62" s="61"/>
      <c r="K62" s="61"/>
      <c r="L62" s="61"/>
      <c r="M62" s="61">
        <v>-35442</v>
      </c>
      <c r="N62" s="61">
        <v>-289143</v>
      </c>
      <c r="O62" s="61">
        <v>-439569</v>
      </c>
      <c r="P62" s="61">
        <v>-45503</v>
      </c>
      <c r="Q62" s="61">
        <v>-22466</v>
      </c>
      <c r="R62" s="1"/>
      <c r="S62" s="1"/>
      <c r="T62" s="61">
        <v>-22914</v>
      </c>
      <c r="U62" s="61"/>
      <c r="V62" s="61">
        <v>-79923</v>
      </c>
      <c r="W62" s="61">
        <v>-655</v>
      </c>
      <c r="X62" s="61">
        <v>100764</v>
      </c>
      <c r="Y62" s="61">
        <v>-42652</v>
      </c>
      <c r="Z62" s="61">
        <v>-112841</v>
      </c>
      <c r="AA62" s="61">
        <v>-15724</v>
      </c>
      <c r="AB62" s="1"/>
      <c r="AC62" s="61">
        <f t="shared" si="29"/>
        <v>-70453</v>
      </c>
      <c r="AD62" s="1"/>
      <c r="AE62" s="1"/>
    </row>
    <row r="63" spans="1:31" x14ac:dyDescent="0.2">
      <c r="B63" s="20" t="s">
        <v>63</v>
      </c>
      <c r="C63" s="62"/>
      <c r="D63" s="62"/>
      <c r="E63" s="62"/>
      <c r="F63" s="62"/>
      <c r="G63" s="62"/>
      <c r="H63" s="62"/>
      <c r="I63" s="62"/>
      <c r="J63" s="62"/>
      <c r="K63" s="62"/>
      <c r="L63" s="62"/>
      <c r="M63" s="62">
        <v>0</v>
      </c>
      <c r="N63" s="62">
        <v>0</v>
      </c>
      <c r="O63" s="62">
        <v>-102615</v>
      </c>
      <c r="P63" s="62">
        <v>-390751</v>
      </c>
      <c r="Q63" s="62">
        <v>-329101</v>
      </c>
      <c r="T63" s="62">
        <v>-162651</v>
      </c>
      <c r="U63" s="62"/>
      <c r="V63" s="62">
        <v>-227525</v>
      </c>
      <c r="W63" s="62">
        <v>-101576</v>
      </c>
      <c r="X63" s="62">
        <v>0</v>
      </c>
      <c r="Y63" s="62">
        <v>0</v>
      </c>
      <c r="Z63" s="62">
        <f>-243796</f>
        <v>-243796</v>
      </c>
      <c r="AA63" s="62">
        <v>-24752</v>
      </c>
      <c r="AC63" s="62">
        <f t="shared" si="29"/>
        <v>-268548</v>
      </c>
    </row>
    <row r="64" spans="1:31" x14ac:dyDescent="0.2">
      <c r="B64" s="20" t="s">
        <v>326</v>
      </c>
      <c r="C64" s="62"/>
      <c r="D64" s="62"/>
      <c r="E64" s="62"/>
      <c r="F64" s="62"/>
      <c r="G64" s="62"/>
      <c r="H64" s="62"/>
      <c r="I64" s="62"/>
      <c r="J64" s="62"/>
      <c r="K64" s="62"/>
      <c r="L64" s="62"/>
      <c r="M64" s="62">
        <v>0</v>
      </c>
      <c r="N64" s="62">
        <v>0</v>
      </c>
      <c r="O64" s="62">
        <v>0</v>
      </c>
      <c r="P64" s="62">
        <v>0</v>
      </c>
      <c r="Q64" s="62">
        <v>0</v>
      </c>
      <c r="T64" s="62">
        <v>0</v>
      </c>
      <c r="U64" s="62">
        <v>0</v>
      </c>
      <c r="V64" s="62">
        <v>0</v>
      </c>
      <c r="W64" s="62">
        <v>0</v>
      </c>
      <c r="X64" s="62">
        <v>0</v>
      </c>
      <c r="Y64" s="62">
        <v>0</v>
      </c>
      <c r="Z64" s="62">
        <v>0</v>
      </c>
      <c r="AA64" s="62">
        <v>0</v>
      </c>
      <c r="AC64" s="62">
        <f>SUM(X64:AA64)</f>
        <v>0</v>
      </c>
    </row>
    <row r="65" spans="1:31" x14ac:dyDescent="0.2">
      <c r="B65" s="20" t="s">
        <v>377</v>
      </c>
      <c r="C65" s="62"/>
      <c r="D65" s="62"/>
      <c r="E65" s="62"/>
      <c r="F65" s="62"/>
      <c r="G65" s="62"/>
      <c r="H65" s="62"/>
      <c r="I65" s="62"/>
      <c r="J65" s="62"/>
      <c r="K65" s="62"/>
      <c r="L65" s="62"/>
      <c r="M65" s="62">
        <v>0</v>
      </c>
      <c r="N65" s="62">
        <v>0</v>
      </c>
      <c r="O65" s="62">
        <v>0</v>
      </c>
      <c r="P65" s="62">
        <v>0</v>
      </c>
      <c r="Q65" s="62">
        <v>0</v>
      </c>
      <c r="T65" s="62">
        <v>0</v>
      </c>
      <c r="U65" s="62">
        <v>0</v>
      </c>
      <c r="V65" s="62">
        <v>0</v>
      </c>
      <c r="W65" s="62">
        <v>0</v>
      </c>
      <c r="X65" s="62">
        <v>0</v>
      </c>
      <c r="Y65" s="62">
        <v>0</v>
      </c>
      <c r="Z65" s="62">
        <v>0</v>
      </c>
      <c r="AA65" s="62">
        <v>0</v>
      </c>
      <c r="AC65" s="62">
        <f>SUM(X65:AA65)</f>
        <v>0</v>
      </c>
    </row>
    <row r="66" spans="1:31" s="19" customFormat="1" ht="17" thickBot="1" x14ac:dyDescent="0.25">
      <c r="A66" s="16"/>
      <c r="B66" s="36" t="s">
        <v>64</v>
      </c>
      <c r="C66" s="71"/>
      <c r="D66" s="71"/>
      <c r="E66" s="71"/>
      <c r="F66" s="71"/>
      <c r="G66" s="71"/>
      <c r="H66" s="71"/>
      <c r="I66" s="71"/>
      <c r="J66" s="71"/>
      <c r="K66" s="71"/>
      <c r="L66" s="71"/>
      <c r="M66" s="71">
        <v>1469673</v>
      </c>
      <c r="N66" s="71">
        <v>-60669</v>
      </c>
      <c r="O66" s="71">
        <v>-196895</v>
      </c>
      <c r="P66" s="71">
        <v>-450515</v>
      </c>
      <c r="Q66" s="71">
        <v>-372375</v>
      </c>
      <c r="R66" s="1"/>
      <c r="S66" s="1"/>
      <c r="T66" s="71">
        <v>-172643</v>
      </c>
      <c r="U66" s="71"/>
      <c r="V66" s="71">
        <v>-235204</v>
      </c>
      <c r="W66" s="71">
        <v>-111602</v>
      </c>
      <c r="X66" s="71">
        <v>-11167</v>
      </c>
      <c r="Y66" s="71">
        <v>-14402</v>
      </c>
      <c r="Z66" s="71">
        <v>-252191</v>
      </c>
      <c r="AA66" s="71">
        <v>-34933</v>
      </c>
      <c r="AB66" s="1"/>
      <c r="AC66" s="71">
        <f t="shared" si="29"/>
        <v>-312693</v>
      </c>
      <c r="AD66" s="1"/>
      <c r="AE66" s="1"/>
    </row>
    <row r="67" spans="1:31" x14ac:dyDescent="0.2">
      <c r="B67" s="1"/>
    </row>
    <row r="68" spans="1:31" s="15" customFormat="1" ht="17" thickBot="1" x14ac:dyDescent="0.25">
      <c r="A68" s="11"/>
      <c r="B68" s="14" t="s">
        <v>65</v>
      </c>
      <c r="R68" s="1"/>
      <c r="S68" s="1"/>
      <c r="AB68" s="1"/>
      <c r="AD68" s="1"/>
      <c r="AE68" s="1"/>
    </row>
    <row r="69" spans="1:31" x14ac:dyDescent="0.2">
      <c r="B69" s="20" t="s">
        <v>66</v>
      </c>
      <c r="C69" s="64">
        <f t="shared" ref="C69:Q69" si="30">C5-C6-C11+C13+C14+C16-C17</f>
        <v>0</v>
      </c>
      <c r="D69" s="64">
        <f t="shared" si="30"/>
        <v>0</v>
      </c>
      <c r="E69" s="64">
        <f t="shared" si="30"/>
        <v>0</v>
      </c>
      <c r="F69" s="64">
        <f t="shared" si="30"/>
        <v>0</v>
      </c>
      <c r="G69" s="64">
        <f t="shared" si="30"/>
        <v>0</v>
      </c>
      <c r="H69" s="64">
        <f t="shared" si="30"/>
        <v>0</v>
      </c>
      <c r="I69" s="64">
        <f t="shared" si="30"/>
        <v>0</v>
      </c>
      <c r="J69" s="64">
        <f t="shared" si="30"/>
        <v>0</v>
      </c>
      <c r="K69" s="64">
        <f t="shared" si="30"/>
        <v>0</v>
      </c>
      <c r="L69" s="64">
        <f t="shared" si="30"/>
        <v>0</v>
      </c>
      <c r="M69" s="64">
        <f t="shared" si="30"/>
        <v>-525586</v>
      </c>
      <c r="N69" s="64">
        <f t="shared" si="30"/>
        <v>-328352</v>
      </c>
      <c r="O69" s="64">
        <f t="shared" si="30"/>
        <v>-89883</v>
      </c>
      <c r="P69" s="64">
        <f t="shared" si="30"/>
        <v>-73694</v>
      </c>
      <c r="Q69" s="64">
        <f t="shared" si="30"/>
        <v>282330</v>
      </c>
      <c r="T69" s="64">
        <f t="shared" ref="T69:Z69" si="31">T5-T6-T11+T13+T14+T16-T17</f>
        <v>-10655</v>
      </c>
      <c r="U69" s="64">
        <f t="shared" si="31"/>
        <v>51794</v>
      </c>
      <c r="V69" s="64">
        <f t="shared" si="31"/>
        <v>-22555</v>
      </c>
      <c r="W69" s="64">
        <f t="shared" si="31"/>
        <v>1584</v>
      </c>
      <c r="X69" s="64">
        <f t="shared" si="31"/>
        <v>198839</v>
      </c>
      <c r="Y69" s="64">
        <f t="shared" si="31"/>
        <v>104462</v>
      </c>
      <c r="Z69" s="64">
        <f t="shared" si="31"/>
        <v>22525</v>
      </c>
      <c r="AA69" s="64">
        <f t="shared" ref="AA69" si="32">AA5-AA6-AA11+AA13+AA14+AA16-AA17</f>
        <v>36089</v>
      </c>
      <c r="AC69" s="64">
        <f>AC5-AC6-AC11+AC13+AC14+AC16-AC17</f>
        <v>361915</v>
      </c>
    </row>
    <row r="70" spans="1:31" s="41" customFormat="1" x14ac:dyDescent="0.2">
      <c r="A70" s="16"/>
      <c r="B70" s="17" t="s">
        <v>67</v>
      </c>
      <c r="C70" s="40">
        <f t="shared" ref="C70:Q70" si="33">C18-C69</f>
        <v>0</v>
      </c>
      <c r="D70" s="40">
        <f t="shared" si="33"/>
        <v>0</v>
      </c>
      <c r="E70" s="40">
        <f t="shared" si="33"/>
        <v>0</v>
      </c>
      <c r="F70" s="40">
        <f t="shared" si="33"/>
        <v>0</v>
      </c>
      <c r="G70" s="40">
        <f t="shared" si="33"/>
        <v>0</v>
      </c>
      <c r="H70" s="40">
        <f t="shared" si="33"/>
        <v>0</v>
      </c>
      <c r="I70" s="40">
        <f t="shared" si="33"/>
        <v>0</v>
      </c>
      <c r="J70" s="40">
        <f t="shared" si="33"/>
        <v>0</v>
      </c>
      <c r="K70" s="40">
        <f t="shared" si="33"/>
        <v>0</v>
      </c>
      <c r="L70" s="40">
        <f t="shared" si="33"/>
        <v>0</v>
      </c>
      <c r="M70" s="40">
        <f t="shared" si="33"/>
        <v>0</v>
      </c>
      <c r="N70" s="40">
        <f t="shared" si="33"/>
        <v>0</v>
      </c>
      <c r="O70" s="40">
        <f t="shared" si="33"/>
        <v>0</v>
      </c>
      <c r="P70" s="40">
        <f t="shared" si="33"/>
        <v>0</v>
      </c>
      <c r="Q70" s="40">
        <f t="shared" si="33"/>
        <v>0</v>
      </c>
      <c r="R70" s="1"/>
      <c r="S70" s="1"/>
      <c r="T70" s="40">
        <f t="shared" ref="T70:Y70" si="34">T18-T69</f>
        <v>0</v>
      </c>
      <c r="U70" s="40">
        <f t="shared" si="34"/>
        <v>0</v>
      </c>
      <c r="V70" s="40">
        <f t="shared" si="34"/>
        <v>0</v>
      </c>
      <c r="W70" s="40">
        <f t="shared" si="34"/>
        <v>0</v>
      </c>
      <c r="X70" s="40">
        <f t="shared" si="34"/>
        <v>0</v>
      </c>
      <c r="Y70" s="40">
        <f t="shared" si="34"/>
        <v>0</v>
      </c>
      <c r="Z70" s="40">
        <f t="shared" ref="Z70:AA70" si="35">Z18-Z69</f>
        <v>0</v>
      </c>
      <c r="AA70" s="40">
        <f t="shared" si="35"/>
        <v>0</v>
      </c>
      <c r="AB70" s="16"/>
      <c r="AC70" s="40">
        <f>AC18-AC69</f>
        <v>0</v>
      </c>
      <c r="AD70" s="1"/>
      <c r="AE70" s="1"/>
    </row>
    <row r="71" spans="1:31" s="41" customFormat="1" x14ac:dyDescent="0.2">
      <c r="A71" s="16"/>
      <c r="B71" s="17" t="s">
        <v>68</v>
      </c>
      <c r="C71" s="42">
        <f t="shared" ref="C71:Q71" si="36">C37-(C43+C112)</f>
        <v>0</v>
      </c>
      <c r="D71" s="42">
        <f t="shared" si="36"/>
        <v>0</v>
      </c>
      <c r="E71" s="42">
        <f t="shared" si="36"/>
        <v>0</v>
      </c>
      <c r="F71" s="42">
        <f t="shared" si="36"/>
        <v>0</v>
      </c>
      <c r="G71" s="42">
        <f t="shared" si="36"/>
        <v>0</v>
      </c>
      <c r="H71" s="42">
        <f t="shared" si="36"/>
        <v>0</v>
      </c>
      <c r="I71" s="42">
        <f t="shared" si="36"/>
        <v>0</v>
      </c>
      <c r="J71" s="42">
        <f t="shared" si="36"/>
        <v>0</v>
      </c>
      <c r="K71" s="42">
        <f t="shared" si="36"/>
        <v>0</v>
      </c>
      <c r="L71" s="42">
        <f t="shared" si="36"/>
        <v>0</v>
      </c>
      <c r="M71" s="42">
        <f t="shared" si="36"/>
        <v>0</v>
      </c>
      <c r="N71" s="42">
        <f t="shared" si="36"/>
        <v>0</v>
      </c>
      <c r="O71" s="42">
        <f t="shared" si="36"/>
        <v>0</v>
      </c>
      <c r="P71" s="42">
        <f t="shared" si="36"/>
        <v>0</v>
      </c>
      <c r="Q71" s="42">
        <f t="shared" si="36"/>
        <v>0</v>
      </c>
      <c r="R71" s="1"/>
      <c r="S71" s="1"/>
      <c r="T71" s="42">
        <f t="shared" ref="T71:Z71" si="37">T37-(T43+T112)</f>
        <v>0</v>
      </c>
      <c r="U71" s="42">
        <f t="shared" si="37"/>
        <v>0</v>
      </c>
      <c r="V71" s="42">
        <f t="shared" si="37"/>
        <v>0</v>
      </c>
      <c r="W71" s="42">
        <f t="shared" si="37"/>
        <v>0</v>
      </c>
      <c r="X71" s="42">
        <f t="shared" si="37"/>
        <v>0</v>
      </c>
      <c r="Y71" s="42">
        <f t="shared" si="37"/>
        <v>0</v>
      </c>
      <c r="Z71" s="42">
        <f t="shared" si="37"/>
        <v>0</v>
      </c>
      <c r="AA71" s="42">
        <f t="shared" ref="AA71" si="38">AA37-(AA43+AA112)</f>
        <v>0</v>
      </c>
      <c r="AB71" s="16"/>
      <c r="AC71" s="42">
        <f>AC37-(AC43+AC112)</f>
        <v>0</v>
      </c>
      <c r="AD71" s="1"/>
      <c r="AE71" s="1"/>
    </row>
    <row r="72" spans="1:31" x14ac:dyDescent="0.2">
      <c r="B72" s="39"/>
      <c r="J72" s="39"/>
      <c r="K72" s="39"/>
      <c r="L72" s="39"/>
      <c r="M72" s="39"/>
      <c r="N72" s="39"/>
      <c r="O72" s="39"/>
      <c r="P72" s="39"/>
    </row>
    <row r="73" spans="1:31" s="15" customFormat="1" ht="17" thickBot="1" x14ac:dyDescent="0.25">
      <c r="A73" s="11"/>
      <c r="B73" s="14" t="s">
        <v>69</v>
      </c>
      <c r="R73" s="1"/>
      <c r="S73" s="1"/>
      <c r="AB73" s="1"/>
      <c r="AD73" s="1"/>
      <c r="AE73" s="1"/>
    </row>
    <row r="74" spans="1:31" x14ac:dyDescent="0.2">
      <c r="B74" s="20" t="s">
        <v>70</v>
      </c>
      <c r="C74" s="43"/>
      <c r="D74" s="43"/>
      <c r="E74" s="43"/>
      <c r="F74" s="43"/>
      <c r="G74" s="43"/>
      <c r="H74" s="43"/>
      <c r="I74" s="43"/>
      <c r="J74" s="21"/>
      <c r="K74" s="21"/>
      <c r="L74" s="21"/>
      <c r="M74" s="21">
        <f>459635+82453</f>
        <v>542088</v>
      </c>
      <c r="N74" s="21">
        <f>474970+82453</f>
        <v>557423</v>
      </c>
      <c r="O74" s="21">
        <f>486560+82453</f>
        <v>569013</v>
      </c>
      <c r="P74" s="21">
        <f>474040+77453</f>
        <v>551493</v>
      </c>
      <c r="Q74" s="21">
        <f>459231+64691</f>
        <v>523922</v>
      </c>
      <c r="T74" s="21">
        <f>467146+82453</f>
        <v>549599</v>
      </c>
      <c r="U74" s="21">
        <f>474040+77453</f>
        <v>551493</v>
      </c>
      <c r="V74" s="21">
        <f>457586+77453</f>
        <v>535039</v>
      </c>
      <c r="W74" s="21">
        <f>453569+77453</f>
        <v>531022</v>
      </c>
      <c r="X74" s="21">
        <f>460444+74306</f>
        <v>534750</v>
      </c>
      <c r="Y74" s="21">
        <f t="shared" ref="Y74" si="39">459231+64691</f>
        <v>523922</v>
      </c>
      <c r="Z74" s="21">
        <f>453430+64691</f>
        <v>518121</v>
      </c>
      <c r="AA74" s="21">
        <f>456465+64691</f>
        <v>521156</v>
      </c>
      <c r="AC74" s="24">
        <f>AA74</f>
        <v>521156</v>
      </c>
    </row>
    <row r="75" spans="1:31" x14ac:dyDescent="0.2">
      <c r="B75" s="20" t="s">
        <v>71</v>
      </c>
      <c r="C75" s="25"/>
      <c r="D75" s="25"/>
      <c r="E75" s="25"/>
      <c r="F75" s="25"/>
      <c r="G75" s="25"/>
      <c r="H75" s="25"/>
      <c r="I75" s="25"/>
      <c r="J75" s="25"/>
      <c r="K75" s="25"/>
      <c r="L75" s="25"/>
      <c r="M75" s="25">
        <f t="shared" ref="M75:Q75" si="40">M74*M85</f>
        <v>542088</v>
      </c>
      <c r="N75" s="25">
        <f t="shared" si="40"/>
        <v>557423</v>
      </c>
      <c r="O75" s="25">
        <f t="shared" si="40"/>
        <v>569013</v>
      </c>
      <c r="P75" s="25">
        <f t="shared" si="40"/>
        <v>551493</v>
      </c>
      <c r="Q75" s="25">
        <f t="shared" si="40"/>
        <v>523922</v>
      </c>
      <c r="T75" s="25">
        <f t="shared" ref="T75" si="41">T74*T85</f>
        <v>549599</v>
      </c>
      <c r="U75" s="25">
        <f t="shared" ref="U75" si="42">U74*U85</f>
        <v>551493</v>
      </c>
      <c r="V75" s="25">
        <f t="shared" ref="V75" si="43">V74*V85</f>
        <v>535039</v>
      </c>
      <c r="W75" s="25">
        <f t="shared" ref="W75" si="44">W74*W85</f>
        <v>531022</v>
      </c>
      <c r="X75" s="25">
        <f t="shared" ref="X75:Z75" si="45">X74*X85</f>
        <v>534750</v>
      </c>
      <c r="Y75" s="25">
        <f t="shared" si="45"/>
        <v>523922</v>
      </c>
      <c r="Z75" s="25">
        <f t="shared" si="45"/>
        <v>518121</v>
      </c>
      <c r="AA75" s="25">
        <f t="shared" ref="AA75" si="46">AA74*AA85</f>
        <v>521156</v>
      </c>
      <c r="AC75" s="24">
        <f>AA75</f>
        <v>521156</v>
      </c>
    </row>
    <row r="76" spans="1:31" x14ac:dyDescent="0.2">
      <c r="B76" s="20" t="s">
        <v>276</v>
      </c>
      <c r="C76" s="25"/>
      <c r="D76" s="25"/>
      <c r="E76" s="25"/>
      <c r="F76" s="25"/>
      <c r="G76" s="25"/>
      <c r="H76" s="25"/>
      <c r="I76" s="25"/>
      <c r="J76" s="25"/>
      <c r="K76" s="25"/>
      <c r="L76" s="25"/>
      <c r="M76" s="21">
        <v>0</v>
      </c>
      <c r="N76" s="21">
        <v>0</v>
      </c>
      <c r="O76" s="21">
        <v>0</v>
      </c>
      <c r="P76" s="21">
        <v>0</v>
      </c>
      <c r="Q76" s="21">
        <v>6735</v>
      </c>
      <c r="T76" s="21">
        <v>0</v>
      </c>
      <c r="U76" s="21">
        <v>0</v>
      </c>
      <c r="V76" s="21">
        <v>0</v>
      </c>
      <c r="W76" s="21">
        <v>6696</v>
      </c>
      <c r="X76" s="21">
        <v>6763</v>
      </c>
      <c r="Y76" s="21">
        <v>6735</v>
      </c>
      <c r="Z76" s="21">
        <v>4234</v>
      </c>
      <c r="AA76" s="21">
        <v>3359</v>
      </c>
      <c r="AC76" s="21">
        <f>AA76</f>
        <v>3359</v>
      </c>
    </row>
    <row r="77" spans="1:31" x14ac:dyDescent="0.2">
      <c r="B77" s="20" t="s">
        <v>277</v>
      </c>
      <c r="C77" s="25"/>
      <c r="D77" s="25"/>
      <c r="E77" s="25"/>
      <c r="F77" s="25"/>
      <c r="G77" s="25"/>
      <c r="H77" s="25"/>
      <c r="I77" s="25"/>
      <c r="J77" s="25"/>
      <c r="K77" s="25"/>
      <c r="L77" s="25"/>
      <c r="M77" s="25">
        <f t="shared" ref="M77:P77" si="47">M76*M85</f>
        <v>0</v>
      </c>
      <c r="N77" s="25">
        <f t="shared" si="47"/>
        <v>0</v>
      </c>
      <c r="O77" s="25">
        <f t="shared" si="47"/>
        <v>0</v>
      </c>
      <c r="P77" s="25">
        <f t="shared" si="47"/>
        <v>0</v>
      </c>
      <c r="Q77" s="25">
        <f>Q76*Q85</f>
        <v>6735</v>
      </c>
      <c r="T77" s="25">
        <f t="shared" ref="T77:Y77" si="48">T76*T85</f>
        <v>0</v>
      </c>
      <c r="U77" s="25">
        <f t="shared" si="48"/>
        <v>0</v>
      </c>
      <c r="V77" s="25">
        <f t="shared" si="48"/>
        <v>0</v>
      </c>
      <c r="W77" s="25">
        <f t="shared" si="48"/>
        <v>6696</v>
      </c>
      <c r="X77" s="25">
        <f t="shared" si="48"/>
        <v>6763</v>
      </c>
      <c r="Y77" s="25">
        <f t="shared" si="48"/>
        <v>6735</v>
      </c>
      <c r="Z77" s="25">
        <f t="shared" ref="Z77:AA77" si="49">Z76*Z85</f>
        <v>4234</v>
      </c>
      <c r="AA77" s="25">
        <f t="shared" si="49"/>
        <v>3359</v>
      </c>
      <c r="AC77" s="24">
        <f>AA77</f>
        <v>3359</v>
      </c>
    </row>
    <row r="78" spans="1:31" x14ac:dyDescent="0.2">
      <c r="B78" s="20" t="s">
        <v>278</v>
      </c>
      <c r="C78" s="25"/>
      <c r="D78" s="25"/>
      <c r="E78" s="25"/>
      <c r="F78" s="25"/>
      <c r="G78" s="25"/>
      <c r="H78" s="25"/>
      <c r="I78" s="25"/>
      <c r="J78" s="25"/>
      <c r="K78" s="25"/>
      <c r="L78" s="25"/>
      <c r="M78" s="25">
        <f t="shared" ref="M78:P78" si="50">M75+M77</f>
        <v>542088</v>
      </c>
      <c r="N78" s="25">
        <f t="shared" si="50"/>
        <v>557423</v>
      </c>
      <c r="O78" s="25">
        <f t="shared" si="50"/>
        <v>569013</v>
      </c>
      <c r="P78" s="25">
        <f t="shared" si="50"/>
        <v>551493</v>
      </c>
      <c r="Q78" s="25">
        <f>Q75+Q77</f>
        <v>530657</v>
      </c>
      <c r="T78" s="25">
        <f t="shared" ref="T78:Y78" si="51">T75+T77</f>
        <v>549599</v>
      </c>
      <c r="U78" s="25">
        <f t="shared" si="51"/>
        <v>551493</v>
      </c>
      <c r="V78" s="25">
        <f t="shared" si="51"/>
        <v>535039</v>
      </c>
      <c r="W78" s="25">
        <f t="shared" si="51"/>
        <v>537718</v>
      </c>
      <c r="X78" s="25">
        <f t="shared" si="51"/>
        <v>541513</v>
      </c>
      <c r="Y78" s="25">
        <f t="shared" si="51"/>
        <v>530657</v>
      </c>
      <c r="Z78" s="25">
        <f t="shared" ref="Z78:AA78" si="52">Z75+Z77</f>
        <v>522355</v>
      </c>
      <c r="AA78" s="25">
        <f t="shared" si="52"/>
        <v>524515</v>
      </c>
      <c r="AC78" s="24">
        <f>AA78</f>
        <v>524515</v>
      </c>
    </row>
    <row r="79" spans="1:31" x14ac:dyDescent="0.2">
      <c r="B79" s="20" t="s">
        <v>317</v>
      </c>
      <c r="C79" s="25"/>
      <c r="D79" s="25"/>
      <c r="E79" s="25"/>
      <c r="F79" s="25"/>
      <c r="G79" s="25"/>
      <c r="H79" s="25"/>
      <c r="I79" s="25"/>
      <c r="J79" s="25"/>
      <c r="K79" s="25"/>
      <c r="L79" s="25"/>
      <c r="M79" s="21">
        <f>91239+82453</f>
        <v>173692</v>
      </c>
      <c r="N79" s="21">
        <f>91503+82453</f>
        <v>173956</v>
      </c>
      <c r="O79" s="21">
        <f>45636+82453</f>
        <v>128089</v>
      </c>
      <c r="P79" s="21">
        <f>46600+77453</f>
        <v>124053</v>
      </c>
      <c r="Q79" s="21">
        <f>52118+64691</f>
        <v>116809</v>
      </c>
      <c r="T79" s="68"/>
      <c r="U79" s="68"/>
      <c r="V79" s="68"/>
      <c r="W79" s="68"/>
      <c r="X79" s="68"/>
      <c r="Y79" s="68"/>
      <c r="Z79" s="68"/>
      <c r="AA79" s="68"/>
      <c r="AC79" s="24">
        <f>Q79</f>
        <v>116809</v>
      </c>
    </row>
    <row r="80" spans="1:31" x14ac:dyDescent="0.2">
      <c r="B80" s="20" t="s">
        <v>318</v>
      </c>
      <c r="C80" s="25"/>
      <c r="D80" s="25"/>
      <c r="E80" s="25"/>
      <c r="F80" s="25"/>
      <c r="G80" s="25"/>
      <c r="H80" s="25"/>
      <c r="I80" s="25"/>
      <c r="J80" s="25"/>
      <c r="K80" s="25"/>
      <c r="L80" s="25"/>
      <c r="M80" s="25">
        <f t="shared" ref="M80:P80" si="53">M79*M85</f>
        <v>173692</v>
      </c>
      <c r="N80" s="25">
        <f t="shared" si="53"/>
        <v>173956</v>
      </c>
      <c r="O80" s="25">
        <f t="shared" si="53"/>
        <v>128089</v>
      </c>
      <c r="P80" s="25">
        <f t="shared" si="53"/>
        <v>124053</v>
      </c>
      <c r="Q80" s="25">
        <f>Q79*Q85</f>
        <v>116809</v>
      </c>
      <c r="T80" s="68"/>
      <c r="U80" s="68"/>
      <c r="V80" s="68"/>
      <c r="W80" s="68"/>
      <c r="X80" s="68"/>
      <c r="Y80" s="68"/>
      <c r="Z80" s="68"/>
      <c r="AA80" s="68"/>
      <c r="AC80" s="24">
        <f>Q80</f>
        <v>116809</v>
      </c>
    </row>
    <row r="81" spans="1:31" x14ac:dyDescent="0.2">
      <c r="B81" s="23" t="s">
        <v>72</v>
      </c>
      <c r="C81" s="44"/>
      <c r="D81" s="44"/>
      <c r="E81" s="44"/>
      <c r="F81" s="44"/>
      <c r="G81" s="44"/>
      <c r="H81" s="44"/>
      <c r="I81" s="44"/>
      <c r="J81" s="44"/>
      <c r="K81" s="44"/>
      <c r="L81" s="44"/>
      <c r="M81" s="44">
        <v>0</v>
      </c>
      <c r="N81" s="44">
        <v>0</v>
      </c>
      <c r="O81" s="44">
        <v>0</v>
      </c>
      <c r="P81" s="44">
        <v>0</v>
      </c>
      <c r="Q81" s="44">
        <v>0</v>
      </c>
      <c r="T81" s="44">
        <v>0</v>
      </c>
      <c r="U81" s="44">
        <v>0</v>
      </c>
      <c r="V81" s="44">
        <v>0</v>
      </c>
      <c r="W81" s="44">
        <v>0</v>
      </c>
      <c r="X81" s="44">
        <v>0</v>
      </c>
      <c r="Y81" s="44">
        <v>0</v>
      </c>
      <c r="Z81" s="44">
        <v>0</v>
      </c>
      <c r="AA81" s="44">
        <v>0</v>
      </c>
      <c r="AC81" s="72">
        <f>SUM(X81:AA81)</f>
        <v>0</v>
      </c>
    </row>
    <row r="82" spans="1:31" x14ac:dyDescent="0.2">
      <c r="B82" s="23" t="s">
        <v>73</v>
      </c>
      <c r="C82" s="39"/>
      <c r="D82" s="45"/>
      <c r="E82" s="45"/>
      <c r="F82" s="45"/>
      <c r="G82" s="45"/>
      <c r="H82" s="45"/>
      <c r="I82" s="45"/>
      <c r="J82" s="45"/>
      <c r="K82" s="45"/>
      <c r="L82" s="45"/>
      <c r="M82" s="45">
        <f t="shared" ref="M82:Q82" si="54">M81/M85</f>
        <v>0</v>
      </c>
      <c r="N82" s="45">
        <f t="shared" si="54"/>
        <v>0</v>
      </c>
      <c r="O82" s="45">
        <f t="shared" si="54"/>
        <v>0</v>
      </c>
      <c r="P82" s="45">
        <f t="shared" si="54"/>
        <v>0</v>
      </c>
      <c r="Q82" s="45">
        <f t="shared" si="54"/>
        <v>0</v>
      </c>
      <c r="T82" s="45">
        <f t="shared" ref="T82" si="55">T81/T85</f>
        <v>0</v>
      </c>
      <c r="U82" s="45">
        <f t="shared" ref="U82" si="56">U81/U85</f>
        <v>0</v>
      </c>
      <c r="V82" s="45">
        <f t="shared" ref="V82" si="57">V81/V85</f>
        <v>0</v>
      </c>
      <c r="W82" s="45">
        <f t="shared" ref="W82" si="58">W81/W85</f>
        <v>0</v>
      </c>
      <c r="X82" s="45">
        <f t="shared" ref="X82:Z82" si="59">X81/X85</f>
        <v>0</v>
      </c>
      <c r="Y82" s="45">
        <f t="shared" si="59"/>
        <v>0</v>
      </c>
      <c r="Z82" s="45">
        <f t="shared" si="59"/>
        <v>0</v>
      </c>
      <c r="AA82" s="45">
        <f t="shared" ref="AA82" si="60">AA81/AA85</f>
        <v>0</v>
      </c>
      <c r="AC82" s="72">
        <f>SUM(X82:AA82)</f>
        <v>0</v>
      </c>
    </row>
    <row r="83" spans="1:31" x14ac:dyDescent="0.2">
      <c r="B83" s="20" t="s">
        <v>74</v>
      </c>
      <c r="C83" s="46">
        <f t="shared" ref="C83:Q83" si="61">IF(AND(C15&gt;0,C16&lt;0),-(C16)/C15,0)</f>
        <v>0</v>
      </c>
      <c r="D83" s="46">
        <f t="shared" si="61"/>
        <v>0</v>
      </c>
      <c r="E83" s="46">
        <f t="shared" si="61"/>
        <v>0</v>
      </c>
      <c r="F83" s="46">
        <f t="shared" si="61"/>
        <v>0</v>
      </c>
      <c r="G83" s="46">
        <f t="shared" si="61"/>
        <v>0</v>
      </c>
      <c r="H83" s="46">
        <f t="shared" si="61"/>
        <v>0</v>
      </c>
      <c r="I83" s="46">
        <f t="shared" si="61"/>
        <v>0</v>
      </c>
      <c r="J83" s="46">
        <f t="shared" si="61"/>
        <v>0</v>
      </c>
      <c r="K83" s="46">
        <f t="shared" si="61"/>
        <v>0</v>
      </c>
      <c r="L83" s="46">
        <f t="shared" si="61"/>
        <v>0</v>
      </c>
      <c r="M83" s="46">
        <f t="shared" si="61"/>
        <v>0</v>
      </c>
      <c r="N83" s="46">
        <f t="shared" si="61"/>
        <v>0</v>
      </c>
      <c r="O83" s="46">
        <f t="shared" si="61"/>
        <v>0</v>
      </c>
      <c r="P83" s="46">
        <f t="shared" si="61"/>
        <v>0</v>
      </c>
      <c r="Q83" s="46">
        <f t="shared" si="61"/>
        <v>0</v>
      </c>
      <c r="T83" s="46">
        <f t="shared" ref="T83:Z83" si="62">IF(AND(T15&gt;0,T16&lt;0),-(T16)/T15,0)</f>
        <v>0</v>
      </c>
      <c r="U83" s="46">
        <f t="shared" si="62"/>
        <v>5.1808728763913299E-2</v>
      </c>
      <c r="V83" s="46">
        <f t="shared" si="62"/>
        <v>0</v>
      </c>
      <c r="W83" s="46">
        <f t="shared" si="62"/>
        <v>0.52389540126239853</v>
      </c>
      <c r="X83" s="46">
        <f t="shared" si="62"/>
        <v>0</v>
      </c>
      <c r="Y83" s="46">
        <f t="shared" si="62"/>
        <v>0</v>
      </c>
      <c r="Z83" s="46">
        <f t="shared" si="62"/>
        <v>0.45018062878344073</v>
      </c>
      <c r="AA83" s="46">
        <f t="shared" ref="AA83" si="63">IF(AND(AA15&gt;0,AA16&lt;0),-(AA16)/AA15,0)</f>
        <v>0.31720745435625769</v>
      </c>
      <c r="AC83" s="46">
        <f>IF(AND(AC15&gt;0,AC16&lt;0),-(AC16)/AC15,0)</f>
        <v>0</v>
      </c>
    </row>
    <row r="84" spans="1:31" x14ac:dyDescent="0.2">
      <c r="B84" s="20" t="s">
        <v>75</v>
      </c>
      <c r="C84" s="21"/>
      <c r="D84" s="21"/>
      <c r="E84" s="21"/>
      <c r="F84" s="21"/>
      <c r="G84" s="21"/>
      <c r="H84" s="21"/>
      <c r="I84" s="21"/>
      <c r="J84" s="21"/>
      <c r="K84" s="21"/>
      <c r="L84" s="21"/>
      <c r="M84" s="21">
        <v>4013</v>
      </c>
      <c r="N84" s="21">
        <v>3833</v>
      </c>
      <c r="O84" s="21">
        <v>4035</v>
      </c>
      <c r="P84" s="21">
        <v>3868</v>
      </c>
      <c r="Q84" s="21">
        <v>3981</v>
      </c>
      <c r="T84" s="68"/>
      <c r="U84" s="68"/>
      <c r="V84" s="68"/>
      <c r="W84" s="68"/>
      <c r="X84" s="68"/>
      <c r="Y84" s="68"/>
      <c r="Z84" s="68"/>
      <c r="AA84" s="68"/>
      <c r="AC84" s="21">
        <f>Q84</f>
        <v>3981</v>
      </c>
    </row>
    <row r="85" spans="1:31" x14ac:dyDescent="0.2">
      <c r="B85" s="20" t="s">
        <v>76</v>
      </c>
      <c r="C85" s="21"/>
      <c r="D85" s="21"/>
      <c r="E85" s="21"/>
      <c r="F85" s="21"/>
      <c r="G85" s="21"/>
      <c r="H85" s="21"/>
      <c r="I85" s="21"/>
      <c r="J85" s="21"/>
      <c r="K85" s="21"/>
      <c r="L85" s="21"/>
      <c r="M85" s="21">
        <v>1</v>
      </c>
      <c r="N85" s="21">
        <v>1</v>
      </c>
      <c r="O85" s="21">
        <v>1</v>
      </c>
      <c r="P85" s="21">
        <v>1</v>
      </c>
      <c r="Q85" s="21">
        <v>1</v>
      </c>
      <c r="T85" s="21">
        <v>1</v>
      </c>
      <c r="U85" s="21">
        <v>1</v>
      </c>
      <c r="V85" s="21">
        <v>1</v>
      </c>
      <c r="W85" s="21">
        <v>1</v>
      </c>
      <c r="X85" s="21">
        <v>1</v>
      </c>
      <c r="Y85" s="21">
        <v>1</v>
      </c>
      <c r="Z85" s="21">
        <v>1</v>
      </c>
      <c r="AA85" s="21">
        <v>1</v>
      </c>
      <c r="AC85" s="21">
        <v>1</v>
      </c>
    </row>
    <row r="87" spans="1:31" x14ac:dyDescent="0.2">
      <c r="B87" s="1"/>
    </row>
    <row r="88" spans="1:31" s="15" customFormat="1" ht="17" thickBot="1" x14ac:dyDescent="0.25">
      <c r="A88" s="11"/>
      <c r="B88" s="14" t="s">
        <v>77</v>
      </c>
      <c r="R88" s="1"/>
      <c r="S88" s="1"/>
      <c r="AB88" s="1"/>
      <c r="AD88" s="1"/>
      <c r="AE88" s="1"/>
    </row>
    <row r="89" spans="1:31" s="41" customFormat="1" x14ac:dyDescent="0.2">
      <c r="A89" s="16"/>
      <c r="B89" s="17" t="s">
        <v>20</v>
      </c>
      <c r="C89" s="47"/>
      <c r="D89" s="48"/>
      <c r="E89" s="48"/>
      <c r="F89" s="48"/>
      <c r="G89" s="48"/>
      <c r="H89" s="48"/>
      <c r="I89" s="48"/>
      <c r="J89" s="48"/>
      <c r="K89" s="48"/>
      <c r="L89" s="48"/>
      <c r="M89" s="48">
        <f t="shared" ref="M89:Q96" si="64">IF(L5=0,
IF(M5=0,0,IF(M5&gt;0,1,-1)),
(M5-L5)/ABS(L5)
)</f>
        <v>1</v>
      </c>
      <c r="N89" s="48">
        <f t="shared" si="64"/>
        <v>0.18641482451146088</v>
      </c>
      <c r="O89" s="48">
        <f t="shared" si="64"/>
        <v>0.23568437370404344</v>
      </c>
      <c r="P89" s="48">
        <f t="shared" si="64"/>
        <v>9.2955127852289474E-2</v>
      </c>
      <c r="Q89" s="48">
        <f t="shared" si="64"/>
        <v>0.12653882310808692</v>
      </c>
      <c r="R89" s="1"/>
      <c r="S89" s="1"/>
      <c r="T89" s="48">
        <f t="shared" ref="T89:T96" si="65">IF(S5=0,
IF(T5=0,0,IF(T5&gt;0,1,-1)),
(T5-S5)/ABS(S5)
)</f>
        <v>1</v>
      </c>
      <c r="U89" s="48">
        <f t="shared" ref="U89:U96" si="66">IF(T5=0,
IF(U5=0,0,IF(U5&gt;0,1,-1)),
(U5-T5)/ABS(T5)
)</f>
        <v>0.1945366315807282</v>
      </c>
      <c r="V89" s="48">
        <f t="shared" ref="V89:V96" si="67">IF(U5=0,
IF(V5=0,0,IF(V5&gt;0,1,-1)),
(V5-U5)/ABS(U5)
)</f>
        <v>-0.15820283916288599</v>
      </c>
      <c r="W89" s="48">
        <f t="shared" ref="W89:W96" si="68">IF(V5=0,
IF(W5=0,0,IF(W5&gt;0,1,-1)),
(W5-V5)/ABS(V5)
)</f>
        <v>1.4311992462649737E-2</v>
      </c>
      <c r="X89" s="48">
        <f t="shared" ref="X89:X96" si="69">IF(W5=0,
IF(X5=0,0,IF(X5&gt;0,1,-1)),
(X5-W5)/ABS(W5)
)</f>
        <v>0.13652523443029016</v>
      </c>
      <c r="Y89" s="48">
        <f t="shared" ref="Y89:Y96" si="70">IF(X5=0,
IF(Y5=0,0,IF(Y5&gt;0,1,-1)),
(Y5-X5)/ABS(X5)
)</f>
        <v>0.17025489342346264</v>
      </c>
      <c r="Z89" s="48">
        <f t="shared" ref="Z89:Z96" si="71">IF(Y5=0,
IF(Z5=0,0,IF(Z5&gt;0,1,-1)),
(Z5-Y5)/ABS(Y5)
)</f>
        <v>-0.13037640275448081</v>
      </c>
      <c r="AA89" s="48">
        <f t="shared" ref="AA89:AA96" si="72">IF(Z5=0,
IF(AA5=0,0,IF(AA5&gt;0,1,-1)),
(AA5-Z5)/ABS(Z5)
)</f>
        <v>-1.94224416920422E-2</v>
      </c>
      <c r="AB89" s="1"/>
      <c r="AC89" s="67"/>
      <c r="AD89" s="1"/>
      <c r="AE89" s="1"/>
    </row>
    <row r="90" spans="1:31" x14ac:dyDescent="0.2">
      <c r="B90" s="20" t="s">
        <v>21</v>
      </c>
      <c r="C90" s="49"/>
      <c r="D90" s="50"/>
      <c r="E90" s="50"/>
      <c r="F90" s="50"/>
      <c r="G90" s="50"/>
      <c r="H90" s="50"/>
      <c r="I90" s="50"/>
      <c r="J90" s="50"/>
      <c r="K90" s="50"/>
      <c r="L90" s="50"/>
      <c r="M90" s="50">
        <f t="shared" si="64"/>
        <v>1</v>
      </c>
      <c r="N90" s="50">
        <f t="shared" si="64"/>
        <v>6.6223322358291689E-2</v>
      </c>
      <c r="O90" s="50">
        <f t="shared" si="64"/>
        <v>8.8158355132712404E-2</v>
      </c>
      <c r="P90" s="50">
        <f t="shared" si="64"/>
        <v>0.26039688858945303</v>
      </c>
      <c r="Q90" s="50">
        <f t="shared" si="64"/>
        <v>9.7358893991301598E-2</v>
      </c>
      <c r="T90" s="50">
        <f t="shared" si="65"/>
        <v>1</v>
      </c>
      <c r="U90" s="50">
        <f t="shared" si="66"/>
        <v>1.2091651898436397E-2</v>
      </c>
      <c r="V90" s="50">
        <f t="shared" si="67"/>
        <v>-1.0490594105432795E-2</v>
      </c>
      <c r="W90" s="50">
        <f t="shared" si="68"/>
        <v>8.1901749220915487E-3</v>
      </c>
      <c r="X90" s="50">
        <f t="shared" si="69"/>
        <v>6.8841255048151598E-2</v>
      </c>
      <c r="Y90" s="50">
        <f t="shared" si="70"/>
        <v>7.4449223972562928E-2</v>
      </c>
      <c r="Z90" s="50">
        <f t="shared" si="71"/>
        <v>4.0481504023804696E-2</v>
      </c>
      <c r="AA90" s="50">
        <f t="shared" si="72"/>
        <v>4.7563955906821963E-2</v>
      </c>
      <c r="AC90" s="68"/>
    </row>
    <row r="91" spans="1:31" s="41" customFormat="1" x14ac:dyDescent="0.2">
      <c r="A91" s="16"/>
      <c r="B91" s="17" t="s">
        <v>22</v>
      </c>
      <c r="C91" s="47"/>
      <c r="D91" s="48"/>
      <c r="E91" s="48"/>
      <c r="F91" s="48"/>
      <c r="G91" s="48"/>
      <c r="H91" s="48"/>
      <c r="I91" s="48"/>
      <c r="J91" s="48"/>
      <c r="K91" s="48"/>
      <c r="L91" s="48"/>
      <c r="M91" s="48">
        <f t="shared" si="64"/>
        <v>1</v>
      </c>
      <c r="N91" s="48">
        <f t="shared" si="64"/>
        <v>0.21447253464273469</v>
      </c>
      <c r="O91" s="48">
        <f t="shared" si="64"/>
        <v>0.26591920594629664</v>
      </c>
      <c r="P91" s="48">
        <f t="shared" si="64"/>
        <v>6.3457381571517466E-2</v>
      </c>
      <c r="Q91" s="48">
        <f t="shared" si="64"/>
        <v>0.13263133686529885</v>
      </c>
      <c r="R91" s="1"/>
      <c r="S91" s="1"/>
      <c r="T91" s="48">
        <f t="shared" si="65"/>
        <v>1</v>
      </c>
      <c r="U91" s="48">
        <f t="shared" si="66"/>
        <v>0.23452851593385815</v>
      </c>
      <c r="V91" s="48">
        <f t="shared" si="67"/>
        <v>-0.18474737686292855</v>
      </c>
      <c r="W91" s="48">
        <f t="shared" si="68"/>
        <v>1.5647255325907633E-2</v>
      </c>
      <c r="X91" s="48">
        <f t="shared" si="69"/>
        <v>0.15117976243324321</v>
      </c>
      <c r="Y91" s="48">
        <f t="shared" si="70"/>
        <v>0.18951449163163414</v>
      </c>
      <c r="Z91" s="48">
        <f t="shared" si="71"/>
        <v>-0.1614010786596328</v>
      </c>
      <c r="AA91" s="48">
        <f t="shared" si="72"/>
        <v>-3.4514165890573843E-2</v>
      </c>
      <c r="AB91" s="1"/>
      <c r="AC91" s="67"/>
      <c r="AD91" s="1"/>
      <c r="AE91" s="1"/>
    </row>
    <row r="92" spans="1:31" x14ac:dyDescent="0.2">
      <c r="B92" s="20" t="s">
        <v>24</v>
      </c>
      <c r="C92" s="49"/>
      <c r="D92" s="50"/>
      <c r="E92" s="50"/>
      <c r="F92" s="50"/>
      <c r="G92" s="50"/>
      <c r="H92" s="50"/>
      <c r="I92" s="50"/>
      <c r="J92" s="50"/>
      <c r="K92" s="50"/>
      <c r="L92" s="50"/>
      <c r="M92" s="50">
        <f t="shared" si="64"/>
        <v>1</v>
      </c>
      <c r="N92" s="50">
        <f t="shared" si="64"/>
        <v>5.5555396298026891E-3</v>
      </c>
      <c r="O92" s="50">
        <f t="shared" si="64"/>
        <v>1.6494716046285551E-2</v>
      </c>
      <c r="P92" s="50">
        <f t="shared" si="64"/>
        <v>3.55657453760184E-2</v>
      </c>
      <c r="Q92" s="50">
        <f t="shared" si="64"/>
        <v>-7.4698067551080383E-2</v>
      </c>
      <c r="T92" s="50">
        <f t="shared" si="65"/>
        <v>1</v>
      </c>
      <c r="U92" s="50">
        <f t="shared" si="66"/>
        <v>-5.5302690343398082E-2</v>
      </c>
      <c r="V92" s="50">
        <f t="shared" si="67"/>
        <v>-9.7123888800922889E-2</v>
      </c>
      <c r="W92" s="50">
        <f t="shared" si="68"/>
        <v>4.1600641358879129E-2</v>
      </c>
      <c r="X92" s="50">
        <f t="shared" si="69"/>
        <v>7.746703306615034E-2</v>
      </c>
      <c r="Y92" s="50">
        <f t="shared" si="70"/>
        <v>-5.6198586943176365E-3</v>
      </c>
      <c r="Z92" s="50">
        <f t="shared" si="71"/>
        <v>-5.7919283417237719E-2</v>
      </c>
      <c r="AA92" s="50">
        <f t="shared" si="72"/>
        <v>-1.9379360058144036E-2</v>
      </c>
      <c r="AC92" s="68"/>
    </row>
    <row r="93" spans="1:31" x14ac:dyDescent="0.2">
      <c r="B93" s="20" t="s">
        <v>23</v>
      </c>
      <c r="C93" s="49"/>
      <c r="D93" s="50"/>
      <c r="E93" s="50"/>
      <c r="F93" s="50"/>
      <c r="G93" s="50"/>
      <c r="H93" s="50"/>
      <c r="I93" s="50"/>
      <c r="J93" s="50"/>
      <c r="K93" s="50"/>
      <c r="L93" s="50"/>
      <c r="M93" s="50">
        <f t="shared" si="64"/>
        <v>1</v>
      </c>
      <c r="N93" s="50">
        <f t="shared" si="64"/>
        <v>3.2867413439746689E-2</v>
      </c>
      <c r="O93" s="50">
        <f t="shared" si="64"/>
        <v>0.16220822397200349</v>
      </c>
      <c r="P93" s="50">
        <f t="shared" si="64"/>
        <v>0.14628381125019196</v>
      </c>
      <c r="Q93" s="50">
        <f t="shared" si="64"/>
        <v>1.1889188351432428E-2</v>
      </c>
      <c r="T93" s="50">
        <f t="shared" si="65"/>
        <v>1</v>
      </c>
      <c r="U93" s="50">
        <f t="shared" si="66"/>
        <v>2.7780069295495792E-2</v>
      </c>
      <c r="V93" s="50">
        <f t="shared" si="67"/>
        <v>-4.8469950837764626E-2</v>
      </c>
      <c r="W93" s="50">
        <f t="shared" si="68"/>
        <v>3.6925737302164724E-2</v>
      </c>
      <c r="X93" s="50">
        <f t="shared" si="69"/>
        <v>-1.4968324503513285E-2</v>
      </c>
      <c r="Y93" s="50">
        <f t="shared" si="70"/>
        <v>-1.7652706232127925E-2</v>
      </c>
      <c r="Z93" s="50">
        <f t="shared" si="71"/>
        <v>-2.371819796340861E-2</v>
      </c>
      <c r="AA93" s="50">
        <f t="shared" si="72"/>
        <v>-0.10235516996404814</v>
      </c>
      <c r="AC93" s="68"/>
    </row>
    <row r="94" spans="1:31" x14ac:dyDescent="0.2">
      <c r="B94" s="23" t="s">
        <v>25</v>
      </c>
      <c r="C94" s="49"/>
      <c r="D94" s="50"/>
      <c r="E94" s="50"/>
      <c r="F94" s="50"/>
      <c r="G94" s="50"/>
      <c r="H94" s="50"/>
      <c r="I94" s="50"/>
      <c r="J94" s="50"/>
      <c r="K94" s="50"/>
      <c r="L94" s="50"/>
      <c r="M94" s="50">
        <f t="shared" si="64"/>
        <v>1</v>
      </c>
      <c r="N94" s="50">
        <f t="shared" si="64"/>
        <v>-4.1945510038361382E-2</v>
      </c>
      <c r="O94" s="50">
        <f t="shared" si="64"/>
        <v>-3.2851088703784892E-2</v>
      </c>
      <c r="P94" s="50">
        <f t="shared" si="64"/>
        <v>-2.383470689052267E-2</v>
      </c>
      <c r="Q94" s="50">
        <f t="shared" si="64"/>
        <v>-5.2296166569371472E-2</v>
      </c>
      <c r="T94" s="50">
        <f t="shared" si="65"/>
        <v>1</v>
      </c>
      <c r="U94" s="50">
        <f t="shared" si="66"/>
        <v>-2.1820722699141544E-2</v>
      </c>
      <c r="V94" s="50">
        <f t="shared" si="67"/>
        <v>0.11596628365001939</v>
      </c>
      <c r="W94" s="50">
        <f t="shared" si="68"/>
        <v>-3.2736516761462352E-2</v>
      </c>
      <c r="X94" s="50">
        <f t="shared" si="69"/>
        <v>5.407551664807427E-3</v>
      </c>
      <c r="Y94" s="50">
        <f t="shared" si="70"/>
        <v>7.014574518100611E-3</v>
      </c>
      <c r="Z94" s="50">
        <f t="shared" si="71"/>
        <v>-1.5724210054530514E-2</v>
      </c>
      <c r="AA94" s="50">
        <f t="shared" si="72"/>
        <v>-5.0089173908093955E-2</v>
      </c>
      <c r="AC94" s="68"/>
    </row>
    <row r="95" spans="1:31" x14ac:dyDescent="0.2">
      <c r="B95" s="23" t="s">
        <v>26</v>
      </c>
      <c r="C95" s="49"/>
      <c r="D95" s="50"/>
      <c r="E95" s="50"/>
      <c r="F95" s="50"/>
      <c r="G95" s="50"/>
      <c r="H95" s="50"/>
      <c r="I95" s="50"/>
      <c r="J95" s="50"/>
      <c r="K95" s="50"/>
      <c r="L95" s="50"/>
      <c r="M95" s="50">
        <f t="shared" si="64"/>
        <v>1</v>
      </c>
      <c r="N95" s="50">
        <f t="shared" si="64"/>
        <v>2.0280479935964979E-3</v>
      </c>
      <c r="O95" s="50">
        <f t="shared" si="64"/>
        <v>4.080083924770931E-2</v>
      </c>
      <c r="P95" s="50">
        <f t="shared" si="64"/>
        <v>5.3586588433573397E-2</v>
      </c>
      <c r="Q95" s="50">
        <f t="shared" si="64"/>
        <v>-4.6430846560335276E-2</v>
      </c>
      <c r="T95" s="50">
        <f t="shared" si="65"/>
        <v>1</v>
      </c>
      <c r="U95" s="50">
        <f t="shared" si="66"/>
        <v>-2.6180688937155576E-2</v>
      </c>
      <c r="V95" s="50">
        <f t="shared" si="67"/>
        <v>-5.0150075421731902E-2</v>
      </c>
      <c r="W95" s="50">
        <f t="shared" si="68"/>
        <v>2.7019946374106908E-2</v>
      </c>
      <c r="X95" s="50">
        <f t="shared" si="69"/>
        <v>3.6837116142259228E-2</v>
      </c>
      <c r="Y95" s="50">
        <f t="shared" si="70"/>
        <v>-7.119642802903745E-3</v>
      </c>
      <c r="Z95" s="50">
        <f t="shared" si="71"/>
        <v>-4.1051008608505718E-2</v>
      </c>
      <c r="AA95" s="50">
        <f t="shared" si="72"/>
        <v>-4.9134358640622461E-2</v>
      </c>
      <c r="AC95" s="68"/>
    </row>
    <row r="96" spans="1:31" s="41" customFormat="1" x14ac:dyDescent="0.2">
      <c r="A96" s="16"/>
      <c r="B96" s="17" t="s">
        <v>27</v>
      </c>
      <c r="C96" s="47"/>
      <c r="D96" s="48"/>
      <c r="E96" s="48"/>
      <c r="F96" s="48"/>
      <c r="G96" s="48"/>
      <c r="H96" s="48"/>
      <c r="I96" s="48"/>
      <c r="J96" s="48"/>
      <c r="K96" s="48"/>
      <c r="L96" s="48"/>
      <c r="M96" s="48">
        <f t="shared" si="64"/>
        <v>-1</v>
      </c>
      <c r="N96" s="48">
        <f t="shared" si="64"/>
        <v>0.3047494141085067</v>
      </c>
      <c r="O96" s="48">
        <f t="shared" si="64"/>
        <v>0.52705127726590162</v>
      </c>
      <c r="P96" s="48">
        <f t="shared" si="64"/>
        <v>1.3058523555123847E-2</v>
      </c>
      <c r="Q96" s="48">
        <f t="shared" si="64"/>
        <v>1.3491440557547871</v>
      </c>
      <c r="R96" s="1"/>
      <c r="S96" s="1"/>
      <c r="T96" s="48">
        <f t="shared" si="65"/>
        <v>-1</v>
      </c>
      <c r="U96" s="48">
        <f t="shared" si="66"/>
        <v>1.7750438151462042</v>
      </c>
      <c r="V96" s="48">
        <f t="shared" si="67"/>
        <v>-1.4883215805290249</v>
      </c>
      <c r="W96" s="48">
        <f t="shared" si="68"/>
        <v>-0.22989276139410186</v>
      </c>
      <c r="X96" s="48">
        <f t="shared" si="69"/>
        <v>1.6475600693584345</v>
      </c>
      <c r="Y96" s="48">
        <f t="shared" si="70"/>
        <v>5.1422997475327064</v>
      </c>
      <c r="Z96" s="48">
        <f t="shared" si="71"/>
        <v>-0.65140871384799337</v>
      </c>
      <c r="AA96" s="48">
        <f t="shared" si="72"/>
        <v>0.12923857505270303</v>
      </c>
      <c r="AB96" s="1"/>
      <c r="AC96" s="67"/>
      <c r="AD96" s="1"/>
      <c r="AE96" s="1"/>
    </row>
    <row r="97" spans="1:31" s="53" customFormat="1" x14ac:dyDescent="0.2">
      <c r="A97" s="16"/>
      <c r="B97" s="51" t="s">
        <v>30</v>
      </c>
      <c r="C97" s="47"/>
      <c r="D97" s="52"/>
      <c r="E97" s="52"/>
      <c r="F97" s="52"/>
      <c r="G97" s="52"/>
      <c r="H97" s="52"/>
      <c r="I97" s="52"/>
      <c r="J97" s="52"/>
      <c r="K97" s="52"/>
      <c r="L97" s="52"/>
      <c r="M97" s="52">
        <f>IF(L15=0,
IF(M15=0,0,IF(M15&gt;0,1,-1)),
(M15-L15)/ABS(L15)
)</f>
        <v>-1</v>
      </c>
      <c r="N97" s="52">
        <f>IF(M15=0,
IF(N15=0,0,IF(N15&gt;0,1,-1)),
(N15-M15)/ABS(M15)
)</f>
        <v>0.37840758060064633</v>
      </c>
      <c r="O97" s="52">
        <f>IF(N15=0,
IF(O15=0,0,IF(O15&gt;0,1,-1)),
(O15-N15)/ABS(N15)
)</f>
        <v>0.76125846687722987</v>
      </c>
      <c r="P97" s="52">
        <f>IF(O15=0,
IF(P15=0,0,IF(P15&gt;0,1,-1)),
(P15-O15)/ABS(O15)
)</f>
        <v>-3.0139154520873179E-2</v>
      </c>
      <c r="Q97" s="52">
        <f>IF(P15=0,
IF(Q15=0,0,IF(Q15&gt;0,1,-1)),
(Q15-P15)/ABS(P15)
)</f>
        <v>2.2884507042253519</v>
      </c>
      <c r="R97" s="1"/>
      <c r="S97" s="1"/>
      <c r="T97" s="52">
        <f t="shared" ref="T97" si="73">IF(S15=0,
IF(T15=0,0,IF(T15&gt;0,1,-1)),
(T15-S15)/ABS(S15)
)</f>
        <v>-1</v>
      </c>
      <c r="U97" s="52">
        <f t="shared" ref="U97" si="74">IF(T15=0,
IF(U15=0,0,IF(U15&gt;0,1,-1)),
(U15-T15)/ABS(T15)
)</f>
        <v>3.1422016549668617</v>
      </c>
      <c r="V97" s="52">
        <f t="shared" ref="V97" si="75">IF(U15=0,
IF(V15=0,0,IF(V15&gt;0,1,-1)),
(V15-U15)/ABS(U15)
)</f>
        <v>-1.3611599297012302</v>
      </c>
      <c r="W97" s="52">
        <f t="shared" ref="W97" si="76">IF(V15=0,
IF(W15=0,0,IF(W15&gt;0,1,-1)),
(W15-V15)/ABS(V15)
)</f>
        <v>1.1686435523114356</v>
      </c>
      <c r="X97" s="52">
        <f t="shared" ref="X97" si="77">IF(W15=0,
IF(X15=0,0,IF(X15&gt;0,1,-1)),
(X15-W15)/ABS(W15)
)</f>
        <v>6.3916441238352872</v>
      </c>
      <c r="Y97" s="52">
        <f t="shared" ref="Y97" si="78">IF(X15=0,
IF(Y15=0,0,IF(Y15&gt;0,1,-1)),
(Y15-X15)/ABS(X15)
)</f>
        <v>2.7588240078074171</v>
      </c>
      <c r="Z97" s="52">
        <f t="shared" ref="Z97" si="79">IF(Y15=0,
IF(Z15=0,0,IF(Z15&gt;0,1,-1)),
(Z15-Y15)/ABS(Y15)
)</f>
        <v>-0.55680084814522324</v>
      </c>
      <c r="AA97" s="52">
        <f t="shared" ref="AA97" si="80">IF(Z15=0,
IF(AA15=0,0,IF(AA15&gt;0,1,-1)),
(AA15-Z15)/ABS(Z15)
)</f>
        <v>0.29015329037297405</v>
      </c>
      <c r="AB97" s="1"/>
      <c r="AC97" s="67"/>
      <c r="AD97" s="1"/>
      <c r="AE97" s="1"/>
    </row>
    <row r="98" spans="1:31" s="53" customFormat="1" x14ac:dyDescent="0.2">
      <c r="A98" s="16"/>
      <c r="B98" s="51" t="s">
        <v>32</v>
      </c>
      <c r="C98" s="47"/>
      <c r="D98" s="52"/>
      <c r="E98" s="52"/>
      <c r="F98" s="52"/>
      <c r="G98" s="52"/>
      <c r="H98" s="52"/>
      <c r="I98" s="52"/>
      <c r="J98" s="52"/>
      <c r="K98" s="52"/>
      <c r="L98" s="52"/>
      <c r="M98" s="52">
        <f>IF(L18=0,
IF(M18=0,0,IF(M18&gt;0,1,-1)),
(M18-L18)/ABS(L18)
)</f>
        <v>-1</v>
      </c>
      <c r="N98" s="52">
        <f>IF(M18=0,
IF(N18=0,0,IF(N18&gt;0,1,-1)),
(N18-M18)/ABS(M18)
)</f>
        <v>0.37526494236908897</v>
      </c>
      <c r="O98" s="52">
        <f>IF(N18=0,
IF(O18=0,0,IF(O18&gt;0,1,-1)),
(O18-N18)/ABS(N18)
)</f>
        <v>0.72626023292076791</v>
      </c>
      <c r="P98" s="52">
        <f>IF(O18=0,
IF(P18=0,0,IF(P18&gt;0,1,-1)),
(P18-O18)/ABS(O18)
)</f>
        <v>0.18011192327803924</v>
      </c>
      <c r="Q98" s="52">
        <f>IF(P18=0,
IF(Q18=0,0,IF(Q18&gt;0,1,-1)),
(Q18-P18)/ABS(P18)
)</f>
        <v>4.8311124379189625</v>
      </c>
      <c r="R98" s="1"/>
      <c r="S98" s="1"/>
      <c r="T98" s="52">
        <f t="shared" ref="T98" si="81">IF(S18=0,
IF(T18=0,0,IF(T18&gt;0,1,-1)),
(T18-S18)/ABS(S18)
)</f>
        <v>-1</v>
      </c>
      <c r="U98" s="52">
        <f t="shared" ref="U98" si="82">IF(T18=0,
IF(U18=0,0,IF(U18&gt;0,1,-1)),
(U18-T18)/ABS(T18)
)</f>
        <v>5.86100422336931</v>
      </c>
      <c r="V98" s="52">
        <f t="shared" ref="V98" si="83">IF(U18=0,
IF(V18=0,0,IF(V18&gt;0,1,-1)),
(V18-U18)/ABS(U18)
)</f>
        <v>-1.435475151561957</v>
      </c>
      <c r="W98" s="52">
        <f t="shared" ref="W98" si="84">IF(V18=0,
IF(W18=0,0,IF(W18&gt;0,1,-1)),
(W18-V18)/ABS(V18)
)</f>
        <v>1.0702283307470628</v>
      </c>
      <c r="X98" s="52">
        <f t="shared" ref="X98" si="85">IF(W18=0,
IF(X18=0,0,IF(X18&gt;0,1,-1)),
(X18-W18)/ABS(W18)
)</f>
        <v>124.52967171717172</v>
      </c>
      <c r="Y98" s="52">
        <f t="shared" ref="Y98" si="86">IF(X18=0,
IF(Y18=0,0,IF(Y18&gt;0,1,-1)),
(Y18-X18)/ABS(X18)
)</f>
        <v>-0.47464028686525278</v>
      </c>
      <c r="Z98" s="52">
        <f t="shared" ref="Z98" si="87">IF(Y18=0,
IF(Z18=0,0,IF(Z18&gt;0,1,-1)),
(Z18-Y18)/ABS(Y18)
)</f>
        <v>-0.78437135034749483</v>
      </c>
      <c r="AA98" s="52">
        <f t="shared" ref="AA98" si="88">IF(Z18=0,
IF(AA18=0,0,IF(AA18&gt;0,1,-1)),
(AA18-Z18)/ABS(Z18)
)</f>
        <v>0.60217536071032185</v>
      </c>
      <c r="AB98" s="1"/>
      <c r="AC98" s="67"/>
      <c r="AD98" s="1"/>
      <c r="AE98" s="1"/>
    </row>
    <row r="99" spans="1:31" x14ac:dyDescent="0.2">
      <c r="B99" s="1"/>
    </row>
    <row r="100" spans="1:31" s="15" customFormat="1" ht="17" thickBot="1" x14ac:dyDescent="0.25">
      <c r="A100" s="11"/>
      <c r="B100" s="14" t="s">
        <v>78</v>
      </c>
      <c r="R100" s="1"/>
      <c r="S100" s="1"/>
      <c r="AB100" s="1"/>
      <c r="AD100" s="1"/>
      <c r="AE100" s="1"/>
    </row>
    <row r="101" spans="1:31" x14ac:dyDescent="0.2">
      <c r="B101" s="20" t="s">
        <v>79</v>
      </c>
      <c r="C101" s="50"/>
      <c r="D101" s="50"/>
      <c r="E101" s="50"/>
      <c r="F101" s="50"/>
      <c r="G101" s="50"/>
      <c r="H101" s="50"/>
      <c r="I101" s="50"/>
      <c r="J101" s="50"/>
      <c r="K101" s="50"/>
      <c r="L101" s="50"/>
      <c r="M101" s="50">
        <f>M7/M5</f>
        <v>0.81073956684882742</v>
      </c>
      <c r="N101" s="50">
        <f>N7/N5</f>
        <v>0.82991287393217905</v>
      </c>
      <c r="O101" s="50">
        <f>O7/O5</f>
        <v>0.85021925398601916</v>
      </c>
      <c r="P101" s="50">
        <f>P7/P5</f>
        <v>0.82727270183763457</v>
      </c>
      <c r="Q101" s="50">
        <f>Q7/Q5</f>
        <v>0.83174673345867178</v>
      </c>
      <c r="T101" s="50">
        <f t="shared" ref="T101:Z101" si="89">T7/T5</f>
        <v>0.82021017727186851</v>
      </c>
      <c r="U101" s="50">
        <f t="shared" si="89"/>
        <v>0.84766998862257636</v>
      </c>
      <c r="V101" s="50">
        <f t="shared" si="89"/>
        <v>0.82094026201265202</v>
      </c>
      <c r="W101" s="50">
        <f t="shared" si="89"/>
        <v>0.82202096602972397</v>
      </c>
      <c r="X101" s="50">
        <f t="shared" si="89"/>
        <v>0.83262022850165285</v>
      </c>
      <c r="Y101" s="50">
        <f t="shared" si="89"/>
        <v>0.84632316719565504</v>
      </c>
      <c r="Z101" s="50">
        <f t="shared" si="89"/>
        <v>0.81612975701631518</v>
      </c>
      <c r="AA101" s="50">
        <f t="shared" ref="AA101" si="90">AA7/AA5</f>
        <v>0.80356899106899105</v>
      </c>
      <c r="AC101" s="50">
        <f>AC7/AC5</f>
        <v>0.82551610882478388</v>
      </c>
    </row>
    <row r="102" spans="1:31" x14ac:dyDescent="0.2">
      <c r="B102" s="20" t="s">
        <v>80</v>
      </c>
      <c r="C102" s="50"/>
      <c r="D102" s="50"/>
      <c r="E102" s="50"/>
      <c r="F102" s="50"/>
      <c r="G102" s="50"/>
      <c r="H102" s="50"/>
      <c r="I102" s="50"/>
      <c r="J102" s="50"/>
      <c r="K102" s="50"/>
      <c r="L102" s="50"/>
      <c r="M102" s="50">
        <f>M12/M5</f>
        <v>-0.56144004160259653</v>
      </c>
      <c r="N102" s="50">
        <f>N12/N5</f>
        <v>-0.32900930585377974</v>
      </c>
      <c r="O102" s="50">
        <f>O12/O5</f>
        <v>-0.12592579001767487</v>
      </c>
      <c r="P102" s="50">
        <f>P12/P5</f>
        <v>-0.11371133357208407</v>
      </c>
      <c r="Q102" s="50">
        <f>Q12/Q5</f>
        <v>3.5242137575966802E-2</v>
      </c>
      <c r="T102" s="50">
        <f t="shared" ref="T102:Z102" si="91">T12/T5</f>
        <v>-0.12227162888795527</v>
      </c>
      <c r="U102" s="50">
        <f t="shared" si="91"/>
        <v>7.9332744791642082E-2</v>
      </c>
      <c r="V102" s="50">
        <f t="shared" si="91"/>
        <v>-4.602045852214097E-2</v>
      </c>
      <c r="W102" s="50">
        <f t="shared" si="91"/>
        <v>-5.5801596779900917E-2</v>
      </c>
      <c r="X102" s="50">
        <f t="shared" si="91"/>
        <v>3.1794178242964828E-2</v>
      </c>
      <c r="Y102" s="50">
        <f t="shared" si="91"/>
        <v>0.16687763844633313</v>
      </c>
      <c r="Z102" s="50">
        <f t="shared" si="91"/>
        <v>6.689341319655244E-2</v>
      </c>
      <c r="AA102" s="50">
        <f t="shared" ref="AA102" si="92">AA12/AA5</f>
        <v>7.703482703482703E-2</v>
      </c>
      <c r="AC102" s="50">
        <f>AC12/AC5</f>
        <v>8.8878919701683698E-2</v>
      </c>
    </row>
    <row r="103" spans="1:31" s="56" customFormat="1" x14ac:dyDescent="0.2">
      <c r="A103" s="1"/>
      <c r="B103" s="54" t="s">
        <v>81</v>
      </c>
      <c r="C103" s="55"/>
      <c r="D103" s="55"/>
      <c r="E103" s="55"/>
      <c r="F103" s="55"/>
      <c r="G103" s="55"/>
      <c r="H103" s="55"/>
      <c r="I103" s="55"/>
      <c r="J103" s="55"/>
      <c r="K103" s="55"/>
      <c r="L103" s="55"/>
      <c r="M103" s="55">
        <f>M111/M5</f>
        <v>-0.58905555829519018</v>
      </c>
      <c r="N103" s="55">
        <f>N111/N5</f>
        <v>-0.31018127096556619</v>
      </c>
      <c r="O103" s="55">
        <f>O111/O5</f>
        <v>-6.8714107480322181E-2</v>
      </c>
      <c r="P103" s="55">
        <f>P111/P5</f>
        <v>-5.1546377330617545E-2</v>
      </c>
      <c r="Q103" s="55">
        <f>Q111/Q5</f>
        <v>0.17529796867199976</v>
      </c>
      <c r="R103" s="1"/>
      <c r="S103" s="1"/>
      <c r="T103" s="55">
        <f t="shared" ref="T103:Z103" si="93">T111/T5</f>
        <v>-3.0043450922450959E-2</v>
      </c>
      <c r="U103" s="55">
        <f t="shared" si="93"/>
        <v>0.12225773405154303</v>
      </c>
      <c r="V103" s="55">
        <f t="shared" si="93"/>
        <v>-6.3245883619722734E-2</v>
      </c>
      <c r="W103" s="55">
        <f t="shared" si="93"/>
        <v>4.3789808917197451E-3</v>
      </c>
      <c r="X103" s="55">
        <f t="shared" si="93"/>
        <v>0.48366021020984495</v>
      </c>
      <c r="Y103" s="55">
        <f t="shared" si="93"/>
        <v>0.2171284142612766</v>
      </c>
      <c r="Z103" s="55">
        <f t="shared" si="93"/>
        <v>5.3838358246769698E-2</v>
      </c>
      <c r="AA103" s="55">
        <f t="shared" ref="AA103" si="94">AA111/AA5</f>
        <v>8.7967025467025464E-2</v>
      </c>
      <c r="AB103" s="1"/>
      <c r="AC103" s="55">
        <f>AC111/AC5</f>
        <v>0.21031078682843093</v>
      </c>
      <c r="AD103" s="1"/>
      <c r="AE103" s="1"/>
    </row>
    <row r="104" spans="1:31" x14ac:dyDescent="0.2">
      <c r="B104" s="1"/>
    </row>
    <row r="105" spans="1:31" s="15" customFormat="1" ht="17" thickBot="1" x14ac:dyDescent="0.25">
      <c r="A105" s="11"/>
      <c r="B105" s="14" t="s">
        <v>126</v>
      </c>
      <c r="R105" s="1"/>
      <c r="S105" s="1"/>
      <c r="AB105" s="1"/>
      <c r="AD105" s="1"/>
      <c r="AE105" s="1"/>
    </row>
    <row r="106" spans="1:31" x14ac:dyDescent="0.2">
      <c r="B106" s="20" t="s">
        <v>74</v>
      </c>
      <c r="C106" s="81">
        <f t="shared" ref="C106:Q106" si="95">IF(AND(C83&gt;=0,C12&gt;=0),C83,0)</f>
        <v>0</v>
      </c>
      <c r="D106" s="81">
        <f t="shared" si="95"/>
        <v>0</v>
      </c>
      <c r="E106" s="81">
        <f t="shared" si="95"/>
        <v>0</v>
      </c>
      <c r="F106" s="81">
        <f t="shared" si="95"/>
        <v>0</v>
      </c>
      <c r="G106" s="81">
        <f t="shared" si="95"/>
        <v>0</v>
      </c>
      <c r="H106" s="81">
        <f t="shared" si="95"/>
        <v>0</v>
      </c>
      <c r="I106" s="81">
        <f t="shared" si="95"/>
        <v>0</v>
      </c>
      <c r="J106" s="81">
        <f t="shared" si="95"/>
        <v>0</v>
      </c>
      <c r="K106" s="81">
        <f t="shared" si="95"/>
        <v>0</v>
      </c>
      <c r="L106" s="81">
        <f t="shared" si="95"/>
        <v>0</v>
      </c>
      <c r="M106" s="81">
        <f t="shared" si="95"/>
        <v>0</v>
      </c>
      <c r="N106" s="81">
        <f t="shared" si="95"/>
        <v>0</v>
      </c>
      <c r="O106" s="81">
        <f t="shared" si="95"/>
        <v>0</v>
      </c>
      <c r="P106" s="81">
        <f t="shared" si="95"/>
        <v>0</v>
      </c>
      <c r="Q106" s="81">
        <f t="shared" si="95"/>
        <v>0</v>
      </c>
      <c r="T106" s="81">
        <f t="shared" ref="T106:Z106" si="96">IF(AND(T83&gt;=0,T12&gt;=0),T83,0)</f>
        <v>0</v>
      </c>
      <c r="U106" s="81">
        <f t="shared" si="96"/>
        <v>5.1808728763913299E-2</v>
      </c>
      <c r="V106" s="81">
        <f t="shared" si="96"/>
        <v>0</v>
      </c>
      <c r="W106" s="81">
        <f t="shared" si="96"/>
        <v>0</v>
      </c>
      <c r="X106" s="81">
        <f t="shared" si="96"/>
        <v>0</v>
      </c>
      <c r="Y106" s="81">
        <f t="shared" si="96"/>
        <v>0</v>
      </c>
      <c r="Z106" s="81">
        <f t="shared" si="96"/>
        <v>0.45018062878344073</v>
      </c>
      <c r="AA106" s="81">
        <f t="shared" ref="AA106" si="97">IF(AND(AA83&gt;=0,AA12&gt;=0),AA83,0)</f>
        <v>0.31720745435625769</v>
      </c>
      <c r="AC106" s="81">
        <f>IF(AND(AC83&gt;=0,AC12&gt;=0),AC83,0)</f>
        <v>0</v>
      </c>
    </row>
    <row r="107" spans="1:31" x14ac:dyDescent="0.2">
      <c r="B107" s="20" t="s">
        <v>217</v>
      </c>
      <c r="C107" s="25"/>
      <c r="D107" s="25"/>
      <c r="E107" s="25"/>
      <c r="F107" s="25"/>
      <c r="G107" s="25"/>
      <c r="H107" s="25"/>
      <c r="I107" s="25"/>
      <c r="J107" s="25"/>
      <c r="K107" s="25"/>
      <c r="L107" s="25"/>
      <c r="M107" s="25">
        <f>M29+M34</f>
        <v>1884663</v>
      </c>
      <c r="N107" s="25">
        <f t="shared" ref="N107:Q107" si="98">N29+N34</f>
        <v>1759835</v>
      </c>
      <c r="O107" s="25">
        <f t="shared" si="98"/>
        <v>1879823</v>
      </c>
      <c r="P107" s="25">
        <f t="shared" si="98"/>
        <v>1723631</v>
      </c>
      <c r="Q107" s="25">
        <f t="shared" si="98"/>
        <v>1689476</v>
      </c>
      <c r="T107" s="25">
        <f t="shared" ref="T107:Z107" si="99">T29+T34</f>
        <v>1603438</v>
      </c>
      <c r="U107" s="25">
        <f t="shared" si="99"/>
        <v>1723631</v>
      </c>
      <c r="V107" s="25">
        <f t="shared" si="99"/>
        <v>1591500</v>
      </c>
      <c r="W107" s="25">
        <f t="shared" si="99"/>
        <v>1522638</v>
      </c>
      <c r="X107" s="25">
        <f t="shared" si="99"/>
        <v>1519795</v>
      </c>
      <c r="Y107" s="25">
        <f t="shared" si="99"/>
        <v>1689476</v>
      </c>
      <c r="Z107" s="25">
        <f t="shared" si="99"/>
        <v>1415746</v>
      </c>
      <c r="AA107" s="25">
        <f t="shared" ref="AA107" si="100">AA29+AA34</f>
        <v>1405025</v>
      </c>
      <c r="AC107" s="25">
        <f>AA107</f>
        <v>1405025</v>
      </c>
    </row>
    <row r="108" spans="1:31" x14ac:dyDescent="0.2">
      <c r="B108" s="20" t="s">
        <v>208</v>
      </c>
      <c r="C108" s="25">
        <v>0</v>
      </c>
      <c r="D108" s="25">
        <v>0</v>
      </c>
      <c r="E108" s="25">
        <v>0</v>
      </c>
      <c r="F108" s="25">
        <v>0</v>
      </c>
      <c r="G108" s="25">
        <v>0</v>
      </c>
      <c r="H108" s="25">
        <v>0</v>
      </c>
      <c r="I108" s="25">
        <v>0</v>
      </c>
      <c r="J108" s="25">
        <v>0</v>
      </c>
      <c r="K108" s="25">
        <v>0</v>
      </c>
      <c r="L108" s="25">
        <v>0</v>
      </c>
      <c r="M108" s="25">
        <f>M39+M41</f>
        <v>0</v>
      </c>
      <c r="N108" s="25">
        <f>N39+N41</f>
        <v>0</v>
      </c>
      <c r="O108" s="25">
        <f>O39+O41</f>
        <v>0</v>
      </c>
      <c r="P108" s="25">
        <f>P39+P41</f>
        <v>0</v>
      </c>
      <c r="Q108" s="25">
        <f>Q39+Q41</f>
        <v>0</v>
      </c>
      <c r="T108" s="25">
        <f t="shared" ref="T108:Z108" si="101">T39+T41</f>
        <v>0</v>
      </c>
      <c r="U108" s="25">
        <f t="shared" si="101"/>
        <v>0</v>
      </c>
      <c r="V108" s="25">
        <f t="shared" si="101"/>
        <v>0</v>
      </c>
      <c r="W108" s="25">
        <f t="shared" si="101"/>
        <v>0</v>
      </c>
      <c r="X108" s="25">
        <f t="shared" si="101"/>
        <v>0</v>
      </c>
      <c r="Y108" s="25">
        <f t="shared" si="101"/>
        <v>0</v>
      </c>
      <c r="Z108" s="25">
        <f t="shared" si="101"/>
        <v>0</v>
      </c>
      <c r="AA108" s="25">
        <f t="shared" ref="AA108" si="102">AA39+AA41</f>
        <v>0</v>
      </c>
      <c r="AC108" s="25">
        <f>AA108</f>
        <v>0</v>
      </c>
    </row>
    <row r="109" spans="1:31" x14ac:dyDescent="0.2">
      <c r="B109" s="20" t="s">
        <v>201</v>
      </c>
      <c r="C109" s="25"/>
      <c r="D109" s="25"/>
      <c r="E109" s="25"/>
      <c r="F109" s="25"/>
      <c r="G109" s="25"/>
      <c r="H109" s="25"/>
      <c r="I109" s="25"/>
      <c r="J109" s="25"/>
      <c r="K109" s="25"/>
      <c r="L109" s="25"/>
      <c r="M109" s="147">
        <f>M12*(1-M106)</f>
        <v>-500946</v>
      </c>
      <c r="N109" s="147">
        <f>N12*(1-N106)</f>
        <v>-348283</v>
      </c>
      <c r="O109" s="147">
        <f>O12*(1-O106)</f>
        <v>-164720</v>
      </c>
      <c r="P109" s="147">
        <f>P12*(1-P106)</f>
        <v>-162569</v>
      </c>
      <c r="Q109" s="25">
        <f>Q12*(1-Q106)</f>
        <v>56760</v>
      </c>
      <c r="T109" s="67"/>
      <c r="U109" s="67"/>
      <c r="V109" s="67"/>
      <c r="W109" s="67"/>
      <c r="X109" s="67"/>
      <c r="Y109" s="67"/>
      <c r="Z109" s="67"/>
      <c r="AA109" s="67"/>
      <c r="AC109" s="25">
        <f>AC12*(1-AC106)</f>
        <v>152948</v>
      </c>
    </row>
    <row r="110" spans="1:31" x14ac:dyDescent="0.2">
      <c r="B110" s="20" t="s">
        <v>341</v>
      </c>
      <c r="C110" s="25"/>
      <c r="D110" s="25"/>
      <c r="E110" s="25"/>
      <c r="F110" s="25"/>
      <c r="G110" s="25"/>
      <c r="H110" s="25"/>
      <c r="I110" s="25"/>
      <c r="J110" s="25"/>
      <c r="K110" s="25"/>
      <c r="L110" s="25"/>
      <c r="M110" s="147">
        <f>M60+M61</f>
        <v>-11829</v>
      </c>
      <c r="N110" s="147">
        <f>N60+N61</f>
        <v>-23815</v>
      </c>
      <c r="O110" s="147">
        <f>O60+O61</f>
        <v>-7342</v>
      </c>
      <c r="P110" s="147">
        <f>P60+P61</f>
        <v>-14923</v>
      </c>
      <c r="Q110" s="147">
        <f>Q60+Q61</f>
        <v>-19048</v>
      </c>
      <c r="T110" s="147">
        <f t="shared" ref="T110:Z110" si="103">T60+T61</f>
        <v>-4875</v>
      </c>
      <c r="U110" s="147">
        <f t="shared" si="103"/>
        <v>0</v>
      </c>
      <c r="V110" s="147">
        <f t="shared" si="103"/>
        <v>-12832</v>
      </c>
      <c r="W110" s="147">
        <f t="shared" si="103"/>
        <v>0</v>
      </c>
      <c r="X110" s="147">
        <f t="shared" si="103"/>
        <v>-3164</v>
      </c>
      <c r="Y110" s="147">
        <f t="shared" si="103"/>
        <v>-3052</v>
      </c>
      <c r="Z110" s="147">
        <f t="shared" si="103"/>
        <v>-2684</v>
      </c>
      <c r="AA110" s="147">
        <f t="shared" ref="AA110" si="104">AA60+AA61</f>
        <v>-1389</v>
      </c>
      <c r="AC110" s="147">
        <f>AC60+AC61</f>
        <v>-10289</v>
      </c>
    </row>
    <row r="111" spans="1:31" x14ac:dyDescent="0.2">
      <c r="B111" s="20" t="s">
        <v>375</v>
      </c>
      <c r="C111" s="25"/>
      <c r="D111" s="25"/>
      <c r="E111" s="25"/>
      <c r="F111" s="25"/>
      <c r="G111" s="25"/>
      <c r="H111" s="25"/>
      <c r="I111" s="25"/>
      <c r="J111" s="25"/>
      <c r="K111" s="25"/>
      <c r="L111" s="25"/>
      <c r="M111" s="147">
        <f>M17+M18</f>
        <v>-525586</v>
      </c>
      <c r="N111" s="147">
        <f>N17+N18</f>
        <v>-328352</v>
      </c>
      <c r="O111" s="147">
        <f>O17+O18</f>
        <v>-89883</v>
      </c>
      <c r="P111" s="147">
        <f>P17+P18</f>
        <v>-73694</v>
      </c>
      <c r="Q111" s="147">
        <f>Q17+Q18</f>
        <v>282330</v>
      </c>
      <c r="T111" s="147">
        <f t="shared" ref="T111:Z111" si="105">T17+T18</f>
        <v>-10655</v>
      </c>
      <c r="U111" s="147">
        <f t="shared" si="105"/>
        <v>51794</v>
      </c>
      <c r="V111" s="147">
        <f t="shared" si="105"/>
        <v>-22555</v>
      </c>
      <c r="W111" s="147">
        <f t="shared" si="105"/>
        <v>1584</v>
      </c>
      <c r="X111" s="147">
        <f t="shared" si="105"/>
        <v>198839</v>
      </c>
      <c r="Y111" s="147">
        <f t="shared" si="105"/>
        <v>104462</v>
      </c>
      <c r="Z111" s="147">
        <f t="shared" si="105"/>
        <v>22525</v>
      </c>
      <c r="AA111" s="147">
        <f t="shared" ref="AA111" si="106">AA17+AA18</f>
        <v>36089</v>
      </c>
      <c r="AC111" s="147">
        <f>AC17+AC18</f>
        <v>361915</v>
      </c>
    </row>
    <row r="112" spans="1:31" x14ac:dyDescent="0.2">
      <c r="B112" s="20" t="s">
        <v>376</v>
      </c>
      <c r="C112" s="25"/>
      <c r="D112" s="25"/>
      <c r="E112" s="25"/>
      <c r="F112" s="25"/>
      <c r="G112" s="25"/>
      <c r="H112" s="25"/>
      <c r="I112" s="25"/>
      <c r="J112" s="25"/>
      <c r="K112" s="25"/>
      <c r="L112" s="25"/>
      <c r="M112" s="147">
        <f>M49+M48</f>
        <v>1921917</v>
      </c>
      <c r="N112" s="147">
        <f>N49+N48</f>
        <v>1920158</v>
      </c>
      <c r="O112" s="147">
        <f>O49+O48</f>
        <v>2016114</v>
      </c>
      <c r="P112" s="147">
        <f>P49+P48</f>
        <v>1845762</v>
      </c>
      <c r="Q112" s="147">
        <f>Q49+Q48</f>
        <v>2082587</v>
      </c>
      <c r="T112" s="147">
        <f t="shared" ref="T112:Z112" si="107">T49+T48</f>
        <v>1731845</v>
      </c>
      <c r="U112" s="147">
        <f t="shared" si="107"/>
        <v>1845762</v>
      </c>
      <c r="V112" s="147">
        <f t="shared" si="107"/>
        <v>1698461</v>
      </c>
      <c r="W112" s="147">
        <f t="shared" si="107"/>
        <v>1665703</v>
      </c>
      <c r="X112" s="147">
        <f t="shared" si="107"/>
        <v>1924617</v>
      </c>
      <c r="Y112" s="147">
        <f t="shared" si="107"/>
        <v>2082587</v>
      </c>
      <c r="Z112" s="147">
        <f t="shared" si="107"/>
        <v>1902965</v>
      </c>
      <c r="AA112" s="147">
        <f t="shared" ref="AA112" si="108">AA49+AA48</f>
        <v>1948551</v>
      </c>
      <c r="AC112" s="147">
        <f>AC49+AC48</f>
        <v>1948551</v>
      </c>
    </row>
    <row r="113" spans="1:31" x14ac:dyDescent="0.2">
      <c r="C113" s="57"/>
      <c r="D113" s="57"/>
      <c r="E113" s="57"/>
      <c r="F113" s="57"/>
      <c r="G113" s="57"/>
      <c r="H113" s="57"/>
      <c r="I113" s="57"/>
      <c r="J113" s="57"/>
      <c r="K113" s="57"/>
    </row>
    <row r="114" spans="1:31" x14ac:dyDescent="0.2">
      <c r="B114" s="1"/>
    </row>
    <row r="115" spans="1:31" s="15" customFormat="1" ht="17" thickBot="1" x14ac:dyDescent="0.25">
      <c r="A115" s="11"/>
      <c r="B115" s="14" t="s">
        <v>83</v>
      </c>
      <c r="R115" s="1"/>
      <c r="S115" s="1"/>
      <c r="AB115" s="1"/>
      <c r="AD115" s="1"/>
      <c r="AE115" s="1"/>
    </row>
    <row r="116" spans="1:31" x14ac:dyDescent="0.2">
      <c r="B116" s="20" t="s">
        <v>84</v>
      </c>
      <c r="C116" s="26"/>
      <c r="D116" s="26"/>
      <c r="E116" s="26"/>
      <c r="F116" s="26"/>
      <c r="G116" s="26"/>
      <c r="H116" s="26"/>
      <c r="I116" s="26"/>
      <c r="J116" s="26"/>
      <c r="K116" s="26"/>
      <c r="L116" s="26"/>
      <c r="M116" s="63">
        <v>33.43</v>
      </c>
      <c r="N116" s="63">
        <v>14.57</v>
      </c>
      <c r="O116" s="63">
        <v>23.85</v>
      </c>
      <c r="P116" s="63">
        <v>14.58</v>
      </c>
      <c r="Q116" s="63">
        <v>12.59</v>
      </c>
      <c r="T116" s="63">
        <v>12.35</v>
      </c>
      <c r="U116" s="63">
        <v>14.58</v>
      </c>
      <c r="V116" s="63">
        <v>11.94</v>
      </c>
      <c r="W116" s="63">
        <v>11.75</v>
      </c>
      <c r="X116" s="63">
        <v>15.86</v>
      </c>
      <c r="Y116" s="63">
        <v>12.59</v>
      </c>
      <c r="Z116" s="63">
        <v>10.3</v>
      </c>
      <c r="AA116" s="63">
        <v>12.76</v>
      </c>
      <c r="AC116" s="63">
        <f ca="1">Overview!C5</f>
        <v>13.324999999999999</v>
      </c>
    </row>
    <row r="117" spans="1:31" x14ac:dyDescent="0.2">
      <c r="B117" s="20" t="s">
        <v>393</v>
      </c>
      <c r="C117" s="26"/>
      <c r="D117" s="26"/>
      <c r="E117" s="26"/>
      <c r="F117" s="26"/>
      <c r="G117" s="26"/>
      <c r="H117" s="26"/>
      <c r="I117" s="26"/>
      <c r="J117" s="26"/>
      <c r="K117" s="26"/>
      <c r="L117" s="26"/>
      <c r="M117" s="65">
        <f>M116/M85</f>
        <v>33.43</v>
      </c>
      <c r="N117" s="65">
        <f>N116/N85</f>
        <v>14.57</v>
      </c>
      <c r="O117" s="65">
        <f>O116/O85</f>
        <v>23.85</v>
      </c>
      <c r="P117" s="65">
        <f>P116/P85</f>
        <v>14.58</v>
      </c>
      <c r="Q117" s="65">
        <f>Q116/Q85</f>
        <v>12.59</v>
      </c>
      <c r="T117" s="65">
        <f t="shared" ref="T117:Z117" si="109">T116/T85</f>
        <v>12.35</v>
      </c>
      <c r="U117" s="65">
        <f t="shared" si="109"/>
        <v>14.58</v>
      </c>
      <c r="V117" s="65">
        <f t="shared" si="109"/>
        <v>11.94</v>
      </c>
      <c r="W117" s="65">
        <f t="shared" si="109"/>
        <v>11.75</v>
      </c>
      <c r="X117" s="65">
        <f t="shared" si="109"/>
        <v>15.86</v>
      </c>
      <c r="Y117" s="65">
        <f t="shared" si="109"/>
        <v>12.59</v>
      </c>
      <c r="Z117" s="65">
        <f t="shared" si="109"/>
        <v>10.3</v>
      </c>
      <c r="AA117" s="65">
        <f t="shared" ref="AA117" si="110">AA116/AA85</f>
        <v>12.76</v>
      </c>
      <c r="AC117" s="65">
        <f ca="1">AC116/AC85</f>
        <v>13.324999999999999</v>
      </c>
    </row>
    <row r="119" spans="1:31" x14ac:dyDescent="0.2">
      <c r="B119" s="1"/>
    </row>
    <row r="120" spans="1:31" ht="17" thickBot="1" x14ac:dyDescent="0.25">
      <c r="B120" s="14" t="s">
        <v>123</v>
      </c>
      <c r="C120" s="15"/>
      <c r="D120" s="15"/>
      <c r="E120" s="15"/>
      <c r="F120" s="15"/>
      <c r="G120" s="15"/>
      <c r="H120" s="15"/>
      <c r="I120" s="15"/>
      <c r="J120" s="15"/>
      <c r="K120" s="15"/>
      <c r="L120" s="15"/>
      <c r="M120" s="15"/>
      <c r="N120" s="15"/>
      <c r="O120" s="15"/>
      <c r="P120" s="15"/>
      <c r="Q120" s="15"/>
      <c r="T120" s="15"/>
      <c r="U120" s="15"/>
      <c r="V120" s="15"/>
      <c r="W120" s="15"/>
      <c r="X120" s="15"/>
      <c r="Y120" s="15"/>
      <c r="Z120" s="15"/>
      <c r="AA120" s="15"/>
      <c r="AC120" s="15"/>
    </row>
    <row r="121" spans="1:31" x14ac:dyDescent="0.2">
      <c r="B121" s="20" t="s">
        <v>117</v>
      </c>
      <c r="M121" s="74">
        <f>M111/M5</f>
        <v>-0.58905555829519018</v>
      </c>
      <c r="N121" s="74">
        <f>N111/N5</f>
        <v>-0.31018127096556619</v>
      </c>
      <c r="O121" s="74">
        <f>O111/O5</f>
        <v>-6.8714107480322181E-2</v>
      </c>
      <c r="P121" s="74">
        <f>P111/P5</f>
        <v>-5.1546377330617545E-2</v>
      </c>
      <c r="Q121" s="74">
        <f>Q111/Q5</f>
        <v>0.17529796867199976</v>
      </c>
      <c r="T121" s="77"/>
      <c r="U121" s="77"/>
      <c r="V121" s="77"/>
      <c r="W121" s="77"/>
      <c r="X121" s="77"/>
      <c r="Y121" s="77"/>
      <c r="Z121" s="77"/>
      <c r="AA121" s="77"/>
      <c r="AC121" s="74">
        <f>AC111/AC5</f>
        <v>0.21031078682843093</v>
      </c>
    </row>
    <row r="122" spans="1:31" x14ac:dyDescent="0.2">
      <c r="B122" s="20" t="s">
        <v>118</v>
      </c>
      <c r="M122" s="75">
        <f>M5/M37</f>
        <v>0.346849112713561</v>
      </c>
      <c r="N122" s="75">
        <f>N5/N37</f>
        <v>0.38702057541552631</v>
      </c>
      <c r="O122" s="75">
        <f>O5/O37</f>
        <v>0.44270021436611728</v>
      </c>
      <c r="P122" s="75">
        <f>P5/P37</f>
        <v>0.49896309946357587</v>
      </c>
      <c r="Q122" s="75">
        <f>Q5/Q37</f>
        <v>0.50659662808253647</v>
      </c>
      <c r="T122" s="78"/>
      <c r="U122" s="78"/>
      <c r="V122" s="78"/>
      <c r="W122" s="78"/>
      <c r="X122" s="78"/>
      <c r="Y122" s="78"/>
      <c r="Z122" s="78"/>
      <c r="AA122" s="78"/>
      <c r="AC122" s="75">
        <f>AC5/AC37</f>
        <v>0.5918956911872495</v>
      </c>
    </row>
    <row r="123" spans="1:31" x14ac:dyDescent="0.2">
      <c r="B123" s="32" t="s">
        <v>119</v>
      </c>
      <c r="M123" s="76">
        <f t="shared" ref="M123:P123" si="111">M121*M122</f>
        <v>-0.20431339773367801</v>
      </c>
      <c r="N123" s="76">
        <f t="shared" si="111"/>
        <v>-0.12004653397221271</v>
      </c>
      <c r="O123" s="76">
        <f t="shared" si="111"/>
        <v>-3.0419750111515053E-2</v>
      </c>
      <c r="P123" s="76">
        <f t="shared" si="111"/>
        <v>-2.5719740199003933E-2</v>
      </c>
      <c r="Q123" s="76">
        <f>Q121*Q122</f>
        <v>8.8805359838953199E-2</v>
      </c>
      <c r="T123" s="79"/>
      <c r="U123" s="79"/>
      <c r="V123" s="79"/>
      <c r="W123" s="79"/>
      <c r="X123" s="79"/>
      <c r="Y123" s="79"/>
      <c r="Z123" s="79"/>
      <c r="AA123" s="79"/>
      <c r="AC123" s="76">
        <f>AC121*AC122</f>
        <v>0.12448204853394841</v>
      </c>
    </row>
    <row r="124" spans="1:31" x14ac:dyDescent="0.2">
      <c r="B124" s="20" t="s">
        <v>120</v>
      </c>
      <c r="M124" s="75">
        <f>M37/M49</f>
        <v>1.3384813183920012</v>
      </c>
      <c r="N124" s="75">
        <f>N37/N49</f>
        <v>1.4244692363857558</v>
      </c>
      <c r="O124" s="75">
        <f>O37/O49</f>
        <v>1.4655708952965953</v>
      </c>
      <c r="P124" s="75">
        <f>P37/P49</f>
        <v>1.5523507364438103</v>
      </c>
      <c r="Q124" s="75">
        <f>Q37/Q49</f>
        <v>1.526562875884657</v>
      </c>
      <c r="T124" s="80"/>
      <c r="U124" s="80"/>
      <c r="V124" s="80"/>
      <c r="W124" s="80"/>
      <c r="X124" s="80"/>
      <c r="Y124" s="80"/>
      <c r="Z124" s="80"/>
      <c r="AA124" s="80"/>
      <c r="AC124" s="75">
        <f>AC37/AC49</f>
        <v>1.4920661558255339</v>
      </c>
    </row>
    <row r="125" spans="1:31" x14ac:dyDescent="0.2">
      <c r="B125" s="32" t="s">
        <v>121</v>
      </c>
      <c r="M125" s="76">
        <f t="shared" ref="M125:P125" si="112">M123*M124</f>
        <v>-0.27346966596372269</v>
      </c>
      <c r="N125" s="76">
        <f t="shared" si="112"/>
        <v>-0.17100259457815453</v>
      </c>
      <c r="O125" s="76">
        <f t="shared" si="112"/>
        <v>-4.4582300405631825E-2</v>
      </c>
      <c r="P125" s="76">
        <f t="shared" si="112"/>
        <v>-3.9926057639067224E-2</v>
      </c>
      <c r="Q125" s="76">
        <f>Q123*Q124</f>
        <v>0.13556696550972422</v>
      </c>
      <c r="T125" s="79"/>
      <c r="U125" s="79"/>
      <c r="V125" s="79"/>
      <c r="W125" s="79"/>
      <c r="X125" s="79"/>
      <c r="Y125" s="79"/>
      <c r="Z125" s="79"/>
      <c r="AA125" s="79"/>
      <c r="AC125" s="76">
        <f>AC123*AC124</f>
        <v>0.18573545162533595</v>
      </c>
    </row>
    <row r="127" spans="1:31" x14ac:dyDescent="0.2">
      <c r="B127" s="1"/>
    </row>
    <row r="128" spans="1:31" ht="17" thickBot="1" x14ac:dyDescent="0.25">
      <c r="B128" s="14" t="s">
        <v>267</v>
      </c>
      <c r="C128" s="188"/>
      <c r="D128" s="188"/>
      <c r="E128" s="188"/>
      <c r="F128" s="188"/>
      <c r="G128" s="188"/>
      <c r="H128" s="188"/>
      <c r="I128" s="188"/>
      <c r="J128" s="188"/>
      <c r="K128" s="188"/>
      <c r="L128" s="188"/>
      <c r="M128" s="188"/>
      <c r="N128" s="188"/>
      <c r="O128" s="188"/>
      <c r="P128" s="188"/>
      <c r="Q128" s="188"/>
      <c r="T128" s="188"/>
      <c r="U128" s="188"/>
      <c r="V128" s="188"/>
      <c r="W128" s="188"/>
      <c r="X128" s="188"/>
      <c r="Y128" s="188"/>
      <c r="Z128" s="188"/>
      <c r="AA128" s="188"/>
      <c r="AC128" s="188"/>
    </row>
    <row r="129" spans="2:29" x14ac:dyDescent="0.2">
      <c r="B129" s="20" t="s">
        <v>268</v>
      </c>
      <c r="C129" s="49"/>
      <c r="D129" s="49"/>
      <c r="E129" s="49"/>
      <c r="F129" s="49"/>
      <c r="G129" s="49"/>
      <c r="H129" s="49"/>
      <c r="I129" s="49"/>
      <c r="J129" s="49"/>
      <c r="K129" s="49"/>
      <c r="L129" s="49"/>
      <c r="M129" s="49"/>
      <c r="N129" s="49"/>
      <c r="O129" s="49"/>
      <c r="P129" s="49"/>
      <c r="Q129" s="49"/>
      <c r="T129" s="21">
        <v>422000</v>
      </c>
      <c r="U129" s="21">
        <v>330000</v>
      </c>
      <c r="V129" s="21">
        <v>345000</v>
      </c>
      <c r="W129" s="21">
        <v>390000</v>
      </c>
      <c r="X129" s="21">
        <v>462000</v>
      </c>
      <c r="Y129" s="21">
        <v>395000</v>
      </c>
      <c r="Z129" s="21">
        <v>395000</v>
      </c>
      <c r="AA129" s="21">
        <v>440000</v>
      </c>
      <c r="AC129" s="49"/>
    </row>
    <row r="130" spans="2:29" x14ac:dyDescent="0.2">
      <c r="B130" s="20" t="s">
        <v>269</v>
      </c>
      <c r="C130" s="49"/>
      <c r="D130" s="49"/>
      <c r="E130" s="49"/>
      <c r="F130" s="49"/>
      <c r="G130" s="49"/>
      <c r="H130" s="49"/>
      <c r="I130" s="49"/>
      <c r="J130" s="49"/>
      <c r="K130" s="49"/>
      <c r="L130" s="49"/>
      <c r="M130" s="49"/>
      <c r="N130" s="49"/>
      <c r="O130" s="49"/>
      <c r="P130" s="49"/>
      <c r="Q130" s="49"/>
      <c r="T130" s="21">
        <v>427000</v>
      </c>
      <c r="U130" s="21">
        <v>335000</v>
      </c>
      <c r="V130" s="21">
        <v>350000</v>
      </c>
      <c r="W130" s="21">
        <v>395000</v>
      </c>
      <c r="X130" s="21">
        <v>467000</v>
      </c>
      <c r="Y130" s="21">
        <v>400000</v>
      </c>
      <c r="Z130" s="21">
        <v>400000</v>
      </c>
      <c r="AA130" s="21">
        <v>445000</v>
      </c>
      <c r="AC130" s="49"/>
    </row>
    <row r="131" spans="2:29" x14ac:dyDescent="0.2">
      <c r="B131" s="20" t="s">
        <v>270</v>
      </c>
      <c r="C131" s="49"/>
      <c r="D131" s="49"/>
      <c r="E131" s="49"/>
      <c r="F131" s="49"/>
      <c r="G131" s="49"/>
      <c r="H131" s="49"/>
      <c r="I131" s="49"/>
      <c r="J131" s="49"/>
      <c r="K131" s="49"/>
      <c r="L131" s="49"/>
      <c r="M131" s="49"/>
      <c r="N131" s="49"/>
      <c r="O131" s="49"/>
      <c r="P131" s="49"/>
      <c r="Q131" s="49"/>
      <c r="T131" s="25">
        <f t="shared" ref="T131" si="113">U5</f>
        <v>423646</v>
      </c>
      <c r="U131" s="25">
        <f t="shared" ref="U131" si="114">V5</f>
        <v>356624</v>
      </c>
      <c r="V131" s="25">
        <f t="shared" ref="V131" si="115">W5</f>
        <v>361728</v>
      </c>
      <c r="W131" s="25">
        <f t="shared" ref="W131" si="116">X5</f>
        <v>411113</v>
      </c>
      <c r="X131" s="25">
        <f t="shared" ref="X131" si="117">Y5</f>
        <v>481107</v>
      </c>
      <c r="Y131" s="25">
        <f t="shared" ref="Y131" si="118">Z5</f>
        <v>418382</v>
      </c>
      <c r="Z131" s="25">
        <f t="shared" ref="Z131" si="119">AA5</f>
        <v>410256</v>
      </c>
      <c r="AA131" s="25">
        <f t="shared" ref="AA131" si="120">AB5</f>
        <v>0</v>
      </c>
      <c r="AC131" s="49"/>
    </row>
    <row r="132" spans="2:29" x14ac:dyDescent="0.2">
      <c r="B132" s="20" t="s">
        <v>225</v>
      </c>
      <c r="C132" s="49"/>
      <c r="D132" s="49"/>
      <c r="E132" s="49"/>
      <c r="F132" s="49"/>
      <c r="G132" s="49"/>
      <c r="H132" s="49"/>
      <c r="I132" s="49"/>
      <c r="J132" s="49"/>
      <c r="K132" s="49"/>
      <c r="L132" s="49"/>
      <c r="M132" s="49"/>
      <c r="N132" s="49"/>
      <c r="O132" s="49"/>
      <c r="P132" s="49"/>
      <c r="Q132" s="49"/>
      <c r="T132" s="242" t="str">
        <f t="shared" ref="T132:Y132" si="121">IF(T131&gt;T130, "BEAT", IF(T131&lt;T129, "MISSED", "MET"))</f>
        <v>MET</v>
      </c>
      <c r="U132" s="242" t="str">
        <f t="shared" si="121"/>
        <v>BEAT</v>
      </c>
      <c r="V132" s="242" t="str">
        <f t="shared" si="121"/>
        <v>BEAT</v>
      </c>
      <c r="W132" s="242" t="str">
        <f t="shared" si="121"/>
        <v>BEAT</v>
      </c>
      <c r="X132" s="242" t="str">
        <f t="shared" si="121"/>
        <v>BEAT</v>
      </c>
      <c r="Y132" s="242" t="str">
        <f t="shared" si="121"/>
        <v>BEAT</v>
      </c>
      <c r="Z132" s="242" t="str">
        <f>IF(Z131&gt;Z130, "BEAT", IF(Z131&lt;Z129, "MISSED", "MET"))</f>
        <v>BEAT</v>
      </c>
      <c r="AA132" s="242" t="str">
        <f>IF(AA131&gt;AA130, "BEAT", IF(AA131&lt;AA129, "MISSED", "MET"))</f>
        <v>MISSED</v>
      </c>
      <c r="AC132" s="49"/>
    </row>
    <row r="133" spans="2:29" x14ac:dyDescent="0.2">
      <c r="B133" s="20" t="s">
        <v>271</v>
      </c>
      <c r="C133" s="49"/>
      <c r="D133" s="49"/>
      <c r="E133" s="49"/>
      <c r="F133" s="49"/>
      <c r="G133" s="49"/>
      <c r="H133" s="49"/>
      <c r="I133" s="49"/>
      <c r="J133" s="49"/>
      <c r="K133" s="49"/>
      <c r="L133" s="49"/>
      <c r="M133" s="49"/>
      <c r="N133" s="49"/>
      <c r="O133" s="49"/>
      <c r="P133" s="49"/>
      <c r="Q133" s="49"/>
      <c r="T133" s="21">
        <v>1669000</v>
      </c>
      <c r="U133" s="21">
        <v>1686000</v>
      </c>
      <c r="V133" s="21">
        <v>1715000</v>
      </c>
      <c r="W133" s="21">
        <v>1771000</v>
      </c>
      <c r="X133" s="21">
        <v>1844000</v>
      </c>
      <c r="Y133" s="21">
        <v>1894000</v>
      </c>
      <c r="Z133" s="21">
        <v>1929000</v>
      </c>
      <c r="AA133" s="21">
        <v>1992000</v>
      </c>
      <c r="AC133" s="49"/>
    </row>
    <row r="134" spans="2:29" x14ac:dyDescent="0.2">
      <c r="B134" s="20" t="s">
        <v>272</v>
      </c>
      <c r="C134" s="49"/>
      <c r="D134" s="49"/>
      <c r="E134" s="49"/>
      <c r="F134" s="49"/>
      <c r="G134" s="49"/>
      <c r="H134" s="49"/>
      <c r="I134" s="49"/>
      <c r="J134" s="49"/>
      <c r="K134" s="49"/>
      <c r="L134" s="49"/>
      <c r="M134" s="49"/>
      <c r="N134" s="49"/>
      <c r="O134" s="49"/>
      <c r="P134" s="49"/>
      <c r="Q134" s="49"/>
      <c r="T134" s="21">
        <v>1674000</v>
      </c>
      <c r="U134" s="21">
        <v>1691000</v>
      </c>
      <c r="V134" s="21">
        <v>1720000</v>
      </c>
      <c r="W134" s="21">
        <v>1776000</v>
      </c>
      <c r="X134" s="21">
        <v>1849000</v>
      </c>
      <c r="Y134" s="21">
        <v>1899000</v>
      </c>
      <c r="Z134" s="21">
        <v>1934000</v>
      </c>
      <c r="AA134" s="21">
        <v>1997000</v>
      </c>
      <c r="AC134" s="49"/>
    </row>
    <row r="135" spans="2:29" x14ac:dyDescent="0.2">
      <c r="B135" s="20" t="s">
        <v>273</v>
      </c>
      <c r="C135" s="49"/>
      <c r="D135" s="49"/>
      <c r="E135" s="49"/>
      <c r="F135" s="49"/>
      <c r="G135" s="49"/>
      <c r="H135" s="49"/>
      <c r="I135" s="49"/>
      <c r="J135" s="49"/>
      <c r="K135" s="49"/>
      <c r="L135" s="49"/>
      <c r="M135" s="49"/>
      <c r="N135" s="49"/>
      <c r="O135" s="49"/>
      <c r="P135" s="49"/>
      <c r="Q135" s="49"/>
      <c r="T135" s="25">
        <f t="shared" ref="T135" si="122">U213</f>
        <v>1666136</v>
      </c>
      <c r="U135" s="25">
        <f t="shared" ref="U135" si="123">V213</f>
        <v>1692683</v>
      </c>
      <c r="V135" s="25">
        <f t="shared" ref="V135" si="124">W213</f>
        <v>1723401</v>
      </c>
      <c r="W135" s="25">
        <f t="shared" ref="W135" si="125">X213</f>
        <v>1782384</v>
      </c>
      <c r="X135" s="25">
        <f t="shared" ref="X135" si="126">Y213</f>
        <v>1852567</v>
      </c>
      <c r="Y135" s="25">
        <f t="shared" ref="Y135" si="127">Z213</f>
        <v>1901211</v>
      </c>
      <c r="Z135" s="25">
        <f t="shared" ref="Z135" si="128">AA213</f>
        <v>1937722</v>
      </c>
      <c r="AA135" s="25">
        <f t="shared" ref="AA135" si="129">AB213</f>
        <v>0</v>
      </c>
      <c r="AC135" s="49"/>
    </row>
    <row r="136" spans="2:29" x14ac:dyDescent="0.2">
      <c r="B136" s="20" t="s">
        <v>225</v>
      </c>
      <c r="C136" s="49"/>
      <c r="D136" s="49"/>
      <c r="E136" s="49"/>
      <c r="F136" s="49"/>
      <c r="G136" s="49"/>
      <c r="H136" s="49"/>
      <c r="I136" s="49"/>
      <c r="J136" s="49"/>
      <c r="K136" s="49"/>
      <c r="L136" s="49"/>
      <c r="M136" s="49"/>
      <c r="N136" s="49"/>
      <c r="O136" s="49"/>
      <c r="P136" s="49"/>
      <c r="Q136" s="49"/>
      <c r="T136" s="242" t="str">
        <f t="shared" ref="T136:Y136" si="130">IF(T135&gt;T134, "BEAT", IF(T135&lt;T133, "MISSED", "MET"))</f>
        <v>MISSED</v>
      </c>
      <c r="U136" s="242" t="str">
        <f t="shared" si="130"/>
        <v>BEAT</v>
      </c>
      <c r="V136" s="242" t="str">
        <f t="shared" si="130"/>
        <v>BEAT</v>
      </c>
      <c r="W136" s="242" t="str">
        <f t="shared" si="130"/>
        <v>BEAT</v>
      </c>
      <c r="X136" s="242" t="str">
        <f t="shared" si="130"/>
        <v>BEAT</v>
      </c>
      <c r="Y136" s="242" t="str">
        <f t="shared" si="130"/>
        <v>BEAT</v>
      </c>
      <c r="Z136" s="242" t="str">
        <f>IF(Z135&gt;Z134, "BEAT", IF(Z135&lt;Z133, "MISSED", "MET"))</f>
        <v>BEAT</v>
      </c>
      <c r="AA136" s="242" t="str">
        <f>IF(AA135&gt;AA134, "BEAT", IF(AA135&lt;AA133, "MISSED", "MET"))</f>
        <v>MISSED</v>
      </c>
      <c r="AC136" s="49"/>
    </row>
    <row r="138" spans="2:29" x14ac:dyDescent="0.2">
      <c r="B138" s="1"/>
    </row>
    <row r="139" spans="2:29" ht="17" thickBot="1" x14ac:dyDescent="0.25">
      <c r="B139" s="14" t="s">
        <v>290</v>
      </c>
      <c r="C139" s="188"/>
      <c r="D139" s="188"/>
      <c r="E139" s="188"/>
      <c r="F139" s="188"/>
      <c r="G139" s="188"/>
      <c r="H139" s="188"/>
      <c r="I139" s="188"/>
      <c r="J139" s="188"/>
      <c r="K139" s="188"/>
      <c r="L139" s="188"/>
      <c r="M139" s="188"/>
      <c r="N139" s="188"/>
      <c r="O139" s="188"/>
      <c r="P139" s="188"/>
      <c r="Q139" s="188"/>
      <c r="T139" s="188"/>
      <c r="U139" s="188"/>
      <c r="V139" s="188"/>
      <c r="W139" s="188"/>
      <c r="X139" s="188"/>
      <c r="Y139" s="188"/>
      <c r="Z139" s="188"/>
      <c r="AA139" s="188"/>
      <c r="AC139" s="188"/>
    </row>
    <row r="140" spans="2:29" x14ac:dyDescent="0.2">
      <c r="B140" s="20" t="s">
        <v>122</v>
      </c>
      <c r="C140" s="81"/>
      <c r="D140" s="81"/>
      <c r="E140" s="81"/>
      <c r="F140" s="81"/>
      <c r="G140" s="81"/>
      <c r="H140" s="81"/>
      <c r="I140" s="81"/>
      <c r="J140" s="81"/>
      <c r="K140" s="81"/>
      <c r="L140" s="81"/>
      <c r="M140" s="81">
        <f>M109/(M108+M112-M107)</f>
        <v>-13.446770816556612</v>
      </c>
      <c r="N140" s="81">
        <f>N109/(N108+N112-N107)</f>
        <v>-2.1723832513114152</v>
      </c>
      <c r="O140" s="81">
        <f>O109/(O108+O112-O107)</f>
        <v>-1.2085904425090432</v>
      </c>
      <c r="P140" s="81">
        <f>P109/(P108+P112-P107)</f>
        <v>-1.3311034872391121</v>
      </c>
      <c r="Q140" s="81">
        <f>Q109/(Q108+Q112-Q107)</f>
        <v>0.14438669993971168</v>
      </c>
      <c r="T140" s="49"/>
      <c r="U140" s="49"/>
      <c r="V140" s="49"/>
      <c r="W140" s="49"/>
      <c r="X140" s="49"/>
      <c r="Y140" s="49"/>
      <c r="Z140" s="49"/>
      <c r="AA140" s="49"/>
      <c r="AC140" s="81">
        <f>AC109/(AC108+AC112-AC107)</f>
        <v>0.28139960185897273</v>
      </c>
    </row>
    <row r="141" spans="2:29" x14ac:dyDescent="0.2">
      <c r="B141" s="20" t="s">
        <v>178</v>
      </c>
      <c r="M141" s="139">
        <f t="shared" ref="M141:Q142" si="131">M30/M5*365</f>
        <v>133.69421979440784</v>
      </c>
      <c r="N141" s="139">
        <f t="shared" si="131"/>
        <v>152.91140215061483</v>
      </c>
      <c r="O141" s="139">
        <f t="shared" si="131"/>
        <v>145.23661159324561</v>
      </c>
      <c r="P141" s="139">
        <f t="shared" si="131"/>
        <v>137.8303503480538</v>
      </c>
      <c r="Q141" s="139">
        <f t="shared" si="131"/>
        <v>131.6037563052133</v>
      </c>
      <c r="T141" s="139">
        <f t="shared" ref="T141:Z141" si="132">T30/T5*90</f>
        <v>113.19501033404484</v>
      </c>
      <c r="U141" s="139">
        <f t="shared" si="132"/>
        <v>114.68995340449337</v>
      </c>
      <c r="V141" s="139">
        <f t="shared" si="132"/>
        <v>93.317359459823237</v>
      </c>
      <c r="W141" s="139">
        <f t="shared" si="132"/>
        <v>96.344546178343947</v>
      </c>
      <c r="X141" s="139">
        <f t="shared" si="132"/>
        <v>108.60342533561332</v>
      </c>
      <c r="Y141" s="139">
        <f t="shared" si="132"/>
        <v>108.63165574394054</v>
      </c>
      <c r="Z141" s="139">
        <f t="shared" si="132"/>
        <v>64.534109976050601</v>
      </c>
      <c r="AA141" s="139">
        <f t="shared" ref="AA141" si="133">AA30/AA5*90</f>
        <v>67.372762372762367</v>
      </c>
      <c r="AC141" s="139">
        <f>AC30/AC5*365</f>
        <v>65.13952923483518</v>
      </c>
    </row>
    <row r="142" spans="2:29" x14ac:dyDescent="0.2">
      <c r="B142" s="20" t="s">
        <v>179</v>
      </c>
      <c r="M142" s="139">
        <f t="shared" si="131"/>
        <v>0</v>
      </c>
      <c r="N142" s="139">
        <f t="shared" si="131"/>
        <v>0</v>
      </c>
      <c r="O142" s="139">
        <f t="shared" si="131"/>
        <v>0</v>
      </c>
      <c r="P142" s="139">
        <f t="shared" si="131"/>
        <v>0</v>
      </c>
      <c r="Q142" s="139">
        <f t="shared" si="131"/>
        <v>0</v>
      </c>
      <c r="T142" s="139">
        <f t="shared" ref="T142:Z142" si="134">T31/T6*365</f>
        <v>0</v>
      </c>
      <c r="U142" s="139">
        <f t="shared" si="134"/>
        <v>0</v>
      </c>
      <c r="V142" s="139">
        <f t="shared" si="134"/>
        <v>0</v>
      </c>
      <c r="W142" s="139">
        <f t="shared" si="134"/>
        <v>0</v>
      </c>
      <c r="X142" s="139">
        <f t="shared" si="134"/>
        <v>0</v>
      </c>
      <c r="Y142" s="139">
        <f t="shared" si="134"/>
        <v>0</v>
      </c>
      <c r="Z142" s="139">
        <f t="shared" si="134"/>
        <v>0</v>
      </c>
      <c r="AA142" s="139">
        <f t="shared" ref="AA142" si="135">AA31/AA6*365</f>
        <v>0</v>
      </c>
      <c r="AC142" s="139">
        <f>AC31/AC6*365</f>
        <v>0</v>
      </c>
    </row>
    <row r="143" spans="2:29" x14ac:dyDescent="0.2">
      <c r="B143" s="20" t="s">
        <v>180</v>
      </c>
      <c r="M143" s="139">
        <f>M38/M6*365</f>
        <v>24.889114574697395</v>
      </c>
      <c r="N143" s="139">
        <f>N38/N6*365</f>
        <v>18.023865460341792</v>
      </c>
      <c r="O143" s="139">
        <f>O38/O6*365</f>
        <v>6.4216481901145333</v>
      </c>
      <c r="P143" s="139">
        <f>P38/P6*365</f>
        <v>49.039734026613537</v>
      </c>
      <c r="Q143" s="139">
        <f>Q38/Q6*365</f>
        <v>13.686287751306349</v>
      </c>
      <c r="T143" s="139">
        <f t="shared" ref="T143:Z143" si="136">T38/T6*90</f>
        <v>26.007872904348915</v>
      </c>
      <c r="U143" s="139">
        <f t="shared" si="136"/>
        <v>46.270493073418663</v>
      </c>
      <c r="V143" s="139">
        <f t="shared" si="136"/>
        <v>23.797704245423365</v>
      </c>
      <c r="W143" s="139">
        <f t="shared" si="136"/>
        <v>27.599720410065238</v>
      </c>
      <c r="X143" s="139">
        <f t="shared" si="136"/>
        <v>18.67697494623031</v>
      </c>
      <c r="Y143" s="139">
        <f t="shared" si="136"/>
        <v>12.368837492391966</v>
      </c>
      <c r="Z143" s="139">
        <f t="shared" si="136"/>
        <v>23.046355033277873</v>
      </c>
      <c r="AA143" s="139">
        <f t="shared" ref="AA143" si="137">AA38/AA6*90</f>
        <v>18.409420874334572</v>
      </c>
      <c r="AC143" s="139">
        <f>AC38/AC6*365</f>
        <v>20.038033450786315</v>
      </c>
    </row>
    <row r="144" spans="2:29" x14ac:dyDescent="0.2">
      <c r="B144" s="20" t="s">
        <v>181</v>
      </c>
      <c r="M144" s="139">
        <f>M141+M142-M143</f>
        <v>108.80510521971044</v>
      </c>
      <c r="N144" s="139">
        <f t="shared" ref="N144:Q144" si="138">N141+N142-N143</f>
        <v>134.88753669027304</v>
      </c>
      <c r="O144" s="139">
        <f t="shared" si="138"/>
        <v>138.81496340313109</v>
      </c>
      <c r="P144" s="139">
        <f t="shared" si="138"/>
        <v>88.790616321440268</v>
      </c>
      <c r="Q144" s="139">
        <f t="shared" si="138"/>
        <v>117.91746855390694</v>
      </c>
      <c r="T144" s="139">
        <f t="shared" ref="T144" si="139">T141+T142-T143</f>
        <v>87.187137429695923</v>
      </c>
      <c r="U144" s="139">
        <f t="shared" ref="U144" si="140">U141+U142-U143</f>
        <v>68.419460331074703</v>
      </c>
      <c r="V144" s="139">
        <f t="shared" ref="V144" si="141">V141+V142-V143</f>
        <v>69.519655214399876</v>
      </c>
      <c r="W144" s="139">
        <f t="shared" ref="W144" si="142">W141+W142-W143</f>
        <v>68.744825768278702</v>
      </c>
      <c r="X144" s="139">
        <f t="shared" ref="X144:Z144" si="143">X141+X142-X143</f>
        <v>89.926450389383007</v>
      </c>
      <c r="Y144" s="139">
        <f t="shared" si="143"/>
        <v>96.26281825154858</v>
      </c>
      <c r="Z144" s="139">
        <f t="shared" si="143"/>
        <v>41.487754942772725</v>
      </c>
      <c r="AA144" s="139">
        <f t="shared" ref="AA144" si="144">AA141+AA142-AA143</f>
        <v>48.963341498427795</v>
      </c>
      <c r="AC144" s="139">
        <f t="shared" ref="AC144" si="145">AC141+AC142-AC143</f>
        <v>45.101495784048865</v>
      </c>
    </row>
    <row r="145" spans="2:29" x14ac:dyDescent="0.2">
      <c r="B145" s="20" t="s">
        <v>293</v>
      </c>
      <c r="M145" s="139">
        <f>M108/M49</f>
        <v>0</v>
      </c>
      <c r="N145" s="139">
        <f>N108/N49</f>
        <v>0</v>
      </c>
      <c r="O145" s="139">
        <f>O108/O49</f>
        <v>0</v>
      </c>
      <c r="P145" s="139">
        <f>P108/P49</f>
        <v>0</v>
      </c>
      <c r="Q145" s="139">
        <f>Q108/Q49</f>
        <v>0</v>
      </c>
      <c r="T145" s="139">
        <f t="shared" ref="T145:Z145" si="146">T108/T49</f>
        <v>0</v>
      </c>
      <c r="U145" s="139">
        <f t="shared" si="146"/>
        <v>0</v>
      </c>
      <c r="V145" s="139">
        <f t="shared" si="146"/>
        <v>0</v>
      </c>
      <c r="W145" s="139">
        <f t="shared" si="146"/>
        <v>0</v>
      </c>
      <c r="X145" s="139">
        <f t="shared" si="146"/>
        <v>0</v>
      </c>
      <c r="Y145" s="139">
        <f t="shared" si="146"/>
        <v>0</v>
      </c>
      <c r="Z145" s="139">
        <f t="shared" si="146"/>
        <v>0</v>
      </c>
      <c r="AA145" s="139">
        <f t="shared" ref="AA145" si="147">AA108/AA49</f>
        <v>0</v>
      </c>
      <c r="AC145" s="139">
        <f>AC108/AC49</f>
        <v>0</v>
      </c>
    </row>
    <row r="146" spans="2:29" x14ac:dyDescent="0.2">
      <c r="B146" s="20" t="s">
        <v>297</v>
      </c>
      <c r="M146" s="196">
        <f>(M108-M107)/M49</f>
        <v>-0.98061622848437269</v>
      </c>
      <c r="N146" s="196">
        <f>(N108-N107)/N49</f>
        <v>-0.91650530841732814</v>
      </c>
      <c r="O146" s="196">
        <f>(O108-O107)/O49</f>
        <v>-0.93239915996813671</v>
      </c>
      <c r="P146" s="196">
        <f>(P108-P107)/P49</f>
        <v>-0.93383166410403939</v>
      </c>
      <c r="Q146" s="196">
        <f>(Q108-Q107)/Q49</f>
        <v>-0.81123909829457308</v>
      </c>
      <c r="T146" s="196">
        <f t="shared" ref="T146:Z146" si="148">(T108-T107)/T49</f>
        <v>-0.92585537389316019</v>
      </c>
      <c r="U146" s="196">
        <f t="shared" si="148"/>
        <v>-0.93383166410403939</v>
      </c>
      <c r="V146" s="196">
        <f t="shared" si="148"/>
        <v>-0.93702475358574611</v>
      </c>
      <c r="W146" s="196">
        <f t="shared" si="148"/>
        <v>-0.91411133917631171</v>
      </c>
      <c r="X146" s="196">
        <f t="shared" si="148"/>
        <v>-0.78966100787845062</v>
      </c>
      <c r="Y146" s="196">
        <f t="shared" si="148"/>
        <v>-0.81123909829457308</v>
      </c>
      <c r="Z146" s="196">
        <f t="shared" si="148"/>
        <v>-0.74396849127545694</v>
      </c>
      <c r="AA146" s="196">
        <f t="shared" ref="AA146" si="149">(AA108-AA107)/AA49</f>
        <v>-0.72106144514564929</v>
      </c>
      <c r="AC146" s="196">
        <f>(AC108-AC107)/AC49</f>
        <v>-0.72106144514564929</v>
      </c>
    </row>
    <row r="147" spans="2:29" x14ac:dyDescent="0.2">
      <c r="B147" s="20" t="s">
        <v>294</v>
      </c>
      <c r="M147" s="139">
        <f>(M107+M30)/M40</f>
        <v>4.192374990758311</v>
      </c>
      <c r="N147" s="139">
        <f>(N107+N30)/N40</f>
        <v>3.5171282077477604</v>
      </c>
      <c r="O147" s="139">
        <f>(O107+O30)/O40</f>
        <v>3.3726940484002186</v>
      </c>
      <c r="P147" s="139">
        <f>(P107+P30)/P40</f>
        <v>2.833196064687328</v>
      </c>
      <c r="Q147" s="139">
        <f>(Q107+Q30)/Q40</f>
        <v>2.5073153653043936</v>
      </c>
      <c r="T147" s="139">
        <f t="shared" ref="T147:Z147" si="150">(T107+T30)/T40</f>
        <v>2.9469051997705158</v>
      </c>
      <c r="U147" s="139">
        <f t="shared" si="150"/>
        <v>2.833196064687328</v>
      </c>
      <c r="V147" s="139">
        <f t="shared" si="150"/>
        <v>2.7397114268432543</v>
      </c>
      <c r="W147" s="139">
        <f t="shared" si="150"/>
        <v>2.5864328692324254</v>
      </c>
      <c r="X147" s="139">
        <f t="shared" si="150"/>
        <v>2.5559617091416253</v>
      </c>
      <c r="Y147" s="139">
        <f t="shared" si="150"/>
        <v>2.5073153653043936</v>
      </c>
      <c r="Z147" s="139">
        <f t="shared" si="150"/>
        <v>2.063021693804965</v>
      </c>
      <c r="AA147" s="139">
        <f t="shared" ref="AA147" si="151">(AA107+AA30)/AA40</f>
        <v>2.1209291205537757</v>
      </c>
      <c r="AC147" s="139">
        <f>(AC107+AC30)/AC40</f>
        <v>2.1209291205537757</v>
      </c>
    </row>
    <row r="148" spans="2:29" x14ac:dyDescent="0.2">
      <c r="B148" s="20" t="s">
        <v>295</v>
      </c>
      <c r="M148" s="139">
        <f>M32/M40</f>
        <v>4.3171501096680389</v>
      </c>
      <c r="N148" s="139">
        <f>N32/N40</f>
        <v>3.7423569563190795</v>
      </c>
      <c r="O148" s="139">
        <f>O32/O40</f>
        <v>3.6257476910625539</v>
      </c>
      <c r="P148" s="139">
        <f>P32/P40</f>
        <v>2.9271504030441093</v>
      </c>
      <c r="Q148" s="139">
        <f>Q32/Q40</f>
        <v>2.4783388537733191</v>
      </c>
      <c r="T148" s="139">
        <f t="shared" ref="T148:Z148" si="152">T32/T40</f>
        <v>3.129493165083332</v>
      </c>
      <c r="U148" s="139">
        <f t="shared" si="152"/>
        <v>2.9271504030441093</v>
      </c>
      <c r="V148" s="139">
        <f t="shared" si="152"/>
        <v>2.9470125037192663</v>
      </c>
      <c r="W148" s="139">
        <f t="shared" si="152"/>
        <v>2.7501208666647705</v>
      </c>
      <c r="X148" s="139">
        <f t="shared" si="152"/>
        <v>2.6541688855077976</v>
      </c>
      <c r="Y148" s="139">
        <f t="shared" si="152"/>
        <v>2.4783388537733191</v>
      </c>
      <c r="Z148" s="139">
        <f t="shared" si="152"/>
        <v>2.3066495444084523</v>
      </c>
      <c r="AA148" s="139">
        <f t="shared" ref="AA148" si="153">AA32/AA40</f>
        <v>2.386634756174606</v>
      </c>
      <c r="AC148" s="139">
        <f>AC32/AC40</f>
        <v>2.386634756174606</v>
      </c>
    </row>
    <row r="149" spans="2:29" x14ac:dyDescent="0.2">
      <c r="B149" s="20" t="s">
        <v>301</v>
      </c>
      <c r="M149" s="198" t="str">
        <f>IF(M13&gt;=0,"N/A",IF(M12&lt;=0,"N/A",M12/-M13))</f>
        <v>N/A</v>
      </c>
      <c r="N149" s="198" t="str">
        <f>IF(N13&gt;=0,"N/A",IF(N12&lt;=0,"N/A",N12/-N13))</f>
        <v>N/A</v>
      </c>
      <c r="O149" s="198" t="str">
        <f>IF(O13&gt;=0,"N/A",IF(O12&lt;=0,"N/A",O12/-O13))</f>
        <v>N/A</v>
      </c>
      <c r="P149" s="198" t="str">
        <f>IF(P13&gt;=0,"N/A",IF(P12&lt;=0,"N/A",P12/-P13))</f>
        <v>N/A</v>
      </c>
      <c r="Q149" s="198" t="str">
        <f>IF(Q13&gt;=0,"N/A",IF(Q12&lt;=0,"N/A",Q12/-Q13))</f>
        <v>N/A</v>
      </c>
      <c r="T149" s="198" t="str">
        <f t="shared" ref="T149:Z149" si="154">IF(T13&gt;=0,"N/A",IF(T12&lt;=0,"N/A",T12/-T13))</f>
        <v>N/A</v>
      </c>
      <c r="U149" s="198" t="str">
        <f t="shared" si="154"/>
        <v>N/A</v>
      </c>
      <c r="V149" s="198" t="str">
        <f t="shared" si="154"/>
        <v>N/A</v>
      </c>
      <c r="W149" s="198" t="str">
        <f t="shared" si="154"/>
        <v>N/A</v>
      </c>
      <c r="X149" s="198" t="str">
        <f t="shared" si="154"/>
        <v>N/A</v>
      </c>
      <c r="Y149" s="198" t="str">
        <f t="shared" si="154"/>
        <v>N/A</v>
      </c>
      <c r="Z149" s="198" t="str">
        <f t="shared" si="154"/>
        <v>N/A</v>
      </c>
      <c r="AA149" s="198" t="str">
        <f t="shared" ref="AA149" si="155">IF(AA13&gt;=0,"N/A",IF(AA12&lt;=0,"N/A",AA12/-AA13))</f>
        <v>N/A</v>
      </c>
      <c r="AC149" s="198" t="str">
        <f>IF(AC13&gt;=0,"N/A",IF(AC12&lt;=0,"N/A",AC12/-AC13))</f>
        <v>N/A</v>
      </c>
    </row>
    <row r="150" spans="2:29" x14ac:dyDescent="0.2">
      <c r="B150" s="20" t="s">
        <v>279</v>
      </c>
      <c r="M150" s="72">
        <f>M117/Statement!M26</f>
        <v>-28.818965517241381</v>
      </c>
      <c r="N150" s="72">
        <f>N117/Statement!N26</f>
        <v>-24.283333333333335</v>
      </c>
      <c r="O150" s="72">
        <f>O117/Statement!O26</f>
        <v>-149.0625</v>
      </c>
      <c r="P150" s="72">
        <f>P117/Statement!P26</f>
        <v>-112.15384615384615</v>
      </c>
      <c r="Q150" s="72">
        <f>Q117/Statement!Q26</f>
        <v>24.21153846153846</v>
      </c>
      <c r="T150" s="49"/>
      <c r="U150" s="49"/>
      <c r="V150" s="49"/>
      <c r="W150" s="49"/>
      <c r="X150" s="49"/>
      <c r="Y150" s="49"/>
      <c r="Z150" s="49"/>
      <c r="AA150" s="49"/>
      <c r="AC150" s="72">
        <f ca="1">AC117/Statement!AC26</f>
        <v>19.88805970149253</v>
      </c>
    </row>
    <row r="151" spans="2:29" x14ac:dyDescent="0.2">
      <c r="B151" s="20" t="s">
        <v>240</v>
      </c>
      <c r="M151" s="72">
        <f>M117/(Statement!M5/Statement!M22)</f>
        <v>17.03343197885799</v>
      </c>
      <c r="N151" s="72">
        <f>N117/(Statement!N5/Statement!N22)</f>
        <v>7.5428149003241138</v>
      </c>
      <c r="O151" s="72">
        <f>O117/(Statement!O5/Statement!O22)</f>
        <v>11.921699837623619</v>
      </c>
      <c r="P151" s="72">
        <f>P117/(Statement!P5/Statement!P22)</f>
        <v>5.7103089537122012</v>
      </c>
      <c r="Q151" s="72">
        <f>Q117/(Statement!Q5/Statement!Q22)</f>
        <v>4.2592243004348767</v>
      </c>
      <c r="T151" s="49"/>
      <c r="U151" s="49"/>
      <c r="V151" s="49"/>
      <c r="W151" s="49"/>
      <c r="X151" s="49"/>
      <c r="Y151" s="49"/>
      <c r="Z151" s="49"/>
      <c r="AA151" s="49"/>
      <c r="AC151" s="72">
        <f ca="1">AC117/(Statement!AC5/Statement!AC22)</f>
        <v>4.1332066947127535</v>
      </c>
    </row>
    <row r="152" spans="2:29" x14ac:dyDescent="0.2">
      <c r="B152" s="20" t="s">
        <v>280</v>
      </c>
      <c r="M152" s="72">
        <f>M117/(Statement!M49/Statement!M75)</f>
        <v>9.4291282297830765</v>
      </c>
      <c r="N152" s="72">
        <f>N117/(Statement!N49/Statement!N75)</f>
        <v>4.2296795940750709</v>
      </c>
      <c r="O152" s="72">
        <f>O117/(Statement!O49/Statement!O75)</f>
        <v>6.731246372972957</v>
      </c>
      <c r="P152" s="72">
        <f>P117/(Statement!P49/Statement!P75)</f>
        <v>4.3563406007925183</v>
      </c>
      <c r="Q152" s="72">
        <f>Q117/(Statement!Q49/Statement!Q75)</f>
        <v>3.1673000839820857</v>
      </c>
      <c r="T152" s="72">
        <f>T117/(Statement!T49/Statement!T75)</f>
        <v>3.9192581610940933</v>
      </c>
      <c r="U152" s="72">
        <f>U117/(Statement!U49/Statement!U75)</f>
        <v>4.3563406007925183</v>
      </c>
      <c r="V152" s="72">
        <f>V117/(Statement!V49/Statement!V75)</f>
        <v>3.7612672060176831</v>
      </c>
      <c r="W152" s="72">
        <f>W117/(Statement!W49/Statement!W75)</f>
        <v>3.74587096259057</v>
      </c>
      <c r="X152" s="72">
        <f>X117/(Statement!X49/Statement!X75)</f>
        <v>4.4066611694690421</v>
      </c>
      <c r="Y152" s="72">
        <f>Y117/(Statement!Y49/Statement!Y75)</f>
        <v>3.1673000839820857</v>
      </c>
      <c r="Z152" s="72">
        <f>Z117/(Statement!Z49/Statement!Z75)</f>
        <v>2.8043848940994711</v>
      </c>
      <c r="AA152" s="72">
        <f>AA117/(Statement!AA49/Statement!AA75)</f>
        <v>3.4127670048153727</v>
      </c>
      <c r="AC152" s="72">
        <f ca="1">AC117/(Statement!AC49/Statement!AC75)</f>
        <v>3.5638809043232635</v>
      </c>
    </row>
    <row r="153" spans="2:29" x14ac:dyDescent="0.2">
      <c r="B153" s="20" t="s">
        <v>281</v>
      </c>
      <c r="M153" s="162">
        <f>Statement!M117*Statement!M78</f>
        <v>18122001.84</v>
      </c>
      <c r="N153" s="162">
        <f>Statement!N117*Statement!N78</f>
        <v>8121653.1100000003</v>
      </c>
      <c r="O153" s="162">
        <f>Statement!O117*Statement!O78</f>
        <v>13570960.050000001</v>
      </c>
      <c r="P153" s="162">
        <f>Statement!P117*Statement!P78</f>
        <v>8040767.9400000004</v>
      </c>
      <c r="Q153" s="162">
        <f>Statement!Q117*Statement!Q78</f>
        <v>6680971.6299999999</v>
      </c>
      <c r="T153" s="162">
        <f>Statement!T117*Statement!T78</f>
        <v>6787547.6499999994</v>
      </c>
      <c r="U153" s="162">
        <f>Statement!U117*Statement!U78</f>
        <v>8040767.9400000004</v>
      </c>
      <c r="V153" s="162">
        <f>Statement!V117*Statement!V78</f>
        <v>6388365.6600000001</v>
      </c>
      <c r="W153" s="162">
        <f>Statement!W117*Statement!W78</f>
        <v>6318186.5</v>
      </c>
      <c r="X153" s="162">
        <f>Statement!X117*Statement!X78</f>
        <v>8588396.1799999997</v>
      </c>
      <c r="Y153" s="162">
        <f>Statement!Y117*Statement!Y78</f>
        <v>6680971.6299999999</v>
      </c>
      <c r="Z153" s="162">
        <f>Statement!Z117*Statement!Z78</f>
        <v>5380256.5</v>
      </c>
      <c r="AA153" s="162">
        <f>Statement!AA117*Statement!AA78</f>
        <v>6692811.3999999994</v>
      </c>
      <c r="AC153" s="162">
        <f ca="1">Statement!AC117*Statement!AC78</f>
        <v>6989162.375</v>
      </c>
    </row>
    <row r="154" spans="2:29" x14ac:dyDescent="0.2">
      <c r="B154" s="20" t="s">
        <v>227</v>
      </c>
      <c r="M154" s="162">
        <f>M153+M108-M107+M48+M45</f>
        <v>16237338.84</v>
      </c>
      <c r="N154" s="162">
        <f>N153+N108-N107+N48+N45</f>
        <v>6361818.1100000003</v>
      </c>
      <c r="O154" s="162">
        <f>O153+O108-O107+O48+O45</f>
        <v>11691137.050000001</v>
      </c>
      <c r="P154" s="162">
        <f>P153+P108-P107+P48+P45</f>
        <v>6317136.9400000004</v>
      </c>
      <c r="Q154" s="162">
        <f>Q153+Q108-Q107+Q48+Q45</f>
        <v>4991495.63</v>
      </c>
      <c r="T154" s="162">
        <f t="shared" ref="T154:Z154" si="156">T153+T108-T107+T48+T45</f>
        <v>5184109.6499999994</v>
      </c>
      <c r="U154" s="162">
        <f t="shared" si="156"/>
        <v>6317136.9400000004</v>
      </c>
      <c r="V154" s="162">
        <f t="shared" si="156"/>
        <v>4796865.66</v>
      </c>
      <c r="W154" s="162">
        <f t="shared" si="156"/>
        <v>4795548.5</v>
      </c>
      <c r="X154" s="162">
        <f t="shared" si="156"/>
        <v>7068601.1799999997</v>
      </c>
      <c r="Y154" s="162">
        <f t="shared" si="156"/>
        <v>4991495.63</v>
      </c>
      <c r="Z154" s="162">
        <f t="shared" si="156"/>
        <v>3964510.5</v>
      </c>
      <c r="AA154" s="162">
        <f t="shared" ref="AA154" si="157">AA153+AA108-AA107+AA48+AA45</f>
        <v>5287786.3999999994</v>
      </c>
      <c r="AC154" s="162">
        <f ca="1">AC153+AC108-AC107+AC48+AC45</f>
        <v>5584137.375</v>
      </c>
    </row>
    <row r="155" spans="2:29" x14ac:dyDescent="0.2">
      <c r="B155" s="20" t="s">
        <v>302</v>
      </c>
      <c r="M155" s="200">
        <f>M154/M5</f>
        <v>18.198153481303489</v>
      </c>
      <c r="N155" s="200">
        <f>N154/N5</f>
        <v>6.0097603395488868</v>
      </c>
      <c r="O155" s="200">
        <f>O154/O5</f>
        <v>8.9376861900568176</v>
      </c>
      <c r="P155" s="200">
        <f>P154/P5</f>
        <v>4.4186165001007236</v>
      </c>
      <c r="Q155" s="200">
        <f>Q154/Q5</f>
        <v>3.0992067600827533</v>
      </c>
      <c r="T155" s="49"/>
      <c r="U155" s="49"/>
      <c r="V155" s="49"/>
      <c r="W155" s="49"/>
      <c r="X155" s="49"/>
      <c r="Y155" s="49"/>
      <c r="Z155" s="49"/>
      <c r="AA155" s="49"/>
      <c r="AC155" s="200">
        <f ca="1">AC154/AC5</f>
        <v>3.244972783925228</v>
      </c>
    </row>
    <row r="156" spans="2:29" x14ac:dyDescent="0.2">
      <c r="B156" s="20" t="s">
        <v>243</v>
      </c>
      <c r="M156" s="200">
        <f>M154/M12</f>
        <v>-32.413351618737352</v>
      </c>
      <c r="N156" s="200">
        <f>N154/N12</f>
        <v>-18.266232087124553</v>
      </c>
      <c r="O156" s="200">
        <f>O154/O12</f>
        <v>-70.97581987615348</v>
      </c>
      <c r="P156" s="200">
        <f>P154/P12</f>
        <v>-38.858189076638233</v>
      </c>
      <c r="Q156" s="200">
        <f>Q154/Q12</f>
        <v>87.94037403100775</v>
      </c>
      <c r="T156" s="49"/>
      <c r="U156" s="49"/>
      <c r="V156" s="49"/>
      <c r="W156" s="49"/>
      <c r="X156" s="49"/>
      <c r="Y156" s="49"/>
      <c r="Z156" s="49"/>
      <c r="AA156" s="49"/>
      <c r="AC156" s="200">
        <f ca="1">AC154/AC12</f>
        <v>36.510038542511182</v>
      </c>
    </row>
    <row r="157" spans="2:29" x14ac:dyDescent="0.2">
      <c r="B157" s="20" t="s">
        <v>303</v>
      </c>
      <c r="M157" s="64">
        <f>M59-M54+M110+M65</f>
        <v>-582375</v>
      </c>
      <c r="N157" s="64">
        <f>N59-N54+N110+N65</f>
        <v>-403636</v>
      </c>
      <c r="O157" s="64">
        <f>O59-O54+O110+O65</f>
        <v>-80215</v>
      </c>
      <c r="P157" s="64">
        <f>P59-P54+P110+P65</f>
        <v>-52509</v>
      </c>
      <c r="Q157" s="64">
        <f>Q59-Q54+Q110+Q65</f>
        <v>61484</v>
      </c>
      <c r="T157" s="64">
        <f t="shared" ref="T157:Z157" si="158">T59-T54+T110+T65</f>
        <v>-64293</v>
      </c>
      <c r="U157" s="64">
        <f t="shared" si="158"/>
        <v>0</v>
      </c>
      <c r="V157" s="64">
        <f t="shared" si="158"/>
        <v>29809</v>
      </c>
      <c r="W157" s="64">
        <f t="shared" si="158"/>
        <v>-36419</v>
      </c>
      <c r="X157" s="64">
        <f t="shared" si="158"/>
        <v>-46368</v>
      </c>
      <c r="Y157" s="64">
        <f t="shared" si="158"/>
        <v>114462</v>
      </c>
      <c r="Z157" s="64">
        <f t="shared" si="158"/>
        <v>75934</v>
      </c>
      <c r="AA157" s="64">
        <f t="shared" ref="AA157" si="159">AA59-AA54+AA110+AA65</f>
        <v>-15652</v>
      </c>
      <c r="AC157" s="64">
        <f>AC59-AC54+AC110+AC65</f>
        <v>128376</v>
      </c>
    </row>
    <row r="158" spans="2:29" x14ac:dyDescent="0.2">
      <c r="B158" s="20" t="s">
        <v>304</v>
      </c>
      <c r="M158" s="64">
        <f>M109+M53+M110+M55+M57+M58+M56</f>
        <v>-603972</v>
      </c>
      <c r="N158" s="64">
        <f>N109+N53+N110+N55+N57+N58+N56</f>
        <v>-500062</v>
      </c>
      <c r="O158" s="64">
        <f>O109+O53+O110+O55+O57+O58+O56</f>
        <v>-216393</v>
      </c>
      <c r="P158" s="64">
        <f>P109+P53+P110+P55+P57+P58+P56</f>
        <v>-202032</v>
      </c>
      <c r="Q158" s="64">
        <f>Q109+Q53+Q110+Q55+Q57+Q58+Q56</f>
        <v>-94526</v>
      </c>
      <c r="T158" s="49"/>
      <c r="U158" s="49"/>
      <c r="V158" s="49"/>
      <c r="W158" s="49"/>
      <c r="X158" s="49"/>
      <c r="Y158" s="49"/>
      <c r="Z158" s="49"/>
      <c r="AA158" s="49"/>
      <c r="AC158" s="64">
        <f>AC109+AC53+AC110+AC55+AC57+AC58+AC56</f>
        <v>-45127</v>
      </c>
    </row>
    <row r="159" spans="2:29" x14ac:dyDescent="0.2">
      <c r="B159" s="20" t="s">
        <v>305</v>
      </c>
      <c r="M159" s="72">
        <f>M153/M157</f>
        <v>-31.117410328396652</v>
      </c>
      <c r="N159" s="72">
        <f t="shared" ref="N159:Q159" si="160">N153/N157</f>
        <v>-20.121230787144853</v>
      </c>
      <c r="O159" s="72">
        <f t="shared" si="160"/>
        <v>-169.18232313158387</v>
      </c>
      <c r="P159" s="72">
        <f t="shared" si="160"/>
        <v>-153.13123350282808</v>
      </c>
      <c r="Q159" s="72">
        <f t="shared" si="160"/>
        <v>108.6619548175135</v>
      </c>
      <c r="T159" s="49"/>
      <c r="U159" s="49"/>
      <c r="V159" s="49"/>
      <c r="W159" s="49"/>
      <c r="X159" s="49"/>
      <c r="Y159" s="49"/>
      <c r="Z159" s="49"/>
      <c r="AA159" s="49"/>
      <c r="AC159" s="72">
        <f t="shared" ref="AC159:AC160" ca="1" si="161">AC153/AC157</f>
        <v>54.442905021187762</v>
      </c>
    </row>
    <row r="160" spans="2:29" x14ac:dyDescent="0.2">
      <c r="B160" s="20" t="s">
        <v>306</v>
      </c>
      <c r="M160" s="72">
        <f>M154/M158</f>
        <v>-26.884257614591405</v>
      </c>
      <c r="N160" s="72">
        <f t="shared" ref="N160:Q160" si="162">N154/N158</f>
        <v>-12.722058684723095</v>
      </c>
      <c r="O160" s="72">
        <f t="shared" si="162"/>
        <v>-54.027334756669582</v>
      </c>
      <c r="P160" s="72">
        <f t="shared" si="162"/>
        <v>-31.268001801694783</v>
      </c>
      <c r="Q160" s="72">
        <f t="shared" si="162"/>
        <v>-52.805531070816492</v>
      </c>
      <c r="T160" s="49"/>
      <c r="U160" s="49"/>
      <c r="V160" s="49"/>
      <c r="W160" s="49"/>
      <c r="X160" s="49"/>
      <c r="Y160" s="49"/>
      <c r="Z160" s="49"/>
      <c r="AA160" s="49"/>
      <c r="AC160" s="72">
        <f t="shared" ca="1" si="161"/>
        <v>-123.74271223436081</v>
      </c>
    </row>
    <row r="161" spans="2:29" x14ac:dyDescent="0.2">
      <c r="B161" s="20" t="s">
        <v>307</v>
      </c>
      <c r="M161" s="74">
        <f>M157/M153</f>
        <v>-3.2136350340421331E-2</v>
      </c>
      <c r="N161" s="74">
        <f t="shared" ref="N161:Q161" si="163">N157/N153</f>
        <v>-4.9698749076467263E-2</v>
      </c>
      <c r="O161" s="74">
        <f t="shared" si="163"/>
        <v>-5.9107830031523813E-3</v>
      </c>
      <c r="P161" s="74">
        <f t="shared" si="163"/>
        <v>-6.5303464037043202E-3</v>
      </c>
      <c r="Q161" s="74">
        <f t="shared" si="163"/>
        <v>9.2028530287292954E-3</v>
      </c>
      <c r="T161" s="49"/>
      <c r="U161" s="49"/>
      <c r="V161" s="49"/>
      <c r="W161" s="49"/>
      <c r="X161" s="49"/>
      <c r="Y161" s="49"/>
      <c r="Z161" s="49"/>
      <c r="AA161" s="49"/>
      <c r="AC161" s="74">
        <f t="shared" ref="AC161" ca="1" si="164">AC157/AC153</f>
        <v>1.8367866292418194E-2</v>
      </c>
    </row>
    <row r="162" spans="2:29" x14ac:dyDescent="0.2">
      <c r="B162" s="20" t="s">
        <v>308</v>
      </c>
      <c r="M162" s="74">
        <f>M26/M117</f>
        <v>-3.4699371821717021E-2</v>
      </c>
      <c r="N162" s="74">
        <f>N26/N117</f>
        <v>-4.1180507892930679E-2</v>
      </c>
      <c r="O162" s="74">
        <f>O26/O117</f>
        <v>-6.7085953878406705E-3</v>
      </c>
      <c r="P162" s="74">
        <f>P26/P117</f>
        <v>-8.9163237311385458E-3</v>
      </c>
      <c r="Q162" s="74">
        <f>Q26/Q117</f>
        <v>4.1302621127879274E-2</v>
      </c>
      <c r="T162" s="49"/>
      <c r="U162" s="49"/>
      <c r="V162" s="49"/>
      <c r="W162" s="49"/>
      <c r="X162" s="49"/>
      <c r="Y162" s="49"/>
      <c r="Z162" s="49"/>
      <c r="AA162" s="49"/>
      <c r="AC162" s="74">
        <f ca="1">AC26/AC117</f>
        <v>5.0281425891182001E-2</v>
      </c>
    </row>
    <row r="163" spans="2:29" x14ac:dyDescent="0.2">
      <c r="B163" s="20" t="s">
        <v>309</v>
      </c>
      <c r="M163" s="173">
        <f>M82/M117</f>
        <v>0</v>
      </c>
      <c r="N163" s="173">
        <f>N82/N117</f>
        <v>0</v>
      </c>
      <c r="O163" s="173">
        <f>O82/O117</f>
        <v>0</v>
      </c>
      <c r="P163" s="173">
        <f>P82/P117</f>
        <v>0</v>
      </c>
      <c r="Q163" s="173">
        <f>Q82/Q117</f>
        <v>0</v>
      </c>
      <c r="T163" s="49"/>
      <c r="U163" s="49"/>
      <c r="V163" s="49"/>
      <c r="W163" s="49"/>
      <c r="X163" s="49"/>
      <c r="Y163" s="49"/>
      <c r="Z163" s="49"/>
      <c r="AA163" s="49"/>
      <c r="AC163" s="173">
        <f ca="1">AC82/AC117</f>
        <v>0</v>
      </c>
    </row>
    <row r="164" spans="2:29" x14ac:dyDescent="0.2">
      <c r="B164" s="20" t="s">
        <v>334</v>
      </c>
      <c r="M164" s="173">
        <f>-M63/M153</f>
        <v>0</v>
      </c>
      <c r="N164" s="173">
        <f>-N63/N153</f>
        <v>0</v>
      </c>
      <c r="O164" s="173">
        <f>-O63/O153</f>
        <v>7.5613663014209515E-3</v>
      </c>
      <c r="P164" s="173">
        <f>-P63/P153</f>
        <v>4.8596228981581578E-2</v>
      </c>
      <c r="Q164" s="173">
        <f>-Q63/Q153</f>
        <v>4.9259451802222368E-2</v>
      </c>
      <c r="T164" s="49"/>
      <c r="U164" s="49"/>
      <c r="V164" s="49"/>
      <c r="W164" s="49"/>
      <c r="X164" s="49"/>
      <c r="Y164" s="49"/>
      <c r="Z164" s="49"/>
      <c r="AA164" s="49"/>
      <c r="AC164" s="173">
        <f ca="1">-AC63/AC153</f>
        <v>3.8423488479905288E-2</v>
      </c>
    </row>
    <row r="165" spans="2:29" x14ac:dyDescent="0.2">
      <c r="B165" s="20" t="s">
        <v>336</v>
      </c>
      <c r="M165" s="173">
        <f>-(M63+M64)/M153</f>
        <v>0</v>
      </c>
      <c r="N165" s="173">
        <f>-(N63+N64)/N153</f>
        <v>0</v>
      </c>
      <c r="O165" s="173">
        <f>-(O63+O64)/O153</f>
        <v>7.5613663014209515E-3</v>
      </c>
      <c r="P165" s="173">
        <f>-(P63+P64)/P153</f>
        <v>4.8596228981581578E-2</v>
      </c>
      <c r="Q165" s="173">
        <f>-(Q63+Q64)/Q153</f>
        <v>4.9259451802222368E-2</v>
      </c>
      <c r="T165" s="49"/>
      <c r="U165" s="49"/>
      <c r="V165" s="49"/>
      <c r="W165" s="49"/>
      <c r="X165" s="49"/>
      <c r="Y165" s="49"/>
      <c r="Z165" s="49"/>
      <c r="AA165" s="49"/>
      <c r="AC165" s="173">
        <f ca="1">-(AC63+AC64)/AC153</f>
        <v>3.8423488479905288E-2</v>
      </c>
    </row>
    <row r="166" spans="2:29" x14ac:dyDescent="0.2">
      <c r="B166" s="20" t="s">
        <v>394</v>
      </c>
      <c r="M166" s="173">
        <f>M158/M5</f>
        <v>-0.67690742077350341</v>
      </c>
      <c r="N166" s="173">
        <f>N158/N5</f>
        <v>-0.47238898109828159</v>
      </c>
      <c r="O166" s="173">
        <f>O158/O5</f>
        <v>-0.16542896721281397</v>
      </c>
      <c r="P166" s="173">
        <f>P158/P5</f>
        <v>-0.14131432280591805</v>
      </c>
      <c r="Q166" s="173">
        <f>Q158/Q5</f>
        <v>-5.8690949550842808E-2</v>
      </c>
      <c r="T166" s="49"/>
      <c r="U166" s="49"/>
      <c r="V166" s="49"/>
      <c r="W166" s="49"/>
      <c r="X166" s="49"/>
      <c r="Y166" s="49"/>
      <c r="Z166" s="49"/>
      <c r="AA166" s="49"/>
      <c r="AC166" s="173">
        <f>AC158/AC5</f>
        <v>-2.6223546626159742E-2</v>
      </c>
    </row>
    <row r="167" spans="2:29" x14ac:dyDescent="0.2">
      <c r="B167" s="20" t="s">
        <v>395</v>
      </c>
      <c r="M167" s="173">
        <f>M157/M5</f>
        <v>-0.6527023755620609</v>
      </c>
      <c r="N167" s="173">
        <f>N157/N5</f>
        <v>-0.3812991164587311</v>
      </c>
      <c r="O167" s="173">
        <f>O157/O5</f>
        <v>-6.132307701716725E-2</v>
      </c>
      <c r="P167" s="173">
        <f>P157/P5</f>
        <v>-3.6728210264789486E-2</v>
      </c>
      <c r="Q167" s="173">
        <f>Q157/Q5</f>
        <v>3.8175256989442262E-2</v>
      </c>
      <c r="T167" s="49"/>
      <c r="U167" s="49"/>
      <c r="V167" s="49"/>
      <c r="W167" s="49"/>
      <c r="X167" s="49"/>
      <c r="Y167" s="49"/>
      <c r="Z167" s="49"/>
      <c r="AA167" s="49"/>
      <c r="AC167" s="173">
        <f>AC157/AC5</f>
        <v>7.4599996048482789E-2</v>
      </c>
    </row>
    <row r="168" spans="2:29" x14ac:dyDescent="0.2">
      <c r="B168" s="20" t="s">
        <v>312</v>
      </c>
      <c r="M168" s="173">
        <f>-M64/M157</f>
        <v>0</v>
      </c>
      <c r="N168" s="173">
        <f>-N64/N157</f>
        <v>0</v>
      </c>
      <c r="O168" s="173">
        <f>-O64/O157</f>
        <v>0</v>
      </c>
      <c r="P168" s="173">
        <f>-P64/P157</f>
        <v>0</v>
      </c>
      <c r="Q168" s="173">
        <f>-Q64/Q157</f>
        <v>0</v>
      </c>
      <c r="T168" s="49"/>
      <c r="U168" s="49"/>
      <c r="V168" s="49"/>
      <c r="W168" s="49"/>
      <c r="X168" s="49"/>
      <c r="Y168" s="49"/>
      <c r="Z168" s="49"/>
      <c r="AA168" s="49"/>
      <c r="AC168" s="173">
        <f>-AC64/AC157</f>
        <v>0</v>
      </c>
    </row>
    <row r="169" spans="2:29" x14ac:dyDescent="0.2">
      <c r="B169" s="20" t="s">
        <v>314</v>
      </c>
      <c r="M169" s="173">
        <f>-M63/M157</f>
        <v>0</v>
      </c>
      <c r="N169" s="173">
        <f>-N63/N157</f>
        <v>0</v>
      </c>
      <c r="O169" s="173">
        <f>-O63/O157</f>
        <v>-1.2792495169232687</v>
      </c>
      <c r="P169" s="173">
        <f>-P63/P157</f>
        <v>-7.44160048753547</v>
      </c>
      <c r="Q169" s="173">
        <f>-Q63/Q157</f>
        <v>5.3526283260685705</v>
      </c>
      <c r="T169" s="49"/>
      <c r="U169" s="49"/>
      <c r="V169" s="49"/>
      <c r="W169" s="49"/>
      <c r="X169" s="49"/>
      <c r="Y169" s="49"/>
      <c r="Z169" s="49"/>
      <c r="AA169" s="49"/>
      <c r="AC169" s="173">
        <f>-AC63/AC157</f>
        <v>2.0918863338941858</v>
      </c>
    </row>
    <row r="170" spans="2:29" x14ac:dyDescent="0.2">
      <c r="B170" s="20" t="s">
        <v>325</v>
      </c>
      <c r="M170" s="173">
        <f>(-M64-M63)/M157</f>
        <v>0</v>
      </c>
      <c r="N170" s="173">
        <f>(-N64-N63)/N157</f>
        <v>0</v>
      </c>
      <c r="O170" s="173">
        <f>(-O64-O63)/O157</f>
        <v>-1.2792495169232687</v>
      </c>
      <c r="P170" s="173">
        <f>(-P64-P63)/P157</f>
        <v>-7.44160048753547</v>
      </c>
      <c r="Q170" s="173">
        <f>(-Q64-Q63)/Q157</f>
        <v>5.3526283260685705</v>
      </c>
      <c r="T170" s="49"/>
      <c r="U170" s="49"/>
      <c r="V170" s="49"/>
      <c r="W170" s="49"/>
      <c r="X170" s="49"/>
      <c r="Y170" s="49"/>
      <c r="Z170" s="49"/>
      <c r="AA170" s="49"/>
      <c r="AC170" s="173">
        <f>(-AC64-AC63)/AC157</f>
        <v>2.0918863338941858</v>
      </c>
    </row>
    <row r="171" spans="2:29" x14ac:dyDescent="0.2">
      <c r="B171" s="20" t="s">
        <v>319</v>
      </c>
      <c r="M171" s="173">
        <f>M80/M78</f>
        <v>0.32041292188722126</v>
      </c>
      <c r="N171" s="173">
        <f>N80/N78</f>
        <v>0.31207180184527727</v>
      </c>
      <c r="O171" s="173">
        <f>O80/O78</f>
        <v>0.22510733498180183</v>
      </c>
      <c r="P171" s="173">
        <f>P80/P78</f>
        <v>0.22494029842627195</v>
      </c>
      <c r="Q171" s="173">
        <f>Q80/Q78</f>
        <v>0.22012147206199109</v>
      </c>
      <c r="T171" s="49"/>
      <c r="U171" s="49"/>
      <c r="V171" s="49"/>
      <c r="W171" s="49"/>
      <c r="X171" s="49"/>
      <c r="Y171" s="49"/>
      <c r="Z171" s="49"/>
      <c r="AA171" s="49"/>
      <c r="AC171" s="173">
        <f>AC80/AC78</f>
        <v>0.2226990648503856</v>
      </c>
    </row>
    <row r="172" spans="2:29" x14ac:dyDescent="0.2">
      <c r="B172" s="20" t="s">
        <v>320</v>
      </c>
      <c r="M172" s="72">
        <f>M107/M75</f>
        <v>3.4766735290211184</v>
      </c>
      <c r="N172" s="72">
        <f>N107/N75</f>
        <v>3.157090755135687</v>
      </c>
      <c r="O172" s="72">
        <f>O107/O75</f>
        <v>3.3036556282545391</v>
      </c>
      <c r="P172" s="72">
        <f>P107/P75</f>
        <v>3.125390530795495</v>
      </c>
      <c r="Q172" s="72">
        <f>Q107/Q75</f>
        <v>3.224670847950649</v>
      </c>
      <c r="T172" s="72">
        <f t="shared" ref="T172:Z172" si="165">T107/T75</f>
        <v>2.9174689182476676</v>
      </c>
      <c r="U172" s="72">
        <f t="shared" si="165"/>
        <v>3.125390530795495</v>
      </c>
      <c r="V172" s="72">
        <f t="shared" si="165"/>
        <v>2.9745495188201234</v>
      </c>
      <c r="W172" s="72">
        <f t="shared" si="165"/>
        <v>2.8673727265537021</v>
      </c>
      <c r="X172" s="72">
        <f t="shared" si="165"/>
        <v>2.8420663861617577</v>
      </c>
      <c r="Y172" s="72">
        <f t="shared" si="165"/>
        <v>3.224670847950649</v>
      </c>
      <c r="Z172" s="72">
        <f t="shared" si="165"/>
        <v>2.732462108272006</v>
      </c>
      <c r="AA172" s="72">
        <f t="shared" ref="AA172" si="166">AA107/AA75</f>
        <v>2.6959777878408766</v>
      </c>
      <c r="AC172" s="72">
        <f>AC107/AC75</f>
        <v>2.6959777878408766</v>
      </c>
    </row>
    <row r="173" spans="2:29" x14ac:dyDescent="0.2">
      <c r="B173" s="20" t="s">
        <v>322</v>
      </c>
      <c r="M173" s="173">
        <f>M54/M59</f>
        <v>-9.3805469133780903</v>
      </c>
      <c r="N173" s="173">
        <f>N54/N59</f>
        <v>-37.054403366396151</v>
      </c>
      <c r="O173" s="173">
        <f>O54/O59</f>
        <v>1.243655586093446</v>
      </c>
      <c r="P173" s="173">
        <f>P54/P59</f>
        <v>1.1172492318250589</v>
      </c>
      <c r="Q173" s="173">
        <f>Q54/Q59</f>
        <v>0.78305424452059225</v>
      </c>
      <c r="T173" s="173">
        <f t="shared" ref="T173:Z173" si="167">T54/T59</f>
        <v>3.1167794798717492</v>
      </c>
      <c r="U173" s="173" t="e">
        <f t="shared" si="167"/>
        <v>#DIV/0!</v>
      </c>
      <c r="V173" s="173">
        <f t="shared" si="167"/>
        <v>0.6416782911211576</v>
      </c>
      <c r="W173" s="173">
        <f t="shared" si="167"/>
        <v>1.8757303965181427</v>
      </c>
      <c r="X173" s="173">
        <f t="shared" si="167"/>
        <v>2.5282091188850764</v>
      </c>
      <c r="Y173" s="173">
        <f t="shared" si="167"/>
        <v>0.35555092460569898</v>
      </c>
      <c r="Z173" s="173">
        <f t="shared" si="167"/>
        <v>0.40408404584318719</v>
      </c>
      <c r="AA173" s="173">
        <f t="shared" ref="AA173" si="168">AA54/AA59</f>
        <v>1.4646079676862438</v>
      </c>
      <c r="AC173" s="173">
        <f>AC54/AC59</f>
        <v>0.62848898581632484</v>
      </c>
    </row>
    <row r="174" spans="2:29" x14ac:dyDescent="0.2">
      <c r="B174" s="20" t="s">
        <v>323</v>
      </c>
      <c r="M174" s="173">
        <f>M54/M5</f>
        <v>0.57784459995606618</v>
      </c>
      <c r="N174" s="173">
        <f>N54/N5</f>
        <v>0.3493733592422309</v>
      </c>
      <c r="O174" s="173">
        <f>O54/O5</f>
        <v>0.28435361356255617</v>
      </c>
      <c r="P174" s="173">
        <f>P54/P5</f>
        <v>0.25051410681111086</v>
      </c>
      <c r="Q174" s="173">
        <f>Q54/Q5</f>
        <v>0.18047997854178516</v>
      </c>
      <c r="T174" s="173">
        <f t="shared" ref="T174:Z174" si="169">T54/T5</f>
        <v>0.24668619749445234</v>
      </c>
      <c r="U174" s="173">
        <f t="shared" si="169"/>
        <v>0</v>
      </c>
      <c r="V174" s="173">
        <f t="shared" si="169"/>
        <v>0.21412187626183318</v>
      </c>
      <c r="W174" s="173">
        <f t="shared" si="169"/>
        <v>0.21564822186836519</v>
      </c>
      <c r="X174" s="173">
        <f t="shared" si="169"/>
        <v>0.17385730930425455</v>
      </c>
      <c r="Y174" s="173">
        <f t="shared" si="169"/>
        <v>0.13476004298420102</v>
      </c>
      <c r="Z174" s="173">
        <f t="shared" si="169"/>
        <v>0.1274194396508454</v>
      </c>
      <c r="AA174" s="173">
        <f t="shared" ref="AA174" si="170">AA54/AA5</f>
        <v>0.1095949845949846</v>
      </c>
      <c r="AC174" s="173">
        <f>AC54/AC5</f>
        <v>0.1363163026815693</v>
      </c>
    </row>
    <row r="175" spans="2:29" x14ac:dyDescent="0.2">
      <c r="B175" s="20" t="s">
        <v>328</v>
      </c>
      <c r="M175" s="72">
        <f>(M107-M108)/M75</f>
        <v>3.4766735290211184</v>
      </c>
      <c r="N175" s="72">
        <f>(N107-N108)/N75</f>
        <v>3.157090755135687</v>
      </c>
      <c r="O175" s="72">
        <f>(O107-O108)/O75</f>
        <v>3.3036556282545391</v>
      </c>
      <c r="P175" s="72">
        <f>(P107-P108)/P75</f>
        <v>3.125390530795495</v>
      </c>
      <c r="Q175" s="72">
        <f>(Q107-Q108)/Q75</f>
        <v>3.224670847950649</v>
      </c>
      <c r="T175" s="72">
        <f t="shared" ref="T175:Z175" si="171">(T107-T108)/T75</f>
        <v>2.9174689182476676</v>
      </c>
      <c r="U175" s="72">
        <f t="shared" si="171"/>
        <v>3.125390530795495</v>
      </c>
      <c r="V175" s="72">
        <f t="shared" si="171"/>
        <v>2.9745495188201234</v>
      </c>
      <c r="W175" s="72">
        <f t="shared" si="171"/>
        <v>2.8673727265537021</v>
      </c>
      <c r="X175" s="72">
        <f t="shared" si="171"/>
        <v>2.8420663861617577</v>
      </c>
      <c r="Y175" s="72">
        <f t="shared" si="171"/>
        <v>3.224670847950649</v>
      </c>
      <c r="Z175" s="72">
        <f t="shared" si="171"/>
        <v>2.732462108272006</v>
      </c>
      <c r="AA175" s="72">
        <f t="shared" ref="AA175" si="172">(AA107-AA108)/AA75</f>
        <v>2.6959777878408766</v>
      </c>
      <c r="AC175" s="72">
        <f>(AC107-AC108)/AC75</f>
        <v>2.6959777878408766</v>
      </c>
    </row>
    <row r="176" spans="2:29" x14ac:dyDescent="0.2">
      <c r="B176" s="20" t="s">
        <v>333</v>
      </c>
      <c r="M176" s="173">
        <f>(M107-M108)/M153</f>
        <v>0.10399860990191799</v>
      </c>
      <c r="N176" s="173">
        <f>(N107-N108)/N153</f>
        <v>0.21668433460093939</v>
      </c>
      <c r="O176" s="173">
        <f>(O107-O108)/O153</f>
        <v>0.1385180556920142</v>
      </c>
      <c r="P176" s="173">
        <f>(P107-P108)/P153</f>
        <v>0.21436149045236591</v>
      </c>
      <c r="Q176" s="173">
        <f>(Q107-Q108)/Q153</f>
        <v>0.25287878673419845</v>
      </c>
      <c r="T176" s="49"/>
      <c r="U176" s="49"/>
      <c r="V176" s="49"/>
      <c r="W176" s="49"/>
      <c r="X176" s="49"/>
      <c r="Y176" s="49"/>
      <c r="Z176" s="49"/>
      <c r="AA176" s="49"/>
      <c r="AC176" s="173">
        <f ca="1">(AC107-AC108)/AC153</f>
        <v>0.20102909685225334</v>
      </c>
    </row>
    <row r="177" spans="1:31" x14ac:dyDescent="0.2">
      <c r="B177" s="20" t="s">
        <v>342</v>
      </c>
      <c r="M177" s="173">
        <f>-M110/M5</f>
        <v>1.325746537973577E-2</v>
      </c>
      <c r="N177" s="173">
        <f>-N110/N5</f>
        <v>2.2497097529617479E-2</v>
      </c>
      <c r="O177" s="173">
        <f>-O110/O5</f>
        <v>5.6128408833764501E-3</v>
      </c>
      <c r="P177" s="173">
        <f>-P110/P5</f>
        <v>1.0438116928173332E-2</v>
      </c>
      <c r="Q177" s="173">
        <f>-Q110/Q5</f>
        <v>1.1826854061786744E-2</v>
      </c>
      <c r="T177" s="173">
        <f t="shared" ref="T177:Z177" si="173">-T110/T5</f>
        <v>1.3745830431435797E-2</v>
      </c>
      <c r="U177" s="173">
        <f t="shared" si="173"/>
        <v>0</v>
      </c>
      <c r="V177" s="173">
        <f t="shared" si="173"/>
        <v>3.5981874467225984E-2</v>
      </c>
      <c r="W177" s="173">
        <f t="shared" si="173"/>
        <v>0</v>
      </c>
      <c r="X177" s="173">
        <f t="shared" si="173"/>
        <v>7.6961808553852587E-3</v>
      </c>
      <c r="Y177" s="173">
        <f t="shared" si="173"/>
        <v>6.3437031679023587E-3</v>
      </c>
      <c r="Z177" s="173">
        <f t="shared" si="173"/>
        <v>6.415189946030183E-3</v>
      </c>
      <c r="AA177" s="173">
        <f t="shared" ref="AA177" si="174">-AA110/AA5</f>
        <v>3.3856908856908859E-3</v>
      </c>
      <c r="AC177" s="173">
        <f>-AC110/AC5</f>
        <v>5.9789941994051804E-3</v>
      </c>
    </row>
    <row r="178" spans="1:31" x14ac:dyDescent="0.2">
      <c r="B178" s="20" t="s">
        <v>343</v>
      </c>
      <c r="M178" s="173">
        <f>-(M110/M59)</f>
        <v>-0.21521750996124667</v>
      </c>
      <c r="N178" s="173">
        <f>-(N110/N59)</f>
        <v>-2.3860334635808034</v>
      </c>
      <c r="O178" s="173">
        <f>-(O110/O59)</f>
        <v>2.4548451595214689E-2</v>
      </c>
      <c r="P178" s="173">
        <f>-(P110/P59)</f>
        <v>4.6552181304883568E-2</v>
      </c>
      <c r="Q178" s="173">
        <f>-(Q110/Q59)</f>
        <v>5.1313549276955236E-2</v>
      </c>
      <c r="T178" s="173">
        <f t="shared" ref="T178:Z178" si="175">-(T110/T59)</f>
        <v>0.17367296045600286</v>
      </c>
      <c r="U178" s="173" t="e">
        <f t="shared" si="175"/>
        <v>#DIV/0!</v>
      </c>
      <c r="V178" s="173">
        <f t="shared" si="175"/>
        <v>0.10783012050217644</v>
      </c>
      <c r="W178" s="173">
        <f t="shared" si="175"/>
        <v>0</v>
      </c>
      <c r="X178" s="173">
        <f t="shared" si="175"/>
        <v>0.11191680520674896</v>
      </c>
      <c r="Y178" s="173">
        <f t="shared" si="175"/>
        <v>1.6737227718428501E-2</v>
      </c>
      <c r="Z178" s="173">
        <f t="shared" si="175"/>
        <v>2.0344430295312594E-2</v>
      </c>
      <c r="AA178" s="173">
        <f t="shared" ref="AA178" si="176">-(AA110/AA59)</f>
        <v>4.524577347796345E-2</v>
      </c>
      <c r="AC178" s="173">
        <f>-(AC110/AC59)</f>
        <v>2.7566269966724358E-2</v>
      </c>
    </row>
    <row r="179" spans="1:31" x14ac:dyDescent="0.2">
      <c r="B179" s="20" t="s">
        <v>344</v>
      </c>
      <c r="M179" s="173">
        <f>-M110/M53</f>
        <v>0.80442026521591292</v>
      </c>
      <c r="N179" s="173">
        <f>-N110/N53</f>
        <v>1.2719649628798804</v>
      </c>
      <c r="O179" s="173">
        <f>-O110/O53</f>
        <v>0.32491038633446917</v>
      </c>
      <c r="P179" s="173">
        <f>-P110/P53</f>
        <v>0.86600510677808729</v>
      </c>
      <c r="Q179" s="173">
        <f>-Q110/Q53</f>
        <v>1.1225175319700631</v>
      </c>
      <c r="T179" s="173">
        <f t="shared" ref="T179:Z179" si="177">-T110/T53</f>
        <v>1.0752095280105867</v>
      </c>
      <c r="U179" s="173" t="e">
        <f t="shared" si="177"/>
        <v>#DIV/0!</v>
      </c>
      <c r="V179" s="173">
        <f t="shared" si="177"/>
        <v>3.9446664617276359</v>
      </c>
      <c r="W179" s="173">
        <f t="shared" si="177"/>
        <v>0</v>
      </c>
      <c r="X179" s="173">
        <f t="shared" si="177"/>
        <v>0.7010857522712165</v>
      </c>
      <c r="Y179" s="173">
        <f t="shared" si="177"/>
        <v>0.61371405590187011</v>
      </c>
      <c r="Z179" s="173">
        <f t="shared" si="177"/>
        <v>0.35743774137701423</v>
      </c>
      <c r="AA179" s="173">
        <f t="shared" ref="AA179" si="178">-AA110/AA53</f>
        <v>0.15424764019988896</v>
      </c>
      <c r="AC179" s="173">
        <f>-AC110/AC53</f>
        <v>0.39573076923076922</v>
      </c>
    </row>
    <row r="180" spans="1:31" x14ac:dyDescent="0.2">
      <c r="B180" s="20" t="s">
        <v>407</v>
      </c>
      <c r="M180" s="241">
        <f>M5/M37</f>
        <v>0.346849112713561</v>
      </c>
      <c r="N180" s="241">
        <f t="shared" ref="N180:Q180" si="179">N5/N37</f>
        <v>0.38702057541552631</v>
      </c>
      <c r="O180" s="241">
        <f t="shared" si="179"/>
        <v>0.44270021436611728</v>
      </c>
      <c r="P180" s="241">
        <f t="shared" si="179"/>
        <v>0.49896309946357587</v>
      </c>
      <c r="Q180" s="241">
        <f t="shared" si="179"/>
        <v>0.50659662808253647</v>
      </c>
      <c r="T180" s="49"/>
      <c r="U180" s="49"/>
      <c r="V180" s="49"/>
      <c r="W180" s="49"/>
      <c r="X180" s="49"/>
      <c r="Y180" s="49"/>
      <c r="Z180" s="49"/>
      <c r="AA180" s="49"/>
      <c r="AC180" s="241">
        <f t="shared" ref="AC180" si="180">AC5/AC37</f>
        <v>0.5918956911872495</v>
      </c>
    </row>
    <row r="181" spans="1:31" x14ac:dyDescent="0.2">
      <c r="B181" s="20" t="s">
        <v>404</v>
      </c>
      <c r="M181" s="243" t="str">
        <f>IF(AND(M12&gt;0,M108&gt;0),M108/M12,"N/A")</f>
        <v>N/A</v>
      </c>
      <c r="N181" s="243" t="str">
        <f t="shared" ref="N181:Q181" si="181">IF(AND(N12&gt;0,N108&gt;0),N108/N12,"N/A")</f>
        <v>N/A</v>
      </c>
      <c r="O181" s="243" t="str">
        <f t="shared" si="181"/>
        <v>N/A</v>
      </c>
      <c r="P181" s="243" t="str">
        <f t="shared" si="181"/>
        <v>N/A</v>
      </c>
      <c r="Q181" s="243" t="str">
        <f t="shared" si="181"/>
        <v>N/A</v>
      </c>
      <c r="T181" s="49"/>
      <c r="U181" s="49"/>
      <c r="V181" s="49"/>
      <c r="W181" s="49"/>
      <c r="X181" s="49"/>
      <c r="Y181" s="49"/>
      <c r="Z181" s="49"/>
      <c r="AA181" s="49"/>
      <c r="AC181" s="243" t="str">
        <f t="shared" ref="AC181" si="182">IF(AND(AC12&gt;0,AC108&gt;0),AC108/AC12,"N/A")</f>
        <v>N/A</v>
      </c>
    </row>
    <row r="182" spans="1:31" x14ac:dyDescent="0.2">
      <c r="B182" s="20" t="s">
        <v>405</v>
      </c>
      <c r="M182" s="243" t="str">
        <f>IF(AND(M12&gt;0,M108&gt;0),(M108-M107)/M12,"N/A")</f>
        <v>N/A</v>
      </c>
      <c r="N182" s="243" t="str">
        <f t="shared" ref="N182:Q182" si="183">IF(AND(N12&gt;0,N108&gt;0),(N108-N107)/N12,"N/A")</f>
        <v>N/A</v>
      </c>
      <c r="O182" s="243" t="str">
        <f t="shared" si="183"/>
        <v>N/A</v>
      </c>
      <c r="P182" s="243" t="str">
        <f t="shared" si="183"/>
        <v>N/A</v>
      </c>
      <c r="Q182" s="243" t="str">
        <f t="shared" si="183"/>
        <v>N/A</v>
      </c>
      <c r="T182" s="49"/>
      <c r="U182" s="49"/>
      <c r="V182" s="49"/>
      <c r="W182" s="49"/>
      <c r="X182" s="49"/>
      <c r="Y182" s="49"/>
      <c r="Z182" s="49"/>
      <c r="AA182" s="49"/>
      <c r="AC182" s="243" t="str">
        <f t="shared" ref="AC182" si="184">IF(AND(AC12&gt;0,AC108&gt;0),(AC108-AC107)/AC12,"N/A")</f>
        <v>N/A</v>
      </c>
    </row>
    <row r="183" spans="1:31" x14ac:dyDescent="0.2">
      <c r="B183" s="20" t="s">
        <v>406</v>
      </c>
      <c r="M183" s="243">
        <f>M5/(M108+M112-M107)</f>
        <v>23.950501959521127</v>
      </c>
      <c r="N183" s="243">
        <f t="shared" ref="N183:Q183" si="185">N5/(N108+N112-N107)</f>
        <v>6.6028018437778737</v>
      </c>
      <c r="O183" s="243">
        <f t="shared" si="185"/>
        <v>9.5976403430894184</v>
      </c>
      <c r="P183" s="243">
        <f t="shared" si="185"/>
        <v>11.705987832736978</v>
      </c>
      <c r="Q183" s="243">
        <f t="shared" si="185"/>
        <v>4.0969904174647871</v>
      </c>
      <c r="T183" s="49"/>
      <c r="U183" s="49"/>
      <c r="V183" s="49"/>
      <c r="W183" s="49"/>
      <c r="X183" s="49"/>
      <c r="Y183" s="49"/>
      <c r="Z183" s="49"/>
      <c r="AA183" s="49"/>
      <c r="AC183" s="243">
        <f t="shared" ref="AC183" si="186">AC5/(AC108+AC112-AC107)</f>
        <v>3.166100609722442</v>
      </c>
    </row>
    <row r="185" spans="1:31" x14ac:dyDescent="0.2">
      <c r="B185" s="1"/>
    </row>
    <row r="186" spans="1:31" s="15" customFormat="1" ht="17" thickBot="1" x14ac:dyDescent="0.25">
      <c r="A186" s="11"/>
      <c r="B186" s="14" t="s">
        <v>82</v>
      </c>
      <c r="R186" s="1"/>
      <c r="S186" s="1"/>
      <c r="AB186" s="1"/>
      <c r="AD186" s="1"/>
      <c r="AE186" s="1"/>
    </row>
    <row r="187" spans="1:31" x14ac:dyDescent="0.2">
      <c r="B187" s="20" t="s">
        <v>111</v>
      </c>
      <c r="C187" s="62"/>
      <c r="D187" s="62"/>
      <c r="E187" s="62"/>
      <c r="F187" s="62"/>
      <c r="G187" s="62"/>
      <c r="H187" s="62"/>
      <c r="I187" s="62"/>
      <c r="J187" s="62"/>
      <c r="K187" s="62"/>
      <c r="L187" s="62"/>
      <c r="M187" s="62">
        <v>481427</v>
      </c>
      <c r="N187" s="62">
        <v>497836</v>
      </c>
      <c r="O187" s="62">
        <v>621392</v>
      </c>
      <c r="P187" s="62">
        <v>587152</v>
      </c>
      <c r="Q187" s="62">
        <v>606394</v>
      </c>
      <c r="T187" s="62">
        <v>137174</v>
      </c>
      <c r="U187" s="62">
        <v>197609</v>
      </c>
      <c r="V187" s="62">
        <v>128286</v>
      </c>
      <c r="W187" s="62">
        <v>112161</v>
      </c>
      <c r="X187" s="62">
        <v>150043</v>
      </c>
      <c r="Y187" s="62">
        <v>215904</v>
      </c>
      <c r="Z187" s="62">
        <v>149309</v>
      </c>
      <c r="AA187" s="62">
        <v>123843</v>
      </c>
      <c r="AC187" s="62">
        <f>SUM(X187:AA187)</f>
        <v>639099</v>
      </c>
    </row>
    <row r="188" spans="1:31" x14ac:dyDescent="0.2">
      <c r="B188" s="20" t="s">
        <v>112</v>
      </c>
      <c r="C188" s="62"/>
      <c r="D188" s="62"/>
      <c r="E188" s="62"/>
      <c r="F188" s="62"/>
      <c r="G188" s="62"/>
      <c r="H188" s="62"/>
      <c r="I188" s="62"/>
      <c r="J188" s="62"/>
      <c r="K188" s="62"/>
      <c r="L188" s="62"/>
      <c r="M188" s="62">
        <v>369867</v>
      </c>
      <c r="N188" s="62">
        <v>508823</v>
      </c>
      <c r="O188" s="62">
        <v>649918</v>
      </c>
      <c r="P188" s="62">
        <v>801947</v>
      </c>
      <c r="Q188" s="62">
        <v>954472</v>
      </c>
      <c r="T188" s="62">
        <v>206922</v>
      </c>
      <c r="U188" s="62">
        <v>215221</v>
      </c>
      <c r="V188" s="62">
        <v>217303</v>
      </c>
      <c r="W188" s="62">
        <v>238363</v>
      </c>
      <c r="X188" s="62">
        <v>247573</v>
      </c>
      <c r="Y188" s="62">
        <v>251233</v>
      </c>
      <c r="Z188" s="62">
        <v>252903</v>
      </c>
      <c r="AA188" s="62">
        <v>266067</v>
      </c>
      <c r="AC188" s="62">
        <f t="shared" ref="AC188:AC193" si="187">SUM(X188:AA188)</f>
        <v>1017776</v>
      </c>
    </row>
    <row r="189" spans="1:31" x14ac:dyDescent="0.2">
      <c r="B189" s="20" t="s">
        <v>113</v>
      </c>
      <c r="C189" s="62"/>
      <c r="D189" s="62"/>
      <c r="E189" s="62"/>
      <c r="F189" s="62"/>
      <c r="G189" s="62"/>
      <c r="H189" s="62"/>
      <c r="I189" s="62"/>
      <c r="J189" s="62"/>
      <c r="K189" s="62"/>
      <c r="L189" s="62"/>
      <c r="M189" s="62">
        <v>40958</v>
      </c>
      <c r="N189" s="62">
        <v>51922</v>
      </c>
      <c r="O189" s="62">
        <v>36762</v>
      </c>
      <c r="P189" s="62">
        <v>40555</v>
      </c>
      <c r="Q189" s="62">
        <v>49706</v>
      </c>
      <c r="T189" s="62">
        <v>10557</v>
      </c>
      <c r="U189" s="62">
        <v>10816</v>
      </c>
      <c r="V189" s="62">
        <v>11035</v>
      </c>
      <c r="W189" s="62">
        <v>11204</v>
      </c>
      <c r="X189" s="62">
        <v>13497</v>
      </c>
      <c r="Y189" s="62">
        <v>13970</v>
      </c>
      <c r="Z189" s="62">
        <v>16170</v>
      </c>
      <c r="AA189" s="62">
        <v>20346</v>
      </c>
      <c r="AC189" s="62">
        <f t="shared" si="187"/>
        <v>63983</v>
      </c>
    </row>
    <row r="190" spans="1:31" x14ac:dyDescent="0.2">
      <c r="C190" s="21"/>
      <c r="D190" s="21"/>
      <c r="E190" s="21"/>
      <c r="F190" s="21"/>
      <c r="G190" s="21"/>
      <c r="H190" s="21"/>
      <c r="I190" s="21"/>
      <c r="J190" s="21"/>
      <c r="K190" s="21"/>
      <c r="L190" s="21"/>
      <c r="M190" s="21"/>
      <c r="AC190" s="62"/>
    </row>
    <row r="191" spans="1:31" x14ac:dyDescent="0.2">
      <c r="B191" s="20" t="s">
        <v>114</v>
      </c>
      <c r="C191" s="62"/>
      <c r="D191" s="62"/>
      <c r="E191" s="62"/>
      <c r="F191" s="62"/>
      <c r="G191" s="62"/>
      <c r="H191" s="62"/>
      <c r="I191" s="62"/>
      <c r="J191" s="62"/>
      <c r="K191" s="62"/>
      <c r="L191" s="62"/>
      <c r="M191" s="62">
        <v>11888</v>
      </c>
      <c r="N191" s="62">
        <v>10421</v>
      </c>
      <c r="O191" s="62">
        <v>10469</v>
      </c>
      <c r="P191" s="62">
        <v>8565</v>
      </c>
      <c r="Q191" s="62">
        <v>5334</v>
      </c>
      <c r="T191" s="62">
        <v>2340</v>
      </c>
      <c r="U191" s="62">
        <v>1231</v>
      </c>
      <c r="V191" s="62">
        <v>1268</v>
      </c>
      <c r="W191" s="62">
        <v>1200</v>
      </c>
      <c r="X191" s="62">
        <v>1311</v>
      </c>
      <c r="Y191" s="62">
        <v>1555</v>
      </c>
      <c r="Z191" s="62">
        <v>1664</v>
      </c>
      <c r="AA191" s="62">
        <v>1462</v>
      </c>
      <c r="AC191" s="62">
        <f t="shared" si="187"/>
        <v>5992</v>
      </c>
    </row>
    <row r="192" spans="1:31" x14ac:dyDescent="0.2">
      <c r="B192" s="20" t="s">
        <v>115</v>
      </c>
      <c r="C192" s="62"/>
      <c r="D192" s="62"/>
      <c r="E192" s="62"/>
      <c r="F192" s="62"/>
      <c r="G192" s="62"/>
      <c r="H192" s="62"/>
      <c r="I192" s="62"/>
      <c r="J192" s="62"/>
      <c r="K192" s="62"/>
      <c r="L192" s="62"/>
      <c r="M192" s="62">
        <v>60565</v>
      </c>
      <c r="N192" s="62">
        <v>87366</v>
      </c>
      <c r="O192" s="62">
        <v>111922</v>
      </c>
      <c r="P192" s="62">
        <v>167630</v>
      </c>
      <c r="Q192" s="62">
        <v>157588</v>
      </c>
      <c r="T192" s="62">
        <v>43487</v>
      </c>
      <c r="U192" s="62">
        <v>43860</v>
      </c>
      <c r="V192" s="62">
        <v>38468</v>
      </c>
      <c r="W192" s="62">
        <v>38229</v>
      </c>
      <c r="X192" s="62">
        <v>40121</v>
      </c>
      <c r="Y192" s="62">
        <v>40770</v>
      </c>
      <c r="Z192" s="62">
        <v>43988</v>
      </c>
      <c r="AA192" s="62">
        <v>39679</v>
      </c>
      <c r="AC192" s="62">
        <f t="shared" si="187"/>
        <v>164558</v>
      </c>
    </row>
    <row r="193" spans="2:29" x14ac:dyDescent="0.2">
      <c r="B193" s="20" t="s">
        <v>116</v>
      </c>
      <c r="C193" s="62"/>
      <c r="D193" s="62"/>
      <c r="E193" s="62"/>
      <c r="F193" s="62"/>
      <c r="G193" s="62"/>
      <c r="H193" s="62"/>
      <c r="I193" s="62"/>
      <c r="J193" s="62"/>
      <c r="K193" s="62"/>
      <c r="L193" s="62"/>
      <c r="M193" s="62">
        <v>96415</v>
      </c>
      <c r="N193" s="62">
        <v>82264</v>
      </c>
      <c r="O193" s="62">
        <v>73533</v>
      </c>
      <c r="P193" s="62">
        <v>70747</v>
      </c>
      <c r="Q193" s="62">
        <v>108062</v>
      </c>
      <c r="T193" s="62">
        <v>17936</v>
      </c>
      <c r="U193" s="62">
        <v>19443</v>
      </c>
      <c r="V193" s="62">
        <v>24121</v>
      </c>
      <c r="W193" s="62">
        <v>24951</v>
      </c>
      <c r="X193" s="62">
        <v>27380</v>
      </c>
      <c r="Y193" s="62">
        <v>31610</v>
      </c>
      <c r="Z193" s="62">
        <v>31276</v>
      </c>
      <c r="AA193" s="62">
        <v>39446</v>
      </c>
      <c r="AC193" s="62">
        <f t="shared" si="187"/>
        <v>129712</v>
      </c>
    </row>
    <row r="194" spans="2:29" x14ac:dyDescent="0.2">
      <c r="C194" s="21"/>
      <c r="D194" s="21"/>
      <c r="E194" s="21"/>
      <c r="F194" s="21"/>
      <c r="G194" s="21"/>
      <c r="H194" s="21"/>
      <c r="I194" s="21"/>
      <c r="J194" s="21"/>
      <c r="K194" s="21"/>
      <c r="L194" s="21"/>
      <c r="M194" s="21"/>
    </row>
    <row r="195" spans="2:29" x14ac:dyDescent="0.2">
      <c r="B195" s="1"/>
    </row>
    <row r="196" spans="2:29" ht="17" thickBot="1" x14ac:dyDescent="0.25">
      <c r="B196" s="14" t="s">
        <v>356</v>
      </c>
      <c r="C196" s="188"/>
      <c r="D196" s="188"/>
      <c r="E196" s="188"/>
      <c r="F196" s="188"/>
      <c r="G196" s="188"/>
      <c r="H196" s="188"/>
      <c r="I196" s="188"/>
      <c r="J196" s="188"/>
      <c r="K196" s="188"/>
      <c r="L196" s="188"/>
      <c r="M196" s="188"/>
      <c r="N196" s="188"/>
      <c r="O196" s="188"/>
      <c r="P196" s="188"/>
      <c r="Q196" s="188"/>
      <c r="T196" s="188"/>
      <c r="U196" s="188"/>
      <c r="V196" s="188"/>
      <c r="W196" s="188"/>
      <c r="X196" s="188"/>
      <c r="Y196" s="188"/>
      <c r="Z196" s="188"/>
      <c r="AA196" s="188"/>
      <c r="AC196" s="188"/>
    </row>
    <row r="197" spans="2:29" x14ac:dyDescent="0.2">
      <c r="B197" s="20" t="s">
        <v>111</v>
      </c>
      <c r="C197" s="81"/>
      <c r="D197" s="81"/>
      <c r="E197" s="81"/>
      <c r="F197" s="81"/>
      <c r="G197" s="81"/>
      <c r="H197" s="81"/>
      <c r="I197" s="81"/>
      <c r="J197" s="81"/>
      <c r="K197" s="81"/>
      <c r="L197" s="81"/>
      <c r="M197" s="81">
        <f t="shared" ref="M197:Q199" si="188">IF(L187=0,
IF(M187=0,0,IF(M187&gt;0,1,-1)),
(M187-L187)/ABS(L187)
)</f>
        <v>1</v>
      </c>
      <c r="N197" s="81">
        <f t="shared" si="188"/>
        <v>3.4084087514825716E-2</v>
      </c>
      <c r="O197" s="81">
        <f t="shared" si="188"/>
        <v>0.24818614965570993</v>
      </c>
      <c r="P197" s="81">
        <f t="shared" si="188"/>
        <v>-5.5102093364575021E-2</v>
      </c>
      <c r="Q197" s="81">
        <f t="shared" si="188"/>
        <v>3.2771752459329104E-2</v>
      </c>
      <c r="T197" s="81">
        <f t="shared" ref="T197:T199" si="189">IF(S187=0,
IF(T187=0,0,IF(T187&gt;0,1,-1)),
(T187-S187)/ABS(S187)
)</f>
        <v>1</v>
      </c>
      <c r="U197" s="81">
        <f t="shared" ref="U197:U199" si="190">IF(T187=0,
IF(U187=0,0,IF(U187&gt;0,1,-1)),
(U187-T187)/ABS(T187)
)</f>
        <v>0.44057182848061588</v>
      </c>
      <c r="V197" s="81">
        <f t="shared" ref="V197:V199" si="191">IF(U187=0,
IF(V187=0,0,IF(V187&gt;0,1,-1)),
(V187-U187)/ABS(U187)
)</f>
        <v>-0.35080892064632685</v>
      </c>
      <c r="W197" s="81">
        <f t="shared" ref="W197:W199" si="192">IF(V187=0,
IF(W187=0,0,IF(W187&gt;0,1,-1)),
(W187-V187)/ABS(V187)
)</f>
        <v>-0.12569571114540948</v>
      </c>
      <c r="X197" s="81">
        <f t="shared" ref="X197:X199" si="193">IF(W187=0,
IF(X187=0,0,IF(X187&gt;0,1,-1)),
(X187-W187)/ABS(W187)
)</f>
        <v>0.33774663207353717</v>
      </c>
      <c r="Y197" s="81">
        <f t="shared" ref="Y197:Y199" si="194">IF(X187=0,
IF(Y187=0,0,IF(Y187&gt;0,1,-1)),
(Y187-X187)/ABS(X187)
)</f>
        <v>0.43894750171617469</v>
      </c>
      <c r="Z197" s="81">
        <f t="shared" ref="Z197:Z199" si="195">IF(Y187=0,
IF(Z187=0,0,IF(Z187&gt;0,1,-1)),
(Z187-Y187)/ABS(Y187)
)</f>
        <v>-0.30844727286201273</v>
      </c>
      <c r="AA197" s="81">
        <f t="shared" ref="AA197:AA199" si="196">IF(Z187=0,
IF(AA187=0,0,IF(AA187&gt;0,1,-1)),
(AA187-Z187)/ABS(Z187)
)</f>
        <v>-0.17055904198675231</v>
      </c>
      <c r="AC197" s="49"/>
    </row>
    <row r="198" spans="2:29" x14ac:dyDescent="0.2">
      <c r="B198" s="20" t="s">
        <v>112</v>
      </c>
      <c r="M198" s="81">
        <f t="shared" si="188"/>
        <v>1</v>
      </c>
      <c r="N198" s="81">
        <f t="shared" si="188"/>
        <v>0.37569180272908909</v>
      </c>
      <c r="O198" s="81">
        <f t="shared" si="188"/>
        <v>0.27729682030883041</v>
      </c>
      <c r="P198" s="81">
        <f t="shared" si="188"/>
        <v>0.23392027917368038</v>
      </c>
      <c r="Q198" s="81">
        <f t="shared" si="188"/>
        <v>0.19019336689332336</v>
      </c>
      <c r="T198" s="81">
        <f t="shared" si="189"/>
        <v>1</v>
      </c>
      <c r="U198" s="81">
        <f t="shared" si="190"/>
        <v>4.0106900184610626E-2</v>
      </c>
      <c r="V198" s="81">
        <f t="shared" si="191"/>
        <v>9.673777187170397E-3</v>
      </c>
      <c r="W198" s="81">
        <f t="shared" si="192"/>
        <v>9.6915367022084364E-2</v>
      </c>
      <c r="X198" s="81">
        <f t="shared" si="193"/>
        <v>3.8638547089942653E-2</v>
      </c>
      <c r="Y198" s="81">
        <f t="shared" si="194"/>
        <v>1.4783518396594137E-2</v>
      </c>
      <c r="Z198" s="81">
        <f t="shared" si="195"/>
        <v>6.6472159310281692E-3</v>
      </c>
      <c r="AA198" s="81">
        <f t="shared" si="196"/>
        <v>5.20515770868673E-2</v>
      </c>
      <c r="AC198" s="49"/>
    </row>
    <row r="199" spans="2:29" x14ac:dyDescent="0.2">
      <c r="B199" s="20" t="s">
        <v>113</v>
      </c>
      <c r="M199" s="81">
        <f t="shared" si="188"/>
        <v>1</v>
      </c>
      <c r="N199" s="81">
        <f t="shared" si="188"/>
        <v>0.26768885199472631</v>
      </c>
      <c r="O199" s="81">
        <f t="shared" si="188"/>
        <v>-0.29197642617772812</v>
      </c>
      <c r="P199" s="81">
        <f t="shared" si="188"/>
        <v>0.10317719384146673</v>
      </c>
      <c r="Q199" s="81">
        <f t="shared" si="188"/>
        <v>0.22564418690666996</v>
      </c>
      <c r="T199" s="81">
        <f t="shared" si="189"/>
        <v>1</v>
      </c>
      <c r="U199" s="81">
        <f t="shared" si="190"/>
        <v>2.4533484891541158E-2</v>
      </c>
      <c r="V199" s="81">
        <f t="shared" si="191"/>
        <v>2.0247781065088757E-2</v>
      </c>
      <c r="W199" s="81">
        <f t="shared" si="192"/>
        <v>1.5314907113729044E-2</v>
      </c>
      <c r="X199" s="81">
        <f t="shared" si="193"/>
        <v>0.20465905033916459</v>
      </c>
      <c r="Y199" s="81">
        <f t="shared" si="194"/>
        <v>3.5044824775876122E-2</v>
      </c>
      <c r="Z199" s="81">
        <f t="shared" si="195"/>
        <v>0.15748031496062992</v>
      </c>
      <c r="AA199" s="81">
        <f t="shared" si="196"/>
        <v>0.2582560296846011</v>
      </c>
      <c r="AC199" s="49"/>
    </row>
    <row r="201" spans="2:29" x14ac:dyDescent="0.2">
      <c r="B201" s="1"/>
    </row>
    <row r="202" spans="2:29" ht="17" thickBot="1" x14ac:dyDescent="0.25">
      <c r="B202" s="14" t="s">
        <v>357</v>
      </c>
      <c r="C202" s="188"/>
      <c r="D202" s="188"/>
      <c r="E202" s="188"/>
      <c r="F202" s="188"/>
      <c r="G202" s="188"/>
      <c r="H202" s="188"/>
      <c r="I202" s="188"/>
      <c r="J202" s="188"/>
      <c r="K202" s="188"/>
      <c r="L202" s="188"/>
      <c r="M202" s="188"/>
      <c r="N202" s="188"/>
      <c r="O202" s="188"/>
      <c r="P202" s="188"/>
      <c r="Q202" s="188"/>
      <c r="T202" s="188"/>
      <c r="U202" s="188"/>
      <c r="V202" s="188"/>
      <c r="W202" s="188"/>
      <c r="X202" s="188"/>
      <c r="Y202" s="188"/>
      <c r="Z202" s="188"/>
      <c r="AA202" s="188"/>
      <c r="AC202" s="188"/>
    </row>
    <row r="203" spans="2:29" x14ac:dyDescent="0.2">
      <c r="B203" s="20" t="s">
        <v>326</v>
      </c>
      <c r="C203" s="81"/>
      <c r="D203" s="81"/>
      <c r="E203" s="81"/>
      <c r="F203" s="81"/>
      <c r="G203" s="81"/>
      <c r="H203" s="81"/>
      <c r="I203" s="81"/>
      <c r="J203" s="81"/>
      <c r="K203" s="81"/>
      <c r="L203" s="81"/>
      <c r="M203" s="81">
        <f>IF(L64=0,
IF(M64=0,0,IF(M64&gt;0,1,-1)),
(M64-L64)/L64
)</f>
        <v>0</v>
      </c>
      <c r="N203" s="81">
        <f>IF(M64=0,
IF(N64=0,0,IF(N64&gt;0,1,-1)),
(N64-M64)/M64
)</f>
        <v>0</v>
      </c>
      <c r="O203" s="81">
        <f>IF(N64=0,
IF(O64=0,0,IF(O64&gt;0,1,-1)),
(O64-N64)/N64
)</f>
        <v>0</v>
      </c>
      <c r="P203" s="81">
        <f>IF(O64=0,
IF(P64=0,0,IF(P64&gt;0,1,-1)),
(P64-O64)/O64
)</f>
        <v>0</v>
      </c>
      <c r="Q203" s="81">
        <f>IF(P64=0,
IF(Q64=0,0,IF(Q64&gt;0,1,-1)),
(Q64-P64)/P64
)</f>
        <v>0</v>
      </c>
      <c r="T203" s="49"/>
      <c r="U203" s="49"/>
      <c r="V203" s="49"/>
      <c r="W203" s="49"/>
      <c r="X203" s="49"/>
      <c r="Y203" s="49"/>
      <c r="Z203" s="49"/>
      <c r="AA203" s="49"/>
      <c r="AC203" s="49"/>
    </row>
    <row r="205" spans="2:29" x14ac:dyDescent="0.2">
      <c r="B205" s="1"/>
    </row>
    <row r="206" spans="2:29" ht="17" thickBot="1" x14ac:dyDescent="0.25">
      <c r="B206" s="14" t="s">
        <v>399</v>
      </c>
      <c r="C206" s="188"/>
      <c r="D206" s="188"/>
      <c r="E206" s="188"/>
      <c r="F206" s="188"/>
      <c r="G206" s="188"/>
      <c r="H206" s="188"/>
      <c r="I206" s="188"/>
      <c r="J206" s="188"/>
      <c r="K206" s="188"/>
      <c r="L206" s="188"/>
      <c r="M206" s="188"/>
      <c r="N206" s="188"/>
      <c r="O206" s="188"/>
      <c r="P206" s="188"/>
      <c r="Q206" s="188"/>
      <c r="T206" s="188"/>
      <c r="U206" s="188"/>
      <c r="V206" s="188"/>
      <c r="W206" s="188"/>
      <c r="X206" s="188"/>
      <c r="Y206" s="188"/>
      <c r="Z206" s="188"/>
      <c r="AA206" s="188"/>
      <c r="AC206" s="188"/>
    </row>
    <row r="207" spans="2:29" x14ac:dyDescent="0.2">
      <c r="B207" s="20" t="s">
        <v>400</v>
      </c>
      <c r="M207" s="162">
        <v>100</v>
      </c>
      <c r="N207" s="162">
        <f>100*(1+((N117-$M117)/ABS($M117)))</f>
        <v>43.583607538139404</v>
      </c>
      <c r="O207" s="162">
        <f t="shared" ref="O207:Q207" si="197">100*(1+((O117-$M117)/ABS($M117)))</f>
        <v>71.343104995513016</v>
      </c>
      <c r="P207" s="162">
        <f t="shared" si="197"/>
        <v>43.613520789709838</v>
      </c>
      <c r="Q207" s="162">
        <f t="shared" si="197"/>
        <v>37.660783727191152</v>
      </c>
      <c r="T207" s="49"/>
      <c r="U207" s="49"/>
      <c r="V207" s="49"/>
      <c r="W207" s="49"/>
      <c r="X207" s="49"/>
      <c r="Y207" s="49"/>
      <c r="Z207" s="49"/>
      <c r="AA207" s="49"/>
      <c r="AC207" s="49"/>
    </row>
    <row r="208" spans="2:29" x14ac:dyDescent="0.2">
      <c r="B208" s="20" t="s">
        <v>401</v>
      </c>
      <c r="M208" s="162">
        <v>100</v>
      </c>
      <c r="N208" s="162">
        <f>100*(1+((N5-$M5)/ABS($M5)))</f>
        <v>118.64148245114609</v>
      </c>
      <c r="O208" s="162">
        <f t="shared" ref="O208:Q208" si="198">100*(1+((O5-$M5)/ABS($M5)))</f>
        <v>146.60342593796372</v>
      </c>
      <c r="P208" s="162">
        <f t="shared" si="198"/>
        <v>160.23096613961079</v>
      </c>
      <c r="Q208" s="162">
        <f t="shared" si="198"/>
        <v>180.50640402038886</v>
      </c>
      <c r="T208" s="49"/>
      <c r="U208" s="49"/>
      <c r="V208" s="49"/>
      <c r="W208" s="49"/>
      <c r="X208" s="49"/>
      <c r="Y208" s="49"/>
      <c r="Z208" s="49"/>
      <c r="AA208" s="49"/>
      <c r="AC208" s="49"/>
    </row>
    <row r="209" spans="1:31" x14ac:dyDescent="0.2">
      <c r="B209" s="20" t="s">
        <v>402</v>
      </c>
      <c r="M209" s="162">
        <v>100</v>
      </c>
      <c r="N209" s="162">
        <f>100*(1+((N26-$M26)/ABS($M26)))</f>
        <v>148.27586206896552</v>
      </c>
      <c r="O209" s="162">
        <f t="shared" ref="O209:Q209" si="199">100*(1+((O26-$M26)/ABS($M26)))</f>
        <v>186.20689655172413</v>
      </c>
      <c r="P209" s="162">
        <f t="shared" si="199"/>
        <v>188.79310344827584</v>
      </c>
      <c r="Q209" s="162">
        <f t="shared" si="199"/>
        <v>244.82758620689654</v>
      </c>
      <c r="T209" s="49"/>
      <c r="U209" s="49"/>
      <c r="V209" s="49"/>
      <c r="W209" s="49"/>
      <c r="X209" s="49"/>
      <c r="Y209" s="49"/>
      <c r="Z209" s="49"/>
      <c r="AA209" s="49"/>
      <c r="AC209" s="49"/>
    </row>
    <row r="211" spans="1:31" x14ac:dyDescent="0.2">
      <c r="B211" s="1"/>
    </row>
    <row r="212" spans="1:31" s="15" customFormat="1" ht="17" thickBot="1" x14ac:dyDescent="0.25">
      <c r="A212" s="11"/>
      <c r="B212" s="14" t="s">
        <v>127</v>
      </c>
      <c r="R212" s="1"/>
      <c r="S212" s="1"/>
      <c r="AB212" s="1"/>
      <c r="AD212" s="1"/>
      <c r="AE212" s="1"/>
    </row>
    <row r="213" spans="1:31" x14ac:dyDescent="0.2">
      <c r="B213" s="20" t="s">
        <v>128</v>
      </c>
      <c r="C213" s="62"/>
      <c r="D213" s="62"/>
      <c r="E213" s="62"/>
      <c r="F213" s="62"/>
      <c r="G213" s="62"/>
      <c r="H213" s="62"/>
      <c r="I213" s="62"/>
      <c r="J213" s="62"/>
      <c r="K213" s="62"/>
      <c r="L213" s="62"/>
      <c r="M213" s="62">
        <v>925276</v>
      </c>
      <c r="N213" s="62">
        <v>1203845</v>
      </c>
      <c r="O213" s="62">
        <v>1463698</v>
      </c>
      <c r="P213" s="62">
        <v>1666136</v>
      </c>
      <c r="Q213" s="62">
        <v>1852567</v>
      </c>
      <c r="T213" s="62">
        <v>1606561</v>
      </c>
      <c r="U213" s="62">
        <v>1666136</v>
      </c>
      <c r="V213" s="62">
        <v>1692683</v>
      </c>
      <c r="W213" s="62">
        <v>1723401</v>
      </c>
      <c r="X213" s="62">
        <v>1782384</v>
      </c>
      <c r="Y213" s="62">
        <v>1852567</v>
      </c>
      <c r="Z213" s="62">
        <v>1901211</v>
      </c>
      <c r="AA213" s="62">
        <v>1937722</v>
      </c>
      <c r="AC213" s="62">
        <f>AA213</f>
        <v>1937722</v>
      </c>
    </row>
    <row r="214" spans="1:31" x14ac:dyDescent="0.2">
      <c r="B214" s="20" t="s">
        <v>129</v>
      </c>
      <c r="C214" s="62"/>
      <c r="D214" s="62"/>
      <c r="E214" s="62"/>
      <c r="F214" s="62"/>
      <c r="G214" s="62"/>
      <c r="H214" s="62"/>
      <c r="I214" s="62"/>
      <c r="J214" s="62"/>
      <c r="K214" s="62"/>
      <c r="L214" s="62"/>
      <c r="M214" s="62">
        <v>344793</v>
      </c>
      <c r="N214" s="62">
        <v>278569</v>
      </c>
      <c r="O214" s="62">
        <v>259853</v>
      </c>
      <c r="P214" s="62">
        <v>202438</v>
      </c>
      <c r="Q214" s="62">
        <v>186431</v>
      </c>
      <c r="T214" s="62">
        <v>56000</v>
      </c>
      <c r="U214" s="62">
        <v>60000</v>
      </c>
      <c r="V214" s="62">
        <v>27000</v>
      </c>
      <c r="W214" s="62">
        <v>31000</v>
      </c>
      <c r="X214" s="62">
        <v>59000</v>
      </c>
      <c r="Y214" s="62">
        <v>70000</v>
      </c>
      <c r="Z214" s="62">
        <v>49000</v>
      </c>
      <c r="AA214" s="62">
        <v>37000</v>
      </c>
      <c r="AC214" s="83">
        <f>SUM(X214:AA214)</f>
        <v>215000</v>
      </c>
    </row>
    <row r="215" spans="1:31" x14ac:dyDescent="0.2">
      <c r="B215" s="20" t="s">
        <v>130</v>
      </c>
      <c r="C215" s="57"/>
      <c r="D215" s="57"/>
      <c r="E215" s="57"/>
      <c r="F215" s="57"/>
      <c r="G215" s="57"/>
      <c r="H215" s="57"/>
      <c r="I215" s="57"/>
      <c r="J215" s="57"/>
      <c r="K215" s="57"/>
      <c r="L215" s="82"/>
      <c r="M215" s="82">
        <v>1.45</v>
      </c>
      <c r="N215" s="82">
        <v>1.23</v>
      </c>
      <c r="O215" s="82">
        <v>1.19</v>
      </c>
      <c r="P215" s="82">
        <v>1.1000000000000001</v>
      </c>
      <c r="Q215" s="82">
        <v>1.07</v>
      </c>
      <c r="T215" s="82">
        <v>1.1299999999999999</v>
      </c>
      <c r="U215" s="82">
        <v>1.1000000000000001</v>
      </c>
      <c r="V215" s="82">
        <v>1.08</v>
      </c>
      <c r="W215" s="82">
        <v>1.08</v>
      </c>
      <c r="X215" s="82">
        <v>1.07</v>
      </c>
      <c r="Y215" s="82">
        <v>1.07</v>
      </c>
      <c r="Z215" s="82">
        <v>1.0900000000000001</v>
      </c>
      <c r="AA215" s="82">
        <v>1.0900000000000001</v>
      </c>
      <c r="AC215" s="82">
        <f>AA215</f>
        <v>1.0900000000000001</v>
      </c>
    </row>
    <row r="216" spans="1:31" x14ac:dyDescent="0.2">
      <c r="B216" s="20" t="s">
        <v>131</v>
      </c>
      <c r="M216" s="62">
        <v>158</v>
      </c>
      <c r="N216" s="62">
        <v>229</v>
      </c>
      <c r="O216" s="62">
        <v>288</v>
      </c>
      <c r="P216" s="62">
        <v>317</v>
      </c>
      <c r="Q216" s="62">
        <v>357</v>
      </c>
      <c r="T216" s="62">
        <v>302</v>
      </c>
      <c r="U216" s="62">
        <v>317</v>
      </c>
      <c r="V216" s="62">
        <v>316</v>
      </c>
      <c r="W216" s="62">
        <v>320</v>
      </c>
      <c r="X216" s="62">
        <v>333</v>
      </c>
      <c r="Y216" s="62">
        <v>357</v>
      </c>
      <c r="Z216" s="62">
        <v>374</v>
      </c>
      <c r="AA216" s="62">
        <v>387</v>
      </c>
      <c r="AC216" s="62">
        <f>AA216</f>
        <v>387</v>
      </c>
    </row>
    <row r="217" spans="1:31" x14ac:dyDescent="0.2">
      <c r="B217" s="20" t="s">
        <v>132</v>
      </c>
      <c r="M217" s="62">
        <v>1493</v>
      </c>
      <c r="N217" s="62">
        <v>1785</v>
      </c>
      <c r="O217" s="62">
        <v>2054</v>
      </c>
      <c r="P217" s="62">
        <v>2292</v>
      </c>
      <c r="Q217" s="62">
        <v>2565</v>
      </c>
      <c r="T217" s="62">
        <v>2235</v>
      </c>
      <c r="U217" s="62">
        <v>2292</v>
      </c>
      <c r="V217" s="62">
        <v>2365</v>
      </c>
      <c r="W217" s="62">
        <v>2432</v>
      </c>
      <c r="X217" s="62">
        <v>2506</v>
      </c>
      <c r="Y217" s="62">
        <v>2565</v>
      </c>
      <c r="Z217" s="62">
        <v>2624</v>
      </c>
      <c r="AA217" s="62">
        <v>2666</v>
      </c>
      <c r="AC217" s="62">
        <f>AA217</f>
        <v>2666</v>
      </c>
    </row>
    <row r="218" spans="1:31" x14ac:dyDescent="0.2">
      <c r="B218" s="1"/>
    </row>
  </sheetData>
  <pageMargins left="0.7" right="0.7" top="0.75" bottom="0.75" header="0.3" footer="0.3"/>
  <ignoredErrors>
    <ignoredError sqref="AC23 AC81 AC66 AC53:AC57 AC59:AC62 AC5:AC19 AC64:AC65" formulaRange="1"/>
    <ignoredError sqref="AC20:AC21 AC24:AC25" formula="1" formulaRange="1"/>
    <ignoredError sqref="M124:Q124"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 style="1" customWidth="1"/>
    <col min="9" max="16384" width="10.83203125" style="1"/>
  </cols>
  <sheetData>
    <row r="5" spans="2:8" x14ac:dyDescent="0.2">
      <c r="H5" s="153" t="s">
        <v>436</v>
      </c>
    </row>
    <row r="6" spans="2:8" x14ac:dyDescent="0.2">
      <c r="H6" s="253" t="s">
        <v>441</v>
      </c>
    </row>
    <row r="7" spans="2:8" x14ac:dyDescent="0.2">
      <c r="H7" s="253" t="s">
        <v>437</v>
      </c>
    </row>
    <row r="8" spans="2:8" x14ac:dyDescent="0.2">
      <c r="H8" s="253" t="s">
        <v>438</v>
      </c>
    </row>
    <row r="9" spans="2:8" x14ac:dyDescent="0.2">
      <c r="H9" s="253" t="s">
        <v>439</v>
      </c>
    </row>
    <row r="10" spans="2:8" x14ac:dyDescent="0.2">
      <c r="H10" s="254" t="s">
        <v>440</v>
      </c>
    </row>
    <row r="13" spans="2:8" s="4" customFormat="1" ht="49" x14ac:dyDescent="0.2">
      <c r="B13" s="3" t="s">
        <v>274</v>
      </c>
    </row>
  </sheetData>
  <hyperlinks>
    <hyperlink ref="H6" location="Overview!B3" display="Overview'!B3" xr:uid="{9358075E-BDDD-F04C-B85E-603B0E75FC86}"/>
    <hyperlink ref="H8" location="'Analysis -&gt;'!B13" display="'Analysis -&gt;'!B13" xr:uid="{A1184EF3-9BAF-6E49-998B-6E47058B62A6}"/>
    <hyperlink ref="H9" location="'Forecast -&gt;'!B13" display="'Forecast -&gt;'!B13" xr:uid="{BD3B7A15-6BA2-FF4A-8B39-17EC92F84AD4}"/>
    <hyperlink ref="H10" location="'Valuation -&gt;'!B13" display="'Valuation -&gt;'!B13" xr:uid="{52F1DA72-C103-D54B-B18D-DAEC3C15E402}"/>
    <hyperlink ref="H7" location="'Financials -&gt;'!B13" display="'Financials -&gt;'!B13" xr:uid="{74AA57F8-BD4A-A24E-A284-0359F23986E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A47" zoomScale="173" workbookViewId="0">
      <selection activeCell="G10" sqref="G10"/>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4" t="s">
        <v>316</v>
      </c>
    </row>
    <row r="4" spans="2:7" x14ac:dyDescent="0.2">
      <c r="B4" s="258" t="s">
        <v>275</v>
      </c>
      <c r="C4" s="258"/>
      <c r="E4" s="258" t="s">
        <v>282</v>
      </c>
      <c r="F4" s="258"/>
      <c r="G4" s="258"/>
    </row>
    <row r="5" spans="2:7" x14ac:dyDescent="0.2">
      <c r="B5" s="20" t="s">
        <v>1</v>
      </c>
      <c r="C5" s="189">
        <f ca="1">Overview!C5</f>
        <v>13.324999999999999</v>
      </c>
      <c r="E5" s="12"/>
      <c r="F5" s="153" t="s">
        <v>283</v>
      </c>
      <c r="G5" s="153" t="s">
        <v>284</v>
      </c>
    </row>
    <row r="6" spans="2:7" x14ac:dyDescent="0.2">
      <c r="B6" s="20" t="s">
        <v>281</v>
      </c>
      <c r="C6" s="190">
        <f ca="1">Statement!AC153</f>
        <v>6989162.375</v>
      </c>
      <c r="E6" s="20" t="s">
        <v>20</v>
      </c>
      <c r="F6" s="195">
        <f>IF(Statement!M5&lt;=0,"N/A",_xlfn.RRI(4,Statement!M5,Statement!Q5))</f>
        <v>0.15910599918172563</v>
      </c>
      <c r="G6" s="195" t="str">
        <f>IF(Statement!H5&lt;=0,"N/A",_xlfn.RRI(9,Statement!H5,Statement!Q5))</f>
        <v>N/A</v>
      </c>
    </row>
    <row r="7" spans="2:7" x14ac:dyDescent="0.2">
      <c r="B7" s="20" t="s">
        <v>227</v>
      </c>
      <c r="C7" s="190">
        <f ca="1">Statement!AC154</f>
        <v>5584137.375</v>
      </c>
      <c r="E7" s="20" t="s">
        <v>32</v>
      </c>
      <c r="F7" s="195" t="str">
        <f>IF(OR(Statement!M18&lt;=0, Statement!Q18&lt;=0), "N/A", _xlfn.RRI(4, Statement!M18, Statement!Q18))</f>
        <v>N/A</v>
      </c>
      <c r="G7" s="195" t="str">
        <f>IF(OR(Statement!H18&lt;=0, Statement!Q18&lt;=0), "N/A", _xlfn.RRI(9, Statement!H18, Statement!Q18))</f>
        <v>N/A</v>
      </c>
    </row>
    <row r="8" spans="2:7" x14ac:dyDescent="0.2">
      <c r="B8" s="20" t="s">
        <v>279</v>
      </c>
      <c r="C8" s="191">
        <f ca="1">Statement!AC150</f>
        <v>19.88805970149253</v>
      </c>
      <c r="E8" s="20" t="s">
        <v>285</v>
      </c>
      <c r="F8" s="195" t="str">
        <f>IF(OR(Statement!M26&lt;=0, Statement!Q26&lt;=0), "N/A", _xlfn.RRI(4, Statement!M26, Statement!Q26))</f>
        <v>N/A</v>
      </c>
      <c r="G8" s="195" t="str">
        <f>IF(OR(Statement!H26&lt;=0, Statement!Q26&lt;=0), "N/A", _xlfn.RRI(9, Statement!H26, Statement!Q26))</f>
        <v>N/A</v>
      </c>
    </row>
    <row r="9" spans="2:7" x14ac:dyDescent="0.2">
      <c r="B9" s="20" t="s">
        <v>240</v>
      </c>
      <c r="C9" s="191">
        <f ca="1">Statement!AC151</f>
        <v>4.1332066947127535</v>
      </c>
      <c r="E9" s="20" t="s">
        <v>286</v>
      </c>
      <c r="F9" s="195" t="str">
        <f>IF(Statement!M82&lt;=0,"N/A",_xlfn.RRI(4,Statement!M82,Statement!Q82))</f>
        <v>N/A</v>
      </c>
      <c r="G9" s="195" t="str">
        <f>IF(Statement!H82&lt;=0,"N/A",_xlfn.RRI(9,Statement!H82,Statement!Q82))</f>
        <v>N/A</v>
      </c>
    </row>
    <row r="10" spans="2:7" x14ac:dyDescent="0.2">
      <c r="B10" s="20" t="s">
        <v>280</v>
      </c>
      <c r="C10" s="191">
        <f ca="1">Statement!AC152</f>
        <v>3.5638809043232635</v>
      </c>
      <c r="E10" s="20" t="s">
        <v>1</v>
      </c>
      <c r="F10" s="195">
        <f>IF(Statement!M117&lt;=0,"N/A",_xlfn.RRI(4,Statement!M117,Statement!Q117))</f>
        <v>-0.21662025481427405</v>
      </c>
      <c r="G10" s="195" t="str">
        <f>IF(Statement!H117&lt;=0,"N/A",_xlfn.RRI(9,Statement!H117,Statement!Q117))</f>
        <v>N/A</v>
      </c>
    </row>
    <row r="11" spans="2:7" x14ac:dyDescent="0.2">
      <c r="B11" s="20" t="s">
        <v>302</v>
      </c>
      <c r="C11" s="191">
        <f ca="1">Statement!AC155</f>
        <v>3.244972783925228</v>
      </c>
    </row>
    <row r="12" spans="2:7" x14ac:dyDescent="0.2">
      <c r="B12" s="20" t="s">
        <v>243</v>
      </c>
      <c r="C12" s="191">
        <f ca="1">Statement!AC156</f>
        <v>36.510038542511182</v>
      </c>
    </row>
    <row r="15" spans="2:7" x14ac:dyDescent="0.2">
      <c r="B15" s="258" t="s">
        <v>78</v>
      </c>
      <c r="C15" s="258"/>
      <c r="E15" s="258" t="s">
        <v>288</v>
      </c>
      <c r="F15" s="258"/>
    </row>
    <row r="16" spans="2:7" x14ac:dyDescent="0.2">
      <c r="B16" s="20" t="s">
        <v>79</v>
      </c>
      <c r="C16" s="192">
        <f>Statement!AC101</f>
        <v>0.82551610882478388</v>
      </c>
      <c r="E16" s="20" t="s">
        <v>32</v>
      </c>
      <c r="F16" s="190">
        <f>Statement!AC18</f>
        <v>361915</v>
      </c>
    </row>
    <row r="17" spans="2:6" x14ac:dyDescent="0.2">
      <c r="B17" s="20" t="s">
        <v>80</v>
      </c>
      <c r="C17" s="192">
        <f>Statement!AC102</f>
        <v>8.8878919701683698E-2</v>
      </c>
      <c r="E17" s="20" t="s">
        <v>289</v>
      </c>
      <c r="F17" s="190">
        <f>Statement!AC59</f>
        <v>373246</v>
      </c>
    </row>
    <row r="18" spans="2:6" x14ac:dyDescent="0.2">
      <c r="B18" s="20" t="s">
        <v>81</v>
      </c>
      <c r="C18" s="192">
        <f>Statement!AC103</f>
        <v>0.21031078682843093</v>
      </c>
      <c r="E18" s="20" t="s">
        <v>296</v>
      </c>
      <c r="F18" s="194">
        <f>IF(OR(F16&lt;=0, F17&lt;=0),"N/A",F16-F17)</f>
        <v>-11331</v>
      </c>
    </row>
    <row r="21" spans="2:6" x14ac:dyDescent="0.2">
      <c r="B21" s="258" t="s">
        <v>287</v>
      </c>
      <c r="C21" s="258"/>
      <c r="E21" s="258" t="s">
        <v>291</v>
      </c>
      <c r="F21" s="258"/>
    </row>
    <row r="22" spans="2:6" x14ac:dyDescent="0.2">
      <c r="B22" s="20" t="s">
        <v>117</v>
      </c>
      <c r="C22" s="192">
        <f>Statement!AC121</f>
        <v>0.21031078682843093</v>
      </c>
      <c r="E22" s="20" t="s">
        <v>119</v>
      </c>
      <c r="F22" s="192">
        <f>C24</f>
        <v>0.12448204853394841</v>
      </c>
    </row>
    <row r="23" spans="2:6" x14ac:dyDescent="0.2">
      <c r="B23" s="20" t="s">
        <v>118</v>
      </c>
      <c r="C23" s="191">
        <f>Statement!AC122</f>
        <v>0.5918956911872495</v>
      </c>
      <c r="E23" s="20" t="s">
        <v>121</v>
      </c>
      <c r="F23" s="192">
        <f>C26</f>
        <v>0.18573545162533595</v>
      </c>
    </row>
    <row r="24" spans="2:6" x14ac:dyDescent="0.2">
      <c r="B24" s="32" t="s">
        <v>119</v>
      </c>
      <c r="C24" s="193">
        <f>Statement!AC123</f>
        <v>0.12448204853394841</v>
      </c>
      <c r="E24" s="20" t="s">
        <v>122</v>
      </c>
      <c r="F24" s="192">
        <f>Statement!AC140</f>
        <v>0.28139960185897273</v>
      </c>
    </row>
    <row r="25" spans="2:6" x14ac:dyDescent="0.2">
      <c r="B25" s="20" t="s">
        <v>120</v>
      </c>
      <c r="C25" s="191">
        <f>Statement!AC124</f>
        <v>1.4920661558255339</v>
      </c>
    </row>
    <row r="26" spans="2:6" x14ac:dyDescent="0.2">
      <c r="B26" s="32" t="s">
        <v>121</v>
      </c>
      <c r="C26" s="193">
        <f>Statement!AC125</f>
        <v>0.18573545162533595</v>
      </c>
    </row>
    <row r="29" spans="2:6" x14ac:dyDescent="0.2">
      <c r="B29" s="258" t="s">
        <v>292</v>
      </c>
      <c r="C29" s="258"/>
      <c r="E29" s="258" t="s">
        <v>298</v>
      </c>
      <c r="F29" s="258"/>
    </row>
    <row r="30" spans="2:6" x14ac:dyDescent="0.2">
      <c r="B30" s="20" t="s">
        <v>178</v>
      </c>
      <c r="C30" s="191">
        <f>Statement!AC141</f>
        <v>65.13952923483518</v>
      </c>
      <c r="E30" s="20" t="s">
        <v>299</v>
      </c>
      <c r="F30" s="197">
        <f>Statement!AC145</f>
        <v>0</v>
      </c>
    </row>
    <row r="31" spans="2:6" x14ac:dyDescent="0.2">
      <c r="B31" s="20" t="s">
        <v>179</v>
      </c>
      <c r="C31" s="191">
        <f>Statement!AC142</f>
        <v>0</v>
      </c>
      <c r="E31" s="20" t="s">
        <v>300</v>
      </c>
      <c r="F31" s="197">
        <f>Statement!AC146</f>
        <v>-0.72106144514564929</v>
      </c>
    </row>
    <row r="32" spans="2:6" x14ac:dyDescent="0.2">
      <c r="B32" s="20" t="s">
        <v>180</v>
      </c>
      <c r="C32" s="191">
        <f>Statement!AC143</f>
        <v>20.038033450786315</v>
      </c>
      <c r="E32" s="20" t="s">
        <v>295</v>
      </c>
      <c r="F32" s="197">
        <f>Statement!AC148</f>
        <v>2.386634756174606</v>
      </c>
    </row>
    <row r="33" spans="2:6" x14ac:dyDescent="0.2">
      <c r="B33" s="20" t="s">
        <v>181</v>
      </c>
      <c r="C33" s="191">
        <f>Statement!AC144</f>
        <v>45.101495784048865</v>
      </c>
      <c r="E33" s="20" t="s">
        <v>294</v>
      </c>
      <c r="F33" s="197">
        <f>Statement!AC147</f>
        <v>2.1209291205537757</v>
      </c>
    </row>
    <row r="34" spans="2:6" x14ac:dyDescent="0.2">
      <c r="E34" s="20" t="s">
        <v>301</v>
      </c>
      <c r="F34" s="199" t="str">
        <f>Statement!AC149</f>
        <v>N/A</v>
      </c>
    </row>
    <row r="37" spans="2:6" x14ac:dyDescent="0.2">
      <c r="B37" s="258" t="s">
        <v>310</v>
      </c>
      <c r="C37" s="258"/>
      <c r="E37" s="258" t="s">
        <v>313</v>
      </c>
      <c r="F37" s="258"/>
    </row>
    <row r="38" spans="2:6" x14ac:dyDescent="0.2">
      <c r="B38" s="20" t="s">
        <v>308</v>
      </c>
      <c r="C38" s="192">
        <f ca="1">Statement!AC162</f>
        <v>5.0281425891182001E-2</v>
      </c>
      <c r="E38" s="20" t="s">
        <v>312</v>
      </c>
      <c r="F38" s="192">
        <f>Statement!AC168</f>
        <v>0</v>
      </c>
    </row>
    <row r="39" spans="2:6" x14ac:dyDescent="0.2">
      <c r="B39" s="54" t="s">
        <v>311</v>
      </c>
      <c r="C39" s="232">
        <f ca="1">Statement!AC161</f>
        <v>1.8367866292418194E-2</v>
      </c>
      <c r="E39" s="20" t="s">
        <v>314</v>
      </c>
      <c r="F39" s="192">
        <f>Statement!AC169</f>
        <v>2.0918863338941858</v>
      </c>
    </row>
    <row r="40" spans="2:6" x14ac:dyDescent="0.2">
      <c r="B40" s="20" t="s">
        <v>309</v>
      </c>
      <c r="C40" s="192">
        <f ca="1">Statement!AC163</f>
        <v>0</v>
      </c>
      <c r="E40" s="20" t="s">
        <v>315</v>
      </c>
      <c r="F40" s="192">
        <f>Statement!AC170</f>
        <v>2.0918863338941858</v>
      </c>
    </row>
    <row r="41" spans="2:6" x14ac:dyDescent="0.2">
      <c r="B41" s="20" t="s">
        <v>334</v>
      </c>
      <c r="C41" s="192">
        <f ca="1">Statement!AC164</f>
        <v>3.8423488479905288E-2</v>
      </c>
    </row>
    <row r="42" spans="2:6" x14ac:dyDescent="0.2">
      <c r="B42" s="20" t="s">
        <v>336</v>
      </c>
      <c r="C42" s="192">
        <f ca="1">Statement!AC165</f>
        <v>3.8423488479905288E-2</v>
      </c>
    </row>
    <row r="45" spans="2:6" x14ac:dyDescent="0.2">
      <c r="B45" s="258" t="s">
        <v>321</v>
      </c>
      <c r="C45" s="258"/>
      <c r="E45" s="258" t="s">
        <v>327</v>
      </c>
      <c r="F45" s="258"/>
    </row>
    <row r="46" spans="2:6" x14ac:dyDescent="0.2">
      <c r="B46" s="20" t="s">
        <v>319</v>
      </c>
      <c r="C46" s="192">
        <f>Statement!AC171</f>
        <v>0.2226990648503856</v>
      </c>
      <c r="E46" s="20" t="s">
        <v>320</v>
      </c>
      <c r="F46" s="191">
        <f>Statement!AC172</f>
        <v>2.6959777878408766</v>
      </c>
    </row>
    <row r="47" spans="2:6" x14ac:dyDescent="0.2">
      <c r="E47" s="20" t="s">
        <v>328</v>
      </c>
      <c r="F47" s="191">
        <f>Statement!AC175</f>
        <v>2.6959777878408766</v>
      </c>
    </row>
    <row r="48" spans="2:6" x14ac:dyDescent="0.2">
      <c r="E48" s="20" t="s">
        <v>333</v>
      </c>
      <c r="F48" s="192">
        <f ca="1">Statement!AC176</f>
        <v>0.20102909685225334</v>
      </c>
    </row>
    <row r="51" spans="2:6" x14ac:dyDescent="0.2">
      <c r="B51" s="258" t="s">
        <v>324</v>
      </c>
      <c r="C51" s="258"/>
      <c r="E51" s="258" t="s">
        <v>345</v>
      </c>
      <c r="F51" s="258"/>
    </row>
    <row r="52" spans="2:6" x14ac:dyDescent="0.2">
      <c r="B52" s="20" t="s">
        <v>322</v>
      </c>
      <c r="C52" s="192">
        <f>Statement!AC173</f>
        <v>0.62848898581632484</v>
      </c>
      <c r="E52" s="20" t="s">
        <v>346</v>
      </c>
      <c r="F52" s="192">
        <f>Statement!AC177</f>
        <v>5.9789941994051804E-3</v>
      </c>
    </row>
    <row r="53" spans="2:6" x14ac:dyDescent="0.2">
      <c r="B53" s="20" t="s">
        <v>323</v>
      </c>
      <c r="C53" s="192">
        <f>Statement!AC174</f>
        <v>0.1363163026815693</v>
      </c>
      <c r="E53" s="20" t="s">
        <v>343</v>
      </c>
      <c r="F53" s="192">
        <f>Statement!AC178</f>
        <v>2.7566269966724358E-2</v>
      </c>
    </row>
    <row r="54" spans="2:6" x14ac:dyDescent="0.2">
      <c r="E54" s="20" t="s">
        <v>344</v>
      </c>
      <c r="F54" s="192">
        <f>Statement!AC179</f>
        <v>0.39573076923076922</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4"/>
  <sheetViews>
    <sheetView zoomScale="159" zoomScaleNormal="230" workbookViewId="0">
      <pane xSplit="2" ySplit="3" topLeftCell="C28" activePane="bottomRight" state="frozen"/>
      <selection pane="topRight" activeCell="C1" sqref="C1"/>
      <selection pane="bottomLeft" activeCell="A4" sqref="A4"/>
      <selection pane="bottomRight" activeCell="B2" sqref="B2:C3"/>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31.01.2022</v>
      </c>
      <c r="D2" s="10" t="str">
        <f>Statement!N2</f>
        <v>31.01.2023</v>
      </c>
      <c r="E2" s="10" t="str">
        <f>Statement!O2</f>
        <v>31.01.2024</v>
      </c>
      <c r="F2" s="10" t="str">
        <f>Statement!P2</f>
        <v>31.01.2025</v>
      </c>
      <c r="G2" s="10" t="str">
        <f>Statement!Q2</f>
        <v>31.01.2026</v>
      </c>
      <c r="I2" s="10"/>
    </row>
    <row r="3" spans="2:9" x14ac:dyDescent="0.2">
      <c r="B3" s="10"/>
      <c r="C3" s="10">
        <f>Statement!M3</f>
        <v>2022</v>
      </c>
      <c r="D3" s="10">
        <f>Statement!N3</f>
        <v>2023</v>
      </c>
      <c r="E3" s="10">
        <f>Statement!O3</f>
        <v>2024</v>
      </c>
      <c r="F3" s="10">
        <f>Statement!P3</f>
        <v>2025</v>
      </c>
      <c r="G3" s="10">
        <f>Statement!Q3</f>
        <v>2026</v>
      </c>
      <c r="I3" s="10" t="str">
        <f>Statement!AC3</f>
        <v>TTM/YTD</v>
      </c>
    </row>
    <row r="5" spans="2:9" ht="17" thickBot="1" x14ac:dyDescent="0.25">
      <c r="B5" s="14" t="s">
        <v>275</v>
      </c>
      <c r="C5" s="14"/>
      <c r="D5" s="14"/>
      <c r="E5" s="14"/>
      <c r="F5" s="14"/>
      <c r="G5" s="14"/>
      <c r="I5" s="14"/>
    </row>
    <row r="6" spans="2:9" x14ac:dyDescent="0.2">
      <c r="B6" s="20" t="s">
        <v>1</v>
      </c>
      <c r="C6" s="189">
        <f>Statement!M116</f>
        <v>33.43</v>
      </c>
      <c r="D6" s="189">
        <f>Statement!N116</f>
        <v>14.57</v>
      </c>
      <c r="E6" s="189">
        <f>Statement!O116</f>
        <v>23.85</v>
      </c>
      <c r="F6" s="189">
        <f>Statement!P116</f>
        <v>14.58</v>
      </c>
      <c r="G6" s="189">
        <f>Statement!Q116</f>
        <v>12.59</v>
      </c>
      <c r="I6" s="189">
        <f ca="1">Statement!AC116</f>
        <v>13.324999999999999</v>
      </c>
    </row>
    <row r="7" spans="2:9" x14ac:dyDescent="0.2">
      <c r="B7" s="20" t="s">
        <v>281</v>
      </c>
      <c r="C7" s="190">
        <f>Statement!M153</f>
        <v>18122001.84</v>
      </c>
      <c r="D7" s="190">
        <f>Statement!N153</f>
        <v>8121653.1100000003</v>
      </c>
      <c r="E7" s="190">
        <f>Statement!O153</f>
        <v>13570960.050000001</v>
      </c>
      <c r="F7" s="190">
        <f>Statement!P153</f>
        <v>8040767.9400000004</v>
      </c>
      <c r="G7" s="190">
        <f>Statement!Q153</f>
        <v>6680971.6299999999</v>
      </c>
      <c r="I7" s="190">
        <f ca="1">Statement!AC153</f>
        <v>6989162.375</v>
      </c>
    </row>
    <row r="8" spans="2:9" x14ac:dyDescent="0.2">
      <c r="B8" s="20" t="s">
        <v>227</v>
      </c>
      <c r="C8" s="190">
        <f>Statement!M154</f>
        <v>16237338.84</v>
      </c>
      <c r="D8" s="190">
        <f>Statement!N154</f>
        <v>6361818.1100000003</v>
      </c>
      <c r="E8" s="190">
        <f>Statement!O154</f>
        <v>11691137.050000001</v>
      </c>
      <c r="F8" s="190">
        <f>Statement!P154</f>
        <v>6317136.9400000004</v>
      </c>
      <c r="G8" s="190">
        <f>Statement!Q154</f>
        <v>4991495.63</v>
      </c>
      <c r="I8" s="190">
        <f ca="1">Statement!AC154</f>
        <v>5584137.375</v>
      </c>
    </row>
    <row r="9" spans="2:9" x14ac:dyDescent="0.2">
      <c r="B9" s="20" t="s">
        <v>279</v>
      </c>
      <c r="C9" s="191">
        <f>Statement!M150</f>
        <v>-28.818965517241381</v>
      </c>
      <c r="D9" s="191">
        <f>Statement!N150</f>
        <v>-24.283333333333335</v>
      </c>
      <c r="E9" s="191">
        <f>Statement!O150</f>
        <v>-149.0625</v>
      </c>
      <c r="F9" s="191">
        <f>Statement!P150</f>
        <v>-112.15384615384615</v>
      </c>
      <c r="G9" s="191">
        <f>Statement!Q150</f>
        <v>24.21153846153846</v>
      </c>
      <c r="I9" s="191">
        <f ca="1">Statement!AC150</f>
        <v>19.88805970149253</v>
      </c>
    </row>
    <row r="10" spans="2:9" x14ac:dyDescent="0.2">
      <c r="B10" s="20" t="s">
        <v>240</v>
      </c>
      <c r="C10" s="191">
        <f>Statement!M151</f>
        <v>17.03343197885799</v>
      </c>
      <c r="D10" s="191">
        <f>Statement!N151</f>
        <v>7.5428149003241138</v>
      </c>
      <c r="E10" s="191">
        <f>Statement!O151</f>
        <v>11.921699837623619</v>
      </c>
      <c r="F10" s="191">
        <f>Statement!P151</f>
        <v>5.7103089537122012</v>
      </c>
      <c r="G10" s="191">
        <f>Statement!Q151</f>
        <v>4.2592243004348767</v>
      </c>
      <c r="I10" s="191">
        <f ca="1">Statement!AC151</f>
        <v>4.1332066947127535</v>
      </c>
    </row>
    <row r="11" spans="2:9" x14ac:dyDescent="0.2">
      <c r="B11" s="20" t="s">
        <v>280</v>
      </c>
      <c r="C11" s="191">
        <f>Statement!M152</f>
        <v>9.4291282297830765</v>
      </c>
      <c r="D11" s="191">
        <f>Statement!N152</f>
        <v>4.2296795940750709</v>
      </c>
      <c r="E11" s="191">
        <f>Statement!O152</f>
        <v>6.731246372972957</v>
      </c>
      <c r="F11" s="191">
        <f>Statement!P152</f>
        <v>4.3563406007925183</v>
      </c>
      <c r="G11" s="191">
        <f>Statement!Q152</f>
        <v>3.1673000839820857</v>
      </c>
      <c r="I11" s="191">
        <f ca="1">Statement!AC152</f>
        <v>3.5638809043232635</v>
      </c>
    </row>
    <row r="12" spans="2:9" x14ac:dyDescent="0.2">
      <c r="B12" s="20" t="s">
        <v>302</v>
      </c>
      <c r="C12" s="191">
        <f>Statement!M155</f>
        <v>18.198153481303489</v>
      </c>
      <c r="D12" s="191">
        <f>Statement!N155</f>
        <v>6.0097603395488868</v>
      </c>
      <c r="E12" s="191">
        <f>Statement!O155</f>
        <v>8.9376861900568176</v>
      </c>
      <c r="F12" s="191">
        <f>Statement!P155</f>
        <v>4.4186165001007236</v>
      </c>
      <c r="G12" s="191">
        <f>Statement!Q155</f>
        <v>3.0992067600827533</v>
      </c>
      <c r="I12" s="191">
        <f ca="1">Statement!AC155</f>
        <v>3.244972783925228</v>
      </c>
    </row>
    <row r="13" spans="2:9" x14ac:dyDescent="0.2">
      <c r="B13" s="20" t="s">
        <v>243</v>
      </c>
      <c r="C13" s="191">
        <f>Statement!M156</f>
        <v>-32.413351618737352</v>
      </c>
      <c r="D13" s="191">
        <f>Statement!N156</f>
        <v>-18.266232087124553</v>
      </c>
      <c r="E13" s="191">
        <f>Statement!O156</f>
        <v>-70.97581987615348</v>
      </c>
      <c r="F13" s="191">
        <f>Statement!P156</f>
        <v>-38.858189076638233</v>
      </c>
      <c r="G13" s="191">
        <f>Statement!Q156</f>
        <v>87.94037403100775</v>
      </c>
      <c r="I13" s="191">
        <f ca="1">Statement!AC156</f>
        <v>36.510038542511182</v>
      </c>
    </row>
    <row r="15" spans="2:9" ht="17" thickBot="1" x14ac:dyDescent="0.25">
      <c r="B15" s="14" t="s">
        <v>78</v>
      </c>
      <c r="C15" s="14"/>
      <c r="D15" s="14"/>
      <c r="E15" s="14"/>
      <c r="F15" s="14"/>
      <c r="G15" s="14"/>
      <c r="I15" s="14"/>
    </row>
    <row r="16" spans="2:9" x14ac:dyDescent="0.2">
      <c r="B16" s="20" t="s">
        <v>79</v>
      </c>
      <c r="C16" s="192">
        <f>Statement!M101</f>
        <v>0.81073956684882742</v>
      </c>
      <c r="D16" s="192">
        <f>Statement!N101</f>
        <v>0.82991287393217905</v>
      </c>
      <c r="E16" s="192">
        <f>Statement!O101</f>
        <v>0.85021925398601916</v>
      </c>
      <c r="F16" s="192">
        <f>Statement!P101</f>
        <v>0.82727270183763457</v>
      </c>
      <c r="G16" s="192">
        <f>Statement!Q101</f>
        <v>0.83174673345867178</v>
      </c>
      <c r="I16" s="192">
        <f>Statement!AC101</f>
        <v>0.82551610882478388</v>
      </c>
    </row>
    <row r="17" spans="2:9" x14ac:dyDescent="0.2">
      <c r="B17" s="20" t="s">
        <v>80</v>
      </c>
      <c r="C17" s="192">
        <f>Statement!M102</f>
        <v>-0.56144004160259653</v>
      </c>
      <c r="D17" s="192">
        <f>Statement!N102</f>
        <v>-0.32900930585377974</v>
      </c>
      <c r="E17" s="192">
        <f>Statement!O102</f>
        <v>-0.12592579001767487</v>
      </c>
      <c r="F17" s="192">
        <f>Statement!P102</f>
        <v>-0.11371133357208407</v>
      </c>
      <c r="G17" s="192">
        <f>Statement!Q102</f>
        <v>3.5242137575966802E-2</v>
      </c>
      <c r="I17" s="192">
        <f>Statement!AC102</f>
        <v>8.8878919701683698E-2</v>
      </c>
    </row>
    <row r="18" spans="2:9" x14ac:dyDescent="0.2">
      <c r="B18" s="20" t="s">
        <v>81</v>
      </c>
      <c r="C18" s="192">
        <f>Statement!M103</f>
        <v>-0.58905555829519018</v>
      </c>
      <c r="D18" s="192">
        <f>Statement!N103</f>
        <v>-0.31018127096556619</v>
      </c>
      <c r="E18" s="192">
        <f>Statement!O103</f>
        <v>-6.8714107480322181E-2</v>
      </c>
      <c r="F18" s="192">
        <f>Statement!P103</f>
        <v>-5.1546377330617545E-2</v>
      </c>
      <c r="G18" s="192">
        <f>Statement!Q103</f>
        <v>0.17529796867199976</v>
      </c>
      <c r="I18" s="192">
        <f>Statement!AC103</f>
        <v>0.21031078682843093</v>
      </c>
    </row>
    <row r="20" spans="2:9" ht="17" thickBot="1" x14ac:dyDescent="0.25">
      <c r="B20" s="14" t="s">
        <v>288</v>
      </c>
      <c r="C20" s="14"/>
      <c r="D20" s="14"/>
      <c r="E20" s="14"/>
      <c r="F20" s="14"/>
      <c r="G20" s="14"/>
      <c r="I20" s="14"/>
    </row>
    <row r="21" spans="2:9" x14ac:dyDescent="0.2">
      <c r="B21" s="20" t="s">
        <v>32</v>
      </c>
      <c r="C21" s="194">
        <f>Statement!M18</f>
        <v>-525586</v>
      </c>
      <c r="D21" s="194">
        <f>Statement!N18</f>
        <v>-328352</v>
      </c>
      <c r="E21" s="194">
        <f>Statement!O18</f>
        <v>-89883</v>
      </c>
      <c r="F21" s="194">
        <f>Statement!P18</f>
        <v>-73694</v>
      </c>
      <c r="G21" s="194">
        <f>Statement!Q18</f>
        <v>282330</v>
      </c>
      <c r="I21" s="194">
        <f>Statement!AC18</f>
        <v>361915</v>
      </c>
    </row>
    <row r="22" spans="2:9" x14ac:dyDescent="0.2">
      <c r="B22" s="20" t="s">
        <v>289</v>
      </c>
      <c r="C22" s="194">
        <f>Statement!M59</f>
        <v>-54963</v>
      </c>
      <c r="D22" s="194">
        <f>Statement!N59</f>
        <v>-9981</v>
      </c>
      <c r="E22" s="194">
        <f>Statement!O59</f>
        <v>299082</v>
      </c>
      <c r="F22" s="194">
        <f>Statement!P59</f>
        <v>320565</v>
      </c>
      <c r="G22" s="194">
        <f>Statement!Q59</f>
        <v>371208</v>
      </c>
      <c r="I22" s="194">
        <f>Statement!AC59</f>
        <v>373246</v>
      </c>
    </row>
    <row r="23" spans="2:9" x14ac:dyDescent="0.2">
      <c r="B23" s="20" t="s">
        <v>296</v>
      </c>
      <c r="C23" s="212" t="str">
        <f>IF(OR(C21&lt;=0, C22&lt;=0),"N/A",C21-C22)</f>
        <v>N/A</v>
      </c>
      <c r="D23" s="212" t="str">
        <f t="shared" ref="D23:I23" si="0">IF(OR(D21&lt;=0, D22&lt;=0),"N/A",D21-D22)</f>
        <v>N/A</v>
      </c>
      <c r="E23" s="212" t="str">
        <f t="shared" si="0"/>
        <v>N/A</v>
      </c>
      <c r="F23" s="212" t="str">
        <f t="shared" si="0"/>
        <v>N/A</v>
      </c>
      <c r="G23" s="212">
        <f t="shared" si="0"/>
        <v>-88878</v>
      </c>
      <c r="I23" s="212">
        <f t="shared" si="0"/>
        <v>-11331</v>
      </c>
    </row>
    <row r="25" spans="2:9" ht="17" thickBot="1" x14ac:dyDescent="0.25">
      <c r="B25" s="14" t="s">
        <v>287</v>
      </c>
      <c r="C25" s="14"/>
      <c r="D25" s="14"/>
      <c r="E25" s="14"/>
      <c r="F25" s="14"/>
      <c r="G25" s="14"/>
      <c r="I25" s="14"/>
    </row>
    <row r="26" spans="2:9" x14ac:dyDescent="0.2">
      <c r="B26" s="20" t="s">
        <v>117</v>
      </c>
      <c r="C26" s="192">
        <f>Statement!M121</f>
        <v>-0.58905555829519018</v>
      </c>
      <c r="D26" s="192">
        <f>Statement!N121</f>
        <v>-0.31018127096556619</v>
      </c>
      <c r="E26" s="192">
        <f>Statement!O121</f>
        <v>-6.8714107480322181E-2</v>
      </c>
      <c r="F26" s="192">
        <f>Statement!P121</f>
        <v>-5.1546377330617545E-2</v>
      </c>
      <c r="G26" s="192">
        <f>Statement!Q121</f>
        <v>0.17529796867199976</v>
      </c>
      <c r="I26" s="192">
        <f>Statement!AC121</f>
        <v>0.21031078682843093</v>
      </c>
    </row>
    <row r="27" spans="2:9" x14ac:dyDescent="0.2">
      <c r="B27" s="20" t="s">
        <v>118</v>
      </c>
      <c r="C27" s="231">
        <f>Statement!M122</f>
        <v>0.346849112713561</v>
      </c>
      <c r="D27" s="231">
        <f>Statement!N122</f>
        <v>0.38702057541552631</v>
      </c>
      <c r="E27" s="231">
        <f>Statement!O122</f>
        <v>0.44270021436611728</v>
      </c>
      <c r="F27" s="231">
        <f>Statement!P122</f>
        <v>0.49896309946357587</v>
      </c>
      <c r="G27" s="231">
        <f>Statement!Q122</f>
        <v>0.50659662808253647</v>
      </c>
      <c r="I27" s="231">
        <f>Statement!AC122</f>
        <v>0.5918956911872495</v>
      </c>
    </row>
    <row r="28" spans="2:9" x14ac:dyDescent="0.2">
      <c r="B28" s="32" t="s">
        <v>119</v>
      </c>
      <c r="C28" s="193">
        <f>Statement!M123</f>
        <v>-0.20431339773367801</v>
      </c>
      <c r="D28" s="193">
        <f>Statement!N123</f>
        <v>-0.12004653397221271</v>
      </c>
      <c r="E28" s="193">
        <f>Statement!O123</f>
        <v>-3.0419750111515053E-2</v>
      </c>
      <c r="F28" s="193">
        <f>Statement!P123</f>
        <v>-2.5719740199003933E-2</v>
      </c>
      <c r="G28" s="193">
        <f>Statement!Q123</f>
        <v>8.8805359838953199E-2</v>
      </c>
      <c r="I28" s="193">
        <f>Statement!AC123</f>
        <v>0.12448204853394841</v>
      </c>
    </row>
    <row r="29" spans="2:9" x14ac:dyDescent="0.2">
      <c r="B29" s="20" t="s">
        <v>120</v>
      </c>
      <c r="C29" s="231">
        <f>Statement!M124</f>
        <v>1.3384813183920012</v>
      </c>
      <c r="D29" s="231">
        <f>Statement!N124</f>
        <v>1.4244692363857558</v>
      </c>
      <c r="E29" s="231">
        <f>Statement!O124</f>
        <v>1.4655708952965953</v>
      </c>
      <c r="F29" s="231">
        <f>Statement!P124</f>
        <v>1.5523507364438103</v>
      </c>
      <c r="G29" s="231">
        <f>Statement!Q124</f>
        <v>1.526562875884657</v>
      </c>
      <c r="I29" s="231">
        <f>Statement!AC124</f>
        <v>1.4920661558255339</v>
      </c>
    </row>
    <row r="30" spans="2:9" x14ac:dyDescent="0.2">
      <c r="B30" s="32" t="s">
        <v>121</v>
      </c>
      <c r="C30" s="193">
        <f>Statement!M125</f>
        <v>-0.27346966596372269</v>
      </c>
      <c r="D30" s="193">
        <f>Statement!N125</f>
        <v>-0.17100259457815453</v>
      </c>
      <c r="E30" s="193">
        <f>Statement!O125</f>
        <v>-4.4582300405631825E-2</v>
      </c>
      <c r="F30" s="193">
        <f>Statement!P125</f>
        <v>-3.9926057639067224E-2</v>
      </c>
      <c r="G30" s="193">
        <f>Statement!Q125</f>
        <v>0.13556696550972422</v>
      </c>
      <c r="I30" s="193">
        <f>Statement!AC125</f>
        <v>0.18573545162533595</v>
      </c>
    </row>
    <row r="32" spans="2:9" ht="17" thickBot="1" x14ac:dyDescent="0.25">
      <c r="B32" s="14" t="s">
        <v>347</v>
      </c>
      <c r="C32" s="14"/>
      <c r="D32" s="14"/>
      <c r="E32" s="14"/>
      <c r="F32" s="14"/>
      <c r="G32" s="14"/>
      <c r="I32" s="14"/>
    </row>
    <row r="33" spans="2:9" x14ac:dyDescent="0.2">
      <c r="B33" s="20" t="s">
        <v>119</v>
      </c>
      <c r="C33" s="192">
        <f>C28</f>
        <v>-0.20431339773367801</v>
      </c>
      <c r="D33" s="192">
        <f t="shared" ref="D33:G33" si="1">D28</f>
        <v>-0.12004653397221271</v>
      </c>
      <c r="E33" s="192">
        <f t="shared" si="1"/>
        <v>-3.0419750111515053E-2</v>
      </c>
      <c r="F33" s="192">
        <f t="shared" si="1"/>
        <v>-2.5719740199003933E-2</v>
      </c>
      <c r="G33" s="192">
        <f t="shared" si="1"/>
        <v>8.8805359838953199E-2</v>
      </c>
      <c r="I33" s="192">
        <f>I28</f>
        <v>0.12448204853394841</v>
      </c>
    </row>
    <row r="34" spans="2:9" x14ac:dyDescent="0.2">
      <c r="B34" s="20" t="s">
        <v>121</v>
      </c>
      <c r="C34" s="192">
        <f>C30</f>
        <v>-0.27346966596372269</v>
      </c>
      <c r="D34" s="192">
        <f t="shared" ref="D34:G34" si="2">D30</f>
        <v>-0.17100259457815453</v>
      </c>
      <c r="E34" s="192">
        <f t="shared" si="2"/>
        <v>-4.4582300405631825E-2</v>
      </c>
      <c r="F34" s="192">
        <f t="shared" si="2"/>
        <v>-3.9926057639067224E-2</v>
      </c>
      <c r="G34" s="192">
        <f t="shared" si="2"/>
        <v>0.13556696550972422</v>
      </c>
      <c r="I34" s="192">
        <f>I30</f>
        <v>0.18573545162533595</v>
      </c>
    </row>
    <row r="35" spans="2:9" x14ac:dyDescent="0.2">
      <c r="B35" s="20" t="s">
        <v>122</v>
      </c>
      <c r="C35" s="192">
        <f>Statement!M140</f>
        <v>-13.446770816556612</v>
      </c>
      <c r="D35" s="192">
        <f>Statement!N140</f>
        <v>-2.1723832513114152</v>
      </c>
      <c r="E35" s="192">
        <f>Statement!O140</f>
        <v>-1.2085904425090432</v>
      </c>
      <c r="F35" s="192">
        <f>Statement!P140</f>
        <v>-1.3311034872391121</v>
      </c>
      <c r="G35" s="192">
        <f>Statement!Q140</f>
        <v>0.14438669993971168</v>
      </c>
      <c r="I35" s="192">
        <f>Statement!AC140</f>
        <v>0.28139960185897273</v>
      </c>
    </row>
    <row r="37" spans="2:9" ht="17" thickBot="1" x14ac:dyDescent="0.25">
      <c r="B37" s="14" t="s">
        <v>292</v>
      </c>
      <c r="C37" s="14"/>
      <c r="D37" s="14"/>
      <c r="E37" s="14"/>
      <c r="F37" s="14"/>
      <c r="G37" s="14"/>
      <c r="I37" s="14"/>
    </row>
    <row r="38" spans="2:9" x14ac:dyDescent="0.2">
      <c r="B38" s="20" t="s">
        <v>178</v>
      </c>
      <c r="C38" s="191">
        <f>Statement!M141</f>
        <v>133.69421979440784</v>
      </c>
      <c r="D38" s="191">
        <f>Statement!N141</f>
        <v>152.91140215061483</v>
      </c>
      <c r="E38" s="191">
        <f>Statement!O141</f>
        <v>145.23661159324561</v>
      </c>
      <c r="F38" s="191">
        <f>Statement!P141</f>
        <v>137.8303503480538</v>
      </c>
      <c r="G38" s="191">
        <f>Statement!Q141</f>
        <v>131.6037563052133</v>
      </c>
      <c r="I38" s="191">
        <f>Statement!AC141</f>
        <v>65.13952923483518</v>
      </c>
    </row>
    <row r="39" spans="2:9" x14ac:dyDescent="0.2">
      <c r="B39" s="20" t="s">
        <v>179</v>
      </c>
      <c r="C39" s="191">
        <f>Statement!M142</f>
        <v>0</v>
      </c>
      <c r="D39" s="191">
        <f>Statement!N142</f>
        <v>0</v>
      </c>
      <c r="E39" s="191">
        <f>Statement!O142</f>
        <v>0</v>
      </c>
      <c r="F39" s="191">
        <f>Statement!P142</f>
        <v>0</v>
      </c>
      <c r="G39" s="191">
        <f>Statement!Q142</f>
        <v>0</v>
      </c>
      <c r="I39" s="191">
        <f>Statement!AC142</f>
        <v>0</v>
      </c>
    </row>
    <row r="40" spans="2:9" x14ac:dyDescent="0.2">
      <c r="B40" s="20" t="s">
        <v>180</v>
      </c>
      <c r="C40" s="191">
        <f>Statement!M143</f>
        <v>24.889114574697395</v>
      </c>
      <c r="D40" s="191">
        <f>Statement!N143</f>
        <v>18.023865460341792</v>
      </c>
      <c r="E40" s="191">
        <f>Statement!O143</f>
        <v>6.4216481901145333</v>
      </c>
      <c r="F40" s="191">
        <f>Statement!P143</f>
        <v>49.039734026613537</v>
      </c>
      <c r="G40" s="191">
        <f>Statement!Q143</f>
        <v>13.686287751306349</v>
      </c>
      <c r="I40" s="191">
        <f>Statement!AC143</f>
        <v>20.038033450786315</v>
      </c>
    </row>
    <row r="41" spans="2:9" x14ac:dyDescent="0.2">
      <c r="B41" s="20" t="s">
        <v>181</v>
      </c>
      <c r="C41" s="191">
        <f>Statement!M144</f>
        <v>108.80510521971044</v>
      </c>
      <c r="D41" s="191">
        <f>Statement!N144</f>
        <v>134.88753669027304</v>
      </c>
      <c r="E41" s="191">
        <f>Statement!O144</f>
        <v>138.81496340313109</v>
      </c>
      <c r="F41" s="191">
        <f>Statement!P144</f>
        <v>88.790616321440268</v>
      </c>
      <c r="G41" s="191">
        <f>Statement!Q144</f>
        <v>117.91746855390694</v>
      </c>
      <c r="I41" s="191">
        <f>Statement!AC144</f>
        <v>45.101495784048865</v>
      </c>
    </row>
    <row r="43" spans="2:9" ht="17" thickBot="1" x14ac:dyDescent="0.25">
      <c r="B43" s="14" t="s">
        <v>298</v>
      </c>
      <c r="C43" s="14"/>
      <c r="D43" s="14"/>
      <c r="E43" s="14"/>
      <c r="F43" s="14"/>
      <c r="G43" s="14"/>
      <c r="I43" s="14"/>
    </row>
    <row r="44" spans="2:9" x14ac:dyDescent="0.2">
      <c r="B44" s="20" t="s">
        <v>299</v>
      </c>
      <c r="C44" s="197">
        <f>Statement!M145</f>
        <v>0</v>
      </c>
      <c r="D44" s="197">
        <f>Statement!N145</f>
        <v>0</v>
      </c>
      <c r="E44" s="197">
        <f>Statement!O145</f>
        <v>0</v>
      </c>
      <c r="F44" s="197">
        <f>Statement!P145</f>
        <v>0</v>
      </c>
      <c r="G44" s="197">
        <f>Statement!Q145</f>
        <v>0</v>
      </c>
      <c r="I44" s="197">
        <f>Statement!AC145</f>
        <v>0</v>
      </c>
    </row>
    <row r="45" spans="2:9" x14ac:dyDescent="0.2">
      <c r="B45" s="20" t="s">
        <v>300</v>
      </c>
      <c r="C45" s="197">
        <f>Statement!M146</f>
        <v>-0.98061622848437269</v>
      </c>
      <c r="D45" s="197">
        <f>Statement!N146</f>
        <v>-0.91650530841732814</v>
      </c>
      <c r="E45" s="197">
        <f>Statement!O146</f>
        <v>-0.93239915996813671</v>
      </c>
      <c r="F45" s="197">
        <f>Statement!P146</f>
        <v>-0.93383166410403939</v>
      </c>
      <c r="G45" s="197">
        <f>Statement!Q146</f>
        <v>-0.81123909829457308</v>
      </c>
      <c r="I45" s="197">
        <f>Statement!AC146</f>
        <v>-0.72106144514564929</v>
      </c>
    </row>
    <row r="46" spans="2:9" x14ac:dyDescent="0.2">
      <c r="B46" s="20" t="s">
        <v>294</v>
      </c>
      <c r="C46" s="197">
        <f>Statement!M147</f>
        <v>4.192374990758311</v>
      </c>
      <c r="D46" s="197">
        <f>Statement!N147</f>
        <v>3.5171282077477604</v>
      </c>
      <c r="E46" s="197">
        <f>Statement!O147</f>
        <v>3.3726940484002186</v>
      </c>
      <c r="F46" s="197">
        <f>Statement!P147</f>
        <v>2.833196064687328</v>
      </c>
      <c r="G46" s="197">
        <f>Statement!Q147</f>
        <v>2.5073153653043936</v>
      </c>
      <c r="I46" s="197">
        <f>Statement!AC147</f>
        <v>2.1209291205537757</v>
      </c>
    </row>
    <row r="47" spans="2:9" x14ac:dyDescent="0.2">
      <c r="B47" s="20" t="s">
        <v>295</v>
      </c>
      <c r="C47" s="197">
        <f>Statement!M148</f>
        <v>4.3171501096680389</v>
      </c>
      <c r="D47" s="197">
        <f>Statement!N148</f>
        <v>3.7423569563190795</v>
      </c>
      <c r="E47" s="197">
        <f>Statement!O148</f>
        <v>3.6257476910625539</v>
      </c>
      <c r="F47" s="197">
        <f>Statement!P148</f>
        <v>2.9271504030441093</v>
      </c>
      <c r="G47" s="197">
        <f>Statement!Q148</f>
        <v>2.4783388537733191</v>
      </c>
      <c r="I47" s="197">
        <f>Statement!AC148</f>
        <v>2.386634756174606</v>
      </c>
    </row>
    <row r="48" spans="2:9" x14ac:dyDescent="0.2">
      <c r="B48" s="20" t="s">
        <v>301</v>
      </c>
      <c r="C48" s="199" t="str">
        <f>Statement!M149</f>
        <v>N/A</v>
      </c>
      <c r="D48" s="199" t="str">
        <f>Statement!N149</f>
        <v>N/A</v>
      </c>
      <c r="E48" s="199" t="str">
        <f>Statement!O149</f>
        <v>N/A</v>
      </c>
      <c r="F48" s="199" t="str">
        <f>Statement!P149</f>
        <v>N/A</v>
      </c>
      <c r="G48" s="199" t="str">
        <f>Statement!Q149</f>
        <v>N/A</v>
      </c>
      <c r="I48" s="199" t="str">
        <f>Statement!AC149</f>
        <v>N/A</v>
      </c>
    </row>
    <row r="50" spans="2:9" ht="17" thickBot="1" x14ac:dyDescent="0.25">
      <c r="B50" s="14" t="s">
        <v>310</v>
      </c>
      <c r="C50" s="14"/>
      <c r="D50" s="14"/>
      <c r="E50" s="14"/>
      <c r="F50" s="14"/>
      <c r="G50" s="14"/>
      <c r="I50" s="14"/>
    </row>
    <row r="51" spans="2:9" x14ac:dyDescent="0.2">
      <c r="B51" s="20" t="s">
        <v>308</v>
      </c>
      <c r="C51" s="192">
        <f>Statement!M162</f>
        <v>-3.4699371821717021E-2</v>
      </c>
      <c r="D51" s="192">
        <f>Statement!N162</f>
        <v>-4.1180507892930679E-2</v>
      </c>
      <c r="E51" s="192">
        <f>Statement!O162</f>
        <v>-6.7085953878406705E-3</v>
      </c>
      <c r="F51" s="192">
        <f>Statement!P162</f>
        <v>-8.9163237311385458E-3</v>
      </c>
      <c r="G51" s="192">
        <f>Statement!Q162</f>
        <v>4.1302621127879274E-2</v>
      </c>
      <c r="I51" s="192">
        <f ca="1">Statement!AC162</f>
        <v>5.0281425891182001E-2</v>
      </c>
    </row>
    <row r="52" spans="2:9" x14ac:dyDescent="0.2">
      <c r="B52" s="20" t="s">
        <v>311</v>
      </c>
      <c r="C52" s="192">
        <f>Statement!M161</f>
        <v>-3.2136350340421331E-2</v>
      </c>
      <c r="D52" s="192">
        <f>Statement!N161</f>
        <v>-4.9698749076467263E-2</v>
      </c>
      <c r="E52" s="192">
        <f>Statement!O161</f>
        <v>-5.9107830031523813E-3</v>
      </c>
      <c r="F52" s="192">
        <f>Statement!P161</f>
        <v>-6.5303464037043202E-3</v>
      </c>
      <c r="G52" s="192">
        <f>Statement!Q161</f>
        <v>9.2028530287292954E-3</v>
      </c>
      <c r="I52" s="192">
        <f ca="1">Statement!AC161</f>
        <v>1.8367866292418194E-2</v>
      </c>
    </row>
    <row r="53" spans="2:9" x14ac:dyDescent="0.2">
      <c r="B53" s="20" t="s">
        <v>309</v>
      </c>
      <c r="C53" s="192">
        <f>Statement!M163</f>
        <v>0</v>
      </c>
      <c r="D53" s="192">
        <f>Statement!N163</f>
        <v>0</v>
      </c>
      <c r="E53" s="192">
        <f>Statement!O163</f>
        <v>0</v>
      </c>
      <c r="F53" s="192">
        <f>Statement!P163</f>
        <v>0</v>
      </c>
      <c r="G53" s="192">
        <f>Statement!Q163</f>
        <v>0</v>
      </c>
      <c r="I53" s="192">
        <f ca="1">Statement!AC163</f>
        <v>0</v>
      </c>
    </row>
    <row r="54" spans="2:9" x14ac:dyDescent="0.2">
      <c r="B54" s="20" t="s">
        <v>334</v>
      </c>
      <c r="C54" s="192">
        <f>Statement!M164</f>
        <v>0</v>
      </c>
      <c r="D54" s="192">
        <f>Statement!N164</f>
        <v>0</v>
      </c>
      <c r="E54" s="192">
        <f>Statement!O164</f>
        <v>7.5613663014209515E-3</v>
      </c>
      <c r="F54" s="192">
        <f>Statement!P164</f>
        <v>4.8596228981581578E-2</v>
      </c>
      <c r="G54" s="192">
        <f>Statement!Q164</f>
        <v>4.9259451802222368E-2</v>
      </c>
      <c r="I54" s="192">
        <f ca="1">Statement!AC164</f>
        <v>3.8423488479905288E-2</v>
      </c>
    </row>
    <row r="55" spans="2:9" x14ac:dyDescent="0.2">
      <c r="B55" s="20" t="s">
        <v>336</v>
      </c>
      <c r="C55" s="192">
        <f>Statement!M165</f>
        <v>0</v>
      </c>
      <c r="D55" s="192">
        <f>Statement!N165</f>
        <v>0</v>
      </c>
      <c r="E55" s="192">
        <f>Statement!O165</f>
        <v>7.5613663014209515E-3</v>
      </c>
      <c r="F55" s="192">
        <f>Statement!P165</f>
        <v>4.8596228981581578E-2</v>
      </c>
      <c r="G55" s="192">
        <f>Statement!Q165</f>
        <v>4.9259451802222368E-2</v>
      </c>
      <c r="I55" s="192">
        <f ca="1">Statement!AC165</f>
        <v>3.8423488479905288E-2</v>
      </c>
    </row>
    <row r="57" spans="2:9" ht="17" thickBot="1" x14ac:dyDescent="0.25">
      <c r="B57" s="14" t="s">
        <v>313</v>
      </c>
      <c r="C57" s="14"/>
      <c r="D57" s="14"/>
      <c r="E57" s="14"/>
      <c r="F57" s="14"/>
      <c r="G57" s="14"/>
      <c r="I57" s="14"/>
    </row>
    <row r="58" spans="2:9" x14ac:dyDescent="0.2">
      <c r="B58" s="20" t="s">
        <v>312</v>
      </c>
      <c r="C58" s="192">
        <f>Statement!M168</f>
        <v>0</v>
      </c>
      <c r="D58" s="192">
        <f>Statement!N168</f>
        <v>0</v>
      </c>
      <c r="E58" s="192">
        <f>Statement!O168</f>
        <v>0</v>
      </c>
      <c r="F58" s="192">
        <f>Statement!P168</f>
        <v>0</v>
      </c>
      <c r="G58" s="192">
        <f>Statement!Q168</f>
        <v>0</v>
      </c>
      <c r="I58" s="192">
        <f>Statement!AC168</f>
        <v>0</v>
      </c>
    </row>
    <row r="59" spans="2:9" x14ac:dyDescent="0.2">
      <c r="B59" s="20" t="s">
        <v>314</v>
      </c>
      <c r="C59" s="192">
        <f>Statement!M169</f>
        <v>0</v>
      </c>
      <c r="D59" s="192">
        <f>Statement!N169</f>
        <v>0</v>
      </c>
      <c r="E59" s="192">
        <f>Statement!O169</f>
        <v>-1.2792495169232687</v>
      </c>
      <c r="F59" s="192">
        <f>Statement!P169</f>
        <v>-7.44160048753547</v>
      </c>
      <c r="G59" s="192">
        <f>Statement!Q169</f>
        <v>5.3526283260685705</v>
      </c>
      <c r="I59" s="192">
        <f>Statement!AC169</f>
        <v>2.0918863338941858</v>
      </c>
    </row>
    <row r="60" spans="2:9" x14ac:dyDescent="0.2">
      <c r="B60" s="20" t="s">
        <v>315</v>
      </c>
      <c r="C60" s="192">
        <f>Statement!M170</f>
        <v>0</v>
      </c>
      <c r="D60" s="192">
        <f>Statement!N170</f>
        <v>0</v>
      </c>
      <c r="E60" s="192">
        <f>Statement!O170</f>
        <v>-1.2792495169232687</v>
      </c>
      <c r="F60" s="192">
        <f>Statement!P170</f>
        <v>-7.44160048753547</v>
      </c>
      <c r="G60" s="192">
        <f>Statement!Q170</f>
        <v>5.3526283260685705</v>
      </c>
      <c r="I60" s="192">
        <f>Statement!AC170</f>
        <v>2.0918863338941858</v>
      </c>
    </row>
    <row r="62" spans="2:9" ht="17" thickBot="1" x14ac:dyDescent="0.25">
      <c r="B62" s="14" t="s">
        <v>321</v>
      </c>
      <c r="C62" s="14"/>
      <c r="D62" s="14"/>
      <c r="E62" s="14"/>
      <c r="F62" s="14"/>
      <c r="G62" s="14"/>
      <c r="I62" s="14"/>
    </row>
    <row r="63" spans="2:9" x14ac:dyDescent="0.2">
      <c r="B63" s="20" t="s">
        <v>319</v>
      </c>
      <c r="C63" s="192">
        <f>Statement!M171</f>
        <v>0.32041292188722126</v>
      </c>
      <c r="D63" s="192">
        <f>Statement!N171</f>
        <v>0.31207180184527727</v>
      </c>
      <c r="E63" s="192">
        <f>Statement!O171</f>
        <v>0.22510733498180183</v>
      </c>
      <c r="F63" s="192">
        <f>Statement!P171</f>
        <v>0.22494029842627195</v>
      </c>
      <c r="G63" s="192">
        <f>Statement!Q171</f>
        <v>0.22012147206199109</v>
      </c>
      <c r="I63" s="192">
        <f>Statement!AC171</f>
        <v>0.2226990648503856</v>
      </c>
    </row>
    <row r="65" spans="2:9" ht="17" thickBot="1" x14ac:dyDescent="0.25">
      <c r="B65" s="14" t="s">
        <v>327</v>
      </c>
      <c r="C65" s="14"/>
      <c r="D65" s="14"/>
      <c r="E65" s="14"/>
      <c r="F65" s="14"/>
      <c r="G65" s="14"/>
      <c r="I65" s="14"/>
    </row>
    <row r="66" spans="2:9" x14ac:dyDescent="0.2">
      <c r="B66" s="20" t="s">
        <v>320</v>
      </c>
      <c r="C66" s="191">
        <f>Statement!M172</f>
        <v>3.4766735290211184</v>
      </c>
      <c r="D66" s="191">
        <f>Statement!N172</f>
        <v>3.157090755135687</v>
      </c>
      <c r="E66" s="191">
        <f>Statement!O172</f>
        <v>3.3036556282545391</v>
      </c>
      <c r="F66" s="191">
        <f>Statement!P172</f>
        <v>3.125390530795495</v>
      </c>
      <c r="G66" s="191">
        <f>Statement!Q172</f>
        <v>3.224670847950649</v>
      </c>
      <c r="I66" s="191">
        <f>Statement!AC172</f>
        <v>2.6959777878408766</v>
      </c>
    </row>
    <row r="67" spans="2:9" x14ac:dyDescent="0.2">
      <c r="B67" s="20" t="s">
        <v>328</v>
      </c>
      <c r="C67" s="191">
        <f>Statement!M175</f>
        <v>3.4766735290211184</v>
      </c>
      <c r="D67" s="191">
        <f>Statement!N175</f>
        <v>3.157090755135687</v>
      </c>
      <c r="E67" s="191">
        <f>Statement!O175</f>
        <v>3.3036556282545391</v>
      </c>
      <c r="F67" s="191">
        <f>Statement!P175</f>
        <v>3.125390530795495</v>
      </c>
      <c r="G67" s="191">
        <f>Statement!Q175</f>
        <v>3.224670847950649</v>
      </c>
      <c r="I67" s="191">
        <f>Statement!AC175</f>
        <v>2.6959777878408766</v>
      </c>
    </row>
    <row r="68" spans="2:9" x14ac:dyDescent="0.2">
      <c r="B68" s="20" t="s">
        <v>333</v>
      </c>
      <c r="C68" s="213">
        <f>Statement!M176</f>
        <v>0.10399860990191799</v>
      </c>
      <c r="D68" s="213">
        <f>Statement!N176</f>
        <v>0.21668433460093939</v>
      </c>
      <c r="E68" s="213">
        <f>Statement!O176</f>
        <v>0.1385180556920142</v>
      </c>
      <c r="F68" s="213">
        <f>Statement!P176</f>
        <v>0.21436149045236591</v>
      </c>
      <c r="G68" s="213">
        <f>Statement!Q176</f>
        <v>0.25287878673419845</v>
      </c>
      <c r="I68" s="213">
        <f ca="1">Statement!AC176</f>
        <v>0.20102909685225334</v>
      </c>
    </row>
    <row r="70" spans="2:9" ht="17" thickBot="1" x14ac:dyDescent="0.25">
      <c r="B70" s="14" t="s">
        <v>348</v>
      </c>
      <c r="C70" s="14"/>
      <c r="D70" s="14"/>
      <c r="E70" s="14"/>
      <c r="F70" s="14"/>
      <c r="G70" s="14"/>
      <c r="I70" s="14"/>
    </row>
    <row r="71" spans="2:9" x14ac:dyDescent="0.2">
      <c r="B71" s="20" t="s">
        <v>322</v>
      </c>
      <c r="C71" s="192">
        <f>Statement!M173</f>
        <v>-9.3805469133780903</v>
      </c>
      <c r="D71" s="192">
        <f>Statement!N173</f>
        <v>-37.054403366396151</v>
      </c>
      <c r="E71" s="192">
        <f>Statement!O173</f>
        <v>1.243655586093446</v>
      </c>
      <c r="F71" s="192">
        <f>Statement!P173</f>
        <v>1.1172492318250589</v>
      </c>
      <c r="G71" s="192">
        <f>Statement!Q173</f>
        <v>0.78305424452059225</v>
      </c>
      <c r="I71" s="192">
        <f>Statement!AC173</f>
        <v>0.62848898581632484</v>
      </c>
    </row>
    <row r="72" spans="2:9" x14ac:dyDescent="0.2">
      <c r="B72" s="20" t="s">
        <v>323</v>
      </c>
      <c r="C72" s="192">
        <f>Statement!M174</f>
        <v>0.57784459995606618</v>
      </c>
      <c r="D72" s="192">
        <f>Statement!N174</f>
        <v>0.3493733592422309</v>
      </c>
      <c r="E72" s="192">
        <f>Statement!O174</f>
        <v>0.28435361356255617</v>
      </c>
      <c r="F72" s="192">
        <f>Statement!P174</f>
        <v>0.25051410681111086</v>
      </c>
      <c r="G72" s="192">
        <f>Statement!Q174</f>
        <v>0.18047997854178516</v>
      </c>
      <c r="I72" s="192">
        <f>Statement!AC174</f>
        <v>0.1363163026815693</v>
      </c>
    </row>
    <row r="74" spans="2:9" ht="17" thickBot="1" x14ac:dyDescent="0.25">
      <c r="B74" s="14" t="s">
        <v>349</v>
      </c>
      <c r="C74" s="14"/>
      <c r="D74" s="14"/>
      <c r="E74" s="14"/>
      <c r="F74" s="14"/>
      <c r="G74" s="14"/>
      <c r="I74" s="14"/>
    </row>
    <row r="75" spans="2:9" x14ac:dyDescent="0.2">
      <c r="B75" s="20" t="s">
        <v>346</v>
      </c>
      <c r="C75" s="192">
        <f>Statement!M177</f>
        <v>1.325746537973577E-2</v>
      </c>
      <c r="D75" s="192">
        <f>Statement!N177</f>
        <v>2.2497097529617479E-2</v>
      </c>
      <c r="E75" s="192">
        <f>Statement!O177</f>
        <v>5.6128408833764501E-3</v>
      </c>
      <c r="F75" s="192">
        <f>Statement!P177</f>
        <v>1.0438116928173332E-2</v>
      </c>
      <c r="G75" s="192">
        <f>Statement!Q177</f>
        <v>1.1826854061786744E-2</v>
      </c>
      <c r="I75" s="192">
        <f>Statement!AC177</f>
        <v>5.9789941994051804E-3</v>
      </c>
    </row>
    <row r="76" spans="2:9" x14ac:dyDescent="0.2">
      <c r="B76" s="20" t="s">
        <v>343</v>
      </c>
      <c r="C76" s="192">
        <f>Statement!M178</f>
        <v>-0.21521750996124667</v>
      </c>
      <c r="D76" s="192">
        <f>Statement!N178</f>
        <v>-2.3860334635808034</v>
      </c>
      <c r="E76" s="192">
        <f>Statement!O178</f>
        <v>2.4548451595214689E-2</v>
      </c>
      <c r="F76" s="192">
        <f>Statement!P178</f>
        <v>4.6552181304883568E-2</v>
      </c>
      <c r="G76" s="192">
        <f>Statement!Q178</f>
        <v>5.1313549276955236E-2</v>
      </c>
      <c r="I76" s="192">
        <f>Statement!AC178</f>
        <v>2.7566269966724358E-2</v>
      </c>
    </row>
    <row r="77" spans="2:9" x14ac:dyDescent="0.2">
      <c r="B77" s="20" t="s">
        <v>344</v>
      </c>
      <c r="C77" s="192">
        <f>Statement!M179</f>
        <v>0.80442026521591292</v>
      </c>
      <c r="D77" s="192">
        <f>Statement!N179</f>
        <v>1.2719649628798804</v>
      </c>
      <c r="E77" s="192">
        <f>Statement!O179</f>
        <v>0.32491038633446917</v>
      </c>
      <c r="F77" s="192">
        <f>Statement!P179</f>
        <v>0.86600510677808729</v>
      </c>
      <c r="G77" s="192">
        <f>Statement!Q179</f>
        <v>1.1225175319700631</v>
      </c>
      <c r="I77" s="192">
        <f>Statement!AC179</f>
        <v>0.39573076923076922</v>
      </c>
    </row>
    <row r="79" spans="2:9" ht="17" thickBot="1" x14ac:dyDescent="0.25">
      <c r="B79" s="14" t="s">
        <v>144</v>
      </c>
      <c r="C79" s="14"/>
      <c r="D79" s="14"/>
      <c r="E79" s="14"/>
      <c r="F79" s="14"/>
      <c r="G79" s="14"/>
      <c r="I79" s="14"/>
    </row>
    <row r="80" spans="2:9" x14ac:dyDescent="0.2">
      <c r="B80" s="20" t="s">
        <v>20</v>
      </c>
      <c r="C80" s="192">
        <f>Statement!M89</f>
        <v>1</v>
      </c>
      <c r="D80" s="192">
        <f>Statement!N89</f>
        <v>0.18641482451146088</v>
      </c>
      <c r="E80" s="192">
        <f>Statement!O89</f>
        <v>0.23568437370404344</v>
      </c>
      <c r="F80" s="192">
        <f>Statement!P89</f>
        <v>9.2955127852289474E-2</v>
      </c>
      <c r="G80" s="192">
        <f>Statement!Q89</f>
        <v>0.12653882310808692</v>
      </c>
      <c r="I80" s="214"/>
    </row>
    <row r="81" spans="2:9" x14ac:dyDescent="0.2">
      <c r="B81" s="20" t="s">
        <v>21</v>
      </c>
      <c r="C81" s="192">
        <f>Statement!M90</f>
        <v>1</v>
      </c>
      <c r="D81" s="192">
        <f>Statement!N90</f>
        <v>6.6223322358291689E-2</v>
      </c>
      <c r="E81" s="192">
        <f>Statement!O90</f>
        <v>8.8158355132712404E-2</v>
      </c>
      <c r="F81" s="192">
        <f>Statement!P90</f>
        <v>0.26039688858945303</v>
      </c>
      <c r="G81" s="192">
        <f>Statement!Q90</f>
        <v>9.7358893991301598E-2</v>
      </c>
      <c r="I81" s="214"/>
    </row>
    <row r="82" spans="2:9" x14ac:dyDescent="0.2">
      <c r="B82" s="20" t="s">
        <v>22</v>
      </c>
      <c r="C82" s="192">
        <f>Statement!M91</f>
        <v>1</v>
      </c>
      <c r="D82" s="192">
        <f>Statement!N91</f>
        <v>0.21447253464273469</v>
      </c>
      <c r="E82" s="192">
        <f>Statement!O91</f>
        <v>0.26591920594629664</v>
      </c>
      <c r="F82" s="192">
        <f>Statement!P91</f>
        <v>6.3457381571517466E-2</v>
      </c>
      <c r="G82" s="192">
        <f>Statement!Q91</f>
        <v>0.13263133686529885</v>
      </c>
      <c r="I82" s="214"/>
    </row>
    <row r="83" spans="2:9" x14ac:dyDescent="0.2">
      <c r="B83" s="20" t="s">
        <v>26</v>
      </c>
      <c r="C83" s="192">
        <f>Statement!M95</f>
        <v>1</v>
      </c>
      <c r="D83" s="192">
        <f>Statement!N95</f>
        <v>2.0280479935964979E-3</v>
      </c>
      <c r="E83" s="192">
        <f>Statement!O95</f>
        <v>4.080083924770931E-2</v>
      </c>
      <c r="F83" s="192">
        <f>Statement!P95</f>
        <v>5.3586588433573397E-2</v>
      </c>
      <c r="G83" s="192">
        <f>Statement!Q95</f>
        <v>-4.6430846560335276E-2</v>
      </c>
      <c r="I83" s="214"/>
    </row>
    <row r="84" spans="2:9" x14ac:dyDescent="0.2">
      <c r="B84" s="20" t="s">
        <v>350</v>
      </c>
      <c r="C84" s="192">
        <f>Statement!M96</f>
        <v>-1</v>
      </c>
      <c r="D84" s="192">
        <f>Statement!N96</f>
        <v>0.3047494141085067</v>
      </c>
      <c r="E84" s="192">
        <f>Statement!O96</f>
        <v>0.52705127726590162</v>
      </c>
      <c r="F84" s="192">
        <f>Statement!P96</f>
        <v>1.3058523555123847E-2</v>
      </c>
      <c r="G84" s="192">
        <f>Statement!Q96</f>
        <v>1.3491440557547871</v>
      </c>
      <c r="I84" s="214"/>
    </row>
    <row r="85" spans="2:9" x14ac:dyDescent="0.2">
      <c r="B85" s="20" t="s">
        <v>351</v>
      </c>
      <c r="C85" s="192">
        <f>Statement!M98</f>
        <v>-1</v>
      </c>
      <c r="D85" s="192">
        <f>Statement!N98</f>
        <v>0.37526494236908897</v>
      </c>
      <c r="E85" s="192">
        <f>Statement!O98</f>
        <v>0.72626023292076791</v>
      </c>
      <c r="F85" s="192">
        <f>Statement!P98</f>
        <v>0.18011192327803924</v>
      </c>
      <c r="G85" s="192">
        <f>Statement!Q98</f>
        <v>4.8311124379189625</v>
      </c>
      <c r="I85" s="214"/>
    </row>
    <row r="88" spans="2:9" ht="17" thickBot="1" x14ac:dyDescent="0.25">
      <c r="B88" s="14" t="s">
        <v>352</v>
      </c>
      <c r="C88" s="14"/>
      <c r="D88" s="14"/>
      <c r="E88" s="14"/>
      <c r="F88" s="14"/>
      <c r="G88" s="14"/>
      <c r="I88" s="14"/>
    </row>
    <row r="89" spans="2:9" x14ac:dyDescent="0.2">
      <c r="B89" s="20" t="s">
        <v>353</v>
      </c>
      <c r="C89" s="192">
        <f>Statement!M197</f>
        <v>1</v>
      </c>
      <c r="D89" s="192">
        <f>Statement!N197</f>
        <v>3.4084087514825716E-2</v>
      </c>
      <c r="E89" s="192">
        <f>Statement!O197</f>
        <v>0.24818614965570993</v>
      </c>
      <c r="F89" s="192">
        <f>Statement!P197</f>
        <v>-5.5102093364575021E-2</v>
      </c>
      <c r="G89" s="192">
        <f>Statement!Q197</f>
        <v>3.2771752459329104E-2</v>
      </c>
      <c r="I89" s="214"/>
    </row>
    <row r="90" spans="2:9" x14ac:dyDescent="0.2">
      <c r="B90" s="20" t="s">
        <v>354</v>
      </c>
      <c r="C90" s="192">
        <f>Statement!M198</f>
        <v>1</v>
      </c>
      <c r="D90" s="192">
        <f>Statement!N198</f>
        <v>0.37569180272908909</v>
      </c>
      <c r="E90" s="192">
        <f>Statement!O198</f>
        <v>0.27729682030883041</v>
      </c>
      <c r="F90" s="192">
        <f>Statement!P198</f>
        <v>0.23392027917368038</v>
      </c>
      <c r="G90" s="192">
        <f>Statement!Q198</f>
        <v>0.19019336689332336</v>
      </c>
      <c r="I90" s="214"/>
    </row>
    <row r="91" spans="2:9" x14ac:dyDescent="0.2">
      <c r="B91" s="20" t="s">
        <v>355</v>
      </c>
      <c r="C91" s="192">
        <f>Statement!M199</f>
        <v>1</v>
      </c>
      <c r="D91" s="192">
        <f>Statement!N199</f>
        <v>0.26768885199472631</v>
      </c>
      <c r="E91" s="192">
        <f>Statement!O199</f>
        <v>-0.29197642617772812</v>
      </c>
      <c r="F91" s="192">
        <f>Statement!P199</f>
        <v>0.10317719384146673</v>
      </c>
      <c r="G91" s="192">
        <f>Statement!Q199</f>
        <v>0.22564418690666996</v>
      </c>
      <c r="I91" s="214"/>
    </row>
    <row r="93" spans="2:9" ht="17" thickBot="1" x14ac:dyDescent="0.25">
      <c r="B93" s="14" t="s">
        <v>357</v>
      </c>
      <c r="C93" s="14"/>
      <c r="D93" s="14"/>
      <c r="E93" s="14"/>
      <c r="F93" s="14"/>
      <c r="G93" s="14"/>
      <c r="I93" s="14"/>
    </row>
    <row r="94" spans="2:9" x14ac:dyDescent="0.2">
      <c r="B94" s="20" t="s">
        <v>326</v>
      </c>
      <c r="C94" s="192">
        <f>Statement!M203</f>
        <v>0</v>
      </c>
      <c r="D94" s="192">
        <f>Statement!N203</f>
        <v>0</v>
      </c>
      <c r="E94" s="192">
        <f>Statement!O203</f>
        <v>0</v>
      </c>
      <c r="F94" s="192">
        <f>Statement!P203</f>
        <v>0</v>
      </c>
      <c r="G94" s="192">
        <f>Statement!Q203</f>
        <v>0</v>
      </c>
      <c r="I94" s="2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5"/>
  <sheetViews>
    <sheetView topLeftCell="A28" zoomScale="180" workbookViewId="0">
      <selection activeCell="C32" sqref="C32"/>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61" t="s">
        <v>358</v>
      </c>
      <c r="D3" s="262"/>
      <c r="F3" s="263" t="s">
        <v>359</v>
      </c>
      <c r="G3" s="262"/>
    </row>
    <row r="4" spans="2:7" x14ac:dyDescent="0.2">
      <c r="B4" s="8"/>
      <c r="C4" s="10" t="str">
        <f>Statement!Z2</f>
        <v>30.04.2026</v>
      </c>
      <c r="D4" s="220" t="str">
        <f>Statement!AA2</f>
        <v>31.07.2026</v>
      </c>
      <c r="F4" s="221" t="str">
        <f>Statement!W2</f>
        <v>31.07.2025</v>
      </c>
      <c r="G4" s="220" t="str">
        <f>Statement!AA2</f>
        <v>31.07.2026</v>
      </c>
    </row>
    <row r="5" spans="2:7" x14ac:dyDescent="0.2">
      <c r="B5" s="8" t="s">
        <v>364</v>
      </c>
      <c r="C5" s="10" t="str">
        <f>Statement!Z3</f>
        <v>Q1 2027</v>
      </c>
      <c r="D5" s="220" t="str">
        <f>Statement!AA3</f>
        <v>Q2 2027</v>
      </c>
      <c r="F5" s="221" t="str">
        <f>Statement!W3</f>
        <v>Q2 2026</v>
      </c>
      <c r="G5" s="220" t="str">
        <f>Statement!AA3</f>
        <v>Q2 2027</v>
      </c>
    </row>
    <row r="6" spans="2:7" x14ac:dyDescent="0.2">
      <c r="B6" s="222" t="s">
        <v>20</v>
      </c>
      <c r="C6" s="216">
        <f>Statement!Z5</f>
        <v>418382</v>
      </c>
      <c r="D6" s="215">
        <f>Statement!AA5</f>
        <v>410256</v>
      </c>
      <c r="F6" s="216">
        <f>Statement!W5</f>
        <v>361728</v>
      </c>
      <c r="G6" s="215">
        <f>Statement!AA5</f>
        <v>410256</v>
      </c>
    </row>
    <row r="7" spans="2:7" x14ac:dyDescent="0.2">
      <c r="B7" s="223" t="s">
        <v>360</v>
      </c>
      <c r="C7" s="259">
        <f>Statement!AA89</f>
        <v>-1.94224416920422E-2</v>
      </c>
      <c r="D7" s="260"/>
      <c r="F7" s="259">
        <f>IF(F6=0,
IF(G6=0,0,IF(G6&gt;0,1,-1)),
(G6-F6)/ABS(F6)
)</f>
        <v>0.13415605095541402</v>
      </c>
      <c r="G7" s="260"/>
    </row>
    <row r="8" spans="2:7" x14ac:dyDescent="0.2">
      <c r="B8" s="224" t="s">
        <v>21</v>
      </c>
      <c r="C8" s="217">
        <f>Statement!Z6</f>
        <v>76928</v>
      </c>
      <c r="D8" s="215">
        <f>Statement!AA6</f>
        <v>80587</v>
      </c>
      <c r="F8" s="217">
        <f>Statement!W6</f>
        <v>64380</v>
      </c>
      <c r="G8" s="215">
        <f>Statement!AA6</f>
        <v>80587</v>
      </c>
    </row>
    <row r="9" spans="2:7" x14ac:dyDescent="0.2">
      <c r="B9" s="223" t="s">
        <v>360</v>
      </c>
      <c r="C9" s="259">
        <f>Statement!AA90</f>
        <v>4.7563955906821963E-2</v>
      </c>
      <c r="D9" s="260"/>
      <c r="F9" s="259">
        <f>IF(F8=0,
IF(G8=0,0,IF(G8&gt;0,1,-1)),
(G8-F8)/ABS(F8)
)</f>
        <v>0.25173967070518793</v>
      </c>
      <c r="G9" s="260"/>
    </row>
    <row r="10" spans="2:7" x14ac:dyDescent="0.2">
      <c r="B10" s="224" t="s">
        <v>22</v>
      </c>
      <c r="C10" s="217">
        <f>Statement!Z7</f>
        <v>341454</v>
      </c>
      <c r="D10" s="215">
        <f>Statement!AA7</f>
        <v>329669</v>
      </c>
      <c r="F10" s="217">
        <f>Statement!W7</f>
        <v>297348</v>
      </c>
      <c r="G10" s="215">
        <f>Statement!AA7</f>
        <v>329669</v>
      </c>
    </row>
    <row r="11" spans="2:7" x14ac:dyDescent="0.2">
      <c r="B11" s="223" t="s">
        <v>360</v>
      </c>
      <c r="C11" s="259">
        <f>Statement!AA91</f>
        <v>-3.4514165890573843E-2</v>
      </c>
      <c r="D11" s="260"/>
      <c r="F11" s="259">
        <f>IF(F10=0,
IF(G10=0,0,IF(G10&gt;0,1,-1)),
(G10-F10)/ABS(F10)
)</f>
        <v>0.10869755303550049</v>
      </c>
      <c r="G11" s="260"/>
    </row>
    <row r="12" spans="2:7" x14ac:dyDescent="0.2">
      <c r="B12" s="224" t="s">
        <v>26</v>
      </c>
      <c r="C12" s="217">
        <f>Statement!Z11</f>
        <v>313467</v>
      </c>
      <c r="D12" s="215">
        <f>Statement!AA11</f>
        <v>298065</v>
      </c>
      <c r="F12" s="217">
        <f>Statement!W11</f>
        <v>317533</v>
      </c>
      <c r="G12" s="215">
        <f>Statement!AA11</f>
        <v>298065</v>
      </c>
    </row>
    <row r="13" spans="2:7" x14ac:dyDescent="0.2">
      <c r="B13" s="223" t="s">
        <v>360</v>
      </c>
      <c r="C13" s="259">
        <f>Statement!AA95</f>
        <v>-4.9134358640622461E-2</v>
      </c>
      <c r="D13" s="260"/>
      <c r="F13" s="259">
        <f>IF(F12=0,
IF(G12=0,0,IF(G12&gt;0,1,-1)),
(G12-F12)/ABS(F12)
)</f>
        <v>-6.1310163038172411E-2</v>
      </c>
      <c r="G13" s="260"/>
    </row>
    <row r="14" spans="2:7" x14ac:dyDescent="0.2">
      <c r="B14" s="224" t="s">
        <v>361</v>
      </c>
      <c r="C14" s="217">
        <f>Statement!Z12</f>
        <v>27987</v>
      </c>
      <c r="D14" s="215">
        <f>Statement!AA12</f>
        <v>31604</v>
      </c>
      <c r="F14" s="217">
        <f>Statement!W12</f>
        <v>-20185</v>
      </c>
      <c r="G14" s="215">
        <f>Statement!AA12</f>
        <v>31604</v>
      </c>
    </row>
    <row r="15" spans="2:7" x14ac:dyDescent="0.2">
      <c r="B15" s="223" t="s">
        <v>360</v>
      </c>
      <c r="C15" s="259">
        <f>Statement!AA96</f>
        <v>0.12923857505270303</v>
      </c>
      <c r="D15" s="260"/>
      <c r="F15" s="259">
        <f>IF(F14=0,
IF(G14=0,0,IF(G14&gt;0,1,-1)),
(G14-F14)/ABS(F14)
)</f>
        <v>2.5657171166707951</v>
      </c>
      <c r="G15" s="260"/>
    </row>
    <row r="16" spans="2:7" x14ac:dyDescent="0.2">
      <c r="B16" s="224" t="s">
        <v>32</v>
      </c>
      <c r="C16" s="217">
        <f>Statement!Z18</f>
        <v>22525</v>
      </c>
      <c r="D16" s="215">
        <f>Statement!AA18</f>
        <v>36089</v>
      </c>
      <c r="F16" s="217">
        <f>Statement!W18</f>
        <v>1584</v>
      </c>
      <c r="G16" s="215">
        <f>Statement!AA18</f>
        <v>36089</v>
      </c>
    </row>
    <row r="17" spans="2:7" x14ac:dyDescent="0.2">
      <c r="B17" s="223" t="s">
        <v>360</v>
      </c>
      <c r="C17" s="259">
        <f>Statement!AA98</f>
        <v>0.60217536071032185</v>
      </c>
      <c r="D17" s="260"/>
      <c r="F17" s="259">
        <f>IF(F16=0,
IF(G16=0,0,IF(G16&gt;0,1,-1)),
(G16-F16)/ABS(F16)
)</f>
        <v>21.783459595959595</v>
      </c>
      <c r="G17" s="260"/>
    </row>
    <row r="18" spans="2:7" x14ac:dyDescent="0.2">
      <c r="B18" s="224" t="s">
        <v>362</v>
      </c>
      <c r="C18" s="217">
        <f>Statement!Z22</f>
        <v>527818</v>
      </c>
      <c r="D18" s="215">
        <f>Statement!AA22</f>
        <v>523013</v>
      </c>
      <c r="F18" s="217">
        <f>Statement!W22</f>
        <v>542865</v>
      </c>
      <c r="G18" s="215">
        <f>Statement!AA22</f>
        <v>523013</v>
      </c>
    </row>
    <row r="19" spans="2:7" x14ac:dyDescent="0.2">
      <c r="B19" s="223" t="s">
        <v>360</v>
      </c>
      <c r="C19" s="259">
        <f>IF(C18=0,
IF(D18=0,0,IF(D18&gt;0,1,-1)),
(D18-C18)/ABS(C18)
)</f>
        <v>-9.1035167425135184E-3</v>
      </c>
      <c r="D19" s="260"/>
      <c r="F19" s="259">
        <f>IF(F18=0,
IF(G18=0,0,IF(G18&gt;0,1,-1)),
(G18-F18)/ABS(F18)
)</f>
        <v>-3.6568944396857414E-2</v>
      </c>
      <c r="G19" s="260"/>
    </row>
    <row r="20" spans="2:7" x14ac:dyDescent="0.2">
      <c r="B20" s="224" t="s">
        <v>39</v>
      </c>
      <c r="C20" s="218">
        <f>Statement!Z26</f>
        <v>0.04</v>
      </c>
      <c r="D20" s="219">
        <f>Statement!AA26</f>
        <v>7.0000000000000007E-2</v>
      </c>
      <c r="F20" s="218">
        <f>Statement!W26</f>
        <v>0</v>
      </c>
      <c r="G20" s="219">
        <f>Statement!AA26</f>
        <v>7.0000000000000007E-2</v>
      </c>
    </row>
    <row r="21" spans="2:7" x14ac:dyDescent="0.2">
      <c r="B21" s="223" t="s">
        <v>360</v>
      </c>
      <c r="C21" s="259">
        <f>IF(C20=0,
IF(D20=0,0,IF(D20&gt;0,1,-1)),
(D20-C20)/ABS(C20)
)</f>
        <v>0.75000000000000011</v>
      </c>
      <c r="D21" s="260"/>
      <c r="F21" s="259">
        <f>IF(F20=0,
IF(G20=0,0,IF(G20&gt;0,1,-1)),
(G20-F20)/ABS(F20)
)</f>
        <v>1</v>
      </c>
      <c r="G21" s="260"/>
    </row>
    <row r="23" spans="2:7" x14ac:dyDescent="0.2">
      <c r="B23" s="8" t="s">
        <v>363</v>
      </c>
      <c r="C23" s="10" t="str">
        <f>C5</f>
        <v>Q1 2027</v>
      </c>
      <c r="D23" s="220" t="str">
        <f>D5</f>
        <v>Q2 2027</v>
      </c>
      <c r="F23" s="221" t="str">
        <f>F5</f>
        <v>Q2 2026</v>
      </c>
      <c r="G23" s="220" t="str">
        <f>G5</f>
        <v>Q2 2027</v>
      </c>
    </row>
    <row r="24" spans="2:7" x14ac:dyDescent="0.2">
      <c r="B24" s="20" t="s">
        <v>111</v>
      </c>
      <c r="C24" s="217">
        <f>Statement!Z187</f>
        <v>149309</v>
      </c>
      <c r="D24" s="215">
        <f>Statement!AA187</f>
        <v>123843</v>
      </c>
      <c r="F24" s="217">
        <f>Statement!W187</f>
        <v>112161</v>
      </c>
      <c r="G24" s="215">
        <f>Statement!AA187</f>
        <v>123843</v>
      </c>
    </row>
    <row r="25" spans="2:7" x14ac:dyDescent="0.2">
      <c r="B25" s="223" t="s">
        <v>360</v>
      </c>
      <c r="C25" s="259">
        <f>IF(C24=0,
IF(D24=0,0,IF(D24&gt;0,1,-1)),
(D24-C24)/ABS(C24)
)</f>
        <v>-0.17055904198675231</v>
      </c>
      <c r="D25" s="260"/>
      <c r="F25" s="259">
        <f>IF(F24=0,
IF(G24=0,0,IF(G24&gt;0,1,-1)),
(G24-F24)/ABS(F24)
)</f>
        <v>0.10415385026881001</v>
      </c>
      <c r="G25" s="260"/>
    </row>
    <row r="26" spans="2:7" x14ac:dyDescent="0.2">
      <c r="B26" s="20" t="s">
        <v>112</v>
      </c>
      <c r="C26" s="217">
        <f>Statement!Z188</f>
        <v>252903</v>
      </c>
      <c r="D26" s="215">
        <f>Statement!AA188</f>
        <v>266067</v>
      </c>
      <c r="F26" s="217">
        <f>Statement!W188</f>
        <v>238363</v>
      </c>
      <c r="G26" s="215">
        <f>Statement!AA188</f>
        <v>266067</v>
      </c>
    </row>
    <row r="27" spans="2:7" x14ac:dyDescent="0.2">
      <c r="B27" s="223" t="s">
        <v>360</v>
      </c>
      <c r="C27" s="259">
        <f>IF(C26=0,
IF(D26=0,0,IF(D26&gt;0,1,-1)),
(D26-C26)/ABS(C26)
)</f>
        <v>5.20515770868673E-2</v>
      </c>
      <c r="D27" s="260"/>
      <c r="F27" s="259">
        <f>IF(F26=0,
IF(G26=0,0,IF(G26&gt;0,1,-1)),
(G26-F26)/ABS(F26)
)</f>
        <v>0.11622609213678298</v>
      </c>
      <c r="G27" s="260"/>
    </row>
    <row r="28" spans="2:7" x14ac:dyDescent="0.2">
      <c r="B28" s="20" t="s">
        <v>113</v>
      </c>
      <c r="C28" s="217">
        <f>Statement!Z189</f>
        <v>16170</v>
      </c>
      <c r="D28" s="215">
        <f>Statement!AA189</f>
        <v>20346</v>
      </c>
      <c r="F28" s="217">
        <f>Statement!W189</f>
        <v>11204</v>
      </c>
      <c r="G28" s="215">
        <f>Statement!AA189</f>
        <v>20346</v>
      </c>
    </row>
    <row r="29" spans="2:7" x14ac:dyDescent="0.2">
      <c r="B29" s="223" t="s">
        <v>360</v>
      </c>
      <c r="C29" s="259">
        <f>IF(C28=0,
IF(D28=0,0,IF(D28&gt;0,1,-1)),
(D28-C28)/ABS(C28)
)</f>
        <v>0.2582560296846011</v>
      </c>
      <c r="D29" s="260"/>
      <c r="F29" s="259">
        <f>IF(F28=0,
IF(G28=0,0,IF(G28&gt;0,1,-1)),
(G28-F28)/ABS(F28)
)</f>
        <v>0.81595858621920747</v>
      </c>
      <c r="G29" s="260"/>
    </row>
    <row r="31" spans="2:7" x14ac:dyDescent="0.2">
      <c r="B31" s="8" t="s">
        <v>365</v>
      </c>
      <c r="C31" s="10" t="str">
        <f>C5</f>
        <v>Q1 2027</v>
      </c>
      <c r="D31" s="10" t="str">
        <f>D5</f>
        <v>Q2 2027</v>
      </c>
      <c r="F31" s="10" t="str">
        <f>F5</f>
        <v>Q2 2026</v>
      </c>
      <c r="G31" s="10" t="str">
        <f>G5</f>
        <v>Q2 2027</v>
      </c>
    </row>
    <row r="32" spans="2:7" x14ac:dyDescent="0.2">
      <c r="B32" s="20" t="s">
        <v>128</v>
      </c>
      <c r="C32" s="217">
        <f>Statement!Z213</f>
        <v>1901211</v>
      </c>
      <c r="D32" s="217">
        <f>Statement!AA213</f>
        <v>1937722</v>
      </c>
      <c r="F32" s="217">
        <f>Statement!W213</f>
        <v>1723401</v>
      </c>
      <c r="G32" s="215">
        <f>Statement!AA213</f>
        <v>1937722</v>
      </c>
    </row>
    <row r="33" spans="2:7" x14ac:dyDescent="0.2">
      <c r="B33" s="223" t="s">
        <v>360</v>
      </c>
      <c r="C33" s="259">
        <f>IF(C32=0,
IF(D32=0,0,IF(D32&gt;0,1,-1)),
(D32-C32)/ABS(C32)
)</f>
        <v>1.9204075718055491E-2</v>
      </c>
      <c r="D33" s="260"/>
      <c r="F33" s="259">
        <f>IF(F32=0,
IF(G32=0,0,IF(G32&gt;0,1,-1)),
(G32-F32)/ABS(F32)
)</f>
        <v>0.12435933366639569</v>
      </c>
      <c r="G33" s="260"/>
    </row>
    <row r="34" spans="2:7" x14ac:dyDescent="0.2">
      <c r="B34" s="20" t="s">
        <v>132</v>
      </c>
      <c r="C34" s="217">
        <f>Statement!Z217</f>
        <v>2624</v>
      </c>
      <c r="D34" s="217">
        <f>Statement!AA217</f>
        <v>2666</v>
      </c>
      <c r="F34" s="217">
        <f>Statement!W217</f>
        <v>2432</v>
      </c>
      <c r="G34" s="215">
        <f>Statement!AA217</f>
        <v>2666</v>
      </c>
    </row>
    <row r="35" spans="2:7" x14ac:dyDescent="0.2">
      <c r="B35" s="223" t="s">
        <v>360</v>
      </c>
      <c r="C35" s="259">
        <f>IF(C34=0,
IF(D34=0,0,IF(D34&gt;0,1,-1)),
(D34-C34)/ABS(C34)
)</f>
        <v>1.600609756097561E-2</v>
      </c>
      <c r="D35" s="260"/>
      <c r="F35" s="259">
        <f>IF(F34=0,
IF(G34=0,0,IF(G34&gt;0,1,-1)),
(G34-F34)/ABS(F34)
)</f>
        <v>9.6217105263157895E-2</v>
      </c>
      <c r="G35" s="260"/>
    </row>
  </sheetData>
  <mergeCells count="28">
    <mergeCell ref="C3:D3"/>
    <mergeCell ref="F3:G3"/>
    <mergeCell ref="C7:D7"/>
    <mergeCell ref="F7:G7"/>
    <mergeCell ref="C9:D9"/>
    <mergeCell ref="F9:G9"/>
    <mergeCell ref="C11:D11"/>
    <mergeCell ref="F11:G11"/>
    <mergeCell ref="C13:D13"/>
    <mergeCell ref="F13:G13"/>
    <mergeCell ref="C15:D15"/>
    <mergeCell ref="F15:G15"/>
    <mergeCell ref="C17:D17"/>
    <mergeCell ref="F17:G17"/>
    <mergeCell ref="F19:G19"/>
    <mergeCell ref="C19:D19"/>
    <mergeCell ref="C21:D21"/>
    <mergeCell ref="F21:G21"/>
    <mergeCell ref="C33:D33"/>
    <mergeCell ref="F33:G33"/>
    <mergeCell ref="C35:D35"/>
    <mergeCell ref="F35:G35"/>
    <mergeCell ref="C25:D25"/>
    <mergeCell ref="F25:G25"/>
    <mergeCell ref="C27:D27"/>
    <mergeCell ref="F27:G27"/>
    <mergeCell ref="C29:D29"/>
    <mergeCell ref="F29:G29"/>
  </mergeCells>
  <pageMargins left="0.7" right="0.7" top="0.75" bottom="0.75" header="0.3" footer="0.3"/>
  <ignoredErrors>
    <ignoredError sqref="F8 F10 F12 F14 F16 F18 C20 F20 C26 F26 C28 F28 C34 F34"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55:L73"/>
  <sheetViews>
    <sheetView topLeftCell="A11" zoomScale="159" workbookViewId="0">
      <selection activeCell="H71" sqref="H71:L73"/>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f>Statement!L2</f>
        <v>0</v>
      </c>
      <c r="H55" s="10" t="str">
        <f>Statement!M2</f>
        <v>31.01.2022</v>
      </c>
      <c r="I55" s="10" t="str">
        <f>Statement!N2</f>
        <v>31.01.2023</v>
      </c>
      <c r="J55" s="10" t="str">
        <f>Statement!O2</f>
        <v>31.01.2024</v>
      </c>
      <c r="K55" s="10" t="str">
        <f>Statement!P2</f>
        <v>31.01.2025</v>
      </c>
      <c r="L55" s="10" t="str">
        <f>Statement!Q2</f>
        <v>31.01.2026</v>
      </c>
    </row>
    <row r="56" spans="2:12" x14ac:dyDescent="0.2">
      <c r="B56" s="10"/>
      <c r="C56" s="10">
        <f>Statement!H3</f>
        <v>0</v>
      </c>
      <c r="D56" s="10">
        <f>Statement!I3</f>
        <v>0</v>
      </c>
      <c r="E56" s="10">
        <f>Statement!J3</f>
        <v>0</v>
      </c>
      <c r="F56" s="10">
        <f>Statement!K3</f>
        <v>0</v>
      </c>
      <c r="G56" s="10">
        <f>Statement!L3</f>
        <v>0</v>
      </c>
      <c r="H56" s="10">
        <f>Statement!M3</f>
        <v>2022</v>
      </c>
      <c r="I56" s="10">
        <f>Statement!N3</f>
        <v>2023</v>
      </c>
      <c r="J56" s="10">
        <f>Statement!O3</f>
        <v>2024</v>
      </c>
      <c r="K56" s="10">
        <f>Statement!P3</f>
        <v>2025</v>
      </c>
      <c r="L56" s="10">
        <f>Statement!Q3</f>
        <v>2026</v>
      </c>
    </row>
    <row r="57" spans="2:12" x14ac:dyDescent="0.2">
      <c r="B57" s="20" t="s">
        <v>20</v>
      </c>
      <c r="C57" s="64">
        <f>Statement!H5</f>
        <v>0</v>
      </c>
      <c r="D57" s="64">
        <f>Statement!I5</f>
        <v>0</v>
      </c>
      <c r="E57" s="64">
        <f>Statement!J5</f>
        <v>0</v>
      </c>
      <c r="F57" s="64">
        <f>Statement!K5</f>
        <v>0</v>
      </c>
      <c r="G57" s="64">
        <f>Statement!L5</f>
        <v>0</v>
      </c>
      <c r="H57" s="24">
        <f>Statement!M5</f>
        <v>892252</v>
      </c>
      <c r="I57" s="24">
        <f>Statement!N5</f>
        <v>1058581</v>
      </c>
      <c r="J57" s="24">
        <f>Statement!O5</f>
        <v>1308072</v>
      </c>
      <c r="K57" s="24">
        <f>Statement!P5</f>
        <v>1429664</v>
      </c>
      <c r="L57" s="24">
        <f>Statement!Q5</f>
        <v>1610572</v>
      </c>
    </row>
    <row r="58" spans="2:12" x14ac:dyDescent="0.2">
      <c r="B58" s="20" t="s">
        <v>27</v>
      </c>
      <c r="C58" s="64">
        <f>Statement!H12</f>
        <v>0</v>
      </c>
      <c r="D58" s="64">
        <f>Statement!I12</f>
        <v>0</v>
      </c>
      <c r="E58" s="64">
        <f>Statement!J12</f>
        <v>0</v>
      </c>
      <c r="F58" s="64">
        <f>Statement!K12</f>
        <v>0</v>
      </c>
      <c r="G58" s="64">
        <f>Statement!L12</f>
        <v>0</v>
      </c>
      <c r="H58" s="64">
        <f>Statement!M12</f>
        <v>-500946</v>
      </c>
      <c r="I58" s="64">
        <f>Statement!N12</f>
        <v>-348283</v>
      </c>
      <c r="J58" s="64">
        <f>Statement!O12</f>
        <v>-164720</v>
      </c>
      <c r="K58" s="64">
        <f>Statement!P12</f>
        <v>-162569</v>
      </c>
      <c r="L58" s="64">
        <f>Statement!Q12</f>
        <v>56760</v>
      </c>
    </row>
    <row r="59" spans="2:12" x14ac:dyDescent="0.2">
      <c r="B59" s="20" t="s">
        <v>32</v>
      </c>
      <c r="C59" s="64">
        <f>Statement!H18</f>
        <v>0</v>
      </c>
      <c r="D59" s="64">
        <f>Statement!I18</f>
        <v>0</v>
      </c>
      <c r="E59" s="64">
        <f>Statement!J18</f>
        <v>0</v>
      </c>
      <c r="F59" s="64">
        <f>Statement!K18</f>
        <v>0</v>
      </c>
      <c r="G59" s="64">
        <f>Statement!L18</f>
        <v>0</v>
      </c>
      <c r="H59" s="64">
        <f>Statement!M18</f>
        <v>-525586</v>
      </c>
      <c r="I59" s="64">
        <f>Statement!N18</f>
        <v>-328352</v>
      </c>
      <c r="J59" s="64">
        <f>Statement!O18</f>
        <v>-89883</v>
      </c>
      <c r="K59" s="64">
        <f>Statement!P18</f>
        <v>-73694</v>
      </c>
      <c r="L59" s="64">
        <f>Statement!Q18</f>
        <v>282330</v>
      </c>
    </row>
    <row r="60" spans="2:12" x14ac:dyDescent="0.2">
      <c r="B60" s="20" t="s">
        <v>303</v>
      </c>
      <c r="C60" s="64">
        <f>Statement!H157</f>
        <v>0</v>
      </c>
      <c r="D60" s="64">
        <f>Statement!I157</f>
        <v>0</v>
      </c>
      <c r="E60" s="64">
        <f>Statement!J157</f>
        <v>0</v>
      </c>
      <c r="F60" s="64">
        <f>Statement!K157</f>
        <v>0</v>
      </c>
      <c r="G60" s="64">
        <f>Statement!L157</f>
        <v>0</v>
      </c>
      <c r="H60" s="64">
        <f>Statement!M157</f>
        <v>-582375</v>
      </c>
      <c r="I60" s="64">
        <f>Statement!N157</f>
        <v>-403636</v>
      </c>
      <c r="J60" s="64">
        <f>Statement!O157</f>
        <v>-80215</v>
      </c>
      <c r="K60" s="64">
        <f>Statement!P157</f>
        <v>-52509</v>
      </c>
      <c r="L60" s="64">
        <f>Statement!Q157</f>
        <v>61484</v>
      </c>
    </row>
    <row r="61" spans="2:12" x14ac:dyDescent="0.2">
      <c r="B61" s="20" t="s">
        <v>304</v>
      </c>
      <c r="C61" s="64">
        <f>Statement!H158</f>
        <v>0</v>
      </c>
      <c r="D61" s="64">
        <f>Statement!I158</f>
        <v>0</v>
      </c>
      <c r="E61" s="64">
        <f>Statement!J158</f>
        <v>0</v>
      </c>
      <c r="F61" s="64">
        <f>Statement!K158</f>
        <v>0</v>
      </c>
      <c r="G61" s="64">
        <f>Statement!L158</f>
        <v>0</v>
      </c>
      <c r="H61" s="64">
        <f>Statement!M158</f>
        <v>-603972</v>
      </c>
      <c r="I61" s="64">
        <f>Statement!N158</f>
        <v>-500062</v>
      </c>
      <c r="J61" s="64">
        <f>Statement!O158</f>
        <v>-216393</v>
      </c>
      <c r="K61" s="64">
        <f>Statement!P158</f>
        <v>-202032</v>
      </c>
      <c r="L61" s="64">
        <f>Statement!Q158</f>
        <v>-94526</v>
      </c>
    </row>
    <row r="62" spans="2:12" x14ac:dyDescent="0.2">
      <c r="B62" s="20" t="s">
        <v>79</v>
      </c>
      <c r="C62" s="58">
        <f>Statement!H101</f>
        <v>0</v>
      </c>
      <c r="D62" s="58">
        <f>Statement!I101</f>
        <v>0</v>
      </c>
      <c r="E62" s="58">
        <f>Statement!J101</f>
        <v>0</v>
      </c>
      <c r="F62" s="58">
        <f>Statement!K101</f>
        <v>0</v>
      </c>
      <c r="G62" s="58">
        <f>Statement!L101</f>
        <v>0</v>
      </c>
      <c r="H62" s="58">
        <f>Statement!M101</f>
        <v>0.81073956684882742</v>
      </c>
      <c r="I62" s="58">
        <f>Statement!N101</f>
        <v>0.82991287393217905</v>
      </c>
      <c r="J62" s="58">
        <f>Statement!O101</f>
        <v>0.85021925398601916</v>
      </c>
      <c r="K62" s="58">
        <f>Statement!P101</f>
        <v>0.82727270183763457</v>
      </c>
      <c r="L62" s="58">
        <f>Statement!Q101</f>
        <v>0.83174673345867178</v>
      </c>
    </row>
    <row r="63" spans="2:12" x14ac:dyDescent="0.2">
      <c r="B63" s="20" t="s">
        <v>80</v>
      </c>
      <c r="C63" s="58">
        <f>Statement!H102</f>
        <v>0</v>
      </c>
      <c r="D63" s="58">
        <f>Statement!I102</f>
        <v>0</v>
      </c>
      <c r="E63" s="58">
        <f>Statement!J102</f>
        <v>0</v>
      </c>
      <c r="F63" s="58">
        <f>Statement!K102</f>
        <v>0</v>
      </c>
      <c r="G63" s="58">
        <f>Statement!L102</f>
        <v>0</v>
      </c>
      <c r="H63" s="58">
        <f>Statement!M102</f>
        <v>-0.56144004160259653</v>
      </c>
      <c r="I63" s="58">
        <f>Statement!N102</f>
        <v>-0.32900930585377974</v>
      </c>
      <c r="J63" s="58">
        <f>Statement!O102</f>
        <v>-0.12592579001767487</v>
      </c>
      <c r="K63" s="58">
        <f>Statement!P102</f>
        <v>-0.11371133357208407</v>
      </c>
      <c r="L63" s="58">
        <f>Statement!Q102</f>
        <v>3.5242137575966802E-2</v>
      </c>
    </row>
    <row r="64" spans="2:12" x14ac:dyDescent="0.2">
      <c r="B64" s="20" t="s">
        <v>81</v>
      </c>
      <c r="C64" s="58">
        <f>Statement!H103</f>
        <v>0</v>
      </c>
      <c r="D64" s="58">
        <f>Statement!I103</f>
        <v>0</v>
      </c>
      <c r="E64" s="58">
        <f>Statement!J103</f>
        <v>0</v>
      </c>
      <c r="F64" s="58">
        <f>Statement!K103</f>
        <v>0</v>
      </c>
      <c r="G64" s="58">
        <f>Statement!L103</f>
        <v>0</v>
      </c>
      <c r="H64" s="58">
        <f>Statement!M103</f>
        <v>-0.58905555829519018</v>
      </c>
      <c r="I64" s="58">
        <f>Statement!N103</f>
        <v>-0.31018127096556619</v>
      </c>
      <c r="J64" s="58">
        <f>Statement!O103</f>
        <v>-6.8714107480322181E-2</v>
      </c>
      <c r="K64" s="58">
        <f>Statement!P103</f>
        <v>-5.1546377330617545E-2</v>
      </c>
      <c r="L64" s="58">
        <f>Statement!Q103</f>
        <v>0.17529796867199976</v>
      </c>
    </row>
    <row r="65" spans="2:12" x14ac:dyDescent="0.2">
      <c r="B65" s="20" t="s">
        <v>388</v>
      </c>
      <c r="C65" s="64">
        <f>Statement!H187</f>
        <v>0</v>
      </c>
      <c r="D65" s="64">
        <f>Statement!I187</f>
        <v>0</v>
      </c>
      <c r="E65" s="64">
        <f>Statement!J187</f>
        <v>0</v>
      </c>
      <c r="F65" s="64">
        <f>Statement!K187</f>
        <v>0</v>
      </c>
      <c r="G65" s="64">
        <f>Statement!L187</f>
        <v>0</v>
      </c>
      <c r="H65" s="64">
        <f>Statement!M187</f>
        <v>481427</v>
      </c>
      <c r="I65" s="64">
        <f>Statement!N187</f>
        <v>497836</v>
      </c>
      <c r="J65" s="64">
        <f>Statement!O187</f>
        <v>621392</v>
      </c>
      <c r="K65" s="64">
        <f>Statement!P187</f>
        <v>587152</v>
      </c>
      <c r="L65" s="64">
        <f>Statement!Q187</f>
        <v>606394</v>
      </c>
    </row>
    <row r="66" spans="2:12" x14ac:dyDescent="0.2">
      <c r="B66" s="20" t="s">
        <v>389</v>
      </c>
      <c r="C66" s="64">
        <f>Statement!H188</f>
        <v>0</v>
      </c>
      <c r="D66" s="64">
        <f>Statement!I188</f>
        <v>0</v>
      </c>
      <c r="E66" s="64">
        <f>Statement!J188</f>
        <v>0</v>
      </c>
      <c r="F66" s="64">
        <f>Statement!K188</f>
        <v>0</v>
      </c>
      <c r="G66" s="64">
        <f>Statement!L188</f>
        <v>0</v>
      </c>
      <c r="H66" s="64">
        <f>Statement!M188</f>
        <v>369867</v>
      </c>
      <c r="I66" s="64">
        <f>Statement!N188</f>
        <v>508823</v>
      </c>
      <c r="J66" s="64">
        <f>Statement!O188</f>
        <v>649918</v>
      </c>
      <c r="K66" s="64">
        <f>Statement!P188</f>
        <v>801947</v>
      </c>
      <c r="L66" s="64">
        <f>Statement!Q188</f>
        <v>954472</v>
      </c>
    </row>
    <row r="67" spans="2:12" x14ac:dyDescent="0.2">
      <c r="B67" s="20" t="s">
        <v>390</v>
      </c>
      <c r="C67" s="64">
        <f>Statement!H189</f>
        <v>0</v>
      </c>
      <c r="D67" s="64">
        <f>Statement!I189</f>
        <v>0</v>
      </c>
      <c r="E67" s="64">
        <f>Statement!J189</f>
        <v>0</v>
      </c>
      <c r="F67" s="64">
        <f>Statement!K189</f>
        <v>0</v>
      </c>
      <c r="G67" s="64">
        <f>Statement!L189</f>
        <v>0</v>
      </c>
      <c r="H67" s="64">
        <f>Statement!M189</f>
        <v>40958</v>
      </c>
      <c r="I67" s="64">
        <f>Statement!N189</f>
        <v>51922</v>
      </c>
      <c r="J67" s="64">
        <f>Statement!O189</f>
        <v>36762</v>
      </c>
      <c r="K67" s="64">
        <f>Statement!P189</f>
        <v>40555</v>
      </c>
      <c r="L67" s="64">
        <f>Statement!Q189</f>
        <v>49706</v>
      </c>
    </row>
    <row r="68" spans="2:12" x14ac:dyDescent="0.2">
      <c r="B68" s="20" t="s">
        <v>119</v>
      </c>
      <c r="C68" s="235">
        <f>Statement!H123</f>
        <v>0</v>
      </c>
      <c r="D68" s="235">
        <f>Statement!I123</f>
        <v>0</v>
      </c>
      <c r="E68" s="235">
        <f>Statement!J123</f>
        <v>0</v>
      </c>
      <c r="F68" s="235">
        <f>Statement!K123</f>
        <v>0</v>
      </c>
      <c r="G68" s="235">
        <f>Statement!L123</f>
        <v>0</v>
      </c>
      <c r="H68" s="235">
        <f>Statement!M123</f>
        <v>-0.20431339773367801</v>
      </c>
      <c r="I68" s="235">
        <f>Statement!N123</f>
        <v>-0.12004653397221271</v>
      </c>
      <c r="J68" s="235">
        <f>Statement!O123</f>
        <v>-3.0419750111515053E-2</v>
      </c>
      <c r="K68" s="235">
        <f>Statement!P123</f>
        <v>-2.5719740199003933E-2</v>
      </c>
      <c r="L68" s="235">
        <f>Statement!Q123</f>
        <v>8.8805359838953199E-2</v>
      </c>
    </row>
    <row r="69" spans="2:12" x14ac:dyDescent="0.2">
      <c r="B69" s="20" t="s">
        <v>121</v>
      </c>
      <c r="C69" s="235">
        <f>Statement!H125</f>
        <v>0</v>
      </c>
      <c r="D69" s="235">
        <f>Statement!I125</f>
        <v>0</v>
      </c>
      <c r="E69" s="235">
        <f>Statement!J125</f>
        <v>0</v>
      </c>
      <c r="F69" s="235">
        <f>Statement!K125</f>
        <v>0</v>
      </c>
      <c r="G69" s="235">
        <f>Statement!L125</f>
        <v>0</v>
      </c>
      <c r="H69" s="235">
        <f>Statement!M125</f>
        <v>-0.27346966596372269</v>
      </c>
      <c r="I69" s="235">
        <f>Statement!N125</f>
        <v>-0.17100259457815453</v>
      </c>
      <c r="J69" s="235">
        <f>Statement!O125</f>
        <v>-4.4582300405631825E-2</v>
      </c>
      <c r="K69" s="235">
        <f>Statement!P125</f>
        <v>-3.9926057639067224E-2</v>
      </c>
      <c r="L69" s="235">
        <f>Statement!Q125</f>
        <v>0.13556696550972422</v>
      </c>
    </row>
    <row r="70" spans="2:12" x14ac:dyDescent="0.2">
      <c r="B70" s="20" t="s">
        <v>122</v>
      </c>
      <c r="C70" s="235">
        <f>Statement!H140</f>
        <v>0</v>
      </c>
      <c r="D70" s="235">
        <f>Statement!I140</f>
        <v>0</v>
      </c>
      <c r="E70" s="235">
        <f>Statement!J140</f>
        <v>0</v>
      </c>
      <c r="F70" s="235">
        <f>Statement!K140</f>
        <v>0</v>
      </c>
      <c r="G70" s="235">
        <f>Statement!L140</f>
        <v>0</v>
      </c>
      <c r="H70" s="235">
        <f>Statement!M140</f>
        <v>-13.446770816556612</v>
      </c>
      <c r="I70" s="235">
        <f>Statement!N140</f>
        <v>-2.1723832513114152</v>
      </c>
      <c r="J70" s="235">
        <f>Statement!O140</f>
        <v>-1.2085904425090432</v>
      </c>
      <c r="K70" s="235">
        <f>Statement!P140</f>
        <v>-1.3311034872391121</v>
      </c>
      <c r="L70" s="235">
        <f>Statement!Q140</f>
        <v>0.14438669993971168</v>
      </c>
    </row>
    <row r="71" spans="2:12" x14ac:dyDescent="0.2">
      <c r="B71" s="20" t="s">
        <v>400</v>
      </c>
      <c r="C71" s="244">
        <f>Statement!H207</f>
        <v>0</v>
      </c>
      <c r="D71" s="244">
        <f>Statement!I207</f>
        <v>0</v>
      </c>
      <c r="E71" s="244">
        <f>Statement!J207</f>
        <v>0</v>
      </c>
      <c r="F71" s="244">
        <f>Statement!K207</f>
        <v>0</v>
      </c>
      <c r="G71" s="244">
        <f>Statement!L207</f>
        <v>0</v>
      </c>
      <c r="H71" s="244">
        <f>Statement!M207</f>
        <v>100</v>
      </c>
      <c r="I71" s="244">
        <f>Statement!N207</f>
        <v>43.583607538139404</v>
      </c>
      <c r="J71" s="244">
        <f>Statement!O207</f>
        <v>71.343104995513016</v>
      </c>
      <c r="K71" s="244">
        <f>Statement!P207</f>
        <v>43.613520789709838</v>
      </c>
      <c r="L71" s="244">
        <f>Statement!Q207</f>
        <v>37.660783727191152</v>
      </c>
    </row>
    <row r="72" spans="2:12" x14ac:dyDescent="0.2">
      <c r="B72" s="20" t="s">
        <v>401</v>
      </c>
      <c r="C72" s="244">
        <f>Statement!H208</f>
        <v>0</v>
      </c>
      <c r="D72" s="244">
        <f>Statement!I208</f>
        <v>0</v>
      </c>
      <c r="E72" s="244">
        <f>Statement!J208</f>
        <v>0</v>
      </c>
      <c r="F72" s="244">
        <f>Statement!K208</f>
        <v>0</v>
      </c>
      <c r="G72" s="244">
        <f>Statement!L208</f>
        <v>0</v>
      </c>
      <c r="H72" s="244">
        <f>Statement!M208</f>
        <v>100</v>
      </c>
      <c r="I72" s="244">
        <f>Statement!N208</f>
        <v>118.64148245114609</v>
      </c>
      <c r="J72" s="244">
        <f>Statement!O208</f>
        <v>146.60342593796372</v>
      </c>
      <c r="K72" s="244">
        <f>Statement!P208</f>
        <v>160.23096613961079</v>
      </c>
      <c r="L72" s="244">
        <f>Statement!Q208</f>
        <v>180.50640402038886</v>
      </c>
    </row>
    <row r="73" spans="2:12" x14ac:dyDescent="0.2">
      <c r="B73" s="20" t="s">
        <v>402</v>
      </c>
      <c r="C73" s="244">
        <f>Statement!H209</f>
        <v>0</v>
      </c>
      <c r="D73" s="244">
        <f>Statement!I209</f>
        <v>0</v>
      </c>
      <c r="E73" s="244">
        <f>Statement!J209</f>
        <v>0</v>
      </c>
      <c r="F73" s="244">
        <f>Statement!K209</f>
        <v>0</v>
      </c>
      <c r="G73" s="244">
        <f>Statement!L209</f>
        <v>0</v>
      </c>
      <c r="H73" s="244">
        <f>Statement!M209</f>
        <v>100</v>
      </c>
      <c r="I73" s="244">
        <f>Statement!N209</f>
        <v>148.27586206896552</v>
      </c>
      <c r="J73" s="244">
        <f>Statement!O209</f>
        <v>186.20689655172413</v>
      </c>
      <c r="K73" s="244">
        <f>Statement!P209</f>
        <v>188.79310344827584</v>
      </c>
      <c r="L73" s="244">
        <f>Statement!Q209</f>
        <v>244.82758620689654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6"/>
  <sheetViews>
    <sheetView topLeftCell="A25" zoomScale="161" workbookViewId="0">
      <selection activeCell="G32" sqref="G32"/>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31.10.2024</v>
      </c>
      <c r="D55" s="10" t="str">
        <f>Statement!U2</f>
        <v>31.01.2025</v>
      </c>
      <c r="E55" s="10" t="str">
        <f>Statement!V2</f>
        <v>30.04.2025</v>
      </c>
      <c r="F55" s="10" t="str">
        <f>Statement!W2</f>
        <v>31.07.2025</v>
      </c>
      <c r="G55" s="10" t="str">
        <f>Statement!X2</f>
        <v>31.10.2025</v>
      </c>
      <c r="H55" s="10" t="str">
        <f>Statement!Y2</f>
        <v>31.01.2026</v>
      </c>
      <c r="I55" s="10" t="str">
        <f>Statement!Z2</f>
        <v>30.04.2026</v>
      </c>
      <c r="J55" s="10" t="str">
        <f>Statement!AA2</f>
        <v>31.07.2026</v>
      </c>
    </row>
    <row r="56" spans="2:10" x14ac:dyDescent="0.2">
      <c r="B56" s="10"/>
      <c r="C56" s="10" t="str">
        <f>Statement!T3</f>
        <v>Q3 2025</v>
      </c>
      <c r="D56" s="10" t="str">
        <f>Statement!U3</f>
        <v>Q4 2025</v>
      </c>
      <c r="E56" s="10" t="str">
        <f>Statement!V3</f>
        <v>Q1 2026</v>
      </c>
      <c r="F56" s="10" t="str">
        <f>Statement!W3</f>
        <v>Q2 2026</v>
      </c>
      <c r="G56" s="10" t="str">
        <f>Statement!X3</f>
        <v>Q3 2026</v>
      </c>
      <c r="H56" s="10" t="str">
        <f>Statement!Y3</f>
        <v>Q4 2026</v>
      </c>
      <c r="I56" s="10" t="str">
        <f>Statement!Z3</f>
        <v>Q1 2027</v>
      </c>
      <c r="J56" s="10" t="str">
        <f>Statement!AA3</f>
        <v>Q2 2027</v>
      </c>
    </row>
    <row r="57" spans="2:10" x14ac:dyDescent="0.2">
      <c r="B57" s="20" t="s">
        <v>20</v>
      </c>
      <c r="C57" s="64">
        <f>Statement!T5</f>
        <v>354653</v>
      </c>
      <c r="D57" s="64">
        <f>Statement!U5</f>
        <v>423646</v>
      </c>
      <c r="E57" s="64">
        <f>Statement!V5</f>
        <v>356624</v>
      </c>
      <c r="F57" s="64">
        <f>Statement!W5</f>
        <v>361728</v>
      </c>
      <c r="G57" s="64">
        <f>Statement!X5</f>
        <v>411113</v>
      </c>
      <c r="H57" s="64">
        <f>Statement!Y5</f>
        <v>481107</v>
      </c>
      <c r="I57" s="64">
        <f>Statement!Z5</f>
        <v>418382</v>
      </c>
      <c r="J57" s="64">
        <f>Statement!AA5</f>
        <v>410256</v>
      </c>
    </row>
    <row r="58" spans="2:10" x14ac:dyDescent="0.2">
      <c r="B58" s="20" t="s">
        <v>27</v>
      </c>
      <c r="C58" s="64">
        <f>Statement!T12</f>
        <v>-43364</v>
      </c>
      <c r="D58" s="64">
        <f>Statement!U12</f>
        <v>33609</v>
      </c>
      <c r="E58" s="64">
        <f>Statement!V12</f>
        <v>-16412</v>
      </c>
      <c r="F58" s="64">
        <f>Statement!W12</f>
        <v>-20185</v>
      </c>
      <c r="G58" s="64">
        <f>Statement!X12</f>
        <v>13071</v>
      </c>
      <c r="H58" s="64">
        <f>Statement!Y12</f>
        <v>80286</v>
      </c>
      <c r="I58" s="64">
        <f>Statement!Z12</f>
        <v>27987</v>
      </c>
      <c r="J58" s="64">
        <f>Statement!AA12</f>
        <v>31604</v>
      </c>
    </row>
    <row r="59" spans="2:10" x14ac:dyDescent="0.2">
      <c r="B59" s="20" t="s">
        <v>32</v>
      </c>
      <c r="C59" s="64">
        <f>Statement!T18</f>
        <v>-10655</v>
      </c>
      <c r="D59" s="64">
        <f>Statement!U18</f>
        <v>51794</v>
      </c>
      <c r="E59" s="64">
        <f>Statement!V18</f>
        <v>-22555</v>
      </c>
      <c r="F59" s="64">
        <f>Statement!W18</f>
        <v>1584</v>
      </c>
      <c r="G59" s="64">
        <f>Statement!X18</f>
        <v>198839</v>
      </c>
      <c r="H59" s="64">
        <f>Statement!Y18</f>
        <v>104462</v>
      </c>
      <c r="I59" s="64">
        <f>Statement!Z18</f>
        <v>22525</v>
      </c>
      <c r="J59" s="64">
        <f>Statement!AA18</f>
        <v>36089</v>
      </c>
    </row>
    <row r="60" spans="2:10" x14ac:dyDescent="0.2">
      <c r="B60" s="20" t="s">
        <v>79</v>
      </c>
      <c r="C60" s="58">
        <f>Statement!T101</f>
        <v>0.82021017727186851</v>
      </c>
      <c r="D60" s="58">
        <f>Statement!U101</f>
        <v>0.84766998862257636</v>
      </c>
      <c r="E60" s="58">
        <f>Statement!V101</f>
        <v>0.82094026201265202</v>
      </c>
      <c r="F60" s="58">
        <f>Statement!W101</f>
        <v>0.82202096602972397</v>
      </c>
      <c r="G60" s="58">
        <f>Statement!X101</f>
        <v>0.83262022850165285</v>
      </c>
      <c r="H60" s="58">
        <f>Statement!Y101</f>
        <v>0.84632316719565504</v>
      </c>
      <c r="I60" s="58">
        <f>Statement!Z101</f>
        <v>0.81612975701631518</v>
      </c>
      <c r="J60" s="58">
        <f>Statement!AA101</f>
        <v>0.80356899106899105</v>
      </c>
    </row>
    <row r="61" spans="2:10" x14ac:dyDescent="0.2">
      <c r="B61" s="20" t="s">
        <v>80</v>
      </c>
      <c r="C61" s="58">
        <f>Statement!T102</f>
        <v>-0.12227162888795527</v>
      </c>
      <c r="D61" s="58">
        <f>Statement!U102</f>
        <v>7.9332744791642082E-2</v>
      </c>
      <c r="E61" s="58">
        <f>Statement!V102</f>
        <v>-4.602045852214097E-2</v>
      </c>
      <c r="F61" s="58">
        <f>Statement!W102</f>
        <v>-5.5801596779900917E-2</v>
      </c>
      <c r="G61" s="58">
        <f>Statement!X102</f>
        <v>3.1794178242964828E-2</v>
      </c>
      <c r="H61" s="58">
        <f>Statement!Y102</f>
        <v>0.16687763844633313</v>
      </c>
      <c r="I61" s="58">
        <f>Statement!Z102</f>
        <v>6.689341319655244E-2</v>
      </c>
      <c r="J61" s="58">
        <f>Statement!AA102</f>
        <v>7.703482703482703E-2</v>
      </c>
    </row>
    <row r="62" spans="2:10" x14ac:dyDescent="0.2">
      <c r="B62" s="20" t="s">
        <v>81</v>
      </c>
      <c r="C62" s="58">
        <f>Statement!T103</f>
        <v>-3.0043450922450959E-2</v>
      </c>
      <c r="D62" s="58">
        <f>Statement!U103</f>
        <v>0.12225773405154303</v>
      </c>
      <c r="E62" s="58">
        <f>Statement!V103</f>
        <v>-6.3245883619722734E-2</v>
      </c>
      <c r="F62" s="58">
        <f>Statement!W103</f>
        <v>4.3789808917197451E-3</v>
      </c>
      <c r="G62" s="58">
        <f>Statement!X103</f>
        <v>0.48366021020984495</v>
      </c>
      <c r="H62" s="58">
        <f>Statement!Y103</f>
        <v>0.2171284142612766</v>
      </c>
      <c r="I62" s="58">
        <f>Statement!Z103</f>
        <v>5.3838358246769698E-2</v>
      </c>
      <c r="J62" s="58">
        <f>Statement!AA103</f>
        <v>8.7967025467025464E-2</v>
      </c>
    </row>
    <row r="63" spans="2:10" x14ac:dyDescent="0.2">
      <c r="B63" s="20" t="s">
        <v>388</v>
      </c>
      <c r="C63" s="64">
        <f>Statement!T187</f>
        <v>137174</v>
      </c>
      <c r="D63" s="64">
        <f>Statement!U187</f>
        <v>197609</v>
      </c>
      <c r="E63" s="64">
        <f>Statement!V187</f>
        <v>128286</v>
      </c>
      <c r="F63" s="64">
        <f>Statement!W187</f>
        <v>112161</v>
      </c>
      <c r="G63" s="64">
        <f>Statement!X187</f>
        <v>150043</v>
      </c>
      <c r="H63" s="64">
        <f>Statement!Y187</f>
        <v>215904</v>
      </c>
      <c r="I63" s="64">
        <f>Statement!Z187</f>
        <v>149309</v>
      </c>
      <c r="J63" s="64">
        <f>Statement!AA187</f>
        <v>123843</v>
      </c>
    </row>
    <row r="64" spans="2:10" x14ac:dyDescent="0.2">
      <c r="B64" s="20" t="s">
        <v>389</v>
      </c>
      <c r="C64" s="64">
        <f>Statement!T188</f>
        <v>206922</v>
      </c>
      <c r="D64" s="64">
        <f>Statement!U188</f>
        <v>215221</v>
      </c>
      <c r="E64" s="64">
        <f>Statement!V188</f>
        <v>217303</v>
      </c>
      <c r="F64" s="64">
        <f>Statement!W188</f>
        <v>238363</v>
      </c>
      <c r="G64" s="64">
        <f>Statement!X188</f>
        <v>247573</v>
      </c>
      <c r="H64" s="64">
        <f>Statement!Y188</f>
        <v>251233</v>
      </c>
      <c r="I64" s="64">
        <f>Statement!Z188</f>
        <v>252903</v>
      </c>
      <c r="J64" s="64">
        <f>Statement!AA188</f>
        <v>266067</v>
      </c>
    </row>
    <row r="65" spans="2:10" x14ac:dyDescent="0.2">
      <c r="B65" s="20" t="s">
        <v>390</v>
      </c>
      <c r="C65" s="64">
        <f>Statement!T189</f>
        <v>10557</v>
      </c>
      <c r="D65" s="64">
        <f>Statement!U189</f>
        <v>10816</v>
      </c>
      <c r="E65" s="64">
        <f>Statement!V189</f>
        <v>11035</v>
      </c>
      <c r="F65" s="64">
        <f>Statement!W189</f>
        <v>11204</v>
      </c>
      <c r="G65" s="64">
        <f>Statement!X189</f>
        <v>13497</v>
      </c>
      <c r="H65" s="64">
        <f>Statement!Y189</f>
        <v>13970</v>
      </c>
      <c r="I65" s="64">
        <f>Statement!Z189</f>
        <v>16170</v>
      </c>
      <c r="J65" s="64">
        <f>Statement!AA189</f>
        <v>20346</v>
      </c>
    </row>
    <row r="66" spans="2:10" x14ac:dyDescent="0.2">
      <c r="B66" s="20" t="s">
        <v>303</v>
      </c>
      <c r="C66" s="64">
        <f>Statement!T157</f>
        <v>-64293</v>
      </c>
      <c r="D66" s="64">
        <f>Statement!U157</f>
        <v>0</v>
      </c>
      <c r="E66" s="64">
        <f>Statement!V157</f>
        <v>29809</v>
      </c>
      <c r="F66" s="64">
        <f>Statement!W157</f>
        <v>-36419</v>
      </c>
      <c r="G66" s="64">
        <f>Statement!X157</f>
        <v>-46368</v>
      </c>
      <c r="H66" s="64">
        <f>Statement!Y157</f>
        <v>114462</v>
      </c>
      <c r="I66" s="64">
        <f>Statement!Z157</f>
        <v>75934</v>
      </c>
      <c r="J66" s="64">
        <f>Statement!AA157</f>
        <v>-15652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8.33203125" style="1" customWidth="1"/>
    <col min="9" max="16384" width="10.83203125" style="1"/>
  </cols>
  <sheetData>
    <row r="5" spans="2:8" x14ac:dyDescent="0.2">
      <c r="H5" s="153" t="s">
        <v>436</v>
      </c>
    </row>
    <row r="6" spans="2:8" x14ac:dyDescent="0.2">
      <c r="H6" s="253" t="s">
        <v>441</v>
      </c>
    </row>
    <row r="7" spans="2:8" x14ac:dyDescent="0.2">
      <c r="H7" s="253" t="s">
        <v>437</v>
      </c>
    </row>
    <row r="8" spans="2:8" x14ac:dyDescent="0.2">
      <c r="H8" s="253" t="s">
        <v>438</v>
      </c>
    </row>
    <row r="9" spans="2:8" x14ac:dyDescent="0.2">
      <c r="H9" s="253" t="s">
        <v>439</v>
      </c>
    </row>
    <row r="10" spans="2:8" x14ac:dyDescent="0.2">
      <c r="H10" s="254" t="s">
        <v>440</v>
      </c>
    </row>
    <row r="13" spans="2:8" s="4" customFormat="1" ht="49" x14ac:dyDescent="0.2">
      <c r="B13" s="3" t="s">
        <v>133</v>
      </c>
    </row>
  </sheetData>
  <hyperlinks>
    <hyperlink ref="H6" location="Overview!B3" display="Overview'!B3" xr:uid="{AE83799E-225D-604F-9D69-5BFC5A531C5C}"/>
    <hyperlink ref="H8" location="'Analysis -&gt;'!B13" display="'Analysis -&gt;'!B13" xr:uid="{5CDECC07-667D-524A-B7CC-AB9CA3D5B46A}"/>
    <hyperlink ref="H9" location="'Forecast -&gt;'!B13" display="'Forecast -&gt;'!B13" xr:uid="{19DA5A41-6615-CD4E-B92F-034919BDD731}"/>
    <hyperlink ref="H10" location="'Valuation -&gt;'!B13" display="'Valuation -&gt;'!B13" xr:uid="{663BA583-AB34-5642-BA76-DF3C8370ADD6}"/>
    <hyperlink ref="H7" location="'Financials -&gt;'!B13" display="'Financials -&gt;'!B13" xr:uid="{A15FD498-8447-354F-AACB-70FDA2390BC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35"/>
  <sheetViews>
    <sheetView topLeftCell="E7" zoomScale="184" zoomScaleNormal="75" workbookViewId="0">
      <selection activeCell="H27" sqref="H27"/>
    </sheetView>
  </sheetViews>
  <sheetFormatPr baseColWidth="10" defaultRowHeight="16" x14ac:dyDescent="0.2"/>
  <cols>
    <col min="1" max="1" width="2" style="85"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5" customFormat="1" ht="18" customHeight="1" x14ac:dyDescent="0.2">
      <c r="A1" s="4"/>
      <c r="B1" s="84" t="s">
        <v>134</v>
      </c>
      <c r="O1" s="86"/>
    </row>
    <row r="2" spans="1:31" x14ac:dyDescent="0.2">
      <c r="A2" s="4"/>
      <c r="C2" s="258" t="s">
        <v>135</v>
      </c>
      <c r="D2" s="258"/>
      <c r="E2" s="258"/>
      <c r="F2" s="258"/>
      <c r="G2" s="264"/>
      <c r="H2" s="265" t="s">
        <v>136</v>
      </c>
      <c r="I2" s="258"/>
      <c r="J2" s="258"/>
      <c r="K2" s="258"/>
      <c r="L2" s="258"/>
      <c r="O2" s="5"/>
      <c r="S2" s="258" t="s">
        <v>135</v>
      </c>
      <c r="T2" s="258"/>
      <c r="U2" s="258"/>
      <c r="V2" s="258"/>
      <c r="W2" s="258"/>
      <c r="X2" s="258"/>
      <c r="Y2" s="258"/>
      <c r="Z2" s="258"/>
      <c r="AA2" s="258" t="s">
        <v>136</v>
      </c>
      <c r="AB2" s="258"/>
      <c r="AC2" s="258"/>
      <c r="AE2" s="87" t="s">
        <v>137</v>
      </c>
    </row>
    <row r="3" spans="1:31" ht="10" customHeight="1" x14ac:dyDescent="0.2">
      <c r="O3" s="5"/>
    </row>
    <row r="4" spans="1:31" ht="16" customHeight="1" x14ac:dyDescent="0.2">
      <c r="A4" s="88"/>
      <c r="B4" s="60"/>
      <c r="C4" s="266" t="s">
        <v>138</v>
      </c>
      <c r="D4" s="266"/>
      <c r="E4" s="266"/>
      <c r="F4" s="266"/>
      <c r="G4" s="266"/>
      <c r="H4" s="266"/>
      <c r="I4" s="266"/>
      <c r="J4" s="266"/>
      <c r="K4" s="266"/>
      <c r="L4" s="266"/>
      <c r="O4" s="5"/>
      <c r="S4" s="267" t="s">
        <v>138</v>
      </c>
      <c r="T4" s="268"/>
      <c r="U4" s="268"/>
      <c r="V4" s="268"/>
      <c r="W4" s="268"/>
      <c r="X4" s="268"/>
      <c r="Y4" s="268"/>
      <c r="Z4" s="268"/>
      <c r="AA4" s="268"/>
      <c r="AB4" s="268"/>
      <c r="AC4" s="268"/>
      <c r="AE4" s="89"/>
    </row>
    <row r="5" spans="1:31" x14ac:dyDescent="0.2">
      <c r="B5" s="16" t="s">
        <v>139</v>
      </c>
      <c r="C5" s="12">
        <f>Statement!M3</f>
        <v>2022</v>
      </c>
      <c r="D5" s="12">
        <f>Statement!N3</f>
        <v>2023</v>
      </c>
      <c r="E5" s="12">
        <f>Statement!O3</f>
        <v>2024</v>
      </c>
      <c r="F5" s="12">
        <f>Statement!P3</f>
        <v>2025</v>
      </c>
      <c r="G5" s="12">
        <f>Statement!Q3</f>
        <v>2026</v>
      </c>
      <c r="H5" s="12">
        <f>G5+1</f>
        <v>2027</v>
      </c>
      <c r="I5" s="12">
        <f t="shared" ref="I5:L5" si="0">H5+1</f>
        <v>2028</v>
      </c>
      <c r="J5" s="12">
        <f t="shared" si="0"/>
        <v>2029</v>
      </c>
      <c r="K5" s="12">
        <f t="shared" si="0"/>
        <v>2030</v>
      </c>
      <c r="L5" s="12">
        <f t="shared" si="0"/>
        <v>2031</v>
      </c>
      <c r="O5" s="5"/>
      <c r="R5" s="16" t="str">
        <f>B5</f>
        <v>Revenues (thousand)</v>
      </c>
      <c r="S5" s="12" t="str">
        <f>Statement!T3</f>
        <v>Q3 2025</v>
      </c>
      <c r="T5" s="12" t="str">
        <f>Statement!U3</f>
        <v>Q4 2025</v>
      </c>
      <c r="U5" s="12" t="str">
        <f>Statement!V3</f>
        <v>Q1 2026</v>
      </c>
      <c r="V5" s="12" t="str">
        <f>Statement!W3</f>
        <v>Q2 2026</v>
      </c>
      <c r="W5" s="12" t="str">
        <f>Statement!X3</f>
        <v>Q3 2026</v>
      </c>
      <c r="X5" s="12" t="str">
        <f>Statement!Y3</f>
        <v>Q4 2026</v>
      </c>
      <c r="Y5" s="12" t="str">
        <f>Statement!Z3</f>
        <v>Q1 2027</v>
      </c>
      <c r="Z5" s="12" t="str">
        <f>Statement!AA3</f>
        <v>Q2 2027</v>
      </c>
      <c r="AA5" s="12" t="s">
        <v>140</v>
      </c>
      <c r="AB5" s="12" t="s">
        <v>141</v>
      </c>
      <c r="AC5" s="12" t="s">
        <v>142</v>
      </c>
      <c r="AE5" s="8" t="s">
        <v>140</v>
      </c>
    </row>
    <row r="6" spans="1:31" x14ac:dyDescent="0.2">
      <c r="B6" s="1" t="str">
        <f>Statement!B187</f>
        <v>Licenses</v>
      </c>
      <c r="C6" s="90">
        <f>Statement!M187</f>
        <v>481427</v>
      </c>
      <c r="D6" s="90">
        <f>Statement!N187</f>
        <v>497836</v>
      </c>
      <c r="E6" s="90">
        <f>Statement!O187</f>
        <v>621392</v>
      </c>
      <c r="F6" s="90">
        <f>Statement!P187</f>
        <v>587152</v>
      </c>
      <c r="G6" s="91">
        <f>Statement!Q187</f>
        <v>606394</v>
      </c>
      <c r="H6" s="64">
        <f>H9*H29</f>
        <v>626739.39999999991</v>
      </c>
      <c r="I6" s="64">
        <f t="shared" ref="I6:L6" si="1">I9*I29</f>
        <v>642960.25199999998</v>
      </c>
      <c r="J6" s="64">
        <f t="shared" si="1"/>
        <v>663901.01766000001</v>
      </c>
      <c r="K6" s="64">
        <f t="shared" si="1"/>
        <v>690821.44714800012</v>
      </c>
      <c r="L6" s="64">
        <f t="shared" si="1"/>
        <v>692587.68504508818</v>
      </c>
      <c r="N6" s="92" t="s">
        <v>161</v>
      </c>
      <c r="O6" s="5"/>
      <c r="Q6" s="92" t="s">
        <v>161</v>
      </c>
      <c r="R6" s="1" t="str">
        <f>B6</f>
        <v>Licenses</v>
      </c>
      <c r="S6" s="90">
        <f>Statement!T187</f>
        <v>137174</v>
      </c>
      <c r="T6" s="90">
        <f>Statement!U187</f>
        <v>197609</v>
      </c>
      <c r="U6" s="90">
        <f>Statement!V187</f>
        <v>128286</v>
      </c>
      <c r="V6" s="90">
        <f>Statement!W187</f>
        <v>112161</v>
      </c>
      <c r="W6" s="90">
        <f>Statement!X187</f>
        <v>150043</v>
      </c>
      <c r="X6" s="90">
        <f>Statement!Y187</f>
        <v>215904</v>
      </c>
      <c r="Y6" s="90">
        <f>Statement!Z187</f>
        <v>149309</v>
      </c>
      <c r="Z6" s="91">
        <f>Statement!AA187</f>
        <v>123843</v>
      </c>
      <c r="AA6" s="64">
        <f>AA9*AA29</f>
        <v>153538</v>
      </c>
      <c r="AB6" s="64"/>
      <c r="AC6" s="64"/>
      <c r="AE6" s="64">
        <f>SUM(X6:AA6)</f>
        <v>642594</v>
      </c>
    </row>
    <row r="7" spans="1:31" x14ac:dyDescent="0.2">
      <c r="B7" s="1" t="str">
        <f>Statement!B188</f>
        <v>Subscription services</v>
      </c>
      <c r="C7" s="90">
        <f>Statement!M188</f>
        <v>369867</v>
      </c>
      <c r="D7" s="90">
        <f>Statement!N188</f>
        <v>508823</v>
      </c>
      <c r="E7" s="90">
        <f>Statement!O188</f>
        <v>649918</v>
      </c>
      <c r="F7" s="90">
        <f>Statement!P188</f>
        <v>801947</v>
      </c>
      <c r="G7" s="91">
        <f>Statement!Q188</f>
        <v>954472</v>
      </c>
      <c r="H7" s="64">
        <f>H9-H6-H8</f>
        <v>1092317.24</v>
      </c>
      <c r="I7" s="64">
        <f t="shared" ref="I7:L7" si="2">I9-I6-I8</f>
        <v>1241108.1228</v>
      </c>
      <c r="J7" s="64">
        <f t="shared" si="2"/>
        <v>1417749.9151320003</v>
      </c>
      <c r="K7" s="64">
        <f t="shared" si="2"/>
        <v>1552045.5179258403</v>
      </c>
      <c r="L7" s="64">
        <f t="shared" si="2"/>
        <v>1719101.5753797721</v>
      </c>
      <c r="N7" s="92" t="s">
        <v>162</v>
      </c>
      <c r="O7" s="5"/>
      <c r="Q7" s="92" t="s">
        <v>162</v>
      </c>
      <c r="R7" s="1" t="str">
        <f t="shared" ref="R7:R8" si="3">B7</f>
        <v>Subscription services</v>
      </c>
      <c r="S7" s="90">
        <f>Statement!T188</f>
        <v>206922</v>
      </c>
      <c r="T7" s="90">
        <f>Statement!U188</f>
        <v>215221</v>
      </c>
      <c r="U7" s="90">
        <f>Statement!V188</f>
        <v>217303</v>
      </c>
      <c r="V7" s="90">
        <f>Statement!W188</f>
        <v>238363</v>
      </c>
      <c r="W7" s="90">
        <f>Statement!X188</f>
        <v>247573</v>
      </c>
      <c r="X7" s="90">
        <f>Statement!Y188</f>
        <v>251233</v>
      </c>
      <c r="Y7" s="90">
        <f>Statement!Z188</f>
        <v>252903</v>
      </c>
      <c r="Z7" s="91">
        <f>Statement!AA188</f>
        <v>266067</v>
      </c>
      <c r="AA7" s="64">
        <f>AA9-AA6-AA8</f>
        <v>263208</v>
      </c>
      <c r="AB7" s="64"/>
      <c r="AC7" s="64"/>
      <c r="AE7" s="64">
        <f t="shared" ref="AE7:AE8" si="4">SUM(X7:AA7)</f>
        <v>1033411</v>
      </c>
    </row>
    <row r="8" spans="1:31" x14ac:dyDescent="0.2">
      <c r="B8" s="1" t="str">
        <f>Statement!B189</f>
        <v>Professional services</v>
      </c>
      <c r="C8" s="90">
        <f>Statement!M189</f>
        <v>40958</v>
      </c>
      <c r="D8" s="90">
        <f>Statement!N189</f>
        <v>51922</v>
      </c>
      <c r="E8" s="90">
        <f>Statement!O189</f>
        <v>36762</v>
      </c>
      <c r="F8" s="90">
        <f>Statement!P189</f>
        <v>40555</v>
      </c>
      <c r="G8" s="91">
        <f>Statement!Q189</f>
        <v>49706</v>
      </c>
      <c r="H8" s="64">
        <f>H9*H28</f>
        <v>71627.360000000001</v>
      </c>
      <c r="I8" s="64">
        <f t="shared" ref="I8:L8" si="5">I9*I28</f>
        <v>64296.025199999996</v>
      </c>
      <c r="J8" s="64">
        <f t="shared" si="5"/>
        <v>59965.253208000009</v>
      </c>
      <c r="K8" s="64">
        <f t="shared" si="5"/>
        <v>59871.192086160008</v>
      </c>
      <c r="L8" s="64">
        <f t="shared" si="5"/>
        <v>61838.186164740007</v>
      </c>
      <c r="N8" s="92" t="s">
        <v>159</v>
      </c>
      <c r="O8" s="5"/>
      <c r="Q8" s="92" t="s">
        <v>159</v>
      </c>
      <c r="R8" s="1" t="str">
        <f t="shared" si="3"/>
        <v>Professional services</v>
      </c>
      <c r="S8" s="90">
        <f>Statement!T189</f>
        <v>10557</v>
      </c>
      <c r="T8" s="90">
        <f>Statement!U189</f>
        <v>10816</v>
      </c>
      <c r="U8" s="90">
        <f>Statement!V189</f>
        <v>11035</v>
      </c>
      <c r="V8" s="90">
        <f>Statement!W189</f>
        <v>11204</v>
      </c>
      <c r="W8" s="90">
        <f>Statement!X189</f>
        <v>13497</v>
      </c>
      <c r="X8" s="90">
        <f>Statement!Y189</f>
        <v>13970</v>
      </c>
      <c r="Y8" s="90">
        <f>Statement!Z189</f>
        <v>16170</v>
      </c>
      <c r="Z8" s="91">
        <f>Statement!AA189</f>
        <v>20346</v>
      </c>
      <c r="AA8" s="64">
        <f>AA9*AA28</f>
        <v>21934</v>
      </c>
      <c r="AB8" s="64"/>
      <c r="AC8" s="64"/>
      <c r="AE8" s="64">
        <f t="shared" si="4"/>
        <v>72420</v>
      </c>
    </row>
    <row r="9" spans="1:31" x14ac:dyDescent="0.2">
      <c r="B9" s="16" t="s">
        <v>143</v>
      </c>
      <c r="C9" s="94">
        <f>Statement!M5</f>
        <v>892252</v>
      </c>
      <c r="D9" s="94">
        <f>Statement!N5</f>
        <v>1058581</v>
      </c>
      <c r="E9" s="94">
        <f>Statement!O5</f>
        <v>1308072</v>
      </c>
      <c r="F9" s="94">
        <f>Statement!P5</f>
        <v>1429664</v>
      </c>
      <c r="G9" s="95">
        <f>Statement!Q5</f>
        <v>1610572</v>
      </c>
      <c r="H9" s="96">
        <f>H21*H27</f>
        <v>1790684</v>
      </c>
      <c r="I9" s="96">
        <f t="shared" ref="I9:L9" si="6">I21*I27</f>
        <v>1948364.4</v>
      </c>
      <c r="J9" s="96">
        <f t="shared" si="6"/>
        <v>2141616.1860000002</v>
      </c>
      <c r="K9" s="96">
        <f t="shared" si="6"/>
        <v>2302738.1571600004</v>
      </c>
      <c r="L9" s="96">
        <f t="shared" si="6"/>
        <v>2473527.4465896003</v>
      </c>
      <c r="N9" s="1" t="s">
        <v>151</v>
      </c>
      <c r="O9" s="5"/>
      <c r="Q9" s="1" t="s">
        <v>151</v>
      </c>
      <c r="R9" s="16" t="s">
        <v>143</v>
      </c>
      <c r="S9" s="94">
        <f>Statement!T5</f>
        <v>354653</v>
      </c>
      <c r="T9" s="94">
        <f>Statement!U5</f>
        <v>423646</v>
      </c>
      <c r="U9" s="94">
        <f>Statement!V5</f>
        <v>356624</v>
      </c>
      <c r="V9" s="94">
        <f>Statement!W5</f>
        <v>361728</v>
      </c>
      <c r="W9" s="94">
        <f>Statement!X5</f>
        <v>411113</v>
      </c>
      <c r="X9" s="94">
        <f>Statement!Y5</f>
        <v>481107</v>
      </c>
      <c r="Y9" s="94">
        <f>Statement!Z5</f>
        <v>418382</v>
      </c>
      <c r="Z9" s="95">
        <f>Statement!AA5</f>
        <v>410256</v>
      </c>
      <c r="AA9" s="96">
        <f>AA21*AA27</f>
        <v>438680</v>
      </c>
      <c r="AB9" s="96"/>
      <c r="AC9" s="96"/>
      <c r="AE9" s="96">
        <f>SUM(X9:AA9)</f>
        <v>1748425</v>
      </c>
    </row>
    <row r="10" spans="1:31" x14ac:dyDescent="0.2">
      <c r="O10" s="5"/>
      <c r="Q10" s="93"/>
    </row>
    <row r="11" spans="1:31" x14ac:dyDescent="0.2">
      <c r="C11" s="266" t="s">
        <v>144</v>
      </c>
      <c r="D11" s="266"/>
      <c r="E11" s="266"/>
      <c r="F11" s="266"/>
      <c r="G11" s="266"/>
      <c r="H11" s="266"/>
      <c r="I11" s="266"/>
      <c r="J11" s="266"/>
      <c r="K11" s="266"/>
      <c r="L11" s="266"/>
      <c r="O11" s="5"/>
      <c r="Q11" s="93"/>
      <c r="S11" s="267" t="s">
        <v>144</v>
      </c>
      <c r="T11" s="268"/>
      <c r="U11" s="268"/>
      <c r="V11" s="268"/>
      <c r="W11" s="268"/>
      <c r="X11" s="268"/>
      <c r="Y11" s="268"/>
      <c r="Z11" s="268"/>
      <c r="AA11" s="268"/>
      <c r="AB11" s="268"/>
      <c r="AC11" s="268"/>
    </row>
    <row r="12" spans="1:31" x14ac:dyDescent="0.2">
      <c r="B12" s="16" t="s">
        <v>145</v>
      </c>
      <c r="C12" s="12">
        <f t="shared" ref="C12:L12" si="7">C5</f>
        <v>2022</v>
      </c>
      <c r="D12" s="12">
        <f t="shared" si="7"/>
        <v>2023</v>
      </c>
      <c r="E12" s="12">
        <f t="shared" si="7"/>
        <v>2024</v>
      </c>
      <c r="F12" s="12">
        <f t="shared" si="7"/>
        <v>2025</v>
      </c>
      <c r="G12" s="12">
        <f t="shared" si="7"/>
        <v>2026</v>
      </c>
      <c r="H12" s="12">
        <f t="shared" si="7"/>
        <v>2027</v>
      </c>
      <c r="I12" s="12">
        <f t="shared" si="7"/>
        <v>2028</v>
      </c>
      <c r="J12" s="12">
        <f t="shared" si="7"/>
        <v>2029</v>
      </c>
      <c r="K12" s="12">
        <f t="shared" si="7"/>
        <v>2030</v>
      </c>
      <c r="L12" s="12">
        <f t="shared" si="7"/>
        <v>2031</v>
      </c>
      <c r="O12" s="5"/>
      <c r="Q12" s="93"/>
      <c r="R12" s="16" t="s">
        <v>145</v>
      </c>
      <c r="S12" s="12" t="str">
        <f t="shared" ref="S12:AC12" si="8">S5</f>
        <v>Q3 2025</v>
      </c>
      <c r="T12" s="12" t="str">
        <f t="shared" si="8"/>
        <v>Q4 2025</v>
      </c>
      <c r="U12" s="12" t="str">
        <f t="shared" si="8"/>
        <v>Q1 2026</v>
      </c>
      <c r="V12" s="12" t="str">
        <f t="shared" si="8"/>
        <v>Q2 2026</v>
      </c>
      <c r="W12" s="12" t="str">
        <f t="shared" si="8"/>
        <v>Q3 2026</v>
      </c>
      <c r="X12" s="12" t="str">
        <f t="shared" si="8"/>
        <v>Q4 2026</v>
      </c>
      <c r="Y12" s="12" t="str">
        <f t="shared" si="8"/>
        <v>Q1 2027</v>
      </c>
      <c r="Z12" s="12" t="str">
        <f t="shared" si="8"/>
        <v>Q2 2027</v>
      </c>
      <c r="AA12" s="12" t="str">
        <f t="shared" si="8"/>
        <v>FQ1</v>
      </c>
      <c r="AB12" s="12" t="str">
        <f t="shared" si="8"/>
        <v>FQ2</v>
      </c>
      <c r="AC12" s="12" t="str">
        <f t="shared" si="8"/>
        <v>FQ3</v>
      </c>
    </row>
    <row r="13" spans="1:31" x14ac:dyDescent="0.2">
      <c r="B13" s="1" t="str">
        <f>B6</f>
        <v>Licenses</v>
      </c>
      <c r="C13" s="47"/>
      <c r="D13" s="97">
        <f t="shared" ref="D13:L13" si="9">D6/C6-1</f>
        <v>3.4084087514825612E-2</v>
      </c>
      <c r="E13" s="97">
        <f t="shared" si="9"/>
        <v>0.24818614965570984</v>
      </c>
      <c r="F13" s="97">
        <f t="shared" si="9"/>
        <v>-5.5102093364575055E-2</v>
      </c>
      <c r="G13" s="98">
        <f t="shared" si="9"/>
        <v>3.2771752459329173E-2</v>
      </c>
      <c r="H13" s="97">
        <f t="shared" si="9"/>
        <v>3.355145334551457E-2</v>
      </c>
      <c r="I13" s="97">
        <f t="shared" si="9"/>
        <v>2.5881334411080648E-2</v>
      </c>
      <c r="J13" s="97">
        <f t="shared" si="9"/>
        <v>3.2569300504753596E-2</v>
      </c>
      <c r="K13" s="97">
        <f t="shared" si="9"/>
        <v>4.0548860104002271E-2</v>
      </c>
      <c r="L13" s="97">
        <f t="shared" si="9"/>
        <v>2.5567212835961861E-3</v>
      </c>
      <c r="O13" s="5"/>
      <c r="Q13" s="93"/>
      <c r="R13" s="1" t="str">
        <f>R6</f>
        <v>Licenses</v>
      </c>
      <c r="S13" s="47"/>
      <c r="T13" s="97">
        <f t="shared" ref="T13:AA16" si="10">T6/S6-1</f>
        <v>0.44057182848061593</v>
      </c>
      <c r="U13" s="97">
        <f t="shared" si="10"/>
        <v>-0.35080892064632685</v>
      </c>
      <c r="V13" s="97">
        <f t="shared" si="10"/>
        <v>-0.12569571114540945</v>
      </c>
      <c r="W13" s="97">
        <f t="shared" si="10"/>
        <v>0.33774663207353717</v>
      </c>
      <c r="X13" s="97">
        <f t="shared" si="10"/>
        <v>0.4389475017161748</v>
      </c>
      <c r="Y13" s="97">
        <f t="shared" si="10"/>
        <v>-0.30844727286201279</v>
      </c>
      <c r="Z13" s="98">
        <f t="shared" si="10"/>
        <v>-0.17055904198675231</v>
      </c>
      <c r="AA13" s="97">
        <f t="shared" si="10"/>
        <v>0.23977939810889604</v>
      </c>
      <c r="AB13" s="97"/>
      <c r="AC13" s="97"/>
    </row>
    <row r="14" spans="1:31" x14ac:dyDescent="0.2">
      <c r="B14" s="1" t="str">
        <f>B7</f>
        <v>Subscription services</v>
      </c>
      <c r="C14" s="47"/>
      <c r="D14" s="97">
        <f t="shared" ref="D14:L14" si="11">D7/C7-1</f>
        <v>0.3756918027290892</v>
      </c>
      <c r="E14" s="97">
        <f t="shared" si="11"/>
        <v>0.27729682030883041</v>
      </c>
      <c r="F14" s="97">
        <f t="shared" si="11"/>
        <v>0.2339202791736803</v>
      </c>
      <c r="G14" s="98">
        <f t="shared" si="11"/>
        <v>0.19019336689332333</v>
      </c>
      <c r="H14" s="97">
        <f t="shared" si="11"/>
        <v>0.14442041254222238</v>
      </c>
      <c r="I14" s="97">
        <f t="shared" si="11"/>
        <v>0.13621581473894895</v>
      </c>
      <c r="J14" s="97">
        <f t="shared" si="11"/>
        <v>0.14232586918655232</v>
      </c>
      <c r="K14" s="97">
        <f t="shared" si="11"/>
        <v>9.472446540851065E-2</v>
      </c>
      <c r="L14" s="97">
        <f t="shared" si="11"/>
        <v>0.10763605546645705</v>
      </c>
      <c r="O14" s="5"/>
      <c r="Q14" s="93"/>
      <c r="R14" s="1" t="str">
        <f>R7</f>
        <v>Subscription services</v>
      </c>
      <c r="S14" s="47"/>
      <c r="T14" s="97">
        <f t="shared" si="10"/>
        <v>4.0106900184610605E-2</v>
      </c>
      <c r="U14" s="97">
        <f t="shared" si="10"/>
        <v>9.6737771871704403E-3</v>
      </c>
      <c r="V14" s="97">
        <f t="shared" si="10"/>
        <v>9.6915367022084364E-2</v>
      </c>
      <c r="W14" s="97">
        <f t="shared" si="10"/>
        <v>3.8638547089942632E-2</v>
      </c>
      <c r="X14" s="97">
        <f t="shared" si="10"/>
        <v>1.4783518396594086E-2</v>
      </c>
      <c r="Y14" s="97">
        <f t="shared" si="10"/>
        <v>6.6472159310282386E-3</v>
      </c>
      <c r="Z14" s="98">
        <f t="shared" si="10"/>
        <v>5.2051577086867251E-2</v>
      </c>
      <c r="AA14" s="97">
        <f t="shared" si="10"/>
        <v>-1.0745413749168486E-2</v>
      </c>
      <c r="AB14" s="97"/>
      <c r="AC14" s="97"/>
    </row>
    <row r="15" spans="1:31" x14ac:dyDescent="0.2">
      <c r="B15" s="1" t="str">
        <f>B8</f>
        <v>Professional services</v>
      </c>
      <c r="C15" s="47"/>
      <c r="D15" s="97">
        <f t="shared" ref="D15:L15" si="12">D8/C8-1</f>
        <v>0.26768885199472625</v>
      </c>
      <c r="E15" s="97">
        <f t="shared" si="12"/>
        <v>-0.29197642617772812</v>
      </c>
      <c r="F15" s="97">
        <f t="shared" si="12"/>
        <v>0.10317719384146673</v>
      </c>
      <c r="G15" s="98">
        <f t="shared" si="12"/>
        <v>0.22564418690666987</v>
      </c>
      <c r="H15" s="97">
        <f t="shared" si="12"/>
        <v>0.44102039995171616</v>
      </c>
      <c r="I15" s="97">
        <f t="shared" si="12"/>
        <v>-0.1023538323903046</v>
      </c>
      <c r="J15" s="97">
        <f t="shared" si="12"/>
        <v>-6.7356760834415996E-2</v>
      </c>
      <c r="K15" s="97">
        <f t="shared" si="12"/>
        <v>-1.5685937573503006E-3</v>
      </c>
      <c r="L15" s="97">
        <f t="shared" si="12"/>
        <v>3.2853765058649786E-2</v>
      </c>
      <c r="O15" s="5"/>
      <c r="Q15" s="93"/>
      <c r="R15" s="1" t="str">
        <f>R8</f>
        <v>Professional services</v>
      </c>
      <c r="S15" s="47"/>
      <c r="T15" s="97">
        <f t="shared" si="10"/>
        <v>2.4533484891541057E-2</v>
      </c>
      <c r="U15" s="97">
        <f t="shared" si="10"/>
        <v>2.0247781065088732E-2</v>
      </c>
      <c r="V15" s="97">
        <f t="shared" si="10"/>
        <v>1.531490711372907E-2</v>
      </c>
      <c r="W15" s="97">
        <f t="shared" si="10"/>
        <v>0.20465905033916454</v>
      </c>
      <c r="X15" s="97">
        <f t="shared" si="10"/>
        <v>3.5044824775876116E-2</v>
      </c>
      <c r="Y15" s="97">
        <f t="shared" si="10"/>
        <v>0.15748031496062986</v>
      </c>
      <c r="Z15" s="98">
        <f t="shared" si="10"/>
        <v>0.25825602968460104</v>
      </c>
      <c r="AA15" s="97">
        <f t="shared" si="10"/>
        <v>7.804973950653693E-2</v>
      </c>
      <c r="AB15" s="97"/>
      <c r="AC15" s="97"/>
    </row>
    <row r="16" spans="1:31" x14ac:dyDescent="0.2">
      <c r="B16" s="16" t="str">
        <f>B9</f>
        <v>Total</v>
      </c>
      <c r="C16" s="47"/>
      <c r="D16" s="107">
        <f t="shared" ref="D16:L16" si="13">D9/C9-1</f>
        <v>0.18641482451146096</v>
      </c>
      <c r="E16" s="107">
        <f t="shared" si="13"/>
        <v>0.23568437370404349</v>
      </c>
      <c r="F16" s="107">
        <f t="shared" si="13"/>
        <v>9.2955127852289543E-2</v>
      </c>
      <c r="G16" s="108">
        <f t="shared" si="13"/>
        <v>0.12653882310808684</v>
      </c>
      <c r="H16" s="107">
        <f t="shared" si="13"/>
        <v>0.1118310761642447</v>
      </c>
      <c r="I16" s="107">
        <f t="shared" si="13"/>
        <v>8.8055960739024774E-2</v>
      </c>
      <c r="J16" s="107">
        <f t="shared" si="13"/>
        <v>9.9186674730866731E-2</v>
      </c>
      <c r="K16" s="107">
        <f t="shared" si="13"/>
        <v>7.5233822107468873E-2</v>
      </c>
      <c r="L16" s="107">
        <f t="shared" si="13"/>
        <v>7.4167915660995787E-2</v>
      </c>
      <c r="O16" s="5"/>
      <c r="Q16" s="93"/>
      <c r="R16" s="16" t="str">
        <f>R9</f>
        <v>Total</v>
      </c>
      <c r="S16" s="47"/>
      <c r="T16" s="107">
        <f t="shared" si="10"/>
        <v>0.1945366315807282</v>
      </c>
      <c r="U16" s="107">
        <f t="shared" si="10"/>
        <v>-0.15820283916288602</v>
      </c>
      <c r="V16" s="107">
        <f t="shared" si="10"/>
        <v>1.4311992462649803E-2</v>
      </c>
      <c r="W16" s="107">
        <f t="shared" si="10"/>
        <v>0.13652523443029008</v>
      </c>
      <c r="X16" s="107">
        <f t="shared" si="10"/>
        <v>0.17025489342346267</v>
      </c>
      <c r="Y16" s="107">
        <f t="shared" si="10"/>
        <v>-0.13037640275448081</v>
      </c>
      <c r="Z16" s="108">
        <f t="shared" si="10"/>
        <v>-1.9422441692042214E-2</v>
      </c>
      <c r="AA16" s="107">
        <f t="shared" si="10"/>
        <v>6.9283569283569379E-2</v>
      </c>
      <c r="AB16" s="107"/>
      <c r="AC16" s="107"/>
    </row>
    <row r="17" spans="2:31" x14ac:dyDescent="0.2">
      <c r="O17" s="5"/>
      <c r="Q17" s="93"/>
    </row>
    <row r="18" spans="2:31" x14ac:dyDescent="0.2">
      <c r="O18" s="5"/>
      <c r="Q18" s="93"/>
    </row>
    <row r="19" spans="2:31" x14ac:dyDescent="0.2">
      <c r="C19" s="266" t="s">
        <v>146</v>
      </c>
      <c r="D19" s="266"/>
      <c r="E19" s="266"/>
      <c r="F19" s="266"/>
      <c r="G19" s="266"/>
      <c r="H19" s="266"/>
      <c r="I19" s="266"/>
      <c r="J19" s="266"/>
      <c r="K19" s="266"/>
      <c r="L19" s="266"/>
      <c r="O19" s="5"/>
      <c r="Q19" s="93"/>
      <c r="S19" s="267" t="s">
        <v>146</v>
      </c>
      <c r="T19" s="268"/>
      <c r="U19" s="268"/>
      <c r="V19" s="268"/>
      <c r="W19" s="268"/>
      <c r="X19" s="268"/>
      <c r="Y19" s="268"/>
      <c r="Z19" s="268"/>
      <c r="AA19" s="268"/>
      <c r="AB19" s="268"/>
      <c r="AC19" s="268"/>
      <c r="AE19" s="89">
        <f>AE4</f>
        <v>0</v>
      </c>
    </row>
    <row r="20" spans="2:31" x14ac:dyDescent="0.2">
      <c r="B20" s="16" t="s">
        <v>147</v>
      </c>
      <c r="C20" s="12">
        <f t="shared" ref="C20:L20" si="14">C5</f>
        <v>2022</v>
      </c>
      <c r="D20" s="12">
        <f t="shared" si="14"/>
        <v>2023</v>
      </c>
      <c r="E20" s="12">
        <f t="shared" si="14"/>
        <v>2024</v>
      </c>
      <c r="F20" s="12">
        <f t="shared" si="14"/>
        <v>2025</v>
      </c>
      <c r="G20" s="12">
        <f t="shared" si="14"/>
        <v>2026</v>
      </c>
      <c r="H20" s="12">
        <f t="shared" si="14"/>
        <v>2027</v>
      </c>
      <c r="I20" s="12">
        <f t="shared" si="14"/>
        <v>2028</v>
      </c>
      <c r="J20" s="12">
        <f t="shared" si="14"/>
        <v>2029</v>
      </c>
      <c r="K20" s="12">
        <f t="shared" si="14"/>
        <v>2030</v>
      </c>
      <c r="L20" s="12">
        <f t="shared" si="14"/>
        <v>2031</v>
      </c>
      <c r="O20" s="5"/>
      <c r="Q20" s="93"/>
      <c r="R20" s="16" t="s">
        <v>147</v>
      </c>
      <c r="S20" s="12" t="str">
        <f t="shared" ref="S20:AC20" si="15">S5</f>
        <v>Q3 2025</v>
      </c>
      <c r="T20" s="12" t="str">
        <f t="shared" si="15"/>
        <v>Q4 2025</v>
      </c>
      <c r="U20" s="12" t="str">
        <f t="shared" si="15"/>
        <v>Q1 2026</v>
      </c>
      <c r="V20" s="12" t="str">
        <f t="shared" si="15"/>
        <v>Q2 2026</v>
      </c>
      <c r="W20" s="12" t="str">
        <f t="shared" si="15"/>
        <v>Q3 2026</v>
      </c>
      <c r="X20" s="12" t="str">
        <f t="shared" si="15"/>
        <v>Q4 2026</v>
      </c>
      <c r="Y20" s="12" t="str">
        <f t="shared" si="15"/>
        <v>Q1 2027</v>
      </c>
      <c r="Z20" s="12" t="str">
        <f t="shared" si="15"/>
        <v>Q2 2027</v>
      </c>
      <c r="AA20" s="12" t="str">
        <f t="shared" si="15"/>
        <v>FQ1</v>
      </c>
      <c r="AB20" s="12" t="str">
        <f t="shared" si="15"/>
        <v>FQ2</v>
      </c>
      <c r="AC20" s="12" t="str">
        <f t="shared" si="15"/>
        <v>FQ3</v>
      </c>
      <c r="AE20" s="8" t="str">
        <f>AE5</f>
        <v>FQ1</v>
      </c>
    </row>
    <row r="21" spans="2:31" x14ac:dyDescent="0.2">
      <c r="B21" s="1" t="s">
        <v>128</v>
      </c>
      <c r="C21" s="115">
        <f>Statement!M213</f>
        <v>925276</v>
      </c>
      <c r="D21" s="100">
        <f>Statement!N213</f>
        <v>1203845</v>
      </c>
      <c r="E21" s="100">
        <f>Statement!O213</f>
        <v>1463698</v>
      </c>
      <c r="F21" s="100">
        <f>Statement!P213</f>
        <v>1666136</v>
      </c>
      <c r="G21" s="101">
        <f>Statement!Q213</f>
        <v>1852567</v>
      </c>
      <c r="H21" s="109">
        <v>2063000</v>
      </c>
      <c r="I21" s="24">
        <f>(H21*I22)+I24</f>
        <v>2265540</v>
      </c>
      <c r="J21" s="24">
        <f t="shared" ref="J21:L21" si="16">(I21*J22)+J24</f>
        <v>2461627.8000000003</v>
      </c>
      <c r="K21" s="24">
        <f t="shared" si="16"/>
        <v>2646825.4680000003</v>
      </c>
      <c r="L21" s="24">
        <f t="shared" si="16"/>
        <v>2843134.9960800004</v>
      </c>
      <c r="N21" s="92" t="s">
        <v>155</v>
      </c>
      <c r="O21" s="5"/>
      <c r="Q21" s="92" t="s">
        <v>155</v>
      </c>
      <c r="R21" s="1" t="s">
        <v>128</v>
      </c>
      <c r="S21" s="100">
        <f>Statement!T213</f>
        <v>1606561</v>
      </c>
      <c r="T21" s="100">
        <f>Statement!U213</f>
        <v>1666136</v>
      </c>
      <c r="U21" s="100">
        <f>Statement!V213</f>
        <v>1692683</v>
      </c>
      <c r="V21" s="100">
        <f>Statement!W213</f>
        <v>1723401</v>
      </c>
      <c r="W21" s="100">
        <f>Statement!X213</f>
        <v>1782384</v>
      </c>
      <c r="X21" s="100">
        <f>Statement!Y213</f>
        <v>1852567</v>
      </c>
      <c r="Y21" s="100">
        <f>Statement!Z213</f>
        <v>1901211</v>
      </c>
      <c r="Z21" s="102">
        <f>Statement!AA213</f>
        <v>1937722</v>
      </c>
      <c r="AA21" s="111">
        <v>1994000</v>
      </c>
      <c r="AB21" s="111"/>
      <c r="AC21" s="111"/>
      <c r="AE21" s="24">
        <f>AA21</f>
        <v>1994000</v>
      </c>
    </row>
    <row r="22" spans="2:31" x14ac:dyDescent="0.2">
      <c r="B22" s="1" t="s">
        <v>130</v>
      </c>
      <c r="C22" s="116">
        <f>Statement!M215</f>
        <v>1.45</v>
      </c>
      <c r="D22" s="116">
        <f>Statement!N215</f>
        <v>1.23</v>
      </c>
      <c r="E22" s="116">
        <f>Statement!O215</f>
        <v>1.19</v>
      </c>
      <c r="F22" s="116">
        <f>Statement!P215</f>
        <v>1.1000000000000001</v>
      </c>
      <c r="G22" s="117">
        <f>Statement!Q215</f>
        <v>1.07</v>
      </c>
      <c r="H22" s="118">
        <v>1.08</v>
      </c>
      <c r="I22" s="118">
        <v>1.08</v>
      </c>
      <c r="J22" s="118">
        <v>1.07</v>
      </c>
      <c r="K22" s="118">
        <v>1.06</v>
      </c>
      <c r="L22" s="118">
        <v>1.06</v>
      </c>
      <c r="N22" s="92"/>
      <c r="O22" s="5"/>
      <c r="Q22" s="92"/>
      <c r="R22" s="1" t="s">
        <v>130</v>
      </c>
      <c r="S22" s="116">
        <f>Statement!T215</f>
        <v>1.1299999999999999</v>
      </c>
      <c r="T22" s="116">
        <f>Statement!U215</f>
        <v>1.1000000000000001</v>
      </c>
      <c r="U22" s="116">
        <f>Statement!V215</f>
        <v>1.08</v>
      </c>
      <c r="V22" s="116">
        <f>Statement!W215</f>
        <v>1.08</v>
      </c>
      <c r="W22" s="116">
        <f>Statement!X215</f>
        <v>1.07</v>
      </c>
      <c r="X22" s="116">
        <f>Statement!Y215</f>
        <v>1.07</v>
      </c>
      <c r="Y22" s="116">
        <f>Statement!Z215</f>
        <v>1.0900000000000001</v>
      </c>
      <c r="Z22" s="119">
        <f>Statement!AA215</f>
        <v>1.0900000000000001</v>
      </c>
      <c r="AA22" s="118">
        <v>1.08</v>
      </c>
      <c r="AB22" s="99"/>
      <c r="AC22" s="99"/>
      <c r="AE22" s="124">
        <f>AA22</f>
        <v>1.08</v>
      </c>
    </row>
    <row r="23" spans="2:31" x14ac:dyDescent="0.2">
      <c r="B23" s="1" t="s">
        <v>129</v>
      </c>
      <c r="C23" s="103">
        <f>Statement!M214</f>
        <v>344793</v>
      </c>
      <c r="D23" s="103">
        <f>Statement!N214</f>
        <v>278569</v>
      </c>
      <c r="E23" s="103">
        <f>Statement!O214</f>
        <v>259853</v>
      </c>
      <c r="F23" s="103">
        <f>Statement!P214</f>
        <v>202438</v>
      </c>
      <c r="G23" s="104">
        <f>Statement!Q214</f>
        <v>186431</v>
      </c>
      <c r="H23" s="24">
        <f>H21-G21</f>
        <v>210433</v>
      </c>
      <c r="I23" s="24">
        <f>I21-H21</f>
        <v>202540</v>
      </c>
      <c r="J23" s="24">
        <f>J21-I21</f>
        <v>196087.80000000028</v>
      </c>
      <c r="K23" s="24">
        <f>K21-J21</f>
        <v>185197.66800000006</v>
      </c>
      <c r="L23" s="24">
        <f>L21-K21</f>
        <v>196309.52808000008</v>
      </c>
      <c r="N23" s="92" t="s">
        <v>156</v>
      </c>
      <c r="O23" s="5"/>
      <c r="Q23" s="92" t="s">
        <v>156</v>
      </c>
      <c r="R23" s="1" t="s">
        <v>129</v>
      </c>
      <c r="S23" s="103">
        <f>Statement!T214</f>
        <v>56000</v>
      </c>
      <c r="T23" s="103">
        <f>Statement!U214</f>
        <v>60000</v>
      </c>
      <c r="U23" s="103">
        <f>Statement!V214</f>
        <v>27000</v>
      </c>
      <c r="V23" s="103">
        <f>Statement!W214</f>
        <v>31000</v>
      </c>
      <c r="W23" s="103">
        <f>Statement!X214</f>
        <v>59000</v>
      </c>
      <c r="X23" s="103">
        <f>Statement!Y214</f>
        <v>70000</v>
      </c>
      <c r="Y23" s="103">
        <f>Statement!Z214</f>
        <v>49000</v>
      </c>
      <c r="Z23" s="105">
        <f>Statement!AA214</f>
        <v>37000</v>
      </c>
      <c r="AA23" s="24">
        <f>AA21-Z21</f>
        <v>56278</v>
      </c>
      <c r="AB23" s="24"/>
      <c r="AC23" s="24"/>
      <c r="AE23" s="24">
        <f>SUM(X23:AA23)</f>
        <v>212278</v>
      </c>
    </row>
    <row r="24" spans="2:31" x14ac:dyDescent="0.2">
      <c r="B24" s="1" t="s">
        <v>152</v>
      </c>
      <c r="C24" s="47"/>
      <c r="D24" s="47"/>
      <c r="E24" s="47"/>
      <c r="F24" s="47"/>
      <c r="G24" s="110"/>
      <c r="H24" s="64">
        <f>H25*H26</f>
        <v>37500</v>
      </c>
      <c r="I24" s="64">
        <f t="shared" ref="I24:L24" si="17">I25*I26</f>
        <v>37500</v>
      </c>
      <c r="J24" s="64">
        <f t="shared" si="17"/>
        <v>37500</v>
      </c>
      <c r="K24" s="64">
        <f t="shared" si="17"/>
        <v>37500</v>
      </c>
      <c r="L24" s="64">
        <f t="shared" si="17"/>
        <v>37500</v>
      </c>
      <c r="N24" s="92" t="s">
        <v>157</v>
      </c>
      <c r="O24" s="5"/>
      <c r="Q24" s="92" t="s">
        <v>157</v>
      </c>
      <c r="R24" s="1" t="s">
        <v>152</v>
      </c>
      <c r="S24" s="47"/>
      <c r="T24" s="47"/>
      <c r="U24" s="47"/>
      <c r="V24" s="47"/>
      <c r="W24" s="47"/>
      <c r="X24" s="47"/>
      <c r="Y24" s="47"/>
      <c r="Z24" s="110"/>
      <c r="AA24" s="24">
        <f>AA25*AA26</f>
        <v>7500</v>
      </c>
      <c r="AB24" s="24"/>
      <c r="AC24" s="24"/>
      <c r="AE24" s="47"/>
    </row>
    <row r="25" spans="2:31" x14ac:dyDescent="0.2">
      <c r="B25" s="1" t="s">
        <v>153</v>
      </c>
      <c r="C25" s="47"/>
      <c r="D25" s="100">
        <f>Statement!N217-Statement!M217</f>
        <v>292</v>
      </c>
      <c r="E25" s="100">
        <f>Statement!O217-Statement!N217</f>
        <v>269</v>
      </c>
      <c r="F25" s="100">
        <f>Statement!P217-Statement!O217</f>
        <v>238</v>
      </c>
      <c r="G25" s="101">
        <f>Statement!Q217-Statement!P217</f>
        <v>273</v>
      </c>
      <c r="H25" s="111">
        <v>250</v>
      </c>
      <c r="I25" s="111">
        <v>250</v>
      </c>
      <c r="J25" s="111">
        <v>250</v>
      </c>
      <c r="K25" s="111">
        <v>250</v>
      </c>
      <c r="L25" s="111">
        <v>250</v>
      </c>
      <c r="N25" s="92"/>
      <c r="O25" s="5"/>
      <c r="R25" s="1" t="s">
        <v>153</v>
      </c>
      <c r="S25" s="47"/>
      <c r="T25" s="120">
        <f>Statement!U217-Statement!T217</f>
        <v>57</v>
      </c>
      <c r="U25" s="120">
        <f>Statement!V217-Statement!U217</f>
        <v>73</v>
      </c>
      <c r="V25" s="120">
        <f>Statement!W217-Statement!V217</f>
        <v>67</v>
      </c>
      <c r="W25" s="120">
        <f>Statement!X217-Statement!W217</f>
        <v>74</v>
      </c>
      <c r="X25" s="120">
        <f>Statement!Y217-Statement!X217</f>
        <v>59</v>
      </c>
      <c r="Y25" s="120">
        <f>Statement!Z217-Statement!Y217</f>
        <v>59</v>
      </c>
      <c r="Z25" s="121">
        <f>Statement!AA217-Statement!Z217</f>
        <v>42</v>
      </c>
      <c r="AA25" s="106">
        <v>50</v>
      </c>
      <c r="AB25" s="106"/>
      <c r="AC25" s="106"/>
      <c r="AE25" s="120">
        <f>SUM(X25:AA25)</f>
        <v>210</v>
      </c>
    </row>
    <row r="26" spans="2:31" x14ac:dyDescent="0.2">
      <c r="B26" s="1" t="s">
        <v>154</v>
      </c>
      <c r="C26" s="47"/>
      <c r="D26" s="47"/>
      <c r="E26" s="47"/>
      <c r="F26" s="47"/>
      <c r="G26" s="110"/>
      <c r="H26" s="111">
        <v>150</v>
      </c>
      <c r="I26" s="111">
        <v>150</v>
      </c>
      <c r="J26" s="111">
        <v>150</v>
      </c>
      <c r="K26" s="111">
        <v>150</v>
      </c>
      <c r="L26" s="111">
        <v>150</v>
      </c>
      <c r="N26" s="92"/>
      <c r="O26" s="5"/>
      <c r="R26" s="1" t="s">
        <v>154</v>
      </c>
      <c r="S26" s="47"/>
      <c r="T26" s="47"/>
      <c r="U26" s="47"/>
      <c r="V26" s="47"/>
      <c r="W26" s="47"/>
      <c r="X26" s="47"/>
      <c r="Y26" s="47"/>
      <c r="Z26" s="110"/>
      <c r="AA26" s="111">
        <v>150</v>
      </c>
      <c r="AB26" s="111"/>
      <c r="AC26" s="111"/>
      <c r="AE26" s="47"/>
    </row>
    <row r="27" spans="2:31" x14ac:dyDescent="0.2">
      <c r="B27" s="1" t="s">
        <v>150</v>
      </c>
      <c r="C27" s="112">
        <f>C9/C21</f>
        <v>0.96430902779278826</v>
      </c>
      <c r="D27" s="112">
        <f t="shared" ref="D27:G27" si="18">D9/D21</f>
        <v>0.87933330287537015</v>
      </c>
      <c r="E27" s="112">
        <f t="shared" si="18"/>
        <v>0.89367615450728222</v>
      </c>
      <c r="F27" s="112">
        <f t="shared" si="18"/>
        <v>0.85807161000062415</v>
      </c>
      <c r="G27" s="113">
        <f t="shared" si="18"/>
        <v>0.86937314547867905</v>
      </c>
      <c r="H27" s="114">
        <v>0.86799999999999999</v>
      </c>
      <c r="I27" s="114">
        <v>0.86</v>
      </c>
      <c r="J27" s="114">
        <v>0.87</v>
      </c>
      <c r="K27" s="114">
        <v>0.87</v>
      </c>
      <c r="L27" s="114">
        <v>0.87</v>
      </c>
      <c r="N27" s="92"/>
      <c r="O27" s="5"/>
      <c r="R27" s="1" t="s">
        <v>150</v>
      </c>
      <c r="S27" s="122">
        <f>S9/S21</f>
        <v>0.22075290013886806</v>
      </c>
      <c r="T27" s="122">
        <f t="shared" ref="T27:Z27" si="19">T9/T21</f>
        <v>0.25426855910922036</v>
      </c>
      <c r="U27" s="122">
        <f t="shared" si="19"/>
        <v>0.2106856393075372</v>
      </c>
      <c r="V27" s="122">
        <f t="shared" si="19"/>
        <v>0.2098919520181316</v>
      </c>
      <c r="W27" s="122">
        <f t="shared" si="19"/>
        <v>0.23065343943841507</v>
      </c>
      <c r="X27" s="122">
        <f t="shared" si="19"/>
        <v>0.25969749002330278</v>
      </c>
      <c r="Y27" s="122">
        <f t="shared" si="19"/>
        <v>0.22006079283151633</v>
      </c>
      <c r="Z27" s="123">
        <f t="shared" si="19"/>
        <v>0.21172077315528234</v>
      </c>
      <c r="AA27" s="114">
        <v>0.22</v>
      </c>
      <c r="AB27" s="106"/>
      <c r="AC27" s="106"/>
      <c r="AE27" s="47"/>
    </row>
    <row r="28" spans="2:31" x14ac:dyDescent="0.2">
      <c r="B28" s="1" t="s">
        <v>158</v>
      </c>
      <c r="C28" s="97">
        <f>C8/C9</f>
        <v>4.5904071943800633E-2</v>
      </c>
      <c r="D28" s="97">
        <f t="shared" ref="D28:G28" si="20">D8/D9</f>
        <v>4.904867931693465E-2</v>
      </c>
      <c r="E28" s="97">
        <f t="shared" si="20"/>
        <v>2.8103957580316679E-2</v>
      </c>
      <c r="F28" s="97">
        <f t="shared" si="20"/>
        <v>2.8366805067484388E-2</v>
      </c>
      <c r="G28" s="98">
        <f t="shared" si="20"/>
        <v>3.0862327173203061E-2</v>
      </c>
      <c r="H28" s="99">
        <v>0.04</v>
      </c>
      <c r="I28" s="99">
        <v>3.3000000000000002E-2</v>
      </c>
      <c r="J28" s="99">
        <v>2.8000000000000001E-2</v>
      </c>
      <c r="K28" s="99">
        <v>2.5999999999999999E-2</v>
      </c>
      <c r="L28" s="99">
        <v>2.5000000000000001E-2</v>
      </c>
      <c r="N28" s="92"/>
      <c r="O28" s="5"/>
      <c r="R28" s="1" t="s">
        <v>158</v>
      </c>
      <c r="S28" s="97">
        <f>S8/S9</f>
        <v>2.9767124485060043E-2</v>
      </c>
      <c r="T28" s="97">
        <f t="shared" ref="T28:Z28" si="21">T8/T9</f>
        <v>2.5530749729727176E-2</v>
      </c>
      <c r="U28" s="97">
        <f t="shared" si="21"/>
        <v>3.0942953923460002E-2</v>
      </c>
      <c r="V28" s="97">
        <f t="shared" si="21"/>
        <v>3.0973549186128803E-2</v>
      </c>
      <c r="W28" s="97">
        <f t="shared" si="21"/>
        <v>3.2830389698209492E-2</v>
      </c>
      <c r="X28" s="97">
        <f t="shared" si="21"/>
        <v>2.9037199625031439E-2</v>
      </c>
      <c r="Y28" s="97">
        <f t="shared" si="21"/>
        <v>3.864889024862446E-2</v>
      </c>
      <c r="Z28" s="98">
        <f t="shared" si="21"/>
        <v>4.9593424593424591E-2</v>
      </c>
      <c r="AA28" s="99">
        <v>0.05</v>
      </c>
      <c r="AB28" s="99"/>
      <c r="AC28" s="99"/>
      <c r="AE28" s="47"/>
    </row>
    <row r="29" spans="2:31" x14ac:dyDescent="0.2">
      <c r="B29" s="1" t="s">
        <v>160</v>
      </c>
      <c r="C29" s="97">
        <f>C6/C9</f>
        <v>0.53956393485248566</v>
      </c>
      <c r="D29" s="97">
        <f t="shared" ref="D29:G29" si="22">D6/D9</f>
        <v>0.47028616610349139</v>
      </c>
      <c r="E29" s="97">
        <f t="shared" si="22"/>
        <v>0.4750441871701252</v>
      </c>
      <c r="F29" s="97">
        <f t="shared" si="22"/>
        <v>0.41069230252702732</v>
      </c>
      <c r="G29" s="98">
        <f t="shared" si="22"/>
        <v>0.37650847028260764</v>
      </c>
      <c r="H29" s="99">
        <v>0.35</v>
      </c>
      <c r="I29" s="99">
        <v>0.33</v>
      </c>
      <c r="J29" s="99">
        <v>0.31</v>
      </c>
      <c r="K29" s="99">
        <v>0.3</v>
      </c>
      <c r="L29" s="99">
        <v>0.28000000000000003</v>
      </c>
      <c r="N29" s="92"/>
      <c r="O29" s="5"/>
      <c r="R29" s="1" t="s">
        <v>160</v>
      </c>
      <c r="S29" s="97">
        <f>S6/S9</f>
        <v>0.38678370125164596</v>
      </c>
      <c r="T29" s="97">
        <f t="shared" ref="T29:Z29" si="23">T6/T9</f>
        <v>0.46644840267581894</v>
      </c>
      <c r="U29" s="97">
        <f t="shared" si="23"/>
        <v>0.35972340616447573</v>
      </c>
      <c r="V29" s="97">
        <f t="shared" si="23"/>
        <v>0.31006999734607221</v>
      </c>
      <c r="W29" s="97">
        <f t="shared" si="23"/>
        <v>0.36496778258045842</v>
      </c>
      <c r="X29" s="97">
        <f t="shared" si="23"/>
        <v>0.44876503563656317</v>
      </c>
      <c r="Y29" s="97">
        <f t="shared" si="23"/>
        <v>0.35687242759009707</v>
      </c>
      <c r="Z29" s="98">
        <f t="shared" si="23"/>
        <v>0.30186761436761439</v>
      </c>
      <c r="AA29" s="99">
        <v>0.35</v>
      </c>
      <c r="AB29" s="99"/>
      <c r="AC29" s="99"/>
      <c r="AE29" s="47"/>
    </row>
    <row r="30" spans="2:31" x14ac:dyDescent="0.2">
      <c r="O30" s="5"/>
    </row>
    <row r="31" spans="2:31" x14ac:dyDescent="0.2">
      <c r="O31" s="5"/>
    </row>
    <row r="32" spans="2:31" x14ac:dyDescent="0.2">
      <c r="C32" s="266" t="s">
        <v>148</v>
      </c>
      <c r="D32" s="266"/>
      <c r="E32" s="266"/>
      <c r="F32" s="266"/>
      <c r="G32" s="266"/>
      <c r="H32" s="266"/>
      <c r="I32" s="266"/>
      <c r="J32" s="266"/>
      <c r="K32" s="266"/>
      <c r="L32" s="266"/>
      <c r="O32" s="5"/>
      <c r="S32" s="267" t="s">
        <v>148</v>
      </c>
      <c r="T32" s="268"/>
      <c r="U32" s="268"/>
      <c r="V32" s="268"/>
      <c r="W32" s="268"/>
      <c r="X32" s="268"/>
      <c r="Y32" s="268"/>
      <c r="Z32" s="268"/>
      <c r="AA32" s="268"/>
      <c r="AB32" s="268"/>
      <c r="AC32" s="268"/>
    </row>
    <row r="33" spans="2:29" x14ac:dyDescent="0.2">
      <c r="B33" s="16" t="s">
        <v>149</v>
      </c>
      <c r="C33" s="12">
        <f t="shared" ref="C33:L33" si="24">C5</f>
        <v>2022</v>
      </c>
      <c r="D33" s="12">
        <f t="shared" si="24"/>
        <v>2023</v>
      </c>
      <c r="E33" s="12">
        <f t="shared" si="24"/>
        <v>2024</v>
      </c>
      <c r="F33" s="12">
        <f t="shared" si="24"/>
        <v>2025</v>
      </c>
      <c r="G33" s="12">
        <f t="shared" si="24"/>
        <v>2026</v>
      </c>
      <c r="H33" s="12">
        <f t="shared" si="24"/>
        <v>2027</v>
      </c>
      <c r="I33" s="12">
        <f t="shared" si="24"/>
        <v>2028</v>
      </c>
      <c r="J33" s="12">
        <f t="shared" si="24"/>
        <v>2029</v>
      </c>
      <c r="K33" s="12">
        <f t="shared" si="24"/>
        <v>2030</v>
      </c>
      <c r="L33" s="12">
        <f t="shared" si="24"/>
        <v>2031</v>
      </c>
      <c r="O33" s="5"/>
      <c r="R33" s="16" t="s">
        <v>149</v>
      </c>
      <c r="S33" s="12" t="str">
        <f t="shared" ref="S33:AC33" si="25">S5</f>
        <v>Q3 2025</v>
      </c>
      <c r="T33" s="12" t="str">
        <f t="shared" si="25"/>
        <v>Q4 2025</v>
      </c>
      <c r="U33" s="12" t="str">
        <f t="shared" si="25"/>
        <v>Q1 2026</v>
      </c>
      <c r="V33" s="12" t="str">
        <f t="shared" si="25"/>
        <v>Q2 2026</v>
      </c>
      <c r="W33" s="12" t="str">
        <f t="shared" si="25"/>
        <v>Q3 2026</v>
      </c>
      <c r="X33" s="12" t="str">
        <f t="shared" si="25"/>
        <v>Q4 2026</v>
      </c>
      <c r="Y33" s="12" t="str">
        <f t="shared" si="25"/>
        <v>Q1 2027</v>
      </c>
      <c r="Z33" s="12" t="str">
        <f t="shared" si="25"/>
        <v>Q2 2027</v>
      </c>
      <c r="AA33" s="12" t="str">
        <f t="shared" si="25"/>
        <v>FQ1</v>
      </c>
      <c r="AB33" s="12" t="str">
        <f t="shared" si="25"/>
        <v>FQ2</v>
      </c>
      <c r="AC33" s="12" t="str">
        <f t="shared" si="25"/>
        <v>FQ3</v>
      </c>
    </row>
    <row r="34" spans="2:29" x14ac:dyDescent="0.2">
      <c r="B34" s="1" t="s">
        <v>128</v>
      </c>
      <c r="C34" s="47"/>
      <c r="D34" s="97">
        <f>D21/C21-1</f>
        <v>0.30106584413731685</v>
      </c>
      <c r="E34" s="97">
        <f t="shared" ref="E34:L34" si="26">E21/D21-1</f>
        <v>0.21585253915578839</v>
      </c>
      <c r="F34" s="97">
        <f t="shared" si="26"/>
        <v>0.13830585271005358</v>
      </c>
      <c r="G34" s="98">
        <f t="shared" si="26"/>
        <v>0.11189422712191566</v>
      </c>
      <c r="H34" s="97">
        <f t="shared" si="26"/>
        <v>0.1135899538316294</v>
      </c>
      <c r="I34" s="97">
        <f t="shared" si="26"/>
        <v>9.8177411536597203E-2</v>
      </c>
      <c r="J34" s="97">
        <f t="shared" si="26"/>
        <v>8.655234513625909E-2</v>
      </c>
      <c r="K34" s="97">
        <f t="shared" si="26"/>
        <v>7.5233822107468873E-2</v>
      </c>
      <c r="L34" s="97">
        <f t="shared" si="26"/>
        <v>7.4167915660996009E-2</v>
      </c>
      <c r="O34" s="5"/>
      <c r="R34" s="1" t="str">
        <f>B34</f>
        <v>ARR</v>
      </c>
      <c r="S34" s="47"/>
      <c r="T34" s="97">
        <f>T21/S21-1</f>
        <v>3.708231433478093E-2</v>
      </c>
      <c r="U34" s="97">
        <f t="shared" ref="U34:AA34" si="27">U21/T21-1</f>
        <v>1.5933273154172367E-2</v>
      </c>
      <c r="V34" s="97">
        <f t="shared" si="27"/>
        <v>1.8147520829357999E-2</v>
      </c>
      <c r="W34" s="97">
        <f t="shared" si="27"/>
        <v>3.4224768350488377E-2</v>
      </c>
      <c r="X34" s="97">
        <f t="shared" si="27"/>
        <v>3.9375914505516141E-2</v>
      </c>
      <c r="Y34" s="97">
        <f t="shared" si="27"/>
        <v>2.625761983237318E-2</v>
      </c>
      <c r="Z34" s="98">
        <f t="shared" si="27"/>
        <v>1.9204075718055602E-2</v>
      </c>
      <c r="AA34" s="97">
        <f t="shared" si="27"/>
        <v>2.9043381867987161E-2</v>
      </c>
    </row>
    <row r="35" spans="2:29" x14ac:dyDescent="0.2">
      <c r="B35" s="1" t="s">
        <v>129</v>
      </c>
      <c r="C35" s="47"/>
      <c r="D35" s="97">
        <f>D23/C23-1</f>
        <v>-0.19206886450711003</v>
      </c>
      <c r="E35" s="97">
        <f t="shared" ref="E35:L35" si="28">E23/D23-1</f>
        <v>-6.7186226751720368E-2</v>
      </c>
      <c r="F35" s="97">
        <f t="shared" si="28"/>
        <v>-0.22095184585130823</v>
      </c>
      <c r="G35" s="98">
        <f t="shared" si="28"/>
        <v>-7.9071123010502009E-2</v>
      </c>
      <c r="H35" s="97">
        <f t="shared" si="28"/>
        <v>0.12874468301945496</v>
      </c>
      <c r="I35" s="97">
        <f t="shared" si="28"/>
        <v>-3.7508375587479104E-2</v>
      </c>
      <c r="J35" s="97">
        <f t="shared" si="28"/>
        <v>-3.1856423422532476E-2</v>
      </c>
      <c r="K35" s="97">
        <f t="shared" si="28"/>
        <v>-5.5537019641202612E-2</v>
      </c>
      <c r="L35" s="97">
        <f t="shared" si="28"/>
        <v>6.0000000000000053E-2</v>
      </c>
      <c r="O35" s="5"/>
      <c r="R35" s="1" t="str">
        <f>B35</f>
        <v>New ARR</v>
      </c>
      <c r="S35" s="47"/>
      <c r="T35" s="97">
        <f>T23/S23-1</f>
        <v>7.1428571428571397E-2</v>
      </c>
      <c r="U35" s="97">
        <f t="shared" ref="U35:AA35" si="29">U23/T23-1</f>
        <v>-0.55000000000000004</v>
      </c>
      <c r="V35" s="97">
        <f t="shared" si="29"/>
        <v>0.14814814814814814</v>
      </c>
      <c r="W35" s="97">
        <f t="shared" si="29"/>
        <v>0.90322580645161299</v>
      </c>
      <c r="X35" s="97">
        <f t="shared" si="29"/>
        <v>0.18644067796610164</v>
      </c>
      <c r="Y35" s="97">
        <f t="shared" si="29"/>
        <v>-0.30000000000000004</v>
      </c>
      <c r="Z35" s="98">
        <f t="shared" si="29"/>
        <v>-0.24489795918367352</v>
      </c>
      <c r="AA35" s="97">
        <f t="shared" si="29"/>
        <v>0.52102702702702697</v>
      </c>
    </row>
  </sheetData>
  <mergeCells count="12">
    <mergeCell ref="C11:L11"/>
    <mergeCell ref="S11:AC11"/>
    <mergeCell ref="C19:L19"/>
    <mergeCell ref="S19:AC19"/>
    <mergeCell ref="C32:L32"/>
    <mergeCell ref="S32:AC32"/>
    <mergeCell ref="C2:G2"/>
    <mergeCell ref="H2:L2"/>
    <mergeCell ref="S2:Z2"/>
    <mergeCell ref="AA2:AC2"/>
    <mergeCell ref="C4:L4"/>
    <mergeCell ref="S4:AC4"/>
  </mergeCells>
  <pageMargins left="0.7" right="0.7" top="0.75" bottom="0.75" header="0.3" footer="0.3"/>
  <ignoredErrors>
    <ignoredError sqref="AE8"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30"/>
  <sheetViews>
    <sheetView topLeftCell="D18" zoomScale="178" zoomScaleNormal="100" workbookViewId="0">
      <selection activeCell="J25" sqref="J25"/>
    </sheetView>
  </sheetViews>
  <sheetFormatPr baseColWidth="10" defaultRowHeight="16" x14ac:dyDescent="0.2"/>
  <cols>
    <col min="1" max="1" width="2" style="85"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5" customFormat="1" ht="18" customHeight="1" x14ac:dyDescent="0.2">
      <c r="A1" s="4"/>
      <c r="B1" s="84" t="s">
        <v>163</v>
      </c>
    </row>
    <row r="2" spans="1:28" x14ac:dyDescent="0.2">
      <c r="A2" s="4"/>
      <c r="C2" s="258" t="s">
        <v>135</v>
      </c>
      <c r="D2" s="258"/>
      <c r="E2" s="258"/>
      <c r="F2" s="258"/>
      <c r="G2" s="264"/>
      <c r="H2" s="265" t="s">
        <v>136</v>
      </c>
      <c r="I2" s="258"/>
      <c r="J2" s="258"/>
      <c r="K2" s="258"/>
      <c r="L2" s="258"/>
      <c r="P2" s="258" t="s">
        <v>135</v>
      </c>
      <c r="Q2" s="258"/>
      <c r="R2" s="258"/>
      <c r="S2" s="258"/>
      <c r="T2" s="258"/>
      <c r="U2" s="258"/>
      <c r="V2" s="258"/>
      <c r="W2" s="258"/>
      <c r="X2" s="258" t="s">
        <v>136</v>
      </c>
      <c r="Y2" s="258"/>
      <c r="Z2" s="258"/>
      <c r="AB2" s="87" t="s">
        <v>137</v>
      </c>
    </row>
    <row r="3" spans="1:28" ht="10" customHeight="1" x14ac:dyDescent="0.2"/>
    <row r="4" spans="1:28" ht="16" customHeight="1" x14ac:dyDescent="0.2">
      <c r="A4" s="88"/>
      <c r="B4" s="60"/>
      <c r="C4" s="266" t="s">
        <v>138</v>
      </c>
      <c r="D4" s="266"/>
      <c r="E4" s="266"/>
      <c r="F4" s="266"/>
      <c r="G4" s="266"/>
      <c r="H4" s="266"/>
      <c r="I4" s="266"/>
      <c r="J4" s="266"/>
      <c r="K4" s="266"/>
      <c r="L4" s="266"/>
      <c r="P4" s="268" t="s">
        <v>138</v>
      </c>
      <c r="Q4" s="268"/>
      <c r="R4" s="268"/>
      <c r="S4" s="268"/>
      <c r="T4" s="268"/>
      <c r="U4" s="268"/>
      <c r="V4" s="268"/>
      <c r="W4" s="268"/>
      <c r="X4" s="268"/>
      <c r="Y4" s="268"/>
      <c r="Z4" s="268"/>
      <c r="AB4" s="89"/>
    </row>
    <row r="5" spans="1:28" x14ac:dyDescent="0.2">
      <c r="B5" s="16" t="str">
        <f>Revenue!B5</f>
        <v>Revenues (thousand)</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O5" s="16" t="s">
        <v>139</v>
      </c>
      <c r="P5" s="12" t="str">
        <f>Revenue!S5</f>
        <v>Q3 2025</v>
      </c>
      <c r="Q5" s="12" t="str">
        <f>Revenue!T5</f>
        <v>Q4 2025</v>
      </c>
      <c r="R5" s="12" t="str">
        <f>Revenue!U5</f>
        <v>Q1 2026</v>
      </c>
      <c r="S5" s="12" t="str">
        <f>Revenue!V5</f>
        <v>Q2 2026</v>
      </c>
      <c r="T5" s="12" t="str">
        <f>Revenue!W5</f>
        <v>Q3 2026</v>
      </c>
      <c r="U5" s="12" t="str">
        <f>Revenue!X5</f>
        <v>Q4 2026</v>
      </c>
      <c r="V5" s="12" t="str">
        <f>Revenue!Y5</f>
        <v>Q1 2027</v>
      </c>
      <c r="W5" s="12" t="str">
        <f>Revenue!Z5</f>
        <v>Q2 2027</v>
      </c>
      <c r="X5" s="12" t="s">
        <v>140</v>
      </c>
      <c r="Y5" s="12" t="s">
        <v>141</v>
      </c>
      <c r="Z5" s="12" t="s">
        <v>142</v>
      </c>
      <c r="AB5" s="89" t="str">
        <f>Revenue!AE5</f>
        <v>FQ1</v>
      </c>
    </row>
    <row r="6" spans="1:28" x14ac:dyDescent="0.2">
      <c r="B6" s="16" t="s">
        <v>20</v>
      </c>
      <c r="C6" s="94">
        <f>Revenue!C9</f>
        <v>892252</v>
      </c>
      <c r="D6" s="94">
        <f>Revenue!D9</f>
        <v>1058581</v>
      </c>
      <c r="E6" s="94">
        <f>Revenue!E9</f>
        <v>1308072</v>
      </c>
      <c r="F6" s="94">
        <f>Revenue!F9</f>
        <v>1429664</v>
      </c>
      <c r="G6" s="95">
        <f>Revenue!G9</f>
        <v>1610572</v>
      </c>
      <c r="H6" s="94">
        <f>Revenue!H9</f>
        <v>1790684</v>
      </c>
      <c r="I6" s="94">
        <f>Revenue!I9</f>
        <v>1948364.4</v>
      </c>
      <c r="J6" s="94">
        <f>Revenue!J9</f>
        <v>2141616.1860000002</v>
      </c>
      <c r="K6" s="94">
        <f>Revenue!K9</f>
        <v>2302738.1571600004</v>
      </c>
      <c r="L6" s="94">
        <f>Revenue!L9</f>
        <v>2473527.4465896003</v>
      </c>
      <c r="N6" s="93"/>
      <c r="O6" s="16" t="s">
        <v>20</v>
      </c>
      <c r="P6" s="94">
        <f>Revenue!S9</f>
        <v>354653</v>
      </c>
      <c r="Q6" s="94">
        <f>Revenue!T9</f>
        <v>423646</v>
      </c>
      <c r="R6" s="94">
        <f>Revenue!U9</f>
        <v>356624</v>
      </c>
      <c r="S6" s="94">
        <f>Revenue!V9</f>
        <v>361728</v>
      </c>
      <c r="T6" s="94">
        <f>Revenue!W9</f>
        <v>411113</v>
      </c>
      <c r="U6" s="94">
        <f>Revenue!X9</f>
        <v>481107</v>
      </c>
      <c r="V6" s="94">
        <f>Revenue!Y9</f>
        <v>418382</v>
      </c>
      <c r="W6" s="95">
        <f>Revenue!Z9</f>
        <v>410256</v>
      </c>
      <c r="X6" s="94">
        <f>Revenue!AA9</f>
        <v>438680</v>
      </c>
      <c r="Y6" s="96"/>
      <c r="Z6" s="96"/>
      <c r="AB6" s="94">
        <f>Revenue!AE9</f>
        <v>1748425</v>
      </c>
    </row>
    <row r="7" spans="1:28" x14ac:dyDescent="0.2">
      <c r="N7" s="93"/>
    </row>
    <row r="8" spans="1:28" x14ac:dyDescent="0.2">
      <c r="N8" s="93"/>
    </row>
    <row r="9" spans="1:28" x14ac:dyDescent="0.2">
      <c r="C9" s="266" t="s">
        <v>164</v>
      </c>
      <c r="D9" s="266"/>
      <c r="E9" s="266"/>
      <c r="F9" s="266"/>
      <c r="G9" s="266"/>
      <c r="H9" s="266"/>
      <c r="I9" s="266"/>
      <c r="J9" s="266"/>
      <c r="K9" s="266"/>
      <c r="L9" s="266"/>
      <c r="N9" s="93"/>
      <c r="P9" s="268" t="s">
        <v>165</v>
      </c>
      <c r="Q9" s="268"/>
      <c r="R9" s="268"/>
      <c r="S9" s="268"/>
      <c r="T9" s="268"/>
      <c r="U9" s="268"/>
      <c r="V9" s="268"/>
      <c r="W9" s="268"/>
      <c r="X9" s="268"/>
      <c r="Y9" s="268"/>
      <c r="Z9" s="268"/>
      <c r="AB9" s="89">
        <f>AB4</f>
        <v>0</v>
      </c>
    </row>
    <row r="10" spans="1:28" x14ac:dyDescent="0.2">
      <c r="B10" s="16" t="s">
        <v>169</v>
      </c>
      <c r="C10" s="12">
        <f t="shared" ref="C10:L10" si="1">C5</f>
        <v>2022</v>
      </c>
      <c r="D10" s="12">
        <f t="shared" si="1"/>
        <v>2023</v>
      </c>
      <c r="E10" s="12">
        <f t="shared" si="1"/>
        <v>2024</v>
      </c>
      <c r="F10" s="12">
        <f t="shared" si="1"/>
        <v>2025</v>
      </c>
      <c r="G10" s="12">
        <f t="shared" si="1"/>
        <v>2026</v>
      </c>
      <c r="H10" s="12">
        <f t="shared" si="1"/>
        <v>2027</v>
      </c>
      <c r="I10" s="12">
        <f t="shared" si="1"/>
        <v>2028</v>
      </c>
      <c r="J10" s="12">
        <f t="shared" si="1"/>
        <v>2029</v>
      </c>
      <c r="K10" s="12">
        <f t="shared" si="1"/>
        <v>2030</v>
      </c>
      <c r="L10" s="12">
        <f t="shared" si="1"/>
        <v>2031</v>
      </c>
      <c r="N10" s="93"/>
      <c r="O10" s="16" t="s">
        <v>166</v>
      </c>
      <c r="P10" s="12" t="str">
        <f t="shared" ref="P10:Z10" si="2">P5</f>
        <v>Q3 2025</v>
      </c>
      <c r="Q10" s="12" t="str">
        <f t="shared" si="2"/>
        <v>Q4 2025</v>
      </c>
      <c r="R10" s="12" t="str">
        <f t="shared" si="2"/>
        <v>Q1 2026</v>
      </c>
      <c r="S10" s="12" t="str">
        <f t="shared" si="2"/>
        <v>Q2 2026</v>
      </c>
      <c r="T10" s="12" t="str">
        <f t="shared" si="2"/>
        <v>Q3 2026</v>
      </c>
      <c r="U10" s="12" t="str">
        <f t="shared" si="2"/>
        <v>Q4 2026</v>
      </c>
      <c r="V10" s="12" t="str">
        <f t="shared" si="2"/>
        <v>Q1 2027</v>
      </c>
      <c r="W10" s="12" t="str">
        <f t="shared" si="2"/>
        <v>Q2 2027</v>
      </c>
      <c r="X10" s="12" t="str">
        <f t="shared" si="2"/>
        <v>FQ1</v>
      </c>
      <c r="Y10" s="12" t="str">
        <f t="shared" si="2"/>
        <v>FQ2</v>
      </c>
      <c r="Z10" s="12" t="str">
        <f t="shared" si="2"/>
        <v>FQ3</v>
      </c>
      <c r="AB10" s="8" t="str">
        <f>AB5</f>
        <v>FQ1</v>
      </c>
    </row>
    <row r="11" spans="1:28" x14ac:dyDescent="0.2">
      <c r="B11" s="39" t="str">
        <f>Statement!B191</f>
        <v>Licenses COGS</v>
      </c>
      <c r="C11" s="128">
        <f>Statement!M191</f>
        <v>11888</v>
      </c>
      <c r="D11" s="128">
        <f>Statement!N191</f>
        <v>10421</v>
      </c>
      <c r="E11" s="128">
        <f>Statement!O191</f>
        <v>10469</v>
      </c>
      <c r="F11" s="128">
        <f>Statement!P191</f>
        <v>8565</v>
      </c>
      <c r="G11" s="129">
        <f>Statement!Q191</f>
        <v>5334</v>
      </c>
      <c r="H11" s="25">
        <f>H6*H23</f>
        <v>5372.0519999999997</v>
      </c>
      <c r="I11" s="25">
        <f t="shared" ref="I11:L11" si="3">I6*I23</f>
        <v>5845.0932000000003</v>
      </c>
      <c r="J11" s="25">
        <f t="shared" si="3"/>
        <v>4283.2323720000004</v>
      </c>
      <c r="K11" s="25">
        <f t="shared" si="3"/>
        <v>4605.4763143200007</v>
      </c>
      <c r="L11" s="25">
        <f t="shared" si="3"/>
        <v>4947.0548931792009</v>
      </c>
      <c r="N11" s="93"/>
      <c r="O11" s="39" t="str">
        <f>B11</f>
        <v>Licenses COGS</v>
      </c>
      <c r="P11" s="128">
        <f>Statement!T191</f>
        <v>2340</v>
      </c>
      <c r="Q11" s="128">
        <f>Statement!U191</f>
        <v>1231</v>
      </c>
      <c r="R11" s="128">
        <f>Statement!V191</f>
        <v>1268</v>
      </c>
      <c r="S11" s="128">
        <f>Statement!W191</f>
        <v>1200</v>
      </c>
      <c r="T11" s="128">
        <f>Statement!X191</f>
        <v>1311</v>
      </c>
      <c r="U11" s="128">
        <f>Statement!Y191</f>
        <v>1555</v>
      </c>
      <c r="V11" s="128">
        <f>Statement!Z191</f>
        <v>1664</v>
      </c>
      <c r="W11" s="129">
        <f>Statement!AA191</f>
        <v>1462</v>
      </c>
      <c r="X11" s="25">
        <f>X23*X$6</f>
        <v>1316.04</v>
      </c>
      <c r="Y11" s="25"/>
      <c r="Z11" s="25"/>
      <c r="AB11" s="24">
        <f>SUM(U11:X11)</f>
        <v>5997.04</v>
      </c>
    </row>
    <row r="12" spans="1:28" x14ac:dyDescent="0.2">
      <c r="B12" s="39" t="str">
        <f>Statement!B192</f>
        <v>Subscription services COGS</v>
      </c>
      <c r="C12" s="128">
        <f>Statement!M192</f>
        <v>60565</v>
      </c>
      <c r="D12" s="128">
        <f>Statement!N192</f>
        <v>87366</v>
      </c>
      <c r="E12" s="128">
        <f>Statement!O192</f>
        <v>111922</v>
      </c>
      <c r="F12" s="128">
        <f>Statement!P192</f>
        <v>167630</v>
      </c>
      <c r="G12" s="129">
        <f>Statement!Q192</f>
        <v>157588</v>
      </c>
      <c r="H12" s="25">
        <f>H6*H24</f>
        <v>179068.40000000002</v>
      </c>
      <c r="I12" s="25">
        <f t="shared" ref="I12:L12" si="4">I6*I24</f>
        <v>194836.44</v>
      </c>
      <c r="J12" s="25">
        <f t="shared" si="4"/>
        <v>192745.45674000002</v>
      </c>
      <c r="K12" s="25">
        <f t="shared" si="4"/>
        <v>207246.43414440003</v>
      </c>
      <c r="L12" s="25">
        <f t="shared" si="4"/>
        <v>197882.19572716803</v>
      </c>
      <c r="N12" s="93"/>
      <c r="O12" s="39" t="str">
        <f t="shared" ref="O12:O18" si="5">B12</f>
        <v>Subscription services COGS</v>
      </c>
      <c r="P12" s="128">
        <f>Statement!T192</f>
        <v>43487</v>
      </c>
      <c r="Q12" s="128">
        <f>Statement!U192</f>
        <v>43860</v>
      </c>
      <c r="R12" s="128">
        <f>Statement!V192</f>
        <v>38468</v>
      </c>
      <c r="S12" s="128">
        <f>Statement!W192</f>
        <v>38229</v>
      </c>
      <c r="T12" s="128">
        <f>Statement!X192</f>
        <v>40121</v>
      </c>
      <c r="U12" s="128">
        <f>Statement!Y192</f>
        <v>40770</v>
      </c>
      <c r="V12" s="128">
        <f>Statement!Z192</f>
        <v>43988</v>
      </c>
      <c r="W12" s="129">
        <f>Statement!AA192</f>
        <v>39679</v>
      </c>
      <c r="X12" s="25">
        <f>X24*X$6</f>
        <v>39481.199999999997</v>
      </c>
      <c r="Y12" s="25"/>
      <c r="Z12" s="25"/>
      <c r="AB12" s="24">
        <f>SUM(U12:X12)</f>
        <v>163918.20000000001</v>
      </c>
    </row>
    <row r="13" spans="1:28" x14ac:dyDescent="0.2">
      <c r="B13" s="39" t="str">
        <f>Statement!B193</f>
        <v>Professional services COGS</v>
      </c>
      <c r="C13" s="128">
        <f>Statement!M193</f>
        <v>96415</v>
      </c>
      <c r="D13" s="128">
        <f>Statement!N193</f>
        <v>82264</v>
      </c>
      <c r="E13" s="128">
        <f>Statement!O193</f>
        <v>73533</v>
      </c>
      <c r="F13" s="128">
        <f>Statement!P193</f>
        <v>70747</v>
      </c>
      <c r="G13" s="129">
        <f>Statement!Q193</f>
        <v>108062</v>
      </c>
      <c r="H13" s="25">
        <f>H6*H25</f>
        <v>125347.88</v>
      </c>
      <c r="I13" s="25">
        <f t="shared" ref="I13:L13" si="6">I6*I25</f>
        <v>126643.686</v>
      </c>
      <c r="J13" s="25">
        <f t="shared" si="6"/>
        <v>117788.89023000002</v>
      </c>
      <c r="K13" s="25">
        <f t="shared" si="6"/>
        <v>115136.90785800002</v>
      </c>
      <c r="L13" s="25">
        <f t="shared" si="6"/>
        <v>111308.73509653201</v>
      </c>
      <c r="N13" s="93"/>
      <c r="O13" s="39" t="str">
        <f t="shared" si="5"/>
        <v>Professional services COGS</v>
      </c>
      <c r="P13" s="128">
        <f>Statement!T193</f>
        <v>17936</v>
      </c>
      <c r="Q13" s="128">
        <f>Statement!U193</f>
        <v>19443</v>
      </c>
      <c r="R13" s="128">
        <f>Statement!V193</f>
        <v>24121</v>
      </c>
      <c r="S13" s="128">
        <f>Statement!W193</f>
        <v>24951</v>
      </c>
      <c r="T13" s="128">
        <f>Statement!X193</f>
        <v>27380</v>
      </c>
      <c r="U13" s="128">
        <f>Statement!Y193</f>
        <v>31610</v>
      </c>
      <c r="V13" s="128">
        <f>Statement!Z193</f>
        <v>31276</v>
      </c>
      <c r="W13" s="129">
        <f>Statement!AA193</f>
        <v>39446</v>
      </c>
      <c r="X13" s="25">
        <f>X25*X$6</f>
        <v>35094.400000000001</v>
      </c>
      <c r="Y13" s="25"/>
      <c r="Z13" s="25"/>
      <c r="AB13" s="24">
        <f>SUM(U13:X13)</f>
        <v>137426.4</v>
      </c>
    </row>
    <row r="14" spans="1:28" x14ac:dyDescent="0.2">
      <c r="B14" s="16" t="s">
        <v>21</v>
      </c>
      <c r="C14" s="125">
        <f>Statement!M6</f>
        <v>168868</v>
      </c>
      <c r="D14" s="125">
        <f>Statement!N6</f>
        <v>180051</v>
      </c>
      <c r="E14" s="125">
        <f>Statement!O6</f>
        <v>195924</v>
      </c>
      <c r="F14" s="125">
        <f>Statement!P6</f>
        <v>246942</v>
      </c>
      <c r="G14" s="126">
        <f>Statement!Q6</f>
        <v>270984</v>
      </c>
      <c r="H14" s="127">
        <f>SUM(H11:H13)</f>
        <v>309788.33200000005</v>
      </c>
      <c r="I14" s="127">
        <f t="shared" ref="I14:L14" si="7">SUM(I11:I13)</f>
        <v>327325.21919999999</v>
      </c>
      <c r="J14" s="127">
        <f t="shared" si="7"/>
        <v>314817.57934200007</v>
      </c>
      <c r="K14" s="127">
        <f t="shared" si="7"/>
        <v>326988.81831672008</v>
      </c>
      <c r="L14" s="127">
        <f t="shared" si="7"/>
        <v>314137.98571687925</v>
      </c>
      <c r="N14" s="93"/>
      <c r="O14" s="16" t="str">
        <f t="shared" si="5"/>
        <v>COGS</v>
      </c>
      <c r="P14" s="125">
        <f>Statement!T6</f>
        <v>63763</v>
      </c>
      <c r="Q14" s="125">
        <f>Statement!U6</f>
        <v>64534</v>
      </c>
      <c r="R14" s="125">
        <f>Statement!V6</f>
        <v>63857</v>
      </c>
      <c r="S14" s="125">
        <f>Statement!W6</f>
        <v>64380</v>
      </c>
      <c r="T14" s="125">
        <f>Statement!X6</f>
        <v>68812</v>
      </c>
      <c r="U14" s="125">
        <f>Statement!Y6</f>
        <v>73935</v>
      </c>
      <c r="V14" s="125">
        <f>Statement!Z6</f>
        <v>76928</v>
      </c>
      <c r="W14" s="126">
        <f>Statement!AA6</f>
        <v>80587</v>
      </c>
      <c r="X14" s="127">
        <f>SUM(X11:X13)</f>
        <v>75891.64</v>
      </c>
      <c r="Y14" s="127"/>
      <c r="Z14" s="127"/>
      <c r="AB14" s="127">
        <f>SUM(AB11:AB13)</f>
        <v>307341.64</v>
      </c>
    </row>
    <row r="15" spans="1:28" x14ac:dyDescent="0.2">
      <c r="B15" s="1" t="str">
        <f>Statement!B8</f>
        <v>Sales and marketing</v>
      </c>
      <c r="C15" s="100">
        <f>Statement!M8</f>
        <v>697682</v>
      </c>
      <c r="D15" s="100">
        <f>Statement!N8</f>
        <v>701558</v>
      </c>
      <c r="E15" s="100">
        <f>Statement!O8</f>
        <v>713130</v>
      </c>
      <c r="F15" s="100">
        <f>Statement!P8</f>
        <v>738493</v>
      </c>
      <c r="G15" s="101">
        <f>Statement!Q8</f>
        <v>683329</v>
      </c>
      <c r="H15" s="24">
        <f>H6*H27</f>
        <v>716273.60000000009</v>
      </c>
      <c r="I15" s="24">
        <f t="shared" ref="I15:L15" si="8">I6*I27</f>
        <v>779345.76</v>
      </c>
      <c r="J15" s="24">
        <f t="shared" si="8"/>
        <v>813814.15068000008</v>
      </c>
      <c r="K15" s="24">
        <f t="shared" si="8"/>
        <v>875040.4997208002</v>
      </c>
      <c r="L15" s="24">
        <f t="shared" si="8"/>
        <v>890469.88077225606</v>
      </c>
      <c r="N15" s="93"/>
      <c r="O15" s="39" t="str">
        <f t="shared" si="5"/>
        <v>Sales and marketing</v>
      </c>
      <c r="P15" s="100">
        <f>Statement!T8</f>
        <v>187188</v>
      </c>
      <c r="Q15" s="100">
        <f>Statement!U8</f>
        <v>176836</v>
      </c>
      <c r="R15" s="100">
        <f>Statement!V8</f>
        <v>159661</v>
      </c>
      <c r="S15" s="100">
        <f>Statement!W8</f>
        <v>166303</v>
      </c>
      <c r="T15" s="100">
        <f>Statement!X8</f>
        <v>179186</v>
      </c>
      <c r="U15" s="100">
        <f>Statement!Y8</f>
        <v>178179</v>
      </c>
      <c r="V15" s="100">
        <f>Statement!Z8</f>
        <v>167859</v>
      </c>
      <c r="W15" s="101">
        <f>Statement!AA8</f>
        <v>164606</v>
      </c>
      <c r="X15" s="25">
        <f>X27*X$6</f>
        <v>175472</v>
      </c>
      <c r="Y15" s="24"/>
      <c r="Z15" s="24"/>
      <c r="AB15" s="24">
        <f t="shared" ref="AB15:AB18" si="9">SUM(U15:X15)</f>
        <v>686116</v>
      </c>
    </row>
    <row r="16" spans="1:28" x14ac:dyDescent="0.2">
      <c r="B16" s="1" t="str">
        <f>Statement!B9</f>
        <v>R&amp;D</v>
      </c>
      <c r="C16" s="100">
        <f>Statement!M9</f>
        <v>276657</v>
      </c>
      <c r="D16" s="100">
        <f>Statement!N9</f>
        <v>285750</v>
      </c>
      <c r="E16" s="100">
        <f>Statement!O9</f>
        <v>332101</v>
      </c>
      <c r="F16" s="100">
        <f>Statement!P9</f>
        <v>380682</v>
      </c>
      <c r="G16" s="101">
        <f>Statement!Q9</f>
        <v>385208</v>
      </c>
      <c r="H16" s="24">
        <f>H6*H28</f>
        <v>447671</v>
      </c>
      <c r="I16" s="24">
        <f t="shared" ref="I16:L16" si="10">I6*I28</f>
        <v>487091.1</v>
      </c>
      <c r="J16" s="24">
        <f t="shared" si="10"/>
        <v>524695.96557</v>
      </c>
      <c r="K16" s="24">
        <f t="shared" si="10"/>
        <v>552657.15771840012</v>
      </c>
      <c r="L16" s="24">
        <f t="shared" si="10"/>
        <v>593646.587181504</v>
      </c>
      <c r="M16" s="92"/>
      <c r="N16" s="92"/>
      <c r="O16" s="39" t="str">
        <f t="shared" si="5"/>
        <v>R&amp;D</v>
      </c>
      <c r="P16" s="100">
        <f>Statement!T9</f>
        <v>96976</v>
      </c>
      <c r="Q16" s="100">
        <f>Statement!U9</f>
        <v>99670</v>
      </c>
      <c r="R16" s="100">
        <f>Statement!V9</f>
        <v>94839</v>
      </c>
      <c r="S16" s="100">
        <f>Statement!W9</f>
        <v>98341</v>
      </c>
      <c r="T16" s="100">
        <f>Statement!X9</f>
        <v>96869</v>
      </c>
      <c r="U16" s="100">
        <f>Statement!Y9</f>
        <v>95159</v>
      </c>
      <c r="V16" s="100">
        <f>Statement!Z9</f>
        <v>92902</v>
      </c>
      <c r="W16" s="101">
        <f>Statement!AA9</f>
        <v>83393</v>
      </c>
      <c r="X16" s="25">
        <f>X28*X$6</f>
        <v>100896.40000000001</v>
      </c>
      <c r="Y16" s="24"/>
      <c r="Z16" s="24"/>
      <c r="AB16" s="24">
        <f t="shared" si="9"/>
        <v>372350.4</v>
      </c>
    </row>
    <row r="17" spans="2:28" x14ac:dyDescent="0.2">
      <c r="B17" s="1" t="str">
        <f>Statement!B10</f>
        <v>General and administrative</v>
      </c>
      <c r="C17" s="100">
        <f>Statement!M10</f>
        <v>249991</v>
      </c>
      <c r="D17" s="100">
        <f>Statement!N10</f>
        <v>239505</v>
      </c>
      <c r="E17" s="100">
        <f>Statement!O10</f>
        <v>231637</v>
      </c>
      <c r="F17" s="100">
        <f>Statement!P10</f>
        <v>226116</v>
      </c>
      <c r="G17" s="101">
        <f>Statement!Q10</f>
        <v>214291</v>
      </c>
      <c r="H17" s="24">
        <f>H6*H29</f>
        <v>214882.08</v>
      </c>
      <c r="I17" s="24">
        <f t="shared" ref="I17:L17" si="11">I6*I29</f>
        <v>233803.72799999997</v>
      </c>
      <c r="J17" s="24">
        <f t="shared" si="11"/>
        <v>235577.78046000004</v>
      </c>
      <c r="K17" s="24">
        <f t="shared" si="11"/>
        <v>253301.19728760005</v>
      </c>
      <c r="L17" s="24">
        <f t="shared" si="11"/>
        <v>247352.74465896003</v>
      </c>
      <c r="M17" s="92"/>
      <c r="N17" s="92"/>
      <c r="O17" s="39" t="str">
        <f t="shared" si="5"/>
        <v>General and administrative</v>
      </c>
      <c r="P17" s="100">
        <f>Statement!T10</f>
        <v>50090</v>
      </c>
      <c r="Q17" s="100">
        <f>Statement!U10</f>
        <v>48997</v>
      </c>
      <c r="R17" s="100">
        <f>Statement!V10</f>
        <v>54679</v>
      </c>
      <c r="S17" s="100">
        <f>Statement!W10</f>
        <v>52889</v>
      </c>
      <c r="T17" s="100">
        <f>Statement!X10</f>
        <v>53175</v>
      </c>
      <c r="U17" s="100">
        <f>Statement!Y10</f>
        <v>53548</v>
      </c>
      <c r="V17" s="100">
        <f>Statement!Z10</f>
        <v>52706</v>
      </c>
      <c r="W17" s="101">
        <f>Statement!AA10</f>
        <v>50066</v>
      </c>
      <c r="X17" s="25">
        <f>X29*X$6</f>
        <v>57028.4</v>
      </c>
      <c r="Y17" s="24"/>
      <c r="Z17" s="24"/>
      <c r="AB17" s="24">
        <f t="shared" si="9"/>
        <v>213348.4</v>
      </c>
    </row>
    <row r="18" spans="2:28" x14ac:dyDescent="0.2">
      <c r="B18" s="16" t="s">
        <v>26</v>
      </c>
      <c r="C18" s="125">
        <f>Statement!M11</f>
        <v>1224330</v>
      </c>
      <c r="D18" s="125">
        <f>Statement!N11</f>
        <v>1226813</v>
      </c>
      <c r="E18" s="125">
        <f>Statement!O11</f>
        <v>1276868</v>
      </c>
      <c r="F18" s="125">
        <f>Statement!P11</f>
        <v>1345291</v>
      </c>
      <c r="G18" s="126">
        <f>Statement!Q11</f>
        <v>1282828</v>
      </c>
      <c r="H18" s="127">
        <f>SUM(H15:H17)</f>
        <v>1378826.6800000002</v>
      </c>
      <c r="I18" s="127">
        <f>SUM(I15:I17)</f>
        <v>1500240.5879999998</v>
      </c>
      <c r="J18" s="127">
        <f>SUM(J15:J17)</f>
        <v>1574087.89671</v>
      </c>
      <c r="K18" s="127">
        <f>SUM(K15:K17)</f>
        <v>1680998.8547268002</v>
      </c>
      <c r="L18" s="127">
        <f>SUM(L15:L17)</f>
        <v>1731469.2126127202</v>
      </c>
      <c r="M18" s="92"/>
      <c r="N18" s="92"/>
      <c r="O18" s="16" t="str">
        <f t="shared" si="5"/>
        <v>OpEx</v>
      </c>
      <c r="P18" s="125">
        <f>Statement!T11</f>
        <v>334254</v>
      </c>
      <c r="Q18" s="125">
        <f>Statement!U11</f>
        <v>325503</v>
      </c>
      <c r="R18" s="125">
        <f>Statement!V11</f>
        <v>309179</v>
      </c>
      <c r="S18" s="125">
        <f>Statement!W11</f>
        <v>317533</v>
      </c>
      <c r="T18" s="125">
        <f>Statement!X11</f>
        <v>329230</v>
      </c>
      <c r="U18" s="125">
        <f>Statement!Y11</f>
        <v>326886</v>
      </c>
      <c r="V18" s="125">
        <f>Statement!Z11</f>
        <v>313467</v>
      </c>
      <c r="W18" s="126">
        <f>Statement!AA11</f>
        <v>298065</v>
      </c>
      <c r="X18" s="127">
        <f>SUM(X15:X17)</f>
        <v>333396.80000000005</v>
      </c>
      <c r="Y18" s="127"/>
      <c r="Z18" s="127"/>
      <c r="AB18" s="127">
        <f t="shared" si="9"/>
        <v>1271814.8</v>
      </c>
    </row>
    <row r="21" spans="2:28" x14ac:dyDescent="0.2">
      <c r="C21" s="266" t="s">
        <v>167</v>
      </c>
      <c r="D21" s="266"/>
      <c r="E21" s="266"/>
      <c r="F21" s="266"/>
      <c r="G21" s="266"/>
      <c r="H21" s="266"/>
      <c r="I21" s="266"/>
      <c r="J21" s="266"/>
      <c r="K21" s="266"/>
      <c r="L21" s="266"/>
      <c r="P21" s="268" t="s">
        <v>167</v>
      </c>
      <c r="Q21" s="268"/>
      <c r="R21" s="268"/>
      <c r="S21" s="268"/>
      <c r="T21" s="268"/>
      <c r="U21" s="268"/>
      <c r="V21" s="268"/>
      <c r="W21" s="268"/>
      <c r="X21" s="268"/>
      <c r="Y21" s="268"/>
      <c r="Z21" s="268"/>
    </row>
    <row r="22" spans="2:28" x14ac:dyDescent="0.2">
      <c r="B22" s="16" t="s">
        <v>168</v>
      </c>
      <c r="C22" s="12">
        <f t="shared" ref="C22:L22" si="12">C5</f>
        <v>2022</v>
      </c>
      <c r="D22" s="12">
        <f t="shared" si="12"/>
        <v>2023</v>
      </c>
      <c r="E22" s="12">
        <f t="shared" si="12"/>
        <v>2024</v>
      </c>
      <c r="F22" s="12">
        <f t="shared" si="12"/>
        <v>2025</v>
      </c>
      <c r="G22" s="12">
        <f t="shared" si="12"/>
        <v>2026</v>
      </c>
      <c r="H22" s="12">
        <f t="shared" si="12"/>
        <v>2027</v>
      </c>
      <c r="I22" s="12">
        <f t="shared" si="12"/>
        <v>2028</v>
      </c>
      <c r="J22" s="12">
        <f t="shared" si="12"/>
        <v>2029</v>
      </c>
      <c r="K22" s="12">
        <f t="shared" si="12"/>
        <v>2030</v>
      </c>
      <c r="L22" s="12">
        <f t="shared" si="12"/>
        <v>2031</v>
      </c>
      <c r="O22" s="16" t="s">
        <v>168</v>
      </c>
      <c r="P22" s="12" t="str">
        <f t="shared" ref="P22:Z22" si="13">P5</f>
        <v>Q3 2025</v>
      </c>
      <c r="Q22" s="12" t="str">
        <f t="shared" si="13"/>
        <v>Q4 2025</v>
      </c>
      <c r="R22" s="12" t="str">
        <f t="shared" si="13"/>
        <v>Q1 2026</v>
      </c>
      <c r="S22" s="12" t="str">
        <f t="shared" si="13"/>
        <v>Q2 2026</v>
      </c>
      <c r="T22" s="12" t="str">
        <f t="shared" si="13"/>
        <v>Q3 2026</v>
      </c>
      <c r="U22" s="12" t="str">
        <f t="shared" si="13"/>
        <v>Q4 2026</v>
      </c>
      <c r="V22" s="12" t="str">
        <f t="shared" si="13"/>
        <v>Q1 2027</v>
      </c>
      <c r="W22" s="12" t="str">
        <f t="shared" si="13"/>
        <v>Q2 2027</v>
      </c>
      <c r="X22" s="12" t="str">
        <f t="shared" si="13"/>
        <v>FQ1</v>
      </c>
      <c r="Y22" s="12" t="str">
        <f t="shared" si="13"/>
        <v>FQ2</v>
      </c>
      <c r="Z22" s="12" t="str">
        <f t="shared" si="13"/>
        <v>FQ3</v>
      </c>
    </row>
    <row r="23" spans="2:28" x14ac:dyDescent="0.2">
      <c r="B23" s="1" t="str">
        <f>B11</f>
        <v>Licenses COGS</v>
      </c>
      <c r="C23" s="97">
        <f>C11/C$6</f>
        <v>1.3323590196491574E-2</v>
      </c>
      <c r="D23" s="97">
        <f>D11/D$6</f>
        <v>9.8443104495546403E-3</v>
      </c>
      <c r="E23" s="97">
        <f>E11/E$6</f>
        <v>8.0033820768275754E-3</v>
      </c>
      <c r="F23" s="97">
        <f>F11/F$6</f>
        <v>5.9909181458020905E-3</v>
      </c>
      <c r="G23" s="98">
        <f>G11/G$6</f>
        <v>3.3118668398556539E-3</v>
      </c>
      <c r="H23" s="99">
        <v>3.0000000000000001E-3</v>
      </c>
      <c r="I23" s="99">
        <v>3.0000000000000001E-3</v>
      </c>
      <c r="J23" s="99">
        <v>2E-3</v>
      </c>
      <c r="K23" s="99">
        <v>2E-3</v>
      </c>
      <c r="L23" s="99">
        <v>2E-3</v>
      </c>
      <c r="O23" s="1" t="str">
        <f>O11</f>
        <v>Licenses COGS</v>
      </c>
      <c r="P23" s="97">
        <f t="shared" ref="P23:W23" si="14">P11/P$6</f>
        <v>6.5979986070891826E-3</v>
      </c>
      <c r="Q23" s="97">
        <f t="shared" si="14"/>
        <v>2.9057278954598888E-3</v>
      </c>
      <c r="R23" s="97">
        <f t="shared" si="14"/>
        <v>3.5555655255955854E-3</v>
      </c>
      <c r="S23" s="97">
        <f t="shared" si="14"/>
        <v>3.3174097664543526E-3</v>
      </c>
      <c r="T23" s="97">
        <f t="shared" si="14"/>
        <v>3.1889042671966101E-3</v>
      </c>
      <c r="U23" s="97">
        <f t="shared" si="14"/>
        <v>3.2321292352844584E-3</v>
      </c>
      <c r="V23" s="97">
        <f t="shared" si="14"/>
        <v>3.9772265537236307E-3</v>
      </c>
      <c r="W23" s="98">
        <f t="shared" si="14"/>
        <v>3.5636285636285636E-3</v>
      </c>
      <c r="X23" s="99">
        <v>3.0000000000000001E-3</v>
      </c>
      <c r="Y23" s="99"/>
      <c r="Z23" s="99"/>
    </row>
    <row r="24" spans="2:28" x14ac:dyDescent="0.2">
      <c r="B24" s="1" t="str">
        <f t="shared" ref="B24:B26" si="15">B12</f>
        <v>Subscription services COGS</v>
      </c>
      <c r="C24" s="97">
        <f>C12/C$6</f>
        <v>6.7878805539242276E-2</v>
      </c>
      <c r="D24" s="97">
        <f t="shared" ref="D24:G24" si="16">D12/D$6</f>
        <v>8.2531237571806026E-2</v>
      </c>
      <c r="E24" s="97">
        <f t="shared" si="16"/>
        <v>8.5562568421310145E-2</v>
      </c>
      <c r="F24" s="97">
        <f t="shared" si="16"/>
        <v>0.11725132618573315</v>
      </c>
      <c r="G24" s="98">
        <f t="shared" si="16"/>
        <v>9.7845982669511208E-2</v>
      </c>
      <c r="H24" s="99">
        <v>0.1</v>
      </c>
      <c r="I24" s="99">
        <v>0.1</v>
      </c>
      <c r="J24" s="99">
        <v>0.09</v>
      </c>
      <c r="K24" s="99">
        <v>0.09</v>
      </c>
      <c r="L24" s="99">
        <v>0.08</v>
      </c>
      <c r="O24" s="1" t="str">
        <f t="shared" ref="O24:O30" si="17">O12</f>
        <v>Subscription services COGS</v>
      </c>
      <c r="P24" s="97">
        <f>P12/P$6</f>
        <v>0.12261844676345611</v>
      </c>
      <c r="Q24" s="97">
        <f t="shared" ref="Q24:W24" si="18">Q12/Q$6</f>
        <v>0.1035298338707317</v>
      </c>
      <c r="R24" s="97">
        <f t="shared" si="18"/>
        <v>0.10786710933644399</v>
      </c>
      <c r="S24" s="97">
        <f t="shared" si="18"/>
        <v>0.10568438163481954</v>
      </c>
      <c r="T24" s="97">
        <f t="shared" si="18"/>
        <v>9.7591173229744616E-2</v>
      </c>
      <c r="U24" s="97">
        <f t="shared" si="18"/>
        <v>8.4742063615786095E-2</v>
      </c>
      <c r="V24" s="97">
        <f t="shared" si="18"/>
        <v>0.10513836637331433</v>
      </c>
      <c r="W24" s="98">
        <f t="shared" si="18"/>
        <v>9.6717659217659221E-2</v>
      </c>
      <c r="X24" s="99">
        <v>0.09</v>
      </c>
      <c r="Y24" s="99"/>
      <c r="Z24" s="99"/>
    </row>
    <row r="25" spans="2:28" x14ac:dyDescent="0.2">
      <c r="B25" s="1" t="str">
        <f t="shared" si="15"/>
        <v>Professional services COGS</v>
      </c>
      <c r="C25" s="97">
        <f>C13/C$6</f>
        <v>0.10805803741543869</v>
      </c>
      <c r="D25" s="97">
        <f t="shared" ref="D25:G25" si="19">D13/D$6</f>
        <v>7.7711578046460311E-2</v>
      </c>
      <c r="E25" s="97">
        <f t="shared" si="19"/>
        <v>5.6214795515843165E-2</v>
      </c>
      <c r="F25" s="97">
        <f t="shared" si="19"/>
        <v>4.9485053830830183E-2</v>
      </c>
      <c r="G25" s="98">
        <f t="shared" si="19"/>
        <v>6.7095417031961313E-2</v>
      </c>
      <c r="H25" s="99">
        <v>7.0000000000000007E-2</v>
      </c>
      <c r="I25" s="99">
        <v>6.5000000000000002E-2</v>
      </c>
      <c r="J25" s="99">
        <v>5.5E-2</v>
      </c>
      <c r="K25" s="99">
        <v>0.05</v>
      </c>
      <c r="L25" s="99">
        <v>4.4999999999999998E-2</v>
      </c>
      <c r="O25" s="1" t="str">
        <f t="shared" si="17"/>
        <v>Professional services COGS</v>
      </c>
      <c r="P25" s="97">
        <f>P13/P$6</f>
        <v>5.0573377357586151E-2</v>
      </c>
      <c r="Q25" s="97">
        <f t="shared" ref="Q25:X30" si="20">Q13/Q$6</f>
        <v>4.589444961123202E-2</v>
      </c>
      <c r="R25" s="97">
        <f t="shared" si="20"/>
        <v>6.7637063125308441E-2</v>
      </c>
      <c r="S25" s="97">
        <f t="shared" si="20"/>
        <v>6.8977242569002117E-2</v>
      </c>
      <c r="T25" s="97">
        <f t="shared" si="20"/>
        <v>6.6599694001405946E-2</v>
      </c>
      <c r="U25" s="97">
        <f t="shared" si="20"/>
        <v>6.5702639953274425E-2</v>
      </c>
      <c r="V25" s="97">
        <f t="shared" si="20"/>
        <v>7.475465005664679E-2</v>
      </c>
      <c r="W25" s="98">
        <f t="shared" si="20"/>
        <v>9.6149721149721146E-2</v>
      </c>
      <c r="X25" s="99">
        <v>0.08</v>
      </c>
      <c r="Y25" s="99"/>
      <c r="Z25" s="99"/>
    </row>
    <row r="26" spans="2:28" x14ac:dyDescent="0.2">
      <c r="B26" s="16" t="str">
        <f t="shared" si="15"/>
        <v>COGS</v>
      </c>
      <c r="C26" s="107">
        <f>C14/C$6</f>
        <v>0.18926043315117255</v>
      </c>
      <c r="D26" s="107">
        <f t="shared" ref="D26:L26" si="21">D14/D$6</f>
        <v>0.17008712606782098</v>
      </c>
      <c r="E26" s="107">
        <f t="shared" si="21"/>
        <v>0.14978074601398089</v>
      </c>
      <c r="F26" s="107">
        <f t="shared" si="21"/>
        <v>0.17272729816236543</v>
      </c>
      <c r="G26" s="108">
        <f t="shared" si="21"/>
        <v>0.16825326654132816</v>
      </c>
      <c r="H26" s="107">
        <f t="shared" si="21"/>
        <v>0.17300000000000004</v>
      </c>
      <c r="I26" s="107">
        <f t="shared" si="21"/>
        <v>0.16800000000000001</v>
      </c>
      <c r="J26" s="107">
        <f t="shared" si="21"/>
        <v>0.14700000000000002</v>
      </c>
      <c r="K26" s="107">
        <f t="shared" si="21"/>
        <v>0.14200000000000002</v>
      </c>
      <c r="L26" s="107">
        <f t="shared" si="21"/>
        <v>0.127</v>
      </c>
      <c r="O26" s="16" t="str">
        <f t="shared" si="17"/>
        <v>COGS</v>
      </c>
      <c r="P26" s="107">
        <f>P14/P$6</f>
        <v>0.17978982272813143</v>
      </c>
      <c r="Q26" s="107">
        <f t="shared" ref="Q26:V26" si="22">Q14/Q$6</f>
        <v>0.15233001137742361</v>
      </c>
      <c r="R26" s="107">
        <f t="shared" si="22"/>
        <v>0.17905973798734801</v>
      </c>
      <c r="S26" s="107">
        <f t="shared" si="22"/>
        <v>0.17797903397027601</v>
      </c>
      <c r="T26" s="107">
        <f t="shared" si="22"/>
        <v>0.16737977149834718</v>
      </c>
      <c r="U26" s="107">
        <f t="shared" si="22"/>
        <v>0.15367683280434499</v>
      </c>
      <c r="V26" s="107">
        <f t="shared" si="22"/>
        <v>0.18387024298368476</v>
      </c>
      <c r="W26" s="108">
        <f t="shared" si="20"/>
        <v>0.19643100893100893</v>
      </c>
      <c r="X26" s="107">
        <f t="shared" si="20"/>
        <v>0.17299999999999999</v>
      </c>
      <c r="Y26" s="16"/>
      <c r="Z26" s="16"/>
    </row>
    <row r="27" spans="2:28" x14ac:dyDescent="0.2">
      <c r="B27" s="1" t="str">
        <f>B15</f>
        <v>Sales and marketing</v>
      </c>
      <c r="C27" s="97">
        <f t="shared" ref="C27:G27" si="23">C15/C$6</f>
        <v>0.78193380345462937</v>
      </c>
      <c r="D27" s="97">
        <f t="shared" si="23"/>
        <v>0.66273435854223717</v>
      </c>
      <c r="E27" s="97">
        <f t="shared" si="23"/>
        <v>0.54517641230757941</v>
      </c>
      <c r="F27" s="97">
        <f t="shared" si="23"/>
        <v>0.51655004252747494</v>
      </c>
      <c r="G27" s="98">
        <f t="shared" si="23"/>
        <v>0.42427721331303414</v>
      </c>
      <c r="H27" s="99">
        <v>0.4</v>
      </c>
      <c r="I27" s="99">
        <v>0.4</v>
      </c>
      <c r="J27" s="99">
        <v>0.38</v>
      </c>
      <c r="K27" s="99">
        <v>0.38</v>
      </c>
      <c r="L27" s="99">
        <v>0.36</v>
      </c>
      <c r="O27" s="1" t="str">
        <f t="shared" si="17"/>
        <v>Sales and marketing</v>
      </c>
      <c r="P27" s="97">
        <f>P15/P$6</f>
        <v>0.52780605267684189</v>
      </c>
      <c r="Q27" s="97">
        <f t="shared" ref="Q27:V27" si="24">Q15/Q$6</f>
        <v>0.41741453949759943</v>
      </c>
      <c r="R27" s="97">
        <f t="shared" si="24"/>
        <v>0.44770122033289966</v>
      </c>
      <c r="S27" s="97">
        <f t="shared" si="24"/>
        <v>0.45974599699221513</v>
      </c>
      <c r="T27" s="97">
        <f t="shared" si="24"/>
        <v>0.43585583525697313</v>
      </c>
      <c r="U27" s="97">
        <f t="shared" si="24"/>
        <v>0.37035212541077139</v>
      </c>
      <c r="V27" s="97">
        <f t="shared" si="24"/>
        <v>0.40120989908743682</v>
      </c>
      <c r="W27" s="98">
        <f t="shared" si="20"/>
        <v>0.40122752622752622</v>
      </c>
      <c r="X27" s="99">
        <v>0.4</v>
      </c>
      <c r="Y27" s="99"/>
      <c r="Z27" s="99"/>
    </row>
    <row r="28" spans="2:28" x14ac:dyDescent="0.2">
      <c r="B28" s="1" t="str">
        <f t="shared" ref="B28:B30" si="25">B16</f>
        <v>R&amp;D</v>
      </c>
      <c r="C28" s="97">
        <f t="shared" ref="C28:G28" si="26">C16/C$6</f>
        <v>0.31006599032560306</v>
      </c>
      <c r="D28" s="97">
        <f t="shared" si="26"/>
        <v>0.26993683053068213</v>
      </c>
      <c r="E28" s="97">
        <f t="shared" si="26"/>
        <v>0.25388587172571542</v>
      </c>
      <c r="F28" s="97">
        <f t="shared" si="26"/>
        <v>0.26627375383306845</v>
      </c>
      <c r="G28" s="98">
        <f t="shared" si="26"/>
        <v>0.23917465347714972</v>
      </c>
      <c r="H28" s="99">
        <v>0.25</v>
      </c>
      <c r="I28" s="99">
        <v>0.25</v>
      </c>
      <c r="J28" s="99">
        <v>0.245</v>
      </c>
      <c r="K28" s="99">
        <v>0.24</v>
      </c>
      <c r="L28" s="99">
        <v>0.24</v>
      </c>
      <c r="O28" s="1" t="str">
        <f t="shared" si="17"/>
        <v>R&amp;D</v>
      </c>
      <c r="P28" s="97">
        <f t="shared" ref="P28:V30" si="27">P16/P$6</f>
        <v>0.27343910808593186</v>
      </c>
      <c r="Q28" s="97">
        <f t="shared" si="27"/>
        <v>0.23526718061777993</v>
      </c>
      <c r="R28" s="97">
        <f t="shared" si="27"/>
        <v>0.26593555116873796</v>
      </c>
      <c r="S28" s="97">
        <f t="shared" si="27"/>
        <v>0.27186449486907288</v>
      </c>
      <c r="T28" s="97">
        <f t="shared" si="27"/>
        <v>0.23562621469036493</v>
      </c>
      <c r="U28" s="97">
        <f t="shared" si="27"/>
        <v>0.19779175942150082</v>
      </c>
      <c r="V28" s="97">
        <f t="shared" si="27"/>
        <v>0.22205066183535621</v>
      </c>
      <c r="W28" s="98">
        <f t="shared" si="20"/>
        <v>0.20327064077064078</v>
      </c>
      <c r="X28" s="99">
        <v>0.23</v>
      </c>
      <c r="Y28" s="99"/>
      <c r="Z28" s="99"/>
    </row>
    <row r="29" spans="2:28" x14ac:dyDescent="0.2">
      <c r="B29" s="1" t="str">
        <f t="shared" si="25"/>
        <v>General and administrative</v>
      </c>
      <c r="C29" s="97">
        <f t="shared" ref="C29:G29" si="28">C17/C$6</f>
        <v>0.28017981467119157</v>
      </c>
      <c r="D29" s="97">
        <f t="shared" si="28"/>
        <v>0.22625099071303945</v>
      </c>
      <c r="E29" s="97">
        <f t="shared" si="28"/>
        <v>0.17708275997039918</v>
      </c>
      <c r="F29" s="97">
        <f t="shared" si="28"/>
        <v>0.1581602390491752</v>
      </c>
      <c r="G29" s="98">
        <f t="shared" si="28"/>
        <v>0.13305272909252117</v>
      </c>
      <c r="H29" s="99">
        <v>0.12</v>
      </c>
      <c r="I29" s="99">
        <v>0.12</v>
      </c>
      <c r="J29" s="99">
        <v>0.11</v>
      </c>
      <c r="K29" s="99">
        <v>0.11</v>
      </c>
      <c r="L29" s="99">
        <v>0.1</v>
      </c>
      <c r="O29" s="1" t="str">
        <f t="shared" si="17"/>
        <v>General and administrative</v>
      </c>
      <c r="P29" s="97">
        <f t="shared" si="27"/>
        <v>0.14123664539705008</v>
      </c>
      <c r="Q29" s="97">
        <f t="shared" si="27"/>
        <v>0.11565552371555497</v>
      </c>
      <c r="R29" s="97">
        <f t="shared" si="27"/>
        <v>0.15332394903315535</v>
      </c>
      <c r="S29" s="97">
        <f t="shared" si="27"/>
        <v>0.14621207094833688</v>
      </c>
      <c r="T29" s="97">
        <f t="shared" si="27"/>
        <v>0.12934400031134993</v>
      </c>
      <c r="U29" s="97">
        <f t="shared" si="27"/>
        <v>0.11130164391704964</v>
      </c>
      <c r="V29" s="97">
        <f t="shared" si="27"/>
        <v>0.12597578289696976</v>
      </c>
      <c r="W29" s="98">
        <f t="shared" si="20"/>
        <v>0.12203599703599703</v>
      </c>
      <c r="X29" s="99">
        <v>0.13</v>
      </c>
      <c r="Y29" s="99"/>
      <c r="Z29" s="99"/>
    </row>
    <row r="30" spans="2:28" x14ac:dyDescent="0.2">
      <c r="B30" s="16" t="str">
        <f t="shared" si="25"/>
        <v>OpEx</v>
      </c>
      <c r="C30" s="107">
        <f>C18/C$6</f>
        <v>1.3721796084514239</v>
      </c>
      <c r="D30" s="107">
        <f t="shared" ref="D30:L30" si="29">D18/D$6</f>
        <v>1.1589221797859588</v>
      </c>
      <c r="E30" s="107">
        <f t="shared" si="29"/>
        <v>0.97614504400369395</v>
      </c>
      <c r="F30" s="107">
        <f t="shared" si="29"/>
        <v>0.94098403540971864</v>
      </c>
      <c r="G30" s="108">
        <f t="shared" si="29"/>
        <v>0.79650459588270506</v>
      </c>
      <c r="H30" s="107">
        <f t="shared" si="29"/>
        <v>0.77000000000000013</v>
      </c>
      <c r="I30" s="107">
        <f t="shared" si="29"/>
        <v>0.76999999999999991</v>
      </c>
      <c r="J30" s="107">
        <f t="shared" si="29"/>
        <v>0.73499999999999988</v>
      </c>
      <c r="K30" s="107">
        <f t="shared" si="29"/>
        <v>0.73</v>
      </c>
      <c r="L30" s="107">
        <f t="shared" si="29"/>
        <v>0.7</v>
      </c>
      <c r="O30" s="16" t="str">
        <f t="shared" si="17"/>
        <v>OpEx</v>
      </c>
      <c r="P30" s="107">
        <f t="shared" si="27"/>
        <v>0.9424818061598238</v>
      </c>
      <c r="Q30" s="107">
        <f t="shared" si="27"/>
        <v>0.76833724383093427</v>
      </c>
      <c r="R30" s="107">
        <f t="shared" si="27"/>
        <v>0.86696072053479289</v>
      </c>
      <c r="S30" s="107">
        <f t="shared" si="27"/>
        <v>0.8778225628096249</v>
      </c>
      <c r="T30" s="107">
        <f t="shared" si="27"/>
        <v>0.80082605025868803</v>
      </c>
      <c r="U30" s="107">
        <f t="shared" si="27"/>
        <v>0.67944552874932185</v>
      </c>
      <c r="V30" s="107">
        <f t="shared" si="27"/>
        <v>0.74923634381976278</v>
      </c>
      <c r="W30" s="108">
        <f t="shared" si="20"/>
        <v>0.72653416403416404</v>
      </c>
      <c r="X30" s="107">
        <f t="shared" si="20"/>
        <v>0.76000000000000012</v>
      </c>
      <c r="Y30" s="16"/>
      <c r="Z30" s="16"/>
    </row>
  </sheetData>
  <mergeCells count="10">
    <mergeCell ref="C9:L9"/>
    <mergeCell ref="P9:Z9"/>
    <mergeCell ref="C21:L21"/>
    <mergeCell ref="P21:Z21"/>
    <mergeCell ref="C2:G2"/>
    <mergeCell ref="H2:L2"/>
    <mergeCell ref="P2:W2"/>
    <mergeCell ref="X2:Z2"/>
    <mergeCell ref="C4:L4"/>
    <mergeCell ref="P4:Z4"/>
  </mergeCells>
  <pageMargins left="0.7" right="0.7" top="0.75" bottom="0.75" header="0.3" footer="0.3"/>
  <ignoredErrors>
    <ignoredError sqref="AB14 X14" formula="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zoomScale="189" zoomScaleNormal="100" workbookViewId="0">
      <selection activeCell="C45" sqref="C45"/>
    </sheetView>
  </sheetViews>
  <sheetFormatPr baseColWidth="10" defaultRowHeight="16" x14ac:dyDescent="0.2"/>
  <cols>
    <col min="1" max="1" width="2" style="85"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5" customFormat="1" ht="18" customHeight="1" x14ac:dyDescent="0.2">
      <c r="A1" s="4"/>
      <c r="B1" s="84" t="s">
        <v>170</v>
      </c>
    </row>
    <row r="2" spans="1:28" s="85" customFormat="1" ht="18" customHeight="1" x14ac:dyDescent="0.2">
      <c r="A2" s="4"/>
      <c r="B2" s="84"/>
    </row>
    <row r="3" spans="1:28" x14ac:dyDescent="0.2">
      <c r="A3" s="4"/>
      <c r="C3" s="258" t="s">
        <v>135</v>
      </c>
      <c r="D3" s="258"/>
      <c r="E3" s="258"/>
      <c r="F3" s="258"/>
      <c r="G3" s="264"/>
      <c r="H3" s="265" t="s">
        <v>136</v>
      </c>
      <c r="I3" s="258"/>
      <c r="J3" s="258"/>
      <c r="K3" s="258"/>
      <c r="L3" s="258"/>
      <c r="P3" s="269"/>
      <c r="Q3" s="269"/>
      <c r="R3" s="269"/>
      <c r="S3" s="269"/>
      <c r="T3" s="269"/>
      <c r="U3" s="269"/>
      <c r="V3" s="269"/>
      <c r="W3" s="269"/>
      <c r="X3" s="269"/>
      <c r="Y3" s="269"/>
      <c r="Z3" s="269"/>
      <c r="AB3" s="130"/>
    </row>
    <row r="4" spans="1:28" ht="10" customHeight="1" x14ac:dyDescent="0.2"/>
    <row r="5" spans="1:28" ht="16" customHeight="1" x14ac:dyDescent="0.2">
      <c r="A5" s="88"/>
      <c r="B5" s="60"/>
      <c r="C5" s="266" t="s">
        <v>138</v>
      </c>
      <c r="D5" s="266"/>
      <c r="E5" s="266"/>
      <c r="F5" s="266"/>
      <c r="G5" s="266"/>
      <c r="H5" s="266"/>
      <c r="I5" s="266"/>
      <c r="J5" s="266"/>
      <c r="K5" s="266"/>
      <c r="L5" s="266"/>
      <c r="P5" s="269"/>
      <c r="Q5" s="269"/>
      <c r="R5" s="269"/>
      <c r="S5" s="269"/>
      <c r="T5" s="269"/>
      <c r="U5" s="269"/>
      <c r="V5" s="269"/>
      <c r="W5" s="269"/>
      <c r="X5" s="269"/>
      <c r="Y5" s="269"/>
      <c r="Z5" s="269"/>
      <c r="AB5" s="131"/>
    </row>
    <row r="6" spans="1:28" x14ac:dyDescent="0.2">
      <c r="B6" s="16" t="s">
        <v>139</v>
      </c>
      <c r="C6" s="12">
        <f>Revenue!C5</f>
        <v>2022</v>
      </c>
      <c r="D6" s="12">
        <f>Revenue!D5</f>
        <v>2023</v>
      </c>
      <c r="E6" s="12">
        <f>Revenue!E5</f>
        <v>2024</v>
      </c>
      <c r="F6" s="12">
        <f>Revenue!F5</f>
        <v>2025</v>
      </c>
      <c r="G6" s="12">
        <f>Revenue!G5</f>
        <v>2026</v>
      </c>
      <c r="H6" s="12">
        <f>G6+1</f>
        <v>2027</v>
      </c>
      <c r="I6" s="12">
        <f t="shared" ref="I6:L6" si="0">H6+1</f>
        <v>2028</v>
      </c>
      <c r="J6" s="12">
        <f t="shared" si="0"/>
        <v>2029</v>
      </c>
      <c r="K6" s="12">
        <f t="shared" si="0"/>
        <v>2030</v>
      </c>
      <c r="L6" s="12">
        <f t="shared" si="0"/>
        <v>2031</v>
      </c>
      <c r="O6" s="16"/>
      <c r="P6" s="132"/>
      <c r="Q6" s="132"/>
      <c r="R6" s="132"/>
      <c r="S6" s="132"/>
      <c r="T6" s="132"/>
      <c r="U6" s="132"/>
      <c r="V6" s="132"/>
      <c r="W6" s="132"/>
      <c r="X6" s="132"/>
      <c r="Y6" s="132"/>
      <c r="Z6" s="132"/>
      <c r="AB6" s="131"/>
    </row>
    <row r="7" spans="1:28" x14ac:dyDescent="0.2">
      <c r="B7" s="16" t="s">
        <v>20</v>
      </c>
      <c r="C7" s="94">
        <f>Revenue!C9</f>
        <v>892252</v>
      </c>
      <c r="D7" s="94">
        <f>Revenue!D9</f>
        <v>1058581</v>
      </c>
      <c r="E7" s="94">
        <f>Revenue!E9</f>
        <v>1308072</v>
      </c>
      <c r="F7" s="94">
        <f>Revenue!F9</f>
        <v>1429664</v>
      </c>
      <c r="G7" s="95">
        <f>Revenue!G9</f>
        <v>1610572</v>
      </c>
      <c r="H7" s="94">
        <f>Revenue!H9</f>
        <v>1790684</v>
      </c>
      <c r="I7" s="94">
        <f>Revenue!I9</f>
        <v>1948364.4</v>
      </c>
      <c r="J7" s="94">
        <f>Revenue!J9</f>
        <v>2141616.1860000002</v>
      </c>
      <c r="K7" s="94">
        <f>Revenue!K9</f>
        <v>2302738.1571600004</v>
      </c>
      <c r="L7" s="94">
        <f>Revenue!L9</f>
        <v>2473527.4465896003</v>
      </c>
      <c r="N7" s="93"/>
      <c r="O7" s="16"/>
      <c r="P7" s="94"/>
      <c r="Q7" s="94"/>
      <c r="R7" s="94"/>
      <c r="S7" s="94"/>
      <c r="T7" s="94"/>
      <c r="U7" s="94"/>
      <c r="V7" s="94"/>
      <c r="W7" s="94"/>
      <c r="X7" s="96"/>
      <c r="Y7" s="96"/>
      <c r="Z7" s="96"/>
      <c r="AB7" s="96"/>
    </row>
    <row r="8" spans="1:28" x14ac:dyDescent="0.2">
      <c r="B8" s="39" t="s">
        <v>21</v>
      </c>
      <c r="C8" s="133">
        <f>'COGS &amp; OpEx'!C14</f>
        <v>168868</v>
      </c>
      <c r="D8" s="133">
        <f>'COGS &amp; OpEx'!D14</f>
        <v>180051</v>
      </c>
      <c r="E8" s="133">
        <f>'COGS &amp; OpEx'!E14</f>
        <v>195924</v>
      </c>
      <c r="F8" s="133">
        <f>'COGS &amp; OpEx'!F14</f>
        <v>246942</v>
      </c>
      <c r="G8" s="134">
        <f>'COGS &amp; OpEx'!G14</f>
        <v>270984</v>
      </c>
      <c r="H8" s="133">
        <f>'COGS &amp; OpEx'!H14</f>
        <v>309788.33200000005</v>
      </c>
      <c r="I8" s="133">
        <f>'COGS &amp; OpEx'!I14</f>
        <v>327325.21919999999</v>
      </c>
      <c r="J8" s="133">
        <f>'COGS &amp; OpEx'!J14</f>
        <v>314817.57934200007</v>
      </c>
      <c r="K8" s="133">
        <f>'COGS &amp; OpEx'!K14</f>
        <v>326988.81831672008</v>
      </c>
      <c r="L8" s="133">
        <f>'COGS &amp; OpEx'!L14</f>
        <v>314137.98571687925</v>
      </c>
      <c r="N8" s="93"/>
      <c r="O8" s="16"/>
      <c r="P8" s="94"/>
      <c r="Q8" s="94"/>
      <c r="R8" s="94"/>
      <c r="S8" s="94"/>
      <c r="T8" s="94"/>
      <c r="U8" s="94"/>
      <c r="V8" s="94"/>
      <c r="W8" s="94"/>
      <c r="X8" s="96"/>
      <c r="Y8" s="96"/>
      <c r="Z8" s="96"/>
      <c r="AB8" s="96"/>
    </row>
    <row r="9" spans="1:28" x14ac:dyDescent="0.2">
      <c r="N9" s="93"/>
    </row>
    <row r="10" spans="1:28" x14ac:dyDescent="0.2">
      <c r="N10" s="93"/>
    </row>
    <row r="11" spans="1:28" x14ac:dyDescent="0.2">
      <c r="C11" s="266" t="s">
        <v>171</v>
      </c>
      <c r="D11" s="266"/>
      <c r="E11" s="266"/>
      <c r="F11" s="266"/>
      <c r="G11" s="266"/>
      <c r="H11" s="266"/>
      <c r="I11" s="266"/>
      <c r="J11" s="266"/>
      <c r="K11" s="266"/>
      <c r="L11" s="266"/>
      <c r="N11" s="93"/>
      <c r="P11" s="269"/>
      <c r="Q11" s="269"/>
      <c r="R11" s="269"/>
      <c r="S11" s="269"/>
      <c r="T11" s="269"/>
      <c r="U11" s="269"/>
      <c r="V11" s="269"/>
      <c r="W11" s="269"/>
      <c r="X11" s="269"/>
      <c r="Y11" s="269"/>
      <c r="Z11" s="269"/>
      <c r="AB11" s="131"/>
    </row>
    <row r="12" spans="1:28" x14ac:dyDescent="0.2">
      <c r="B12" s="16" t="s">
        <v>172</v>
      </c>
      <c r="C12" s="12">
        <f t="shared" ref="C12:L12" si="1">C6</f>
        <v>2022</v>
      </c>
      <c r="D12" s="12">
        <f t="shared" si="1"/>
        <v>2023</v>
      </c>
      <c r="E12" s="12">
        <f t="shared" si="1"/>
        <v>2024</v>
      </c>
      <c r="F12" s="12">
        <f t="shared" si="1"/>
        <v>2025</v>
      </c>
      <c r="G12" s="12">
        <f t="shared" si="1"/>
        <v>2026</v>
      </c>
      <c r="H12" s="12">
        <f t="shared" si="1"/>
        <v>2027</v>
      </c>
      <c r="I12" s="12">
        <f t="shared" si="1"/>
        <v>2028</v>
      </c>
      <c r="J12" s="12">
        <f t="shared" si="1"/>
        <v>2029</v>
      </c>
      <c r="K12" s="12">
        <f t="shared" si="1"/>
        <v>2030</v>
      </c>
      <c r="L12" s="12">
        <f t="shared" si="1"/>
        <v>2031</v>
      </c>
      <c r="N12" s="93"/>
      <c r="O12" s="16"/>
      <c r="P12" s="132"/>
      <c r="Q12" s="132"/>
      <c r="R12" s="132"/>
      <c r="S12" s="132"/>
      <c r="T12" s="132"/>
      <c r="U12" s="132"/>
      <c r="V12" s="132"/>
      <c r="W12" s="132"/>
      <c r="X12" s="132"/>
      <c r="Y12" s="132"/>
      <c r="Z12" s="132"/>
      <c r="AB12" s="131"/>
    </row>
    <row r="13" spans="1:28" x14ac:dyDescent="0.2">
      <c r="B13" s="39" t="s">
        <v>173</v>
      </c>
      <c r="C13" s="135">
        <f>Statement!M30</f>
        <v>326819</v>
      </c>
      <c r="D13" s="135">
        <f>Statement!N30</f>
        <v>443477</v>
      </c>
      <c r="E13" s="135">
        <f>Statement!O30</f>
        <v>520493</v>
      </c>
      <c r="F13" s="135">
        <f>Statement!P30</f>
        <v>539866</v>
      </c>
      <c r="G13" s="136">
        <f>Statement!Q30</f>
        <v>580705</v>
      </c>
      <c r="H13" s="25">
        <f>H20*H7/365</f>
        <v>637777.8630136986</v>
      </c>
      <c r="I13" s="25">
        <f>I20*I7/365</f>
        <v>693938.00547945208</v>
      </c>
      <c r="J13" s="25">
        <f>J20*J7/365</f>
        <v>762767.40871232876</v>
      </c>
      <c r="K13" s="25">
        <f>K20*K7/365</f>
        <v>820153.31624876731</v>
      </c>
      <c r="L13" s="25">
        <f>L20*L7/365</f>
        <v>880982.37823739182</v>
      </c>
      <c r="N13" s="93"/>
      <c r="O13" s="16"/>
      <c r="P13" s="137"/>
      <c r="Q13" s="137"/>
      <c r="R13" s="137"/>
      <c r="S13" s="137"/>
      <c r="T13" s="137"/>
      <c r="U13" s="137"/>
      <c r="V13" s="137"/>
      <c r="W13" s="137"/>
      <c r="X13" s="127"/>
      <c r="Y13" s="127"/>
      <c r="Z13" s="127"/>
      <c r="AB13" s="24"/>
    </row>
    <row r="14" spans="1:28" x14ac:dyDescent="0.2">
      <c r="B14" s="39" t="s">
        <v>174</v>
      </c>
      <c r="C14" s="135">
        <f>Statement!M31</f>
        <v>0</v>
      </c>
      <c r="D14" s="135">
        <f>Statement!N31</f>
        <v>0</v>
      </c>
      <c r="E14" s="135">
        <f>Statement!O31</f>
        <v>0</v>
      </c>
      <c r="F14" s="135">
        <f>Statement!P31</f>
        <v>0</v>
      </c>
      <c r="G14" s="136">
        <f>Statement!Q31</f>
        <v>0</v>
      </c>
      <c r="H14" s="147">
        <f>H21*H8/365</f>
        <v>0</v>
      </c>
      <c r="I14" s="147">
        <f t="shared" ref="I14:L14" si="2">I21*I8/365</f>
        <v>0</v>
      </c>
      <c r="J14" s="147">
        <f t="shared" si="2"/>
        <v>0</v>
      </c>
      <c r="K14" s="147">
        <f t="shared" si="2"/>
        <v>0</v>
      </c>
      <c r="L14" s="147">
        <f t="shared" si="2"/>
        <v>0</v>
      </c>
      <c r="N14" s="93"/>
      <c r="O14" s="16"/>
      <c r="P14" s="137"/>
      <c r="Q14" s="137"/>
      <c r="R14" s="137"/>
      <c r="S14" s="137"/>
      <c r="T14" s="137"/>
      <c r="U14" s="137"/>
      <c r="V14" s="137"/>
      <c r="W14" s="137"/>
      <c r="X14" s="127"/>
      <c r="Y14" s="127"/>
      <c r="Z14" s="127"/>
      <c r="AB14" s="24"/>
    </row>
    <row r="15" spans="1:28" x14ac:dyDescent="0.2">
      <c r="B15" s="1" t="s">
        <v>175</v>
      </c>
      <c r="C15" s="135">
        <f>Statement!M38</f>
        <v>11515</v>
      </c>
      <c r="D15" s="135">
        <f>Statement!N38</f>
        <v>8891</v>
      </c>
      <c r="E15" s="135">
        <f>Statement!O38</f>
        <v>3447</v>
      </c>
      <c r="F15" s="135">
        <f>Statement!P38</f>
        <v>33178</v>
      </c>
      <c r="G15" s="136">
        <f>Statement!Q38</f>
        <v>10161</v>
      </c>
      <c r="H15" s="24">
        <f>H22*H8/365</f>
        <v>19520.908591780826</v>
      </c>
      <c r="I15" s="24">
        <f>I22*I8/365</f>
        <v>20625.972716712327</v>
      </c>
      <c r="J15" s="24">
        <f>J22*J8/365</f>
        <v>19837.820068126031</v>
      </c>
      <c r="K15" s="24">
        <f>K22*K8/365</f>
        <v>20604.774852834416</v>
      </c>
      <c r="L15" s="24">
        <f>L22*L8/365</f>
        <v>19794.996360241705</v>
      </c>
      <c r="N15" s="93"/>
      <c r="P15" s="138"/>
      <c r="Q15" s="138"/>
      <c r="R15" s="138"/>
      <c r="S15" s="138"/>
      <c r="T15" s="138"/>
      <c r="U15" s="138"/>
      <c r="V15" s="138"/>
      <c r="W15" s="138"/>
      <c r="X15" s="25"/>
      <c r="Y15" s="24"/>
      <c r="Z15" s="24"/>
      <c r="AB15" s="24"/>
    </row>
    <row r="16" spans="1:28" x14ac:dyDescent="0.2">
      <c r="D16" s="24"/>
    </row>
    <row r="18" spans="2:12" x14ac:dyDescent="0.2">
      <c r="C18" s="266" t="s">
        <v>176</v>
      </c>
      <c r="D18" s="266"/>
      <c r="E18" s="266"/>
      <c r="F18" s="266"/>
      <c r="G18" s="266"/>
      <c r="H18" s="266"/>
      <c r="I18" s="266"/>
      <c r="J18" s="266"/>
      <c r="K18" s="266"/>
      <c r="L18" s="266"/>
    </row>
    <row r="19" spans="2:12" x14ac:dyDescent="0.2">
      <c r="B19" s="16" t="s">
        <v>177</v>
      </c>
      <c r="C19" s="12">
        <f t="shared" ref="C19:L19" si="3">C6</f>
        <v>2022</v>
      </c>
      <c r="D19" s="12">
        <f t="shared" si="3"/>
        <v>2023</v>
      </c>
      <c r="E19" s="12">
        <f t="shared" si="3"/>
        <v>2024</v>
      </c>
      <c r="F19" s="12">
        <f t="shared" si="3"/>
        <v>2025</v>
      </c>
      <c r="G19" s="12">
        <f t="shared" si="3"/>
        <v>2026</v>
      </c>
      <c r="H19" s="12">
        <f t="shared" si="3"/>
        <v>2027</v>
      </c>
      <c r="I19" s="12">
        <f t="shared" si="3"/>
        <v>2028</v>
      </c>
      <c r="J19" s="12">
        <f t="shared" si="3"/>
        <v>2029</v>
      </c>
      <c r="K19" s="12">
        <f t="shared" si="3"/>
        <v>2030</v>
      </c>
      <c r="L19" s="12">
        <f t="shared" si="3"/>
        <v>2031</v>
      </c>
    </row>
    <row r="20" spans="2:12" x14ac:dyDescent="0.2">
      <c r="B20" s="1" t="s">
        <v>178</v>
      </c>
      <c r="C20" s="139">
        <f>C13/C7*365</f>
        <v>133.69421979440784</v>
      </c>
      <c r="D20" s="139">
        <f>D13/D7*365</f>
        <v>152.91140215061483</v>
      </c>
      <c r="E20" s="139">
        <f>E13/E7*365</f>
        <v>145.23661159324561</v>
      </c>
      <c r="F20" s="139">
        <f>F13/F7*365</f>
        <v>137.8303503480538</v>
      </c>
      <c r="G20" s="140">
        <f>G13/G7*365</f>
        <v>131.6037563052133</v>
      </c>
      <c r="H20" s="106">
        <v>130</v>
      </c>
      <c r="I20" s="106">
        <v>130</v>
      </c>
      <c r="J20" s="106">
        <v>130</v>
      </c>
      <c r="K20" s="106">
        <v>130</v>
      </c>
      <c r="L20" s="106">
        <v>130</v>
      </c>
    </row>
    <row r="21" spans="2:12" x14ac:dyDescent="0.2">
      <c r="B21" s="1" t="s">
        <v>179</v>
      </c>
      <c r="C21" s="139">
        <f>C14/C8*365</f>
        <v>0</v>
      </c>
      <c r="D21" s="139">
        <f t="shared" ref="D21:G21" si="4">D14/D8*365</f>
        <v>0</v>
      </c>
      <c r="E21" s="139">
        <f t="shared" si="4"/>
        <v>0</v>
      </c>
      <c r="F21" s="139">
        <f t="shared" si="4"/>
        <v>0</v>
      </c>
      <c r="G21" s="140">
        <f t="shared" si="4"/>
        <v>0</v>
      </c>
      <c r="H21" s="106">
        <v>0</v>
      </c>
      <c r="I21" s="106">
        <v>0</v>
      </c>
      <c r="J21" s="106">
        <v>0</v>
      </c>
      <c r="K21" s="106">
        <v>0</v>
      </c>
      <c r="L21" s="106">
        <v>0</v>
      </c>
    </row>
    <row r="22" spans="2:12" x14ac:dyDescent="0.2">
      <c r="B22" s="1" t="s">
        <v>180</v>
      </c>
      <c r="C22" s="139">
        <f>C15/C8*365</f>
        <v>24.889114574697395</v>
      </c>
      <c r="D22" s="139">
        <f>D15/D8*365</f>
        <v>18.023865460341792</v>
      </c>
      <c r="E22" s="139">
        <f>E15/E8*365</f>
        <v>6.4216481901145333</v>
      </c>
      <c r="F22" s="139">
        <f>F15/F8*365</f>
        <v>49.039734026613537</v>
      </c>
      <c r="G22" s="140">
        <f>G15/G8*365</f>
        <v>13.686287751306349</v>
      </c>
      <c r="H22" s="106">
        <v>23</v>
      </c>
      <c r="I22" s="106">
        <v>23</v>
      </c>
      <c r="J22" s="106">
        <v>23</v>
      </c>
      <c r="K22" s="106">
        <v>23</v>
      </c>
      <c r="L22" s="106">
        <v>23</v>
      </c>
    </row>
    <row r="23" spans="2:12" x14ac:dyDescent="0.2">
      <c r="B23" s="1" t="s">
        <v>181</v>
      </c>
      <c r="C23" s="139">
        <f>C20+C21-C22</f>
        <v>108.80510521971044</v>
      </c>
      <c r="D23" s="139">
        <f t="shared" ref="D23:L23" si="5">D20+D21-D22</f>
        <v>134.88753669027304</v>
      </c>
      <c r="E23" s="139">
        <f t="shared" si="5"/>
        <v>138.81496340313109</v>
      </c>
      <c r="F23" s="139">
        <f t="shared" si="5"/>
        <v>88.790616321440268</v>
      </c>
      <c r="G23" s="140">
        <f t="shared" si="5"/>
        <v>117.91746855390694</v>
      </c>
      <c r="H23" s="139">
        <f t="shared" si="5"/>
        <v>107</v>
      </c>
      <c r="I23" s="139">
        <f t="shared" si="5"/>
        <v>107</v>
      </c>
      <c r="J23" s="139">
        <f t="shared" si="5"/>
        <v>107</v>
      </c>
      <c r="K23" s="139">
        <f t="shared" si="5"/>
        <v>107</v>
      </c>
      <c r="L23" s="139">
        <f t="shared" si="5"/>
        <v>107</v>
      </c>
    </row>
    <row r="25" spans="2:12" x14ac:dyDescent="0.2">
      <c r="B25" s="269"/>
      <c r="C25" s="269"/>
    </row>
    <row r="26" spans="2:12" x14ac:dyDescent="0.2">
      <c r="B26" s="130"/>
      <c r="C26" s="266" t="s">
        <v>182</v>
      </c>
      <c r="D26" s="266"/>
      <c r="E26" s="266"/>
      <c r="F26" s="266"/>
      <c r="G26" s="266"/>
      <c r="H26" s="266"/>
      <c r="I26" s="266"/>
      <c r="J26" s="266"/>
      <c r="K26" s="266"/>
      <c r="L26" s="266"/>
    </row>
    <row r="27" spans="2:12" x14ac:dyDescent="0.2">
      <c r="B27" s="16" t="s">
        <v>172</v>
      </c>
      <c r="C27" s="12">
        <f t="shared" ref="C27:L27" si="6">C6</f>
        <v>2022</v>
      </c>
      <c r="D27" s="12">
        <f t="shared" si="6"/>
        <v>2023</v>
      </c>
      <c r="E27" s="12">
        <f t="shared" si="6"/>
        <v>2024</v>
      </c>
      <c r="F27" s="12">
        <f t="shared" si="6"/>
        <v>2025</v>
      </c>
      <c r="G27" s="12">
        <f t="shared" si="6"/>
        <v>2026</v>
      </c>
      <c r="H27" s="12">
        <f t="shared" si="6"/>
        <v>2027</v>
      </c>
      <c r="I27" s="12">
        <f t="shared" si="6"/>
        <v>2028</v>
      </c>
      <c r="J27" s="12">
        <f t="shared" si="6"/>
        <v>2029</v>
      </c>
      <c r="K27" s="12">
        <f t="shared" si="6"/>
        <v>2030</v>
      </c>
      <c r="L27" s="12">
        <f t="shared" si="6"/>
        <v>2031</v>
      </c>
    </row>
    <row r="28" spans="2:12" x14ac:dyDescent="0.2">
      <c r="B28" s="1" t="s">
        <v>183</v>
      </c>
      <c r="C28" s="135">
        <f>Statement!M55</f>
        <v>-86387</v>
      </c>
      <c r="D28" s="135">
        <f>Statement!N55</f>
        <v>-123783</v>
      </c>
      <c r="E28" s="135">
        <f>Statement!O55</f>
        <v>-64217</v>
      </c>
      <c r="F28" s="135">
        <f>Statement!P55</f>
        <v>-22173</v>
      </c>
      <c r="G28" s="136">
        <f>Statement!Q55</f>
        <v>-25802</v>
      </c>
      <c r="H28" s="147">
        <f>-(H13-G13)</f>
        <v>-57072.863013698603</v>
      </c>
      <c r="I28" s="147">
        <f t="shared" ref="I28:L29" si="7">-(I13-H13)</f>
        <v>-56160.142465753481</v>
      </c>
      <c r="J28" s="147">
        <f t="shared" si="7"/>
        <v>-68829.403232876677</v>
      </c>
      <c r="K28" s="147">
        <f t="shared" si="7"/>
        <v>-57385.90753643855</v>
      </c>
      <c r="L28" s="147">
        <f t="shared" si="7"/>
        <v>-60829.061988624511</v>
      </c>
    </row>
    <row r="29" spans="2:12" x14ac:dyDescent="0.2">
      <c r="B29" s="1" t="s">
        <v>184</v>
      </c>
      <c r="C29" s="135">
        <f>Statement!M56</f>
        <v>0</v>
      </c>
      <c r="D29" s="135">
        <f>Statement!N56</f>
        <v>0</v>
      </c>
      <c r="E29" s="135">
        <f>Statement!O56</f>
        <v>0</v>
      </c>
      <c r="F29" s="135">
        <f>Statement!P56</f>
        <v>0</v>
      </c>
      <c r="G29" s="136">
        <f>Statement!Q56</f>
        <v>0</v>
      </c>
      <c r="H29" s="147">
        <f>-(H14-G14)</f>
        <v>0</v>
      </c>
      <c r="I29" s="147">
        <f t="shared" si="7"/>
        <v>0</v>
      </c>
      <c r="J29" s="147">
        <f t="shared" si="7"/>
        <v>0</v>
      </c>
      <c r="K29" s="147">
        <f t="shared" si="7"/>
        <v>0</v>
      </c>
      <c r="L29" s="147">
        <f t="shared" si="7"/>
        <v>0</v>
      </c>
    </row>
    <row r="30" spans="2:12" x14ac:dyDescent="0.2">
      <c r="B30" s="1" t="s">
        <v>185</v>
      </c>
      <c r="C30" s="135">
        <f>Statement!M57</f>
        <v>3507</v>
      </c>
      <c r="D30" s="135">
        <f>Statement!N57</f>
        <v>-1571</v>
      </c>
      <c r="E30" s="135">
        <f>Statement!O57</f>
        <v>-5052</v>
      </c>
      <c r="F30" s="135">
        <f>Statement!P57</f>
        <v>27856</v>
      </c>
      <c r="G30" s="136">
        <f>Statement!Q57</f>
        <v>-21675</v>
      </c>
      <c r="H30" s="64">
        <f>H15-G15</f>
        <v>9359.9085917808261</v>
      </c>
      <c r="I30" s="64">
        <f t="shared" ref="I30:L30" si="8">I15-H15</f>
        <v>1105.0641249315013</v>
      </c>
      <c r="J30" s="64">
        <f t="shared" si="8"/>
        <v>-788.15264858629598</v>
      </c>
      <c r="K30" s="64">
        <f t="shared" si="8"/>
        <v>766.95478470838498</v>
      </c>
      <c r="L30" s="64">
        <f t="shared" si="8"/>
        <v>-809.7784925927117</v>
      </c>
    </row>
    <row r="31" spans="2:12" x14ac:dyDescent="0.2">
      <c r="B31" s="130"/>
      <c r="C31" s="130"/>
    </row>
    <row r="32" spans="2:12" x14ac:dyDescent="0.2">
      <c r="B32" s="130"/>
      <c r="C32" s="130"/>
    </row>
    <row r="33" spans="2:12" x14ac:dyDescent="0.2">
      <c r="B33" s="130"/>
      <c r="C33" s="266" t="s">
        <v>186</v>
      </c>
      <c r="D33" s="266"/>
      <c r="E33" s="266"/>
      <c r="F33" s="266"/>
      <c r="G33" s="266"/>
      <c r="H33" s="266"/>
      <c r="I33" s="266"/>
      <c r="J33" s="266"/>
      <c r="K33" s="266"/>
      <c r="L33" s="266"/>
    </row>
    <row r="34" spans="2:12" x14ac:dyDescent="0.2">
      <c r="B34" s="16" t="s">
        <v>172</v>
      </c>
      <c r="C34" s="12">
        <f t="shared" ref="C34:L34" si="9">C6</f>
        <v>2022</v>
      </c>
      <c r="D34" s="12">
        <f t="shared" si="9"/>
        <v>2023</v>
      </c>
      <c r="E34" s="12">
        <f t="shared" si="9"/>
        <v>2024</v>
      </c>
      <c r="F34" s="12">
        <f t="shared" si="9"/>
        <v>2025</v>
      </c>
      <c r="G34" s="12">
        <f t="shared" si="9"/>
        <v>2026</v>
      </c>
      <c r="H34" s="12">
        <f t="shared" si="9"/>
        <v>2027</v>
      </c>
      <c r="I34" s="12">
        <f t="shared" si="9"/>
        <v>2028</v>
      </c>
      <c r="J34" s="12">
        <f t="shared" si="9"/>
        <v>2029</v>
      </c>
      <c r="K34" s="12">
        <f t="shared" si="9"/>
        <v>2030</v>
      </c>
      <c r="L34" s="12">
        <f t="shared" si="9"/>
        <v>2031</v>
      </c>
    </row>
    <row r="35" spans="2:12" x14ac:dyDescent="0.2">
      <c r="B35" s="1" t="s">
        <v>187</v>
      </c>
      <c r="C35" s="135">
        <f>Statement!M55+Statement!M56+Statement!M57+Statement!M58</f>
        <v>-105902</v>
      </c>
      <c r="D35" s="135">
        <f>Statement!N55+Statement!N56+Statement!N57+Statement!N58</f>
        <v>-146687</v>
      </c>
      <c r="E35" s="135">
        <f>Statement!O55+Statement!O56+Statement!O57+Statement!O58</f>
        <v>-66928</v>
      </c>
      <c r="F35" s="135">
        <f>Statement!P55+Statement!P56+Statement!P57+Statement!P58</f>
        <v>-41772</v>
      </c>
      <c r="G35" s="136">
        <f>Statement!Q55+Statement!Q56+Statement!Q57+Statement!Q58</f>
        <v>-149207</v>
      </c>
      <c r="H35" s="147">
        <f>H36+H28+H29+H30</f>
        <v>-101433.47442191777</v>
      </c>
      <c r="I35" s="147">
        <f t="shared" ref="I35:L35" si="10">I36+I28+I29+I30</f>
        <v>-113506.01034082199</v>
      </c>
      <c r="J35" s="147">
        <f t="shared" si="10"/>
        <v>-133866.04146146297</v>
      </c>
      <c r="K35" s="147">
        <f t="shared" si="10"/>
        <v>-125701.09746653018</v>
      </c>
      <c r="L35" s="147">
        <f t="shared" si="10"/>
        <v>-135844.66387890521</v>
      </c>
    </row>
    <row r="36" spans="2:12" x14ac:dyDescent="0.2">
      <c r="B36" s="1" t="s">
        <v>188</v>
      </c>
      <c r="C36" s="141">
        <f>C35-C28-C29-C30</f>
        <v>-23022</v>
      </c>
      <c r="D36" s="141">
        <f t="shared" ref="D36:G36" si="11">D35-D28-D29-D30</f>
        <v>-21333</v>
      </c>
      <c r="E36" s="141">
        <f t="shared" si="11"/>
        <v>2341</v>
      </c>
      <c r="F36" s="141">
        <f t="shared" si="11"/>
        <v>-47455</v>
      </c>
      <c r="G36" s="142">
        <f t="shared" si="11"/>
        <v>-101730</v>
      </c>
      <c r="H36" s="64">
        <f>H7*H37</f>
        <v>-53720.52</v>
      </c>
      <c r="I36" s="64">
        <f>I7*I37</f>
        <v>-58450.931999999993</v>
      </c>
      <c r="J36" s="64">
        <f>J7*J37</f>
        <v>-64248.485580000008</v>
      </c>
      <c r="K36" s="64">
        <f>K7*K37</f>
        <v>-69082.144714800015</v>
      </c>
      <c r="L36" s="64">
        <f>L7*L37</f>
        <v>-74205.823397688</v>
      </c>
    </row>
    <row r="37" spans="2:12" x14ac:dyDescent="0.2">
      <c r="B37" s="143" t="s">
        <v>168</v>
      </c>
      <c r="C37" s="144">
        <f>C36/C7</f>
        <v>-2.5802127650036089E-2</v>
      </c>
      <c r="D37" s="144">
        <f>D36/D7</f>
        <v>-2.0152449363818169E-2</v>
      </c>
      <c r="E37" s="144">
        <f>E36/E7</f>
        <v>1.7896568384614914E-3</v>
      </c>
      <c r="F37" s="144">
        <f>F36/F7</f>
        <v>-3.3193113906484321E-2</v>
      </c>
      <c r="G37" s="145">
        <f>G36/G7</f>
        <v>-6.3163894566650849E-2</v>
      </c>
      <c r="H37" s="99">
        <v>-0.03</v>
      </c>
      <c r="I37" s="99">
        <v>-0.03</v>
      </c>
      <c r="J37" s="99">
        <v>-0.03</v>
      </c>
      <c r="K37" s="99">
        <v>-0.03</v>
      </c>
      <c r="L37" s="99">
        <v>-0.03</v>
      </c>
    </row>
    <row r="38" spans="2:12" x14ac:dyDescent="0.2">
      <c r="C38" s="64"/>
    </row>
    <row r="39" spans="2:12" x14ac:dyDescent="0.2">
      <c r="C39" s="146"/>
    </row>
    <row r="40" spans="2:12" x14ac:dyDescent="0.2">
      <c r="C40" s="266" t="s">
        <v>189</v>
      </c>
      <c r="D40" s="266"/>
      <c r="E40" s="266"/>
      <c r="F40" s="266"/>
      <c r="G40" s="266"/>
      <c r="H40" s="266"/>
      <c r="I40" s="266"/>
      <c r="J40" s="266"/>
      <c r="K40" s="266"/>
      <c r="L40" s="266"/>
    </row>
    <row r="41" spans="2:12" x14ac:dyDescent="0.2">
      <c r="B41" s="16" t="s">
        <v>172</v>
      </c>
      <c r="C41" s="12">
        <f t="shared" ref="C41:L41" si="12">C6</f>
        <v>2022</v>
      </c>
      <c r="D41" s="12">
        <f t="shared" si="12"/>
        <v>2023</v>
      </c>
      <c r="E41" s="12">
        <f t="shared" si="12"/>
        <v>2024</v>
      </c>
      <c r="F41" s="12">
        <f t="shared" si="12"/>
        <v>2025</v>
      </c>
      <c r="G41" s="12">
        <f t="shared" si="12"/>
        <v>2026</v>
      </c>
      <c r="H41" s="12">
        <f t="shared" si="12"/>
        <v>2027</v>
      </c>
      <c r="I41" s="12">
        <f t="shared" si="12"/>
        <v>2028</v>
      </c>
      <c r="J41" s="12">
        <f t="shared" si="12"/>
        <v>2029</v>
      </c>
      <c r="K41" s="12">
        <f t="shared" si="12"/>
        <v>2030</v>
      </c>
      <c r="L41" s="12">
        <f t="shared" si="12"/>
        <v>2031</v>
      </c>
    </row>
    <row r="42" spans="2:12" x14ac:dyDescent="0.2">
      <c r="B42" s="1" t="s">
        <v>58</v>
      </c>
      <c r="C42" s="135">
        <f>Statement!M53</f>
        <v>14705</v>
      </c>
      <c r="D42" s="135">
        <f>Statement!N53</f>
        <v>18723</v>
      </c>
      <c r="E42" s="135">
        <f>Statement!O53</f>
        <v>22597</v>
      </c>
      <c r="F42" s="135">
        <f>Statement!P53</f>
        <v>17232</v>
      </c>
      <c r="G42" s="136">
        <f>Statement!Q53</f>
        <v>16969</v>
      </c>
      <c r="H42" s="25">
        <f>H7*H43</f>
        <v>17906.84</v>
      </c>
      <c r="I42" s="25">
        <f>I7*I43</f>
        <v>19483.644</v>
      </c>
      <c r="J42" s="25">
        <f>J7*J43</f>
        <v>21416.161860000004</v>
      </c>
      <c r="K42" s="25">
        <f>K7*K43</f>
        <v>23027.381571600006</v>
      </c>
      <c r="L42" s="25">
        <f>L7*L43</f>
        <v>24735.274465896004</v>
      </c>
    </row>
    <row r="43" spans="2:12" x14ac:dyDescent="0.2">
      <c r="B43" s="143" t="s">
        <v>190</v>
      </c>
      <c r="C43" s="144">
        <f>C42/C7</f>
        <v>1.6480770006679728E-2</v>
      </c>
      <c r="D43" s="144">
        <f>D42/D7</f>
        <v>1.76868846125143E-2</v>
      </c>
      <c r="E43" s="144">
        <f>E42/E7</f>
        <v>1.7275042963995867E-2</v>
      </c>
      <c r="F43" s="144">
        <f>F42/F7</f>
        <v>1.2053181726615484E-2</v>
      </c>
      <c r="G43" s="145">
        <f>G42/G7</f>
        <v>1.0536008324992612E-2</v>
      </c>
      <c r="H43" s="99">
        <v>0.01</v>
      </c>
      <c r="I43" s="99">
        <v>0.01</v>
      </c>
      <c r="J43" s="99">
        <v>0.01</v>
      </c>
      <c r="K43" s="99">
        <v>0.01</v>
      </c>
      <c r="L43" s="99">
        <v>0.01</v>
      </c>
    </row>
    <row r="44" spans="2:12" x14ac:dyDescent="0.2">
      <c r="B44" s="143" t="s">
        <v>191</v>
      </c>
      <c r="C44" s="144">
        <f>C42/C45</f>
        <v>1.2431312875137375</v>
      </c>
      <c r="D44" s="144">
        <f t="shared" ref="D44:L44" si="13">D42/D45</f>
        <v>0.78618517740919591</v>
      </c>
      <c r="E44" s="144">
        <f t="shared" si="13"/>
        <v>3.0777717243257969</v>
      </c>
      <c r="F44" s="144">
        <f t="shared" si="13"/>
        <v>1.1547276016886685</v>
      </c>
      <c r="G44" s="145">
        <f t="shared" si="13"/>
        <v>0.89085468290634184</v>
      </c>
      <c r="H44" s="144">
        <f t="shared" si="13"/>
        <v>0.90909090909090917</v>
      </c>
      <c r="I44" s="144">
        <f t="shared" si="13"/>
        <v>0.90909090909090917</v>
      </c>
      <c r="J44" s="144">
        <f t="shared" si="13"/>
        <v>0.90909090909090928</v>
      </c>
      <c r="K44" s="144">
        <f t="shared" si="13"/>
        <v>0.90909090909090917</v>
      </c>
      <c r="L44" s="144">
        <f t="shared" si="13"/>
        <v>0.90909090909090917</v>
      </c>
    </row>
    <row r="45" spans="2:12" x14ac:dyDescent="0.2">
      <c r="B45" s="1" t="s">
        <v>61</v>
      </c>
      <c r="C45" s="135">
        <f>-Statement!M110</f>
        <v>11829</v>
      </c>
      <c r="D45" s="135">
        <f>-Statement!N110</f>
        <v>23815</v>
      </c>
      <c r="E45" s="135">
        <f>-Statement!O110</f>
        <v>7342</v>
      </c>
      <c r="F45" s="135">
        <f>-Statement!P110</f>
        <v>14923</v>
      </c>
      <c r="G45" s="136">
        <f>-Statement!Q110</f>
        <v>19048</v>
      </c>
      <c r="H45" s="25">
        <f>H7*H46</f>
        <v>19697.523999999998</v>
      </c>
      <c r="I45" s="25">
        <f>I7*I46</f>
        <v>21432.008399999999</v>
      </c>
      <c r="J45" s="25">
        <f>J7*J46</f>
        <v>23557.778045999999</v>
      </c>
      <c r="K45" s="25">
        <f>K7*K46</f>
        <v>25330.119728760004</v>
      </c>
      <c r="L45" s="25">
        <f>L7*L46</f>
        <v>27208.8019124856</v>
      </c>
    </row>
    <row r="46" spans="2:12" x14ac:dyDescent="0.2">
      <c r="B46" s="143" t="s">
        <v>190</v>
      </c>
      <c r="C46" s="144">
        <f>C45/C7</f>
        <v>1.325746537973577E-2</v>
      </c>
      <c r="D46" s="144">
        <f>D45/D7</f>
        <v>2.2497097529617479E-2</v>
      </c>
      <c r="E46" s="144">
        <f>E45/E7</f>
        <v>5.6128408833764501E-3</v>
      </c>
      <c r="F46" s="144">
        <f>F45/F7</f>
        <v>1.0438116928173332E-2</v>
      </c>
      <c r="G46" s="145">
        <f>G45/G7</f>
        <v>1.1826854061786744E-2</v>
      </c>
      <c r="H46" s="99">
        <v>1.0999999999999999E-2</v>
      </c>
      <c r="I46" s="99">
        <v>1.0999999999999999E-2</v>
      </c>
      <c r="J46" s="99">
        <v>1.0999999999999999E-2</v>
      </c>
      <c r="K46" s="99">
        <v>1.0999999999999999E-2</v>
      </c>
      <c r="L46" s="99">
        <v>1.0999999999999999E-2</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9" zoomScale="183" workbookViewId="0">
      <selection activeCell="G17" sqref="G17"/>
    </sheetView>
  </sheetViews>
  <sheetFormatPr baseColWidth="10" defaultRowHeight="16" x14ac:dyDescent="0.2"/>
  <cols>
    <col min="1" max="1" width="2" style="85"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5" customFormat="1" ht="18" customHeight="1" x14ac:dyDescent="0.2">
      <c r="A1" s="4"/>
      <c r="B1" s="84" t="s">
        <v>192</v>
      </c>
    </row>
    <row r="2" spans="1:31" x14ac:dyDescent="0.2">
      <c r="A2" s="4"/>
      <c r="C2" s="258" t="s">
        <v>135</v>
      </c>
      <c r="D2" s="258"/>
      <c r="E2" s="258"/>
      <c r="F2" s="258"/>
      <c r="G2" s="264"/>
      <c r="H2" s="265" t="s">
        <v>136</v>
      </c>
      <c r="I2" s="258"/>
      <c r="J2" s="258"/>
      <c r="K2" s="258"/>
      <c r="L2" s="258"/>
      <c r="S2" s="269"/>
      <c r="T2" s="269"/>
      <c r="U2" s="269"/>
      <c r="V2" s="269"/>
      <c r="W2" s="269"/>
      <c r="X2" s="269"/>
      <c r="Y2" s="269"/>
      <c r="Z2" s="269"/>
      <c r="AA2" s="269"/>
      <c r="AB2" s="269"/>
      <c r="AC2" s="269"/>
      <c r="AE2" s="130"/>
    </row>
    <row r="3" spans="1:31" ht="10" customHeight="1" x14ac:dyDescent="0.2"/>
    <row r="4" spans="1:31" ht="16" customHeight="1" x14ac:dyDescent="0.2">
      <c r="A4" s="88"/>
      <c r="B4" s="60"/>
      <c r="C4" s="266" t="s">
        <v>19</v>
      </c>
      <c r="D4" s="266"/>
      <c r="E4" s="266"/>
      <c r="F4" s="266"/>
      <c r="G4" s="266"/>
      <c r="H4" s="266"/>
      <c r="I4" s="266"/>
      <c r="J4" s="266"/>
      <c r="K4" s="266"/>
      <c r="L4" s="266"/>
      <c r="S4" s="269"/>
      <c r="T4" s="269"/>
      <c r="U4" s="269"/>
      <c r="V4" s="269"/>
      <c r="W4" s="269"/>
      <c r="X4" s="269"/>
      <c r="Y4" s="269"/>
      <c r="Z4" s="269"/>
      <c r="AA4" s="269"/>
      <c r="AB4" s="269"/>
      <c r="AC4" s="269"/>
      <c r="AE4" s="131"/>
    </row>
    <row r="5" spans="1:31" x14ac:dyDescent="0.2">
      <c r="B5" s="16" t="s">
        <v>172</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R5" s="16"/>
      <c r="S5" s="132"/>
      <c r="T5" s="132"/>
      <c r="U5" s="132"/>
      <c r="V5" s="132"/>
      <c r="W5" s="132"/>
      <c r="X5" s="132"/>
      <c r="Y5" s="132"/>
      <c r="Z5" s="132"/>
      <c r="AA5" s="132"/>
      <c r="AB5" s="132"/>
      <c r="AC5" s="132"/>
      <c r="AE5" s="131"/>
    </row>
    <row r="6" spans="1:31" x14ac:dyDescent="0.2">
      <c r="B6" s="16" t="s">
        <v>20</v>
      </c>
      <c r="C6" s="94">
        <f>Revenue!C9</f>
        <v>892252</v>
      </c>
      <c r="D6" s="94">
        <f>Revenue!D9</f>
        <v>1058581</v>
      </c>
      <c r="E6" s="94">
        <f>Revenue!E9</f>
        <v>1308072</v>
      </c>
      <c r="F6" s="94">
        <f>Revenue!F9</f>
        <v>1429664</v>
      </c>
      <c r="G6" s="95">
        <f>Revenue!G9</f>
        <v>1610572</v>
      </c>
      <c r="H6" s="94">
        <f>Revenue!H9</f>
        <v>1790684</v>
      </c>
      <c r="I6" s="94">
        <f>Revenue!I9</f>
        <v>1948364.4</v>
      </c>
      <c r="J6" s="94">
        <f>Revenue!J9</f>
        <v>2141616.1860000002</v>
      </c>
      <c r="K6" s="94">
        <f>Revenue!K9</f>
        <v>2302738.1571600004</v>
      </c>
      <c r="L6" s="94">
        <f>Revenue!L9</f>
        <v>2473527.4465896003</v>
      </c>
      <c r="N6" s="92" t="s">
        <v>193</v>
      </c>
      <c r="Q6" s="92"/>
      <c r="S6" s="90"/>
      <c r="T6" s="90"/>
      <c r="U6" s="90"/>
      <c r="V6" s="90"/>
      <c r="W6" s="90"/>
      <c r="X6" s="90"/>
      <c r="Y6" s="90"/>
      <c r="Z6" s="90"/>
      <c r="AA6" s="64"/>
      <c r="AB6" s="64"/>
      <c r="AC6" s="64"/>
      <c r="AE6" s="64"/>
    </row>
    <row r="7" spans="1:31" x14ac:dyDescent="0.2">
      <c r="B7" s="1" t="s">
        <v>21</v>
      </c>
      <c r="C7" s="90">
        <f>'COGS &amp; OpEx'!C14</f>
        <v>168868</v>
      </c>
      <c r="D7" s="90">
        <f>'COGS &amp; OpEx'!D14</f>
        <v>180051</v>
      </c>
      <c r="E7" s="90">
        <f>'COGS &amp; OpEx'!E14</f>
        <v>195924</v>
      </c>
      <c r="F7" s="90">
        <f>'COGS &amp; OpEx'!F14</f>
        <v>246942</v>
      </c>
      <c r="G7" s="91">
        <f>'COGS &amp; OpEx'!G14</f>
        <v>270984</v>
      </c>
      <c r="H7" s="133">
        <f>'COGS &amp; OpEx'!H14</f>
        <v>309788.33200000005</v>
      </c>
      <c r="I7" s="133">
        <f>'COGS &amp; OpEx'!I14</f>
        <v>327325.21919999999</v>
      </c>
      <c r="J7" s="133">
        <f>'COGS &amp; OpEx'!J14</f>
        <v>314817.57934200007</v>
      </c>
      <c r="K7" s="133">
        <f>'COGS &amp; OpEx'!K14</f>
        <v>326988.81831672008</v>
      </c>
      <c r="L7" s="133">
        <f>'COGS &amp; OpEx'!L14</f>
        <v>314137.98571687925</v>
      </c>
      <c r="N7" s="92" t="s">
        <v>194</v>
      </c>
      <c r="Q7" s="92"/>
      <c r="S7" s="90"/>
      <c r="T7" s="90"/>
      <c r="U7" s="90"/>
      <c r="V7" s="90"/>
      <c r="W7" s="90"/>
      <c r="X7" s="90"/>
      <c r="Y7" s="90"/>
      <c r="Z7" s="90"/>
      <c r="AA7" s="64"/>
      <c r="AB7" s="64"/>
      <c r="AC7" s="64"/>
      <c r="AE7" s="64"/>
    </row>
    <row r="8" spans="1:31" x14ac:dyDescent="0.2">
      <c r="B8" s="16" t="s">
        <v>195</v>
      </c>
      <c r="C8" s="96">
        <f>C6-C7</f>
        <v>723384</v>
      </c>
      <c r="D8" s="96">
        <f t="shared" ref="D8:L8" si="1">D6-D7</f>
        <v>878530</v>
      </c>
      <c r="E8" s="96">
        <f t="shared" si="1"/>
        <v>1112148</v>
      </c>
      <c r="F8" s="96">
        <f t="shared" si="1"/>
        <v>1182722</v>
      </c>
      <c r="G8" s="148">
        <f t="shared" si="1"/>
        <v>1339588</v>
      </c>
      <c r="H8" s="96">
        <f t="shared" si="1"/>
        <v>1480895.6680000001</v>
      </c>
      <c r="I8" s="96">
        <f t="shared" si="1"/>
        <v>1621039.1808</v>
      </c>
      <c r="J8" s="96">
        <f t="shared" si="1"/>
        <v>1826798.606658</v>
      </c>
      <c r="K8" s="96">
        <f t="shared" si="1"/>
        <v>1975749.3388432804</v>
      </c>
      <c r="L8" s="96">
        <f t="shared" si="1"/>
        <v>2159389.4608727209</v>
      </c>
      <c r="N8" s="92"/>
      <c r="Q8" s="92"/>
      <c r="S8" s="90"/>
      <c r="T8" s="90"/>
      <c r="U8" s="90"/>
      <c r="V8" s="90"/>
      <c r="W8" s="90"/>
      <c r="X8" s="90"/>
      <c r="Y8" s="90"/>
      <c r="Z8" s="90"/>
      <c r="AA8" s="64"/>
      <c r="AB8" s="64"/>
      <c r="AC8" s="64"/>
      <c r="AE8" s="64"/>
    </row>
    <row r="9" spans="1:31" x14ac:dyDescent="0.2">
      <c r="B9" s="1" t="s">
        <v>26</v>
      </c>
      <c r="C9" s="90">
        <f>'COGS &amp; OpEx'!C18</f>
        <v>1224330</v>
      </c>
      <c r="D9" s="90">
        <f>'COGS &amp; OpEx'!D18</f>
        <v>1226813</v>
      </c>
      <c r="E9" s="90">
        <f>'COGS &amp; OpEx'!E18</f>
        <v>1276868</v>
      </c>
      <c r="F9" s="90">
        <f>'COGS &amp; OpEx'!F18</f>
        <v>1345291</v>
      </c>
      <c r="G9" s="91">
        <f>'COGS &amp; OpEx'!G18</f>
        <v>1282828</v>
      </c>
      <c r="H9" s="133">
        <f>'COGS &amp; OpEx'!H18</f>
        <v>1378826.6800000002</v>
      </c>
      <c r="I9" s="133">
        <f>'COGS &amp; OpEx'!I18</f>
        <v>1500240.5879999998</v>
      </c>
      <c r="J9" s="133">
        <f>'COGS &amp; OpEx'!J18</f>
        <v>1574087.89671</v>
      </c>
      <c r="K9" s="133">
        <f>'COGS &amp; OpEx'!K18</f>
        <v>1680998.8547268002</v>
      </c>
      <c r="L9" s="133">
        <f>'COGS &amp; OpEx'!L18</f>
        <v>1731469.2126127202</v>
      </c>
      <c r="N9" s="149" t="s">
        <v>194</v>
      </c>
      <c r="Q9" s="92"/>
      <c r="S9" s="90"/>
      <c r="T9" s="90"/>
      <c r="U9" s="90"/>
      <c r="V9" s="90"/>
      <c r="W9" s="90"/>
      <c r="X9" s="90"/>
      <c r="Y9" s="90"/>
      <c r="Z9" s="90"/>
      <c r="AA9" s="64"/>
      <c r="AB9" s="64"/>
      <c r="AC9" s="64"/>
      <c r="AE9" s="64"/>
    </row>
    <row r="10" spans="1:31" x14ac:dyDescent="0.2">
      <c r="B10" s="16" t="s">
        <v>196</v>
      </c>
      <c r="C10" s="96">
        <f t="shared" ref="C10:L10" si="2">C8-C9</f>
        <v>-500946</v>
      </c>
      <c r="D10" s="96">
        <f t="shared" si="2"/>
        <v>-348283</v>
      </c>
      <c r="E10" s="96">
        <f t="shared" si="2"/>
        <v>-164720</v>
      </c>
      <c r="F10" s="96">
        <f t="shared" si="2"/>
        <v>-162569</v>
      </c>
      <c r="G10" s="148">
        <f t="shared" si="2"/>
        <v>56760</v>
      </c>
      <c r="H10" s="96">
        <f t="shared" si="2"/>
        <v>102068.9879999999</v>
      </c>
      <c r="I10" s="96">
        <f t="shared" si="2"/>
        <v>120798.59280000022</v>
      </c>
      <c r="J10" s="96">
        <f t="shared" si="2"/>
        <v>252710.70994800003</v>
      </c>
      <c r="K10" s="96">
        <f t="shared" si="2"/>
        <v>294750.48411648022</v>
      </c>
      <c r="L10" s="96">
        <f t="shared" si="2"/>
        <v>427920.24826000072</v>
      </c>
      <c r="N10" s="92"/>
      <c r="Q10" s="92"/>
      <c r="S10" s="90"/>
      <c r="T10" s="90"/>
      <c r="U10" s="90"/>
      <c r="V10" s="90"/>
      <c r="W10" s="90"/>
      <c r="X10" s="90"/>
      <c r="Y10" s="90"/>
      <c r="Z10" s="90"/>
      <c r="AA10" s="64"/>
      <c r="AB10" s="64"/>
      <c r="AC10" s="64"/>
      <c r="AE10" s="64"/>
    </row>
    <row r="13" spans="1:31" x14ac:dyDescent="0.2">
      <c r="C13" s="266" t="s">
        <v>197</v>
      </c>
      <c r="D13" s="266"/>
      <c r="E13" s="266"/>
      <c r="F13" s="266"/>
      <c r="G13" s="266"/>
      <c r="H13" s="266"/>
      <c r="I13" s="266"/>
      <c r="J13" s="266"/>
      <c r="K13" s="266"/>
      <c r="L13" s="266"/>
    </row>
    <row r="14" spans="1:31" x14ac:dyDescent="0.2">
      <c r="C14" s="12">
        <f t="shared" ref="C14:L14" si="3">C5</f>
        <v>2022</v>
      </c>
      <c r="D14" s="12">
        <f t="shared" si="3"/>
        <v>2023</v>
      </c>
      <c r="E14" s="12">
        <f t="shared" si="3"/>
        <v>2024</v>
      </c>
      <c r="F14" s="12">
        <f t="shared" si="3"/>
        <v>2025</v>
      </c>
      <c r="G14" s="12">
        <f t="shared" si="3"/>
        <v>2026</v>
      </c>
      <c r="H14" s="12">
        <f t="shared" si="3"/>
        <v>2027</v>
      </c>
      <c r="I14" s="12">
        <f t="shared" si="3"/>
        <v>2028</v>
      </c>
      <c r="J14" s="12">
        <f t="shared" si="3"/>
        <v>2029</v>
      </c>
      <c r="K14" s="12">
        <f t="shared" si="3"/>
        <v>2030</v>
      </c>
      <c r="L14" s="12">
        <f t="shared" si="3"/>
        <v>2031</v>
      </c>
    </row>
    <row r="15" spans="1:31" x14ac:dyDescent="0.2">
      <c r="B15" s="1" t="s">
        <v>74</v>
      </c>
      <c r="C15" s="150">
        <f>Statement!M83</f>
        <v>0</v>
      </c>
      <c r="D15" s="150">
        <f>Statement!N83</f>
        <v>0</v>
      </c>
      <c r="E15" s="150">
        <f>Statement!O83</f>
        <v>0</v>
      </c>
      <c r="F15" s="150">
        <f>Statement!P83</f>
        <v>0</v>
      </c>
      <c r="G15" s="151">
        <f>Statement!Q83</f>
        <v>0</v>
      </c>
      <c r="H15" s="150">
        <f>Overview!$C$26</f>
        <v>0.21</v>
      </c>
      <c r="I15" s="150">
        <f>Overview!$C$26</f>
        <v>0.21</v>
      </c>
      <c r="J15" s="150">
        <f>Overview!$C$26</f>
        <v>0.21</v>
      </c>
      <c r="K15" s="150">
        <f>Overview!$C$26</f>
        <v>0.21</v>
      </c>
      <c r="L15" s="150">
        <f>Overview!$C$26</f>
        <v>0.21</v>
      </c>
      <c r="N15" s="1" t="s">
        <v>202</v>
      </c>
    </row>
    <row r="18" spans="2:14" x14ac:dyDescent="0.2">
      <c r="C18" s="266" t="s">
        <v>198</v>
      </c>
      <c r="D18" s="266"/>
      <c r="E18" s="266"/>
      <c r="F18" s="266"/>
      <c r="G18" s="266"/>
      <c r="H18" s="266"/>
      <c r="I18" s="266"/>
      <c r="J18" s="266"/>
      <c r="K18" s="266"/>
      <c r="L18" s="266"/>
    </row>
    <row r="19" spans="2:14" x14ac:dyDescent="0.2">
      <c r="B19" s="16" t="s">
        <v>172</v>
      </c>
      <c r="C19" s="12">
        <f t="shared" ref="C19:L19" si="4">C5</f>
        <v>2022</v>
      </c>
      <c r="D19" s="12">
        <f t="shared" si="4"/>
        <v>2023</v>
      </c>
      <c r="E19" s="12">
        <f t="shared" si="4"/>
        <v>2024</v>
      </c>
      <c r="F19" s="12">
        <f t="shared" si="4"/>
        <v>2025</v>
      </c>
      <c r="G19" s="12">
        <f t="shared" si="4"/>
        <v>2026</v>
      </c>
      <c r="H19" s="12">
        <f t="shared" si="4"/>
        <v>2027</v>
      </c>
      <c r="I19" s="12">
        <f t="shared" si="4"/>
        <v>2028</v>
      </c>
      <c r="J19" s="12">
        <f t="shared" si="4"/>
        <v>2029</v>
      </c>
      <c r="K19" s="12">
        <f t="shared" si="4"/>
        <v>2030</v>
      </c>
      <c r="L19" s="12">
        <f t="shared" si="4"/>
        <v>2031</v>
      </c>
    </row>
    <row r="20" spans="2:14" x14ac:dyDescent="0.2">
      <c r="B20" s="1" t="s">
        <v>58</v>
      </c>
      <c r="C20" s="90">
        <f>'WC &amp; Investments'!C42</f>
        <v>14705</v>
      </c>
      <c r="D20" s="90">
        <f>'WC &amp; Investments'!D42</f>
        <v>18723</v>
      </c>
      <c r="E20" s="90">
        <f>'WC &amp; Investments'!E42</f>
        <v>22597</v>
      </c>
      <c r="F20" s="90">
        <f>'WC &amp; Investments'!F42</f>
        <v>17232</v>
      </c>
      <c r="G20" s="91">
        <f>'WC &amp; Investments'!G42</f>
        <v>16969</v>
      </c>
      <c r="H20" s="90">
        <f>'WC &amp; Investments'!H42</f>
        <v>17906.84</v>
      </c>
      <c r="I20" s="90">
        <f>'WC &amp; Investments'!I42</f>
        <v>19483.644</v>
      </c>
      <c r="J20" s="90">
        <f>'WC &amp; Investments'!J42</f>
        <v>21416.161860000004</v>
      </c>
      <c r="K20" s="90">
        <f>'WC &amp; Investments'!K42</f>
        <v>23027.381571600006</v>
      </c>
      <c r="L20" s="90">
        <f>'WC &amp; Investments'!L42</f>
        <v>24735.274465896004</v>
      </c>
      <c r="N20" s="1" t="s">
        <v>199</v>
      </c>
    </row>
    <row r="21" spans="2:14" x14ac:dyDescent="0.2">
      <c r="B21" s="1" t="s">
        <v>61</v>
      </c>
      <c r="C21" s="90">
        <f>'WC &amp; Investments'!C45</f>
        <v>11829</v>
      </c>
      <c r="D21" s="90">
        <f>'WC &amp; Investments'!D45</f>
        <v>23815</v>
      </c>
      <c r="E21" s="90">
        <f>'WC &amp; Investments'!E45</f>
        <v>7342</v>
      </c>
      <c r="F21" s="90">
        <f>'WC &amp; Investments'!F45</f>
        <v>14923</v>
      </c>
      <c r="G21" s="91">
        <f>'WC &amp; Investments'!G45</f>
        <v>19048</v>
      </c>
      <c r="H21" s="90">
        <f>'WC &amp; Investments'!H45</f>
        <v>19697.523999999998</v>
      </c>
      <c r="I21" s="90">
        <f>'WC &amp; Investments'!I45</f>
        <v>21432.008399999999</v>
      </c>
      <c r="J21" s="90">
        <f>'WC &amp; Investments'!J45</f>
        <v>23557.778045999999</v>
      </c>
      <c r="K21" s="90">
        <f>'WC &amp; Investments'!K45</f>
        <v>25330.119728760004</v>
      </c>
      <c r="L21" s="90">
        <f>'WC &amp; Investments'!L45</f>
        <v>27208.8019124856</v>
      </c>
      <c r="N21" s="1" t="s">
        <v>199</v>
      </c>
    </row>
    <row r="22" spans="2:14" x14ac:dyDescent="0.2">
      <c r="B22" s="1" t="s">
        <v>200</v>
      </c>
      <c r="C22" s="90">
        <f>'WC &amp; Investments'!C35</f>
        <v>-105902</v>
      </c>
      <c r="D22" s="90">
        <f>'WC &amp; Investments'!D35</f>
        <v>-146687</v>
      </c>
      <c r="E22" s="90">
        <f>'WC &amp; Investments'!E35</f>
        <v>-66928</v>
      </c>
      <c r="F22" s="90">
        <f>'WC &amp; Investments'!F35</f>
        <v>-41772</v>
      </c>
      <c r="G22" s="91">
        <f>'WC &amp; Investments'!G35</f>
        <v>-149207</v>
      </c>
      <c r="H22" s="90">
        <f>'WC &amp; Investments'!H35</f>
        <v>-101433.47442191777</v>
      </c>
      <c r="I22" s="90">
        <f>'WC &amp; Investments'!I35</f>
        <v>-113506.01034082199</v>
      </c>
      <c r="J22" s="90">
        <f>'WC &amp; Investments'!J35</f>
        <v>-133866.04146146297</v>
      </c>
      <c r="K22" s="90">
        <f>'WC &amp; Investments'!K35</f>
        <v>-125701.09746653018</v>
      </c>
      <c r="L22" s="90">
        <f>'WC &amp; Investments'!L35</f>
        <v>-135844.66387890521</v>
      </c>
      <c r="N22" s="1" t="s">
        <v>199</v>
      </c>
    </row>
    <row r="25" spans="2:14" x14ac:dyDescent="0.2">
      <c r="C25" s="266" t="s">
        <v>304</v>
      </c>
      <c r="D25" s="266"/>
      <c r="E25" s="266"/>
      <c r="F25" s="266"/>
      <c r="G25" s="266"/>
      <c r="H25" s="266"/>
      <c r="I25" s="266"/>
      <c r="J25" s="266"/>
      <c r="K25" s="266"/>
      <c r="L25" s="266"/>
    </row>
    <row r="26" spans="2:14" x14ac:dyDescent="0.2">
      <c r="B26" s="16" t="s">
        <v>172</v>
      </c>
      <c r="C26" s="12">
        <f t="shared" ref="C26:L26" si="5">C5</f>
        <v>2022</v>
      </c>
      <c r="D26" s="12">
        <f t="shared" si="5"/>
        <v>2023</v>
      </c>
      <c r="E26" s="12">
        <f t="shared" si="5"/>
        <v>2024</v>
      </c>
      <c r="F26" s="12">
        <f t="shared" si="5"/>
        <v>2025</v>
      </c>
      <c r="G26" s="12">
        <f t="shared" si="5"/>
        <v>2026</v>
      </c>
      <c r="H26" s="12">
        <f t="shared" si="5"/>
        <v>2027</v>
      </c>
      <c r="I26" s="12">
        <f t="shared" si="5"/>
        <v>2028</v>
      </c>
      <c r="J26" s="12">
        <f t="shared" si="5"/>
        <v>2029</v>
      </c>
      <c r="K26" s="12">
        <f t="shared" si="5"/>
        <v>2030</v>
      </c>
      <c r="L26" s="12">
        <f t="shared" si="5"/>
        <v>2031</v>
      </c>
    </row>
    <row r="27" spans="2:14" x14ac:dyDescent="0.2">
      <c r="B27" s="1" t="s">
        <v>201</v>
      </c>
      <c r="C27" s="147">
        <f>C10*(1-C15)</f>
        <v>-500946</v>
      </c>
      <c r="D27" s="147">
        <f t="shared" ref="D27:L27" si="6">D10*(1-D15)</f>
        <v>-348283</v>
      </c>
      <c r="E27" s="147">
        <f t="shared" si="6"/>
        <v>-164720</v>
      </c>
      <c r="F27" s="147">
        <f t="shared" si="6"/>
        <v>-162569</v>
      </c>
      <c r="G27" s="152">
        <f t="shared" si="6"/>
        <v>56760</v>
      </c>
      <c r="H27" s="147">
        <f t="shared" si="6"/>
        <v>80634.500519999914</v>
      </c>
      <c r="I27" s="147">
        <f t="shared" si="6"/>
        <v>95430.88831200017</v>
      </c>
      <c r="J27" s="147">
        <f t="shared" si="6"/>
        <v>199641.46085892004</v>
      </c>
      <c r="K27" s="147">
        <f t="shared" si="6"/>
        <v>232852.88245201937</v>
      </c>
      <c r="L27" s="147">
        <f t="shared" si="6"/>
        <v>338056.99612540059</v>
      </c>
    </row>
    <row r="28" spans="2:14" x14ac:dyDescent="0.2">
      <c r="B28" s="16" t="s">
        <v>304</v>
      </c>
      <c r="C28" s="96">
        <f>C27+C20-C21+C22</f>
        <v>-603972</v>
      </c>
      <c r="D28" s="96">
        <f t="shared" ref="D28:L28" si="7">D27+D20-D21+D22</f>
        <v>-500062</v>
      </c>
      <c r="E28" s="96">
        <f t="shared" si="7"/>
        <v>-216393</v>
      </c>
      <c r="F28" s="96">
        <f t="shared" si="7"/>
        <v>-202032</v>
      </c>
      <c r="G28" s="148">
        <f t="shared" si="7"/>
        <v>-94526</v>
      </c>
      <c r="H28" s="96">
        <f t="shared" si="7"/>
        <v>-22589.657901917861</v>
      </c>
      <c r="I28" s="96">
        <f t="shared" si="7"/>
        <v>-20023.486428821809</v>
      </c>
      <c r="J28" s="96">
        <f t="shared" si="7"/>
        <v>63633.803211457067</v>
      </c>
      <c r="K28" s="96">
        <f t="shared" si="7"/>
        <v>104849.0468283292</v>
      </c>
      <c r="L28" s="96">
        <f t="shared" si="7"/>
        <v>199738.80479990577</v>
      </c>
    </row>
    <row r="31" spans="2:14" x14ac:dyDescent="0.2">
      <c r="C31" s="266" t="s">
        <v>78</v>
      </c>
      <c r="D31" s="266"/>
      <c r="E31" s="266"/>
      <c r="F31" s="266"/>
      <c r="G31" s="266"/>
      <c r="H31" s="266"/>
      <c r="I31" s="266"/>
      <c r="J31" s="266"/>
      <c r="K31" s="266"/>
      <c r="L31" s="266"/>
    </row>
    <row r="32" spans="2:14" x14ac:dyDescent="0.2">
      <c r="B32" s="16" t="s">
        <v>380</v>
      </c>
      <c r="C32" s="12">
        <f>C5</f>
        <v>2022</v>
      </c>
      <c r="D32" s="12">
        <f t="shared" ref="D32:L32" si="8">D5</f>
        <v>2023</v>
      </c>
      <c r="E32" s="12">
        <f t="shared" si="8"/>
        <v>2024</v>
      </c>
      <c r="F32" s="12">
        <f t="shared" si="8"/>
        <v>2025</v>
      </c>
      <c r="G32" s="12">
        <f t="shared" si="8"/>
        <v>2026</v>
      </c>
      <c r="H32" s="12">
        <f t="shared" si="8"/>
        <v>2027</v>
      </c>
      <c r="I32" s="12">
        <f t="shared" si="8"/>
        <v>2028</v>
      </c>
      <c r="J32" s="12">
        <f t="shared" si="8"/>
        <v>2029</v>
      </c>
      <c r="K32" s="12">
        <f t="shared" si="8"/>
        <v>2030</v>
      </c>
      <c r="L32" s="12">
        <f t="shared" si="8"/>
        <v>2031</v>
      </c>
    </row>
    <row r="33" spans="2:12" x14ac:dyDescent="0.2">
      <c r="B33" s="1" t="s">
        <v>79</v>
      </c>
      <c r="C33" s="150">
        <f>Statement!M101</f>
        <v>0.81073956684882742</v>
      </c>
      <c r="D33" s="150">
        <f>Statement!N101</f>
        <v>0.82991287393217905</v>
      </c>
      <c r="E33" s="150">
        <f>Statement!O101</f>
        <v>0.85021925398601916</v>
      </c>
      <c r="F33" s="150">
        <f>Statement!P101</f>
        <v>0.82727270183763457</v>
      </c>
      <c r="G33" s="151">
        <f>Statement!Q101</f>
        <v>0.83174673345867178</v>
      </c>
      <c r="H33" s="233">
        <f>H8/H6</f>
        <v>0.82700000000000007</v>
      </c>
      <c r="I33" s="233">
        <f t="shared" ref="I33:L33" si="9">I8/I6</f>
        <v>0.83200000000000007</v>
      </c>
      <c r="J33" s="233">
        <f t="shared" si="9"/>
        <v>0.85299999999999998</v>
      </c>
      <c r="K33" s="233">
        <f t="shared" si="9"/>
        <v>0.8580000000000001</v>
      </c>
      <c r="L33" s="233">
        <f t="shared" si="9"/>
        <v>0.873</v>
      </c>
    </row>
    <row r="34" spans="2:12" x14ac:dyDescent="0.2">
      <c r="B34" s="1" t="s">
        <v>80</v>
      </c>
      <c r="C34" s="150">
        <f>Statement!M102</f>
        <v>-0.56144004160259653</v>
      </c>
      <c r="D34" s="150">
        <f>Statement!N102</f>
        <v>-0.32900930585377974</v>
      </c>
      <c r="E34" s="150">
        <f>Statement!O102</f>
        <v>-0.12592579001767487</v>
      </c>
      <c r="F34" s="150">
        <f>Statement!P102</f>
        <v>-0.11371133357208407</v>
      </c>
      <c r="G34" s="151">
        <f>Statement!Q102</f>
        <v>3.5242137575966802E-2</v>
      </c>
      <c r="H34" s="233">
        <f>H10/H6</f>
        <v>5.699999999999994E-2</v>
      </c>
      <c r="I34" s="233">
        <f t="shared" ref="I34:L34" si="10">I10/I6</f>
        <v>6.2000000000000118E-2</v>
      </c>
      <c r="J34" s="233">
        <f t="shared" si="10"/>
        <v>0.11800000000000001</v>
      </c>
      <c r="K34" s="233">
        <f t="shared" si="10"/>
        <v>0.12800000000000009</v>
      </c>
      <c r="L34" s="233">
        <f t="shared" si="10"/>
        <v>0.17299999999999996</v>
      </c>
    </row>
  </sheetData>
  <mergeCells count="10">
    <mergeCell ref="AA2:AC2"/>
    <mergeCell ref="C4:L4"/>
    <mergeCell ref="S4:AC4"/>
    <mergeCell ref="C13:L13"/>
    <mergeCell ref="C18:L18"/>
    <mergeCell ref="C31:L31"/>
    <mergeCell ref="C25:L25"/>
    <mergeCell ref="C2:G2"/>
    <mergeCell ref="H2:L2"/>
    <mergeCell ref="S2:Z2"/>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7.5" style="1" customWidth="1"/>
    <col min="9" max="16384" width="10.83203125" style="1"/>
  </cols>
  <sheetData>
    <row r="5" spans="2:8" x14ac:dyDescent="0.2">
      <c r="H5" s="153" t="s">
        <v>436</v>
      </c>
    </row>
    <row r="6" spans="2:8" x14ac:dyDescent="0.2">
      <c r="H6" s="253" t="s">
        <v>441</v>
      </c>
    </row>
    <row r="7" spans="2:8" x14ac:dyDescent="0.2">
      <c r="H7" s="253" t="s">
        <v>437</v>
      </c>
    </row>
    <row r="8" spans="2:8" x14ac:dyDescent="0.2">
      <c r="H8" s="253" t="s">
        <v>438</v>
      </c>
    </row>
    <row r="9" spans="2:8" x14ac:dyDescent="0.2">
      <c r="H9" s="253" t="s">
        <v>439</v>
      </c>
    </row>
    <row r="10" spans="2:8" x14ac:dyDescent="0.2">
      <c r="H10" s="254" t="s">
        <v>440</v>
      </c>
    </row>
    <row r="13" spans="2:8" s="4" customFormat="1" ht="49" x14ac:dyDescent="0.2">
      <c r="B13" s="3" t="s">
        <v>203</v>
      </c>
    </row>
  </sheetData>
  <hyperlinks>
    <hyperlink ref="H6" location="Overview!B3" display="Overview'!B3" xr:uid="{60C777D3-B454-B740-A85C-413B897A6526}"/>
    <hyperlink ref="H8" location="'Analysis -&gt;'!B13" display="'Analysis -&gt;'!B13" xr:uid="{4BA4A61B-F707-3A44-9212-8AFED0C81859}"/>
    <hyperlink ref="H9" location="'Forecast -&gt;'!B13" display="'Forecast -&gt;'!B13" xr:uid="{5D9EBEA6-4D49-F240-B19C-AF1A7B2D638A}"/>
    <hyperlink ref="H10" location="'Valuation -&gt;'!B13" display="'Valuation -&gt;'!B13" xr:uid="{A73A0022-45DD-6D43-803F-9FB5E3B859B9}"/>
    <hyperlink ref="H7" location="'Financials -&gt;'!B13" display="'Financials -&gt;'!B13" xr:uid="{7A977C7A-4ACC-F24D-BB36-E1438C150EA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3" zoomScale="171" zoomScaleNormal="65" workbookViewId="0">
      <selection activeCell="C19" sqref="C19"/>
    </sheetView>
  </sheetViews>
  <sheetFormatPr baseColWidth="10" defaultRowHeight="16" x14ac:dyDescent="0.2"/>
  <cols>
    <col min="1" max="1" width="2" style="85"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5" customFormat="1" ht="18" customHeight="1" x14ac:dyDescent="0.2">
      <c r="A1" s="4"/>
      <c r="B1" s="84" t="s">
        <v>204</v>
      </c>
    </row>
    <row r="2" spans="1:3" s="85" customFormat="1" ht="18" customHeight="1" x14ac:dyDescent="0.2">
      <c r="A2" s="4"/>
      <c r="B2" s="84"/>
    </row>
    <row r="3" spans="1:3" ht="17" customHeight="1" x14ac:dyDescent="0.2"/>
    <row r="4" spans="1:3" ht="17" customHeight="1" x14ac:dyDescent="0.2">
      <c r="B4" s="258" t="s">
        <v>205</v>
      </c>
      <c r="C4" s="258"/>
    </row>
    <row r="5" spans="1:3" ht="17" customHeight="1" x14ac:dyDescent="0.2">
      <c r="B5" s="1" t="s">
        <v>206</v>
      </c>
      <c r="C5" s="157">
        <f>Statement!AC78</f>
        <v>524515</v>
      </c>
    </row>
    <row r="6" spans="1:3" ht="17" customHeight="1" x14ac:dyDescent="0.2">
      <c r="B6" s="1" t="s">
        <v>1</v>
      </c>
      <c r="C6" s="154">
        <f ca="1">Overview!C5</f>
        <v>13.324999999999999</v>
      </c>
    </row>
    <row r="7" spans="1:3" ht="17" customHeight="1" x14ac:dyDescent="0.2">
      <c r="B7" s="1" t="s">
        <v>207</v>
      </c>
      <c r="C7" s="155">
        <f ca="1">C5*C6</f>
        <v>6989162.375</v>
      </c>
    </row>
    <row r="8" spans="1:3" ht="17" customHeight="1" x14ac:dyDescent="0.2">
      <c r="B8" s="1" t="s">
        <v>208</v>
      </c>
      <c r="C8" s="133">
        <f>Statement!AC108</f>
        <v>0</v>
      </c>
    </row>
    <row r="9" spans="1:3" ht="17" customHeight="1" x14ac:dyDescent="0.2">
      <c r="B9" s="1" t="s">
        <v>209</v>
      </c>
      <c r="C9" s="156">
        <f ca="1">Overview!F27</f>
        <v>5.2440000000000001E-2</v>
      </c>
    </row>
    <row r="10" spans="1:3" ht="17" customHeight="1" x14ac:dyDescent="0.2">
      <c r="B10" s="1" t="s">
        <v>9</v>
      </c>
      <c r="C10" s="154">
        <f ca="1">Overview!C13</f>
        <v>1.0629999999999999</v>
      </c>
    </row>
    <row r="11" spans="1:3" ht="17" customHeight="1" x14ac:dyDescent="0.2">
      <c r="B11" s="1" t="s">
        <v>210</v>
      </c>
      <c r="C11" s="156">
        <f>[1]Sheet1!$C$12</f>
        <v>4.4999999999999998E-2</v>
      </c>
    </row>
    <row r="12" spans="1:3" ht="17" customHeight="1" x14ac:dyDescent="0.2">
      <c r="B12" s="1" t="s">
        <v>74</v>
      </c>
      <c r="C12" s="156">
        <f>Overview!C26</f>
        <v>0.21</v>
      </c>
    </row>
    <row r="13" spans="1:3" ht="17" customHeight="1" x14ac:dyDescent="0.2">
      <c r="B13" s="1" t="s">
        <v>211</v>
      </c>
      <c r="C13" s="156">
        <f>Overview!C27</f>
        <v>0</v>
      </c>
    </row>
    <row r="14" spans="1:3" ht="17" customHeight="1" x14ac:dyDescent="0.2"/>
    <row r="15" spans="1:3" ht="17" customHeight="1" x14ac:dyDescent="0.2">
      <c r="B15" s="258" t="s">
        <v>212</v>
      </c>
      <c r="C15" s="258"/>
    </row>
    <row r="16" spans="1:3" ht="17" customHeight="1" x14ac:dyDescent="0.2">
      <c r="B16" s="1" t="s">
        <v>213</v>
      </c>
      <c r="C16" s="46">
        <f ca="1">C8/(C8+C7)</f>
        <v>0</v>
      </c>
    </row>
    <row r="17" spans="2:3" ht="17" customHeight="1" x14ac:dyDescent="0.2">
      <c r="B17" s="1" t="s">
        <v>214</v>
      </c>
      <c r="C17" s="46">
        <f ca="1">C7/(C8+C7)</f>
        <v>1</v>
      </c>
    </row>
    <row r="18" spans="2:3" ht="17" customHeight="1" x14ac:dyDescent="0.2">
      <c r="B18" s="1" t="s">
        <v>215</v>
      </c>
      <c r="C18" s="46">
        <f>C13*(1-C12)</f>
        <v>0</v>
      </c>
    </row>
    <row r="19" spans="2:3" ht="17" customHeight="1" x14ac:dyDescent="0.2">
      <c r="B19" s="1" t="s">
        <v>216</v>
      </c>
      <c r="C19" s="46">
        <f ca="1">C9+C10*C11</f>
        <v>0.100275</v>
      </c>
    </row>
    <row r="20" spans="2:3" ht="17" customHeight="1" x14ac:dyDescent="0.2">
      <c r="B20" s="1" t="s">
        <v>204</v>
      </c>
      <c r="C20" s="46">
        <f ca="1">(C17*C19)+(C16*C18)</f>
        <v>0.100275</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C1" zoomScale="188" zoomScaleNormal="100" workbookViewId="0">
      <selection activeCell="B27" sqref="B27"/>
    </sheetView>
  </sheetViews>
  <sheetFormatPr baseColWidth="10" defaultRowHeight="16" x14ac:dyDescent="0.2"/>
  <cols>
    <col min="1" max="1" width="2" style="85"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5" customFormat="1" ht="18" customHeight="1" x14ac:dyDescent="0.2">
      <c r="A1" s="4"/>
      <c r="B1" s="84" t="s">
        <v>218</v>
      </c>
    </row>
    <row r="2" spans="1:28" s="85" customFormat="1" ht="18" customHeight="1" x14ac:dyDescent="0.2">
      <c r="A2" s="4"/>
      <c r="B2" s="84"/>
    </row>
    <row r="3" spans="1:28" x14ac:dyDescent="0.2">
      <c r="A3" s="4"/>
      <c r="C3" s="258" t="s">
        <v>135</v>
      </c>
      <c r="D3" s="258"/>
      <c r="E3" s="258"/>
      <c r="F3" s="258"/>
      <c r="G3" s="264"/>
      <c r="H3" s="265" t="s">
        <v>136</v>
      </c>
      <c r="I3" s="258"/>
      <c r="J3" s="258"/>
      <c r="K3" s="258"/>
      <c r="L3" s="258"/>
      <c r="P3" s="269"/>
      <c r="Q3" s="269"/>
      <c r="R3" s="269"/>
      <c r="S3" s="269"/>
      <c r="T3" s="269"/>
      <c r="U3" s="269"/>
      <c r="V3" s="269"/>
      <c r="W3" s="269"/>
      <c r="X3" s="269"/>
      <c r="Y3" s="269"/>
      <c r="Z3" s="269"/>
      <c r="AB3" s="130"/>
    </row>
    <row r="4" spans="1:28" ht="10" customHeight="1" x14ac:dyDescent="0.2"/>
    <row r="5" spans="1:28" ht="16" customHeight="1" x14ac:dyDescent="0.2">
      <c r="A5" s="88"/>
      <c r="B5" s="60"/>
      <c r="C5" s="266" t="s">
        <v>219</v>
      </c>
      <c r="D5" s="266"/>
      <c r="E5" s="266"/>
      <c r="F5" s="266"/>
      <c r="G5" s="266"/>
      <c r="H5" s="266"/>
      <c r="I5" s="266"/>
      <c r="J5" s="266"/>
      <c r="K5" s="266"/>
      <c r="L5" s="266"/>
      <c r="P5" s="269"/>
      <c r="Q5" s="269"/>
      <c r="R5" s="269"/>
      <c r="S5" s="269"/>
      <c r="T5" s="269"/>
      <c r="U5" s="269"/>
      <c r="V5" s="269"/>
      <c r="W5" s="269"/>
      <c r="X5" s="269"/>
      <c r="Y5" s="269"/>
      <c r="Z5" s="269"/>
      <c r="AB5" s="131"/>
    </row>
    <row r="6" spans="1:28" x14ac:dyDescent="0.2">
      <c r="B6" s="16" t="s">
        <v>172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32"/>
      <c r="Q6" s="132"/>
      <c r="R6" s="132"/>
      <c r="S6" s="132"/>
      <c r="T6" s="132"/>
      <c r="U6" s="132"/>
      <c r="V6" s="132"/>
      <c r="W6" s="132"/>
      <c r="X6" s="132"/>
      <c r="Y6" s="132"/>
      <c r="Z6" s="132"/>
      <c r="AB6" s="131"/>
    </row>
    <row r="7" spans="1:28" x14ac:dyDescent="0.2">
      <c r="B7" s="39" t="s">
        <v>304</v>
      </c>
      <c r="C7" s="133">
        <f>'FCF &amp; Other'!C28</f>
        <v>-603972</v>
      </c>
      <c r="D7" s="133">
        <f>'FCF &amp; Other'!D28</f>
        <v>-500062</v>
      </c>
      <c r="E7" s="133">
        <f>'FCF &amp; Other'!E28</f>
        <v>-216393</v>
      </c>
      <c r="F7" s="133">
        <f>'FCF &amp; Other'!F28</f>
        <v>-202032</v>
      </c>
      <c r="G7" s="134">
        <f>'FCF &amp; Other'!G28</f>
        <v>-94526</v>
      </c>
      <c r="H7" s="133">
        <f>'FCF &amp; Other'!H28</f>
        <v>-22589.657901917861</v>
      </c>
      <c r="I7" s="133">
        <f>'FCF &amp; Other'!I28</f>
        <v>-20023.486428821809</v>
      </c>
      <c r="J7" s="133">
        <f>'FCF &amp; Other'!J28</f>
        <v>63633.803211457067</v>
      </c>
      <c r="K7" s="133">
        <f>'FCF &amp; Other'!K28</f>
        <v>104849.0468283292</v>
      </c>
      <c r="L7" s="133">
        <f>'FCF &amp; Other'!L28</f>
        <v>199738.80479990577</v>
      </c>
      <c r="N7" s="93"/>
      <c r="O7" s="16"/>
      <c r="P7" s="94"/>
      <c r="Q7" s="94"/>
      <c r="R7" s="94"/>
      <c r="S7" s="94"/>
      <c r="T7" s="94"/>
      <c r="U7" s="94"/>
      <c r="V7" s="94"/>
      <c r="W7" s="94"/>
      <c r="X7" s="96"/>
      <c r="Y7" s="96"/>
      <c r="Z7" s="96"/>
      <c r="AB7" s="96"/>
    </row>
    <row r="8" spans="1:28" x14ac:dyDescent="0.2">
      <c r="B8" s="39" t="s">
        <v>220</v>
      </c>
      <c r="C8" s="147">
        <v>0</v>
      </c>
      <c r="D8" s="147">
        <v>0</v>
      </c>
      <c r="E8" s="147">
        <v>0</v>
      </c>
      <c r="F8" s="147">
        <v>0</v>
      </c>
      <c r="G8" s="152">
        <v>0</v>
      </c>
      <c r="H8" s="147">
        <v>0</v>
      </c>
      <c r="I8" s="147">
        <v>0</v>
      </c>
      <c r="J8" s="147">
        <v>0</v>
      </c>
      <c r="K8" s="147">
        <v>0</v>
      </c>
      <c r="L8" s="147">
        <f>L7*(1+C14)/(C15-C14)</f>
        <v>2546669.7611987987</v>
      </c>
      <c r="N8" s="93"/>
      <c r="O8" s="16"/>
      <c r="P8" s="94"/>
      <c r="Q8" s="94"/>
      <c r="R8" s="94"/>
      <c r="S8" s="94"/>
      <c r="T8" s="94"/>
      <c r="U8" s="94"/>
      <c r="V8" s="94"/>
      <c r="W8" s="94"/>
      <c r="X8" s="96"/>
      <c r="Y8" s="96"/>
      <c r="Z8" s="96"/>
      <c r="AB8" s="96"/>
    </row>
    <row r="9" spans="1:28" x14ac:dyDescent="0.2">
      <c r="B9" s="1" t="s">
        <v>221</v>
      </c>
      <c r="C9" s="158"/>
      <c r="D9" s="158"/>
      <c r="E9" s="158"/>
      <c r="F9" s="158"/>
      <c r="G9" s="159"/>
      <c r="H9" s="160">
        <v>1</v>
      </c>
      <c r="I9" s="160">
        <v>2</v>
      </c>
      <c r="J9" s="160">
        <v>3</v>
      </c>
      <c r="K9" s="160">
        <v>4</v>
      </c>
      <c r="L9" s="160">
        <v>5</v>
      </c>
      <c r="N9" s="93"/>
    </row>
    <row r="10" spans="1:28" x14ac:dyDescent="0.2">
      <c r="B10" s="1" t="s">
        <v>366</v>
      </c>
      <c r="C10" s="158"/>
      <c r="D10" s="158"/>
      <c r="E10" s="158"/>
      <c r="F10" s="158"/>
      <c r="G10" s="159"/>
      <c r="H10" s="147">
        <f>H7/(1+$C$15)^H9</f>
        <v>-20536.052638107143</v>
      </c>
      <c r="I10" s="147">
        <f t="shared" ref="I10:L10" si="0">I7/(1+$C$15)^I9</f>
        <v>-16548.335891588267</v>
      </c>
      <c r="J10" s="147">
        <f t="shared" si="0"/>
        <v>47809.018190426032</v>
      </c>
      <c r="K10" s="147">
        <f t="shared" si="0"/>
        <v>71613.309765951213</v>
      </c>
      <c r="L10" s="147">
        <f t="shared" si="0"/>
        <v>124022.08294261179</v>
      </c>
      <c r="N10" s="93"/>
    </row>
    <row r="11" spans="1:28" x14ac:dyDescent="0.2">
      <c r="B11" s="1" t="s">
        <v>222</v>
      </c>
      <c r="C11" s="158"/>
      <c r="D11" s="158"/>
      <c r="E11" s="158"/>
      <c r="F11" s="158"/>
      <c r="G11" s="159"/>
      <c r="H11" s="158"/>
      <c r="I11" s="158"/>
      <c r="J11" s="158"/>
      <c r="K11" s="158"/>
      <c r="L11" s="147">
        <f>L8/(1+C15)^L9</f>
        <v>1581281.5575183004</v>
      </c>
    </row>
    <row r="13" spans="1:28" x14ac:dyDescent="0.2">
      <c r="B13" s="258" t="s">
        <v>223</v>
      </c>
      <c r="C13" s="258"/>
    </row>
    <row r="14" spans="1:28" x14ac:dyDescent="0.2">
      <c r="B14" s="1" t="s">
        <v>224</v>
      </c>
      <c r="C14" s="161">
        <v>0.02</v>
      </c>
    </row>
    <row r="15" spans="1:28" x14ac:dyDescent="0.2">
      <c r="B15" s="1" t="s">
        <v>204</v>
      </c>
      <c r="C15" s="156">
        <f>IF(Overview!C28&gt;0,Overview!C28,WACC!C20)</f>
        <v>0.1</v>
      </c>
    </row>
    <row r="18" spans="2:3" x14ac:dyDescent="0.2">
      <c r="B18" s="258" t="s">
        <v>225</v>
      </c>
      <c r="C18" s="258"/>
    </row>
    <row r="19" spans="2:3" x14ac:dyDescent="0.2">
      <c r="B19" s="1" t="s">
        <v>226</v>
      </c>
      <c r="C19" s="64">
        <f>SUM(H10:L10)</f>
        <v>206360.02236929361</v>
      </c>
    </row>
    <row r="20" spans="2:3" x14ac:dyDescent="0.2">
      <c r="B20" s="1" t="s">
        <v>222</v>
      </c>
      <c r="C20" s="64">
        <f>L11</f>
        <v>1581281.5575183004</v>
      </c>
    </row>
    <row r="21" spans="2:3" x14ac:dyDescent="0.2">
      <c r="B21" s="16" t="s">
        <v>227</v>
      </c>
      <c r="C21" s="96">
        <f>C19+C20</f>
        <v>1787641.5798875941</v>
      </c>
    </row>
    <row r="22" spans="2:3" x14ac:dyDescent="0.2">
      <c r="B22" s="1" t="s">
        <v>228</v>
      </c>
      <c r="C22" s="90">
        <f>Statement!AC107</f>
        <v>1405025</v>
      </c>
    </row>
    <row r="23" spans="2:3" x14ac:dyDescent="0.2">
      <c r="B23" s="1" t="s">
        <v>229</v>
      </c>
      <c r="C23" s="90">
        <f>Statement!AC108</f>
        <v>0</v>
      </c>
    </row>
    <row r="24" spans="2:3" x14ac:dyDescent="0.2">
      <c r="B24" s="16" t="s">
        <v>230</v>
      </c>
      <c r="C24" s="96">
        <f>C21+C22-C23</f>
        <v>3192666.5798875941</v>
      </c>
    </row>
    <row r="25" spans="2:3" x14ac:dyDescent="0.2">
      <c r="B25" s="1" t="s">
        <v>70</v>
      </c>
      <c r="C25" s="90">
        <f>Statement!AC78</f>
        <v>524515</v>
      </c>
    </row>
    <row r="26" spans="2:3" x14ac:dyDescent="0.2">
      <c r="B26" s="249" t="s">
        <v>231</v>
      </c>
      <c r="C26" s="250">
        <f>C24/C25</f>
        <v>6.0868928055205176</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3" zoomScale="192" zoomScaleNormal="100" workbookViewId="0">
      <selection activeCell="B76" sqref="B76"/>
    </sheetView>
  </sheetViews>
  <sheetFormatPr baseColWidth="10" defaultRowHeight="16" x14ac:dyDescent="0.2"/>
  <cols>
    <col min="1" max="1" width="2" style="85"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5" customFormat="1" ht="18" customHeight="1" x14ac:dyDescent="0.2">
      <c r="A1" s="4"/>
      <c r="B1" s="84" t="s">
        <v>232</v>
      </c>
    </row>
    <row r="2" spans="1:14" x14ac:dyDescent="0.2">
      <c r="A2" s="4"/>
      <c r="C2" s="258" t="s">
        <v>135</v>
      </c>
      <c r="D2" s="258"/>
      <c r="E2" s="258"/>
      <c r="F2" s="258"/>
      <c r="G2" s="264"/>
      <c r="H2" s="265" t="s">
        <v>136</v>
      </c>
      <c r="I2" s="258"/>
      <c r="J2" s="258"/>
      <c r="K2" s="258"/>
      <c r="L2" s="258"/>
    </row>
    <row r="3" spans="1:14" ht="10" customHeight="1" x14ac:dyDescent="0.2"/>
    <row r="4" spans="1:14" ht="16" customHeight="1" x14ac:dyDescent="0.2">
      <c r="A4" s="88"/>
      <c r="B4" s="60"/>
      <c r="C4" s="266" t="s">
        <v>233</v>
      </c>
      <c r="D4" s="266"/>
      <c r="E4" s="266"/>
      <c r="F4" s="266"/>
      <c r="G4" s="266"/>
      <c r="H4" s="266"/>
      <c r="I4" s="266"/>
      <c r="J4" s="266"/>
      <c r="K4" s="266"/>
      <c r="L4" s="266"/>
    </row>
    <row r="5" spans="1:14" x14ac:dyDescent="0.2">
      <c r="B5" s="16" t="s">
        <v>139</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20</v>
      </c>
      <c r="C6" s="94">
        <f>Revenue!C9</f>
        <v>892252</v>
      </c>
      <c r="D6" s="94">
        <f>Revenue!D9</f>
        <v>1058581</v>
      </c>
      <c r="E6" s="94">
        <f>Revenue!E9</f>
        <v>1308072</v>
      </c>
      <c r="F6" s="94">
        <f>Revenue!F9</f>
        <v>1429664</v>
      </c>
      <c r="G6" s="95">
        <f>Revenue!G9</f>
        <v>1610572</v>
      </c>
      <c r="H6" s="94">
        <f>Revenue!H9</f>
        <v>1790684</v>
      </c>
      <c r="I6" s="94">
        <f>Revenue!I9</f>
        <v>1948364.4</v>
      </c>
      <c r="J6" s="94">
        <f>Revenue!J9</f>
        <v>2141616.1860000002</v>
      </c>
      <c r="K6" s="94">
        <f>Revenue!K9</f>
        <v>2302738.1571600004</v>
      </c>
      <c r="L6" s="94">
        <f>Revenue!L9</f>
        <v>2473527.4465896003</v>
      </c>
      <c r="N6" s="93"/>
    </row>
    <row r="7" spans="1:14" x14ac:dyDescent="0.2">
      <c r="B7" s="16" t="s">
        <v>196</v>
      </c>
      <c r="C7" s="94">
        <f>'FCF &amp; Other'!C10</f>
        <v>-500946</v>
      </c>
      <c r="D7" s="94">
        <f>'FCF &amp; Other'!D10</f>
        <v>-348283</v>
      </c>
      <c r="E7" s="94">
        <f>'FCF &amp; Other'!E10</f>
        <v>-164720</v>
      </c>
      <c r="F7" s="94">
        <f>'FCF &amp; Other'!F10</f>
        <v>-162569</v>
      </c>
      <c r="G7" s="95">
        <f>'FCF &amp; Other'!G10</f>
        <v>56760</v>
      </c>
      <c r="H7" s="94">
        <f>'FCF &amp; Other'!H10</f>
        <v>102068.9879999999</v>
      </c>
      <c r="I7" s="94">
        <f>'FCF &amp; Other'!I10</f>
        <v>120798.59280000022</v>
      </c>
      <c r="J7" s="94">
        <f>'FCF &amp; Other'!J10</f>
        <v>252710.70994800003</v>
      </c>
      <c r="K7" s="94">
        <f>'FCF &amp; Other'!K10</f>
        <v>294750.48411648022</v>
      </c>
      <c r="L7" s="94">
        <f>'FCF &amp; Other'!L10</f>
        <v>427920.24826000072</v>
      </c>
      <c r="N7" s="93"/>
    </row>
    <row r="8" spans="1:14" x14ac:dyDescent="0.2">
      <c r="B8" s="16" t="s">
        <v>304</v>
      </c>
      <c r="C8" s="94">
        <f>'FCF &amp; Other'!C28</f>
        <v>-603972</v>
      </c>
      <c r="D8" s="94">
        <f>'FCF &amp; Other'!D28</f>
        <v>-500062</v>
      </c>
      <c r="E8" s="94">
        <f>'FCF &amp; Other'!E28</f>
        <v>-216393</v>
      </c>
      <c r="F8" s="94">
        <f>'FCF &amp; Other'!F28</f>
        <v>-202032</v>
      </c>
      <c r="G8" s="95">
        <f>'FCF &amp; Other'!G28</f>
        <v>-94526</v>
      </c>
      <c r="H8" s="94">
        <f>'FCF &amp; Other'!H28</f>
        <v>-22589.657901917861</v>
      </c>
      <c r="I8" s="94">
        <f>'FCF &amp; Other'!I28</f>
        <v>-20023.486428821809</v>
      </c>
      <c r="J8" s="94">
        <f>'FCF &amp; Other'!J28</f>
        <v>63633.803211457067</v>
      </c>
      <c r="K8" s="94">
        <f>'FCF &amp; Other'!K28</f>
        <v>104849.0468283292</v>
      </c>
      <c r="L8" s="94">
        <f>'FCF &amp; Other'!L28</f>
        <v>199738.80479990577</v>
      </c>
      <c r="N8" s="93"/>
    </row>
    <row r="9" spans="1:14" x14ac:dyDescent="0.2">
      <c r="B9" s="16" t="s">
        <v>366</v>
      </c>
      <c r="C9" s="158"/>
      <c r="D9" s="158"/>
      <c r="E9" s="158"/>
      <c r="F9" s="158"/>
      <c r="G9" s="159"/>
      <c r="H9" s="94">
        <f>DCF!H10</f>
        <v>-20536.052638107143</v>
      </c>
      <c r="I9" s="94">
        <f>DCF!I10</f>
        <v>-16548.335891588267</v>
      </c>
      <c r="J9" s="94">
        <f>DCF!J10</f>
        <v>47809.018190426032</v>
      </c>
      <c r="K9" s="94">
        <f>DCF!K10</f>
        <v>71613.309765951213</v>
      </c>
      <c r="L9" s="94">
        <f>DCF!L10</f>
        <v>124022.08294261179</v>
      </c>
      <c r="N9" s="93"/>
    </row>
    <row r="10" spans="1:14" x14ac:dyDescent="0.2">
      <c r="N10" s="93"/>
    </row>
    <row r="11" spans="1:14" x14ac:dyDescent="0.2">
      <c r="C11" s="266" t="s">
        <v>144</v>
      </c>
      <c r="D11" s="266"/>
      <c r="E11" s="266"/>
      <c r="F11" s="266"/>
      <c r="G11" s="266"/>
      <c r="H11" s="266"/>
      <c r="I11" s="266"/>
      <c r="J11" s="266"/>
      <c r="K11" s="266"/>
      <c r="L11" s="266"/>
      <c r="N11" s="93"/>
    </row>
    <row r="12" spans="1:14" x14ac:dyDescent="0.2">
      <c r="B12" s="16" t="s">
        <v>234</v>
      </c>
      <c r="C12" s="12">
        <f>C5</f>
        <v>2022</v>
      </c>
      <c r="D12" s="12">
        <f t="shared" ref="D12:L12" si="0">D5</f>
        <v>2023</v>
      </c>
      <c r="E12" s="12">
        <f t="shared" si="0"/>
        <v>2024</v>
      </c>
      <c r="F12" s="12">
        <f t="shared" si="0"/>
        <v>2025</v>
      </c>
      <c r="G12" s="12">
        <f t="shared" si="0"/>
        <v>2026</v>
      </c>
      <c r="H12" s="12">
        <f t="shared" si="0"/>
        <v>2027</v>
      </c>
      <c r="I12" s="12">
        <f t="shared" si="0"/>
        <v>2028</v>
      </c>
      <c r="J12" s="12">
        <f t="shared" si="0"/>
        <v>2029</v>
      </c>
      <c r="K12" s="12">
        <f t="shared" si="0"/>
        <v>2030</v>
      </c>
      <c r="L12" s="12">
        <f t="shared" si="0"/>
        <v>2031</v>
      </c>
      <c r="N12" s="93"/>
    </row>
    <row r="13" spans="1:14" x14ac:dyDescent="0.2">
      <c r="B13" s="1" t="s">
        <v>20</v>
      </c>
      <c r="C13" s="158"/>
      <c r="D13" s="97">
        <f>(D6-C6)/C6</f>
        <v>0.18641482451146088</v>
      </c>
      <c r="E13" s="97">
        <f t="shared" ref="E13:L13" si="1">(E6-D6)/D6</f>
        <v>0.23568437370404344</v>
      </c>
      <c r="F13" s="97">
        <f t="shared" si="1"/>
        <v>9.2955127852289474E-2</v>
      </c>
      <c r="G13" s="98">
        <f t="shared" si="1"/>
        <v>0.12653882310808692</v>
      </c>
      <c r="H13" s="97">
        <f t="shared" si="1"/>
        <v>0.11183107616424476</v>
      </c>
      <c r="I13" s="97">
        <f t="shared" si="1"/>
        <v>8.8055960739024816E-2</v>
      </c>
      <c r="J13" s="97">
        <f t="shared" si="1"/>
        <v>9.9186674730866731E-2</v>
      </c>
      <c r="K13" s="97">
        <f t="shared" si="1"/>
        <v>7.523382210746897E-2</v>
      </c>
      <c r="L13" s="97">
        <f t="shared" si="1"/>
        <v>7.4167915660995842E-2</v>
      </c>
      <c r="N13" s="93"/>
    </row>
    <row r="14" spans="1:14" x14ac:dyDescent="0.2">
      <c r="B14" s="1" t="s">
        <v>196</v>
      </c>
      <c r="C14" s="158"/>
      <c r="D14" s="97">
        <f>IF(C7=0,
IF(D7=0,0,IF(D7&gt;0,1,-1)),
(D7-C7)/ABS(C7)
)</f>
        <v>0.3047494141085067</v>
      </c>
      <c r="E14" s="97">
        <f t="shared" ref="E14:L14" si="2">IF(D7=0,
IF(E7=0,0,IF(E7&gt;0,1,-1)),
(E7-D7)/ABS(D7)
)</f>
        <v>0.52705127726590162</v>
      </c>
      <c r="F14" s="97">
        <f t="shared" si="2"/>
        <v>1.3058523555123847E-2</v>
      </c>
      <c r="G14" s="98">
        <f t="shared" si="2"/>
        <v>1.3491440557547871</v>
      </c>
      <c r="H14" s="97">
        <f t="shared" si="2"/>
        <v>0.79825560253699601</v>
      </c>
      <c r="I14" s="97">
        <f t="shared" si="2"/>
        <v>0.18349946606701284</v>
      </c>
      <c r="J14" s="97">
        <f t="shared" si="2"/>
        <v>1.0920004454555168</v>
      </c>
      <c r="K14" s="97">
        <f t="shared" si="2"/>
        <v>0.1663553324555602</v>
      </c>
      <c r="L14" s="97">
        <f t="shared" si="2"/>
        <v>0.45180507351056343</v>
      </c>
      <c r="N14" s="93"/>
    </row>
    <row r="15" spans="1:14" x14ac:dyDescent="0.2">
      <c r="B15" s="1" t="s">
        <v>304</v>
      </c>
      <c r="C15" s="158"/>
      <c r="D15" s="97">
        <f>IF(C8=0,
IF(D8=0,0,IF(D8&gt;0,1,-1)),
(D8-C8)/ABS(C8)
)</f>
        <v>0.17204439940924413</v>
      </c>
      <c r="E15" s="97">
        <f t="shared" ref="E15:L15" si="3">IF(D8=0,
IF(E8=0,0,IF(E8&gt;0,1,-1)),
(E8-D8)/ABS(D8)
)</f>
        <v>0.5672676588103075</v>
      </c>
      <c r="F15" s="97">
        <f t="shared" si="3"/>
        <v>6.6365363020060728E-2</v>
      </c>
      <c r="G15" s="98">
        <f t="shared" si="3"/>
        <v>0.53212362398035951</v>
      </c>
      <c r="H15" s="97">
        <f t="shared" si="3"/>
        <v>0.7610217516670772</v>
      </c>
      <c r="I15" s="97">
        <f t="shared" si="3"/>
        <v>0.11359939509655807</v>
      </c>
      <c r="J15" s="97">
        <f t="shared" si="3"/>
        <v>4.1779582161007971</v>
      </c>
      <c r="K15" s="97">
        <f t="shared" si="3"/>
        <v>0.64769417411548735</v>
      </c>
      <c r="L15" s="97">
        <f t="shared" si="3"/>
        <v>0.90501307204958092</v>
      </c>
      <c r="N15" s="93"/>
    </row>
    <row r="16" spans="1:14" x14ac:dyDescent="0.2">
      <c r="N16" s="93"/>
    </row>
    <row r="17" spans="2:14" x14ac:dyDescent="0.2">
      <c r="C17" s="266" t="s">
        <v>235</v>
      </c>
      <c r="D17" s="266"/>
      <c r="E17" s="266"/>
      <c r="F17" s="266"/>
      <c r="G17" s="266"/>
      <c r="H17" s="266"/>
      <c r="I17" s="266"/>
      <c r="J17" s="266"/>
      <c r="K17" s="266"/>
      <c r="L17" s="266"/>
      <c r="N17" s="93"/>
    </row>
    <row r="18" spans="2:14" x14ac:dyDescent="0.2">
      <c r="C18" s="12">
        <f t="shared" ref="C18:L18" si="4">C5</f>
        <v>2022</v>
      </c>
      <c r="D18" s="12">
        <f t="shared" si="4"/>
        <v>2023</v>
      </c>
      <c r="E18" s="12">
        <f t="shared" si="4"/>
        <v>2024</v>
      </c>
      <c r="F18" s="12">
        <f t="shared" si="4"/>
        <v>2025</v>
      </c>
      <c r="G18" s="12">
        <f t="shared" si="4"/>
        <v>2026</v>
      </c>
      <c r="H18" s="12">
        <f t="shared" si="4"/>
        <v>2027</v>
      </c>
      <c r="I18" s="12">
        <f t="shared" si="4"/>
        <v>2028</v>
      </c>
      <c r="J18" s="12">
        <f t="shared" si="4"/>
        <v>2029</v>
      </c>
      <c r="K18" s="12">
        <f t="shared" si="4"/>
        <v>2030</v>
      </c>
      <c r="L18" s="12">
        <f t="shared" si="4"/>
        <v>2031</v>
      </c>
      <c r="N18" s="93"/>
    </row>
    <row r="19" spans="2:14" x14ac:dyDescent="0.2">
      <c r="B19" s="1" t="s">
        <v>236</v>
      </c>
      <c r="C19" s="103">
        <f>Statement!M22</f>
        <v>454625</v>
      </c>
      <c r="D19" s="103">
        <f>Statement!N22</f>
        <v>548022</v>
      </c>
      <c r="E19" s="103">
        <f>Statement!O22</f>
        <v>653855</v>
      </c>
      <c r="F19" s="103">
        <f>Statement!P22</f>
        <v>559933</v>
      </c>
      <c r="G19" s="104">
        <f>Statement!Q22</f>
        <v>544860</v>
      </c>
      <c r="H19" s="162">
        <f>G19*(1+H20)</f>
        <v>528514.19999999995</v>
      </c>
      <c r="I19" s="162">
        <f t="shared" ref="I19:L19" si="5">H19*(1+I20)</f>
        <v>512658.77399999992</v>
      </c>
      <c r="J19" s="162">
        <f t="shared" si="5"/>
        <v>502405.59851999988</v>
      </c>
      <c r="K19" s="162">
        <f t="shared" si="5"/>
        <v>492357.48654959985</v>
      </c>
      <c r="L19" s="162">
        <f t="shared" si="5"/>
        <v>482510.33681860787</v>
      </c>
      <c r="N19" s="93"/>
    </row>
    <row r="20" spans="2:14" x14ac:dyDescent="0.2">
      <c r="B20" s="1" t="s">
        <v>237</v>
      </c>
      <c r="C20" s="158"/>
      <c r="D20" s="163">
        <f>D19/C19-1</f>
        <v>0.20543744844652179</v>
      </c>
      <c r="E20" s="163">
        <f t="shared" ref="E20:G20" si="6">E19/D19-1</f>
        <v>0.19311815948994759</v>
      </c>
      <c r="F20" s="163">
        <f t="shared" si="6"/>
        <v>-0.14364346835307518</v>
      </c>
      <c r="G20" s="164">
        <f t="shared" si="6"/>
        <v>-2.6919292129594097E-2</v>
      </c>
      <c r="H20" s="165">
        <v>-0.03</v>
      </c>
      <c r="I20" s="99">
        <v>-0.03</v>
      </c>
      <c r="J20" s="99">
        <v>-0.02</v>
      </c>
      <c r="K20" s="99">
        <v>-0.02</v>
      </c>
      <c r="L20" s="99">
        <v>-0.02</v>
      </c>
      <c r="N20" s="93"/>
    </row>
    <row r="21" spans="2:14" x14ac:dyDescent="0.2">
      <c r="N21" s="93"/>
    </row>
    <row r="22" spans="2:14" x14ac:dyDescent="0.2">
      <c r="C22" s="266" t="s">
        <v>238</v>
      </c>
      <c r="D22" s="266"/>
      <c r="E22" s="266"/>
      <c r="F22" s="266"/>
      <c r="G22" s="266"/>
      <c r="H22" s="266"/>
      <c r="I22" s="266"/>
      <c r="J22" s="266"/>
      <c r="K22" s="266"/>
      <c r="L22" s="266"/>
      <c r="N22" s="93"/>
    </row>
    <row r="23" spans="2:14" x14ac:dyDescent="0.2">
      <c r="C23" s="12">
        <f>C5</f>
        <v>2022</v>
      </c>
      <c r="D23" s="12">
        <f t="shared" ref="D23:L23" si="7">D5</f>
        <v>2023</v>
      </c>
      <c r="E23" s="12">
        <f t="shared" si="7"/>
        <v>2024</v>
      </c>
      <c r="F23" s="12">
        <f t="shared" si="7"/>
        <v>2025</v>
      </c>
      <c r="G23" s="12">
        <f t="shared" si="7"/>
        <v>2026</v>
      </c>
      <c r="H23" s="12">
        <f t="shared" si="7"/>
        <v>2027</v>
      </c>
      <c r="I23" s="12">
        <f t="shared" si="7"/>
        <v>2028</v>
      </c>
      <c r="J23" s="12">
        <f t="shared" si="7"/>
        <v>2029</v>
      </c>
      <c r="K23" s="12">
        <f t="shared" si="7"/>
        <v>2030</v>
      </c>
      <c r="L23" s="12">
        <f t="shared" si="7"/>
        <v>2031</v>
      </c>
      <c r="N23" s="93"/>
    </row>
    <row r="24" spans="2:14" x14ac:dyDescent="0.2">
      <c r="B24" s="1" t="s">
        <v>1</v>
      </c>
      <c r="C24" s="166">
        <f>Statement!M116</f>
        <v>33.43</v>
      </c>
      <c r="D24" s="166">
        <f>Statement!N116</f>
        <v>14.57</v>
      </c>
      <c r="E24" s="166">
        <f>Statement!O116</f>
        <v>23.85</v>
      </c>
      <c r="F24" s="166">
        <f>Statement!P116</f>
        <v>14.58</v>
      </c>
      <c r="G24" s="167">
        <f>Statement!Q116</f>
        <v>12.59</v>
      </c>
      <c r="H24" s="158"/>
      <c r="I24" s="158"/>
      <c r="J24" s="158"/>
      <c r="K24" s="158"/>
      <c r="L24" s="158"/>
      <c r="N24" s="93"/>
    </row>
    <row r="25" spans="2:14" x14ac:dyDescent="0.2">
      <c r="N25" s="93"/>
    </row>
    <row r="26" spans="2:14" x14ac:dyDescent="0.2">
      <c r="N26" s="93"/>
    </row>
    <row r="27" spans="2:14" x14ac:dyDescent="0.2">
      <c r="C27" s="266" t="s">
        <v>239</v>
      </c>
      <c r="D27" s="266"/>
      <c r="E27" s="266"/>
      <c r="F27" s="266"/>
      <c r="G27" s="266"/>
      <c r="H27" s="266"/>
      <c r="I27" s="266"/>
      <c r="J27" s="266"/>
      <c r="K27" s="266"/>
      <c r="L27" s="266"/>
      <c r="N27" s="93"/>
    </row>
    <row r="28" spans="2:14" x14ac:dyDescent="0.2">
      <c r="C28" s="12">
        <f>C5</f>
        <v>2022</v>
      </c>
      <c r="D28" s="12">
        <f t="shared" ref="D28:L28" si="8">D5</f>
        <v>2023</v>
      </c>
      <c r="E28" s="12">
        <f t="shared" si="8"/>
        <v>2024</v>
      </c>
      <c r="F28" s="12">
        <f t="shared" si="8"/>
        <v>2025</v>
      </c>
      <c r="G28" s="12">
        <f t="shared" si="8"/>
        <v>2026</v>
      </c>
      <c r="H28" s="12">
        <f t="shared" si="8"/>
        <v>2027</v>
      </c>
      <c r="I28" s="12">
        <f t="shared" si="8"/>
        <v>2028</v>
      </c>
      <c r="J28" s="12">
        <f t="shared" si="8"/>
        <v>2029</v>
      </c>
      <c r="K28" s="12">
        <f t="shared" si="8"/>
        <v>2030</v>
      </c>
      <c r="L28" s="12">
        <f t="shared" si="8"/>
        <v>2031</v>
      </c>
      <c r="N28" s="93"/>
    </row>
    <row r="29" spans="2:14" x14ac:dyDescent="0.2">
      <c r="B29" s="16" t="s">
        <v>240</v>
      </c>
      <c r="C29" s="168">
        <f>C24/(C6/C19)</f>
        <v>17.03343197885799</v>
      </c>
      <c r="D29" s="168">
        <f t="shared" ref="D29:G29" si="9">D24/(D6/D19)</f>
        <v>7.5428149003241138</v>
      </c>
      <c r="E29" s="168">
        <f t="shared" si="9"/>
        <v>11.921699837623619</v>
      </c>
      <c r="F29" s="168">
        <f t="shared" si="9"/>
        <v>5.7103089537122012</v>
      </c>
      <c r="G29" s="169">
        <f t="shared" si="9"/>
        <v>4.2592243004348767</v>
      </c>
      <c r="H29" s="158"/>
      <c r="I29" s="158"/>
      <c r="J29" s="158"/>
      <c r="K29" s="158"/>
      <c r="L29" s="158"/>
      <c r="N29" s="93"/>
    </row>
    <row r="30" spans="2:14" x14ac:dyDescent="0.2">
      <c r="B30" s="1" t="s">
        <v>241</v>
      </c>
      <c r="C30" s="162">
        <f>C24*C19</f>
        <v>15198113.75</v>
      </c>
      <c r="D30" s="162">
        <f t="shared" ref="D30:G30" si="10">D24*D19</f>
        <v>7984680.54</v>
      </c>
      <c r="E30" s="162">
        <f t="shared" si="10"/>
        <v>15594441.75</v>
      </c>
      <c r="F30" s="162">
        <f t="shared" si="10"/>
        <v>8163823.1399999997</v>
      </c>
      <c r="G30" s="170">
        <f t="shared" si="10"/>
        <v>6859787.4000000004</v>
      </c>
      <c r="H30" s="158"/>
      <c r="I30" s="158"/>
      <c r="J30" s="158"/>
      <c r="K30" s="158"/>
      <c r="L30" s="158"/>
      <c r="N30" s="93"/>
    </row>
    <row r="31" spans="2:14" x14ac:dyDescent="0.2">
      <c r="B31" s="1" t="s">
        <v>208</v>
      </c>
      <c r="C31" s="90">
        <f>Statement!M108</f>
        <v>0</v>
      </c>
      <c r="D31" s="171">
        <f>Statement!N108</f>
        <v>0</v>
      </c>
      <c r="E31" s="171">
        <f>Statement!O108</f>
        <v>0</v>
      </c>
      <c r="F31" s="171">
        <f>Statement!P108</f>
        <v>0</v>
      </c>
      <c r="G31" s="172">
        <f>Statement!Q108</f>
        <v>0</v>
      </c>
      <c r="H31" s="158"/>
      <c r="I31" s="158"/>
      <c r="J31" s="158"/>
      <c r="K31" s="158"/>
      <c r="L31" s="158"/>
      <c r="N31" s="93"/>
    </row>
    <row r="32" spans="2:14" x14ac:dyDescent="0.2">
      <c r="B32" s="1" t="s">
        <v>217</v>
      </c>
      <c r="C32" s="171">
        <f>Statement!M107</f>
        <v>1884663</v>
      </c>
      <c r="D32" s="171">
        <f>Statement!N107</f>
        <v>1759835</v>
      </c>
      <c r="E32" s="171">
        <f>Statement!O107</f>
        <v>1879823</v>
      </c>
      <c r="F32" s="171">
        <f>Statement!P107</f>
        <v>1723631</v>
      </c>
      <c r="G32" s="172">
        <f>Statement!Q107</f>
        <v>1689476</v>
      </c>
      <c r="H32" s="158"/>
      <c r="I32" s="158"/>
      <c r="J32" s="158"/>
      <c r="K32" s="158"/>
      <c r="L32" s="158"/>
      <c r="N32" s="93"/>
    </row>
    <row r="33" spans="2:14" x14ac:dyDescent="0.2">
      <c r="B33" s="1" t="s">
        <v>242</v>
      </c>
      <c r="C33" s="162">
        <f>C30+C31-C32</f>
        <v>13313450.75</v>
      </c>
      <c r="D33" s="162">
        <f t="shared" ref="D33:G33" si="11">D30+D31-D32</f>
        <v>6224845.54</v>
      </c>
      <c r="E33" s="162">
        <f t="shared" si="11"/>
        <v>13714618.75</v>
      </c>
      <c r="F33" s="162">
        <f t="shared" si="11"/>
        <v>6440192.1399999997</v>
      </c>
      <c r="G33" s="170">
        <f t="shared" si="11"/>
        <v>5170311.4000000004</v>
      </c>
      <c r="H33" s="158"/>
      <c r="I33" s="158"/>
      <c r="J33" s="158"/>
      <c r="K33" s="158"/>
      <c r="L33" s="158"/>
      <c r="N33" s="93"/>
    </row>
    <row r="34" spans="2:14" x14ac:dyDescent="0.2">
      <c r="B34" s="16" t="s">
        <v>243</v>
      </c>
      <c r="C34" s="168">
        <f>C33/C7</f>
        <v>-26.57661853772662</v>
      </c>
      <c r="D34" s="168">
        <f t="shared" ref="D34:G34" si="12">D33/D7</f>
        <v>-17.872952570179997</v>
      </c>
      <c r="E34" s="168">
        <f t="shared" si="12"/>
        <v>-83.260191537153958</v>
      </c>
      <c r="F34" s="168">
        <f t="shared" si="12"/>
        <v>-39.615130436922165</v>
      </c>
      <c r="G34" s="169">
        <f t="shared" si="12"/>
        <v>91.090757575757578</v>
      </c>
      <c r="H34" s="158"/>
      <c r="I34" s="158"/>
      <c r="J34" s="158"/>
      <c r="K34" s="158"/>
      <c r="L34" s="158"/>
      <c r="N34" s="93"/>
    </row>
    <row r="35" spans="2:14" x14ac:dyDescent="0.2">
      <c r="B35" s="16" t="s">
        <v>367</v>
      </c>
      <c r="C35" s="168">
        <f>C33/C8</f>
        <v>-22.043158871603321</v>
      </c>
      <c r="D35" s="168">
        <f t="shared" ref="D35:G35" si="13">D33/D8</f>
        <v>-12.448147509708797</v>
      </c>
      <c r="E35" s="168">
        <f t="shared" si="13"/>
        <v>-63.37829204271857</v>
      </c>
      <c r="F35" s="168">
        <f t="shared" si="13"/>
        <v>-31.877089470974894</v>
      </c>
      <c r="G35" s="169">
        <f t="shared" si="13"/>
        <v>-54.697240970738214</v>
      </c>
      <c r="H35" s="158"/>
      <c r="I35" s="158"/>
      <c r="J35" s="158"/>
      <c r="K35" s="158"/>
      <c r="L35" s="158"/>
      <c r="N35" s="93"/>
    </row>
    <row r="36" spans="2:14" x14ac:dyDescent="0.2">
      <c r="B36" s="16" t="s">
        <v>429</v>
      </c>
      <c r="C36" s="168">
        <f>C33/C6</f>
        <v>14.921177817477574</v>
      </c>
      <c r="D36" s="168">
        <f t="shared" ref="D36:G36" si="14">D33/D6</f>
        <v>5.8803677186724492</v>
      </c>
      <c r="E36" s="168">
        <f t="shared" si="14"/>
        <v>10.48460539633904</v>
      </c>
      <c r="F36" s="168">
        <f t="shared" si="14"/>
        <v>4.5046893116144773</v>
      </c>
      <c r="G36" s="169">
        <f t="shared" si="14"/>
        <v>3.2102330103838885</v>
      </c>
      <c r="H36" s="158"/>
      <c r="I36" s="158"/>
      <c r="J36" s="158"/>
      <c r="K36" s="158"/>
      <c r="L36" s="158"/>
      <c r="N36" s="93"/>
    </row>
    <row r="37" spans="2:14" x14ac:dyDescent="0.2">
      <c r="N37" s="93"/>
    </row>
    <row r="38" spans="2:14" x14ac:dyDescent="0.2">
      <c r="N38" s="93"/>
    </row>
    <row r="39" spans="2:14" x14ac:dyDescent="0.2">
      <c r="B39" s="258" t="s">
        <v>244</v>
      </c>
      <c r="C39" s="258"/>
      <c r="N39" s="93"/>
    </row>
    <row r="40" spans="2:14" x14ac:dyDescent="0.2">
      <c r="B40" s="1" t="s">
        <v>245</v>
      </c>
      <c r="C40" s="64">
        <f>L7</f>
        <v>427920.24826000072</v>
      </c>
    </row>
    <row r="41" spans="2:14" x14ac:dyDescent="0.2">
      <c r="B41" s="1" t="s">
        <v>204</v>
      </c>
      <c r="C41" s="156">
        <f>IF(Overview!C28&gt;0,Overview!C28,WACC!C20)</f>
        <v>0.1</v>
      </c>
    </row>
    <row r="42" spans="2:14" x14ac:dyDescent="0.2">
      <c r="B42" s="39" t="s">
        <v>246</v>
      </c>
      <c r="C42" s="114">
        <v>25</v>
      </c>
    </row>
    <row r="43" spans="2:14" x14ac:dyDescent="0.2">
      <c r="B43" s="1" t="s">
        <v>425</v>
      </c>
      <c r="C43" s="24">
        <f>(C40*C42)</f>
        <v>10698006.206500018</v>
      </c>
    </row>
    <row r="44" spans="2:14" x14ac:dyDescent="0.2">
      <c r="B44" s="1" t="s">
        <v>426</v>
      </c>
      <c r="C44" s="24">
        <f>C43/(1+C41)^5</f>
        <v>6642620.1678350428</v>
      </c>
    </row>
    <row r="45" spans="2:14" x14ac:dyDescent="0.2">
      <c r="B45" s="16" t="s">
        <v>427</v>
      </c>
      <c r="C45" s="127">
        <f>SUM(H9:K9)+C44</f>
        <v>6724958.1072617248</v>
      </c>
    </row>
    <row r="46" spans="2:14" x14ac:dyDescent="0.2">
      <c r="B46" s="1" t="s">
        <v>228</v>
      </c>
      <c r="C46" s="90">
        <f>Statement!AC107</f>
        <v>1405025</v>
      </c>
    </row>
    <row r="47" spans="2:14" x14ac:dyDescent="0.2">
      <c r="B47" s="1" t="s">
        <v>229</v>
      </c>
      <c r="C47" s="90">
        <f>Statement!AC108</f>
        <v>0</v>
      </c>
    </row>
    <row r="48" spans="2:14" x14ac:dyDescent="0.2">
      <c r="B48" s="16" t="s">
        <v>230</v>
      </c>
      <c r="C48" s="127">
        <f>C45+C46-C47</f>
        <v>8129983.1072617248</v>
      </c>
    </row>
    <row r="49" spans="2:3" x14ac:dyDescent="0.2">
      <c r="B49" s="1" t="s">
        <v>70</v>
      </c>
      <c r="C49" s="90">
        <f>Statement!AC78</f>
        <v>524515</v>
      </c>
    </row>
    <row r="50" spans="2:3" x14ac:dyDescent="0.2">
      <c r="B50" s="249" t="s">
        <v>248</v>
      </c>
      <c r="C50" s="250">
        <f>C48/C49</f>
        <v>15.500001157758549</v>
      </c>
    </row>
    <row r="52" spans="2:3" x14ac:dyDescent="0.2">
      <c r="B52" s="258" t="s">
        <v>249</v>
      </c>
      <c r="C52" s="258"/>
    </row>
    <row r="53" spans="2:3" x14ac:dyDescent="0.2">
      <c r="B53" s="1" t="s">
        <v>250</v>
      </c>
      <c r="C53" s="64">
        <f>L6</f>
        <v>2473527.4465896003</v>
      </c>
    </row>
    <row r="54" spans="2:3" x14ac:dyDescent="0.2">
      <c r="B54" s="1" t="s">
        <v>397</v>
      </c>
      <c r="C54" s="156">
        <f>IF(Overview!C29&gt;0,Overview!C29,WACC!C19)</f>
        <v>0.12</v>
      </c>
    </row>
    <row r="55" spans="2:3" x14ac:dyDescent="0.2">
      <c r="B55" s="39" t="s">
        <v>251</v>
      </c>
      <c r="C55" s="114">
        <v>4</v>
      </c>
    </row>
    <row r="56" spans="2:3" x14ac:dyDescent="0.2">
      <c r="B56" s="1" t="s">
        <v>247</v>
      </c>
      <c r="C56" s="24">
        <f>L19</f>
        <v>482510.33681860787</v>
      </c>
    </row>
    <row r="57" spans="2:3" x14ac:dyDescent="0.2">
      <c r="B57" s="1" t="s">
        <v>231</v>
      </c>
      <c r="C57" s="24">
        <f>(C53*C55)/C56</f>
        <v>20.505487719899222</v>
      </c>
    </row>
    <row r="58" spans="2:3" x14ac:dyDescent="0.2">
      <c r="B58" s="249" t="s">
        <v>248</v>
      </c>
      <c r="C58" s="250">
        <f>C57/(1+C54)^5</f>
        <v>11.635364421878764</v>
      </c>
    </row>
    <row r="60" spans="2:3" x14ac:dyDescent="0.2">
      <c r="B60" s="258" t="s">
        <v>368</v>
      </c>
      <c r="C60" s="258"/>
    </row>
    <row r="61" spans="2:3" x14ac:dyDescent="0.2">
      <c r="B61" s="1" t="s">
        <v>428</v>
      </c>
      <c r="C61" s="64">
        <f>L8</f>
        <v>199738.80479990577</v>
      </c>
    </row>
    <row r="62" spans="2:3" x14ac:dyDescent="0.2">
      <c r="B62" s="1" t="s">
        <v>204</v>
      </c>
      <c r="C62" s="156">
        <f>IF(Overview!C28&gt;0,Overview!C28,WACC!C20)</f>
        <v>0.1</v>
      </c>
    </row>
    <row r="63" spans="2:3" x14ac:dyDescent="0.2">
      <c r="B63" s="39" t="s">
        <v>398</v>
      </c>
      <c r="C63" s="114">
        <v>30</v>
      </c>
    </row>
    <row r="64" spans="2:3" x14ac:dyDescent="0.2">
      <c r="B64" s="1" t="s">
        <v>425</v>
      </c>
      <c r="C64" s="24">
        <f>(C61*C63)</f>
        <v>5992164.1439971728</v>
      </c>
    </row>
    <row r="65" spans="2:3" x14ac:dyDescent="0.2">
      <c r="B65" s="1" t="s">
        <v>426</v>
      </c>
      <c r="C65" s="24">
        <f>C64/(1+C62)^5</f>
        <v>3720662.4882783531</v>
      </c>
    </row>
    <row r="66" spans="2:3" x14ac:dyDescent="0.2">
      <c r="B66" s="16" t="s">
        <v>427</v>
      </c>
      <c r="C66" s="127">
        <f>SUM(H9:K9)+C65</f>
        <v>3803000.4277050351</v>
      </c>
    </row>
    <row r="67" spans="2:3" x14ac:dyDescent="0.2">
      <c r="B67" s="1" t="s">
        <v>228</v>
      </c>
      <c r="C67" s="90">
        <f>Statement!AC107</f>
        <v>1405025</v>
      </c>
    </row>
    <row r="68" spans="2:3" x14ac:dyDescent="0.2">
      <c r="B68" s="1" t="s">
        <v>229</v>
      </c>
      <c r="C68" s="90">
        <f>Statement!AC108</f>
        <v>0</v>
      </c>
    </row>
    <row r="69" spans="2:3" x14ac:dyDescent="0.2">
      <c r="B69" s="16" t="s">
        <v>230</v>
      </c>
      <c r="C69" s="127">
        <f>C66+C67-C68</f>
        <v>5208025.4277050346</v>
      </c>
    </row>
    <row r="70" spans="2:3" x14ac:dyDescent="0.2">
      <c r="B70" s="1" t="s">
        <v>70</v>
      </c>
      <c r="C70" s="90">
        <f>Statement!AC78</f>
        <v>524515</v>
      </c>
    </row>
    <row r="71" spans="2:3" x14ac:dyDescent="0.2">
      <c r="B71" s="249" t="s">
        <v>248</v>
      </c>
      <c r="C71" s="250">
        <f>C69/C70</f>
        <v>9.9292211427795856</v>
      </c>
    </row>
    <row r="73" spans="2:3" x14ac:dyDescent="0.2">
      <c r="B73" s="258" t="s">
        <v>430</v>
      </c>
      <c r="C73" s="258"/>
    </row>
    <row r="74" spans="2:3" x14ac:dyDescent="0.2">
      <c r="B74" s="1" t="s">
        <v>431</v>
      </c>
      <c r="C74" s="64">
        <f>L6</f>
        <v>2473527.4465896003</v>
      </c>
    </row>
    <row r="75" spans="2:3" x14ac:dyDescent="0.2">
      <c r="B75" s="1" t="s">
        <v>204</v>
      </c>
      <c r="C75" s="156">
        <f>IF(Overview!C28&gt;0,Overview!C28,WACC!C20)</f>
        <v>0.1</v>
      </c>
    </row>
    <row r="76" spans="2:3" x14ac:dyDescent="0.2">
      <c r="B76" s="39" t="s">
        <v>432</v>
      </c>
      <c r="C76" s="114">
        <v>3</v>
      </c>
    </row>
    <row r="77" spans="2:3" x14ac:dyDescent="0.2">
      <c r="B77" s="1" t="s">
        <v>425</v>
      </c>
      <c r="C77" s="24">
        <f>(C74*C76)</f>
        <v>7420582.3397688009</v>
      </c>
    </row>
    <row r="78" spans="2:3" x14ac:dyDescent="0.2">
      <c r="B78" s="1" t="s">
        <v>426</v>
      </c>
      <c r="C78" s="24">
        <f>C77/(1+C75)^5</f>
        <v>4607597.8042786438</v>
      </c>
    </row>
    <row r="79" spans="2:3" x14ac:dyDescent="0.2">
      <c r="B79" s="16" t="s">
        <v>427</v>
      </c>
      <c r="C79" s="127">
        <f>SUM(H9:K9)+C78</f>
        <v>4689935.7437053258</v>
      </c>
    </row>
    <row r="80" spans="2:3" x14ac:dyDescent="0.2">
      <c r="B80" s="1" t="s">
        <v>228</v>
      </c>
      <c r="C80" s="90">
        <f>Statement!AC107</f>
        <v>1405025</v>
      </c>
    </row>
    <row r="81" spans="2:3" x14ac:dyDescent="0.2">
      <c r="B81" s="1" t="s">
        <v>229</v>
      </c>
      <c r="C81" s="90">
        <f>Statement!AC108</f>
        <v>0</v>
      </c>
    </row>
    <row r="82" spans="2:3" x14ac:dyDescent="0.2">
      <c r="B82" s="16" t="s">
        <v>230</v>
      </c>
      <c r="C82" s="127">
        <f>C79+C80-C81</f>
        <v>6094960.7437053258</v>
      </c>
    </row>
    <row r="83" spans="2:3" x14ac:dyDescent="0.2">
      <c r="B83" s="1" t="s">
        <v>70</v>
      </c>
      <c r="C83" s="90">
        <f>Statement!AC78</f>
        <v>524515</v>
      </c>
    </row>
    <row r="84" spans="2:3" x14ac:dyDescent="0.2">
      <c r="B84" s="249" t="s">
        <v>248</v>
      </c>
      <c r="C84" s="250">
        <f>C82/C83</f>
        <v>11.620183872158711</v>
      </c>
    </row>
  </sheetData>
  <mergeCells count="11">
    <mergeCell ref="B73:C73"/>
    <mergeCell ref="C27:L27"/>
    <mergeCell ref="B39:C39"/>
    <mergeCell ref="B52:C52"/>
    <mergeCell ref="B60:C60"/>
    <mergeCell ref="C22:L22"/>
    <mergeCell ref="C2:G2"/>
    <mergeCell ref="H2:L2"/>
    <mergeCell ref="C4:L4"/>
    <mergeCell ref="C11:L11"/>
    <mergeCell ref="C17:L17"/>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5"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5" customFormat="1" ht="18" customHeight="1" x14ac:dyDescent="0.2">
      <c r="A1" s="4"/>
      <c r="B1" s="84" t="s">
        <v>252</v>
      </c>
    </row>
    <row r="2" spans="1:14" x14ac:dyDescent="0.2">
      <c r="N2" s="93"/>
    </row>
    <row r="3" spans="1:14" x14ac:dyDescent="0.2">
      <c r="N3" s="93"/>
    </row>
    <row r="4" spans="1:14" x14ac:dyDescent="0.2">
      <c r="B4" s="258" t="s">
        <v>253</v>
      </c>
      <c r="C4" s="258"/>
      <c r="N4" s="93"/>
    </row>
    <row r="5" spans="1:14" x14ac:dyDescent="0.2">
      <c r="B5" s="1" t="s">
        <v>254</v>
      </c>
      <c r="C5" s="154">
        <f>DCF!C26</f>
        <v>6.0868928055205176</v>
      </c>
    </row>
    <row r="6" spans="1:14" x14ac:dyDescent="0.2">
      <c r="B6" s="1" t="s">
        <v>255</v>
      </c>
      <c r="C6" s="154">
        <f>Multiples!C50</f>
        <v>15.500001157758549</v>
      </c>
    </row>
    <row r="7" spans="1:14" x14ac:dyDescent="0.2">
      <c r="B7" s="1" t="s">
        <v>256</v>
      </c>
      <c r="C7" s="154">
        <f>Multiples!C58</f>
        <v>11.635364421878764</v>
      </c>
    </row>
    <row r="8" spans="1:14" x14ac:dyDescent="0.2">
      <c r="B8" s="1" t="s">
        <v>369</v>
      </c>
      <c r="C8" s="154">
        <f>Multiples!C71</f>
        <v>9.9292211427795856</v>
      </c>
    </row>
    <row r="9" spans="1:14" x14ac:dyDescent="0.2">
      <c r="B9" s="1" t="s">
        <v>429</v>
      </c>
      <c r="C9" s="154">
        <f>Multiples!C84</f>
        <v>11.620183872158711</v>
      </c>
    </row>
    <row r="10" spans="1:14" x14ac:dyDescent="0.2">
      <c r="B10" s="249" t="s">
        <v>257</v>
      </c>
      <c r="C10" s="250">
        <f>AVERAGE(C5:C9)</f>
        <v>10.954332680019224</v>
      </c>
    </row>
    <row r="11" spans="1:14" x14ac:dyDescent="0.2">
      <c r="B11" s="1" t="s">
        <v>258</v>
      </c>
      <c r="C11" s="154">
        <f ca="1">Overview!C5</f>
        <v>13.324999999999999</v>
      </c>
    </row>
    <row r="12" spans="1:14" x14ac:dyDescent="0.2">
      <c r="B12" s="1" t="s">
        <v>259</v>
      </c>
      <c r="C12" s="173">
        <f ca="1">(C10-C11)/C11</f>
        <v>-0.17791124352576176</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29FA4-3F46-6F4E-9026-BAD13DCD8999}">
  <dimension ref="A1:N26"/>
  <sheetViews>
    <sheetView topLeftCell="A17" zoomScale="192" zoomScaleNormal="100" workbookViewId="0">
      <selection activeCell="B27" sqref="B27"/>
    </sheetView>
  </sheetViews>
  <sheetFormatPr baseColWidth="10" defaultRowHeight="16" x14ac:dyDescent="0.2"/>
  <cols>
    <col min="1" max="1" width="2" style="85"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5" customFormat="1" ht="18" customHeight="1" x14ac:dyDescent="0.2">
      <c r="A1" s="4"/>
      <c r="B1" s="84" t="s">
        <v>409</v>
      </c>
    </row>
    <row r="2" spans="1:14" x14ac:dyDescent="0.2">
      <c r="A2" s="4"/>
      <c r="C2" s="258" t="s">
        <v>135</v>
      </c>
      <c r="D2" s="258"/>
      <c r="E2" s="258"/>
      <c r="F2" s="258"/>
      <c r="G2" s="264"/>
      <c r="H2" s="265" t="s">
        <v>136</v>
      </c>
      <c r="I2" s="258"/>
      <c r="J2" s="258"/>
      <c r="K2" s="258"/>
      <c r="L2" s="258"/>
    </row>
    <row r="3" spans="1:14" ht="10" customHeight="1" x14ac:dyDescent="0.2"/>
    <row r="4" spans="1:14" ht="16" customHeight="1" x14ac:dyDescent="0.2">
      <c r="A4" s="88"/>
      <c r="B4" s="60"/>
      <c r="C4" s="266" t="s">
        <v>233</v>
      </c>
      <c r="D4" s="266"/>
      <c r="E4" s="266"/>
      <c r="F4" s="266"/>
      <c r="G4" s="266"/>
      <c r="H4" s="266"/>
      <c r="I4" s="266"/>
      <c r="J4" s="266"/>
      <c r="K4" s="266"/>
      <c r="L4" s="266"/>
    </row>
    <row r="5" spans="1:14" x14ac:dyDescent="0.2">
      <c r="B5" s="16" t="s">
        <v>139</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285</v>
      </c>
      <c r="C6" s="245">
        <f>Statement!M26</f>
        <v>-1.1599999999999999</v>
      </c>
      <c r="D6" s="245">
        <f>Statement!N26</f>
        <v>-0.6</v>
      </c>
      <c r="E6" s="245">
        <f>Statement!O26</f>
        <v>-0.16</v>
      </c>
      <c r="F6" s="245">
        <f>Statement!P26</f>
        <v>-0.13</v>
      </c>
      <c r="G6" s="246">
        <f>Statement!Q26</f>
        <v>0.52</v>
      </c>
      <c r="H6" s="158"/>
      <c r="I6" s="158"/>
      <c r="J6" s="158"/>
      <c r="K6" s="158"/>
      <c r="L6" s="158"/>
      <c r="N6" s="93"/>
    </row>
    <row r="7" spans="1:14" x14ac:dyDescent="0.2">
      <c r="B7" s="16" t="s">
        <v>410</v>
      </c>
      <c r="C7" s="245">
        <f>Statement!M82</f>
        <v>0</v>
      </c>
      <c r="D7" s="245">
        <f>Statement!N82</f>
        <v>0</v>
      </c>
      <c r="E7" s="245">
        <f>Statement!O82</f>
        <v>0</v>
      </c>
      <c r="F7" s="245">
        <f>Statement!P82</f>
        <v>0</v>
      </c>
      <c r="G7" s="246">
        <f>Statement!Q82</f>
        <v>0</v>
      </c>
      <c r="H7" s="158"/>
      <c r="I7" s="158"/>
      <c r="J7" s="158"/>
      <c r="K7" s="158"/>
      <c r="L7" s="158"/>
      <c r="N7" s="93"/>
    </row>
    <row r="8" spans="1:14" x14ac:dyDescent="0.2">
      <c r="N8" s="93"/>
    </row>
    <row r="9" spans="1:14" x14ac:dyDescent="0.2">
      <c r="C9" s="266" t="s">
        <v>144</v>
      </c>
      <c r="D9" s="266"/>
      <c r="E9" s="266"/>
      <c r="F9" s="266"/>
      <c r="G9" s="266"/>
      <c r="H9" s="266"/>
      <c r="I9" s="266"/>
      <c r="J9" s="266"/>
      <c r="K9" s="266"/>
      <c r="L9" s="266"/>
      <c r="N9" s="93"/>
    </row>
    <row r="10" spans="1:14" x14ac:dyDescent="0.2">
      <c r="B10" s="16" t="s">
        <v>234</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3"/>
    </row>
    <row r="11" spans="1:14" x14ac:dyDescent="0.2">
      <c r="B11" s="1" t="s">
        <v>285</v>
      </c>
      <c r="C11" s="158"/>
      <c r="D11" s="97">
        <f>(D6-C6)/C6</f>
        <v>-0.48275862068965514</v>
      </c>
      <c r="E11" s="97">
        <f>(E6-D6)/D6</f>
        <v>-0.73333333333333328</v>
      </c>
      <c r="F11" s="97">
        <f>(F6-E6)/E6</f>
        <v>-0.1875</v>
      </c>
      <c r="G11" s="98">
        <f>(G6-F6)/F6</f>
        <v>-5</v>
      </c>
      <c r="H11" s="158"/>
      <c r="I11" s="158"/>
      <c r="J11" s="158"/>
      <c r="K11" s="158"/>
      <c r="L11" s="158"/>
      <c r="N11" s="93"/>
    </row>
    <row r="12" spans="1:14" x14ac:dyDescent="0.2">
      <c r="B12" s="1" t="s">
        <v>286</v>
      </c>
      <c r="C12" s="158"/>
      <c r="D12" s="97">
        <f>IF(C7=0,
IF(D7=0,0,IF(D7&gt;0,1,-1)),
(D7-C7)/ABS(C7)
)</f>
        <v>0</v>
      </c>
      <c r="E12" s="97">
        <f>IF(D7=0,
IF(E7=0,0,IF(E7&gt;0,1,-1)),
(E7-D7)/ABS(D7)
)</f>
        <v>0</v>
      </c>
      <c r="F12" s="97">
        <f>IF(E7=0,
IF(F7=0,0,IF(F7&gt;0,1,-1)),
(F7-E7)/ABS(E7)
)</f>
        <v>0</v>
      </c>
      <c r="G12" s="98">
        <f>IF(F7=0,
IF(G7=0,0,IF(G7&gt;0,1,-1)),
(G7-F7)/ABS(F7)
)</f>
        <v>0</v>
      </c>
      <c r="H12" s="158"/>
      <c r="I12" s="158"/>
      <c r="J12" s="158"/>
      <c r="K12" s="158"/>
      <c r="L12" s="158"/>
      <c r="N12" s="93"/>
    </row>
    <row r="13" spans="1:14" x14ac:dyDescent="0.2">
      <c r="N13" s="93"/>
    </row>
    <row r="14" spans="1:14" x14ac:dyDescent="0.2">
      <c r="C14" s="266" t="s">
        <v>411</v>
      </c>
      <c r="D14" s="266"/>
      <c r="E14" s="266"/>
      <c r="F14" s="266"/>
      <c r="G14" s="266"/>
      <c r="H14" s="266"/>
      <c r="I14" s="266"/>
      <c r="J14" s="266"/>
      <c r="K14" s="266"/>
      <c r="L14" s="266"/>
      <c r="N14" s="93"/>
    </row>
    <row r="15" spans="1:14" x14ac:dyDescent="0.2">
      <c r="B15" s="16" t="s">
        <v>380</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3"/>
    </row>
    <row r="16" spans="1:14" x14ac:dyDescent="0.2">
      <c r="B16" s="1" t="s">
        <v>412</v>
      </c>
      <c r="C16" s="97">
        <f>C7/C6</f>
        <v>0</v>
      </c>
      <c r="D16" s="97">
        <f t="shared" ref="D16:G16" si="2">D7/D6</f>
        <v>0</v>
      </c>
      <c r="E16" s="97">
        <f t="shared" si="2"/>
        <v>0</v>
      </c>
      <c r="F16" s="97">
        <f t="shared" si="2"/>
        <v>0</v>
      </c>
      <c r="G16" s="98">
        <f t="shared" si="2"/>
        <v>0</v>
      </c>
      <c r="H16" s="158"/>
      <c r="I16" s="158"/>
      <c r="J16" s="158"/>
      <c r="K16" s="158"/>
      <c r="L16" s="158"/>
      <c r="N16" s="93"/>
    </row>
    <row r="17" spans="2:14" x14ac:dyDescent="0.2">
      <c r="N17" s="93"/>
    </row>
    <row r="18" spans="2:14" x14ac:dyDescent="0.2">
      <c r="N18" s="93"/>
    </row>
    <row r="19" spans="2:14" x14ac:dyDescent="0.2">
      <c r="N19" s="93"/>
    </row>
    <row r="20" spans="2:14" x14ac:dyDescent="0.2">
      <c r="B20" s="258" t="s">
        <v>413</v>
      </c>
      <c r="C20" s="258"/>
      <c r="N20" s="93"/>
    </row>
    <row r="21" spans="2:14" x14ac:dyDescent="0.2">
      <c r="B21" s="1" t="s">
        <v>414</v>
      </c>
      <c r="C21" s="122">
        <f>G7</f>
        <v>0</v>
      </c>
    </row>
    <row r="22" spans="2:14" x14ac:dyDescent="0.2">
      <c r="B22" s="1" t="s">
        <v>415</v>
      </c>
      <c r="C22" s="247">
        <v>0</v>
      </c>
    </row>
    <row r="23" spans="2:14" x14ac:dyDescent="0.2">
      <c r="B23" s="39" t="s">
        <v>416</v>
      </c>
      <c r="C23" s="248">
        <f>C21*(1+C22)</f>
        <v>0</v>
      </c>
    </row>
    <row r="24" spans="2:14" x14ac:dyDescent="0.2">
      <c r="B24" s="1" t="s">
        <v>397</v>
      </c>
      <c r="C24" s="156">
        <f>IF(Overview!C29&gt;0,Overview!C29,WACC!C19)</f>
        <v>0.12</v>
      </c>
    </row>
    <row r="25" spans="2:14" x14ac:dyDescent="0.2">
      <c r="B25" s="39" t="s">
        <v>417</v>
      </c>
      <c r="C25" s="247">
        <v>0</v>
      </c>
    </row>
    <row r="26" spans="2:14" x14ac:dyDescent="0.2">
      <c r="B26" s="249" t="s">
        <v>248</v>
      </c>
      <c r="C26" s="250">
        <f>C23/(C24-C25)</f>
        <v>0</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12" zoomScale="209" zoomScaleNormal="100" workbookViewId="0">
      <selection activeCell="C17" sqref="C17"/>
    </sheetView>
  </sheetViews>
  <sheetFormatPr baseColWidth="10" defaultRowHeight="16" x14ac:dyDescent="0.2"/>
  <cols>
    <col min="1" max="1" width="2" style="85"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5" customFormat="1" ht="18" customHeight="1" x14ac:dyDescent="0.2">
      <c r="A1" s="4"/>
      <c r="B1" s="84" t="s">
        <v>260</v>
      </c>
    </row>
    <row r="2" spans="1:28" s="85" customFormat="1" ht="18" customHeight="1" x14ac:dyDescent="0.2">
      <c r="A2" s="4"/>
      <c r="B2" s="84"/>
    </row>
    <row r="3" spans="1:28" x14ac:dyDescent="0.2">
      <c r="A3" s="4"/>
      <c r="C3" s="258" t="s">
        <v>135</v>
      </c>
      <c r="D3" s="258"/>
      <c r="E3" s="258"/>
      <c r="F3" s="258"/>
      <c r="G3" s="264"/>
      <c r="H3" s="265" t="s">
        <v>136</v>
      </c>
      <c r="I3" s="258"/>
      <c r="J3" s="258"/>
      <c r="K3" s="258"/>
      <c r="L3" s="258"/>
      <c r="P3" s="269"/>
      <c r="Q3" s="269"/>
      <c r="R3" s="269"/>
      <c r="S3" s="269"/>
      <c r="T3" s="269"/>
      <c r="U3" s="269"/>
      <c r="V3" s="269"/>
      <c r="W3" s="269"/>
      <c r="X3" s="269"/>
      <c r="Y3" s="269"/>
      <c r="Z3" s="269"/>
      <c r="AB3" s="130"/>
    </row>
    <row r="4" spans="1:28" ht="10" customHeight="1" x14ac:dyDescent="0.2"/>
    <row r="5" spans="1:28" ht="16" customHeight="1" x14ac:dyDescent="0.2">
      <c r="A5" s="88"/>
      <c r="B5" s="60"/>
      <c r="C5" s="266" t="s">
        <v>219</v>
      </c>
      <c r="D5" s="266"/>
      <c r="E5" s="266"/>
      <c r="F5" s="266"/>
      <c r="G5" s="266"/>
      <c r="H5" s="266"/>
      <c r="I5" s="266"/>
      <c r="J5" s="266"/>
      <c r="K5" s="266"/>
      <c r="L5" s="266"/>
      <c r="P5" s="269"/>
      <c r="Q5" s="269"/>
      <c r="R5" s="269"/>
      <c r="S5" s="269"/>
      <c r="T5" s="269"/>
      <c r="U5" s="269"/>
      <c r="V5" s="269"/>
      <c r="W5" s="269"/>
      <c r="X5" s="269"/>
      <c r="Y5" s="269"/>
      <c r="Z5" s="269"/>
      <c r="AB5" s="131"/>
    </row>
    <row r="6" spans="1:28" x14ac:dyDescent="0.2">
      <c r="B6" s="16" t="s">
        <v>172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32"/>
      <c r="Q6" s="132"/>
      <c r="R6" s="132"/>
      <c r="S6" s="132"/>
      <c r="T6" s="132"/>
      <c r="U6" s="132"/>
      <c r="V6" s="132"/>
      <c r="W6" s="132"/>
      <c r="X6" s="132"/>
      <c r="Y6" s="132"/>
      <c r="Z6" s="132"/>
      <c r="AB6" s="131"/>
    </row>
    <row r="7" spans="1:28" x14ac:dyDescent="0.2">
      <c r="B7" s="39" t="s">
        <v>304</v>
      </c>
      <c r="C7" s="133">
        <f>'FCF &amp; Other'!C28</f>
        <v>-603972</v>
      </c>
      <c r="D7" s="133">
        <f>'FCF &amp; Other'!D28</f>
        <v>-500062</v>
      </c>
      <c r="E7" s="133">
        <f>'FCF &amp; Other'!E28</f>
        <v>-216393</v>
      </c>
      <c r="F7" s="133">
        <f>'FCF &amp; Other'!F28</f>
        <v>-202032</v>
      </c>
      <c r="G7" s="134">
        <v>8000</v>
      </c>
      <c r="H7" s="147">
        <f>G7*(1+$C$17)</f>
        <v>19200</v>
      </c>
      <c r="I7" s="147">
        <f t="shared" ref="I7:L7" si="0">H7*(1+$C$17)</f>
        <v>46080</v>
      </c>
      <c r="J7" s="147">
        <f t="shared" si="0"/>
        <v>110592</v>
      </c>
      <c r="K7" s="147">
        <f t="shared" si="0"/>
        <v>265420.79999999999</v>
      </c>
      <c r="L7" s="147">
        <f t="shared" si="0"/>
        <v>637009.91999999993</v>
      </c>
      <c r="N7" s="93"/>
      <c r="O7" s="16"/>
      <c r="P7" s="94"/>
      <c r="Q7" s="94"/>
      <c r="R7" s="94"/>
      <c r="S7" s="94"/>
      <c r="T7" s="94"/>
      <c r="U7" s="94"/>
      <c r="V7" s="94"/>
      <c r="W7" s="94"/>
      <c r="X7" s="96"/>
      <c r="Y7" s="96"/>
      <c r="Z7" s="96"/>
      <c r="AB7" s="96"/>
    </row>
    <row r="8" spans="1:28" x14ac:dyDescent="0.2">
      <c r="B8" s="39" t="s">
        <v>220</v>
      </c>
      <c r="C8" s="158"/>
      <c r="D8" s="158"/>
      <c r="E8" s="158"/>
      <c r="F8" s="158"/>
      <c r="G8" s="159"/>
      <c r="H8" s="158"/>
      <c r="I8" s="158"/>
      <c r="J8" s="158"/>
      <c r="K8" s="158"/>
      <c r="L8" s="147">
        <f>L7*(1+C20)/(C21-C20)</f>
        <v>8121876.4799999986</v>
      </c>
      <c r="N8" s="93"/>
      <c r="O8" s="16"/>
      <c r="P8" s="94"/>
      <c r="Q8" s="94"/>
      <c r="R8" s="94"/>
      <c r="S8" s="94"/>
      <c r="T8" s="94"/>
      <c r="U8" s="94"/>
      <c r="V8" s="94"/>
      <c r="W8" s="94"/>
      <c r="X8" s="96"/>
      <c r="Y8" s="96"/>
      <c r="Z8" s="96"/>
      <c r="AB8" s="96"/>
    </row>
    <row r="9" spans="1:28" x14ac:dyDescent="0.2">
      <c r="B9" s="1" t="s">
        <v>221</v>
      </c>
      <c r="C9" s="158"/>
      <c r="D9" s="158"/>
      <c r="E9" s="158"/>
      <c r="F9" s="158"/>
      <c r="G9" s="159"/>
      <c r="H9" s="160">
        <v>1</v>
      </c>
      <c r="I9" s="160">
        <v>2</v>
      </c>
      <c r="J9" s="160">
        <v>3</v>
      </c>
      <c r="K9" s="160">
        <v>4</v>
      </c>
      <c r="L9" s="160">
        <v>5</v>
      </c>
      <c r="N9" s="93"/>
    </row>
    <row r="10" spans="1:28" x14ac:dyDescent="0.2">
      <c r="B10" s="1" t="s">
        <v>366</v>
      </c>
      <c r="C10" s="158"/>
      <c r="D10" s="158"/>
      <c r="E10" s="158"/>
      <c r="F10" s="158"/>
      <c r="G10" s="159"/>
      <c r="H10" s="147">
        <f>H7/(1+$C$21)^H9</f>
        <v>17454.545454545452</v>
      </c>
      <c r="I10" s="147">
        <f t="shared" ref="I10:L10" si="1">I7/(1+$C$21)^I9</f>
        <v>38082.644628099166</v>
      </c>
      <c r="J10" s="147">
        <f t="shared" si="1"/>
        <v>83089.40646130727</v>
      </c>
      <c r="K10" s="147">
        <f t="shared" si="1"/>
        <v>181285.9777337613</v>
      </c>
      <c r="L10" s="147">
        <f t="shared" si="1"/>
        <v>395533.04232820641</v>
      </c>
      <c r="N10" s="93"/>
    </row>
    <row r="11" spans="1:28" x14ac:dyDescent="0.2">
      <c r="B11" s="1" t="s">
        <v>222</v>
      </c>
      <c r="C11" s="158"/>
      <c r="D11" s="158"/>
      <c r="E11" s="158"/>
      <c r="F11" s="158"/>
      <c r="G11" s="159"/>
      <c r="H11" s="158"/>
      <c r="I11" s="158"/>
      <c r="J11" s="158"/>
      <c r="K11" s="158"/>
      <c r="L11" s="147">
        <f>L8/(1+C21)^L9</f>
        <v>5043046.2896846319</v>
      </c>
    </row>
    <row r="13" spans="1:28" ht="17" thickBot="1" x14ac:dyDescent="0.25"/>
    <row r="14" spans="1:28" x14ac:dyDescent="0.2">
      <c r="B14" s="271" t="s">
        <v>261</v>
      </c>
      <c r="C14" s="272"/>
    </row>
    <row r="15" spans="1:28" x14ac:dyDescent="0.2">
      <c r="B15" s="174" t="s">
        <v>262</v>
      </c>
      <c r="C15" s="175">
        <f ca="1">Overview!C5</f>
        <v>13.324999999999999</v>
      </c>
    </row>
    <row r="16" spans="1:28" x14ac:dyDescent="0.2">
      <c r="B16" s="174" t="s">
        <v>263</v>
      </c>
      <c r="C16" s="175">
        <f>C36</f>
        <v>13.745436887017615</v>
      </c>
    </row>
    <row r="17" spans="2:9" ht="17" thickBot="1" x14ac:dyDescent="0.25">
      <c r="B17" s="176" t="s">
        <v>370</v>
      </c>
      <c r="C17" s="177">
        <v>1.4</v>
      </c>
      <c r="E17" s="270" t="s">
        <v>264</v>
      </c>
      <c r="F17" s="270"/>
      <c r="G17" s="270"/>
      <c r="H17" s="270"/>
      <c r="I17" s="270"/>
    </row>
    <row r="18" spans="2:9" ht="17" thickBot="1" x14ac:dyDescent="0.25"/>
    <row r="19" spans="2:9" x14ac:dyDescent="0.2">
      <c r="B19" s="271" t="s">
        <v>223</v>
      </c>
      <c r="C19" s="272"/>
    </row>
    <row r="20" spans="2:9" x14ac:dyDescent="0.2">
      <c r="B20" s="178" t="s">
        <v>224</v>
      </c>
      <c r="C20" s="179">
        <v>0.02</v>
      </c>
    </row>
    <row r="21" spans="2:9" x14ac:dyDescent="0.2">
      <c r="B21" s="178" t="s">
        <v>204</v>
      </c>
      <c r="C21" s="239">
        <f>IF(Overview!C28&gt;0,Overview!C28,WACC!C20)</f>
        <v>0.1</v>
      </c>
    </row>
    <row r="22" spans="2:9" x14ac:dyDescent="0.2">
      <c r="B22" s="178" t="s">
        <v>70</v>
      </c>
      <c r="C22" s="240">
        <f>Statement!AC75</f>
        <v>521156</v>
      </c>
    </row>
    <row r="23" spans="2:9" x14ac:dyDescent="0.2">
      <c r="B23" s="178" t="s">
        <v>265</v>
      </c>
      <c r="C23" s="180">
        <f ca="1">C15*C22</f>
        <v>6944403.6999999993</v>
      </c>
    </row>
    <row r="24" spans="2:9" x14ac:dyDescent="0.2">
      <c r="B24" s="178" t="s">
        <v>217</v>
      </c>
      <c r="C24" s="240">
        <f>Statement!AC107</f>
        <v>1405025</v>
      </c>
    </row>
    <row r="25" spans="2:9" x14ac:dyDescent="0.2">
      <c r="B25" s="178" t="s">
        <v>208</v>
      </c>
      <c r="C25" s="240">
        <f>Statement!AC108</f>
        <v>0</v>
      </c>
    </row>
    <row r="26" spans="2:9" ht="17" thickBot="1" x14ac:dyDescent="0.25">
      <c r="B26" s="176" t="s">
        <v>266</v>
      </c>
      <c r="C26" s="181">
        <f ca="1">C23+C25-C24</f>
        <v>5539378.6999999993</v>
      </c>
    </row>
    <row r="27" spans="2:9" ht="17" thickBot="1" x14ac:dyDescent="0.25"/>
    <row r="28" spans="2:9" x14ac:dyDescent="0.2">
      <c r="B28" s="271" t="s">
        <v>225</v>
      </c>
      <c r="C28" s="272"/>
    </row>
    <row r="29" spans="2:9" x14ac:dyDescent="0.2">
      <c r="B29" s="178" t="s">
        <v>226</v>
      </c>
      <c r="C29" s="180">
        <f>SUM(H10:L10)</f>
        <v>715445.61660591955</v>
      </c>
    </row>
    <row r="30" spans="2:9" x14ac:dyDescent="0.2">
      <c r="B30" s="178" t="s">
        <v>222</v>
      </c>
      <c r="C30" s="180">
        <f>L11</f>
        <v>5043046.2896846319</v>
      </c>
    </row>
    <row r="31" spans="2:9" x14ac:dyDescent="0.2">
      <c r="B31" s="182" t="s">
        <v>227</v>
      </c>
      <c r="C31" s="183">
        <f>C29+C30</f>
        <v>5758491.9062905516</v>
      </c>
    </row>
    <row r="32" spans="2:9" x14ac:dyDescent="0.2">
      <c r="B32" s="178" t="s">
        <v>228</v>
      </c>
      <c r="C32" s="184">
        <f>C24</f>
        <v>1405025</v>
      </c>
    </row>
    <row r="33" spans="2:3" x14ac:dyDescent="0.2">
      <c r="B33" s="178" t="s">
        <v>229</v>
      </c>
      <c r="C33" s="184">
        <f>C25</f>
        <v>0</v>
      </c>
    </row>
    <row r="34" spans="2:3" x14ac:dyDescent="0.2">
      <c r="B34" s="182" t="s">
        <v>230</v>
      </c>
      <c r="C34" s="183">
        <f>C31+C32-C33</f>
        <v>7163516.9062905516</v>
      </c>
    </row>
    <row r="35" spans="2:3" x14ac:dyDescent="0.2">
      <c r="B35" s="178" t="s">
        <v>70</v>
      </c>
      <c r="C35" s="180">
        <f>C22</f>
        <v>521156</v>
      </c>
    </row>
    <row r="36" spans="2:3" ht="17" thickBot="1" x14ac:dyDescent="0.25">
      <c r="B36" s="185" t="s">
        <v>231</v>
      </c>
      <c r="C36" s="186">
        <f>C34/C35</f>
        <v>13.745436887017615</v>
      </c>
    </row>
  </sheetData>
  <mergeCells count="10">
    <mergeCell ref="P3:W3"/>
    <mergeCell ref="X3:Z3"/>
    <mergeCell ref="C5:L5"/>
    <mergeCell ref="P5:Z5"/>
    <mergeCell ref="B14:C14"/>
    <mergeCell ref="E17:I17"/>
    <mergeCell ref="B19:C19"/>
    <mergeCell ref="B28:C28"/>
    <mergeCell ref="C3:G3"/>
    <mergeCell ref="H3:L3"/>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2026-10-12T20:42:54Z</dcterms:modified>
</cp:coreProperties>
</file>