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ACE29FF-0040-C243-AB90-1450CF09876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83" i="12"/>
  <c r="C81" i="12"/>
  <c r="C80" i="12"/>
  <c r="C75" i="12"/>
  <c r="C74" i="12"/>
  <c r="C77" i="12" s="1"/>
  <c r="G36" i="12"/>
  <c r="F36" i="12"/>
  <c r="E36" i="12"/>
  <c r="D36" i="12"/>
  <c r="C36" i="12"/>
  <c r="G15" i="8"/>
  <c r="F15" i="8"/>
  <c r="E15" i="8"/>
  <c r="D15" i="8"/>
  <c r="C15" i="8"/>
  <c r="AA74" i="3"/>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4" i="12"/>
  <c r="C68" i="12"/>
  <c r="C47"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9" i="1"/>
  <c r="H8"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74" i="3"/>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C26" i="21" s="1"/>
  <c r="I11" i="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D22" i="6"/>
  <c r="V23" i="6"/>
  <c r="S23" i="6"/>
  <c r="Q23" i="6"/>
  <c r="W10" i="6"/>
  <c r="U10" i="6"/>
  <c r="R10" i="6"/>
  <c r="AA78" i="3"/>
  <c r="F20" i="12"/>
  <c r="D20" i="12"/>
  <c r="H13" i="12"/>
  <c r="G13" i="12"/>
  <c r="C30" i="12"/>
  <c r="E29" i="12"/>
  <c r="D29" i="12"/>
  <c r="G20" i="12"/>
  <c r="F13" i="12"/>
  <c r="E13" i="12"/>
  <c r="D13" i="12"/>
  <c r="G30" i="12"/>
  <c r="G8" i="8"/>
  <c r="D8" i="8"/>
  <c r="C46" i="7"/>
  <c r="G43" i="7"/>
  <c r="C43" i="7"/>
  <c r="F27" i="7"/>
  <c r="D12" i="7"/>
  <c r="V29" i="6"/>
  <c r="D26" i="6"/>
  <c r="F24" i="6"/>
  <c r="D36" i="7"/>
  <c r="D37" i="7" s="1"/>
  <c r="E27" i="7"/>
  <c r="S29" i="6"/>
  <c r="Q29" i="6"/>
  <c r="V26" i="6"/>
  <c r="S26" i="6"/>
  <c r="Q26" i="6"/>
  <c r="V24" i="6"/>
  <c r="S24" i="6"/>
  <c r="Q24" i="6"/>
  <c r="R15" i="5"/>
  <c r="R13" i="5"/>
  <c r="Q27" i="6"/>
  <c r="F29" i="6"/>
  <c r="F28" i="6"/>
  <c r="F30" i="12"/>
  <c r="E30" i="12"/>
  <c r="G29" i="12"/>
  <c r="C29" i="12"/>
  <c r="D27" i="6"/>
  <c r="I6" i="7"/>
  <c r="S28" i="6"/>
  <c r="Q28" i="6"/>
  <c r="V30" i="6"/>
  <c r="D29" i="6"/>
  <c r="G46" i="7"/>
  <c r="C35" i="14"/>
  <c r="C15" i="14"/>
  <c r="I7"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H12" i="5"/>
  <c r="H20" i="5"/>
  <c r="H33" i="5"/>
  <c r="AA70" i="3"/>
  <c r="P70" i="3"/>
  <c r="M70" i="3"/>
  <c r="L70" i="3"/>
  <c r="O70" i="3"/>
  <c r="N70" i="3"/>
  <c r="K70" i="3"/>
  <c r="J70" i="3"/>
  <c r="I70" i="3"/>
  <c r="H70" i="3"/>
  <c r="G70" i="3"/>
  <c r="F70" i="3"/>
  <c r="E70" i="3"/>
  <c r="D70" i="3"/>
  <c r="C70" i="3"/>
  <c r="AC78" i="3" l="1"/>
  <c r="AA153" i="3"/>
  <c r="AA154" i="3" s="1"/>
  <c r="AC167" i="3"/>
  <c r="AC170" i="3"/>
  <c r="AC168" i="3"/>
  <c r="C67" i="12"/>
  <c r="C46"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6" i="12"/>
  <c r="C33" i="16"/>
  <c r="F18" i="1"/>
  <c r="AC172" i="3"/>
  <c r="AC175" i="3"/>
  <c r="I67" i="17" s="1"/>
  <c r="C33" i="12"/>
  <c r="D33" i="12"/>
  <c r="F33" i="12"/>
  <c r="E33" i="12"/>
  <c r="G33" i="12"/>
  <c r="I5" i="6"/>
  <c r="H10" i="6"/>
  <c r="H22"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9" i="5"/>
  <c r="K21" i="5"/>
  <c r="J23" i="5"/>
  <c r="J35" i="5" s="1"/>
  <c r="I6" i="5"/>
  <c r="I8" i="5"/>
  <c r="I15" i="5" s="1"/>
  <c r="J5" i="5"/>
  <c r="J6"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7" i="12"/>
  <c r="D7" i="12"/>
  <c r="C16" i="10"/>
  <c r="C20" i="10" s="1"/>
  <c r="C21" i="14" s="1"/>
  <c r="J34" i="7"/>
  <c r="J41" i="7"/>
  <c r="J12" i="7"/>
  <c r="J19" i="7"/>
  <c r="J27" i="7"/>
  <c r="K6" i="7"/>
  <c r="C7" i="12"/>
  <c r="C27" i="8"/>
  <c r="C28" i="8" s="1"/>
  <c r="F7" i="12"/>
  <c r="F27" i="8"/>
  <c r="F28" i="8" s="1"/>
  <c r="E7" i="12"/>
  <c r="E27" i="8"/>
  <c r="E28" i="8" s="1"/>
  <c r="H18" i="12"/>
  <c r="H12" i="12"/>
  <c r="H28" i="12"/>
  <c r="H23" i="12"/>
  <c r="K7" i="14"/>
  <c r="K34" i="5"/>
  <c r="K23" i="5"/>
  <c r="K35" i="5" s="1"/>
  <c r="K9" i="5"/>
  <c r="L21" i="5"/>
  <c r="L34" i="5" s="1"/>
  <c r="J8" i="5"/>
  <c r="J6" i="5"/>
  <c r="I7" i="5"/>
  <c r="K5" i="5"/>
  <c r="K6" i="14" s="1"/>
  <c r="J12" i="5"/>
  <c r="J20" i="5"/>
  <c r="J33" i="5"/>
  <c r="H13" i="5"/>
  <c r="H14" i="5"/>
  <c r="AE6" i="5"/>
  <c r="AA13" i="5"/>
  <c r="H27" i="8" l="1"/>
  <c r="H28" i="8" s="1"/>
  <c r="H34" i="8"/>
  <c r="F14" i="12"/>
  <c r="J26" i="8"/>
  <c r="J19" i="8"/>
  <c r="J14" i="8"/>
  <c r="K5" i="8"/>
  <c r="K32" i="8" s="1"/>
  <c r="C62" i="12"/>
  <c r="C41" i="12"/>
  <c r="C15" i="11"/>
  <c r="C26" i="16"/>
  <c r="F23" i="16" s="1"/>
  <c r="F13" i="1"/>
  <c r="G14" i="12"/>
  <c r="E14" i="12"/>
  <c r="C34" i="12"/>
  <c r="D14" i="12"/>
  <c r="H7" i="12"/>
  <c r="J7" i="5"/>
  <c r="J15" i="5"/>
  <c r="I44" i="7"/>
  <c r="I20" i="8"/>
  <c r="J13" i="7"/>
  <c r="J28" i="7" s="1"/>
  <c r="J36" i="7"/>
  <c r="J42" i="7"/>
  <c r="J45" i="7"/>
  <c r="J21" i="8" s="1"/>
  <c r="J16" i="6"/>
  <c r="J17" i="6"/>
  <c r="J15" i="6"/>
  <c r="J18" i="6" s="1"/>
  <c r="J11" i="6"/>
  <c r="J12" i="6"/>
  <c r="J13" i="6"/>
  <c r="I14" i="6"/>
  <c r="I18" i="6"/>
  <c r="K6" i="12"/>
  <c r="K13" i="12" s="1"/>
  <c r="K7" i="7"/>
  <c r="K6" i="6"/>
  <c r="K6" i="8"/>
  <c r="C42" i="16"/>
  <c r="I55" i="17"/>
  <c r="F4" i="1"/>
  <c r="I8" i="17"/>
  <c r="F10" i="1"/>
  <c r="C41" i="16"/>
  <c r="F48" i="16"/>
  <c r="F15" i="1"/>
  <c r="C39" i="16"/>
  <c r="F8" i="1"/>
  <c r="D7" i="11"/>
  <c r="D8" i="12"/>
  <c r="G7" i="11"/>
  <c r="G8" i="12"/>
  <c r="K5" i="6"/>
  <c r="J22"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K6" i="5"/>
  <c r="K8" i="5"/>
  <c r="K15" i="5" s="1"/>
  <c r="L9" i="5"/>
  <c r="L23" i="5"/>
  <c r="L35" i="5" s="1"/>
  <c r="L5" i="5"/>
  <c r="L6" i="14" s="1"/>
  <c r="K12" i="5"/>
  <c r="K20" i="5"/>
  <c r="K33" i="5"/>
  <c r="I13" i="5"/>
  <c r="AE7" i="5"/>
  <c r="AA14" i="5"/>
  <c r="H16" i="5"/>
  <c r="F15" i="12" l="1"/>
  <c r="K26" i="8"/>
  <c r="L5" i="8"/>
  <c r="L32" i="8" s="1"/>
  <c r="K19" i="8"/>
  <c r="K14" i="8"/>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L5" i="6"/>
  <c r="K22" i="6"/>
  <c r="K10" i="6"/>
  <c r="L12" i="7"/>
  <c r="L27" i="7"/>
  <c r="L19" i="7"/>
  <c r="L41" i="7"/>
  <c r="L34" i="7"/>
  <c r="K10" i="14"/>
  <c r="I10" i="14"/>
  <c r="H10" i="14"/>
  <c r="J10" i="14"/>
  <c r="F35" i="12"/>
  <c r="E35" i="12"/>
  <c r="J18" i="12"/>
  <c r="J23" i="12"/>
  <c r="J28" i="12"/>
  <c r="J12" i="12"/>
  <c r="L8" i="14"/>
  <c r="L11" i="14" s="1"/>
  <c r="C30" i="14" s="1"/>
  <c r="L10" i="14"/>
  <c r="K7" i="5"/>
  <c r="L8" i="5"/>
  <c r="L15" i="5" s="1"/>
  <c r="L6" i="5"/>
  <c r="I14" i="5"/>
  <c r="L12" i="5"/>
  <c r="L20" i="5"/>
  <c r="L33" i="5"/>
  <c r="J13" i="5"/>
  <c r="J14" i="5"/>
  <c r="AA16" i="5"/>
  <c r="I15" i="7" l="1"/>
  <c r="I30" i="7" s="1"/>
  <c r="I14" i="7"/>
  <c r="I29" i="7" s="1"/>
  <c r="I35" i="7" s="1"/>
  <c r="I22" i="8" s="1"/>
  <c r="L14" i="8"/>
  <c r="L19" i="8"/>
  <c r="L26" i="8"/>
  <c r="H15" i="12"/>
  <c r="H10" i="11"/>
  <c r="H9" i="12" s="1"/>
  <c r="K14" i="6"/>
  <c r="K44" i="7"/>
  <c r="K20" i="8"/>
  <c r="K9" i="8"/>
  <c r="K30" i="6"/>
  <c r="J7" i="8"/>
  <c r="J8" i="8" s="1"/>
  <c r="J26" i="6"/>
  <c r="J8" i="7"/>
  <c r="L36" i="7"/>
  <c r="L42" i="7"/>
  <c r="L13" i="7"/>
  <c r="L28" i="7" s="1"/>
  <c r="L45" i="7"/>
  <c r="L21" i="8" s="1"/>
  <c r="L13" i="12"/>
  <c r="C53" i="12"/>
  <c r="C57" i="12" s="1"/>
  <c r="C58" i="12" s="1"/>
  <c r="C7" i="13" s="1"/>
  <c r="I5" i="1" s="1"/>
  <c r="L11" i="6"/>
  <c r="L12" i="6"/>
  <c r="L13" i="6"/>
  <c r="L15" i="6"/>
  <c r="L16" i="6"/>
  <c r="L17" i="6"/>
  <c r="I10" i="8"/>
  <c r="I34" i="8" s="1"/>
  <c r="L10" i="6"/>
  <c r="L22" i="6"/>
  <c r="C29" i="14"/>
  <c r="K28" i="12"/>
  <c r="K12" i="12"/>
  <c r="K18" i="12"/>
  <c r="K23" i="12"/>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L12" i="12"/>
  <c r="L18" i="12"/>
  <c r="L23" i="12"/>
  <c r="L28" i="12"/>
  <c r="K14" i="5"/>
  <c r="L13" i="5"/>
  <c r="K30" i="7" l="1"/>
  <c r="K33" i="8"/>
  <c r="K10" i="8"/>
  <c r="J34" i="8"/>
  <c r="J27" i="8"/>
  <c r="J7" i="12"/>
  <c r="J14" i="12" s="1"/>
  <c r="L8" i="7"/>
  <c r="L7" i="8"/>
  <c r="L8" i="8" s="1"/>
  <c r="L33" i="8" s="1"/>
  <c r="J35" i="7"/>
  <c r="J22" i="8" s="1"/>
  <c r="K29" i="7"/>
  <c r="K35" i="7" s="1"/>
  <c r="K22" i="8" s="1"/>
  <c r="I14" i="12"/>
  <c r="L26" i="6"/>
  <c r="I7" i="11"/>
  <c r="I10" i="11" s="1"/>
  <c r="I9" i="12" s="1"/>
  <c r="I8" i="12"/>
  <c r="L9" i="8"/>
  <c r="L30" i="6"/>
  <c r="K16" i="5"/>
  <c r="L14" i="5"/>
  <c r="J28" i="8" l="1"/>
  <c r="K34" i="8"/>
  <c r="K7" i="12"/>
  <c r="K14" i="12" s="1"/>
  <c r="K27" i="8"/>
  <c r="K28" i="8" s="1"/>
  <c r="L10" i="8"/>
  <c r="L15" i="7"/>
  <c r="L30" i="7" s="1"/>
  <c r="L14" i="7"/>
  <c r="L29" i="7" s="1"/>
  <c r="I15" i="12"/>
  <c r="L16" i="5"/>
  <c r="L35" i="7" l="1"/>
  <c r="L22" i="8" s="1"/>
  <c r="J8" i="12"/>
  <c r="J7" i="11"/>
  <c r="J10" i="11" s="1"/>
  <c r="J9" i="12" s="1"/>
  <c r="K8" i="12"/>
  <c r="K7" i="11"/>
  <c r="K10" i="11" s="1"/>
  <c r="K9" i="12" s="1"/>
  <c r="L34" i="8"/>
  <c r="L27" i="8"/>
  <c r="L7" i="12"/>
  <c r="AC66" i="3"/>
  <c r="C79" i="12" l="1"/>
  <c r="C82" i="12" s="1"/>
  <c r="C84" i="12" s="1"/>
  <c r="C9" i="13" s="1"/>
  <c r="I7" i="1" s="1"/>
  <c r="L28" i="8"/>
  <c r="J15" i="12"/>
  <c r="K15" i="12"/>
  <c r="L14" i="12"/>
  <c r="C40" i="12"/>
  <c r="C43" i="12" s="1"/>
  <c r="C44" i="12" s="1"/>
  <c r="C45" i="12" s="1"/>
  <c r="C48" i="12" s="1"/>
  <c r="C50" i="12" s="1"/>
  <c r="C6" i="13" s="1"/>
  <c r="I4" i="1" s="1"/>
  <c r="L8" i="12" l="1"/>
  <c r="L7" i="11"/>
  <c r="L15" i="12" l="1"/>
  <c r="C61" i="12"/>
  <c r="C64" i="12" s="1"/>
  <c r="C65" i="12" s="1"/>
  <c r="C66" i="12" s="1"/>
  <c r="C69" i="12" s="1"/>
  <c r="C71" i="12" s="1"/>
  <c r="C8" i="13" s="1"/>
  <c r="I6" i="1" s="1"/>
  <c r="L8" i="11"/>
  <c r="L11" i="11" s="1"/>
  <c r="C20" i="11" s="1"/>
  <c r="L10" i="11"/>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<sst xmlns="http://schemas.openxmlformats.org/spreadsheetml/2006/main" count="811" uniqueCount="434">
  <si>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</si>
  <si>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</si>
  <si>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</si>
  <si>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</si>
  <si>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</si>
  <si>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</si>
  <si>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</si>
  <si>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</si>
  <si>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</si>
  <si>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</si>
  <si>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</si>
  <si>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</si>
  <si>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</si>
  <si>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</si>
  <si>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</si>
  <si>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</si>
  <si>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</si>
  <si>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</si>
  <si>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</si>
  <si>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</si>
  <si>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</si>
  <si>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</si>
  <si>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</si>
  <si>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</si>
  <si>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</si>
  <si>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</si>
  <si>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</si>
  <si>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</si>
  <si>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</si>
  <si>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</si>
  <si>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</si>
  <si>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</si>
  <si>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</si>
  <si>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</si>
  <si>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</si>
  <si>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</si>
  <si>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</si>
  <si>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</si>
  <si>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</si>
  <si>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</si>
  <si>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</si>
  <si>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</si>
  <si>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</si>
  <si>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</si>
  <si>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</si>
  <si>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</si>
  <si>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</si>
  <si>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</si>
  <si>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</si>
  <si>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</si>
  <si>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</si>
  <si>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</si>
  <si>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</si>
  <si>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</si>
  <si>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</si>
  <si>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</si>
  <si>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</si>
  <si>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</si>
  <si>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</si>
  <si>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</si>
  <si>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</si>
  <si>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</si>
  <si>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</si>
  <si>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</si>
  <si>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</si>
  <si>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</si>
  <si>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</si>
  <si>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</si>
  <si>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</si>
  <si>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</si>
  <si>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</si>
  <si>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</si>
  <si>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</si>
  <si>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</si>
  <si>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</si>
  <si>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</si>
  <si>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</si>
  <si>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</si>
  <si>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</si>
  <si>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</si>
  <si>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</si>
  <si>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</si>
  <si>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</si>
  <si>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</si>
  <si>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</si>
  <si>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</si>
  <si>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</si>
  <si>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</si>
  <si>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</si>
  <si>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</si>
  <si>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</si>
  <si>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</si>
  <si>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</si>
  <si>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</si>
  <si>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</si>
  <si>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</si>
  <si>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</si>
  <si>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</si>
  <si>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</si>
  <si>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</si>
  <si>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</si>
  <si>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</si>
  <si>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</si>
  <si>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</si>
  <si>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</si>
  <si>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</si>
  <si>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</si>
  <si>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</si>
  <si>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</si>
  <si>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</si>
  <si>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</si>
  <si>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</si>
  <si>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</si>
  <si>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</si>
  <si>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</si>
  <si>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</si>
  <si>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</si>
  <si>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</si>
  <si>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</si>
  <si>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</si>
  <si>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</si>
  <si>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</si>
  <si>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</si>
  <si>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</si>
  <si>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</si>
  <si>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</si>
  <si>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</si>
  <si>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</si>
  <si>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</si>
  <si>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</si>
  <si>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</si>
  <si>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</si>
  <si>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</si>
  <si>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</si>
  <si>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</si>
  <si>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</si>
  <si>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</si>
  <si>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</si>
  <si>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</si>
  <si>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</si>
  <si>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</si>
  <si>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</si>
  <si>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</si>
  <si>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</si>
  <si>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</si>
  <si>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</si>
  <si>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</si>
  <si>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</si>
  <si>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</si>
  <si>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</si>
  <si>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</si>
  <si>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</si>
  <si>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</si>
  <si>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</si>
  <si>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</si>
  <si>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</si>
  <si>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</si>
  <si>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</si>
  <si>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</si>
  <si>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</si>
  <si>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</si>
  <si>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</si>
  <si>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</si>
  <si>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</si>
  <si>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</si>
  <si>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</si>
  <si>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</si>
  <si>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</si>
  <si>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</si>
  <si>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</si>
  <si>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</si>
  <si>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</si>
  <si>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</si>
  <si>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</si>
  <si>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</si>
  <si>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</si>
  <si>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</si>
  <si>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</si>
  <si>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</si>
  <si>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</si>
  <si>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</si>
  <si>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</si>
  <si>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</si>
  <si>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</si>
  <si>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</si>
  <si>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</si>
  <si>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</si>
  <si>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</si>
  <si>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</si>
  <si>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</si>
  <si>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</si>
  <si>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</si>
  <si>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</si>
  <si>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</si>
  <si>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</si>
  <si>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</si>
  <si>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</si>
  <si>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</si>
  <si>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</si>
  <si>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</si>
  <si>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</si>
  <si>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</si>
  <si>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</si>
  <si>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</si>
  <si>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</si>
  <si>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</si>
  <si>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</si>
  <si>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</si>
  <si>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</si>
  <si>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</si>
  <si>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</si>
  <si>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</si>
  <si>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</si>
  <si>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</si>
  <si>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</si>
  <si>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</si>
  <si>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</si>
  <si>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</si>
  <si>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</si>
  <si>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</si>
  <si>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</si>
  <si>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</si>
  <si>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</si>
  <si>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</si>
  <si>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</si>
  <si>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</si>
  <si>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</si>
  <si>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</si>
  <si>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</si>
  <si>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</si>
  <si>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</si>
  <si>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</si>
  <si>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</si>
  <si>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</si>
  <si>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</si>
  <si>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</si>
  <si>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</si>
  <si>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</si>
  <si>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</si>
  <si>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</si>
  <si>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</si>
  <si>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</si>
  <si>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</si>
  <si>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</si>
  <si>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</si>
  <si>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</si>
  <si>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</si>
  <si>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</si>
  <si>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</si>
  <si>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</si>
  <si>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</si>
  <si>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</si>
  <si>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</si>
  <si>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</si>
  <si>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</si>
  <si>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</si>
  <si>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</si>
  <si>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</si>
  <si>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</si>
  <si>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</si>
  <si>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</si>
  <si>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</si>
  <si>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</si>
  <si>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</si>
  <si>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</si>
  <si>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</si>
  <si>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</si>
  <si>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</si>
  <si>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</si>
  <si>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</si>
  <si>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</si>
  <si>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</si>
  <si>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</si>
  <si>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</si>
  <si>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</si>
  <si>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</si>
  <si>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</si>
  <si>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</si>
  <si>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</si>
  <si>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</si>
  <si>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</si>
  <si>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</si>
  <si>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</si>
  <si>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</si>
  <si>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</si>
  <si>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</si>
  <si>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</si>
  <si>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</si>
  <si>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</si>
  <si>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</si>
  <si>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</si>
  <si>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</si>
  <si>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</si>
  <si>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</si>
  <si>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</si>
  <si>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</si>
  <si>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</si>
  <si>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</si>
  <si>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</si>
  <si>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</si>
  <si>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</si>
  <si>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</si>
  <si>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</si>
  <si>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</si>
  <si>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</si>
  <si>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</si>
  <si>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</si>
  <si>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</si>
  <si>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</si>
  <si>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</si>
  <si>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</si>
  <si>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</si>
  <si>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</si>
  <si>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</si>
  <si>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</si>
  <si>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</si>
  <si>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</si>
  <si>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</si>
  <si>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</si>
  <si>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</si>
  <si>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</si>
  <si>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</si>
  <si>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</si>
  <si>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</si>
  <si>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</si>
  <si>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</si>
  <si>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</si>
  <si>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</si>
  <si>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</si>
  <si>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</si>
  <si>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</si>
  <si>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</si>
  <si>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</si>
  <si>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</si>
  <si>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</si>
  <si>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</si>
  <si>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</si>
  <si>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</si>
  <si>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</si>
  <si>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</si>
  <si>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</si>
  <si>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</si>
  <si>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</si>
  <si>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</si>
  <si>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</si>
  <si>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</si>
  <si>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</si>
  <si>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</si>
  <si>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</si>
  <si>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</si>
  <si>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</si>
  <si>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</si>
  <si>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</si>
  <si>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</si>
  <si>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</si>
  <si>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</si>
  <si>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</si>
  <si>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</si>
  <si>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</si>
  <si>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</si>
  <si>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</si>
  <si>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</si>
  <si>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</si>
  <si>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</si>
  <si>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</si>
  <si>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</si>
  <si>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</si>
  <si>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</si>
  <si>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</si>
  <si>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</si>
  <si>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</si>
  <si>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</si>
  <si>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</si>
  <si>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</si>
  <si>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</si>
  <si>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</si>
  <si>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</si>
  <si>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</si>
  <si>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</si>
  <si>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</si>
  <si>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</si>
  <si>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</si>
  <si>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</si>
  <si>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</si>
  <si>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</si>
  <si>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</si>
  <si>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</si>
  <si>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</si>
  <si>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</si>
  <si>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</si>
  <si>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</si>
  <si>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</si>
  <si>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</si>
  <si>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</si>
  <si>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</si>
  <si>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</si>
  <si>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</si>
  <si>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</si>
  <si>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</si>
  <si>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</si>
  <si>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</si>
  <si>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</si>
  <si>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</si>
  <si>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</si>
  <si>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</si>
  <si>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</si>
  <si>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</si>
  <si>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</si>
  <si>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</si>
  <si>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</si>
  <si>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</si>
  <si>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</si>
  <si>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</si>
  <si>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</si>
  <si>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</si>
  <si>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</si>
  <si>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</si>
  <si>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</si>
  <si>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</si>
  <si>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</si>
  <si>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</si>
  <si>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</si>
  <si>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</si>
  <si>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</si>
  <si>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</si>
  <si>
    <t>Terminal EV</t>
  </si>
  <si>
    <t>PV of Terminal EV</t>
  </si>
  <si>
    <t>Total EV</t>
  </si>
  <si>
    <t>Year 5 FCFF</t>
  </si>
  <si>
    <t>EV/Sales</t>
  </si>
  <si>
    <t>EV/Sales valuation</t>
  </si>
  <si>
    <t>Year 5 Sales</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</si>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</sst>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7" fillId="9" borderId="16" xfId="0" applyFont="1" applyFill="1" applyBorder="1"/>
    <xf numFmtId="167" fontId="7" fillId="9" borderId="17"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1.0629999999999999</v>
    <v>0.23</v>
    <v>1.7357999999999998E-2</v>
    <v>-0.04</v>
    <v>-2.967E-3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13.58</v>
    <v>Software &amp; IT Services</v>
    <v>Stock</v>
    <v>46304.999111411722</v>
    <v>0</v>
    <v>13.19</v>
    <v>7025174792</v>
    <v>UIPATH, INC.</v>
    <v>UIPATH, INC.</v>
    <v>13.38</v>
    <v>19.7593</v>
    <v>13.25</v>
    <v>13.48</v>
    <v>13.44</v>
    <v>521155400</v>
    <v>PATH</v>
    <v>UIPATH, INC. (XNYS:PATH)</v>
    <v>25617369</v>
    <v>48451119</v>
    <v>2015</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H16" sqref="H1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1" t="s">
        <v>18</v>
      </c>
      <c r="C2" s="252"/>
      <c r="E2" s="251" t="s">
        <v>329</v>
      </c>
      <c r="F2" s="252"/>
      <c r="H2" s="251" t="s">
        <v>371</v>
      </c>
      <c r="I2" s="252"/>
    </row>
    <row r="3" spans="2:9" x14ac:dyDescent="0.2">
      <c r="B3" s="202" t="s">
        <v>11</v>
      </c>
      <c r="C3" s="234" t="e" vm="1">
        <v>#VALUE!</v>
      </c>
      <c r="D3" s="2"/>
      <c r="E3" s="202" t="s">
        <v>281</v>
      </c>
      <c r="F3" s="204">
        <f ca="1">Statement!AC153</f>
        <v>7070462.2000000002</v>
      </c>
      <c r="H3" s="202" t="str">
        <f>'AVG target price'!B5</f>
        <v>DCF price</v>
      </c>
      <c r="I3" s="228">
        <f>'AVG target price'!C5</f>
        <v>6.0868928055205176</v>
      </c>
    </row>
    <row r="4" spans="2:9" x14ac:dyDescent="0.2">
      <c r="B4" s="202" t="s">
        <v>0</v>
      </c>
      <c r="C4" s="206" t="str" cm="1">
        <f t="array" aca="1" ref="C4" ca="1">_FV(C3,"Ticker symbol",TRUE)</f>
        <v>PATH</v>
      </c>
      <c r="E4" s="203" t="s">
        <v>227</v>
      </c>
      <c r="F4" s="205">
        <f ca="1">Statement!AC154</f>
        <v>5665437.2000000002</v>
      </c>
      <c r="H4" s="202" t="str">
        <f>'AVG target price'!B6</f>
        <v>EV/EBIT price</v>
      </c>
      <c r="I4" s="228">
        <f>'AVG target price'!C6</f>
        <v>15.500001157758549</v>
      </c>
    </row>
    <row r="5" spans="2:9" x14ac:dyDescent="0.2">
      <c r="B5" s="202" t="s">
        <v>1</v>
      </c>
      <c r="C5" s="225" cm="1">
        <f t="array" aca="1" ref="C5" ca="1">_FV(C3,"Price",TRUE)</f>
        <v>13.48</v>
      </c>
      <c r="E5" s="202" t="s">
        <v>285</v>
      </c>
      <c r="F5" s="207">
        <f>Statement!AC26</f>
        <v>0.67000000000000015</v>
      </c>
      <c r="H5" s="202" t="str">
        <f>'AVG target price'!B7</f>
        <v>PS price</v>
      </c>
      <c r="I5" s="228">
        <f>'AVG target price'!C7</f>
        <v>11.635364421878764</v>
      </c>
    </row>
    <row r="6" spans="2:9" x14ac:dyDescent="0.2">
      <c r="B6" s="202" t="s">
        <v>2</v>
      </c>
      <c r="C6" s="225" cm="1">
        <f t="array" aca="1" ref="C6" ca="1">_FV(C3,"Price (Extended hours)",TRUE)</f>
        <v>13.44</v>
      </c>
      <c r="E6" s="202" t="s">
        <v>279</v>
      </c>
      <c r="F6" s="207">
        <f ca="1">Statement!AC150</f>
        <v>20.119402985074622</v>
      </c>
      <c r="H6" s="202" t="str">
        <f>'AVG target price'!B8</f>
        <v>EV/FCFF price</v>
      </c>
      <c r="I6" s="228">
        <f>'AVG target price'!C8</f>
        <v>9.9292211427795856</v>
      </c>
    </row>
    <row r="7" spans="2:9" x14ac:dyDescent="0.2">
      <c r="B7" s="202" t="s">
        <v>3</v>
      </c>
      <c r="C7" s="6" cm="1">
        <f t="array" aca="1" ref="C7" ca="1">_FV(C3,"Change")</f>
        <v>0.23</v>
      </c>
      <c r="E7" s="203" t="s">
        <v>240</v>
      </c>
      <c r="F7" s="208">
        <f ca="1">Statement!AC151</f>
        <v>4.1812852716493749</v>
      </c>
      <c r="H7" s="202" t="str">
        <f>'AVG target price'!B9</f>
        <v>EV/Sales</v>
      </c>
      <c r="I7" s="228">
        <f>'AVG target price'!C9</f>
        <v>11.620183872158711</v>
      </c>
    </row>
    <row r="8" spans="2:9" x14ac:dyDescent="0.2">
      <c r="B8" s="202" t="s">
        <v>4</v>
      </c>
      <c r="C8" s="6" cm="1">
        <f t="array" aca="1" ref="C8" ca="1">_FV(C3,"Change (extended hours)",TRUE)</f>
        <v>-0.04</v>
      </c>
      <c r="E8" s="202" t="s">
        <v>307</v>
      </c>
      <c r="F8" s="209">
        <f ca="1">Statement!AC161</f>
        <v>1.8156663082082525E-2</v>
      </c>
      <c r="H8" s="201" t="str">
        <f>'AVG target price'!B10</f>
        <v>AVG price</v>
      </c>
      <c r="I8" s="229">
        <f>'AVG target price'!C10</f>
        <v>10.954332680019224</v>
      </c>
    </row>
    <row r="9" spans="2:9" x14ac:dyDescent="0.2">
      <c r="B9" s="202" t="s">
        <v>5</v>
      </c>
      <c r="C9" s="73" cm="1">
        <f t="array" aca="1" ref="C9" ca="1">_FV(C3,"Change (%)",TRUE)</f>
        <v>1.7357999999999998E-2</v>
      </c>
      <c r="E9" s="202" t="s">
        <v>330</v>
      </c>
      <c r="F9" s="209">
        <f ca="1">Statement!AC162</f>
        <v>4.9703264094955499E-2</v>
      </c>
      <c r="H9" s="201" t="str">
        <f>'AVG target price'!B12</f>
        <v>Upside/Downside</v>
      </c>
      <c r="I9" s="230">
        <f ca="1">'AVG target price'!C12</f>
        <v>-0.18736404450895966</v>
      </c>
    </row>
    <row r="10" spans="2:9" x14ac:dyDescent="0.2">
      <c r="B10" s="202" t="s">
        <v>6</v>
      </c>
      <c r="C10" s="73" cm="1">
        <f t="array" aca="1" ref="C10" ca="1">_FV(C3,"Change % (extended hours)",TRUE)</f>
        <v>-2.967E-3</v>
      </c>
      <c r="E10" s="202" t="s">
        <v>335</v>
      </c>
      <c r="F10" s="209">
        <f ca="1">Statement!AC164</f>
        <v>3.7981675370529523E-2</v>
      </c>
    </row>
    <row r="11" spans="2:9" x14ac:dyDescent="0.2">
      <c r="B11" s="202" t="s">
        <v>7</v>
      </c>
      <c r="C11" s="226" cm="1">
        <f t="array" aca="1" ref="C11" ca="1">_FV(C3,"52 week high",TRUE)</f>
        <v>19.84</v>
      </c>
      <c r="E11" s="203" t="s">
        <v>331</v>
      </c>
      <c r="F11" s="210">
        <f ca="1">Statement!AC163</f>
        <v>0</v>
      </c>
      <c r="H11" s="201" t="s">
        <v>418</v>
      </c>
      <c r="I11" s="229">
        <f>DDM!C26</f>
        <v>0</v>
      </c>
    </row>
    <row r="12" spans="2:9" x14ac:dyDescent="0.2">
      <c r="B12" s="202" t="s">
        <v>8</v>
      </c>
      <c r="C12" s="226" cm="1">
        <f t="array" aca="1" ref="C12" ca="1">_FV(C3,"52 week low",TRUE)</f>
        <v>9.2002000000000006</v>
      </c>
      <c r="E12" s="202" t="s">
        <v>119</v>
      </c>
      <c r="F12" s="209">
        <f>Statement!AC123</f>
        <v>0.12448204853394841</v>
      </c>
    </row>
    <row r="13" spans="2:9" x14ac:dyDescent="0.2">
      <c r="B13" s="202" t="s">
        <v>9</v>
      </c>
      <c r="C13" s="226" cm="1">
        <f t="array" aca="1" ref="C13" ca="1">_FV(C3,"Beta")</f>
        <v>1.0629999999999999</v>
      </c>
      <c r="E13" s="202" t="s">
        <v>121</v>
      </c>
      <c r="F13" s="209">
        <f>Statement!AC125</f>
        <v>0.18573545162533595</v>
      </c>
      <c r="H13" s="201" t="s">
        <v>433</v>
      </c>
      <c r="I13" s="230">
        <f>'Reverse DCF'!C17</f>
        <v>1.4</v>
      </c>
    </row>
    <row r="14" spans="2:9" x14ac:dyDescent="0.2">
      <c r="B14" s="203" t="s">
        <v>10</v>
      </c>
      <c r="C14" s="227" cm="1">
        <f t="array" aca="1" ref="C14" ca="1">_FV(C3,"Volume average",TRUE)</f>
        <v>48451119</v>
      </c>
      <c r="E14" s="203" t="s">
        <v>122</v>
      </c>
      <c r="F14" s="210">
        <f>Statement!AC140</f>
        <v>0.28139960185897273</v>
      </c>
    </row>
    <row r="15" spans="2:9" x14ac:dyDescent="0.2">
      <c r="E15" s="202" t="s">
        <v>332</v>
      </c>
      <c r="F15" s="209">
        <f ca="1">Statement!AC176</f>
        <v>0.1987175605012074</v>
      </c>
    </row>
    <row r="16" spans="2:9" x14ac:dyDescent="0.2">
      <c r="E16" s="203" t="s">
        <v>337</v>
      </c>
      <c r="F16" s="208">
        <f>Statement!AC175</f>
        <v>2.6959777878408766</v>
      </c>
    </row>
    <row r="17" spans="2:9" x14ac:dyDescent="0.2">
      <c r="B17" s="253" t="s">
        <v>101</v>
      </c>
      <c r="C17" s="253"/>
      <c r="E17" s="201" t="s">
        <v>338</v>
      </c>
      <c r="F17" s="211">
        <f>Statement!AC171</f>
        <v>0.2226990648503856</v>
      </c>
    </row>
    <row r="18" spans="2:9" x14ac:dyDescent="0.2">
      <c r="B18" s="201" t="s">
        <v>12</v>
      </c>
      <c r="C18" s="69" t="s">
        <v>14</v>
      </c>
      <c r="E18" s="202" t="s">
        <v>339</v>
      </c>
      <c r="F18" s="207">
        <f>Statement!AC144</f>
        <v>45.101495784048865</v>
      </c>
      <c r="I18" s="50"/>
    </row>
    <row r="19" spans="2:9" x14ac:dyDescent="0.2">
      <c r="B19" s="201" t="s">
        <v>13</v>
      </c>
      <c r="C19" s="70">
        <v>1000</v>
      </c>
      <c r="E19" s="202" t="s">
        <v>300</v>
      </c>
      <c r="F19" s="207">
        <f>Statement!AC146</f>
        <v>-0.72106144514564929</v>
      </c>
    </row>
    <row r="20" spans="2:9" x14ac:dyDescent="0.2">
      <c r="B20" s="201" t="s">
        <v>102</v>
      </c>
      <c r="C20" s="69" t="s">
        <v>103</v>
      </c>
      <c r="E20" s="203" t="s">
        <v>340</v>
      </c>
      <c r="F20" s="208">
        <f>Statement!AC147</f>
        <v>2.1209291205537757</v>
      </c>
    </row>
    <row r="21" spans="2:9" x14ac:dyDescent="0.2">
      <c r="B21" s="201" t="s">
        <v>104</v>
      </c>
      <c r="C21" s="69" t="s">
        <v>105</v>
      </c>
      <c r="I21" s="50"/>
    </row>
    <row r="22" spans="2:9" x14ac:dyDescent="0.2">
      <c r="B22" s="201" t="s">
        <v>106</v>
      </c>
      <c r="C22" s="69" t="s">
        <v>105</v>
      </c>
    </row>
    <row r="25" spans="2:9" x14ac:dyDescent="0.2">
      <c r="B25" s="253" t="s">
        <v>124</v>
      </c>
      <c r="C25" s="253"/>
      <c r="E25" s="251" t="s">
        <v>391</v>
      </c>
      <c r="F25" s="252"/>
    </row>
    <row r="26" spans="2:9" x14ac:dyDescent="0.2">
      <c r="B26" s="201" t="s">
        <v>125</v>
      </c>
      <c r="C26" s="187">
        <v>0.21</v>
      </c>
      <c r="E26" s="202" t="e" vm="2">
        <v>#VALUE!</v>
      </c>
      <c r="F26" s="236" cm="1">
        <f t="array" aca="1" ref="F26" ca="1">_FV(E26,"Price")</f>
        <v>52.44</v>
      </c>
    </row>
    <row r="27" spans="2:9" x14ac:dyDescent="0.2">
      <c r="B27" s="201" t="s">
        <v>211</v>
      </c>
      <c r="C27" s="238">
        <v>0</v>
      </c>
      <c r="E27" s="203" t="s">
        <v>392</v>
      </c>
      <c r="F27" s="237">
        <f ca="1">F26/1000</f>
        <v>5.2440000000000001E-2</v>
      </c>
    </row>
    <row r="28" spans="2:9" x14ac:dyDescent="0.2">
      <c r="B28" s="201" t="s">
        <v>396</v>
      </c>
      <c r="C28" s="238">
        <v>0.1</v>
      </c>
    </row>
    <row r="29" spans="2:9" x14ac:dyDescent="0.2">
      <c r="B29" s="201" t="s">
        <v>408</v>
      </c>
      <c r="C29" s="238">
        <v>0.12</v>
      </c>
    </row>
    <row r="33" spans="2:8" x14ac:dyDescent="0.2">
      <c r="B33" s="153" t="s">
        <v>381</v>
      </c>
      <c r="C33" s="153"/>
      <c r="D33" s="153"/>
      <c r="E33" s="153"/>
      <c r="F33" s="153"/>
      <c r="G33" s="153"/>
      <c r="H33" s="153"/>
    </row>
    <row r="35" spans="2:8" x14ac:dyDescent="0.2">
      <c r="B35" s="16" t="s">
        <v>382</v>
      </c>
      <c r="C35" s="1" t="s">
        <v>387</v>
      </c>
    </row>
    <row r="36" spans="2:8" x14ac:dyDescent="0.2">
      <c r="B36" s="16" t="s">
        <v>383</v>
      </c>
      <c r="C36" s="1" t="s">
        <v>386</v>
      </c>
    </row>
    <row r="39" spans="2:8" ht="6" customHeight="1" x14ac:dyDescent="0.2">
      <c r="B39" s="153"/>
      <c r="C39" s="153"/>
      <c r="D39" s="153"/>
      <c r="E39" s="153"/>
      <c r="F39" s="153"/>
      <c r="G39" s="153"/>
      <c r="H39" s="153"/>
    </row>
    <row r="42" spans="2:8" x14ac:dyDescent="0.2">
      <c r="B42" s="153" t="s">
        <v>384</v>
      </c>
      <c r="C42" s="153"/>
      <c r="D42" s="153"/>
      <c r="E42" s="153"/>
      <c r="F42" s="153"/>
      <c r="G42" s="153"/>
      <c r="H42" s="153"/>
    </row>
    <row r="44" spans="2:8" x14ac:dyDescent="0.2">
      <c r="B44" s="41" t="s">
        <v>385</v>
      </c>
      <c r="C44" s="41" t="s">
        <v>421</v>
      </c>
      <c r="D44" s="41"/>
      <c r="E44" s="41" t="s">
        <v>419</v>
      </c>
    </row>
    <row r="45" spans="2:8" x14ac:dyDescent="0.2">
      <c r="B45" s="1" t="s">
        <v>422</v>
      </c>
      <c r="C45" s="1" t="s">
        <v>423</v>
      </c>
    </row>
    <row r="46" spans="2:8" x14ac:dyDescent="0.2">
      <c r="B46" s="1" t="s">
        <v>422</v>
      </c>
      <c r="C46" s="1" t="s">
        <v>424</v>
      </c>
    </row>
    <row r="49" spans="2:8" ht="5" customHeight="1" x14ac:dyDescent="0.2">
      <c r="B49" s="153"/>
      <c r="C49" s="153"/>
      <c r="D49" s="153"/>
      <c r="E49" s="153"/>
      <c r="F49" s="153"/>
      <c r="G49" s="153"/>
      <c r="H49" s="153"/>
    </row>
    <row r="52" spans="2:8" x14ac:dyDescent="0.2">
      <c r="B52" s="153" t="s">
        <v>126</v>
      </c>
      <c r="C52" s="153"/>
      <c r="D52" s="153"/>
      <c r="E52" s="153"/>
      <c r="F52" s="153"/>
      <c r="G52" s="153"/>
      <c r="H52" s="153"/>
    </row>
    <row r="54" spans="2:8" x14ac:dyDescent="0.2">
      <c r="B54" s="41" t="s">
        <v>385</v>
      </c>
      <c r="C54" s="41" t="s">
        <v>372</v>
      </c>
      <c r="D54" s="41"/>
      <c r="E54" s="41" t="s">
        <v>373</v>
      </c>
    </row>
    <row r="59" spans="2:8" ht="5" customHeight="1" x14ac:dyDescent="0.2">
      <c r="B59" s="153"/>
      <c r="C59" s="153"/>
      <c r="D59" s="153"/>
      <c r="E59" s="153"/>
      <c r="F59" s="153"/>
      <c r="G59" s="153"/>
      <c r="H59" s="153"/>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Y151"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372</v>
      </c>
      <c r="AA2" s="10" t="s">
        <v>420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373</v>
      </c>
      <c r="AA3" s="10" t="s">
        <v>419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374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403</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378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379</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374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326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377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276</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277</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278</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317</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318</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341</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375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376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13.48</v>
      </c>
    </row>
    <row r="117" spans="1:31" x14ac:dyDescent="0.2">
      <c r="B117" s="20" t="s">
        <v>393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13.48</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267</v>
      </c>
      <c r="C128" s="188"/>
      <c r="D128" s="188"/>
      <c r="E128" s="188"/>
      <c r="F128" s="188"/>
      <c r="G128" s="188"/>
      <c r="H128" s="188"/>
      <c r="I128" s="188"/>
      <c r="J128" s="188"/>
      <c r="K128" s="188"/>
      <c r="L128" s="188"/>
      <c r="M128" s="188"/>
      <c r="N128" s="188"/>
      <c r="O128" s="188"/>
      <c r="P128" s="188"/>
      <c r="Q128" s="188"/>
      <c r="T128" s="188"/>
      <c r="U128" s="188"/>
      <c r="V128" s="188"/>
      <c r="W128" s="188"/>
      <c r="X128" s="188"/>
      <c r="Y128" s="188"/>
      <c r="Z128" s="188"/>
      <c r="AA128" s="188"/>
      <c r="AC128" s="188"/>
    </row>
    <row r="129" spans="2:29" x14ac:dyDescent="0.2">
      <c r="B129" s="20" t="s">
        <v>268</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269</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270</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2" t="str">
        <f t="shared" ref="T132:Y132" si="121">IF(T131&gt;T130, "BEAT", IF(T131&lt;T129, "MISSED", "MET"))</f>
        <v>MET</v>
      </c>
      <c r="U132" s="242" t="str">
        <f t="shared" si="121"/>
        <v>BEAT</v>
      </c>
      <c r="V132" s="242" t="str">
        <f t="shared" si="121"/>
        <v>BEAT</v>
      </c>
      <c r="W132" s="242" t="str">
        <f t="shared" si="121"/>
        <v>BEAT</v>
      </c>
      <c r="X132" s="242" t="str">
        <f t="shared" si="121"/>
        <v>BEAT</v>
      </c>
      <c r="Y132" s="242" t="str">
        <f t="shared" si="121"/>
        <v>BEAT</v>
      </c>
      <c r="Z132" s="242" t="str">
        <f>IF(Z131&gt;Z130, "BEAT", IF(Z131&lt;Z129, "MISSED", "MET"))</f>
        <v>BEAT</v>
      </c>
      <c r="AA132" s="242" t="str">
        <f>IF(AA131&gt;AA130, "BEAT", IF(AA131&lt;AA129, "MISSED", "MET"))</f>
        <v>MISSED</v>
      </c>
      <c r="AC132" s="49"/>
    </row>
    <row r="133" spans="2:29" x14ac:dyDescent="0.2">
      <c r="B133" s="20" t="s">
        <v>271</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272</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273</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2" t="str">
        <f t="shared" ref="T136:Y136" si="130">IF(T135&gt;T134, "BEAT", IF(T135&lt;T133, "MISSED", "MET"))</f>
        <v>MISSED</v>
      </c>
      <c r="U136" s="242" t="str">
        <f t="shared" si="130"/>
        <v>BEAT</v>
      </c>
      <c r="V136" s="242" t="str">
        <f t="shared" si="130"/>
        <v>BEAT</v>
      </c>
      <c r="W136" s="242" t="str">
        <f t="shared" si="130"/>
        <v>BEAT</v>
      </c>
      <c r="X136" s="242" t="str">
        <f t="shared" si="130"/>
        <v>BEAT</v>
      </c>
      <c r="Y136" s="242" t="str">
        <f t="shared" si="130"/>
        <v>BEAT</v>
      </c>
      <c r="Z136" s="242" t="str">
        <f>IF(Z135&gt;Z134, "BEAT", IF(Z135&lt;Z133, "MISSED", "MET"))</f>
        <v>BEAT</v>
      </c>
      <c r="AA136" s="242" t="str">
        <f>IF(AA135&gt;AA134, "BEAT", IF(AA135&lt;AA133, "MISSED", "MET"))</f>
        <v>MISSED</v>
      </c>
      <c r="AC136" s="49"/>
    </row>
    <row r="138" spans="2:29" x14ac:dyDescent="0.2">
      <c r="B138" s="1"/>
    </row>
    <row r="139" spans="2:29" ht="17" thickBot="1" x14ac:dyDescent="0.25">
      <c r="B139" s="14" t="s">
        <v>290</v>
      </c>
      <c r="C139" s="188"/>
      <c r="D139" s="188"/>
      <c r="E139" s="188"/>
      <c r="F139" s="188"/>
      <c r="G139" s="188"/>
      <c r="H139" s="188"/>
      <c r="I139" s="188"/>
      <c r="J139" s="188"/>
      <c r="K139" s="188"/>
      <c r="L139" s="188"/>
      <c r="M139" s="188"/>
      <c r="N139" s="188"/>
      <c r="O139" s="188"/>
      <c r="P139" s="188"/>
      <c r="Q139" s="188"/>
      <c r="T139" s="188"/>
      <c r="U139" s="188"/>
      <c r="V139" s="188"/>
      <c r="W139" s="188"/>
      <c r="X139" s="188"/>
      <c r="Y139" s="188"/>
      <c r="Z139" s="188"/>
      <c r="AA139" s="188"/>
      <c r="AC139" s="188"/>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293</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297</v>
      </c>
      <c r="M146" s="196">
        <f>(M108-M107)/M49</f>
        <v>-0.98061622848437269</v>
      </c>
      <c r="N146" s="196">
        <f>(N108-N107)/N49</f>
        <v>-0.91650530841732814</v>
      </c>
      <c r="O146" s="196">
        <f>(O108-O107)/O49</f>
        <v>-0.93239915996813671</v>
      </c>
      <c r="P146" s="196">
        <f>(P108-P107)/P49</f>
        <v>-0.93383166410403939</v>
      </c>
      <c r="Q146" s="196">
        <f>(Q108-Q107)/Q49</f>
        <v>-0.81123909829457308</v>
      </c>
      <c r="T146" s="196">
        <f t="shared" ref="T146:Z146" si="148">(T108-T107)/T49</f>
        <v>-0.92585537389316019</v>
      </c>
      <c r="U146" s="196">
        <f t="shared" si="148"/>
        <v>-0.93383166410403939</v>
      </c>
      <c r="V146" s="196">
        <f t="shared" si="148"/>
        <v>-0.93702475358574611</v>
      </c>
      <c r="W146" s="196">
        <f t="shared" si="148"/>
        <v>-0.91411133917631171</v>
      </c>
      <c r="X146" s="196">
        <f t="shared" si="148"/>
        <v>-0.78966100787845062</v>
      </c>
      <c r="Y146" s="196">
        <f t="shared" si="148"/>
        <v>-0.81123909829457308</v>
      </c>
      <c r="Z146" s="196">
        <f t="shared" si="148"/>
        <v>-0.74396849127545694</v>
      </c>
      <c r="AA146" s="196">
        <f t="shared" ref="AA146" si="149">(AA108-AA107)/AA49</f>
        <v>-0.72106144514564929</v>
      </c>
      <c r="AC146" s="196">
        <f>(AC108-AC107)/AC49</f>
        <v>-0.72106144514564929</v>
      </c>
    </row>
    <row r="147" spans="2:29" x14ac:dyDescent="0.2">
      <c r="B147" s="20" t="s">
        <v>294</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295</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301</v>
      </c>
      <c r="M149" s="198" t="str">
        <f>IF(M13&gt;=0,"N/A",IF(M12&lt;=0,"N/A",M12/-M13))</f>
        <v>N/A</v>
      </c>
      <c r="N149" s="198" t="str">
        <f>IF(N13&gt;=0,"N/A",IF(N12&lt;=0,"N/A",N12/-N13))</f>
        <v>N/A</v>
      </c>
      <c r="O149" s="198" t="str">
        <f>IF(O13&gt;=0,"N/A",IF(O12&lt;=0,"N/A",O12/-O13))</f>
        <v>N/A</v>
      </c>
      <c r="P149" s="198" t="str">
        <f>IF(P13&gt;=0,"N/A",IF(P12&lt;=0,"N/A",P12/-P13))</f>
        <v>N/A</v>
      </c>
      <c r="Q149" s="198" t="str">
        <f>IF(Q13&gt;=0,"N/A",IF(Q12&lt;=0,"N/A",Q12/-Q13))</f>
        <v>N/A</v>
      </c>
      <c r="T149" s="198" t="str">
        <f t="shared" ref="T149:Z149" si="154">IF(T13&gt;=0,"N/A",IF(T12&lt;=0,"N/A",T12/-T13))</f>
        <v>N/A</v>
      </c>
      <c r="U149" s="198" t="str">
        <f t="shared" si="154"/>
        <v>N/A</v>
      </c>
      <c r="V149" s="198" t="str">
        <f t="shared" si="154"/>
        <v>N/A</v>
      </c>
      <c r="W149" s="198" t="str">
        <f t="shared" si="154"/>
        <v>N/A</v>
      </c>
      <c r="X149" s="198" t="str">
        <f t="shared" si="154"/>
        <v>N/A</v>
      </c>
      <c r="Y149" s="198" t="str">
        <f t="shared" si="154"/>
        <v>N/A</v>
      </c>
      <c r="Z149" s="198" t="str">
        <f t="shared" si="154"/>
        <v>N/A</v>
      </c>
      <c r="AA149" s="198" t="str">
        <f t="shared" ref="AA149" si="155">IF(AA13&gt;=0,"N/A",IF(AA12&lt;=0,"N/A",AA12/-AA13))</f>
        <v>N/A</v>
      </c>
      <c r="AC149" s="198" t="str">
        <f>IF(AC13&gt;=0,"N/A",IF(AC12&lt;=0,"N/A",AC12/-AC13))</f>
        <v>N/A</v>
      </c>
    </row>
    <row r="150" spans="2:29" x14ac:dyDescent="0.2">
      <c r="B150" s="20" t="s">
        <v>279</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20.119402985074622</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4.1812852716493749</v>
      </c>
    </row>
    <row r="152" spans="2:29" x14ac:dyDescent="0.2">
      <c r="B152" s="20" t="s">
        <v>280</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3.6053369298519771</v>
      </c>
    </row>
    <row r="153" spans="2:29" x14ac:dyDescent="0.2">
      <c r="B153" s="20" t="s">
        <v>281</v>
      </c>
      <c r="M153" s="162">
        <f>Statement!M117*Statement!M78</f>
        <v>18122001.84</v>
      </c>
      <c r="N153" s="162">
        <f>Statement!N117*Statement!N78</f>
        <v>8121653.1100000003</v>
      </c>
      <c r="O153" s="162">
        <f>Statement!O117*Statement!O78</f>
        <v>13570960.050000001</v>
      </c>
      <c r="P153" s="162">
        <f>Statement!P117*Statement!P78</f>
        <v>8040767.9400000004</v>
      </c>
      <c r="Q153" s="162">
        <f>Statement!Q117*Statement!Q78</f>
        <v>6680971.6299999999</v>
      </c>
      <c r="T153" s="162">
        <f>Statement!T117*Statement!T78</f>
        <v>6787547.6499999994</v>
      </c>
      <c r="U153" s="162">
        <f>Statement!U117*Statement!U78</f>
        <v>8040767.9400000004</v>
      </c>
      <c r="V153" s="162">
        <f>Statement!V117*Statement!V78</f>
        <v>6388365.6600000001</v>
      </c>
      <c r="W153" s="162">
        <f>Statement!W117*Statement!W78</f>
        <v>6318186.5</v>
      </c>
      <c r="X153" s="162">
        <f>Statement!X117*Statement!X78</f>
        <v>8588396.1799999997</v>
      </c>
      <c r="Y153" s="162">
        <f>Statement!Y117*Statement!Y78</f>
        <v>6680971.6299999999</v>
      </c>
      <c r="Z153" s="162">
        <f>Statement!Z117*Statement!Z78</f>
        <v>5380256.5</v>
      </c>
      <c r="AA153" s="162">
        <f>Statement!AA117*Statement!AA78</f>
        <v>6692811.3999999994</v>
      </c>
      <c r="AC153" s="162">
        <f ca="1">Statement!AC117*Statement!AC78</f>
        <v>7070462.2000000002</v>
      </c>
    </row>
    <row r="154" spans="2:29" x14ac:dyDescent="0.2">
      <c r="B154" s="20" t="s">
        <v>227</v>
      </c>
      <c r="M154" s="162">
        <f>M153+M108-M107+M48+M45</f>
        <v>16237338.84</v>
      </c>
      <c r="N154" s="162">
        <f>N153+N108-N107+N48+N45</f>
        <v>6361818.1100000003</v>
      </c>
      <c r="O154" s="162">
        <f>O153+O108-O107+O48+O45</f>
        <v>11691137.050000001</v>
      </c>
      <c r="P154" s="162">
        <f>P153+P108-P107+P48+P45</f>
        <v>6317136.9400000004</v>
      </c>
      <c r="Q154" s="162">
        <f>Q153+Q108-Q107+Q48+Q45</f>
        <v>4991495.63</v>
      </c>
      <c r="T154" s="162">
        <f t="shared" ref="T154:Z154" si="156">T153+T108-T107+T48+T45</f>
        <v>5184109.6499999994</v>
      </c>
      <c r="U154" s="162">
        <f t="shared" si="156"/>
        <v>6317136.9400000004</v>
      </c>
      <c r="V154" s="162">
        <f t="shared" si="156"/>
        <v>4796865.66</v>
      </c>
      <c r="W154" s="162">
        <f t="shared" si="156"/>
        <v>4795548.5</v>
      </c>
      <c r="X154" s="162">
        <f t="shared" si="156"/>
        <v>7068601.1799999997</v>
      </c>
      <c r="Y154" s="162">
        <f t="shared" si="156"/>
        <v>4991495.63</v>
      </c>
      <c r="Z154" s="162">
        <f t="shared" si="156"/>
        <v>3964510.5</v>
      </c>
      <c r="AA154" s="162">
        <f t="shared" ref="AA154" si="157">AA153+AA108-AA107+AA48+AA45</f>
        <v>5287786.3999999994</v>
      </c>
      <c r="AC154" s="162">
        <f ca="1">AC153+AC108-AC107+AC48+AC45</f>
        <v>5665437.2000000002</v>
      </c>
    </row>
    <row r="155" spans="2:29" x14ac:dyDescent="0.2">
      <c r="B155" s="20" t="s">
        <v>302</v>
      </c>
      <c r="M155" s="200">
        <f>M154/M5</f>
        <v>18.198153481303489</v>
      </c>
      <c r="N155" s="200">
        <f>N154/N5</f>
        <v>6.0097603395488868</v>
      </c>
      <c r="O155" s="200">
        <f>O154/O5</f>
        <v>8.9376861900568176</v>
      </c>
      <c r="P155" s="200">
        <f>P154/P5</f>
        <v>4.4186165001007236</v>
      </c>
      <c r="Q155" s="200">
        <f>Q154/Q5</f>
        <v>3.0992067600827533</v>
      </c>
      <c r="T155" s="49"/>
      <c r="U155" s="49"/>
      <c r="V155" s="49"/>
      <c r="W155" s="49"/>
      <c r="X155" s="49"/>
      <c r="Y155" s="49"/>
      <c r="Z155" s="49"/>
      <c r="AA155" s="49"/>
      <c r="AC155" s="200">
        <f ca="1">AC154/AC5</f>
        <v>3.292216557089545</v>
      </c>
    </row>
    <row r="156" spans="2:29" x14ac:dyDescent="0.2">
      <c r="B156" s="20" t="s">
        <v>243</v>
      </c>
      <c r="M156" s="200">
        <f>M154/M12</f>
        <v>-32.413351618737352</v>
      </c>
      <c r="N156" s="200">
        <f>N154/N12</f>
        <v>-18.266232087124553</v>
      </c>
      <c r="O156" s="200">
        <f>O154/O12</f>
        <v>-70.97581987615348</v>
      </c>
      <c r="P156" s="200">
        <f>P154/P12</f>
        <v>-38.858189076638233</v>
      </c>
      <c r="Q156" s="200">
        <f>Q154/Q12</f>
        <v>87.94037403100775</v>
      </c>
      <c r="T156" s="49"/>
      <c r="U156" s="49"/>
      <c r="V156" s="49"/>
      <c r="W156" s="49"/>
      <c r="X156" s="49"/>
      <c r="Y156" s="49"/>
      <c r="Z156" s="49"/>
      <c r="AA156" s="49"/>
      <c r="AC156" s="200">
        <f ca="1">AC154/AC12</f>
        <v>37.04159060595758</v>
      </c>
    </row>
    <row r="157" spans="2:29" x14ac:dyDescent="0.2">
      <c r="B157" s="20" t="s">
        <v>303</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304</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AC109+AC53+AC110+AC55+AC57+AC58+AC56</f>
        <v>-45127</v>
      </c>
    </row>
    <row r="159" spans="2:29" x14ac:dyDescent="0.2">
      <c r="B159" s="20" t="s">
        <v>305</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55.07619960117156</v>
      </c>
    </row>
    <row r="160" spans="2:29" x14ac:dyDescent="0.2">
      <c r="B160" s="20" t="s">
        <v>306</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-125.54429055775921</v>
      </c>
    </row>
    <row r="161" spans="2:29" x14ac:dyDescent="0.2">
      <c r="B161" s="20" t="s">
        <v>307</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1.8156663082082525E-2</v>
      </c>
    </row>
    <row r="162" spans="2:29" x14ac:dyDescent="0.2">
      <c r="B162" s="20" t="s">
        <v>308</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4.9703264094955499E-2</v>
      </c>
    </row>
    <row r="163" spans="2:29" x14ac:dyDescent="0.2">
      <c r="B163" s="20" t="s">
        <v>309</v>
      </c>
      <c r="M163" s="173">
        <f>M82/M117</f>
        <v>0</v>
      </c>
      <c r="N163" s="173">
        <f>N82/N117</f>
        <v>0</v>
      </c>
      <c r="O163" s="173">
        <f>O82/O117</f>
        <v>0</v>
      </c>
      <c r="P163" s="173">
        <f>P82/P117</f>
        <v>0</v>
      </c>
      <c r="Q163" s="173">
        <f>Q82/Q117</f>
        <v>0</v>
      </c>
      <c r="T163" s="49"/>
      <c r="U163" s="49"/>
      <c r="V163" s="49"/>
      <c r="W163" s="49"/>
      <c r="X163" s="49"/>
      <c r="Y163" s="49"/>
      <c r="Z163" s="49"/>
      <c r="AA163" s="49"/>
      <c r="AC163" s="173">
        <f ca="1">AC82/AC117</f>
        <v>0</v>
      </c>
    </row>
    <row r="164" spans="2:29" x14ac:dyDescent="0.2">
      <c r="B164" s="20" t="s">
        <v>334</v>
      </c>
      <c r="M164" s="173">
        <f>-M63/M153</f>
        <v>0</v>
      </c>
      <c r="N164" s="173">
        <f>-N63/N153</f>
        <v>0</v>
      </c>
      <c r="O164" s="173">
        <f>-O63/O153</f>
        <v>7.5613663014209515E-3</v>
      </c>
      <c r="P164" s="173">
        <f>-P63/P153</f>
        <v>4.8596228981581578E-2</v>
      </c>
      <c r="Q164" s="173">
        <f>-Q63/Q153</f>
        <v>4.9259451802222368E-2</v>
      </c>
      <c r="T164" s="49"/>
      <c r="U164" s="49"/>
      <c r="V164" s="49"/>
      <c r="W164" s="49"/>
      <c r="X164" s="49"/>
      <c r="Y164" s="49"/>
      <c r="Z164" s="49"/>
      <c r="AA164" s="49"/>
      <c r="AC164" s="173">
        <f ca="1">-AC63/AC153</f>
        <v>3.7981675370529523E-2</v>
      </c>
    </row>
    <row r="165" spans="2:29" x14ac:dyDescent="0.2">
      <c r="B165" s="20" t="s">
        <v>336</v>
      </c>
      <c r="M165" s="173">
        <f>-(M63+M64)/M153</f>
        <v>0</v>
      </c>
      <c r="N165" s="173">
        <f>-(N63+N64)/N153</f>
        <v>0</v>
      </c>
      <c r="O165" s="173">
        <f>-(O63+O64)/O153</f>
        <v>7.5613663014209515E-3</v>
      </c>
      <c r="P165" s="173">
        <f>-(P63+P64)/P153</f>
        <v>4.8596228981581578E-2</v>
      </c>
      <c r="Q165" s="173">
        <f>-(Q63+Q64)/Q153</f>
        <v>4.9259451802222368E-2</v>
      </c>
      <c r="T165" s="49"/>
      <c r="U165" s="49"/>
      <c r="V165" s="49"/>
      <c r="W165" s="49"/>
      <c r="X165" s="49"/>
      <c r="Y165" s="49"/>
      <c r="Z165" s="49"/>
      <c r="AA165" s="49"/>
      <c r="AC165" s="173">
        <f ca="1">-(AC63+AC64)/AC153</f>
        <v>3.7981675370529523E-2</v>
      </c>
    </row>
    <row r="166" spans="2:29" x14ac:dyDescent="0.2">
      <c r="B166" s="20" t="s">
        <v>394</v>
      </c>
      <c r="M166" s="173">
        <f>M158/M5</f>
        <v>-0.67690742077350341</v>
      </c>
      <c r="N166" s="173">
        <f>N158/N5</f>
        <v>-0.47238898109828159</v>
      </c>
      <c r="O166" s="173">
        <f>O158/O5</f>
        <v>-0.16542896721281397</v>
      </c>
      <c r="P166" s="173">
        <f>P158/P5</f>
        <v>-0.14131432280591805</v>
      </c>
      <c r="Q166" s="173">
        <f>Q158/Q5</f>
        <v>-5.8690949550842808E-2</v>
      </c>
      <c r="T166" s="49"/>
      <c r="U166" s="49"/>
      <c r="V166" s="49"/>
      <c r="W166" s="49"/>
      <c r="X166" s="49"/>
      <c r="Y166" s="49"/>
      <c r="Z166" s="49"/>
      <c r="AA166" s="49"/>
      <c r="AC166" s="173">
        <f>AC158/AC5</f>
        <v>-2.6223546626159742E-2</v>
      </c>
    </row>
    <row r="167" spans="2:29" x14ac:dyDescent="0.2">
      <c r="B167" s="20" t="s">
        <v>395</v>
      </c>
      <c r="M167" s="173">
        <f>M157/M5</f>
        <v>-0.6527023755620609</v>
      </c>
      <c r="N167" s="173">
        <f>N157/N5</f>
        <v>-0.3812991164587311</v>
      </c>
      <c r="O167" s="173">
        <f>O157/O5</f>
        <v>-6.132307701716725E-2</v>
      </c>
      <c r="P167" s="173">
        <f>P157/P5</f>
        <v>-3.6728210264789486E-2</v>
      </c>
      <c r="Q167" s="173">
        <f>Q157/Q5</f>
        <v>3.8175256989442262E-2</v>
      </c>
      <c r="T167" s="49"/>
      <c r="U167" s="49"/>
      <c r="V167" s="49"/>
      <c r="W167" s="49"/>
      <c r="X167" s="49"/>
      <c r="Y167" s="49"/>
      <c r="Z167" s="49"/>
      <c r="AA167" s="49"/>
      <c r="AC167" s="173">
        <f>AC157/AC5</f>
        <v>7.4599996048482789E-2</v>
      </c>
    </row>
    <row r="168" spans="2:29" x14ac:dyDescent="0.2">
      <c r="B168" s="20" t="s">
        <v>312</v>
      </c>
      <c r="M168" s="173">
        <f>-M64/M157</f>
        <v>0</v>
      </c>
      <c r="N168" s="173">
        <f>-N64/N157</f>
        <v>0</v>
      </c>
      <c r="O168" s="173">
        <f>-O64/O157</f>
        <v>0</v>
      </c>
      <c r="P168" s="173">
        <f>-P64/P157</f>
        <v>0</v>
      </c>
      <c r="Q168" s="173">
        <f>-Q64/Q157</f>
        <v>0</v>
      </c>
      <c r="T168" s="49"/>
      <c r="U168" s="49"/>
      <c r="V168" s="49"/>
      <c r="W168" s="49"/>
      <c r="X168" s="49"/>
      <c r="Y168" s="49"/>
      <c r="Z168" s="49"/>
      <c r="AA168" s="49"/>
      <c r="AC168" s="173">
        <f>-AC64/AC157</f>
        <v>0</v>
      </c>
    </row>
    <row r="169" spans="2:29" x14ac:dyDescent="0.2">
      <c r="B169" s="20" t="s">
        <v>314</v>
      </c>
      <c r="M169" s="173">
        <f>-M63/M157</f>
        <v>0</v>
      </c>
      <c r="N169" s="173">
        <f>-N63/N157</f>
        <v>0</v>
      </c>
      <c r="O169" s="173">
        <f>-O63/O157</f>
        <v>-1.2792495169232687</v>
      </c>
      <c r="P169" s="173">
        <f>-P63/P157</f>
        <v>-7.44160048753547</v>
      </c>
      <c r="Q169" s="173">
        <f>-Q63/Q157</f>
        <v>5.3526283260685705</v>
      </c>
      <c r="T169" s="49"/>
      <c r="U169" s="49"/>
      <c r="V169" s="49"/>
      <c r="W169" s="49"/>
      <c r="X169" s="49"/>
      <c r="Y169" s="49"/>
      <c r="Z169" s="49"/>
      <c r="AA169" s="49"/>
      <c r="AC169" s="173">
        <f>-AC63/AC157</f>
        <v>2.0918863338941858</v>
      </c>
    </row>
    <row r="170" spans="2:29" x14ac:dyDescent="0.2">
      <c r="B170" s="20" t="s">
        <v>325</v>
      </c>
      <c r="M170" s="173">
        <f>(-M64-M63)/M157</f>
        <v>0</v>
      </c>
      <c r="N170" s="173">
        <f>(-N64-N63)/N157</f>
        <v>0</v>
      </c>
      <c r="O170" s="173">
        <f>(-O64-O63)/O157</f>
        <v>-1.2792495169232687</v>
      </c>
      <c r="P170" s="173">
        <f>(-P64-P63)/P157</f>
        <v>-7.44160048753547</v>
      </c>
      <c r="Q170" s="173">
        <f>(-Q64-Q63)/Q157</f>
        <v>5.3526283260685705</v>
      </c>
      <c r="T170" s="49"/>
      <c r="U170" s="49"/>
      <c r="V170" s="49"/>
      <c r="W170" s="49"/>
      <c r="X170" s="49"/>
      <c r="Y170" s="49"/>
      <c r="Z170" s="49"/>
      <c r="AA170" s="49"/>
      <c r="AC170" s="173">
        <f>(-AC64-AC63)/AC157</f>
        <v>2.0918863338941858</v>
      </c>
    </row>
    <row r="171" spans="2:29" x14ac:dyDescent="0.2">
      <c r="B171" s="20" t="s">
        <v>319</v>
      </c>
      <c r="M171" s="173">
        <f>M80/M78</f>
        <v>0.32041292188722126</v>
      </c>
      <c r="N171" s="173">
        <f>N80/N78</f>
        <v>0.31207180184527727</v>
      </c>
      <c r="O171" s="173">
        <f>O80/O78</f>
        <v>0.22510733498180183</v>
      </c>
      <c r="P171" s="173">
        <f>P80/P78</f>
        <v>0.22494029842627195</v>
      </c>
      <c r="Q171" s="173">
        <f>Q80/Q78</f>
        <v>0.22012147206199109</v>
      </c>
      <c r="T171" s="49"/>
      <c r="U171" s="49"/>
      <c r="V171" s="49"/>
      <c r="W171" s="49"/>
      <c r="X171" s="49"/>
      <c r="Y171" s="49"/>
      <c r="Z171" s="49"/>
      <c r="AA171" s="49"/>
      <c r="AC171" s="173">
        <f>AC80/AC78</f>
        <v>0.2226990648503856</v>
      </c>
    </row>
    <row r="172" spans="2:29" x14ac:dyDescent="0.2">
      <c r="B172" s="20" t="s">
        <v>320</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322</v>
      </c>
      <c r="M173" s="173">
        <f>M54/M59</f>
        <v>-9.3805469133780903</v>
      </c>
      <c r="N173" s="173">
        <f>N54/N59</f>
        <v>-37.054403366396151</v>
      </c>
      <c r="O173" s="173">
        <f>O54/O59</f>
        <v>1.243655586093446</v>
      </c>
      <c r="P173" s="173">
        <f>P54/P59</f>
        <v>1.1172492318250589</v>
      </c>
      <c r="Q173" s="173">
        <f>Q54/Q59</f>
        <v>0.78305424452059225</v>
      </c>
      <c r="T173" s="173">
        <f t="shared" ref="T173:Z173" si="167">T54/T59</f>
        <v>3.1167794798717492</v>
      </c>
      <c r="U173" s="173" t="e">
        <f t="shared" si="167"/>
        <v>#DIV/0!</v>
      </c>
      <c r="V173" s="173">
        <f t="shared" si="167"/>
        <v>0.6416782911211576</v>
      </c>
      <c r="W173" s="173">
        <f t="shared" si="167"/>
        <v>1.8757303965181427</v>
      </c>
      <c r="X173" s="173">
        <f t="shared" si="167"/>
        <v>2.5282091188850764</v>
      </c>
      <c r="Y173" s="173">
        <f t="shared" si="167"/>
        <v>0.35555092460569898</v>
      </c>
      <c r="Z173" s="173">
        <f t="shared" si="167"/>
        <v>0.40408404584318719</v>
      </c>
      <c r="AA173" s="173">
        <f t="shared" ref="AA173" si="168">AA54/AA59</f>
        <v>1.4646079676862438</v>
      </c>
      <c r="AC173" s="173">
        <f>AC54/AC59</f>
        <v>0.62848898581632484</v>
      </c>
    </row>
    <row r="174" spans="2:29" x14ac:dyDescent="0.2">
      <c r="B174" s="20" t="s">
        <v>323</v>
      </c>
      <c r="M174" s="173">
        <f>M54/M5</f>
        <v>0.57784459995606618</v>
      </c>
      <c r="N174" s="173">
        <f>N54/N5</f>
        <v>0.3493733592422309</v>
      </c>
      <c r="O174" s="173">
        <f>O54/O5</f>
        <v>0.28435361356255617</v>
      </c>
      <c r="P174" s="173">
        <f>P54/P5</f>
        <v>0.25051410681111086</v>
      </c>
      <c r="Q174" s="173">
        <f>Q54/Q5</f>
        <v>0.18047997854178516</v>
      </c>
      <c r="T174" s="173">
        <f t="shared" ref="T174:Z174" si="169">T54/T5</f>
        <v>0.24668619749445234</v>
      </c>
      <c r="U174" s="173">
        <f t="shared" si="169"/>
        <v>0</v>
      </c>
      <c r="V174" s="173">
        <f t="shared" si="169"/>
        <v>0.21412187626183318</v>
      </c>
      <c r="W174" s="173">
        <f t="shared" si="169"/>
        <v>0.21564822186836519</v>
      </c>
      <c r="X174" s="173">
        <f t="shared" si="169"/>
        <v>0.17385730930425455</v>
      </c>
      <c r="Y174" s="173">
        <f t="shared" si="169"/>
        <v>0.13476004298420102</v>
      </c>
      <c r="Z174" s="173">
        <f t="shared" si="169"/>
        <v>0.1274194396508454</v>
      </c>
      <c r="AA174" s="173">
        <f t="shared" ref="AA174" si="170">AA54/AA5</f>
        <v>0.1095949845949846</v>
      </c>
      <c r="AC174" s="173">
        <f>AC54/AC5</f>
        <v>0.1363163026815693</v>
      </c>
    </row>
    <row r="175" spans="2:29" x14ac:dyDescent="0.2">
      <c r="B175" s="20" t="s">
        <v>328</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333</v>
      </c>
      <c r="M176" s="173">
        <f>(M107-M108)/M153</f>
        <v>0.10399860990191799</v>
      </c>
      <c r="N176" s="173">
        <f>(N107-N108)/N153</f>
        <v>0.21668433460093939</v>
      </c>
      <c r="O176" s="173">
        <f>(O107-O108)/O153</f>
        <v>0.1385180556920142</v>
      </c>
      <c r="P176" s="173">
        <f>(P107-P108)/P153</f>
        <v>0.21436149045236591</v>
      </c>
      <c r="Q176" s="173">
        <f>(Q107-Q108)/Q153</f>
        <v>0.25287878673419845</v>
      </c>
      <c r="T176" s="49"/>
      <c r="U176" s="49"/>
      <c r="V176" s="49"/>
      <c r="W176" s="49"/>
      <c r="X176" s="49"/>
      <c r="Y176" s="49"/>
      <c r="Z176" s="49"/>
      <c r="AA176" s="49"/>
      <c r="AC176" s="173">
        <f ca="1">(AC107-AC108)/AC153</f>
        <v>0.1987175605012074</v>
      </c>
    </row>
    <row r="177" spans="1:31" x14ac:dyDescent="0.2">
      <c r="B177" s="20" t="s">
        <v>342</v>
      </c>
      <c r="M177" s="173">
        <f>-M110/M5</f>
        <v>1.325746537973577E-2</v>
      </c>
      <c r="N177" s="173">
        <f>-N110/N5</f>
        <v>2.2497097529617479E-2</v>
      </c>
      <c r="O177" s="173">
        <f>-O110/O5</f>
        <v>5.6128408833764501E-3</v>
      </c>
      <c r="P177" s="173">
        <f>-P110/P5</f>
        <v>1.0438116928173332E-2</v>
      </c>
      <c r="Q177" s="173">
        <f>-Q110/Q5</f>
        <v>1.1826854061786744E-2</v>
      </c>
      <c r="T177" s="173">
        <f t="shared" ref="T177:Z177" si="173">-T110/T5</f>
        <v>1.3745830431435797E-2</v>
      </c>
      <c r="U177" s="173">
        <f t="shared" si="173"/>
        <v>0</v>
      </c>
      <c r="V177" s="173">
        <f t="shared" si="173"/>
        <v>3.5981874467225984E-2</v>
      </c>
      <c r="W177" s="173">
        <f t="shared" si="173"/>
        <v>0</v>
      </c>
      <c r="X177" s="173">
        <f t="shared" si="173"/>
        <v>7.6961808553852587E-3</v>
      </c>
      <c r="Y177" s="173">
        <f t="shared" si="173"/>
        <v>6.3437031679023587E-3</v>
      </c>
      <c r="Z177" s="173">
        <f t="shared" si="173"/>
        <v>6.415189946030183E-3</v>
      </c>
      <c r="AA177" s="173">
        <f t="shared" ref="AA177" si="174">-AA110/AA5</f>
        <v>3.3856908856908859E-3</v>
      </c>
      <c r="AC177" s="173">
        <f>-AC110/AC5</f>
        <v>5.9789941994051804E-3</v>
      </c>
    </row>
    <row r="178" spans="1:31" x14ac:dyDescent="0.2">
      <c r="B178" s="20" t="s">
        <v>343</v>
      </c>
      <c r="M178" s="173">
        <f>-(M110/M59)</f>
        <v>-0.21521750996124667</v>
      </c>
      <c r="N178" s="173">
        <f>-(N110/N59)</f>
        <v>-2.3860334635808034</v>
      </c>
      <c r="O178" s="173">
        <f>-(O110/O59)</f>
        <v>2.4548451595214689E-2</v>
      </c>
      <c r="P178" s="173">
        <f>-(P110/P59)</f>
        <v>4.6552181304883568E-2</v>
      </c>
      <c r="Q178" s="173">
        <f>-(Q110/Q59)</f>
        <v>5.1313549276955236E-2</v>
      </c>
      <c r="T178" s="173">
        <f t="shared" ref="T178:Z178" si="175">-(T110/T59)</f>
        <v>0.17367296045600286</v>
      </c>
      <c r="U178" s="173" t="e">
        <f t="shared" si="175"/>
        <v>#DIV/0!</v>
      </c>
      <c r="V178" s="173">
        <f t="shared" si="175"/>
        <v>0.10783012050217644</v>
      </c>
      <c r="W178" s="173">
        <f t="shared" si="175"/>
        <v>0</v>
      </c>
      <c r="X178" s="173">
        <f t="shared" si="175"/>
        <v>0.11191680520674896</v>
      </c>
      <c r="Y178" s="173">
        <f t="shared" si="175"/>
        <v>1.6737227718428501E-2</v>
      </c>
      <c r="Z178" s="173">
        <f t="shared" si="175"/>
        <v>2.0344430295312594E-2</v>
      </c>
      <c r="AA178" s="173">
        <f t="shared" ref="AA178" si="176">-(AA110/AA59)</f>
        <v>4.524577347796345E-2</v>
      </c>
      <c r="AC178" s="173">
        <f>-(AC110/AC59)</f>
        <v>2.7566269966724358E-2</v>
      </c>
    </row>
    <row r="179" spans="1:31" x14ac:dyDescent="0.2">
      <c r="B179" s="20" t="s">
        <v>344</v>
      </c>
      <c r="M179" s="173">
        <f>-M110/M53</f>
        <v>0.80442026521591292</v>
      </c>
      <c r="N179" s="173">
        <f>-N110/N53</f>
        <v>1.2719649628798804</v>
      </c>
      <c r="O179" s="173">
        <f>-O110/O53</f>
        <v>0.32491038633446917</v>
      </c>
      <c r="P179" s="173">
        <f>-P110/P53</f>
        <v>0.86600510677808729</v>
      </c>
      <c r="Q179" s="173">
        <f>-Q110/Q53</f>
        <v>1.1225175319700631</v>
      </c>
      <c r="T179" s="173">
        <f t="shared" ref="T179:Z179" si="177">-T110/T53</f>
        <v>1.0752095280105867</v>
      </c>
      <c r="U179" s="173" t="e">
        <f t="shared" si="177"/>
        <v>#DIV/0!</v>
      </c>
      <c r="V179" s="173">
        <f t="shared" si="177"/>
        <v>3.9446664617276359</v>
      </c>
      <c r="W179" s="173">
        <f t="shared" si="177"/>
        <v>0</v>
      </c>
      <c r="X179" s="173">
        <f t="shared" si="177"/>
        <v>0.7010857522712165</v>
      </c>
      <c r="Y179" s="173">
        <f t="shared" si="177"/>
        <v>0.61371405590187011</v>
      </c>
      <c r="Z179" s="173">
        <f t="shared" si="177"/>
        <v>0.35743774137701423</v>
      </c>
      <c r="AA179" s="173">
        <f t="shared" ref="AA179" si="178">-AA110/AA53</f>
        <v>0.15424764019988896</v>
      </c>
      <c r="AC179" s="173">
        <f>-AC110/AC53</f>
        <v>0.39573076923076922</v>
      </c>
    </row>
    <row r="180" spans="1:31" x14ac:dyDescent="0.2">
      <c r="B180" s="20" t="s">
        <v>407</v>
      </c>
      <c r="M180" s="241">
        <f>M5/M37</f>
        <v>0.346849112713561</v>
      </c>
      <c r="N180" s="241">
        <f t="shared" ref="N180:Q180" si="179">N5/N37</f>
        <v>0.38702057541552631</v>
      </c>
      <c r="O180" s="241">
        <f t="shared" si="179"/>
        <v>0.44270021436611728</v>
      </c>
      <c r="P180" s="241">
        <f t="shared" si="179"/>
        <v>0.49896309946357587</v>
      </c>
      <c r="Q180" s="241">
        <f t="shared" si="179"/>
        <v>0.50659662808253647</v>
      </c>
      <c r="T180" s="49"/>
      <c r="U180" s="49"/>
      <c r="V180" s="49"/>
      <c r="W180" s="49"/>
      <c r="X180" s="49"/>
      <c r="Y180" s="49"/>
      <c r="Z180" s="49"/>
      <c r="AA180" s="49"/>
      <c r="AC180" s="241">
        <f t="shared" ref="AC180" si="180">AC5/AC37</f>
        <v>0.5918956911872495</v>
      </c>
    </row>
    <row r="181" spans="1:31" x14ac:dyDescent="0.2">
      <c r="B181" s="20" t="s">
        <v>404</v>
      </c>
      <c r="M181" s="243" t="str">
        <f>IF(AND(M12&gt;0,M108&gt;0),M108/M12,"N/A")</f>
        <v>N/A</v>
      </c>
      <c r="N181" s="243" t="str">
        <f t="shared" ref="N181:Q181" si="181">IF(AND(N12&gt;0,N108&gt;0),N108/N12,"N/A")</f>
        <v>N/A</v>
      </c>
      <c r="O181" s="243" t="str">
        <f t="shared" si="181"/>
        <v>N/A</v>
      </c>
      <c r="P181" s="243" t="str">
        <f t="shared" si="181"/>
        <v>N/A</v>
      </c>
      <c r="Q181" s="243" t="str">
        <f t="shared" si="181"/>
        <v>N/A</v>
      </c>
      <c r="T181" s="49"/>
      <c r="U181" s="49"/>
      <c r="V181" s="49"/>
      <c r="W181" s="49"/>
      <c r="X181" s="49"/>
      <c r="Y181" s="49"/>
      <c r="Z181" s="49"/>
      <c r="AA181" s="49"/>
      <c r="AC181" s="243" t="str">
        <f t="shared" ref="AC181" si="182">IF(AND(AC12&gt;0,AC108&gt;0),AC108/AC12,"N/A")</f>
        <v>N/A</v>
      </c>
    </row>
    <row r="182" spans="1:31" x14ac:dyDescent="0.2">
      <c r="B182" s="20" t="s">
        <v>405</v>
      </c>
      <c r="M182" s="243" t="str">
        <f>IF(AND(M12&gt;0,M108&gt;0),(M108-M107)/M12,"N/A")</f>
        <v>N/A</v>
      </c>
      <c r="N182" s="243" t="str">
        <f t="shared" ref="N182:Q182" si="183">IF(AND(N12&gt;0,N108&gt;0),(N108-N107)/N12,"N/A")</f>
        <v>N/A</v>
      </c>
      <c r="O182" s="243" t="str">
        <f t="shared" si="183"/>
        <v>N/A</v>
      </c>
      <c r="P182" s="243" t="str">
        <f t="shared" si="183"/>
        <v>N/A</v>
      </c>
      <c r="Q182" s="243" t="str">
        <f t="shared" si="183"/>
        <v>N/A</v>
      </c>
      <c r="T182" s="49"/>
      <c r="U182" s="49"/>
      <c r="V182" s="49"/>
      <c r="W182" s="49"/>
      <c r="X182" s="49"/>
      <c r="Y182" s="49"/>
      <c r="Z182" s="49"/>
      <c r="AA182" s="49"/>
      <c r="AC182" s="243" t="str">
        <f t="shared" ref="AC182" si="184">IF(AND(AC12&gt;0,AC108&gt;0),(AC108-AC107)/AC12,"N/A")</f>
        <v>N/A</v>
      </c>
    </row>
    <row r="183" spans="1:31" x14ac:dyDescent="0.2">
      <c r="B183" s="20" t="s">
        <v>406</v>
      </c>
      <c r="M183" s="243">
        <f>M5/(M108+M112-M107)</f>
        <v>23.950501959521127</v>
      </c>
      <c r="N183" s="243">
        <f t="shared" ref="N183:Q183" si="185">N5/(N108+N112-N107)</f>
        <v>6.6028018437778737</v>
      </c>
      <c r="O183" s="243">
        <f t="shared" si="185"/>
        <v>9.5976403430894184</v>
      </c>
      <c r="P183" s="243">
        <f t="shared" si="185"/>
        <v>11.705987832736978</v>
      </c>
      <c r="Q183" s="243">
        <f t="shared" si="185"/>
        <v>4.0969904174647871</v>
      </c>
      <c r="T183" s="49"/>
      <c r="U183" s="49"/>
      <c r="V183" s="49"/>
      <c r="W183" s="49"/>
      <c r="X183" s="49"/>
      <c r="Y183" s="49"/>
      <c r="Z183" s="49"/>
      <c r="AA183" s="49"/>
      <c r="AC183" s="243">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356</v>
      </c>
      <c r="C196" s="188"/>
      <c r="D196" s="188"/>
      <c r="E196" s="188"/>
      <c r="F196" s="188"/>
      <c r="G196" s="188"/>
      <c r="H196" s="188"/>
      <c r="I196" s="188"/>
      <c r="J196" s="188"/>
      <c r="K196" s="188"/>
      <c r="L196" s="188"/>
      <c r="M196" s="188"/>
      <c r="N196" s="188"/>
      <c r="O196" s="188"/>
      <c r="P196" s="188"/>
      <c r="Q196" s="188"/>
      <c r="T196" s="188"/>
      <c r="U196" s="188"/>
      <c r="V196" s="188"/>
      <c r="W196" s="188"/>
      <c r="X196" s="188"/>
      <c r="Y196" s="188"/>
      <c r="Z196" s="188"/>
      <c r="AA196" s="188"/>
      <c r="AC196" s="188"/>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357</v>
      </c>
      <c r="C202" s="188"/>
      <c r="D202" s="188"/>
      <c r="E202" s="188"/>
      <c r="F202" s="188"/>
      <c r="G202" s="188"/>
      <c r="H202" s="188"/>
      <c r="I202" s="188"/>
      <c r="J202" s="188"/>
      <c r="K202" s="188"/>
      <c r="L202" s="188"/>
      <c r="M202" s="188"/>
      <c r="N202" s="188"/>
      <c r="O202" s="188"/>
      <c r="P202" s="188"/>
      <c r="Q202" s="188"/>
      <c r="T202" s="188"/>
      <c r="U202" s="188"/>
      <c r="V202" s="188"/>
      <c r="W202" s="188"/>
      <c r="X202" s="188"/>
      <c r="Y202" s="188"/>
      <c r="Z202" s="188"/>
      <c r="AA202" s="188"/>
      <c r="AC202" s="188"/>
    </row>
    <row r="203" spans="2:29" x14ac:dyDescent="0.2">
      <c r="B203" s="20" t="s">
        <v>326</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399</v>
      </c>
      <c r="C206" s="188"/>
      <c r="D206" s="188"/>
      <c r="E206" s="188"/>
      <c r="F206" s="188"/>
      <c r="G206" s="188"/>
      <c r="H206" s="188"/>
      <c r="I206" s="188"/>
      <c r="J206" s="188"/>
      <c r="K206" s="188"/>
      <c r="L206" s="188"/>
      <c r="M206" s="188"/>
      <c r="N206" s="188"/>
      <c r="O206" s="188"/>
      <c r="P206" s="188"/>
      <c r="Q206" s="188"/>
      <c r="T206" s="188"/>
      <c r="U206" s="188"/>
      <c r="V206" s="188"/>
      <c r="W206" s="188"/>
      <c r="X206" s="188"/>
      <c r="Y206" s="188"/>
      <c r="Z206" s="188"/>
      <c r="AA206" s="188"/>
      <c r="AC206" s="188"/>
    </row>
    <row r="207" spans="2:29" x14ac:dyDescent="0.2">
      <c r="B207" s="20" t="s">
        <v>400</v>
      </c>
      <c r="M207" s="162">
        <v>100</v>
      </c>
      <c r="N207" s="162">
        <f>100*(1+((N117-$M117)/ABS($M117)))</f>
        <v>43.583607538139404</v>
      </c>
      <c r="O207" s="162">
        <f t="shared" ref="O207:Q207" si="197">100*(1+((O117-$M117)/ABS($M117)))</f>
        <v>71.343104995513016</v>
      </c>
      <c r="P207" s="162">
        <f t="shared" si="197"/>
        <v>43.613520789709838</v>
      </c>
      <c r="Q207" s="162">
        <f t="shared" si="197"/>
        <v>37.660783727191152</v>
      </c>
      <c r="T207" s="49"/>
      <c r="U207" s="49"/>
      <c r="V207" s="49"/>
      <c r="W207" s="49"/>
      <c r="X207" s="49"/>
      <c r="Y207" s="49"/>
      <c r="Z207" s="49"/>
      <c r="AA207" s="49"/>
      <c r="AC207" s="49"/>
    </row>
    <row r="208" spans="2:29" x14ac:dyDescent="0.2">
      <c r="B208" s="20" t="s">
        <v>401</v>
      </c>
      <c r="M208" s="162">
        <v>100</v>
      </c>
      <c r="N208" s="162">
        <f>100*(1+((N5-$M5)/ABS($M5)))</f>
        <v>118.64148245114609</v>
      </c>
      <c r="O208" s="162">
        <f t="shared" ref="O208:Q208" si="198">100*(1+((O5-$M5)/ABS($M5)))</f>
        <v>146.60342593796372</v>
      </c>
      <c r="P208" s="162">
        <f t="shared" si="198"/>
        <v>160.23096613961079</v>
      </c>
      <c r="Q208" s="162">
        <f t="shared" si="198"/>
        <v>180.50640402038886</v>
      </c>
      <c r="T208" s="49"/>
      <c r="U208" s="49"/>
      <c r="V208" s="49"/>
      <c r="W208" s="49"/>
      <c r="X208" s="49"/>
      <c r="Y208" s="49"/>
      <c r="Z208" s="49"/>
      <c r="AA208" s="49"/>
      <c r="AC208" s="49"/>
    </row>
    <row r="209" spans="1:31" x14ac:dyDescent="0.2">
      <c r="B209" s="20" t="s">
        <v>402</v>
      </c>
      <c r="M209" s="162">
        <v>100</v>
      </c>
      <c r="N209" s="162">
        <f>100*(1+((N26-$M26)/ABS($M26)))</f>
        <v>148.27586206896552</v>
      </c>
      <c r="O209" s="162">
        <f t="shared" ref="O209:Q209" si="199">100*(1+((O26-$M26)/ABS($M26)))</f>
        <v>186.20689655172413</v>
      </c>
      <c r="P209" s="162">
        <f t="shared" si="199"/>
        <v>188.79310344827584</v>
      </c>
      <c r="Q209" s="162">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316</v>
      </c>
    </row>
    <row r="4" spans="2:7" x14ac:dyDescent="0.2">
      <c r="B4" s="254" t="s">
        <v>275</v>
      </c>
      <c r="C4" s="254"/>
      <c r="E4" s="254" t="s">
        <v>282</v>
      </c>
      <c r="F4" s="254"/>
      <c r="G4" s="254"/>
    </row>
    <row r="5" spans="2:7" x14ac:dyDescent="0.2">
      <c r="B5" s="20" t="s">
        <v>1</v>
      </c>
      <c r="C5" s="189">
        <f ca="1">Overview!C5</f>
        <v>13.48</v>
      </c>
      <c r="E5" s="12"/>
      <c r="F5" s="153" t="s">
        <v>283</v>
      </c>
      <c r="G5" s="153" t="s">
        <v>284</v>
      </c>
    </row>
    <row r="6" spans="2:7" x14ac:dyDescent="0.2">
      <c r="B6" s="20" t="s">
        <v>281</v>
      </c>
      <c r="C6" s="190">
        <f ca="1">Statement!AC153</f>
        <v>7070462.2000000002</v>
      </c>
      <c r="E6" s="20" t="s">
        <v>20</v>
      </c>
      <c r="F6" s="195">
        <f>IF(Statement!M5&lt;=0,"N/A",_xlfn.RRI(4,Statement!M5,Statement!Q5))</f>
        <v>0.15910599918172563</v>
      </c>
      <c r="G6" s="195" t="str">
        <f>IF(Statement!H5&lt;=0,"N/A",_xlfn.RRI(9,Statement!H5,Statement!Q5))</f>
        <v>N/A</v>
      </c>
    </row>
    <row r="7" spans="2:7" x14ac:dyDescent="0.2">
      <c r="B7" s="20" t="s">
        <v>227</v>
      </c>
      <c r="C7" s="190">
        <f ca="1">Statement!AC154</f>
        <v>5665437.2000000002</v>
      </c>
      <c r="E7" s="20" t="s">
        <v>32</v>
      </c>
      <c r="F7" s="195" t="str">
        <f>IF(OR(Statement!M18&lt;=0, Statement!Q18&lt;=0), "N/A", _xlfn.RRI(4, Statement!M18, Statement!Q18))</f>
        <v>N/A</v>
      </c>
      <c r="G7" s="195" t="str">
        <f>IF(OR(Statement!H18&lt;=0, Statement!Q18&lt;=0), "N/A", _xlfn.RRI(9, Statement!H18, Statement!Q18))</f>
        <v>N/A</v>
      </c>
    </row>
    <row r="8" spans="2:7" x14ac:dyDescent="0.2">
      <c r="B8" s="20" t="s">
        <v>279</v>
      </c>
      <c r="C8" s="191">
        <f ca="1">Statement!AC150</f>
        <v>20.119402985074622</v>
      </c>
      <c r="E8" s="20" t="s">
        <v>285</v>
      </c>
      <c r="F8" s="195" t="str">
        <f>IF(OR(Statement!M26&lt;=0, Statement!Q26&lt;=0), "N/A", _xlfn.RRI(4, Statement!M26, Statement!Q26))</f>
        <v>N/A</v>
      </c>
      <c r="G8" s="195" t="str">
        <f>IF(OR(Statement!H26&lt;=0, Statement!Q26&lt;=0), "N/A", _xlfn.RRI(9, Statement!H26, Statement!Q26))</f>
        <v>N/A</v>
      </c>
    </row>
    <row r="9" spans="2:7" x14ac:dyDescent="0.2">
      <c r="B9" s="20" t="s">
        <v>240</v>
      </c>
      <c r="C9" s="191">
        <f ca="1">Statement!AC151</f>
        <v>4.1812852716493749</v>
      </c>
      <c r="E9" s="20" t="s">
        <v>286</v>
      </c>
      <c r="F9" s="195" t="str">
        <f>IF(Statement!M82&lt;=0,"N/A",_xlfn.RRI(4,Statement!M82,Statement!Q82))</f>
        <v>N/A</v>
      </c>
      <c r="G9" s="195" t="str">
        <f>IF(Statement!H82&lt;=0,"N/A",_xlfn.RRI(9,Statement!H82,Statement!Q82))</f>
        <v>N/A</v>
      </c>
    </row>
    <row r="10" spans="2:7" x14ac:dyDescent="0.2">
      <c r="B10" s="20" t="s">
        <v>280</v>
      </c>
      <c r="C10" s="191">
        <f ca="1">Statement!AC152</f>
        <v>3.6053369298519771</v>
      </c>
      <c r="E10" s="20" t="s">
        <v>1</v>
      </c>
      <c r="F10" s="195">
        <f>IF(Statement!M117&lt;=0,"N/A",_xlfn.RRI(4,Statement!M117,Statement!Q117))</f>
        <v>-0.21662025481427405</v>
      </c>
      <c r="G10" s="195" t="str">
        <f>IF(Statement!H117&lt;=0,"N/A",_xlfn.RRI(9,Statement!H117,Statement!Q117))</f>
        <v>N/A</v>
      </c>
    </row>
    <row r="11" spans="2:7" x14ac:dyDescent="0.2">
      <c r="B11" s="20" t="s">
        <v>302</v>
      </c>
      <c r="C11" s="191">
        <f ca="1">Statement!AC155</f>
        <v>3.292216557089545</v>
      </c>
    </row>
    <row r="12" spans="2:7" x14ac:dyDescent="0.2">
      <c r="B12" s="20" t="s">
        <v>243</v>
      </c>
      <c r="C12" s="191">
        <f ca="1">Statement!AC156</f>
        <v>37.04159060595758</v>
      </c>
    </row>
    <row r="15" spans="2:7" x14ac:dyDescent="0.2">
      <c r="B15" s="254" t="s">
        <v>78</v>
      </c>
      <c r="C15" s="254"/>
      <c r="E15" s="254" t="s">
        <v>288</v>
      </c>
      <c r="F15" s="254"/>
    </row>
    <row r="16" spans="2:7" x14ac:dyDescent="0.2">
      <c r="B16" s="20" t="s">
        <v>79</v>
      </c>
      <c r="C16" s="192">
        <f>Statement!AC101</f>
        <v>0.82551610882478388</v>
      </c>
      <c r="E16" s="20" t="s">
        <v>32</v>
      </c>
      <c r="F16" s="190">
        <f>Statement!AC18</f>
        <v>361915</v>
      </c>
    </row>
    <row r="17" spans="2:6" x14ac:dyDescent="0.2">
      <c r="B17" s="20" t="s">
        <v>80</v>
      </c>
      <c r="C17" s="192">
        <f>Statement!AC102</f>
        <v>8.8878919701683698E-2</v>
      </c>
      <c r="E17" s="20" t="s">
        <v>289</v>
      </c>
      <c r="F17" s="190">
        <f>Statement!AC59</f>
        <v>373246</v>
      </c>
    </row>
    <row r="18" spans="2:6" x14ac:dyDescent="0.2">
      <c r="B18" s="20" t="s">
        <v>81</v>
      </c>
      <c r="C18" s="192">
        <f>Statement!AC103</f>
        <v>0.21031078682843093</v>
      </c>
      <c r="E18" s="20" t="s">
        <v>296</v>
      </c>
      <c r="F18" s="194">
        <f>IF(OR(F16&lt;=0, F17&lt;=0),"N/A",F16-F17)</f>
        <v>-11331</v>
      </c>
    </row>
    <row r="21" spans="2:6" x14ac:dyDescent="0.2">
      <c r="B21" s="254" t="s">
        <v>287</v>
      </c>
      <c r="C21" s="254"/>
      <c r="E21" s="254" t="s">
        <v>291</v>
      </c>
      <c r="F21" s="254"/>
    </row>
    <row r="22" spans="2:6" x14ac:dyDescent="0.2">
      <c r="B22" s="20" t="s">
        <v>117</v>
      </c>
      <c r="C22" s="192">
        <f>Statement!AC121</f>
        <v>0.21031078682843093</v>
      </c>
      <c r="E22" s="20" t="s">
        <v>119</v>
      </c>
      <c r="F22" s="192">
        <f>C24</f>
        <v>0.12448204853394841</v>
      </c>
    </row>
    <row r="23" spans="2:6" x14ac:dyDescent="0.2">
      <c r="B23" s="20" t="s">
        <v>118</v>
      </c>
      <c r="C23" s="191">
        <f>Statement!AC122</f>
        <v>0.5918956911872495</v>
      </c>
      <c r="E23" s="20" t="s">
        <v>121</v>
      </c>
      <c r="F23" s="192">
        <f>C26</f>
        <v>0.18573545162533595</v>
      </c>
    </row>
    <row r="24" spans="2:6" x14ac:dyDescent="0.2">
      <c r="B24" s="32" t="s">
        <v>119</v>
      </c>
      <c r="C24" s="193">
        <f>Statement!AC123</f>
        <v>0.12448204853394841</v>
      </c>
      <c r="E24" s="20" t="s">
        <v>122</v>
      </c>
      <c r="F24" s="192">
        <f>Statement!AC140</f>
        <v>0.28139960185897273</v>
      </c>
    </row>
    <row r="25" spans="2:6" x14ac:dyDescent="0.2">
      <c r="B25" s="20" t="s">
        <v>120</v>
      </c>
      <c r="C25" s="191">
        <f>Statement!AC124</f>
        <v>1.4920661558255339</v>
      </c>
    </row>
    <row r="26" spans="2:6" x14ac:dyDescent="0.2">
      <c r="B26" s="32" t="s">
        <v>121</v>
      </c>
      <c r="C26" s="193">
        <f>Statement!AC125</f>
        <v>0.18573545162533595</v>
      </c>
    </row>
    <row r="29" spans="2:6" x14ac:dyDescent="0.2">
      <c r="B29" s="254" t="s">
        <v>292</v>
      </c>
      <c r="C29" s="254"/>
      <c r="E29" s="254" t="s">
        <v>298</v>
      </c>
      <c r="F29" s="254"/>
    </row>
    <row r="30" spans="2:6" x14ac:dyDescent="0.2">
      <c r="B30" s="20" t="s">
        <v>178</v>
      </c>
      <c r="C30" s="191">
        <f>Statement!AC141</f>
        <v>65.13952923483518</v>
      </c>
      <c r="E30" s="20" t="s">
        <v>299</v>
      </c>
      <c r="F30" s="197">
        <f>Statement!AC145</f>
        <v>0</v>
      </c>
    </row>
    <row r="31" spans="2:6" x14ac:dyDescent="0.2">
      <c r="B31" s="20" t="s">
        <v>179</v>
      </c>
      <c r="C31" s="191">
        <f>Statement!AC142</f>
        <v>0</v>
      </c>
      <c r="E31" s="20" t="s">
        <v>300</v>
      </c>
      <c r="F31" s="197">
        <f>Statement!AC146</f>
        <v>-0.72106144514564929</v>
      </c>
    </row>
    <row r="32" spans="2:6" x14ac:dyDescent="0.2">
      <c r="B32" s="20" t="s">
        <v>180</v>
      </c>
      <c r="C32" s="191">
        <f>Statement!AC143</f>
        <v>20.038033450786315</v>
      </c>
      <c r="E32" s="20" t="s">
        <v>295</v>
      </c>
      <c r="F32" s="197">
        <f>Statement!AC148</f>
        <v>2.386634756174606</v>
      </c>
    </row>
    <row r="33" spans="2:6" x14ac:dyDescent="0.2">
      <c r="B33" s="20" t="s">
        <v>181</v>
      </c>
      <c r="C33" s="191">
        <f>Statement!AC144</f>
        <v>45.101495784048865</v>
      </c>
      <c r="E33" s="20" t="s">
        <v>294</v>
      </c>
      <c r="F33" s="197">
        <f>Statement!AC147</f>
        <v>2.1209291205537757</v>
      </c>
    </row>
    <row r="34" spans="2:6" x14ac:dyDescent="0.2">
      <c r="E34" s="20" t="s">
        <v>301</v>
      </c>
      <c r="F34" s="199" t="str">
        <f>Statement!AC149</f>
        <v>N/A</v>
      </c>
    </row>
    <row r="37" spans="2:6" x14ac:dyDescent="0.2">
      <c r="B37" s="254" t="s">
        <v>310</v>
      </c>
      <c r="C37" s="254"/>
      <c r="E37" s="254" t="s">
        <v>313</v>
      </c>
      <c r="F37" s="254"/>
    </row>
    <row r="38" spans="2:6" x14ac:dyDescent="0.2">
      <c r="B38" s="20" t="s">
        <v>308</v>
      </c>
      <c r="C38" s="192">
        <f ca="1">Statement!AC162</f>
        <v>4.9703264094955499E-2</v>
      </c>
      <c r="E38" s="20" t="s">
        <v>312</v>
      </c>
      <c r="F38" s="192">
        <f>Statement!AC168</f>
        <v>0</v>
      </c>
    </row>
    <row r="39" spans="2:6" x14ac:dyDescent="0.2">
      <c r="B39" s="54" t="s">
        <v>311</v>
      </c>
      <c r="C39" s="232">
        <f ca="1">Statement!AC161</f>
        <v>1.8156663082082525E-2</v>
      </c>
      <c r="E39" s="20" t="s">
        <v>314</v>
      </c>
      <c r="F39" s="192">
        <f>Statement!AC169</f>
        <v>2.0918863338941858</v>
      </c>
    </row>
    <row r="40" spans="2:6" x14ac:dyDescent="0.2">
      <c r="B40" s="20" t="s">
        <v>309</v>
      </c>
      <c r="C40" s="192">
        <f ca="1">Statement!AC163</f>
        <v>0</v>
      </c>
      <c r="E40" s="20" t="s">
        <v>315</v>
      </c>
      <c r="F40" s="192">
        <f>Statement!AC170</f>
        <v>2.0918863338941858</v>
      </c>
    </row>
    <row r="41" spans="2:6" x14ac:dyDescent="0.2">
      <c r="B41" s="20" t="s">
        <v>334</v>
      </c>
      <c r="C41" s="192">
        <f ca="1">Statement!AC164</f>
        <v>3.7981675370529523E-2</v>
      </c>
    </row>
    <row r="42" spans="2:6" x14ac:dyDescent="0.2">
      <c r="B42" s="20" t="s">
        <v>336</v>
      </c>
      <c r="C42" s="192">
        <f ca="1">Statement!AC165</f>
        <v>3.7981675370529523E-2</v>
      </c>
    </row>
    <row r="45" spans="2:6" x14ac:dyDescent="0.2">
      <c r="B45" s="254" t="s">
        <v>321</v>
      </c>
      <c r="C45" s="254"/>
      <c r="E45" s="254" t="s">
        <v>327</v>
      </c>
      <c r="F45" s="254"/>
    </row>
    <row r="46" spans="2:6" x14ac:dyDescent="0.2">
      <c r="B46" s="20" t="s">
        <v>319</v>
      </c>
      <c r="C46" s="192">
        <f>Statement!AC171</f>
        <v>0.2226990648503856</v>
      </c>
      <c r="E46" s="20" t="s">
        <v>320</v>
      </c>
      <c r="F46" s="191">
        <f>Statement!AC172</f>
        <v>2.6959777878408766</v>
      </c>
    </row>
    <row r="47" spans="2:6" x14ac:dyDescent="0.2">
      <c r="E47" s="20" t="s">
        <v>328</v>
      </c>
      <c r="F47" s="191">
        <f>Statement!AC175</f>
        <v>2.6959777878408766</v>
      </c>
    </row>
    <row r="48" spans="2:6" x14ac:dyDescent="0.2">
      <c r="E48" s="20" t="s">
        <v>333</v>
      </c>
      <c r="F48" s="192">
        <f ca="1">Statement!AC176</f>
        <v>0.1987175605012074</v>
      </c>
    </row>
    <row r="51" spans="2:6" x14ac:dyDescent="0.2">
      <c r="B51" s="254" t="s">
        <v>324</v>
      </c>
      <c r="C51" s="254"/>
      <c r="E51" s="254" t="s">
        <v>345</v>
      </c>
      <c r="F51" s="254"/>
    </row>
    <row r="52" spans="2:6" x14ac:dyDescent="0.2">
      <c r="B52" s="20" t="s">
        <v>322</v>
      </c>
      <c r="C52" s="192">
        <f>Statement!AC173</f>
        <v>0.62848898581632484</v>
      </c>
      <c r="E52" s="20" t="s">
        <v>346</v>
      </c>
      <c r="F52" s="192">
        <f>Statement!AC177</f>
        <v>5.9789941994051804E-3</v>
      </c>
    </row>
    <row r="53" spans="2:6" x14ac:dyDescent="0.2">
      <c r="B53" s="20" t="s">
        <v>323</v>
      </c>
      <c r="C53" s="192">
        <f>Statement!AC174</f>
        <v>0.1363163026815693</v>
      </c>
      <c r="E53" s="20" t="s">
        <v>343</v>
      </c>
      <c r="F53" s="192">
        <f>Statement!AC178</f>
        <v>2.7566269966724358E-2</v>
      </c>
    </row>
    <row r="54" spans="2:6" x14ac:dyDescent="0.2">
      <c r="E54" s="20" t="s">
        <v>344</v>
      </c>
      <c r="F54" s="192">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275</v>
      </c>
      <c r="C5" s="14"/>
      <c r="D5" s="14"/>
      <c r="E5" s="14"/>
      <c r="F5" s="14"/>
      <c r="G5" s="14"/>
      <c r="I5" s="14"/>
    </row>
    <row r="6" spans="2:9" x14ac:dyDescent="0.2">
      <c r="B6" s="20" t="s">
        <v>1</v>
      </c>
      <c r="C6" s="189">
        <f>Statement!M116</f>
        <v>33.43</v>
      </c>
      <c r="D6" s="189">
        <f>Statement!N116</f>
        <v>14.57</v>
      </c>
      <c r="E6" s="189">
        <f>Statement!O116</f>
        <v>23.85</v>
      </c>
      <c r="F6" s="189">
        <f>Statement!P116</f>
        <v>14.58</v>
      </c>
      <c r="G6" s="189">
        <f>Statement!Q116</f>
        <v>12.59</v>
      </c>
      <c r="I6" s="189">
        <f ca="1">Statement!AC116</f>
        <v>13.48</v>
      </c>
    </row>
    <row r="7" spans="2:9" x14ac:dyDescent="0.2">
      <c r="B7" s="20" t="s">
        <v>281</v>
      </c>
      <c r="C7" s="190">
        <f>Statement!M153</f>
        <v>18122001.84</v>
      </c>
      <c r="D7" s="190">
        <f>Statement!N153</f>
        <v>8121653.1100000003</v>
      </c>
      <c r="E7" s="190">
        <f>Statement!O153</f>
        <v>13570960.050000001</v>
      </c>
      <c r="F7" s="190">
        <f>Statement!P153</f>
        <v>8040767.9400000004</v>
      </c>
      <c r="G7" s="190">
        <f>Statement!Q153</f>
        <v>6680971.6299999999</v>
      </c>
      <c r="I7" s="190">
        <f ca="1">Statement!AC153</f>
        <v>7070462.2000000002</v>
      </c>
    </row>
    <row r="8" spans="2:9" x14ac:dyDescent="0.2">
      <c r="B8" s="20" t="s">
        <v>227</v>
      </c>
      <c r="C8" s="190">
        <f>Statement!M154</f>
        <v>16237338.84</v>
      </c>
      <c r="D8" s="190">
        <f>Statement!N154</f>
        <v>6361818.1100000003</v>
      </c>
      <c r="E8" s="190">
        <f>Statement!O154</f>
        <v>11691137.050000001</v>
      </c>
      <c r="F8" s="190">
        <f>Statement!P154</f>
        <v>6317136.9400000004</v>
      </c>
      <c r="G8" s="190">
        <f>Statement!Q154</f>
        <v>4991495.63</v>
      </c>
      <c r="I8" s="190">
        <f ca="1">Statement!AC154</f>
        <v>5665437.2000000002</v>
      </c>
    </row>
    <row r="9" spans="2:9" x14ac:dyDescent="0.2">
      <c r="B9" s="20" t="s">
        <v>279</v>
      </c>
      <c r="C9" s="191">
        <f>Statement!M150</f>
        <v>-28.818965517241381</v>
      </c>
      <c r="D9" s="191">
        <f>Statement!N150</f>
        <v>-24.283333333333335</v>
      </c>
      <c r="E9" s="191">
        <f>Statement!O150</f>
        <v>-149.0625</v>
      </c>
      <c r="F9" s="191">
        <f>Statement!P150</f>
        <v>-112.15384615384615</v>
      </c>
      <c r="G9" s="191">
        <f>Statement!Q150</f>
        <v>24.21153846153846</v>
      </c>
      <c r="I9" s="191">
        <f ca="1">Statement!AC150</f>
        <v>20.119402985074622</v>
      </c>
    </row>
    <row r="10" spans="2:9" x14ac:dyDescent="0.2">
      <c r="B10" s="20" t="s">
        <v>240</v>
      </c>
      <c r="C10" s="191">
        <f>Statement!M151</f>
        <v>17.03343197885799</v>
      </c>
      <c r="D10" s="191">
        <f>Statement!N151</f>
        <v>7.5428149003241138</v>
      </c>
      <c r="E10" s="191">
        <f>Statement!O151</f>
        <v>11.921699837623619</v>
      </c>
      <c r="F10" s="191">
        <f>Statement!P151</f>
        <v>5.7103089537122012</v>
      </c>
      <c r="G10" s="191">
        <f>Statement!Q151</f>
        <v>4.2592243004348767</v>
      </c>
      <c r="I10" s="191">
        <f ca="1">Statement!AC151</f>
        <v>4.1812852716493749</v>
      </c>
    </row>
    <row r="11" spans="2:9" x14ac:dyDescent="0.2">
      <c r="B11" s="20" t="s">
        <v>280</v>
      </c>
      <c r="C11" s="191">
        <f>Statement!M152</f>
        <v>9.4291282297830765</v>
      </c>
      <c r="D11" s="191">
        <f>Statement!N152</f>
        <v>4.2296795940750709</v>
      </c>
      <c r="E11" s="191">
        <f>Statement!O152</f>
        <v>6.731246372972957</v>
      </c>
      <c r="F11" s="191">
        <f>Statement!P152</f>
        <v>4.3563406007925183</v>
      </c>
      <c r="G11" s="191">
        <f>Statement!Q152</f>
        <v>3.1673000839820857</v>
      </c>
      <c r="I11" s="191">
        <f ca="1">Statement!AC152</f>
        <v>3.6053369298519771</v>
      </c>
    </row>
    <row r="12" spans="2:9" x14ac:dyDescent="0.2">
      <c r="B12" s="20" t="s">
        <v>302</v>
      </c>
      <c r="C12" s="191">
        <f>Statement!M155</f>
        <v>18.198153481303489</v>
      </c>
      <c r="D12" s="191">
        <f>Statement!N155</f>
        <v>6.0097603395488868</v>
      </c>
      <c r="E12" s="191">
        <f>Statement!O155</f>
        <v>8.9376861900568176</v>
      </c>
      <c r="F12" s="191">
        <f>Statement!P155</f>
        <v>4.4186165001007236</v>
      </c>
      <c r="G12" s="191">
        <f>Statement!Q155</f>
        <v>3.0992067600827533</v>
      </c>
      <c r="I12" s="191">
        <f ca="1">Statement!AC155</f>
        <v>3.292216557089545</v>
      </c>
    </row>
    <row r="13" spans="2:9" x14ac:dyDescent="0.2">
      <c r="B13" s="20" t="s">
        <v>243</v>
      </c>
      <c r="C13" s="191">
        <f>Statement!M156</f>
        <v>-32.413351618737352</v>
      </c>
      <c r="D13" s="191">
        <f>Statement!N156</f>
        <v>-18.266232087124553</v>
      </c>
      <c r="E13" s="191">
        <f>Statement!O156</f>
        <v>-70.97581987615348</v>
      </c>
      <c r="F13" s="191">
        <f>Statement!P156</f>
        <v>-38.858189076638233</v>
      </c>
      <c r="G13" s="191">
        <f>Statement!Q156</f>
        <v>87.94037403100775</v>
      </c>
      <c r="I13" s="191">
        <f ca="1">Statement!AC156</f>
        <v>37.04159060595758</v>
      </c>
    </row>
    <row r="15" spans="2:9" ht="17" thickBot="1" x14ac:dyDescent="0.25">
      <c r="B15" s="14" t="s">
        <v>78</v>
      </c>
      <c r="C15" s="14"/>
      <c r="D15" s="14"/>
      <c r="E15" s="14"/>
      <c r="F15" s="14"/>
      <c r="G15" s="14"/>
      <c r="I15" s="14"/>
    </row>
    <row r="16" spans="2:9" x14ac:dyDescent="0.2">
      <c r="B16" s="20" t="s">
        <v>79</v>
      </c>
      <c r="C16" s="192">
        <f>Statement!M101</f>
        <v>0.81073956684882742</v>
      </c>
      <c r="D16" s="192">
        <f>Statement!N101</f>
        <v>0.82991287393217905</v>
      </c>
      <c r="E16" s="192">
        <f>Statement!O101</f>
        <v>0.85021925398601916</v>
      </c>
      <c r="F16" s="192">
        <f>Statement!P101</f>
        <v>0.82727270183763457</v>
      </c>
      <c r="G16" s="192">
        <f>Statement!Q101</f>
        <v>0.83174673345867178</v>
      </c>
      <c r="I16" s="192">
        <f>Statement!AC101</f>
        <v>0.82551610882478388</v>
      </c>
    </row>
    <row r="17" spans="2:9" x14ac:dyDescent="0.2">
      <c r="B17" s="20" t="s">
        <v>80</v>
      </c>
      <c r="C17" s="192">
        <f>Statement!M102</f>
        <v>-0.56144004160259653</v>
      </c>
      <c r="D17" s="192">
        <f>Statement!N102</f>
        <v>-0.32900930585377974</v>
      </c>
      <c r="E17" s="192">
        <f>Statement!O102</f>
        <v>-0.12592579001767487</v>
      </c>
      <c r="F17" s="192">
        <f>Statement!P102</f>
        <v>-0.11371133357208407</v>
      </c>
      <c r="G17" s="192">
        <f>Statement!Q102</f>
        <v>3.5242137575966802E-2</v>
      </c>
      <c r="I17" s="192">
        <f>Statement!AC102</f>
        <v>8.8878919701683698E-2</v>
      </c>
    </row>
    <row r="18" spans="2:9" x14ac:dyDescent="0.2">
      <c r="B18" s="20" t="s">
        <v>81</v>
      </c>
      <c r="C18" s="192">
        <f>Statement!M103</f>
        <v>-0.58905555829519018</v>
      </c>
      <c r="D18" s="192">
        <f>Statement!N103</f>
        <v>-0.31018127096556619</v>
      </c>
      <c r="E18" s="192">
        <f>Statement!O103</f>
        <v>-6.8714107480322181E-2</v>
      </c>
      <c r="F18" s="192">
        <f>Statement!P103</f>
        <v>-5.1546377330617545E-2</v>
      </c>
      <c r="G18" s="192">
        <f>Statement!Q103</f>
        <v>0.17529796867199976</v>
      </c>
      <c r="I18" s="192">
        <f>Statement!AC103</f>
        <v>0.21031078682843093</v>
      </c>
    </row>
    <row r="20" spans="2:9" ht="17" thickBot="1" x14ac:dyDescent="0.25">
      <c r="B20" s="14" t="s">
        <v>288</v>
      </c>
      <c r="C20" s="14"/>
      <c r="D20" s="14"/>
      <c r="E20" s="14"/>
      <c r="F20" s="14"/>
      <c r="G20" s="14"/>
      <c r="I20" s="14"/>
    </row>
    <row r="21" spans="2:9" x14ac:dyDescent="0.2">
      <c r="B21" s="20" t="s">
        <v>32</v>
      </c>
      <c r="C21" s="194">
        <f>Statement!M18</f>
        <v>-525586</v>
      </c>
      <c r="D21" s="194">
        <f>Statement!N18</f>
        <v>-328352</v>
      </c>
      <c r="E21" s="194">
        <f>Statement!O18</f>
        <v>-89883</v>
      </c>
      <c r="F21" s="194">
        <f>Statement!P18</f>
        <v>-73694</v>
      </c>
      <c r="G21" s="194">
        <f>Statement!Q18</f>
        <v>282330</v>
      </c>
      <c r="I21" s="194">
        <f>Statement!AC18</f>
        <v>361915</v>
      </c>
    </row>
    <row r="22" spans="2:9" x14ac:dyDescent="0.2">
      <c r="B22" s="20" t="s">
        <v>289</v>
      </c>
      <c r="C22" s="194">
        <f>Statement!M59</f>
        <v>-54963</v>
      </c>
      <c r="D22" s="194">
        <f>Statement!N59</f>
        <v>-9981</v>
      </c>
      <c r="E22" s="194">
        <f>Statement!O59</f>
        <v>299082</v>
      </c>
      <c r="F22" s="194">
        <f>Statement!P59</f>
        <v>320565</v>
      </c>
      <c r="G22" s="194">
        <f>Statement!Q59</f>
        <v>371208</v>
      </c>
      <c r="I22" s="194">
        <f>Statement!AC59</f>
        <v>373246</v>
      </c>
    </row>
    <row r="23" spans="2:9" x14ac:dyDescent="0.2">
      <c r="B23" s="20" t="s">
        <v>296</v>
      </c>
      <c r="C23" s="212" t="str">
        <f>IF(OR(C21&lt;=0, C22&lt;=0),"N/A",C21-C22)</f>
        <v>N/A</v>
      </c>
      <c r="D23" s="212" t="str">
        <f t="shared" ref="D23:I23" si="0">IF(OR(D21&lt;=0, D22&lt;=0),"N/A",D21-D22)</f>
        <v>N/A</v>
      </c>
      <c r="E23" s="212" t="str">
        <f t="shared" si="0"/>
        <v>N/A</v>
      </c>
      <c r="F23" s="212" t="str">
        <f t="shared" si="0"/>
        <v>N/A</v>
      </c>
      <c r="G23" s="212">
        <f t="shared" si="0"/>
        <v>-88878</v>
      </c>
      <c r="I23" s="212">
        <f t="shared" si="0"/>
        <v>-11331</v>
      </c>
    </row>
    <row r="25" spans="2:9" ht="17" thickBot="1" x14ac:dyDescent="0.25">
      <c r="B25" s="14" t="s">
        <v>287</v>
      </c>
      <c r="C25" s="14"/>
      <c r="D25" s="14"/>
      <c r="E25" s="14"/>
      <c r="F25" s="14"/>
      <c r="G25" s="14"/>
      <c r="I25" s="14"/>
    </row>
    <row r="26" spans="2:9" x14ac:dyDescent="0.2">
      <c r="B26" s="20" t="s">
        <v>117</v>
      </c>
      <c r="C26" s="192">
        <f>Statement!M121</f>
        <v>-0.58905555829519018</v>
      </c>
      <c r="D26" s="192">
        <f>Statement!N121</f>
        <v>-0.31018127096556619</v>
      </c>
      <c r="E26" s="192">
        <f>Statement!O121</f>
        <v>-6.8714107480322181E-2</v>
      </c>
      <c r="F26" s="192">
        <f>Statement!P121</f>
        <v>-5.1546377330617545E-2</v>
      </c>
      <c r="G26" s="192">
        <f>Statement!Q121</f>
        <v>0.17529796867199976</v>
      </c>
      <c r="I26" s="192">
        <f>Statement!AC121</f>
        <v>0.21031078682843093</v>
      </c>
    </row>
    <row r="27" spans="2:9" x14ac:dyDescent="0.2">
      <c r="B27" s="20" t="s">
        <v>118</v>
      </c>
      <c r="C27" s="231">
        <f>Statement!M122</f>
        <v>0.346849112713561</v>
      </c>
      <c r="D27" s="231">
        <f>Statement!N122</f>
        <v>0.38702057541552631</v>
      </c>
      <c r="E27" s="231">
        <f>Statement!O122</f>
        <v>0.44270021436611728</v>
      </c>
      <c r="F27" s="231">
        <f>Statement!P122</f>
        <v>0.49896309946357587</v>
      </c>
      <c r="G27" s="231">
        <f>Statement!Q122</f>
        <v>0.50659662808253647</v>
      </c>
      <c r="I27" s="231">
        <f>Statement!AC122</f>
        <v>0.5918956911872495</v>
      </c>
    </row>
    <row r="28" spans="2:9" x14ac:dyDescent="0.2">
      <c r="B28" s="32" t="s">
        <v>119</v>
      </c>
      <c r="C28" s="193">
        <f>Statement!M123</f>
        <v>-0.20431339773367801</v>
      </c>
      <c r="D28" s="193">
        <f>Statement!N123</f>
        <v>-0.12004653397221271</v>
      </c>
      <c r="E28" s="193">
        <f>Statement!O123</f>
        <v>-3.0419750111515053E-2</v>
      </c>
      <c r="F28" s="193">
        <f>Statement!P123</f>
        <v>-2.5719740199003933E-2</v>
      </c>
      <c r="G28" s="193">
        <f>Statement!Q123</f>
        <v>8.8805359838953199E-2</v>
      </c>
      <c r="I28" s="193">
        <f>Statement!AC123</f>
        <v>0.12448204853394841</v>
      </c>
    </row>
    <row r="29" spans="2:9" x14ac:dyDescent="0.2">
      <c r="B29" s="20" t="s">
        <v>120</v>
      </c>
      <c r="C29" s="231">
        <f>Statement!M124</f>
        <v>1.3384813183920012</v>
      </c>
      <c r="D29" s="231">
        <f>Statement!N124</f>
        <v>1.4244692363857558</v>
      </c>
      <c r="E29" s="231">
        <f>Statement!O124</f>
        <v>1.4655708952965953</v>
      </c>
      <c r="F29" s="231">
        <f>Statement!P124</f>
        <v>1.5523507364438103</v>
      </c>
      <c r="G29" s="231">
        <f>Statement!Q124</f>
        <v>1.526562875884657</v>
      </c>
      <c r="I29" s="231">
        <f>Statement!AC124</f>
        <v>1.4920661558255339</v>
      </c>
    </row>
    <row r="30" spans="2:9" x14ac:dyDescent="0.2">
      <c r="B30" s="32" t="s">
        <v>121</v>
      </c>
      <c r="C30" s="193">
        <f>Statement!M125</f>
        <v>-0.27346966596372269</v>
      </c>
      <c r="D30" s="193">
        <f>Statement!N125</f>
        <v>-0.17100259457815453</v>
      </c>
      <c r="E30" s="193">
        <f>Statement!O125</f>
        <v>-4.4582300405631825E-2</v>
      </c>
      <c r="F30" s="193">
        <f>Statement!P125</f>
        <v>-3.9926057639067224E-2</v>
      </c>
      <c r="G30" s="193">
        <f>Statement!Q125</f>
        <v>0.13556696550972422</v>
      </c>
      <c r="I30" s="193">
        <f>Statement!AC125</f>
        <v>0.18573545162533595</v>
      </c>
    </row>
    <row r="32" spans="2:9" ht="17" thickBot="1" x14ac:dyDescent="0.25">
      <c r="B32" s="14" t="s">
        <v>347</v>
      </c>
      <c r="C32" s="14"/>
      <c r="D32" s="14"/>
      <c r="E32" s="14"/>
      <c r="F32" s="14"/>
      <c r="G32" s="14"/>
      <c r="I32" s="14"/>
    </row>
    <row r="33" spans="2:9" x14ac:dyDescent="0.2">
      <c r="B33" s="20" t="s">
        <v>119</v>
      </c>
      <c r="C33" s="192">
        <f>C28</f>
        <v>-0.20431339773367801</v>
      </c>
      <c r="D33" s="192">
        <f t="shared" ref="D33:G33" si="1">D28</f>
        <v>-0.12004653397221271</v>
      </c>
      <c r="E33" s="192">
        <f t="shared" si="1"/>
        <v>-3.0419750111515053E-2</v>
      </c>
      <c r="F33" s="192">
        <f t="shared" si="1"/>
        <v>-2.5719740199003933E-2</v>
      </c>
      <c r="G33" s="192">
        <f t="shared" si="1"/>
        <v>8.8805359838953199E-2</v>
      </c>
      <c r="I33" s="192">
        <f>I28</f>
        <v>0.12448204853394841</v>
      </c>
    </row>
    <row r="34" spans="2:9" x14ac:dyDescent="0.2">
      <c r="B34" s="20" t="s">
        <v>121</v>
      </c>
      <c r="C34" s="192">
        <f>C30</f>
        <v>-0.27346966596372269</v>
      </c>
      <c r="D34" s="192">
        <f t="shared" ref="D34:G34" si="2">D30</f>
        <v>-0.17100259457815453</v>
      </c>
      <c r="E34" s="192">
        <f t="shared" si="2"/>
        <v>-4.4582300405631825E-2</v>
      </c>
      <c r="F34" s="192">
        <f t="shared" si="2"/>
        <v>-3.9926057639067224E-2</v>
      </c>
      <c r="G34" s="192">
        <f t="shared" si="2"/>
        <v>0.13556696550972422</v>
      </c>
      <c r="I34" s="192">
        <f>I30</f>
        <v>0.18573545162533595</v>
      </c>
    </row>
    <row r="35" spans="2:9" x14ac:dyDescent="0.2">
      <c r="B35" s="20" t="s">
        <v>122</v>
      </c>
      <c r="C35" s="192">
        <f>Statement!M140</f>
        <v>-13.446770816556612</v>
      </c>
      <c r="D35" s="192">
        <f>Statement!N140</f>
        <v>-2.1723832513114152</v>
      </c>
      <c r="E35" s="192">
        <f>Statement!O140</f>
        <v>-1.2085904425090432</v>
      </c>
      <c r="F35" s="192">
        <f>Statement!P140</f>
        <v>-1.3311034872391121</v>
      </c>
      <c r="G35" s="192">
        <f>Statement!Q140</f>
        <v>0.14438669993971168</v>
      </c>
      <c r="I35" s="192">
        <f>Statement!AC140</f>
        <v>0.28139960185897273</v>
      </c>
    </row>
    <row r="37" spans="2:9" ht="17" thickBot="1" x14ac:dyDescent="0.25">
      <c r="B37" s="14" t="s">
        <v>292</v>
      </c>
      <c r="C37" s="14"/>
      <c r="D37" s="14"/>
      <c r="E37" s="14"/>
      <c r="F37" s="14"/>
      <c r="G37" s="14"/>
      <c r="I37" s="14"/>
    </row>
    <row r="38" spans="2:9" x14ac:dyDescent="0.2">
      <c r="B38" s="20" t="s">
        <v>178</v>
      </c>
      <c r="C38" s="191">
        <f>Statement!M141</f>
        <v>133.69421979440784</v>
      </c>
      <c r="D38" s="191">
        <f>Statement!N141</f>
        <v>152.91140215061483</v>
      </c>
      <c r="E38" s="191">
        <f>Statement!O141</f>
        <v>145.23661159324561</v>
      </c>
      <c r="F38" s="191">
        <f>Statement!P141</f>
        <v>137.8303503480538</v>
      </c>
      <c r="G38" s="191">
        <f>Statement!Q141</f>
        <v>131.6037563052133</v>
      </c>
      <c r="I38" s="191">
        <f>Statement!AC141</f>
        <v>65.13952923483518</v>
      </c>
    </row>
    <row r="39" spans="2:9" x14ac:dyDescent="0.2">
      <c r="B39" s="20" t="s">
        <v>179</v>
      </c>
      <c r="C39" s="191">
        <f>Statement!M142</f>
        <v>0</v>
      </c>
      <c r="D39" s="191">
        <f>Statement!N142</f>
        <v>0</v>
      </c>
      <c r="E39" s="191">
        <f>Statement!O142</f>
        <v>0</v>
      </c>
      <c r="F39" s="191">
        <f>Statement!P142</f>
        <v>0</v>
      </c>
      <c r="G39" s="191">
        <f>Statement!Q142</f>
        <v>0</v>
      </c>
      <c r="I39" s="191">
        <f>Statement!AC142</f>
        <v>0</v>
      </c>
    </row>
    <row r="40" spans="2:9" x14ac:dyDescent="0.2">
      <c r="B40" s="20" t="s">
        <v>180</v>
      </c>
      <c r="C40" s="191">
        <f>Statement!M143</f>
        <v>24.889114574697395</v>
      </c>
      <c r="D40" s="191">
        <f>Statement!N143</f>
        <v>18.023865460341792</v>
      </c>
      <c r="E40" s="191">
        <f>Statement!O143</f>
        <v>6.4216481901145333</v>
      </c>
      <c r="F40" s="191">
        <f>Statement!P143</f>
        <v>49.039734026613537</v>
      </c>
      <c r="G40" s="191">
        <f>Statement!Q143</f>
        <v>13.686287751306349</v>
      </c>
      <c r="I40" s="191">
        <f>Statement!AC143</f>
        <v>20.038033450786315</v>
      </c>
    </row>
    <row r="41" spans="2:9" x14ac:dyDescent="0.2">
      <c r="B41" s="20" t="s">
        <v>181</v>
      </c>
      <c r="C41" s="191">
        <f>Statement!M144</f>
        <v>108.80510521971044</v>
      </c>
      <c r="D41" s="191">
        <f>Statement!N144</f>
        <v>134.88753669027304</v>
      </c>
      <c r="E41" s="191">
        <f>Statement!O144</f>
        <v>138.81496340313109</v>
      </c>
      <c r="F41" s="191">
        <f>Statement!P144</f>
        <v>88.790616321440268</v>
      </c>
      <c r="G41" s="191">
        <f>Statement!Q144</f>
        <v>117.91746855390694</v>
      </c>
      <c r="I41" s="191">
        <f>Statement!AC144</f>
        <v>45.101495784048865</v>
      </c>
    </row>
    <row r="43" spans="2:9" ht="17" thickBot="1" x14ac:dyDescent="0.25">
      <c r="B43" s="14" t="s">
        <v>298</v>
      </c>
      <c r="C43" s="14"/>
      <c r="D43" s="14"/>
      <c r="E43" s="14"/>
      <c r="F43" s="14"/>
      <c r="G43" s="14"/>
      <c r="I43" s="14"/>
    </row>
    <row r="44" spans="2:9" x14ac:dyDescent="0.2">
      <c r="B44" s="20" t="s">
        <v>299</v>
      </c>
      <c r="C44" s="197">
        <f>Statement!M145</f>
        <v>0</v>
      </c>
      <c r="D44" s="197">
        <f>Statement!N145</f>
        <v>0</v>
      </c>
      <c r="E44" s="197">
        <f>Statement!O145</f>
        <v>0</v>
      </c>
      <c r="F44" s="197">
        <f>Statement!P145</f>
        <v>0</v>
      </c>
      <c r="G44" s="197">
        <f>Statement!Q145</f>
        <v>0</v>
      </c>
      <c r="I44" s="197">
        <f>Statement!AC145</f>
        <v>0</v>
      </c>
    </row>
    <row r="45" spans="2:9" x14ac:dyDescent="0.2">
      <c r="B45" s="20" t="s">
        <v>300</v>
      </c>
      <c r="C45" s="197">
        <f>Statement!M146</f>
        <v>-0.98061622848437269</v>
      </c>
      <c r="D45" s="197">
        <f>Statement!N146</f>
        <v>-0.91650530841732814</v>
      </c>
      <c r="E45" s="197">
        <f>Statement!O146</f>
        <v>-0.93239915996813671</v>
      </c>
      <c r="F45" s="197">
        <f>Statement!P146</f>
        <v>-0.93383166410403939</v>
      </c>
      <c r="G45" s="197">
        <f>Statement!Q146</f>
        <v>-0.81123909829457308</v>
      </c>
      <c r="I45" s="197">
        <f>Statement!AC146</f>
        <v>-0.72106144514564929</v>
      </c>
    </row>
    <row r="46" spans="2:9" x14ac:dyDescent="0.2">
      <c r="B46" s="20" t="s">
        <v>294</v>
      </c>
      <c r="C46" s="197">
        <f>Statement!M147</f>
        <v>4.192374990758311</v>
      </c>
      <c r="D46" s="197">
        <f>Statement!N147</f>
        <v>3.5171282077477604</v>
      </c>
      <c r="E46" s="197">
        <f>Statement!O147</f>
        <v>3.3726940484002186</v>
      </c>
      <c r="F46" s="197">
        <f>Statement!P147</f>
        <v>2.833196064687328</v>
      </c>
      <c r="G46" s="197">
        <f>Statement!Q147</f>
        <v>2.5073153653043936</v>
      </c>
      <c r="I46" s="197">
        <f>Statement!AC147</f>
        <v>2.1209291205537757</v>
      </c>
    </row>
    <row r="47" spans="2:9" x14ac:dyDescent="0.2">
      <c r="B47" s="20" t="s">
        <v>295</v>
      </c>
      <c r="C47" s="197">
        <f>Statement!M148</f>
        <v>4.3171501096680389</v>
      </c>
      <c r="D47" s="197">
        <f>Statement!N148</f>
        <v>3.7423569563190795</v>
      </c>
      <c r="E47" s="197">
        <f>Statement!O148</f>
        <v>3.6257476910625539</v>
      </c>
      <c r="F47" s="197">
        <f>Statement!P148</f>
        <v>2.9271504030441093</v>
      </c>
      <c r="G47" s="197">
        <f>Statement!Q148</f>
        <v>2.4783388537733191</v>
      </c>
      <c r="I47" s="197">
        <f>Statement!AC148</f>
        <v>2.386634756174606</v>
      </c>
    </row>
    <row r="48" spans="2:9" x14ac:dyDescent="0.2">
      <c r="B48" s="20" t="s">
        <v>301</v>
      </c>
      <c r="C48" s="199" t="str">
        <f>Statement!M149</f>
        <v>N/A</v>
      </c>
      <c r="D48" s="199" t="str">
        <f>Statement!N149</f>
        <v>N/A</v>
      </c>
      <c r="E48" s="199" t="str">
        <f>Statement!O149</f>
        <v>N/A</v>
      </c>
      <c r="F48" s="199" t="str">
        <f>Statement!P149</f>
        <v>N/A</v>
      </c>
      <c r="G48" s="199" t="str">
        <f>Statement!Q149</f>
        <v>N/A</v>
      </c>
      <c r="I48" s="199" t="str">
        <f>Statement!AC149</f>
        <v>N/A</v>
      </c>
    </row>
    <row r="50" spans="2:9" ht="17" thickBot="1" x14ac:dyDescent="0.25">
      <c r="B50" s="14" t="s">
        <v>310</v>
      </c>
      <c r="C50" s="14"/>
      <c r="D50" s="14"/>
      <c r="E50" s="14"/>
      <c r="F50" s="14"/>
      <c r="G50" s="14"/>
      <c r="I50" s="14"/>
    </row>
    <row r="51" spans="2:9" x14ac:dyDescent="0.2">
      <c r="B51" s="20" t="s">
        <v>308</v>
      </c>
      <c r="C51" s="192">
        <f>Statement!M162</f>
        <v>-3.4699371821717021E-2</v>
      </c>
      <c r="D51" s="192">
        <f>Statement!N162</f>
        <v>-4.1180507892930679E-2</v>
      </c>
      <c r="E51" s="192">
        <f>Statement!O162</f>
        <v>-6.7085953878406705E-3</v>
      </c>
      <c r="F51" s="192">
        <f>Statement!P162</f>
        <v>-8.9163237311385458E-3</v>
      </c>
      <c r="G51" s="192">
        <f>Statement!Q162</f>
        <v>4.1302621127879274E-2</v>
      </c>
      <c r="I51" s="192">
        <f ca="1">Statement!AC162</f>
        <v>4.9703264094955499E-2</v>
      </c>
    </row>
    <row r="52" spans="2:9" x14ac:dyDescent="0.2">
      <c r="B52" s="20" t="s">
        <v>311</v>
      </c>
      <c r="C52" s="192">
        <f>Statement!M161</f>
        <v>-3.2136350340421331E-2</v>
      </c>
      <c r="D52" s="192">
        <f>Statement!N161</f>
        <v>-4.9698749076467263E-2</v>
      </c>
      <c r="E52" s="192">
        <f>Statement!O161</f>
        <v>-5.9107830031523813E-3</v>
      </c>
      <c r="F52" s="192">
        <f>Statement!P161</f>
        <v>-6.5303464037043202E-3</v>
      </c>
      <c r="G52" s="192">
        <f>Statement!Q161</f>
        <v>9.2028530287292954E-3</v>
      </c>
      <c r="I52" s="192">
        <f ca="1">Statement!AC161</f>
        <v>1.8156663082082525E-2</v>
      </c>
    </row>
    <row r="53" spans="2:9" x14ac:dyDescent="0.2">
      <c r="B53" s="20" t="s">
        <v>309</v>
      </c>
      <c r="C53" s="192">
        <f>Statement!M163</f>
        <v>0</v>
      </c>
      <c r="D53" s="192">
        <f>Statement!N163</f>
        <v>0</v>
      </c>
      <c r="E53" s="192">
        <f>Statement!O163</f>
        <v>0</v>
      </c>
      <c r="F53" s="192">
        <f>Statement!P163</f>
        <v>0</v>
      </c>
      <c r="G53" s="192">
        <f>Statement!Q163</f>
        <v>0</v>
      </c>
      <c r="I53" s="192">
        <f ca="1">Statement!AC163</f>
        <v>0</v>
      </c>
    </row>
    <row r="54" spans="2:9" x14ac:dyDescent="0.2">
      <c r="B54" s="20" t="s">
        <v>334</v>
      </c>
      <c r="C54" s="192">
        <f>Statement!M164</f>
        <v>0</v>
      </c>
      <c r="D54" s="192">
        <f>Statement!N164</f>
        <v>0</v>
      </c>
      <c r="E54" s="192">
        <f>Statement!O164</f>
        <v>7.5613663014209515E-3</v>
      </c>
      <c r="F54" s="192">
        <f>Statement!P164</f>
        <v>4.8596228981581578E-2</v>
      </c>
      <c r="G54" s="192">
        <f>Statement!Q164</f>
        <v>4.9259451802222368E-2</v>
      </c>
      <c r="I54" s="192">
        <f ca="1">Statement!AC164</f>
        <v>3.7981675370529523E-2</v>
      </c>
    </row>
    <row r="55" spans="2:9" x14ac:dyDescent="0.2">
      <c r="B55" s="20" t="s">
        <v>336</v>
      </c>
      <c r="C55" s="192">
        <f>Statement!M165</f>
        <v>0</v>
      </c>
      <c r="D55" s="192">
        <f>Statement!N165</f>
        <v>0</v>
      </c>
      <c r="E55" s="192">
        <f>Statement!O165</f>
        <v>7.5613663014209515E-3</v>
      </c>
      <c r="F55" s="192">
        <f>Statement!P165</f>
        <v>4.8596228981581578E-2</v>
      </c>
      <c r="G55" s="192">
        <f>Statement!Q165</f>
        <v>4.9259451802222368E-2</v>
      </c>
      <c r="I55" s="192">
        <f ca="1">Statement!AC165</f>
        <v>3.7981675370529523E-2</v>
      </c>
    </row>
    <row r="57" spans="2:9" ht="17" thickBot="1" x14ac:dyDescent="0.25">
      <c r="B57" s="14" t="s">
        <v>313</v>
      </c>
      <c r="C57" s="14"/>
      <c r="D57" s="14"/>
      <c r="E57" s="14"/>
      <c r="F57" s="14"/>
      <c r="G57" s="14"/>
      <c r="I57" s="14"/>
    </row>
    <row r="58" spans="2:9" x14ac:dyDescent="0.2">
      <c r="B58" s="20" t="s">
        <v>312</v>
      </c>
      <c r="C58" s="192">
        <f>Statement!M168</f>
        <v>0</v>
      </c>
      <c r="D58" s="192">
        <f>Statement!N168</f>
        <v>0</v>
      </c>
      <c r="E58" s="192">
        <f>Statement!O168</f>
        <v>0</v>
      </c>
      <c r="F58" s="192">
        <f>Statement!P168</f>
        <v>0</v>
      </c>
      <c r="G58" s="192">
        <f>Statement!Q168</f>
        <v>0</v>
      </c>
      <c r="I58" s="192">
        <f>Statement!AC168</f>
        <v>0</v>
      </c>
    </row>
    <row r="59" spans="2:9" x14ac:dyDescent="0.2">
      <c r="B59" s="20" t="s">
        <v>314</v>
      </c>
      <c r="C59" s="192">
        <f>Statement!M169</f>
        <v>0</v>
      </c>
      <c r="D59" s="192">
        <f>Statement!N169</f>
        <v>0</v>
      </c>
      <c r="E59" s="192">
        <f>Statement!O169</f>
        <v>-1.2792495169232687</v>
      </c>
      <c r="F59" s="192">
        <f>Statement!P169</f>
        <v>-7.44160048753547</v>
      </c>
      <c r="G59" s="192">
        <f>Statement!Q169</f>
        <v>5.3526283260685705</v>
      </c>
      <c r="I59" s="192">
        <f>Statement!AC169</f>
        <v>2.0918863338941858</v>
      </c>
    </row>
    <row r="60" spans="2:9" x14ac:dyDescent="0.2">
      <c r="B60" s="20" t="s">
        <v>315</v>
      </c>
      <c r="C60" s="192">
        <f>Statement!M170</f>
        <v>0</v>
      </c>
      <c r="D60" s="192">
        <f>Statement!N170</f>
        <v>0</v>
      </c>
      <c r="E60" s="192">
        <f>Statement!O170</f>
        <v>-1.2792495169232687</v>
      </c>
      <c r="F60" s="192">
        <f>Statement!P170</f>
        <v>-7.44160048753547</v>
      </c>
      <c r="G60" s="192">
        <f>Statement!Q170</f>
        <v>5.3526283260685705</v>
      </c>
      <c r="I60" s="192">
        <f>Statement!AC170</f>
        <v>2.0918863338941858</v>
      </c>
    </row>
    <row r="62" spans="2:9" ht="17" thickBot="1" x14ac:dyDescent="0.25">
      <c r="B62" s="14" t="s">
        <v>321</v>
      </c>
      <c r="C62" s="14"/>
      <c r="D62" s="14"/>
      <c r="E62" s="14"/>
      <c r="F62" s="14"/>
      <c r="G62" s="14"/>
      <c r="I62" s="14"/>
    </row>
    <row r="63" spans="2:9" x14ac:dyDescent="0.2">
      <c r="B63" s="20" t="s">
        <v>319</v>
      </c>
      <c r="C63" s="192">
        <f>Statement!M171</f>
        <v>0.32041292188722126</v>
      </c>
      <c r="D63" s="192">
        <f>Statement!N171</f>
        <v>0.31207180184527727</v>
      </c>
      <c r="E63" s="192">
        <f>Statement!O171</f>
        <v>0.22510733498180183</v>
      </c>
      <c r="F63" s="192">
        <f>Statement!P171</f>
        <v>0.22494029842627195</v>
      </c>
      <c r="G63" s="192">
        <f>Statement!Q171</f>
        <v>0.22012147206199109</v>
      </c>
      <c r="I63" s="192">
        <f>Statement!AC171</f>
        <v>0.2226990648503856</v>
      </c>
    </row>
    <row r="65" spans="2:9" ht="17" thickBot="1" x14ac:dyDescent="0.25">
      <c r="B65" s="14" t="s">
        <v>327</v>
      </c>
      <c r="C65" s="14"/>
      <c r="D65" s="14"/>
      <c r="E65" s="14"/>
      <c r="F65" s="14"/>
      <c r="G65" s="14"/>
      <c r="I65" s="14"/>
    </row>
    <row r="66" spans="2:9" x14ac:dyDescent="0.2">
      <c r="B66" s="20" t="s">
        <v>320</v>
      </c>
      <c r="C66" s="191">
        <f>Statement!M172</f>
        <v>3.4766735290211184</v>
      </c>
      <c r="D66" s="191">
        <f>Statement!N172</f>
        <v>3.157090755135687</v>
      </c>
      <c r="E66" s="191">
        <f>Statement!O172</f>
        <v>3.3036556282545391</v>
      </c>
      <c r="F66" s="191">
        <f>Statement!P172</f>
        <v>3.125390530795495</v>
      </c>
      <c r="G66" s="191">
        <f>Statement!Q172</f>
        <v>3.224670847950649</v>
      </c>
      <c r="I66" s="191">
        <f>Statement!AC172</f>
        <v>2.6959777878408766</v>
      </c>
    </row>
    <row r="67" spans="2:9" x14ac:dyDescent="0.2">
      <c r="B67" s="20" t="s">
        <v>328</v>
      </c>
      <c r="C67" s="191">
        <f>Statement!M175</f>
        <v>3.4766735290211184</v>
      </c>
      <c r="D67" s="191">
        <f>Statement!N175</f>
        <v>3.157090755135687</v>
      </c>
      <c r="E67" s="191">
        <f>Statement!O175</f>
        <v>3.3036556282545391</v>
      </c>
      <c r="F67" s="191">
        <f>Statement!P175</f>
        <v>3.125390530795495</v>
      </c>
      <c r="G67" s="191">
        <f>Statement!Q175</f>
        <v>3.224670847950649</v>
      </c>
      <c r="I67" s="191">
        <f>Statement!AC175</f>
        <v>2.6959777878408766</v>
      </c>
    </row>
    <row r="68" spans="2:9" x14ac:dyDescent="0.2">
      <c r="B68" s="20" t="s">
        <v>333</v>
      </c>
      <c r="C68" s="213">
        <f>Statement!M176</f>
        <v>0.10399860990191799</v>
      </c>
      <c r="D68" s="213">
        <f>Statement!N176</f>
        <v>0.21668433460093939</v>
      </c>
      <c r="E68" s="213">
        <f>Statement!O176</f>
        <v>0.1385180556920142</v>
      </c>
      <c r="F68" s="213">
        <f>Statement!P176</f>
        <v>0.21436149045236591</v>
      </c>
      <c r="G68" s="213">
        <f>Statement!Q176</f>
        <v>0.25287878673419845</v>
      </c>
      <c r="I68" s="213">
        <f ca="1">Statement!AC176</f>
        <v>0.1987175605012074</v>
      </c>
    </row>
    <row r="70" spans="2:9" ht="17" thickBot="1" x14ac:dyDescent="0.25">
      <c r="B70" s="14" t="s">
        <v>348</v>
      </c>
      <c r="C70" s="14"/>
      <c r="D70" s="14"/>
      <c r="E70" s="14"/>
      <c r="F70" s="14"/>
      <c r="G70" s="14"/>
      <c r="I70" s="14"/>
    </row>
    <row r="71" spans="2:9" x14ac:dyDescent="0.2">
      <c r="B71" s="20" t="s">
        <v>322</v>
      </c>
      <c r="C71" s="192">
        <f>Statement!M173</f>
        <v>-9.3805469133780903</v>
      </c>
      <c r="D71" s="192">
        <f>Statement!N173</f>
        <v>-37.054403366396151</v>
      </c>
      <c r="E71" s="192">
        <f>Statement!O173</f>
        <v>1.243655586093446</v>
      </c>
      <c r="F71" s="192">
        <f>Statement!P173</f>
        <v>1.1172492318250589</v>
      </c>
      <c r="G71" s="192">
        <f>Statement!Q173</f>
        <v>0.78305424452059225</v>
      </c>
      <c r="I71" s="192">
        <f>Statement!AC173</f>
        <v>0.62848898581632484</v>
      </c>
    </row>
    <row r="72" spans="2:9" x14ac:dyDescent="0.2">
      <c r="B72" s="20" t="s">
        <v>323</v>
      </c>
      <c r="C72" s="192">
        <f>Statement!M174</f>
        <v>0.57784459995606618</v>
      </c>
      <c r="D72" s="192">
        <f>Statement!N174</f>
        <v>0.3493733592422309</v>
      </c>
      <c r="E72" s="192">
        <f>Statement!O174</f>
        <v>0.28435361356255617</v>
      </c>
      <c r="F72" s="192">
        <f>Statement!P174</f>
        <v>0.25051410681111086</v>
      </c>
      <c r="G72" s="192">
        <f>Statement!Q174</f>
        <v>0.18047997854178516</v>
      </c>
      <c r="I72" s="192">
        <f>Statement!AC174</f>
        <v>0.1363163026815693</v>
      </c>
    </row>
    <row r="74" spans="2:9" ht="17" thickBot="1" x14ac:dyDescent="0.25">
      <c r="B74" s="14" t="s">
        <v>349</v>
      </c>
      <c r="C74" s="14"/>
      <c r="D74" s="14"/>
      <c r="E74" s="14"/>
      <c r="F74" s="14"/>
      <c r="G74" s="14"/>
      <c r="I74" s="14"/>
    </row>
    <row r="75" spans="2:9" x14ac:dyDescent="0.2">
      <c r="B75" s="20" t="s">
        <v>346</v>
      </c>
      <c r="C75" s="192">
        <f>Statement!M177</f>
        <v>1.325746537973577E-2</v>
      </c>
      <c r="D75" s="192">
        <f>Statement!N177</f>
        <v>2.2497097529617479E-2</v>
      </c>
      <c r="E75" s="192">
        <f>Statement!O177</f>
        <v>5.6128408833764501E-3</v>
      </c>
      <c r="F75" s="192">
        <f>Statement!P177</f>
        <v>1.0438116928173332E-2</v>
      </c>
      <c r="G75" s="192">
        <f>Statement!Q177</f>
        <v>1.1826854061786744E-2</v>
      </c>
      <c r="I75" s="192">
        <f>Statement!AC177</f>
        <v>5.9789941994051804E-3</v>
      </c>
    </row>
    <row r="76" spans="2:9" x14ac:dyDescent="0.2">
      <c r="B76" s="20" t="s">
        <v>343</v>
      </c>
      <c r="C76" s="192">
        <f>Statement!M178</f>
        <v>-0.21521750996124667</v>
      </c>
      <c r="D76" s="192">
        <f>Statement!N178</f>
        <v>-2.3860334635808034</v>
      </c>
      <c r="E76" s="192">
        <f>Statement!O178</f>
        <v>2.4548451595214689E-2</v>
      </c>
      <c r="F76" s="192">
        <f>Statement!P178</f>
        <v>4.6552181304883568E-2</v>
      </c>
      <c r="G76" s="192">
        <f>Statement!Q178</f>
        <v>5.1313549276955236E-2</v>
      </c>
      <c r="I76" s="192">
        <f>Statement!AC178</f>
        <v>2.7566269966724358E-2</v>
      </c>
    </row>
    <row r="77" spans="2:9" x14ac:dyDescent="0.2">
      <c r="B77" s="20" t="s">
        <v>344</v>
      </c>
      <c r="C77" s="192">
        <f>Statement!M179</f>
        <v>0.80442026521591292</v>
      </c>
      <c r="D77" s="192">
        <f>Statement!N179</f>
        <v>1.2719649628798804</v>
      </c>
      <c r="E77" s="192">
        <f>Statement!O179</f>
        <v>0.32491038633446917</v>
      </c>
      <c r="F77" s="192">
        <f>Statement!P179</f>
        <v>0.86600510677808729</v>
      </c>
      <c r="G77" s="192">
        <f>Statement!Q179</f>
        <v>1.1225175319700631</v>
      </c>
      <c r="I77" s="192">
        <f>Statement!AC179</f>
        <v>0.39573076923076922</v>
      </c>
    </row>
    <row r="79" spans="2:9" ht="17" thickBot="1" x14ac:dyDescent="0.25">
      <c r="B79" s="14" t="s">
        <v>144</v>
      </c>
      <c r="C79" s="14"/>
      <c r="D79" s="14"/>
      <c r="E79" s="14"/>
      <c r="F79" s="14"/>
      <c r="G79" s="14"/>
      <c r="I79" s="14"/>
    </row>
    <row r="80" spans="2:9" x14ac:dyDescent="0.2">
      <c r="B80" s="20" t="s">
        <v>20</v>
      </c>
      <c r="C80" s="192">
        <f>Statement!M89</f>
        <v>1</v>
      </c>
      <c r="D80" s="192">
        <f>Statement!N89</f>
        <v>0.18641482451146088</v>
      </c>
      <c r="E80" s="192">
        <f>Statement!O89</f>
        <v>0.23568437370404344</v>
      </c>
      <c r="F80" s="192">
        <f>Statement!P89</f>
        <v>9.2955127852289474E-2</v>
      </c>
      <c r="G80" s="192">
        <f>Statement!Q89</f>
        <v>0.12653882310808692</v>
      </c>
      <c r="I80" s="214"/>
    </row>
    <row r="81" spans="2:9" x14ac:dyDescent="0.2">
      <c r="B81" s="20" t="s">
        <v>21</v>
      </c>
      <c r="C81" s="192">
        <f>Statement!M90</f>
        <v>1</v>
      </c>
      <c r="D81" s="192">
        <f>Statement!N90</f>
        <v>6.6223322358291689E-2</v>
      </c>
      <c r="E81" s="192">
        <f>Statement!O90</f>
        <v>8.8158355132712404E-2</v>
      </c>
      <c r="F81" s="192">
        <f>Statement!P90</f>
        <v>0.26039688858945303</v>
      </c>
      <c r="G81" s="192">
        <f>Statement!Q90</f>
        <v>9.7358893991301598E-2</v>
      </c>
      <c r="I81" s="214"/>
    </row>
    <row r="82" spans="2:9" x14ac:dyDescent="0.2">
      <c r="B82" s="20" t="s">
        <v>22</v>
      </c>
      <c r="C82" s="192">
        <f>Statement!M91</f>
        <v>1</v>
      </c>
      <c r="D82" s="192">
        <f>Statement!N91</f>
        <v>0.21447253464273469</v>
      </c>
      <c r="E82" s="192">
        <f>Statement!O91</f>
        <v>0.26591920594629664</v>
      </c>
      <c r="F82" s="192">
        <f>Statement!P91</f>
        <v>6.3457381571517466E-2</v>
      </c>
      <c r="G82" s="192">
        <f>Statement!Q91</f>
        <v>0.13263133686529885</v>
      </c>
      <c r="I82" s="214"/>
    </row>
    <row r="83" spans="2:9" x14ac:dyDescent="0.2">
      <c r="B83" s="20" t="s">
        <v>26</v>
      </c>
      <c r="C83" s="192">
        <f>Statement!M95</f>
        <v>1</v>
      </c>
      <c r="D83" s="192">
        <f>Statement!N95</f>
        <v>2.0280479935964979E-3</v>
      </c>
      <c r="E83" s="192">
        <f>Statement!O95</f>
        <v>4.080083924770931E-2</v>
      </c>
      <c r="F83" s="192">
        <f>Statement!P95</f>
        <v>5.3586588433573397E-2</v>
      </c>
      <c r="G83" s="192">
        <f>Statement!Q95</f>
        <v>-4.6430846560335276E-2</v>
      </c>
      <c r="I83" s="214"/>
    </row>
    <row r="84" spans="2:9" x14ac:dyDescent="0.2">
      <c r="B84" s="20" t="s">
        <v>350</v>
      </c>
      <c r="C84" s="192">
        <f>Statement!M96</f>
        <v>-1</v>
      </c>
      <c r="D84" s="192">
        <f>Statement!N96</f>
        <v>0.3047494141085067</v>
      </c>
      <c r="E84" s="192">
        <f>Statement!O96</f>
        <v>0.52705127726590162</v>
      </c>
      <c r="F84" s="192">
        <f>Statement!P96</f>
        <v>1.3058523555123847E-2</v>
      </c>
      <c r="G84" s="192">
        <f>Statement!Q96</f>
        <v>1.3491440557547871</v>
      </c>
      <c r="I84" s="214"/>
    </row>
    <row r="85" spans="2:9" x14ac:dyDescent="0.2">
      <c r="B85" s="20" t="s">
        <v>351</v>
      </c>
      <c r="C85" s="192">
        <f>Statement!M98</f>
        <v>-1</v>
      </c>
      <c r="D85" s="192">
        <f>Statement!N98</f>
        <v>0.37526494236908897</v>
      </c>
      <c r="E85" s="192">
        <f>Statement!O98</f>
        <v>0.72626023292076791</v>
      </c>
      <c r="F85" s="192">
        <f>Statement!P98</f>
        <v>0.18011192327803924</v>
      </c>
      <c r="G85" s="192">
        <f>Statement!Q98</f>
        <v>4.8311124379189625</v>
      </c>
      <c r="I85" s="214"/>
    </row>
    <row r="88" spans="2:9" ht="17" thickBot="1" x14ac:dyDescent="0.25">
      <c r="B88" s="14" t="s">
        <v>352</v>
      </c>
      <c r="C88" s="14"/>
      <c r="D88" s="14"/>
      <c r="E88" s="14"/>
      <c r="F88" s="14"/>
      <c r="G88" s="14"/>
      <c r="I88" s="14"/>
    </row>
    <row r="89" spans="2:9" x14ac:dyDescent="0.2">
      <c r="B89" s="20" t="s">
        <v>353</v>
      </c>
      <c r="C89" s="192">
        <f>Statement!M197</f>
        <v>1</v>
      </c>
      <c r="D89" s="192">
        <f>Statement!N197</f>
        <v>3.4084087514825716E-2</v>
      </c>
      <c r="E89" s="192">
        <f>Statement!O197</f>
        <v>0.24818614965570993</v>
      </c>
      <c r="F89" s="192">
        <f>Statement!P197</f>
        <v>-5.5102093364575021E-2</v>
      </c>
      <c r="G89" s="192">
        <f>Statement!Q197</f>
        <v>3.2771752459329104E-2</v>
      </c>
      <c r="I89" s="214"/>
    </row>
    <row r="90" spans="2:9" x14ac:dyDescent="0.2">
      <c r="B90" s="20" t="s">
        <v>354</v>
      </c>
      <c r="C90" s="192">
        <f>Statement!M198</f>
        <v>1</v>
      </c>
      <c r="D90" s="192">
        <f>Statement!N198</f>
        <v>0.37569180272908909</v>
      </c>
      <c r="E90" s="192">
        <f>Statement!O198</f>
        <v>0.27729682030883041</v>
      </c>
      <c r="F90" s="192">
        <f>Statement!P198</f>
        <v>0.23392027917368038</v>
      </c>
      <c r="G90" s="192">
        <f>Statement!Q198</f>
        <v>0.19019336689332336</v>
      </c>
      <c r="I90" s="214"/>
    </row>
    <row r="91" spans="2:9" x14ac:dyDescent="0.2">
      <c r="B91" s="20" t="s">
        <v>355</v>
      </c>
      <c r="C91" s="192">
        <f>Statement!M199</f>
        <v>1</v>
      </c>
      <c r="D91" s="192">
        <f>Statement!N199</f>
        <v>0.26768885199472631</v>
      </c>
      <c r="E91" s="192">
        <f>Statement!O199</f>
        <v>-0.29197642617772812</v>
      </c>
      <c r="F91" s="192">
        <f>Statement!P199</f>
        <v>0.10317719384146673</v>
      </c>
      <c r="G91" s="192">
        <f>Statement!Q199</f>
        <v>0.22564418690666996</v>
      </c>
      <c r="I91" s="214"/>
    </row>
    <row r="93" spans="2:9" ht="17" thickBot="1" x14ac:dyDescent="0.25">
      <c r="B93" s="14" t="s">
        <v>357</v>
      </c>
      <c r="C93" s="14"/>
      <c r="D93" s="14"/>
      <c r="E93" s="14"/>
      <c r="F93" s="14"/>
      <c r="G93" s="14"/>
      <c r="I93" s="14"/>
    </row>
    <row r="94" spans="2:9" x14ac:dyDescent="0.2">
      <c r="B94" s="20" t="s">
        <v>326</v>
      </c>
      <c r="C94" s="192">
        <f>Statement!M203</f>
        <v>0</v>
      </c>
      <c r="D94" s="192">
        <f>Statement!N203</f>
        <v>0</v>
      </c>
      <c r="E94" s="192">
        <f>Statement!O203</f>
        <v>0</v>
      </c>
      <c r="F94" s="192">
        <f>Statement!P203</f>
        <v>0</v>
      </c>
      <c r="G94" s="192">
        <f>Statement!Q203</f>
        <v>0</v>
      </c>
      <c r="I94" s="2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5" t="s">
        <v>358</v>
      </c>
      <c r="D3" s="256"/>
      <c r="F3" s="257" t="s">
        <v>359</v>
      </c>
      <c r="G3" s="256"/>
    </row>
    <row r="4" spans="2:7" x14ac:dyDescent="0.2">
      <c r="B4" s="8"/>
      <c r="C4" s="10" t="str">
        <f>Statement!Z2</f>
        <v>30.04.2026</v>
      </c>
      <c r="D4" s="220" t="str">
        <f>Statement!AA2</f>
        <v>31.07.2026</v>
      </c>
      <c r="F4" s="221" t="str">
        <f>Statement!W2</f>
        <v>31.07.2025</v>
      </c>
      <c r="G4" s="220" t="str">
        <f>Statement!AA2</f>
        <v>31.07.2026</v>
      </c>
    </row>
    <row r="5" spans="2:7" x14ac:dyDescent="0.2">
      <c r="B5" s="8" t="s">
        <v>364</v>
      </c>
      <c r="C5" s="10" t="str">
        <f>Statement!Z3</f>
        <v>Q1 2027</v>
      </c>
      <c r="D5" s="220" t="str">
        <f>Statement!AA3</f>
        <v>Q2 2027</v>
      </c>
      <c r="F5" s="221" t="str">
        <f>Statement!W3</f>
        <v>Q2 2026</v>
      </c>
      <c r="G5" s="220" t="str">
        <f>Statement!AA3</f>
        <v>Q2 2027</v>
      </c>
    </row>
    <row r="6" spans="2:7" x14ac:dyDescent="0.2">
      <c r="B6" s="222" t="s">
        <v>20</v>
      </c>
      <c r="C6" s="216">
        <f>Statement!Z5</f>
        <v>418382</v>
      </c>
      <c r="D6" s="215">
        <f>Statement!AA5</f>
        <v>410256</v>
      </c>
      <c r="F6" s="216">
        <f>Statement!W5</f>
        <v>361728</v>
      </c>
      <c r="G6" s="215">
        <f>Statement!AA5</f>
        <v>410256</v>
      </c>
    </row>
    <row r="7" spans="2:7" x14ac:dyDescent="0.2">
      <c r="B7" s="223" t="s">
        <v>360</v>
      </c>
      <c r="C7" s="258">
        <f>Statement!AA89</f>
        <v>-1.94224416920422E-2</v>
      </c>
      <c r="D7" s="259"/>
      <c r="F7" s="258">
        <f>IF(F6=0,
IF(G6=0,0,IF(G6&gt;0,1,-1)),
(G6-F6)/ABS(F6)
)</f>
        <v>0.13415605095541402</v>
      </c>
      <c r="G7" s="259"/>
    </row>
    <row r="8" spans="2:7" x14ac:dyDescent="0.2">
      <c r="B8" s="224" t="s">
        <v>21</v>
      </c>
      <c r="C8" s="217">
        <f>Statement!Z6</f>
        <v>76928</v>
      </c>
      <c r="D8" s="215">
        <f>Statement!AA6</f>
        <v>80587</v>
      </c>
      <c r="F8" s="217">
        <f>Statement!W6</f>
        <v>64380</v>
      </c>
      <c r="G8" s="215">
        <f>Statement!AA6</f>
        <v>80587</v>
      </c>
    </row>
    <row r="9" spans="2:7" x14ac:dyDescent="0.2">
      <c r="B9" s="223" t="s">
        <v>360</v>
      </c>
      <c r="C9" s="258">
        <f>Statement!AA90</f>
        <v>4.7563955906821963E-2</v>
      </c>
      <c r="D9" s="259"/>
      <c r="F9" s="258">
        <f>IF(F8=0,
IF(G8=0,0,IF(G8&gt;0,1,-1)),
(G8-F8)/ABS(F8)
)</f>
        <v>0.25173967070518793</v>
      </c>
      <c r="G9" s="259"/>
    </row>
    <row r="10" spans="2:7" x14ac:dyDescent="0.2">
      <c r="B10" s="224" t="s">
        <v>22</v>
      </c>
      <c r="C10" s="217">
        <f>Statement!Z7</f>
        <v>341454</v>
      </c>
      <c r="D10" s="215">
        <f>Statement!AA7</f>
        <v>329669</v>
      </c>
      <c r="F10" s="217">
        <f>Statement!W7</f>
        <v>297348</v>
      </c>
      <c r="G10" s="215">
        <f>Statement!AA7</f>
        <v>329669</v>
      </c>
    </row>
    <row r="11" spans="2:7" x14ac:dyDescent="0.2">
      <c r="B11" s="223" t="s">
        <v>360</v>
      </c>
      <c r="C11" s="258">
        <f>Statement!AA91</f>
        <v>-3.4514165890573843E-2</v>
      </c>
      <c r="D11" s="259"/>
      <c r="F11" s="258">
        <f>IF(F10=0,
IF(G10=0,0,IF(G10&gt;0,1,-1)),
(G10-F10)/ABS(F10)
)</f>
        <v>0.10869755303550049</v>
      </c>
      <c r="G11" s="259"/>
    </row>
    <row r="12" spans="2:7" x14ac:dyDescent="0.2">
      <c r="B12" s="224" t="s">
        <v>26</v>
      </c>
      <c r="C12" s="217">
        <f>Statement!Z11</f>
        <v>313467</v>
      </c>
      <c r="D12" s="215">
        <f>Statement!AA11</f>
        <v>298065</v>
      </c>
      <c r="F12" s="217">
        <f>Statement!W11</f>
        <v>317533</v>
      </c>
      <c r="G12" s="215">
        <f>Statement!AA11</f>
        <v>298065</v>
      </c>
    </row>
    <row r="13" spans="2:7" x14ac:dyDescent="0.2">
      <c r="B13" s="223" t="s">
        <v>360</v>
      </c>
      <c r="C13" s="258">
        <f>Statement!AA95</f>
        <v>-4.9134358640622461E-2</v>
      </c>
      <c r="D13" s="259"/>
      <c r="F13" s="258">
        <f>IF(F12=0,
IF(G12=0,0,IF(G12&gt;0,1,-1)),
(G12-F12)/ABS(F12)
)</f>
        <v>-6.1310163038172411E-2</v>
      </c>
      <c r="G13" s="259"/>
    </row>
    <row r="14" spans="2:7" x14ac:dyDescent="0.2">
      <c r="B14" s="224" t="s">
        <v>361</v>
      </c>
      <c r="C14" s="217">
        <f>Statement!Z12</f>
        <v>27987</v>
      </c>
      <c r="D14" s="215">
        <f>Statement!AA12</f>
        <v>31604</v>
      </c>
      <c r="F14" s="217">
        <f>Statement!W12</f>
        <v>-20185</v>
      </c>
      <c r="G14" s="215">
        <f>Statement!AA12</f>
        <v>31604</v>
      </c>
    </row>
    <row r="15" spans="2:7" x14ac:dyDescent="0.2">
      <c r="B15" s="223" t="s">
        <v>360</v>
      </c>
      <c r="C15" s="258">
        <f>Statement!AA96</f>
        <v>0.12923857505270303</v>
      </c>
      <c r="D15" s="259"/>
      <c r="F15" s="258">
        <f>IF(F14=0,
IF(G14=0,0,IF(G14&gt;0,1,-1)),
(G14-F14)/ABS(F14)
)</f>
        <v>2.5657171166707951</v>
      </c>
      <c r="G15" s="259"/>
    </row>
    <row r="16" spans="2:7" x14ac:dyDescent="0.2">
      <c r="B16" s="224" t="s">
        <v>32</v>
      </c>
      <c r="C16" s="217">
        <f>Statement!Z18</f>
        <v>22525</v>
      </c>
      <c r="D16" s="215">
        <f>Statement!AA18</f>
        <v>36089</v>
      </c>
      <c r="F16" s="217">
        <f>Statement!W18</f>
        <v>1584</v>
      </c>
      <c r="G16" s="215">
        <f>Statement!AA18</f>
        <v>36089</v>
      </c>
    </row>
    <row r="17" spans="2:7" x14ac:dyDescent="0.2">
      <c r="B17" s="223" t="s">
        <v>360</v>
      </c>
      <c r="C17" s="258">
        <f>Statement!AA98</f>
        <v>0.60217536071032185</v>
      </c>
      <c r="D17" s="259"/>
      <c r="F17" s="258">
        <f>IF(F16=0,
IF(G16=0,0,IF(G16&gt;0,1,-1)),
(G16-F16)/ABS(F16)
)</f>
        <v>21.783459595959595</v>
      </c>
      <c r="G17" s="259"/>
    </row>
    <row r="18" spans="2:7" x14ac:dyDescent="0.2">
      <c r="B18" s="224" t="s">
        <v>362</v>
      </c>
      <c r="C18" s="217">
        <f>Statement!Z22</f>
        <v>527818</v>
      </c>
      <c r="D18" s="215">
        <f>Statement!AA22</f>
        <v>523013</v>
      </c>
      <c r="F18" s="217">
        <f>Statement!W22</f>
        <v>542865</v>
      </c>
      <c r="G18" s="215">
        <f>Statement!AA22</f>
        <v>523013</v>
      </c>
    </row>
    <row r="19" spans="2:7" x14ac:dyDescent="0.2">
      <c r="B19" s="223" t="s">
        <v>360</v>
      </c>
      <c r="C19" s="258">
        <f>IF(C18=0,
IF(D18=0,0,IF(D18&gt;0,1,-1)),
(D18-C18)/ABS(C18)
)</f>
        <v>-9.1035167425135184E-3</v>
      </c>
      <c r="D19" s="259"/>
      <c r="F19" s="258">
        <f>IF(F18=0,
IF(G18=0,0,IF(G18&gt;0,1,-1)),
(G18-F18)/ABS(F18)
)</f>
        <v>-3.6568944396857414E-2</v>
      </c>
      <c r="G19" s="259"/>
    </row>
    <row r="20" spans="2:7" x14ac:dyDescent="0.2">
      <c r="B20" s="224" t="s">
        <v>39</v>
      </c>
      <c r="C20" s="218">
        <f>Statement!Z26</f>
        <v>0.04</v>
      </c>
      <c r="D20" s="219">
        <f>Statement!AA26</f>
        <v>7.0000000000000007E-2</v>
      </c>
      <c r="F20" s="218">
        <f>Statement!W26</f>
        <v>0</v>
      </c>
      <c r="G20" s="219">
        <f>Statement!AA26</f>
        <v>7.0000000000000007E-2</v>
      </c>
    </row>
    <row r="21" spans="2:7" x14ac:dyDescent="0.2">
      <c r="B21" s="223" t="s">
        <v>360</v>
      </c>
      <c r="C21" s="258">
        <f>IF(C20=0,
IF(D20=0,0,IF(D20&gt;0,1,-1)),
(D20-C20)/ABS(C20)
)</f>
        <v>0.75000000000000011</v>
      </c>
      <c r="D21" s="259"/>
      <c r="F21" s="258">
        <f>IF(F20=0,
IF(G20=0,0,IF(G20&gt;0,1,-1)),
(G20-F20)/ABS(F20)
)</f>
        <v>1</v>
      </c>
      <c r="G21" s="259"/>
    </row>
    <row r="23" spans="2:7" x14ac:dyDescent="0.2">
      <c r="B23" s="8" t="s">
        <v>363</v>
      </c>
      <c r="C23" s="10" t="str">
        <f>C5</f>
        <v>Q1 2027</v>
      </c>
      <c r="D23" s="220" t="str">
        <f>D5</f>
        <v>Q2 2027</v>
      </c>
      <c r="F23" s="221" t="str">
        <f>F5</f>
        <v>Q2 2026</v>
      </c>
      <c r="G23" s="220" t="str">
        <f>G5</f>
        <v>Q2 2027</v>
      </c>
    </row>
    <row r="24" spans="2:7" x14ac:dyDescent="0.2">
      <c r="B24" s="20" t="s">
        <v>111</v>
      </c>
      <c r="C24" s="217">
        <f>Statement!Z187</f>
        <v>149309</v>
      </c>
      <c r="D24" s="215">
        <f>Statement!AA187</f>
        <v>123843</v>
      </c>
      <c r="F24" s="217">
        <f>Statement!W187</f>
        <v>112161</v>
      </c>
      <c r="G24" s="215">
        <f>Statement!AA187</f>
        <v>123843</v>
      </c>
    </row>
    <row r="25" spans="2:7" x14ac:dyDescent="0.2">
      <c r="B25" s="223" t="s">
        <v>360</v>
      </c>
      <c r="C25" s="258">
        <f>IF(C24=0,
IF(D24=0,0,IF(D24&gt;0,1,-1)),
(D24-C24)/ABS(C24)
)</f>
        <v>-0.17055904198675231</v>
      </c>
      <c r="D25" s="259"/>
      <c r="F25" s="258">
        <f>IF(F24=0,
IF(G24=0,0,IF(G24&gt;0,1,-1)),
(G24-F24)/ABS(F24)
)</f>
        <v>0.10415385026881001</v>
      </c>
      <c r="G25" s="259"/>
    </row>
    <row r="26" spans="2:7" x14ac:dyDescent="0.2">
      <c r="B26" s="20" t="s">
        <v>112</v>
      </c>
      <c r="C26" s="217">
        <f>Statement!Z188</f>
        <v>252903</v>
      </c>
      <c r="D26" s="215">
        <f>Statement!AA188</f>
        <v>266067</v>
      </c>
      <c r="F26" s="217">
        <f>Statement!W188</f>
        <v>238363</v>
      </c>
      <c r="G26" s="215">
        <f>Statement!AA188</f>
        <v>266067</v>
      </c>
    </row>
    <row r="27" spans="2:7" x14ac:dyDescent="0.2">
      <c r="B27" s="223" t="s">
        <v>360</v>
      </c>
      <c r="C27" s="258">
        <f>IF(C26=0,
IF(D26=0,0,IF(D26&gt;0,1,-1)),
(D26-C26)/ABS(C26)
)</f>
        <v>5.20515770868673E-2</v>
      </c>
      <c r="D27" s="259"/>
      <c r="F27" s="258">
        <f>IF(F26=0,
IF(G26=0,0,IF(G26&gt;0,1,-1)),
(G26-F26)/ABS(F26)
)</f>
        <v>0.11622609213678298</v>
      </c>
      <c r="G27" s="259"/>
    </row>
    <row r="28" spans="2:7" x14ac:dyDescent="0.2">
      <c r="B28" s="20" t="s">
        <v>113</v>
      </c>
      <c r="C28" s="217">
        <f>Statement!Z189</f>
        <v>16170</v>
      </c>
      <c r="D28" s="215">
        <f>Statement!AA189</f>
        <v>20346</v>
      </c>
      <c r="F28" s="217">
        <f>Statement!W189</f>
        <v>11204</v>
      </c>
      <c r="G28" s="215">
        <f>Statement!AA189</f>
        <v>20346</v>
      </c>
    </row>
    <row r="29" spans="2:7" x14ac:dyDescent="0.2">
      <c r="B29" s="223" t="s">
        <v>360</v>
      </c>
      <c r="C29" s="258">
        <f>IF(C28=0,
IF(D28=0,0,IF(D28&gt;0,1,-1)),
(D28-C28)/ABS(C28)
)</f>
        <v>0.2582560296846011</v>
      </c>
      <c r="D29" s="259"/>
      <c r="F29" s="258">
        <f>IF(F28=0,
IF(G28=0,0,IF(G28&gt;0,1,-1)),
(G28-F28)/ABS(F28)
)</f>
        <v>0.81595858621920747</v>
      </c>
      <c r="G29" s="259"/>
    </row>
    <row r="31" spans="2:7" x14ac:dyDescent="0.2">
      <c r="B31" s="8" t="s">
        <v>365</v>
      </c>
      <c r="C31" s="10" t="str">
        <f>C5</f>
        <v>Q1 2027</v>
      </c>
      <c r="D31" s="10" t="str">
        <f>D5</f>
        <v>Q2 2027</v>
      </c>
      <c r="F31" s="10" t="str">
        <f>F5</f>
        <v>Q2 2026</v>
      </c>
      <c r="G31" s="10" t="str">
        <f>G5</f>
        <v>Q2 2027</v>
      </c>
    </row>
    <row r="32" spans="2:7" x14ac:dyDescent="0.2">
      <c r="B32" s="20" t="s">
        <v>128</v>
      </c>
      <c r="C32" s="217">
        <f>Statement!Z213</f>
        <v>1901211</v>
      </c>
      <c r="D32" s="217">
        <f>Statement!AA213</f>
        <v>1937722</v>
      </c>
      <c r="F32" s="217">
        <f>Statement!W213</f>
        <v>1723401</v>
      </c>
      <c r="G32" s="215">
        <f>Statement!AA213</f>
        <v>1937722</v>
      </c>
    </row>
    <row r="33" spans="2:7" x14ac:dyDescent="0.2">
      <c r="B33" s="223" t="s">
        <v>360</v>
      </c>
      <c r="C33" s="258">
        <f>IF(C32=0,
IF(D32=0,0,IF(D32&gt;0,1,-1)),
(D32-C32)/ABS(C32)
)</f>
        <v>1.9204075718055491E-2</v>
      </c>
      <c r="D33" s="259"/>
      <c r="F33" s="258">
        <f>IF(F32=0,
IF(G32=0,0,IF(G32&gt;0,1,-1)),
(G32-F32)/ABS(F32)
)</f>
        <v>0.12435933366639569</v>
      </c>
      <c r="G33" s="259"/>
    </row>
    <row r="34" spans="2:7" x14ac:dyDescent="0.2">
      <c r="B34" s="20" t="s">
        <v>132</v>
      </c>
      <c r="C34" s="217">
        <f>Statement!Z217</f>
        <v>2624</v>
      </c>
      <c r="D34" s="217">
        <f>Statement!AA217</f>
        <v>2666</v>
      </c>
      <c r="F34" s="217">
        <f>Statement!W217</f>
        <v>2432</v>
      </c>
      <c r="G34" s="215">
        <f>Statement!AA217</f>
        <v>2666</v>
      </c>
    </row>
    <row r="35" spans="2:7" x14ac:dyDescent="0.2">
      <c r="B35" s="223" t="s">
        <v>360</v>
      </c>
      <c r="C35" s="258">
        <f>IF(C34=0,
IF(D34=0,0,IF(D34&gt;0,1,-1)),
(D34-C34)/ABS(C34)
)</f>
        <v>1.600609756097561E-2</v>
      </c>
      <c r="D35" s="259"/>
      <c r="F35" s="258">
        <f>IF(F34=0,
IF(G34=0,0,IF(G34&gt;0,1,-1)),
(G34-F34)/ABS(F34)
)</f>
        <v>9.6217105263157895E-2</v>
      </c>
      <c r="G35" s="259"/>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303</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304</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388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389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5">
        <f>Statement!H123</f>
        <v>0</v>
      </c>
      <c r="D68" s="235">
        <f>Statement!I123</f>
        <v>0</v>
      </c>
      <c r="E68" s="235">
        <f>Statement!J123</f>
        <v>0</v>
      </c>
      <c r="F68" s="235">
        <f>Statement!K123</f>
        <v>0</v>
      </c>
      <c r="G68" s="235">
        <f>Statement!L123</f>
        <v>0</v>
      </c>
      <c r="H68" s="235">
        <f>Statement!M123</f>
        <v>-0.20431339773367801</v>
      </c>
      <c r="I68" s="235">
        <f>Statement!N123</f>
        <v>-0.12004653397221271</v>
      </c>
      <c r="J68" s="235">
        <f>Statement!O123</f>
        <v>-3.0419750111515053E-2</v>
      </c>
      <c r="K68" s="235">
        <f>Statement!P123</f>
        <v>-2.5719740199003933E-2</v>
      </c>
      <c r="L68" s="235">
        <f>Statement!Q123</f>
        <v>8.8805359838953199E-2</v>
      </c>
    </row>
    <row r="69" spans="2:12" x14ac:dyDescent="0.2">
      <c r="B69" s="20" t="s">
        <v>121</v>
      </c>
      <c r="C69" s="235">
        <f>Statement!H125</f>
        <v>0</v>
      </c>
      <c r="D69" s="235">
        <f>Statement!I125</f>
        <v>0</v>
      </c>
      <c r="E69" s="235">
        <f>Statement!J125</f>
        <v>0</v>
      </c>
      <c r="F69" s="235">
        <f>Statement!K125</f>
        <v>0</v>
      </c>
      <c r="G69" s="235">
        <f>Statement!L125</f>
        <v>0</v>
      </c>
      <c r="H69" s="235">
        <f>Statement!M125</f>
        <v>-0.27346966596372269</v>
      </c>
      <c r="I69" s="235">
        <f>Statement!N125</f>
        <v>-0.17100259457815453</v>
      </c>
      <c r="J69" s="235">
        <f>Statement!O125</f>
        <v>-4.4582300405631825E-2</v>
      </c>
      <c r="K69" s="235">
        <f>Statement!P125</f>
        <v>-3.9926057639067224E-2</v>
      </c>
      <c r="L69" s="235">
        <f>Statement!Q125</f>
        <v>0.13556696550972422</v>
      </c>
    </row>
    <row r="70" spans="2:12" x14ac:dyDescent="0.2">
      <c r="B70" s="20" t="s">
        <v>122</v>
      </c>
      <c r="C70" s="235">
        <f>Statement!H140</f>
        <v>0</v>
      </c>
      <c r="D70" s="235">
        <f>Statement!I140</f>
        <v>0</v>
      </c>
      <c r="E70" s="235">
        <f>Statement!J140</f>
        <v>0</v>
      </c>
      <c r="F70" s="235">
        <f>Statement!K140</f>
        <v>0</v>
      </c>
      <c r="G70" s="235">
        <f>Statement!L140</f>
        <v>0</v>
      </c>
      <c r="H70" s="235">
        <f>Statement!M140</f>
        <v>-13.446770816556612</v>
      </c>
      <c r="I70" s="235">
        <f>Statement!N140</f>
        <v>-2.1723832513114152</v>
      </c>
      <c r="J70" s="235">
        <f>Statement!O140</f>
        <v>-1.2085904425090432</v>
      </c>
      <c r="K70" s="235">
        <f>Statement!P140</f>
        <v>-1.3311034872391121</v>
      </c>
      <c r="L70" s="235">
        <f>Statement!Q140</f>
        <v>0.14438669993971168</v>
      </c>
    </row>
    <row r="71" spans="2:12" x14ac:dyDescent="0.2">
      <c r="B71" s="20" t="s">
        <v>400</v>
      </c>
      <c r="C71" s="244">
        <f>Statement!H207</f>
        <v>0</v>
      </c>
      <c r="D71" s="244">
        <f>Statement!I207</f>
        <v>0</v>
      </c>
      <c r="E71" s="244">
        <f>Statement!J207</f>
        <v>0</v>
      </c>
      <c r="F71" s="244">
        <f>Statement!K207</f>
        <v>0</v>
      </c>
      <c r="G71" s="244">
        <f>Statement!L207</f>
        <v>0</v>
      </c>
      <c r="H71" s="244">
        <f>Statement!M207</f>
        <v>100</v>
      </c>
      <c r="I71" s="244">
        <f>Statement!N207</f>
        <v>43.583607538139404</v>
      </c>
      <c r="J71" s="244">
        <f>Statement!O207</f>
        <v>71.343104995513016</v>
      </c>
      <c r="K71" s="244">
        <f>Statement!P207</f>
        <v>43.613520789709838</v>
      </c>
      <c r="L71" s="244">
        <f>Statement!Q207</f>
        <v>37.660783727191152</v>
      </c>
    </row>
    <row r="72" spans="2:12" x14ac:dyDescent="0.2">
      <c r="B72" s="20" t="s">
        <v>401</v>
      </c>
      <c r="C72" s="244">
        <f>Statement!H208</f>
        <v>0</v>
      </c>
      <c r="D72" s="244">
        <f>Statement!I208</f>
        <v>0</v>
      </c>
      <c r="E72" s="244">
        <f>Statement!J208</f>
        <v>0</v>
      </c>
      <c r="F72" s="244">
        <f>Statement!K208</f>
        <v>0</v>
      </c>
      <c r="G72" s="244">
        <f>Statement!L208</f>
        <v>0</v>
      </c>
      <c r="H72" s="244">
        <f>Statement!M208</f>
        <v>100</v>
      </c>
      <c r="I72" s="244">
        <f>Statement!N208</f>
        <v>118.64148245114609</v>
      </c>
      <c r="J72" s="244">
        <f>Statement!O208</f>
        <v>146.60342593796372</v>
      </c>
      <c r="K72" s="244">
        <f>Statement!P208</f>
        <v>160.23096613961079</v>
      </c>
      <c r="L72" s="244">
        <f>Statement!Q208</f>
        <v>180.50640402038886</v>
      </c>
    </row>
    <row r="73" spans="2:12" x14ac:dyDescent="0.2">
      <c r="B73" s="20" t="s">
        <v>402</v>
      </c>
      <c r="C73" s="244">
        <f>Statement!H209</f>
        <v>0</v>
      </c>
      <c r="D73" s="244">
        <f>Statement!I209</f>
        <v>0</v>
      </c>
      <c r="E73" s="244">
        <f>Statement!J209</f>
        <v>0</v>
      </c>
      <c r="F73" s="244">
        <f>Statement!K209</f>
        <v>0</v>
      </c>
      <c r="G73" s="244">
        <f>Statement!L209</f>
        <v>0</v>
      </c>
      <c r="H73" s="244">
        <f>Statement!M209</f>
        <v>100</v>
      </c>
      <c r="I73" s="244">
        <f>Statement!N209</f>
        <v>148.27586206896552</v>
      </c>
      <c r="J73" s="244">
        <f>Statement!O209</f>
        <v>186.20689655172413</v>
      </c>
      <c r="K73" s="244">
        <f>Statement!P209</f>
        <v>188.79310344827584</v>
      </c>
      <c r="L73" s="244">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388</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389</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390</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303</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54" t="s">
        <v>135</v>
      </c>
      <c r="D2" s="254"/>
      <c r="E2" s="254"/>
      <c r="F2" s="254"/>
      <c r="G2" s="263"/>
      <c r="H2" s="264" t="s">
        <v>136</v>
      </c>
      <c r="I2" s="254"/>
      <c r="J2" s="254"/>
      <c r="K2" s="254"/>
      <c r="L2" s="254"/>
      <c r="O2" s="5"/>
      <c r="S2" s="254" t="s">
        <v>135</v>
      </c>
      <c r="T2" s="254"/>
      <c r="U2" s="254"/>
      <c r="V2" s="254"/>
      <c r="W2" s="254"/>
      <c r="X2" s="254"/>
      <c r="Y2" s="254"/>
      <c r="Z2" s="254"/>
      <c r="AA2" s="254" t="s">
        <v>136</v>
      </c>
      <c r="AB2" s="254"/>
      <c r="AC2" s="254"/>
      <c r="AE2" s="87" t="s">
        <v>137</v>
      </c>
    </row>
    <row r="3" spans="1:31" ht="10" customHeight="1" x14ac:dyDescent="0.2">
      <c r="O3" s="5"/>
    </row>
    <row r="4" spans="1:31" ht="16" customHeight="1" x14ac:dyDescent="0.2">
      <c r="A4" s="88"/>
      <c r="B4" s="60"/>
      <c r="C4" s="260" t="s">
        <v>138</v>
      </c>
      <c r="D4" s="260"/>
      <c r="E4" s="260"/>
      <c r="F4" s="260"/>
      <c r="G4" s="260"/>
      <c r="H4" s="260"/>
      <c r="I4" s="260"/>
      <c r="J4" s="260"/>
      <c r="K4" s="260"/>
      <c r="L4" s="260"/>
      <c r="O4" s="5"/>
      <c r="S4" s="261" t="s">
        <v>138</v>
      </c>
      <c r="T4" s="262"/>
      <c r="U4" s="262"/>
      <c r="V4" s="262"/>
      <c r="W4" s="262"/>
      <c r="X4" s="262"/>
      <c r="Y4" s="262"/>
      <c r="Z4" s="262"/>
      <c r="AA4" s="262"/>
      <c r="AB4" s="262"/>
      <c r="AC4" s="262"/>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60" t="s">
        <v>144</v>
      </c>
      <c r="D11" s="260"/>
      <c r="E11" s="260"/>
      <c r="F11" s="260"/>
      <c r="G11" s="260"/>
      <c r="H11" s="260"/>
      <c r="I11" s="260"/>
      <c r="J11" s="260"/>
      <c r="K11" s="260"/>
      <c r="L11" s="260"/>
      <c r="O11" s="5"/>
      <c r="Q11" s="93"/>
      <c r="S11" s="261" t="s">
        <v>144</v>
      </c>
      <c r="T11" s="262"/>
      <c r="U11" s="262"/>
      <c r="V11" s="262"/>
      <c r="W11" s="262"/>
      <c r="X11" s="262"/>
      <c r="Y11" s="262"/>
      <c r="Z11" s="262"/>
      <c r="AA11" s="262"/>
      <c r="AB11" s="262"/>
      <c r="AC11" s="262"/>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60" t="s">
        <v>146</v>
      </c>
      <c r="D19" s="260"/>
      <c r="E19" s="260"/>
      <c r="F19" s="260"/>
      <c r="G19" s="260"/>
      <c r="H19" s="260"/>
      <c r="I19" s="260"/>
      <c r="J19" s="260"/>
      <c r="K19" s="260"/>
      <c r="L19" s="260"/>
      <c r="O19" s="5"/>
      <c r="Q19" s="93"/>
      <c r="S19" s="261" t="s">
        <v>146</v>
      </c>
      <c r="T19" s="262"/>
      <c r="U19" s="262"/>
      <c r="V19" s="262"/>
      <c r="W19" s="262"/>
      <c r="X19" s="262"/>
      <c r="Y19" s="262"/>
      <c r="Z19" s="262"/>
      <c r="AA19" s="262"/>
      <c r="AB19" s="262"/>
      <c r="AC19" s="262"/>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60" t="s">
        <v>148</v>
      </c>
      <c r="D32" s="260"/>
      <c r="E32" s="260"/>
      <c r="F32" s="260"/>
      <c r="G32" s="260"/>
      <c r="H32" s="260"/>
      <c r="I32" s="260"/>
      <c r="J32" s="260"/>
      <c r="K32" s="260"/>
      <c r="L32" s="260"/>
      <c r="O32" s="5"/>
      <c r="S32" s="261" t="s">
        <v>148</v>
      </c>
      <c r="T32" s="262"/>
      <c r="U32" s="262"/>
      <c r="V32" s="262"/>
      <c r="W32" s="262"/>
      <c r="X32" s="262"/>
      <c r="Y32" s="262"/>
      <c r="Z32" s="262"/>
      <c r="AA32" s="262"/>
      <c r="AB32" s="262"/>
      <c r="AC32" s="262"/>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54" t="s">
        <v>135</v>
      </c>
      <c r="D2" s="254"/>
      <c r="E2" s="254"/>
      <c r="F2" s="254"/>
      <c r="G2" s="263"/>
      <c r="H2" s="264" t="s">
        <v>136</v>
      </c>
      <c r="I2" s="254"/>
      <c r="J2" s="254"/>
      <c r="K2" s="254"/>
      <c r="L2" s="254"/>
      <c r="P2" s="254" t="s">
        <v>135</v>
      </c>
      <c r="Q2" s="254"/>
      <c r="R2" s="254"/>
      <c r="S2" s="254"/>
      <c r="T2" s="254"/>
      <c r="U2" s="254"/>
      <c r="V2" s="254"/>
      <c r="W2" s="254"/>
      <c r="X2" s="254" t="s">
        <v>136</v>
      </c>
      <c r="Y2" s="254"/>
      <c r="Z2" s="254"/>
      <c r="AB2" s="87" t="s">
        <v>137</v>
      </c>
    </row>
    <row r="3" spans="1:28" ht="10" customHeight="1" x14ac:dyDescent="0.2"/>
    <row r="4" spans="1:28" ht="16" customHeight="1" x14ac:dyDescent="0.2">
      <c r="A4" s="88"/>
      <c r="B4" s="60"/>
      <c r="C4" s="260" t="s">
        <v>138</v>
      </c>
      <c r="D4" s="260"/>
      <c r="E4" s="260"/>
      <c r="F4" s="260"/>
      <c r="G4" s="260"/>
      <c r="H4" s="260"/>
      <c r="I4" s="260"/>
      <c r="J4" s="260"/>
      <c r="K4" s="260"/>
      <c r="L4" s="260"/>
      <c r="P4" s="262" t="s">
        <v>138</v>
      </c>
      <c r="Q4" s="262"/>
      <c r="R4" s="262"/>
      <c r="S4" s="262"/>
      <c r="T4" s="262"/>
      <c r="U4" s="262"/>
      <c r="V4" s="262"/>
      <c r="W4" s="262"/>
      <c r="X4" s="262"/>
      <c r="Y4" s="262"/>
      <c r="Z4" s="262"/>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60" t="s">
        <v>164</v>
      </c>
      <c r="D9" s="260"/>
      <c r="E9" s="260"/>
      <c r="F9" s="260"/>
      <c r="G9" s="260"/>
      <c r="H9" s="260"/>
      <c r="I9" s="260"/>
      <c r="J9" s="260"/>
      <c r="K9" s="260"/>
      <c r="L9" s="260"/>
      <c r="N9" s="93"/>
      <c r="P9" s="262" t="s">
        <v>165</v>
      </c>
      <c r="Q9" s="262"/>
      <c r="R9" s="262"/>
      <c r="S9" s="262"/>
      <c r="T9" s="262"/>
      <c r="U9" s="262"/>
      <c r="V9" s="262"/>
      <c r="W9" s="262"/>
      <c r="X9" s="262"/>
      <c r="Y9" s="262"/>
      <c r="Z9" s="262"/>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60" t="s">
        <v>167</v>
      </c>
      <c r="D21" s="260"/>
      <c r="E21" s="260"/>
      <c r="F21" s="260"/>
      <c r="G21" s="260"/>
      <c r="H21" s="260"/>
      <c r="I21" s="260"/>
      <c r="J21" s="260"/>
      <c r="K21" s="260"/>
      <c r="L21" s="260"/>
      <c r="P21" s="262" t="s">
        <v>167</v>
      </c>
      <c r="Q21" s="262"/>
      <c r="R21" s="262"/>
      <c r="S21" s="262"/>
      <c r="T21" s="262"/>
      <c r="U21" s="262"/>
      <c r="V21" s="262"/>
      <c r="W21" s="262"/>
      <c r="X21" s="262"/>
      <c r="Y21" s="262"/>
      <c r="Z21" s="262"/>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54" t="s">
        <v>135</v>
      </c>
      <c r="D3" s="254"/>
      <c r="E3" s="254"/>
      <c r="F3" s="254"/>
      <c r="G3" s="263"/>
      <c r="H3" s="264" t="s">
        <v>136</v>
      </c>
      <c r="I3" s="254"/>
      <c r="J3" s="254"/>
      <c r="K3" s="254"/>
      <c r="L3" s="254"/>
      <c r="P3" s="265"/>
      <c r="Q3" s="265"/>
      <c r="R3" s="265"/>
      <c r="S3" s="265"/>
      <c r="T3" s="265"/>
      <c r="U3" s="265"/>
      <c r="V3" s="265"/>
      <c r="W3" s="265"/>
      <c r="X3" s="265"/>
      <c r="Y3" s="265"/>
      <c r="Z3" s="265"/>
      <c r="AB3" s="130"/>
    </row>
    <row r="4" spans="1:28" ht="10" customHeight="1" x14ac:dyDescent="0.2"/>
    <row r="5" spans="1:28" ht="16" customHeight="1" x14ac:dyDescent="0.2">
      <c r="A5" s="88"/>
      <c r="B5" s="60"/>
      <c r="C5" s="260" t="s">
        <v>138</v>
      </c>
      <c r="D5" s="260"/>
      <c r="E5" s="260"/>
      <c r="F5" s="260"/>
      <c r="G5" s="260"/>
      <c r="H5" s="260"/>
      <c r="I5" s="260"/>
      <c r="J5" s="260"/>
      <c r="K5" s="260"/>
      <c r="L5" s="260"/>
      <c r="P5" s="265"/>
      <c r="Q5" s="265"/>
      <c r="R5" s="265"/>
      <c r="S5" s="265"/>
      <c r="T5" s="265"/>
      <c r="U5" s="265"/>
      <c r="V5" s="265"/>
      <c r="W5" s="265"/>
      <c r="X5" s="265"/>
      <c r="Y5" s="265"/>
      <c r="Z5" s="265"/>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0" t="s">
        <v>171</v>
      </c>
      <c r="D11" s="260"/>
      <c r="E11" s="260"/>
      <c r="F11" s="260"/>
      <c r="G11" s="260"/>
      <c r="H11" s="260"/>
      <c r="I11" s="260"/>
      <c r="J11" s="260"/>
      <c r="K11" s="260"/>
      <c r="L11" s="260"/>
      <c r="N11" s="93"/>
      <c r="P11" s="265"/>
      <c r="Q11" s="265"/>
      <c r="R11" s="265"/>
      <c r="S11" s="265"/>
      <c r="T11" s="265"/>
      <c r="U11" s="265"/>
      <c r="V11" s="265"/>
      <c r="W11" s="265"/>
      <c r="X11" s="265"/>
      <c r="Y11" s="265"/>
      <c r="Z11" s="265"/>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60" t="s">
        <v>176</v>
      </c>
      <c r="D18" s="260"/>
      <c r="E18" s="260"/>
      <c r="F18" s="260"/>
      <c r="G18" s="260"/>
      <c r="H18" s="260"/>
      <c r="I18" s="260"/>
      <c r="J18" s="260"/>
      <c r="K18" s="260"/>
      <c r="L18" s="260"/>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5"/>
      <c r="C25" s="265"/>
    </row>
    <row r="26" spans="2:12" x14ac:dyDescent="0.2">
      <c r="B26" s="130"/>
      <c r="C26" s="260" t="s">
        <v>182</v>
      </c>
      <c r="D26" s="260"/>
      <c r="E26" s="260"/>
      <c r="F26" s="260"/>
      <c r="G26" s="260"/>
      <c r="H26" s="260"/>
      <c r="I26" s="260"/>
      <c r="J26" s="260"/>
      <c r="K26" s="260"/>
      <c r="L26" s="260"/>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60" t="s">
        <v>186</v>
      </c>
      <c r="D33" s="260"/>
      <c r="E33" s="260"/>
      <c r="F33" s="260"/>
      <c r="G33" s="260"/>
      <c r="H33" s="260"/>
      <c r="I33" s="260"/>
      <c r="J33" s="260"/>
      <c r="K33" s="260"/>
      <c r="L33" s="260"/>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0" t="s">
        <v>189</v>
      </c>
      <c r="D40" s="260"/>
      <c r="E40" s="260"/>
      <c r="F40" s="260"/>
      <c r="G40" s="260"/>
      <c r="H40" s="260"/>
      <c r="I40" s="260"/>
      <c r="J40" s="260"/>
      <c r="K40" s="260"/>
      <c r="L40" s="260"/>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7" sqref="G17"/>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54" t="s">
        <v>135</v>
      </c>
      <c r="D2" s="254"/>
      <c r="E2" s="254"/>
      <c r="F2" s="254"/>
      <c r="G2" s="263"/>
      <c r="H2" s="264" t="s">
        <v>136</v>
      </c>
      <c r="I2" s="254"/>
      <c r="J2" s="254"/>
      <c r="K2" s="254"/>
      <c r="L2" s="254"/>
      <c r="S2" s="265"/>
      <c r="T2" s="265"/>
      <c r="U2" s="265"/>
      <c r="V2" s="265"/>
      <c r="W2" s="265"/>
      <c r="X2" s="265"/>
      <c r="Y2" s="265"/>
      <c r="Z2" s="265"/>
      <c r="AA2" s="265"/>
      <c r="AB2" s="265"/>
      <c r="AC2" s="265"/>
      <c r="AE2" s="130"/>
    </row>
    <row r="3" spans="1:31" ht="10" customHeight="1" x14ac:dyDescent="0.2"/>
    <row r="4" spans="1:31" ht="16" customHeight="1" x14ac:dyDescent="0.2">
      <c r="A4" s="88"/>
      <c r="B4" s="60"/>
      <c r="C4" s="260" t="s">
        <v>19</v>
      </c>
      <c r="D4" s="260"/>
      <c r="E4" s="260"/>
      <c r="F4" s="260"/>
      <c r="G4" s="260"/>
      <c r="H4" s="260"/>
      <c r="I4" s="260"/>
      <c r="J4" s="260"/>
      <c r="K4" s="260"/>
      <c r="L4" s="260"/>
      <c r="S4" s="265"/>
      <c r="T4" s="265"/>
      <c r="U4" s="265"/>
      <c r="V4" s="265"/>
      <c r="W4" s="265"/>
      <c r="X4" s="265"/>
      <c r="Y4" s="265"/>
      <c r="Z4" s="265"/>
      <c r="AA4" s="265"/>
      <c r="AB4" s="265"/>
      <c r="AC4" s="265"/>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60" t="s">
        <v>197</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60" t="s">
        <v>198</v>
      </c>
      <c r="D18" s="260"/>
      <c r="E18" s="260"/>
      <c r="F18" s="260"/>
      <c r="G18" s="260"/>
      <c r="H18" s="260"/>
      <c r="I18" s="260"/>
      <c r="J18" s="260"/>
      <c r="K18" s="260"/>
      <c r="L18" s="260"/>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60" t="s">
        <v>304</v>
      </c>
      <c r="D25" s="260"/>
      <c r="E25" s="260"/>
      <c r="F25" s="260"/>
      <c r="G25" s="260"/>
      <c r="H25" s="260"/>
      <c r="I25" s="260"/>
      <c r="J25" s="260"/>
      <c r="K25" s="260"/>
      <c r="L25" s="260"/>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304</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60" t="s">
        <v>78</v>
      </c>
      <c r="D31" s="260"/>
      <c r="E31" s="260"/>
      <c r="F31" s="260"/>
      <c r="G31" s="260"/>
      <c r="H31" s="260"/>
      <c r="I31" s="260"/>
      <c r="J31" s="260"/>
      <c r="K31" s="260"/>
      <c r="L31" s="260"/>
    </row>
    <row r="32" spans="2:14" x14ac:dyDescent="0.2">
      <c r="B32" s="16" t="s">
        <v>380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3">
        <f>H8/H6</f>
        <v>0.82700000000000007</v>
      </c>
      <c r="I33" s="233">
        <f t="shared" ref="I33:L33" si="9">I8/I6</f>
        <v>0.83200000000000007</v>
      </c>
      <c r="J33" s="233">
        <f t="shared" si="9"/>
        <v>0.85299999999999998</v>
      </c>
      <c r="K33" s="233">
        <f t="shared" si="9"/>
        <v>0.8580000000000001</v>
      </c>
      <c r="L33" s="233">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3">
        <f>H10/H6</f>
        <v>5.699999999999994E-2</v>
      </c>
      <c r="I34" s="233">
        <f t="shared" ref="I34:L34" si="10">I10/I6</f>
        <v>6.2000000000000118E-2</v>
      </c>
      <c r="J34" s="233">
        <f t="shared" si="10"/>
        <v>0.11800000000000001</v>
      </c>
      <c r="K34" s="233">
        <f t="shared" si="10"/>
        <v>0.12800000000000009</v>
      </c>
      <c r="L34" s="233">
        <f t="shared" si="10"/>
        <v>0.17299999999999996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54" t="s">
        <v>205</v>
      </c>
      <c r="C4" s="254"/>
    </row>
    <row r="5" spans="1:3" ht="17" customHeight="1" x14ac:dyDescent="0.2">
      <c r="B5" s="1" t="s">
        <v>206</v>
      </c>
      <c r="C5" s="157">
        <f>Statement!AC78</f>
        <v>524515</v>
      </c>
    </row>
    <row r="6" spans="1:3" ht="17" customHeight="1" x14ac:dyDescent="0.2">
      <c r="B6" s="1" t="s">
        <v>1</v>
      </c>
      <c r="C6" s="154">
        <f ca="1">Overview!C5</f>
        <v>13.48</v>
      </c>
    </row>
    <row r="7" spans="1:3" ht="17" customHeight="1" x14ac:dyDescent="0.2">
      <c r="B7" s="1" t="s">
        <v>207</v>
      </c>
      <c r="C7" s="155">
        <f ca="1">C5*C6</f>
        <v>7070462.2000000002</v>
      </c>
    </row>
    <row r="8" spans="1:3" ht="17" customHeight="1" x14ac:dyDescent="0.2">
      <c r="B8" s="1" t="s">
        <v>208</v>
      </c>
      <c r="C8" s="133">
        <f>Statement!AC108</f>
        <v>0</v>
      </c>
    </row>
    <row r="9" spans="1:3" ht="17" customHeight="1" x14ac:dyDescent="0.2">
      <c r="B9" s="1" t="s">
        <v>209</v>
      </c>
      <c r="C9" s="156">
        <f ca="1">Overview!F27</f>
        <v>5.2440000000000001E-2</v>
      </c>
    </row>
    <row r="10" spans="1:3" ht="17" customHeight="1" x14ac:dyDescent="0.2">
      <c r="B10" s="1" t="s">
        <v>9</v>
      </c>
      <c r="C10" s="154">
        <f ca="1">Overview!C13</f>
        <v>1.0629999999999999</v>
      </c>
    </row>
    <row r="11" spans="1:3" ht="17" customHeight="1" x14ac:dyDescent="0.2">
      <c r="B11" s="1" t="s">
        <v>210</v>
      </c>
      <c r="C11" s="156">
        <f>[1]Sheet1!$C$12</f>
        <v>4.4999999999999998E-2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54" t="s">
        <v>212</v>
      </c>
      <c r="C15" s="254"/>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0.100275</v>
      </c>
    </row>
    <row r="20" spans="2:3" ht="17" customHeight="1" x14ac:dyDescent="0.2">
      <c r="B20" s="1" t="s">
        <v>204</v>
      </c>
      <c r="C20" s="46">
        <f ca="1">(C17*C19)+(C16*C18)</f>
        <v>0.100275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54" t="s">
        <v>135</v>
      </c>
      <c r="D3" s="254"/>
      <c r="E3" s="254"/>
      <c r="F3" s="254"/>
      <c r="G3" s="263"/>
      <c r="H3" s="264" t="s">
        <v>136</v>
      </c>
      <c r="I3" s="254"/>
      <c r="J3" s="254"/>
      <c r="K3" s="254"/>
      <c r="L3" s="254"/>
      <c r="P3" s="265"/>
      <c r="Q3" s="265"/>
      <c r="R3" s="265"/>
      <c r="S3" s="265"/>
      <c r="T3" s="265"/>
      <c r="U3" s="265"/>
      <c r="V3" s="265"/>
      <c r="W3" s="265"/>
      <c r="X3" s="265"/>
      <c r="Y3" s="265"/>
      <c r="Z3" s="265"/>
      <c r="AB3" s="130"/>
    </row>
    <row r="4" spans="1:28" ht="10" customHeight="1" x14ac:dyDescent="0.2"/>
    <row r="5" spans="1:28" ht="16" customHeight="1" x14ac:dyDescent="0.2">
      <c r="A5" s="88"/>
      <c r="B5" s="60"/>
      <c r="C5" s="260" t="s">
        <v>219</v>
      </c>
      <c r="D5" s="260"/>
      <c r="E5" s="260"/>
      <c r="F5" s="260"/>
      <c r="G5" s="260"/>
      <c r="H5" s="260"/>
      <c r="I5" s="260"/>
      <c r="J5" s="260"/>
      <c r="K5" s="260"/>
      <c r="L5" s="260"/>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L7*(1+C14)/(C15-C14)</f>
        <v>2546669.7611987987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H7/(1+$C$15)^H9</f>
        <v>-20536.052638107143</v>
      </c>
      <c r="I10" s="147">
        <f t="shared" ref="I10:L10" si="0">I7/(1+$C$15)^I9</f>
        <v>-16548.335891588267</v>
      </c>
      <c r="J10" s="147">
        <f t="shared" si="0"/>
        <v>47809.018190426032</v>
      </c>
      <c r="K10" s="147">
        <f t="shared" si="0"/>
        <v>71613.309765951213</v>
      </c>
      <c r="L10" s="147">
        <f t="shared" si="0"/>
        <v>124022.08294261179</v>
      </c>
      <c r="N10" s="93"/>
    </row>
    <row r="11" spans="1:28" x14ac:dyDescent="0.2">
      <c r="B11" s="1" t="s">
        <v>222</v>
      </c>
      <c r="C11" s="158"/>
      <c r="D11" s="158"/>
      <c r="E11" s="158"/>
      <c r="F11" s="158"/>
      <c r="G11" s="159"/>
      <c r="H11" s="158"/>
      <c r="I11" s="158"/>
      <c r="J11" s="158"/>
      <c r="K11" s="158"/>
      <c r="L11" s="147">
        <f>L8/(1+C15)^L9</f>
        <v>1581281.5575183004</v>
      </c>
    </row>
    <row r="13" spans="1:28" x14ac:dyDescent="0.2">
      <c r="B13" s="254" t="s">
        <v>223</v>
      </c>
      <c r="C13" s="254"/>
    </row>
    <row r="14" spans="1:28" x14ac:dyDescent="0.2">
      <c r="B14" s="1" t="s">
        <v>224</v>
      </c>
      <c r="C14" s="161">
        <v>0.02</v>
      </c>
    </row>
    <row r="15" spans="1:28" x14ac:dyDescent="0.2">
      <c r="B15" s="1" t="s">
        <v>204</v>
      </c>
      <c r="C15" s="156">
        <f>IF(Overview!C28&gt;0,Overview!C28,WACC!C20)</f>
        <v>0.1</v>
      </c>
    </row>
    <row r="18" spans="2:3" x14ac:dyDescent="0.2">
      <c r="B18" s="254" t="s">
        <v>225</v>
      </c>
      <c r="C18" s="254"/>
    </row>
    <row r="19" spans="2:3" x14ac:dyDescent="0.2">
      <c r="B19" s="1" t="s">
        <v>226</v>
      </c>
      <c r="C19" s="64">
        <f>SUM(H10:L10)</f>
        <v>206360.02236929361</v>
      </c>
    </row>
    <row r="20" spans="2:3" x14ac:dyDescent="0.2">
      <c r="B20" s="1" t="s">
        <v>222</v>
      </c>
      <c r="C20" s="64">
        <f>L11</f>
        <v>1581281.5575183004</v>
      </c>
    </row>
    <row r="21" spans="2:3" x14ac:dyDescent="0.2">
      <c r="B21" s="16" t="s">
        <v>227</v>
      </c>
      <c r="C21" s="96">
        <f>C19+C20</f>
        <v>1787641.5798875941</v>
      </c>
    </row>
    <row r="22" spans="2:3" x14ac:dyDescent="0.2">
      <c r="B22" s="1" t="s">
        <v>228</v>
      </c>
      <c r="C22" s="90">
        <f>Statement!AC107</f>
        <v>1405025</v>
      </c>
    </row>
    <row r="23" spans="2:3" x14ac:dyDescent="0.2">
      <c r="B23" s="1" t="s">
        <v>229</v>
      </c>
      <c r="C23" s="90">
        <f>Statement!AC108</f>
        <v>0</v>
      </c>
    </row>
    <row r="24" spans="2:3" x14ac:dyDescent="0.2">
      <c r="B24" s="16" t="s">
        <v>230</v>
      </c>
      <c r="C24" s="96">
        <f>C21+C22-C23</f>
        <v>3192666.5798875941</v>
      </c>
    </row>
    <row r="25" spans="2:3" x14ac:dyDescent="0.2">
      <c r="B25" s="1" t="s">
        <v>70</v>
      </c>
      <c r="C25" s="90">
        <f>Statement!AC78</f>
        <v>524515</v>
      </c>
    </row>
    <row r="26" spans="2:3" x14ac:dyDescent="0.2">
      <c r="B26" s="249" t="s">
        <v>231</v>
      </c>
      <c r="C26" s="250">
        <f>C24/C25</f>
        <v>6.0868928055205176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54" t="s">
        <v>135</v>
      </c>
      <c r="D2" s="254"/>
      <c r="E2" s="254"/>
      <c r="F2" s="254"/>
      <c r="G2" s="263"/>
      <c r="H2" s="264" t="s">
        <v>136</v>
      </c>
      <c r="I2" s="254"/>
      <c r="J2" s="254"/>
      <c r="K2" s="254"/>
      <c r="L2" s="254"/>
    </row>
    <row r="3" spans="1:14" ht="10" customHeight="1" x14ac:dyDescent="0.2"/>
    <row r="4" spans="1:14" ht="16" customHeight="1" x14ac:dyDescent="0.2">
      <c r="A4" s="88"/>
      <c r="B4" s="60"/>
      <c r="C4" s="260" t="s">
        <v>233</v>
      </c>
      <c r="D4" s="260"/>
      <c r="E4" s="260"/>
      <c r="F4" s="260"/>
      <c r="G4" s="260"/>
      <c r="H4" s="260"/>
      <c r="I4" s="260"/>
      <c r="J4" s="260"/>
      <c r="K4" s="260"/>
      <c r="L4" s="260"/>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304</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B9" s="16" t="s">
        <v>366</v>
      </c>
      <c r="C9" s="158"/>
      <c r="D9" s="158"/>
      <c r="E9" s="158"/>
      <c r="F9" s="158"/>
      <c r="G9" s="159"/>
      <c r="H9" s="94">
        <f>DCF!H10</f>
        <v>-20536.052638107143</v>
      </c>
      <c r="I9" s="94">
        <f>DCF!I10</f>
        <v>-16548.335891588267</v>
      </c>
      <c r="J9" s="94">
        <f>DCF!J10</f>
        <v>47809.018190426032</v>
      </c>
      <c r="K9" s="94">
        <f>DCF!K10</f>
        <v>71613.309765951213</v>
      </c>
      <c r="L9" s="94">
        <f>DCF!L10</f>
        <v>124022.08294261179</v>
      </c>
      <c r="N9" s="93"/>
    </row>
    <row r="10" spans="1:14" x14ac:dyDescent="0.2">
      <c r="N10" s="93"/>
    </row>
    <row r="11" spans="1:14" x14ac:dyDescent="0.2">
      <c r="C11" s="260" t="s">
        <v>144</v>
      </c>
      <c r="D11" s="260"/>
      <c r="E11" s="260"/>
      <c r="F11" s="260"/>
      <c r="G11" s="260"/>
      <c r="H11" s="260"/>
      <c r="I11" s="260"/>
      <c r="J11" s="260"/>
      <c r="K11" s="260"/>
      <c r="L11" s="260"/>
      <c r="N11" s="93"/>
    </row>
    <row r="12" spans="1:14" x14ac:dyDescent="0.2">
      <c r="B12" s="16" t="s">
        <v>234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3"/>
    </row>
    <row r="13" spans="1:14" x14ac:dyDescent="0.2">
      <c r="B13" s="1" t="s">
        <v>20</v>
      </c>
      <c r="C13" s="158"/>
      <c r="D13" s="97">
        <f>(D6-C6)/C6</f>
        <v>0.18641482451146088</v>
      </c>
      <c r="E13" s="97">
        <f t="shared" ref="E13:L13" si="1">(E6-D6)/D6</f>
        <v>0.23568437370404344</v>
      </c>
      <c r="F13" s="97">
        <f t="shared" si="1"/>
        <v>9.2955127852289474E-2</v>
      </c>
      <c r="G13" s="98">
        <f t="shared" si="1"/>
        <v>0.12653882310808692</v>
      </c>
      <c r="H13" s="97">
        <f t="shared" si="1"/>
        <v>0.11183107616424476</v>
      </c>
      <c r="I13" s="97">
        <f t="shared" si="1"/>
        <v>8.8055960739024816E-2</v>
      </c>
      <c r="J13" s="97">
        <f t="shared" si="1"/>
        <v>9.9186674730866731E-2</v>
      </c>
      <c r="K13" s="97">
        <f t="shared" si="1"/>
        <v>7.523382210746897E-2</v>
      </c>
      <c r="L13" s="97">
        <f t="shared" si="1"/>
        <v>7.4167915660995842E-2</v>
      </c>
      <c r="N13" s="93"/>
    </row>
    <row r="14" spans="1:14" x14ac:dyDescent="0.2">
      <c r="B14" s="1" t="s">
        <v>196</v>
      </c>
      <c r="C14" s="158"/>
      <c r="D14" s="97">
        <f>IF(C7=0,
IF(D7=0,0,IF(D7&gt;0,1,-1)),
(D7-C7)/ABS(C7)
)</f>
        <v>0.3047494141085067</v>
      </c>
      <c r="E14" s="97">
        <f t="shared" ref="E14:L14" si="2">IF(D7=0,
IF(E7=0,0,IF(E7&gt;0,1,-1)),
(E7-D7)/ABS(D7)
)</f>
        <v>0.52705127726590162</v>
      </c>
      <c r="F14" s="97">
        <f t="shared" si="2"/>
        <v>1.3058523555123847E-2</v>
      </c>
      <c r="G14" s="98">
        <f t="shared" si="2"/>
        <v>1.3491440557547871</v>
      </c>
      <c r="H14" s="97">
        <f t="shared" si="2"/>
        <v>0.79825560253699601</v>
      </c>
      <c r="I14" s="97">
        <f t="shared" si="2"/>
        <v>0.18349946606701284</v>
      </c>
      <c r="J14" s="97">
        <f t="shared" si="2"/>
        <v>1.0920004454555168</v>
      </c>
      <c r="K14" s="97">
        <f t="shared" si="2"/>
        <v>0.1663553324555602</v>
      </c>
      <c r="L14" s="97">
        <f t="shared" si="2"/>
        <v>0.45180507351056343</v>
      </c>
      <c r="N14" s="93"/>
    </row>
    <row r="15" spans="1:14" x14ac:dyDescent="0.2">
      <c r="B15" s="1" t="s">
        <v>304</v>
      </c>
      <c r="C15" s="158"/>
      <c r="D15" s="97">
        <f>IF(C8=0,
IF(D8=0,0,IF(D8&gt;0,1,-1)),
(D8-C8)/ABS(C8)
)</f>
        <v>0.17204439940924413</v>
      </c>
      <c r="E15" s="97">
        <f t="shared" ref="E15:L15" si="3">IF(D8=0,
IF(E8=0,0,IF(E8&gt;0,1,-1)),
(E8-D8)/ABS(D8)
)</f>
        <v>0.5672676588103075</v>
      </c>
      <c r="F15" s="97">
        <f t="shared" si="3"/>
        <v>6.6365363020060728E-2</v>
      </c>
      <c r="G15" s="98">
        <f t="shared" si="3"/>
        <v>0.53212362398035951</v>
      </c>
      <c r="H15" s="97">
        <f t="shared" si="3"/>
        <v>0.7610217516670772</v>
      </c>
      <c r="I15" s="97">
        <f t="shared" si="3"/>
        <v>0.11359939509655807</v>
      </c>
      <c r="J15" s="97">
        <f t="shared" si="3"/>
        <v>4.1779582161007971</v>
      </c>
      <c r="K15" s="97">
        <f t="shared" si="3"/>
        <v>0.64769417411548735</v>
      </c>
      <c r="L15" s="97">
        <f t="shared" si="3"/>
        <v>0.90501307204958092</v>
      </c>
      <c r="N15" s="93"/>
    </row>
    <row r="16" spans="1:14" x14ac:dyDescent="0.2">
      <c r="N16" s="93"/>
    </row>
    <row r="17" spans="2:14" x14ac:dyDescent="0.2">
      <c r="C17" s="260" t="s">
        <v>235</v>
      </c>
      <c r="D17" s="260"/>
      <c r="E17" s="260"/>
      <c r="F17" s="260"/>
      <c r="G17" s="260"/>
      <c r="H17" s="260"/>
      <c r="I17" s="260"/>
      <c r="J17" s="260"/>
      <c r="K17" s="260"/>
      <c r="L17" s="260"/>
      <c r="N17" s="93"/>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3"/>
    </row>
    <row r="19" spans="2:14" x14ac:dyDescent="0.2">
      <c r="B19" s="1" t="s">
        <v>236</v>
      </c>
      <c r="C19" s="103">
        <f>Statement!M22</f>
        <v>454625</v>
      </c>
      <c r="D19" s="103">
        <f>Statement!N22</f>
        <v>548022</v>
      </c>
      <c r="E19" s="103">
        <f>Statement!O22</f>
        <v>653855</v>
      </c>
      <c r="F19" s="103">
        <f>Statement!P22</f>
        <v>559933</v>
      </c>
      <c r="G19" s="104">
        <f>Statement!Q22</f>
        <v>544860</v>
      </c>
      <c r="H19" s="162">
        <f>G19*(1+H20)</f>
        <v>528514.19999999995</v>
      </c>
      <c r="I19" s="162">
        <f t="shared" ref="I19:L19" si="5">H19*(1+I20)</f>
        <v>512658.77399999992</v>
      </c>
      <c r="J19" s="162">
        <f t="shared" si="5"/>
        <v>502405.59851999988</v>
      </c>
      <c r="K19" s="162">
        <f t="shared" si="5"/>
        <v>492357.48654959985</v>
      </c>
      <c r="L19" s="162">
        <f t="shared" si="5"/>
        <v>482510.33681860787</v>
      </c>
      <c r="N19" s="93"/>
    </row>
    <row r="20" spans="2:14" x14ac:dyDescent="0.2">
      <c r="B20" s="1" t="s">
        <v>237</v>
      </c>
      <c r="C20" s="158"/>
      <c r="D20" s="163">
        <f>D19/C19-1</f>
        <v>0.20543744844652179</v>
      </c>
      <c r="E20" s="163">
        <f t="shared" ref="E20:G20" si="6">E19/D19-1</f>
        <v>0.19311815948994759</v>
      </c>
      <c r="F20" s="163">
        <f t="shared" si="6"/>
        <v>-0.14364346835307518</v>
      </c>
      <c r="G20" s="164">
        <f t="shared" si="6"/>
        <v>-2.6919292129594097E-2</v>
      </c>
      <c r="H20" s="165">
        <v>-0.03</v>
      </c>
      <c r="I20" s="99">
        <v>-0.03</v>
      </c>
      <c r="J20" s="99">
        <v>-0.02</v>
      </c>
      <c r="K20" s="99">
        <v>-0.02</v>
      </c>
      <c r="L20" s="99">
        <v>-0.02</v>
      </c>
      <c r="N20" s="93"/>
    </row>
    <row r="21" spans="2:14" x14ac:dyDescent="0.2">
      <c r="N21" s="93"/>
    </row>
    <row r="22" spans="2:14" x14ac:dyDescent="0.2">
      <c r="C22" s="260" t="s">
        <v>238</v>
      </c>
      <c r="D22" s="260"/>
      <c r="E22" s="260"/>
      <c r="F22" s="260"/>
      <c r="G22" s="260"/>
      <c r="H22" s="260"/>
      <c r="I22" s="260"/>
      <c r="J22" s="260"/>
      <c r="K22" s="260"/>
      <c r="L22" s="260"/>
      <c r="N22" s="93"/>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3"/>
    </row>
    <row r="24" spans="2:14" x14ac:dyDescent="0.2">
      <c r="B24" s="1" t="s">
        <v>1</v>
      </c>
      <c r="C24" s="166">
        <f>Statement!M116</f>
        <v>33.43</v>
      </c>
      <c r="D24" s="166">
        <f>Statement!N116</f>
        <v>14.57</v>
      </c>
      <c r="E24" s="166">
        <f>Statement!O116</f>
        <v>23.85</v>
      </c>
      <c r="F24" s="166">
        <f>Statement!P116</f>
        <v>14.58</v>
      </c>
      <c r="G24" s="167">
        <f>Statement!Q116</f>
        <v>12.59</v>
      </c>
      <c r="H24" s="158"/>
      <c r="I24" s="158"/>
      <c r="J24" s="158"/>
      <c r="K24" s="158"/>
      <c r="L24" s="158"/>
      <c r="N24" s="93"/>
    </row>
    <row r="25" spans="2:14" x14ac:dyDescent="0.2">
      <c r="N25" s="93"/>
    </row>
    <row r="26" spans="2:14" x14ac:dyDescent="0.2">
      <c r="N26" s="93"/>
    </row>
    <row r="27" spans="2:14" x14ac:dyDescent="0.2">
      <c r="C27" s="260" t="s">
        <v>239</v>
      </c>
      <c r="D27" s="260"/>
      <c r="E27" s="260"/>
      <c r="F27" s="260"/>
      <c r="G27" s="260"/>
      <c r="H27" s="260"/>
      <c r="I27" s="260"/>
      <c r="J27" s="260"/>
      <c r="K27" s="260"/>
      <c r="L27" s="260"/>
      <c r="N27" s="93"/>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3"/>
    </row>
    <row r="29" spans="2:14" x14ac:dyDescent="0.2">
      <c r="B29" s="16" t="s">
        <v>240</v>
      </c>
      <c r="C29" s="168">
        <f>C24/(C6/C19)</f>
        <v>17.03343197885799</v>
      </c>
      <c r="D29" s="168">
        <f t="shared" ref="D29:G29" si="9">D24/(D6/D19)</f>
        <v>7.5428149003241138</v>
      </c>
      <c r="E29" s="168">
        <f t="shared" si="9"/>
        <v>11.921699837623619</v>
      </c>
      <c r="F29" s="168">
        <f t="shared" si="9"/>
        <v>5.7103089537122012</v>
      </c>
      <c r="G29" s="169">
        <f t="shared" si="9"/>
        <v>4.2592243004348767</v>
      </c>
      <c r="H29" s="158"/>
      <c r="I29" s="158"/>
      <c r="J29" s="158"/>
      <c r="K29" s="158"/>
      <c r="L29" s="158"/>
      <c r="N29" s="93"/>
    </row>
    <row r="30" spans="2:14" x14ac:dyDescent="0.2">
      <c r="B30" s="1" t="s">
        <v>241</v>
      </c>
      <c r="C30" s="162">
        <f>C24*C19</f>
        <v>15198113.75</v>
      </c>
      <c r="D30" s="162">
        <f t="shared" ref="D30:G30" si="10">D24*D19</f>
        <v>7984680.54</v>
      </c>
      <c r="E30" s="162">
        <f t="shared" si="10"/>
        <v>15594441.75</v>
      </c>
      <c r="F30" s="162">
        <f t="shared" si="10"/>
        <v>8163823.1399999997</v>
      </c>
      <c r="G30" s="170">
        <f t="shared" si="10"/>
        <v>6859787.4000000004</v>
      </c>
      <c r="H30" s="158"/>
      <c r="I30" s="158"/>
      <c r="J30" s="158"/>
      <c r="K30" s="158"/>
      <c r="L30" s="158"/>
      <c r="N30" s="93"/>
    </row>
    <row r="31" spans="2:14" x14ac:dyDescent="0.2">
      <c r="B31" s="1" t="s">
        <v>208</v>
      </c>
      <c r="C31" s="90">
        <f>Statement!M108</f>
        <v>0</v>
      </c>
      <c r="D31" s="171">
        <f>Statement!N108</f>
        <v>0</v>
      </c>
      <c r="E31" s="171">
        <f>Statement!O108</f>
        <v>0</v>
      </c>
      <c r="F31" s="171">
        <f>Statement!P108</f>
        <v>0</v>
      </c>
      <c r="G31" s="172">
        <f>Statement!Q108</f>
        <v>0</v>
      </c>
      <c r="H31" s="158"/>
      <c r="I31" s="158"/>
      <c r="J31" s="158"/>
      <c r="K31" s="158"/>
      <c r="L31" s="158"/>
      <c r="N31" s="93"/>
    </row>
    <row r="32" spans="2:14" x14ac:dyDescent="0.2">
      <c r="B32" s="1" t="s">
        <v>217</v>
      </c>
      <c r="C32" s="171">
        <f>Statement!M107</f>
        <v>1884663</v>
      </c>
      <c r="D32" s="171">
        <f>Statement!N107</f>
        <v>1759835</v>
      </c>
      <c r="E32" s="171">
        <f>Statement!O107</f>
        <v>1879823</v>
      </c>
      <c r="F32" s="171">
        <f>Statement!P107</f>
        <v>1723631</v>
      </c>
      <c r="G32" s="172">
        <f>Statement!Q107</f>
        <v>1689476</v>
      </c>
      <c r="H32" s="158"/>
      <c r="I32" s="158"/>
      <c r="J32" s="158"/>
      <c r="K32" s="158"/>
      <c r="L32" s="158"/>
      <c r="N32" s="93"/>
    </row>
    <row r="33" spans="2:14" x14ac:dyDescent="0.2">
      <c r="B33" s="1" t="s">
        <v>242</v>
      </c>
      <c r="C33" s="162">
        <f>C30+C31-C32</f>
        <v>13313450.75</v>
      </c>
      <c r="D33" s="162">
        <f t="shared" ref="D33:G33" si="11">D30+D31-D32</f>
        <v>6224845.54</v>
      </c>
      <c r="E33" s="162">
        <f t="shared" si="11"/>
        <v>13714618.75</v>
      </c>
      <c r="F33" s="162">
        <f t="shared" si="11"/>
        <v>6440192.1399999997</v>
      </c>
      <c r="G33" s="170">
        <f t="shared" si="11"/>
        <v>5170311.4000000004</v>
      </c>
      <c r="H33" s="158"/>
      <c r="I33" s="158"/>
      <c r="J33" s="158"/>
      <c r="K33" s="158"/>
      <c r="L33" s="158"/>
      <c r="N33" s="93"/>
    </row>
    <row r="34" spans="2:14" x14ac:dyDescent="0.2">
      <c r="B34" s="16" t="s">
        <v>243</v>
      </c>
      <c r="C34" s="168">
        <f>C33/C7</f>
        <v>-26.57661853772662</v>
      </c>
      <c r="D34" s="168">
        <f t="shared" ref="D34:G34" si="12">D33/D7</f>
        <v>-17.872952570179997</v>
      </c>
      <c r="E34" s="168">
        <f t="shared" si="12"/>
        <v>-83.260191537153958</v>
      </c>
      <c r="F34" s="168">
        <f t="shared" si="12"/>
        <v>-39.615130436922165</v>
      </c>
      <c r="G34" s="169">
        <f t="shared" si="12"/>
        <v>91.090757575757578</v>
      </c>
      <c r="H34" s="158"/>
      <c r="I34" s="158"/>
      <c r="J34" s="158"/>
      <c r="K34" s="158"/>
      <c r="L34" s="158"/>
      <c r="N34" s="93"/>
    </row>
    <row r="35" spans="2:14" x14ac:dyDescent="0.2">
      <c r="B35" s="16" t="s">
        <v>367</v>
      </c>
      <c r="C35" s="168">
        <f>C33/C8</f>
        <v>-22.043158871603321</v>
      </c>
      <c r="D35" s="168">
        <f t="shared" ref="D35:G35" si="13">D33/D8</f>
        <v>-12.448147509708797</v>
      </c>
      <c r="E35" s="168">
        <f t="shared" si="13"/>
        <v>-63.37829204271857</v>
      </c>
      <c r="F35" s="168">
        <f t="shared" si="13"/>
        <v>-31.877089470974894</v>
      </c>
      <c r="G35" s="169">
        <f t="shared" si="13"/>
        <v>-54.697240970738214</v>
      </c>
      <c r="H35" s="158"/>
      <c r="I35" s="158"/>
      <c r="J35" s="158"/>
      <c r="K35" s="158"/>
      <c r="L35" s="158"/>
      <c r="N35" s="93"/>
    </row>
    <row r="36" spans="2:14" x14ac:dyDescent="0.2">
      <c r="B36" s="16" t="s">
        <v>429</v>
      </c>
      <c r="C36" s="168">
        <f>C33/C6</f>
        <v>14.921177817477574</v>
      </c>
      <c r="D36" s="168">
        <f t="shared" ref="D36:G36" si="14">D33/D6</f>
        <v>5.8803677186724492</v>
      </c>
      <c r="E36" s="168">
        <f t="shared" si="14"/>
        <v>10.48460539633904</v>
      </c>
      <c r="F36" s="168">
        <f t="shared" si="14"/>
        <v>4.5046893116144773</v>
      </c>
      <c r="G36" s="169">
        <f t="shared" si="14"/>
        <v>3.2102330103838885</v>
      </c>
      <c r="H36" s="158"/>
      <c r="I36" s="158"/>
      <c r="J36" s="158"/>
      <c r="K36" s="158"/>
      <c r="L36" s="158"/>
      <c r="N36" s="93"/>
    </row>
    <row r="37" spans="2:14" x14ac:dyDescent="0.2">
      <c r="N37" s="93"/>
    </row>
    <row r="38" spans="2:14" x14ac:dyDescent="0.2">
      <c r="N38" s="93"/>
    </row>
    <row r="39" spans="2:14" x14ac:dyDescent="0.2">
      <c r="B39" s="254" t="s">
        <v>244</v>
      </c>
      <c r="C39" s="254"/>
      <c r="N39" s="93"/>
    </row>
    <row r="40" spans="2:14" x14ac:dyDescent="0.2">
      <c r="B40" s="1" t="s">
        <v>245</v>
      </c>
      <c r="C40" s="64">
        <f>L7</f>
        <v>427920.24826000072</v>
      </c>
    </row>
    <row r="41" spans="2:14" x14ac:dyDescent="0.2">
      <c r="B41" s="1" t="s">
        <v>204</v>
      </c>
      <c r="C41" s="156">
        <f>IF(Overview!C28&gt;0,Overview!C28,WACC!C20)</f>
        <v>0.1</v>
      </c>
    </row>
    <row r="42" spans="2:14" x14ac:dyDescent="0.2">
      <c r="B42" s="39" t="s">
        <v>246</v>
      </c>
      <c r="C42" s="114">
        <v>25</v>
      </c>
    </row>
    <row r="43" spans="2:14" x14ac:dyDescent="0.2">
      <c r="B43" s="1" t="s">
        <v>425</v>
      </c>
      <c r="C43" s="24">
        <f>(C40*C42)</f>
        <v>10698006.206500018</v>
      </c>
    </row>
    <row r="44" spans="2:14" x14ac:dyDescent="0.2">
      <c r="B44" s="1" t="s">
        <v>426</v>
      </c>
      <c r="C44" s="24">
        <f>C43/(1+C41)^5</f>
        <v>6642620.1678350428</v>
      </c>
    </row>
    <row r="45" spans="2:14" x14ac:dyDescent="0.2">
      <c r="B45" s="16" t="s">
        <v>427</v>
      </c>
      <c r="C45" s="127">
        <f>SUM(H9:K9)+C44</f>
        <v>6724958.1072617248</v>
      </c>
    </row>
    <row r="46" spans="2:14" x14ac:dyDescent="0.2">
      <c r="B46" s="1" t="s">
        <v>228</v>
      </c>
      <c r="C46" s="90">
        <f>Statement!AC107</f>
        <v>1405025</v>
      </c>
    </row>
    <row r="47" spans="2:14" x14ac:dyDescent="0.2">
      <c r="B47" s="1" t="s">
        <v>229</v>
      </c>
      <c r="C47" s="90">
        <f>Statement!AC108</f>
        <v>0</v>
      </c>
    </row>
    <row r="48" spans="2:14" x14ac:dyDescent="0.2">
      <c r="B48" s="16" t="s">
        <v>230</v>
      </c>
      <c r="C48" s="127">
        <f>C45+C46-C47</f>
        <v>8129983.1072617248</v>
      </c>
    </row>
    <row r="49" spans="2:3" x14ac:dyDescent="0.2">
      <c r="B49" s="1" t="s">
        <v>70</v>
      </c>
      <c r="C49" s="90">
        <f>Statement!AC78</f>
        <v>524515</v>
      </c>
    </row>
    <row r="50" spans="2:3" x14ac:dyDescent="0.2">
      <c r="B50" s="249" t="s">
        <v>248</v>
      </c>
      <c r="C50" s="250">
        <f>C48/C49</f>
        <v>15.500001157758549</v>
      </c>
    </row>
    <row r="52" spans="2:3" x14ac:dyDescent="0.2">
      <c r="B52" s="254" t="s">
        <v>249</v>
      </c>
      <c r="C52" s="254"/>
    </row>
    <row r="53" spans="2:3" x14ac:dyDescent="0.2">
      <c r="B53" s="1" t="s">
        <v>250</v>
      </c>
      <c r="C53" s="64">
        <f>L6</f>
        <v>2473527.4465896003</v>
      </c>
    </row>
    <row r="54" spans="2:3" x14ac:dyDescent="0.2">
      <c r="B54" s="1" t="s">
        <v>397</v>
      </c>
      <c r="C54" s="156">
        <f>IF(Overview!C29&gt;0,Overview!C29,WACC!C19)</f>
        <v>0.12</v>
      </c>
    </row>
    <row r="55" spans="2:3" x14ac:dyDescent="0.2">
      <c r="B55" s="39" t="s">
        <v>251</v>
      </c>
      <c r="C55" s="114">
        <v>4</v>
      </c>
    </row>
    <row r="56" spans="2:3" x14ac:dyDescent="0.2">
      <c r="B56" s="1" t="s">
        <v>247</v>
      </c>
      <c r="C56" s="24">
        <f>L19</f>
        <v>482510.33681860787</v>
      </c>
    </row>
    <row r="57" spans="2:3" x14ac:dyDescent="0.2">
      <c r="B57" s="1" t="s">
        <v>231</v>
      </c>
      <c r="C57" s="24">
        <f>(C53*C55)/C56</f>
        <v>20.505487719899222</v>
      </c>
    </row>
    <row r="58" spans="2:3" x14ac:dyDescent="0.2">
      <c r="B58" s="249" t="s">
        <v>248</v>
      </c>
      <c r="C58" s="250">
        <f>C57/(1+C54)^5</f>
        <v>11.635364421878764</v>
      </c>
    </row>
    <row r="60" spans="2:3" x14ac:dyDescent="0.2">
      <c r="B60" s="254" t="s">
        <v>368</v>
      </c>
      <c r="C60" s="254"/>
    </row>
    <row r="61" spans="2:3" x14ac:dyDescent="0.2">
      <c r="B61" s="1" t="s">
        <v>428</v>
      </c>
      <c r="C61" s="64">
        <f>L8</f>
        <v>199738.80479990577</v>
      </c>
    </row>
    <row r="62" spans="2:3" x14ac:dyDescent="0.2">
      <c r="B62" s="1" t="s">
        <v>204</v>
      </c>
      <c r="C62" s="156">
        <f>IF(Overview!C28&gt;0,Overview!C28,WACC!C20)</f>
        <v>0.1</v>
      </c>
    </row>
    <row r="63" spans="2:3" x14ac:dyDescent="0.2">
      <c r="B63" s="39" t="s">
        <v>398</v>
      </c>
      <c r="C63" s="114">
        <v>30</v>
      </c>
    </row>
    <row r="64" spans="2:3" x14ac:dyDescent="0.2">
      <c r="B64" s="1" t="s">
        <v>425</v>
      </c>
      <c r="C64" s="24">
        <f>(C61*C63)</f>
        <v>5992164.1439971728</v>
      </c>
    </row>
    <row r="65" spans="2:3" x14ac:dyDescent="0.2">
      <c r="B65" s="1" t="s">
        <v>426</v>
      </c>
      <c r="C65" s="24">
        <f>C64/(1+C62)^5</f>
        <v>3720662.4882783531</v>
      </c>
    </row>
    <row r="66" spans="2:3" x14ac:dyDescent="0.2">
      <c r="B66" s="16" t="s">
        <v>427</v>
      </c>
      <c r="C66" s="127">
        <f>SUM(H9:K9)+C65</f>
        <v>3803000.4277050351</v>
      </c>
    </row>
    <row r="67" spans="2:3" x14ac:dyDescent="0.2">
      <c r="B67" s="1" t="s">
        <v>228</v>
      </c>
      <c r="C67" s="90">
        <f>Statement!AC107</f>
        <v>1405025</v>
      </c>
    </row>
    <row r="68" spans="2:3" x14ac:dyDescent="0.2">
      <c r="B68" s="1" t="s">
        <v>229</v>
      </c>
      <c r="C68" s="90">
        <f>Statement!AC108</f>
        <v>0</v>
      </c>
    </row>
    <row r="69" spans="2:3" x14ac:dyDescent="0.2">
      <c r="B69" s="16" t="s">
        <v>230</v>
      </c>
      <c r="C69" s="127">
        <f>C66+C67-C68</f>
        <v>5208025.4277050346</v>
      </c>
    </row>
    <row r="70" spans="2:3" x14ac:dyDescent="0.2">
      <c r="B70" s="1" t="s">
        <v>70</v>
      </c>
      <c r="C70" s="90">
        <f>Statement!AC78</f>
        <v>524515</v>
      </c>
    </row>
    <row r="71" spans="2:3" x14ac:dyDescent="0.2">
      <c r="B71" s="249" t="s">
        <v>248</v>
      </c>
      <c r="C71" s="250">
        <f>C69/C70</f>
        <v>9.9292211427795856</v>
      </c>
    </row>
    <row r="73" spans="2:3" x14ac:dyDescent="0.2">
      <c r="B73" s="254" t="s">
        <v>430</v>
      </c>
      <c r="C73" s="254"/>
    </row>
    <row r="74" spans="2:3" x14ac:dyDescent="0.2">
      <c r="B74" s="1" t="s">
        <v>431</v>
      </c>
      <c r="C74" s="64">
        <f>L6</f>
        <v>2473527.4465896003</v>
      </c>
    </row>
    <row r="75" spans="2:3" x14ac:dyDescent="0.2">
      <c r="B75" s="1" t="s">
        <v>204</v>
      </c>
      <c r="C75" s="156">
        <f>IF(Overview!C28&gt;0,Overview!C28,WACC!C20)</f>
        <v>0.1</v>
      </c>
    </row>
    <row r="76" spans="2:3" x14ac:dyDescent="0.2">
      <c r="B76" s="39" t="s">
        <v>432</v>
      </c>
      <c r="C76" s="114">
        <v>3</v>
      </c>
    </row>
    <row r="77" spans="2:3" x14ac:dyDescent="0.2">
      <c r="B77" s="1" t="s">
        <v>425</v>
      </c>
      <c r="C77" s="24">
        <f>(C74*C76)</f>
        <v>7420582.3397688009</v>
      </c>
    </row>
    <row r="78" spans="2:3" x14ac:dyDescent="0.2">
      <c r="B78" s="1" t="s">
        <v>426</v>
      </c>
      <c r="C78" s="24">
        <f>C77/(1+C75)^5</f>
        <v>4607597.8042786438</v>
      </c>
    </row>
    <row r="79" spans="2:3" x14ac:dyDescent="0.2">
      <c r="B79" s="16" t="s">
        <v>427</v>
      </c>
      <c r="C79" s="127">
        <f>SUM(H9:K9)+C78</f>
        <v>4689935.7437053258</v>
      </c>
    </row>
    <row r="80" spans="2:3" x14ac:dyDescent="0.2">
      <c r="B80" s="1" t="s">
        <v>228</v>
      </c>
      <c r="C80" s="90">
        <f>Statement!AC107</f>
        <v>1405025</v>
      </c>
    </row>
    <row r="81" spans="2:3" x14ac:dyDescent="0.2">
      <c r="B81" s="1" t="s">
        <v>229</v>
      </c>
      <c r="C81" s="90">
        <f>Statement!AC108</f>
        <v>0</v>
      </c>
    </row>
    <row r="82" spans="2:3" x14ac:dyDescent="0.2">
      <c r="B82" s="16" t="s">
        <v>230</v>
      </c>
      <c r="C82" s="127">
        <f>C79+C80-C81</f>
        <v>6094960.7437053258</v>
      </c>
    </row>
    <row r="83" spans="2:3" x14ac:dyDescent="0.2">
      <c r="B83" s="1" t="s">
        <v>70</v>
      </c>
      <c r="C83" s="90">
        <f>Statement!AC78</f>
        <v>524515</v>
      </c>
    </row>
    <row r="84" spans="2:3" x14ac:dyDescent="0.2">
      <c r="B84" s="249" t="s">
        <v>248</v>
      </c>
      <c r="C84" s="250">
        <f>C82/C83</f>
        <v>11.620183872158711</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252</v>
      </c>
    </row>
    <row r="2" spans="1:14" x14ac:dyDescent="0.2">
      <c r="N2" s="93"/>
    </row>
    <row r="3" spans="1:14" x14ac:dyDescent="0.2">
      <c r="N3" s="93"/>
    </row>
    <row r="4" spans="1:14" x14ac:dyDescent="0.2">
      <c r="B4" s="254" t="s">
        <v>253</v>
      </c>
      <c r="C4" s="254"/>
      <c r="N4" s="93"/>
    </row>
    <row r="5" spans="1:14" x14ac:dyDescent="0.2">
      <c r="B5" s="1" t="s">
        <v>254</v>
      </c>
      <c r="C5" s="154">
        <f>DCF!C26</f>
        <v>6.0868928055205176</v>
      </c>
    </row>
    <row r="6" spans="1:14" x14ac:dyDescent="0.2">
      <c r="B6" s="1" t="s">
        <v>255</v>
      </c>
      <c r="C6" s="154">
        <f>Multiples!C50</f>
        <v>15.500001157758549</v>
      </c>
    </row>
    <row r="7" spans="1:14" x14ac:dyDescent="0.2">
      <c r="B7" s="1" t="s">
        <v>256</v>
      </c>
      <c r="C7" s="154">
        <f>Multiples!C58</f>
        <v>11.635364421878764</v>
      </c>
    </row>
    <row r="8" spans="1:14" x14ac:dyDescent="0.2">
      <c r="B8" s="1" t="s">
        <v>369</v>
      </c>
      <c r="C8" s="154">
        <f>Multiples!C71</f>
        <v>9.9292211427795856</v>
      </c>
    </row>
    <row r="9" spans="1:14" x14ac:dyDescent="0.2">
      <c r="B9" s="1" t="s">
        <v>429</v>
      </c>
      <c r="C9" s="154">
        <f>Multiples!C84</f>
        <v>11.620183872158711</v>
      </c>
    </row>
    <row r="10" spans="1:14" x14ac:dyDescent="0.2">
      <c r="B10" s="249" t="s">
        <v>257</v>
      </c>
      <c r="C10" s="250">
        <f>AVERAGE(C5:C9)</f>
        <v>10.954332680019224</v>
      </c>
    </row>
    <row r="11" spans="1:14" x14ac:dyDescent="0.2">
      <c r="B11" s="1" t="s">
        <v>258</v>
      </c>
      <c r="C11" s="154">
        <f ca="1">Overview!C5</f>
        <v>13.48</v>
      </c>
    </row>
    <row r="12" spans="1:14" x14ac:dyDescent="0.2">
      <c r="B12" s="1" t="s">
        <v>259</v>
      </c>
      <c r="C12" s="173">
        <f ca="1">(C10-C11)/C11</f>
        <v>-0.18736404450895966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B27" sqref="B2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409</v>
      </c>
    </row>
    <row r="2" spans="1:14" x14ac:dyDescent="0.2">
      <c r="A2" s="4"/>
      <c r="C2" s="254" t="s">
        <v>135</v>
      </c>
      <c r="D2" s="254"/>
      <c r="E2" s="254"/>
      <c r="F2" s="254"/>
      <c r="G2" s="263"/>
      <c r="H2" s="264" t="s">
        <v>136</v>
      </c>
      <c r="I2" s="254"/>
      <c r="J2" s="254"/>
      <c r="K2" s="254"/>
      <c r="L2" s="254"/>
    </row>
    <row r="3" spans="1:14" ht="10" customHeight="1" x14ac:dyDescent="0.2"/>
    <row r="4" spans="1:14" ht="16" customHeight="1" x14ac:dyDescent="0.2">
      <c r="A4" s="88"/>
      <c r="B4" s="60"/>
      <c r="C4" s="260" t="s">
        <v>233</v>
      </c>
      <c r="D4" s="260"/>
      <c r="E4" s="260"/>
      <c r="F4" s="260"/>
      <c r="G4" s="260"/>
      <c r="H4" s="260"/>
      <c r="I4" s="260"/>
      <c r="J4" s="260"/>
      <c r="K4" s="260"/>
      <c r="L4" s="260"/>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285</v>
      </c>
      <c r="C6" s="245">
        <f>Statement!M26</f>
        <v>-1.1599999999999999</v>
      </c>
      <c r="D6" s="245">
        <f>Statement!N26</f>
        <v>-0.6</v>
      </c>
      <c r="E6" s="245">
        <f>Statement!O26</f>
        <v>-0.16</v>
      </c>
      <c r="F6" s="245">
        <f>Statement!P26</f>
        <v>-0.13</v>
      </c>
      <c r="G6" s="246">
        <f>Statement!Q26</f>
        <v>0.52</v>
      </c>
      <c r="H6" s="158"/>
      <c r="I6" s="158"/>
      <c r="J6" s="158"/>
      <c r="K6" s="158"/>
      <c r="L6" s="158"/>
      <c r="N6" s="93"/>
    </row>
    <row r="7" spans="1:14" x14ac:dyDescent="0.2">
      <c r="B7" s="16" t="s">
        <v>410</v>
      </c>
      <c r="C7" s="245">
        <f>Statement!M82</f>
        <v>0</v>
      </c>
      <c r="D7" s="245">
        <f>Statement!N82</f>
        <v>0</v>
      </c>
      <c r="E7" s="245">
        <f>Statement!O82</f>
        <v>0</v>
      </c>
      <c r="F7" s="245">
        <f>Statement!P82</f>
        <v>0</v>
      </c>
      <c r="G7" s="246">
        <f>Statement!Q82</f>
        <v>0</v>
      </c>
      <c r="H7" s="158"/>
      <c r="I7" s="158"/>
      <c r="J7" s="158"/>
      <c r="K7" s="158"/>
      <c r="L7" s="158"/>
      <c r="N7" s="93"/>
    </row>
    <row r="8" spans="1:14" x14ac:dyDescent="0.2">
      <c r="N8" s="93"/>
    </row>
    <row r="9" spans="1:14" x14ac:dyDescent="0.2">
      <c r="C9" s="260" t="s">
        <v>144</v>
      </c>
      <c r="D9" s="260"/>
      <c r="E9" s="260"/>
      <c r="F9" s="260"/>
      <c r="G9" s="260"/>
      <c r="H9" s="260"/>
      <c r="I9" s="260"/>
      <c r="J9" s="260"/>
      <c r="K9" s="260"/>
      <c r="L9" s="260"/>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285</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286</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60" t="s">
        <v>411</v>
      </c>
      <c r="D14" s="260"/>
      <c r="E14" s="260"/>
      <c r="F14" s="260"/>
      <c r="G14" s="260"/>
      <c r="H14" s="260"/>
      <c r="I14" s="260"/>
      <c r="J14" s="260"/>
      <c r="K14" s="260"/>
      <c r="L14" s="260"/>
      <c r="N14" s="93"/>
    </row>
    <row r="15" spans="1:14" x14ac:dyDescent="0.2">
      <c r="B15" s="16" t="s">
        <v>380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412</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4" t="s">
        <v>413</v>
      </c>
      <c r="C20" s="254"/>
      <c r="N20" s="93"/>
    </row>
    <row r="21" spans="2:14" x14ac:dyDescent="0.2">
      <c r="B21" s="1" t="s">
        <v>414</v>
      </c>
      <c r="C21" s="122">
        <f>G7</f>
        <v>0</v>
      </c>
    </row>
    <row r="22" spans="2:14" x14ac:dyDescent="0.2">
      <c r="B22" s="1" t="s">
        <v>415</v>
      </c>
      <c r="C22" s="247">
        <v>0</v>
      </c>
    </row>
    <row r="23" spans="2:14" x14ac:dyDescent="0.2">
      <c r="B23" s="39" t="s">
        <v>416</v>
      </c>
      <c r="C23" s="248">
        <f>C21*(1+C22)</f>
        <v>0</v>
      </c>
    </row>
    <row r="24" spans="2:14" x14ac:dyDescent="0.2">
      <c r="B24" s="1" t="s">
        <v>397</v>
      </c>
      <c r="C24" s="156">
        <f>IF(Overview!C29&gt;0,Overview!C29,WACC!C19)</f>
        <v>0.12</v>
      </c>
    </row>
    <row r="25" spans="2:14" x14ac:dyDescent="0.2">
      <c r="B25" s="39" t="s">
        <v>417</v>
      </c>
      <c r="C25" s="247">
        <v>0</v>
      </c>
    </row>
    <row r="26" spans="2:14" x14ac:dyDescent="0.2">
      <c r="B26" s="249" t="s">
        <v>248</v>
      </c>
      <c r="C26" s="250">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260</v>
      </c>
    </row>
    <row r="2" spans="1:28" s="85" customFormat="1" ht="18" customHeight="1" x14ac:dyDescent="0.2">
      <c r="A2" s="4"/>
      <c r="B2" s="84"/>
    </row>
    <row r="3" spans="1:28" x14ac:dyDescent="0.2">
      <c r="A3" s="4"/>
      <c r="C3" s="254" t="s">
        <v>135</v>
      </c>
      <c r="D3" s="254"/>
      <c r="E3" s="254"/>
      <c r="F3" s="254"/>
      <c r="G3" s="263"/>
      <c r="H3" s="264" t="s">
        <v>136</v>
      </c>
      <c r="I3" s="254"/>
      <c r="J3" s="254"/>
      <c r="K3" s="254"/>
      <c r="L3" s="254"/>
      <c r="P3" s="265"/>
      <c r="Q3" s="265"/>
      <c r="R3" s="265"/>
      <c r="S3" s="265"/>
      <c r="T3" s="265"/>
      <c r="U3" s="265"/>
      <c r="V3" s="265"/>
      <c r="W3" s="265"/>
      <c r="X3" s="265"/>
      <c r="Y3" s="265"/>
      <c r="Z3" s="265"/>
      <c r="AB3" s="130"/>
    </row>
    <row r="4" spans="1:28" ht="10" customHeight="1" x14ac:dyDescent="0.2"/>
    <row r="5" spans="1:28" ht="16" customHeight="1" x14ac:dyDescent="0.2">
      <c r="A5" s="88"/>
      <c r="B5" s="60"/>
      <c r="C5" s="260" t="s">
        <v>219</v>
      </c>
      <c r="D5" s="260"/>
      <c r="E5" s="260"/>
      <c r="F5" s="260"/>
      <c r="G5" s="260"/>
      <c r="H5" s="260"/>
      <c r="I5" s="260"/>
      <c r="J5" s="260"/>
      <c r="K5" s="260"/>
      <c r="L5" s="260"/>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v>8000</v>
      </c>
      <c r="H7" s="147">
        <f>G7*(1+$C$17)</f>
        <v>19200</v>
      </c>
      <c r="I7" s="147">
        <f t="shared" ref="I7:L7" si="0">H7*(1+$C$17)</f>
        <v>46080</v>
      </c>
      <c r="J7" s="147">
        <f t="shared" si="0"/>
        <v>110592</v>
      </c>
      <c r="K7" s="147">
        <f t="shared" si="0"/>
        <v>265420.79999999999</v>
      </c>
      <c r="L7" s="147">
        <f t="shared" si="0"/>
        <v>637009.91999999993</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L7*(1+C20)/(C21-C20)</f>
        <v>8121876.4799999986</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H7/(1+$C$21)^H9</f>
        <v>17454.545454545452</v>
      </c>
      <c r="I10" s="147">
        <f t="shared" ref="I10:L10" si="1">I7/(1+$C$21)^I9</f>
        <v>38082.644628099166</v>
      </c>
      <c r="J10" s="147">
        <f t="shared" si="1"/>
        <v>83089.40646130727</v>
      </c>
      <c r="K10" s="147">
        <f t="shared" si="1"/>
        <v>181285.9777337613</v>
      </c>
      <c r="L10" s="147">
        <f t="shared" si="1"/>
        <v>395533.04232820641</v>
      </c>
      <c r="N10" s="93"/>
    </row>
    <row r="11" spans="1:28" x14ac:dyDescent="0.2">
      <c r="B11" s="1" t="s">
        <v>222</v>
      </c>
      <c r="C11" s="158"/>
      <c r="D11" s="158"/>
      <c r="E11" s="158"/>
      <c r="F11" s="158"/>
      <c r="G11" s="159"/>
      <c r="H11" s="158"/>
      <c r="I11" s="158"/>
      <c r="J11" s="158"/>
      <c r="K11" s="158"/>
      <c r="L11" s="147">
        <f>L8/(1+C21)^L9</f>
        <v>5043046.2896846319</v>
      </c>
    </row>
    <row r="13" spans="1:28" ht="17" thickBot="1" x14ac:dyDescent="0.25"/>
    <row r="14" spans="1:28" x14ac:dyDescent="0.2">
      <c r="B14" s="266" t="s">
        <v>261</v>
      </c>
      <c r="C14" s="267"/>
    </row>
    <row r="15" spans="1:28" x14ac:dyDescent="0.2">
      <c r="B15" s="174" t="s">
        <v>262</v>
      </c>
      <c r="C15" s="175">
        <f ca="1">Overview!C5</f>
        <v>13.48</v>
      </c>
    </row>
    <row r="16" spans="1:28" x14ac:dyDescent="0.2">
      <c r="B16" s="174" t="s">
        <v>263</v>
      </c>
      <c r="C16" s="175">
        <f>C36</f>
        <v>13.745436887017615</v>
      </c>
    </row>
    <row r="17" spans="2:9" ht="17" thickBot="1" x14ac:dyDescent="0.25">
      <c r="B17" s="176" t="s">
        <v>370</v>
      </c>
      <c r="C17" s="177">
        <v>1.4</v>
      </c>
      <c r="E17" s="268" t="s">
        <v>264</v>
      </c>
      <c r="F17" s="268"/>
      <c r="G17" s="268"/>
      <c r="H17" s="268"/>
      <c r="I17" s="268"/>
    </row>
    <row r="18" spans="2:9" ht="17" thickBot="1" x14ac:dyDescent="0.25"/>
    <row r="19" spans="2:9" x14ac:dyDescent="0.2">
      <c r="B19" s="266" t="s">
        <v>223</v>
      </c>
      <c r="C19" s="267"/>
    </row>
    <row r="20" spans="2:9" x14ac:dyDescent="0.2">
      <c r="B20" s="178" t="s">
        <v>224</v>
      </c>
      <c r="C20" s="179">
        <v>0.02</v>
      </c>
    </row>
    <row r="21" spans="2:9" x14ac:dyDescent="0.2">
      <c r="B21" s="178" t="s">
        <v>204</v>
      </c>
      <c r="C21" s="239">
        <f>IF(Overview!C28&gt;0,Overview!C28,WACC!C20)</f>
        <v>0.1</v>
      </c>
    </row>
    <row r="22" spans="2:9" x14ac:dyDescent="0.2">
      <c r="B22" s="178" t="s">
        <v>70</v>
      </c>
      <c r="C22" s="240">
        <f>Statement!AC75</f>
        <v>521156</v>
      </c>
    </row>
    <row r="23" spans="2:9" x14ac:dyDescent="0.2">
      <c r="B23" s="178" t="s">
        <v>265</v>
      </c>
      <c r="C23" s="180">
        <f ca="1">C15*C22</f>
        <v>7025182.8799999999</v>
      </c>
    </row>
    <row r="24" spans="2:9" x14ac:dyDescent="0.2">
      <c r="B24" s="178" t="s">
        <v>217</v>
      </c>
      <c r="C24" s="240">
        <f>Statement!AC107</f>
        <v>1405025</v>
      </c>
    </row>
    <row r="25" spans="2:9" x14ac:dyDescent="0.2">
      <c r="B25" s="178" t="s">
        <v>208</v>
      </c>
      <c r="C25" s="240">
        <f>Statement!AC108</f>
        <v>0</v>
      </c>
    </row>
    <row r="26" spans="2:9" ht="17" thickBot="1" x14ac:dyDescent="0.25">
      <c r="B26" s="176" t="s">
        <v>266</v>
      </c>
      <c r="C26" s="181">
        <f ca="1">C23+C25-C24</f>
        <v>5620157.8799999999</v>
      </c>
    </row>
    <row r="27" spans="2:9" ht="17" thickBot="1" x14ac:dyDescent="0.25"/>
    <row r="28" spans="2:9" x14ac:dyDescent="0.2">
      <c r="B28" s="266" t="s">
        <v>225</v>
      </c>
      <c r="C28" s="267"/>
    </row>
    <row r="29" spans="2:9" x14ac:dyDescent="0.2">
      <c r="B29" s="178" t="s">
        <v>226</v>
      </c>
      <c r="C29" s="180">
        <f>SUM(H10:L10)</f>
        <v>715445.61660591955</v>
      </c>
    </row>
    <row r="30" spans="2:9" x14ac:dyDescent="0.2">
      <c r="B30" s="178" t="s">
        <v>222</v>
      </c>
      <c r="C30" s="180">
        <f>L11</f>
        <v>5043046.2896846319</v>
      </c>
    </row>
    <row r="31" spans="2:9" x14ac:dyDescent="0.2">
      <c r="B31" s="182" t="s">
        <v>227</v>
      </c>
      <c r="C31" s="183">
        <f>C29+C30</f>
        <v>5758491.9062905516</v>
      </c>
    </row>
    <row r="32" spans="2:9" x14ac:dyDescent="0.2">
      <c r="B32" s="178" t="s">
        <v>228</v>
      </c>
      <c r="C32" s="184">
        <f>C24</f>
        <v>1405025</v>
      </c>
    </row>
    <row r="33" spans="2:3" x14ac:dyDescent="0.2">
      <c r="B33" s="178" t="s">
        <v>229</v>
      </c>
      <c r="C33" s="184">
        <f>C25</f>
        <v>0</v>
      </c>
    </row>
    <row r="34" spans="2:3" x14ac:dyDescent="0.2">
      <c r="B34" s="182" t="s">
        <v>230</v>
      </c>
      <c r="C34" s="183">
        <f>C31+C32-C33</f>
        <v>7163516.9062905516</v>
      </c>
    </row>
    <row r="35" spans="2:3" x14ac:dyDescent="0.2">
      <c r="B35" s="178" t="s">
        <v>70</v>
      </c>
      <c r="C35" s="180">
        <f>C22</f>
        <v>521156</v>
      </c>
    </row>
    <row r="36" spans="2:3" ht="17" thickBot="1" x14ac:dyDescent="0.25">
      <c r="B36" s="185" t="s">
        <v>231</v>
      </c>
      <c r="C36" s="186">
        <f>C34/C35</f>
        <v>13.745436887017615</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2026-10-11T17:34:32Z</dcterms:modified>
</cp:coreProperties>
</file>