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08CCA45-4C1E-BF44-9C2E-7F419BDB115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74" i="3" l="1"/>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1" i="12"/>
  <c r="C64" i="12"/>
  <c r="C44"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0"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0"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F19" i="12"/>
  <c r="D19" i="12"/>
  <c r="H12" i="12"/>
  <c r="G12" i="12"/>
  <c r="C29" i="12"/>
  <c r="E28" i="12"/>
  <c r="D28" i="12"/>
  <c r="G19" i="12"/>
  <c r="F12" i="12"/>
  <c r="E12" i="12"/>
  <c r="D12" i="12"/>
  <c r="G29" i="12"/>
  <c r="G8" i="8"/>
  <c r="D8" i="8"/>
  <c r="C46" i="7"/>
  <c r="G43" i="7"/>
  <c r="C43" i="7"/>
  <c r="F27" i="7"/>
  <c r="D12" i="7"/>
  <c r="V29" i="6"/>
  <c r="D26" i="6"/>
  <c r="F24" i="6"/>
  <c r="D36" i="7"/>
  <c r="D37" i="7" s="1"/>
  <c r="E27"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AC78" i="3" l="1"/>
  <c r="AA153" i="3"/>
  <c r="AA154" i="3" s="1"/>
  <c r="AC167" i="3"/>
  <c r="AC170" i="3"/>
  <c r="AC168" i="3"/>
  <c r="C63" i="12"/>
  <c r="C43"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s="1"/>
  <c r="J5" i="5"/>
  <c r="J6" i="14" s="1"/>
  <c r="J40"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H27" i="8" l="1"/>
  <c r="H28" i="8" s="1"/>
  <c r="H34" i="8"/>
  <c r="F13" i="12"/>
  <c r="J26" i="8"/>
  <c r="J19" i="8"/>
  <c r="J14" i="8"/>
  <c r="K5" i="8"/>
  <c r="K32" i="8" s="1"/>
  <c r="C59" i="12"/>
  <c r="C39" i="12"/>
  <c r="C15" i="11"/>
  <c r="C26" i="16"/>
  <c r="F23" i="16" s="1"/>
  <c r="F13" i="1"/>
  <c r="G13" i="12"/>
  <c r="E13" i="12"/>
  <c r="C33" i="12"/>
  <c r="D13" i="12"/>
  <c r="H7" i="12"/>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K15" i="5" s="1"/>
  <c r="L9" i="5"/>
  <c r="L23" i="5"/>
  <c r="L35" i="5" s="1"/>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I15" i="7" l="1"/>
  <c r="I30" i="7" s="1"/>
  <c r="I14" i="7"/>
  <c r="I29" i="7" s="1"/>
  <c r="I35" i="7" s="1"/>
  <c r="I22" i="8" s="1"/>
  <c r="L14" i="8"/>
  <c r="L19" i="8"/>
  <c r="L26" i="8"/>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L10" i="6"/>
  <c r="L22" i="6"/>
  <c r="C29" i="14"/>
  <c r="K27" i="12"/>
  <c r="K11" i="12"/>
  <c r="K17" i="12"/>
  <c r="K22" i="12"/>
  <c r="L42" i="14"/>
  <c r="L46" i="14"/>
  <c r="L44" i="14"/>
  <c r="L48" i="14" s="1"/>
  <c r="K47" i="14"/>
  <c r="K49" i="14"/>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1" i="12"/>
  <c r="L17" i="12"/>
  <c r="L22" i="12"/>
  <c r="L27" i="12"/>
  <c r="L49" i="14"/>
  <c r="L47" i="14"/>
  <c r="K14" i="5"/>
  <c r="L13" i="5"/>
  <c r="K30" i="7" l="1"/>
  <c r="K33" i="8"/>
  <c r="K10" i="8"/>
  <c r="J34" i="8"/>
  <c r="J27" i="8"/>
  <c r="J7" i="12"/>
  <c r="J13" i="12" s="1"/>
  <c r="L8" i="7"/>
  <c r="L7" i="8"/>
  <c r="L8" i="8" s="1"/>
  <c r="L33" i="8" s="1"/>
  <c r="J35" i="7"/>
  <c r="J22" i="8" s="1"/>
  <c r="K29" i="7"/>
  <c r="K35" i="7" s="1"/>
  <c r="K22" i="8" s="1"/>
  <c r="I13" i="12"/>
  <c r="L26" i="6"/>
  <c r="I7" i="11"/>
  <c r="I10" i="11" s="1"/>
  <c r="I8" i="12"/>
  <c r="L9" i="8"/>
  <c r="L30" i="6"/>
  <c r="K16" i="5"/>
  <c r="L14" i="5"/>
  <c r="J28" i="8" l="1"/>
  <c r="K34" i="8"/>
  <c r="K7" i="12"/>
  <c r="K13" i="12" s="1"/>
  <c r="K27" i="8"/>
  <c r="K28" i="8" s="1"/>
  <c r="L10" i="8"/>
  <c r="L15" i="7"/>
  <c r="L30" i="7" s="1"/>
  <c r="L14" i="7"/>
  <c r="L29" i="7" s="1"/>
  <c r="I14" i="12"/>
  <c r="L16" i="5"/>
  <c r="L35" i="7" l="1"/>
  <c r="L22" i="8" s="1"/>
  <c r="J8" i="12"/>
  <c r="J7" i="11"/>
  <c r="J10" i="11" s="1"/>
  <c r="K8" i="12"/>
  <c r="K7" i="11"/>
  <c r="K10" i="11" s="1"/>
  <c r="L34" i="8"/>
  <c r="L27" i="8"/>
  <c r="L7" i="12"/>
  <c r="AC66" i="3"/>
  <c r="L28" i="8" l="1"/>
  <c r="J14" i="12"/>
  <c r="K14" i="12"/>
  <c r="L13" i="12"/>
  <c r="C38" i="12"/>
  <c r="C41" i="12" s="1"/>
  <c r="C42" i="12" s="1"/>
  <c r="C45" i="12" s="1"/>
  <c r="C47" i="12" s="1"/>
  <c r="C6" i="13" s="1"/>
  <c r="I4" i="1" s="1"/>
  <c r="L8" i="12" l="1"/>
  <c r="L7" i="11"/>
  <c r="L14" i="12" l="1"/>
  <c r="C58" i="12"/>
  <c r="C61" i="12" s="1"/>
  <c r="C62" i="12" s="1"/>
  <c r="C65" i="12" s="1"/>
  <c r="C67" i="12" s="1"/>
  <c r="C8" i="13" s="1"/>
  <c r="L8" i="11"/>
  <c r="L11" i="11" s="1"/>
  <c r="C20" i="11" s="1"/>
  <c r="L10" i="11"/>
  <c r="C19" i="11" s="1"/>
  <c r="C21" i="11" l="1"/>
  <c r="C24" i="11" s="1"/>
  <c r="C26" i="11" s="1"/>
  <c r="C5" i="13" s="1"/>
  <c r="I6" i="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<sst xmlns="http://schemas.openxmlformats.org/spreadsheetml/2006/main" count="803" uniqueCount="434">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</sst>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1.0184</v>
    <v>-0.12</v>
    <v>-8.652E-3</v>
    <v>0.02</v>
    <v>1.4549999999999999E-3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14.465</v>
    <v>Software &amp; IT Services</v>
    <v>Stock</v>
    <v>46276.999695485938</v>
    <v>0</v>
    <v>13.74</v>
    <v>7165886750</v>
    <v>UIPATH, INC.</v>
    <v>UIPATH, INC.</v>
    <v>13.85</v>
    <v>20.683900000000001</v>
    <v>13.87</v>
    <v>13.75</v>
    <v>13.77</v>
    <v>521155400</v>
    <v>PATH</v>
    <v>UIPATH, INC. (XNYS:PATH)</v>
    <v>41791957</v>
    <v>67565227</v>
    <v>2015</v>
  </rv>
  <rv s="2">
    <v>1</v>
  </rv>
  <rv s="0">
    <v>https://www.bing.com/financeapi/forcetrigger?t=a33knm&amp;q=10+Y+TSY+YLD+NDX&amp;form=skydnc</v>
    <v>Learn more on Bing</v>
  </rv>
  <rv s="3">
    <v>5</v>
    <v>10 Y TSY YLD NDX</v>
    <v>6</v>
    <v>7</v>
    <v>Finance</v>
    <v>8</v>
    <v>en-US</v>
    <v>a33knm</v>
    <v>268435456</v>
    <v>1</v>
    <v>Powered by Refinitiv</v>
    <v>48.12</v>
    <v>39.47</v>
    <v>0.22</v>
    <v>4.62E-3</v>
    <v>US</v>
    <v>48.12</v>
    <v>Index</v>
    <v>3</v>
    <v>47.48</v>
    <v>10 Y TSY YLD NDX</v>
    <v>47.54</v>
    <v>47.62</v>
    <v>47.84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46" sqref="C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3" t="s">
        <v>18</v>
      </c>
      <c r="C2" s="254"/>
      <c r="E2" s="253" t="s">
        <v>334</v>
      </c>
      <c r="F2" s="254"/>
      <c r="H2" s="253" t="s">
        <v>379</v>
      </c>
      <c r="I2" s="254"/>
    </row>
    <row r="3" spans="2:9" x14ac:dyDescent="0.2">
      <c r="B3" s="206" t="s">
        <v>11</v>
      </c>
      <c r="C3" s="238" t="e" vm="1">
        <v>#VALUE!</v>
      </c>
      <c r="D3" s="2"/>
      <c r="E3" s="206" t="s">
        <v>286</v>
      </c>
      <c r="F3" s="208">
        <f ca="1">Statement!AC153</f>
        <v>7212081.25</v>
      </c>
      <c r="H3" s="206" t="str">
        <f>'AVG target price'!B5</f>
        <v>DCF price</v>
      </c>
      <c r="I3" s="232">
        <f>'AVG target price'!C5</f>
        <v>6.0867686783178394</v>
      </c>
    </row>
    <row r="4" spans="2:9" x14ac:dyDescent="0.2">
      <c r="B4" s="206" t="s">
        <v>0</v>
      </c>
      <c r="C4" s="210" t="str" cm="1">
        <f t="array" aca="1" ref="C4" ca="1">_FV(C3,"Ticker symbol",TRUE)</f>
        <v>PATH</v>
      </c>
      <c r="E4" s="207" t="s">
        <v>227</v>
      </c>
      <c r="F4" s="209">
        <f ca="1">Statement!AC154</f>
        <v>5807056.25</v>
      </c>
      <c r="H4" s="206" t="str">
        <f>'AVG target price'!B6</f>
        <v>EV/EBIT price</v>
      </c>
      <c r="I4" s="232">
        <f>'AVG target price'!C6</f>
        <v>18.564047106059963</v>
      </c>
    </row>
    <row r="5" spans="2:9" x14ac:dyDescent="0.2">
      <c r="B5" s="206" t="s">
        <v>1</v>
      </c>
      <c r="C5" s="229" cm="1">
        <f t="array" aca="1" ref="C5" ca="1">_FV(C3,"Price",TRUE)</f>
        <v>13.75</v>
      </c>
      <c r="E5" s="206" t="s">
        <v>290</v>
      </c>
      <c r="F5" s="211">
        <f>Statement!AC26</f>
        <v>0.67000000000000015</v>
      </c>
      <c r="H5" s="206" t="str">
        <f>'AVG target price'!B7</f>
        <v>PS price</v>
      </c>
      <c r="I5" s="232">
        <f>'AVG target price'!C7</f>
        <v>14.544205527348455</v>
      </c>
    </row>
    <row r="6" spans="2:9" x14ac:dyDescent="0.2">
      <c r="B6" s="206" t="s">
        <v>2</v>
      </c>
      <c r="C6" s="229" cm="1">
        <f t="array" aca="1" ref="C6" ca="1">_FV(C3,"Price (Extended hours)",TRUE)</f>
        <v>13.77</v>
      </c>
      <c r="E6" s="206" t="s">
        <v>284</v>
      </c>
      <c r="F6" s="211">
        <f ca="1">Statement!AC150</f>
        <v>20.522388059701488</v>
      </c>
      <c r="H6" s="206" t="str">
        <f>'AVG target price'!B8</f>
        <v>EV/FCFF price</v>
      </c>
      <c r="I6" s="232">
        <f>'AVG target price'!C8</f>
        <v>12.993267091081005</v>
      </c>
    </row>
    <row r="7" spans="2:9" x14ac:dyDescent="0.2">
      <c r="B7" s="206" t="s">
        <v>3</v>
      </c>
      <c r="C7" s="6" cm="1">
        <f t="array" aca="1" ref="C7" ca="1">_FV(C3,"Change")</f>
        <v>-0.12</v>
      </c>
      <c r="E7" s="207" t="s">
        <v>240</v>
      </c>
      <c r="F7" s="212">
        <f ca="1">Statement!AC151</f>
        <v>4.2650350508292956</v>
      </c>
      <c r="H7" s="205" t="str">
        <f>'AVG target price'!B9</f>
        <v>AVG price</v>
      </c>
      <c r="I7" s="233">
        <f>'AVG target price'!C9</f>
        <v>13.047072100701815</v>
      </c>
    </row>
    <row r="8" spans="2:9" x14ac:dyDescent="0.2">
      <c r="B8" s="206" t="s">
        <v>4</v>
      </c>
      <c r="C8" s="6" cm="1">
        <f t="array" aca="1" ref="C8" ca="1">_FV(C3,"Change (extended hours)",TRUE)</f>
        <v>0.02</v>
      </c>
      <c r="E8" s="206" t="s">
        <v>312</v>
      </c>
      <c r="F8" s="213">
        <f ca="1">Statement!AC161</f>
        <v>1.7800132243379816E-2</v>
      </c>
      <c r="H8" s="205" t="str">
        <f>'AVG target price'!B11</f>
        <v>Upside/Downside</v>
      </c>
      <c r="I8" s="234">
        <f ca="1">'AVG target price'!C11</f>
        <v>-5.1122029039868011E-2</v>
      </c>
    </row>
    <row r="9" spans="2:9" x14ac:dyDescent="0.2">
      <c r="B9" s="206" t="s">
        <v>5</v>
      </c>
      <c r="C9" s="73" cm="1">
        <f t="array" aca="1" ref="C9" ca="1">_FV(C3,"Change (%)",TRUE)</f>
        <v>-8.652E-3</v>
      </c>
      <c r="E9" s="206" t="s">
        <v>335</v>
      </c>
      <c r="F9" s="213">
        <f ca="1">Statement!AC162</f>
        <v>4.8727272727272737E-2</v>
      </c>
    </row>
    <row r="10" spans="2:9" x14ac:dyDescent="0.2">
      <c r="B10" s="206" t="s">
        <v>6</v>
      </c>
      <c r="C10" s="73" cm="1">
        <f t="array" aca="1" ref="C10" ca="1">_FV(C3,"Change % (extended hours)",TRUE)</f>
        <v>1.4549999999999999E-3</v>
      </c>
      <c r="E10" s="206" t="s">
        <v>340</v>
      </c>
      <c r="F10" s="213">
        <f ca="1">Statement!AC164</f>
        <v>3.7235853381435494E-2</v>
      </c>
      <c r="H10" s="205" t="s">
        <v>427</v>
      </c>
      <c r="I10" s="233">
        <f>DDM!C26</f>
        <v>0</v>
      </c>
    </row>
    <row r="11" spans="2:9" x14ac:dyDescent="0.2">
      <c r="B11" s="206" t="s">
        <v>7</v>
      </c>
      <c r="C11" s="230" cm="1">
        <f t="array" aca="1" ref="C11" ca="1">_FV(C3,"52 week high",TRUE)</f>
        <v>19.84</v>
      </c>
      <c r="E11" s="207" t="s">
        <v>336</v>
      </c>
      <c r="F11" s="214">
        <f ca="1">Statement!AC163</f>
        <v>0</v>
      </c>
    </row>
    <row r="12" spans="2:9" x14ac:dyDescent="0.2">
      <c r="B12" s="206" t="s">
        <v>8</v>
      </c>
      <c r="C12" s="230" cm="1">
        <f t="array" aca="1" ref="C12" ca="1">_FV(C3,"52 week low",TRUE)</f>
        <v>9.2002000000000006</v>
      </c>
      <c r="E12" s="206" t="s">
        <v>119</v>
      </c>
      <c r="F12" s="213">
        <f>Statement!AC123</f>
        <v>0.12448204853394841</v>
      </c>
    </row>
    <row r="13" spans="2:9" x14ac:dyDescent="0.2">
      <c r="B13" s="206" t="s">
        <v>9</v>
      </c>
      <c r="C13" s="230" cm="1">
        <f t="array" aca="1" ref="C13" ca="1">_FV(C3,"Beta")</f>
        <v>1.0184</v>
      </c>
      <c r="E13" s="206" t="s">
        <v>121</v>
      </c>
      <c r="F13" s="213">
        <f>Statement!AC125</f>
        <v>0.18573545162533595</v>
      </c>
    </row>
    <row r="14" spans="2:9" x14ac:dyDescent="0.2">
      <c r="B14" s="207" t="s">
        <v>10</v>
      </c>
      <c r="C14" s="231" cm="1">
        <f t="array" aca="1" ref="C14" ca="1">_FV(C3,"Volume average",TRUE)</f>
        <v>67565227</v>
      </c>
      <c r="E14" s="207" t="s">
        <v>122</v>
      </c>
      <c r="F14" s="214">
        <f>Statement!AC140</f>
        <v>0.28139960185897273</v>
      </c>
    </row>
    <row r="15" spans="2:9" x14ac:dyDescent="0.2">
      <c r="E15" s="206" t="s">
        <v>337</v>
      </c>
      <c r="F15" s="213">
        <f ca="1">Statement!AC176</f>
        <v>0.19481547022227461</v>
      </c>
    </row>
    <row r="16" spans="2:9" x14ac:dyDescent="0.2">
      <c r="E16" s="207" t="s">
        <v>342</v>
      </c>
      <c r="F16" s="212">
        <f>Statement!AC175</f>
        <v>2.6959777878408766</v>
      </c>
    </row>
    <row r="17" spans="2:9" x14ac:dyDescent="0.2">
      <c r="B17" s="255" t="s">
        <v>101</v>
      </c>
      <c r="C17" s="255"/>
      <c r="E17" s="205" t="s">
        <v>343</v>
      </c>
      <c r="F17" s="215">
        <f>Statement!AC171</f>
        <v>0.2226990648503856</v>
      </c>
    </row>
    <row r="18" spans="2:9" x14ac:dyDescent="0.2">
      <c r="B18" s="205" t="s">
        <v>12</v>
      </c>
      <c r="C18" s="69" t="s">
        <v>14</v>
      </c>
      <c r="E18" s="206" t="s">
        <v>344</v>
      </c>
      <c r="F18" s="211">
        <f>Statement!AC144</f>
        <v>45.101495784048865</v>
      </c>
      <c r="I18" s="50"/>
    </row>
    <row r="19" spans="2:9" x14ac:dyDescent="0.2">
      <c r="B19" s="205" t="s">
        <v>13</v>
      </c>
      <c r="C19" s="70">
        <v>1000</v>
      </c>
      <c r="E19" s="206" t="s">
        <v>305</v>
      </c>
      <c r="F19" s="211">
        <f>Statement!AC146</f>
        <v>-0.72106144514564929</v>
      </c>
    </row>
    <row r="20" spans="2:9" x14ac:dyDescent="0.2">
      <c r="B20" s="205" t="s">
        <v>102</v>
      </c>
      <c r="C20" s="69" t="s">
        <v>103</v>
      </c>
      <c r="E20" s="207" t="s">
        <v>345</v>
      </c>
      <c r="F20" s="212">
        <f>Statement!AC147</f>
        <v>2.1209291205537757</v>
      </c>
    </row>
    <row r="21" spans="2:9" x14ac:dyDescent="0.2">
      <c r="B21" s="205" t="s">
        <v>104</v>
      </c>
      <c r="C21" s="69" t="s">
        <v>105</v>
      </c>
      <c r="I21" s="50"/>
    </row>
    <row r="22" spans="2:9" x14ac:dyDescent="0.2">
      <c r="B22" s="205" t="s">
        <v>106</v>
      </c>
      <c r="C22" s="69" t="s">
        <v>105</v>
      </c>
    </row>
    <row r="25" spans="2:9" x14ac:dyDescent="0.2">
      <c r="B25" s="255" t="s">
        <v>124</v>
      </c>
      <c r="C25" s="255"/>
      <c r="E25" s="253" t="s">
        <v>399</v>
      </c>
      <c r="F25" s="254"/>
    </row>
    <row r="26" spans="2:9" x14ac:dyDescent="0.2">
      <c r="B26" s="205" t="s">
        <v>125</v>
      </c>
      <c r="C26" s="191">
        <v>0.21</v>
      </c>
      <c r="E26" s="206" t="e" vm="2">
        <v>#VALUE!</v>
      </c>
      <c r="F26" s="240" cm="1">
        <f t="array" aca="1" ref="F26" ca="1">_FV(E26,"Price")</f>
        <v>47.84</v>
      </c>
    </row>
    <row r="27" spans="2:9" x14ac:dyDescent="0.2">
      <c r="B27" s="205" t="s">
        <v>211</v>
      </c>
      <c r="C27" s="242">
        <v>0</v>
      </c>
      <c r="E27" s="207" t="s">
        <v>400</v>
      </c>
      <c r="F27" s="241">
        <f ca="1">F26/1000</f>
        <v>4.7840000000000001E-2</v>
      </c>
    </row>
    <row r="28" spans="2:9" x14ac:dyDescent="0.2">
      <c r="B28" s="205" t="s">
        <v>404</v>
      </c>
      <c r="C28" s="242">
        <v>0.1</v>
      </c>
    </row>
    <row r="29" spans="2:9" x14ac:dyDescent="0.2">
      <c r="B29" s="205" t="s">
        <v>417</v>
      </c>
      <c r="C29" s="242">
        <v>0.12</v>
      </c>
    </row>
    <row r="33" spans="2:8" x14ac:dyDescent="0.2">
      <c r="B33" s="256" t="s">
        <v>389</v>
      </c>
      <c r="C33" s="256"/>
      <c r="D33" s="256"/>
      <c r="E33" s="256"/>
      <c r="F33" s="256"/>
      <c r="G33" s="256"/>
      <c r="H33" s="256"/>
    </row>
    <row r="35" spans="2:8" x14ac:dyDescent="0.2">
      <c r="B35" s="16" t="s">
        <v>390</v>
      </c>
      <c r="C35" s="1" t="s">
        <v>395</v>
      </c>
    </row>
    <row r="36" spans="2:8" x14ac:dyDescent="0.2">
      <c r="B36" s="16" t="s">
        <v>391</v>
      </c>
      <c r="C36" s="1" t="s">
        <v>394</v>
      </c>
    </row>
    <row r="39" spans="2:8" ht="6" customHeight="1" x14ac:dyDescent="0.2">
      <c r="B39" s="256"/>
      <c r="C39" s="256"/>
      <c r="D39" s="256"/>
      <c r="E39" s="256"/>
      <c r="F39" s="256"/>
      <c r="G39" s="256"/>
      <c r="H39" s="256"/>
    </row>
    <row r="42" spans="2:8" x14ac:dyDescent="0.2">
      <c r="B42" s="256" t="s">
        <v>392</v>
      </c>
      <c r="C42" s="256"/>
      <c r="D42" s="256"/>
      <c r="E42" s="256"/>
      <c r="F42" s="256"/>
      <c r="G42" s="256"/>
      <c r="H42" s="256"/>
    </row>
    <row r="44" spans="2:8" x14ac:dyDescent="0.2">
      <c r="B44" s="41" t="s">
        <v>393</v>
      </c>
      <c r="C44" s="41" t="s">
        <v>430</v>
      </c>
      <c r="D44" s="41"/>
      <c r="E44" s="41" t="s">
        <v>428</v>
      </c>
    </row>
    <row r="45" spans="2:8" x14ac:dyDescent="0.2">
      <c r="B45" s="1" t="s">
        <v>431</v>
      </c>
      <c r="C45" s="1" t="s">
        <v>432</v>
      </c>
    </row>
    <row r="46" spans="2:8" x14ac:dyDescent="0.2">
      <c r="B46" s="1" t="s">
        <v>431</v>
      </c>
      <c r="C46" s="1" t="s">
        <v>433</v>
      </c>
    </row>
    <row r="49" spans="2:8" ht="5" customHeight="1" x14ac:dyDescent="0.2">
      <c r="B49" s="256"/>
      <c r="C49" s="256"/>
      <c r="D49" s="256"/>
      <c r="E49" s="256"/>
      <c r="F49" s="256"/>
      <c r="G49" s="256"/>
      <c r="H49" s="256"/>
    </row>
    <row r="52" spans="2:8" x14ac:dyDescent="0.2">
      <c r="B52" s="256" t="s">
        <v>126</v>
      </c>
      <c r="C52" s="256"/>
      <c r="D52" s="256"/>
      <c r="E52" s="256"/>
      <c r="F52" s="256"/>
      <c r="G52" s="256"/>
      <c r="H52" s="256"/>
    </row>
    <row r="54" spans="2:8" x14ac:dyDescent="0.2">
      <c r="B54" s="41" t="s">
        <v>393</v>
      </c>
      <c r="C54" s="41" t="s">
        <v>380</v>
      </c>
      <c r="D54" s="41"/>
      <c r="E54" s="41" t="s">
        <v>381</v>
      </c>
    </row>
    <row r="59" spans="2:8" ht="5" customHeight="1" x14ac:dyDescent="0.2">
      <c r="B59" s="256"/>
      <c r="C59" s="256"/>
      <c r="D59" s="256"/>
      <c r="E59" s="256"/>
      <c r="F59" s="256"/>
      <c r="G59" s="256"/>
      <c r="H59" s="256"/>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X128" activePane="bottomRight" state="frozen"/>
      <selection pane="topRight" activeCell="C1" sqref="C1"/>
      <selection pane="bottomLeft" activeCell="A4" sqref="A4"/>
      <selection pane="bottomRight" activeCell="AA216" sqref="AA21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380</v>
      </c>
      <c r="AA2" s="10" t="s">
        <v>429</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381</v>
      </c>
      <c r="AA3" s="10" t="s">
        <v>428</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U11" si="5">SUM(T8:T10)</f>
        <v>334254</v>
      </c>
      <c r="U11" s="24">
        <f t="shared" ref="U11:V11" si="6">SUM(U8:U10)</f>
        <v>325503</v>
      </c>
      <c r="V11" s="24">
        <f t="shared" ref="V11:W11" si="7">SUM(V8:V10)</f>
        <v>309179</v>
      </c>
      <c r="W11" s="24">
        <f t="shared" ref="W11:X11" si="8">SUM(W8:W10)</f>
        <v>317533</v>
      </c>
      <c r="X11" s="24">
        <f t="shared" ref="X11:Z11" si="9">SUM(X8:X10)</f>
        <v>329230</v>
      </c>
      <c r="Y11" s="24">
        <f t="shared" si="9"/>
        <v>326886</v>
      </c>
      <c r="Z11" s="24">
        <f t="shared" si="9"/>
        <v>313467</v>
      </c>
      <c r="AA11" s="24">
        <f t="shared" ref="Z11: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382</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T20: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T22: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T24: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T26: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412</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Z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Z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386</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387</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382</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385</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T69: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Z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T71: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Z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U75" si="41">T74*T85</f>
        <v>549599</v>
      </c>
      <c r="U75" s="25">
        <f t="shared" ref="U75:V75" si="42">U74*U85</f>
        <v>551493</v>
      </c>
      <c r="V75" s="25">
        <f t="shared" ref="V75:W75" si="43">V74*V85</f>
        <v>535039</v>
      </c>
      <c r="W75" s="25">
        <f t="shared" ref="W75:X75" si="44">W74*W85</f>
        <v>531022</v>
      </c>
      <c r="X75" s="25">
        <f t="shared" ref="X75:Z75" si="45">X74*X85</f>
        <v>534750</v>
      </c>
      <c r="Y75" s="25">
        <f t="shared" si="45"/>
        <v>523922</v>
      </c>
      <c r="Z75" s="25">
        <f t="shared" si="45"/>
        <v>518121</v>
      </c>
      <c r="AA75" s="25">
        <f t="shared" ref="Z75:AA75" si="46">AA74*AA85</f>
        <v>521156</v>
      </c>
      <c r="AC75" s="24">
        <f>AA75</f>
        <v>521156</v>
      </c>
    </row>
    <row r="76" spans="1:31" x14ac:dyDescent="0.2">
      <c r="B76" s="20" t="s">
        <v>281</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282</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Z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283</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Z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322</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323</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U82" si="55">T81/T85</f>
        <v>0</v>
      </c>
      <c r="U82" s="45">
        <f t="shared" ref="U82:V82" si="56">U81/U85</f>
        <v>0</v>
      </c>
      <c r="V82" s="45">
        <f t="shared" ref="V82:W82" si="57">V81/V85</f>
        <v>0</v>
      </c>
      <c r="W82" s="45">
        <f t="shared" ref="W82:X82" si="58">W81/W85</f>
        <v>0</v>
      </c>
      <c r="X82" s="45">
        <f t="shared" ref="X82:Z82" si="59">X81/X85</f>
        <v>0</v>
      </c>
      <c r="Y82" s="45">
        <f t="shared" si="59"/>
        <v>0</v>
      </c>
      <c r="Z82" s="45">
        <f t="shared" si="59"/>
        <v>0</v>
      </c>
      <c r="AA82" s="45">
        <f t="shared" ref="Z82: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T83: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T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T97: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T98: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T101: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T102: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T103: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T106: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T107: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T108: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346</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T110:AA110" si="104">AA60+AA61</f>
        <v>-1389</v>
      </c>
      <c r="AC110" s="147">
        <f>AC60+AC61</f>
        <v>-10289</v>
      </c>
    </row>
    <row r="111" spans="1:31" x14ac:dyDescent="0.2">
      <c r="B111" s="20" t="s">
        <v>383</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T111:AA111" si="106">AA17+AA18</f>
        <v>36089</v>
      </c>
      <c r="AC111" s="147">
        <f>AC17+AC18</f>
        <v>361915</v>
      </c>
    </row>
    <row r="112" spans="1:31" x14ac:dyDescent="0.2">
      <c r="B112" s="20" t="s">
        <v>384</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T112: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13.75</v>
      </c>
    </row>
    <row r="117" spans="1:31" x14ac:dyDescent="0.2">
      <c r="B117" s="20" t="s">
        <v>401</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T117:AA117" si="110">AA116/AA85</f>
        <v>12.76</v>
      </c>
      <c r="AC117" s="65">
        <f ca="1">AC116/AC85</f>
        <v>13.75</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272</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273</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274</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275</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T131: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6" t="str">
        <f t="shared" ref="T132:Z132" si="121">IF(T131&gt;T130, "BEAT", IF(T131&lt;T129, "MISSED", "MET"))</f>
        <v>MET</v>
      </c>
      <c r="U132" s="246" t="str">
        <f t="shared" si="121"/>
        <v>BEAT</v>
      </c>
      <c r="V132" s="246" t="str">
        <f t="shared" si="121"/>
        <v>BEAT</v>
      </c>
      <c r="W132" s="246" t="str">
        <f t="shared" si="121"/>
        <v>BEAT</v>
      </c>
      <c r="X132" s="246" t="str">
        <f t="shared" si="121"/>
        <v>BEAT</v>
      </c>
      <c r="Y132" s="246" t="str">
        <f t="shared" si="121"/>
        <v>BEAT</v>
      </c>
      <c r="Z132" s="246" t="str">
        <f>IF(Z131&gt;Z130, "BEAT", IF(Z131&lt;Z129, "MISSED", "MET"))</f>
        <v>BEAT</v>
      </c>
      <c r="AA132" s="246" t="str">
        <f>IF(AA131&gt;AA130, "BEAT", IF(AA131&lt;AA129, "MISSED", "MET"))</f>
        <v>MISSED</v>
      </c>
      <c r="AC132" s="49"/>
    </row>
    <row r="133" spans="2:29" x14ac:dyDescent="0.2">
      <c r="B133" s="20" t="s">
        <v>276</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277</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278</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T135: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6" t="str">
        <f t="shared" ref="T136:Z136" si="130">IF(T135&gt;T134, "BEAT", IF(T135&lt;T133, "MISSED", "MET"))</f>
        <v>MISSED</v>
      </c>
      <c r="U136" s="246" t="str">
        <f t="shared" si="130"/>
        <v>BEAT</v>
      </c>
      <c r="V136" s="246" t="str">
        <f t="shared" si="130"/>
        <v>BEAT</v>
      </c>
      <c r="W136" s="246" t="str">
        <f t="shared" si="130"/>
        <v>BEAT</v>
      </c>
      <c r="X136" s="246" t="str">
        <f t="shared" si="130"/>
        <v>BEAT</v>
      </c>
      <c r="Y136" s="246" t="str">
        <f t="shared" si="130"/>
        <v>BEAT</v>
      </c>
      <c r="Z136" s="246" t="str">
        <f>IF(Z135&gt;Z134, "BEAT", IF(Z135&lt;Z133, "MISSED", "MET"))</f>
        <v>BEAT</v>
      </c>
      <c r="AA136" s="246" t="str">
        <f>IF(AA135&gt;AA134, "BEAT", IF(AA135&lt;AA133, "MISSED", "MET"))</f>
        <v>MISSED</v>
      </c>
      <c r="AC136" s="49"/>
    </row>
    <row r="138" spans="2:29" x14ac:dyDescent="0.2">
      <c r="B138" s="1"/>
    </row>
    <row r="139" spans="2:29" ht="17" thickBot="1" x14ac:dyDescent="0.25">
      <c r="B139" s="14" t="s">
        <v>295</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T141: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T142: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T143: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U144" si="139">T141+T142-T143</f>
        <v>87.187137429695923</v>
      </c>
      <c r="U144" s="139">
        <f t="shared" ref="U144:V144" si="140">U141+U142-U143</f>
        <v>68.419460331074703</v>
      </c>
      <c r="V144" s="139">
        <f t="shared" ref="V144:W144" si="141">V141+V142-V143</f>
        <v>69.519655214399876</v>
      </c>
      <c r="W144" s="139">
        <f t="shared" ref="W144:X144" si="142">W141+W142-W143</f>
        <v>68.744825768278702</v>
      </c>
      <c r="X144" s="139">
        <f t="shared" ref="X144:Z144" si="143">X141+X142-X143</f>
        <v>89.926450389383007</v>
      </c>
      <c r="Y144" s="139">
        <f t="shared" si="143"/>
        <v>96.26281825154858</v>
      </c>
      <c r="Z144" s="139">
        <f t="shared" si="143"/>
        <v>41.487754942772725</v>
      </c>
      <c r="AA144" s="139">
        <f t="shared" ref="Z144:AA144" si="144">AA141+AA142-AA143</f>
        <v>48.963341498427795</v>
      </c>
      <c r="AC144" s="139">
        <f t="shared" ref="AC144" si="145">AC141+AC142-AC143</f>
        <v>45.101495784048865</v>
      </c>
    </row>
    <row r="145" spans="2:29" x14ac:dyDescent="0.2">
      <c r="B145" s="20" t="s">
        <v>298</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T145:AA145" si="147">AA108/AA49</f>
        <v>0</v>
      </c>
      <c r="AC145" s="139">
        <f>AC108/AC49</f>
        <v>0</v>
      </c>
    </row>
    <row r="146" spans="2:29" x14ac:dyDescent="0.2">
      <c r="B146" s="20" t="s">
        <v>302</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Z146" si="148">(T108-T107)/T49</f>
        <v>-0.92585537389316019</v>
      </c>
      <c r="U146" s="200">
        <f t="shared" si="148"/>
        <v>-0.93383166410403939</v>
      </c>
      <c r="V146" s="200">
        <f t="shared" si="148"/>
        <v>-0.93702475358574611</v>
      </c>
      <c r="W146" s="200">
        <f t="shared" si="148"/>
        <v>-0.91411133917631171</v>
      </c>
      <c r="X146" s="200">
        <f t="shared" si="148"/>
        <v>-0.78966100787845062</v>
      </c>
      <c r="Y146" s="200">
        <f t="shared" si="148"/>
        <v>-0.81123909829457308</v>
      </c>
      <c r="Z146" s="200">
        <f t="shared" si="148"/>
        <v>-0.74396849127545694</v>
      </c>
      <c r="AA146" s="200">
        <f t="shared" ref="T146:AA146" si="149">(AA108-AA107)/AA49</f>
        <v>-0.72106144514564929</v>
      </c>
      <c r="AC146" s="200">
        <f>(AC108-AC107)/AC49</f>
        <v>-0.72106144514564929</v>
      </c>
    </row>
    <row r="147" spans="2:29" x14ac:dyDescent="0.2">
      <c r="B147" s="20" t="s">
        <v>299</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T147:AA147" si="151">(AA107+AA30)/AA40</f>
        <v>2.1209291205537757</v>
      </c>
      <c r="AC147" s="139">
        <f>(AC107+AC30)/AC40</f>
        <v>2.1209291205537757</v>
      </c>
    </row>
    <row r="148" spans="2:29" x14ac:dyDescent="0.2">
      <c r="B148" s="20" t="s">
        <v>300</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T148:AA148" si="153">AA32/AA40</f>
        <v>2.386634756174606</v>
      </c>
      <c r="AC148" s="139">
        <f>AC32/AC40</f>
        <v>2.386634756174606</v>
      </c>
    </row>
    <row r="149" spans="2:29" x14ac:dyDescent="0.2">
      <c r="B149" s="20" t="s">
        <v>306</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Z149" si="154">IF(T13&gt;=0,"N/A",IF(T12&lt;=0,"N/A",T12/-T13))</f>
        <v>N/A</v>
      </c>
      <c r="U149" s="202" t="str">
        <f t="shared" si="154"/>
        <v>N/A</v>
      </c>
      <c r="V149" s="202" t="str">
        <f t="shared" si="154"/>
        <v>N/A</v>
      </c>
      <c r="W149" s="202" t="str">
        <f t="shared" si="154"/>
        <v>N/A</v>
      </c>
      <c r="X149" s="202" t="str">
        <f t="shared" si="154"/>
        <v>N/A</v>
      </c>
      <c r="Y149" s="202" t="str">
        <f t="shared" si="154"/>
        <v>N/A</v>
      </c>
      <c r="Z149" s="202" t="str">
        <f t="shared" si="154"/>
        <v>N/A</v>
      </c>
      <c r="AA149" s="202" t="str">
        <f t="shared" ref="T149:AA149" si="155">IF(AA13&gt;=0,"N/A",IF(AA12&lt;=0,"N/A",AA12/-AA13))</f>
        <v>N/A</v>
      </c>
      <c r="AC149" s="202" t="str">
        <f>IF(AC13&gt;=0,"N/A",IF(AC12&lt;=0,"N/A",AC12/-AC13))</f>
        <v>N/A</v>
      </c>
    </row>
    <row r="150" spans="2:29" x14ac:dyDescent="0.2">
      <c r="B150" s="20" t="s">
        <v>284</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20.522388059701488</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4.2650350508292956</v>
      </c>
    </row>
    <row r="152" spans="2:29" x14ac:dyDescent="0.2">
      <c r="B152" s="20" t="s">
        <v>285</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3.6775506517407037</v>
      </c>
    </row>
    <row r="153" spans="2:29" x14ac:dyDescent="0.2">
      <c r="B153" s="20" t="s">
        <v>286</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164">
        <f>Statement!T117*Statement!T78</f>
        <v>6787547.6499999994</v>
      </c>
      <c r="U153" s="164">
        <f>Statement!U117*Statement!U78</f>
        <v>8040767.9400000004</v>
      </c>
      <c r="V153" s="164">
        <f>Statement!V117*Statement!V78</f>
        <v>6388365.6600000001</v>
      </c>
      <c r="W153" s="164">
        <f>Statement!W117*Statement!W78</f>
        <v>6318186.5</v>
      </c>
      <c r="X153" s="164">
        <f>Statement!X117*Statement!X78</f>
        <v>8588396.1799999997</v>
      </c>
      <c r="Y153" s="164">
        <f>Statement!Y117*Statement!Y78</f>
        <v>6680971.6299999999</v>
      </c>
      <c r="Z153" s="164">
        <f>Statement!Z117*Statement!Z78</f>
        <v>5380256.5</v>
      </c>
      <c r="AA153" s="164">
        <f>Statement!AA117*Statement!AA78</f>
        <v>6692811.3999999994</v>
      </c>
      <c r="AC153" s="164">
        <f ca="1">Statement!AC117*Statement!AC78</f>
        <v>7212081.25</v>
      </c>
    </row>
    <row r="154" spans="2:29" x14ac:dyDescent="0.2">
      <c r="B154" s="20" t="s">
        <v>227</v>
      </c>
      <c r="M154" s="164">
        <f>M153+M108-M107+M48+M45</f>
        <v>16237338.84</v>
      </c>
      <c r="N154" s="164">
        <f>N153+N108-N107+N48+N45</f>
        <v>6361818.1100000003</v>
      </c>
      <c r="O154" s="164">
        <f>O153+O108-O107+O48+O45</f>
        <v>11691137.050000001</v>
      </c>
      <c r="P154" s="164">
        <f>P153+P108-P107+P48+P45</f>
        <v>6317136.9400000004</v>
      </c>
      <c r="Q154" s="164">
        <f>Q153+Q108-Q107+Q48+Q45</f>
        <v>4991495.63</v>
      </c>
      <c r="T154" s="164">
        <f t="shared" ref="T154:Z154" si="156">T153+T108-T107+T48+T45</f>
        <v>5184109.6499999994</v>
      </c>
      <c r="U154" s="164">
        <f t="shared" si="156"/>
        <v>6317136.9400000004</v>
      </c>
      <c r="V154" s="164">
        <f t="shared" si="156"/>
        <v>4796865.66</v>
      </c>
      <c r="W154" s="164">
        <f t="shared" si="156"/>
        <v>4795548.5</v>
      </c>
      <c r="X154" s="164">
        <f t="shared" si="156"/>
        <v>7068601.1799999997</v>
      </c>
      <c r="Y154" s="164">
        <f t="shared" si="156"/>
        <v>4991495.63</v>
      </c>
      <c r="Z154" s="164">
        <f t="shared" si="156"/>
        <v>3964510.5</v>
      </c>
      <c r="AA154" s="164">
        <f t="shared" ref="T154:AA154" si="157">AA153+AA108-AA107+AA48+AA45</f>
        <v>5287786.3999999994</v>
      </c>
      <c r="AC154" s="164">
        <f ca="1">AC153+AC108-AC107+AC48+AC45</f>
        <v>5807056.25</v>
      </c>
    </row>
    <row r="155" spans="2:29" x14ac:dyDescent="0.2">
      <c r="B155" s="20" t="s">
        <v>307</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3.3745121619564196</v>
      </c>
    </row>
    <row r="156" spans="2:29" x14ac:dyDescent="0.2">
      <c r="B156" s="20" t="s">
        <v>243</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37.967520006799695</v>
      </c>
    </row>
    <row r="157" spans="2:29" x14ac:dyDescent="0.2">
      <c r="B157" s="20" t="s">
        <v>308</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T157:AA157" si="159">AA59-AA54+AA110+AA65</f>
        <v>-15652</v>
      </c>
      <c r="AC157" s="64">
        <f>AC59-AC54+AC110+AC65</f>
        <v>128376</v>
      </c>
    </row>
    <row r="158" spans="2:29" x14ac:dyDescent="0.2">
      <c r="B158" s="20" t="s">
        <v>309</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-45127</v>
      </c>
    </row>
    <row r="159" spans="2:29" x14ac:dyDescent="0.2">
      <c r="B159" s="20" t="s">
        <v>310</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56.179357901788499</v>
      </c>
    </row>
    <row r="160" spans="2:29" x14ac:dyDescent="0.2">
      <c r="B160" s="20" t="s">
        <v>311</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-128.68252376625966</v>
      </c>
    </row>
    <row r="161" spans="2:29" x14ac:dyDescent="0.2">
      <c r="B161" s="20" t="s">
        <v>312</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1.7800132243379816E-2</v>
      </c>
    </row>
    <row r="162" spans="2:29" x14ac:dyDescent="0.2">
      <c r="B162" s="20" t="s">
        <v>313</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4.8727272727272737E-2</v>
      </c>
    </row>
    <row r="163" spans="2:29" x14ac:dyDescent="0.2">
      <c r="B163" s="20" t="s">
        <v>314</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339</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3.7235853381435494E-2</v>
      </c>
    </row>
    <row r="165" spans="2:29" x14ac:dyDescent="0.2">
      <c r="B165" s="20" t="s">
        <v>341</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3.7235853381435494E-2</v>
      </c>
    </row>
    <row r="166" spans="2:29" x14ac:dyDescent="0.2">
      <c r="B166" s="20" t="s">
        <v>402</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-2.6223546626159742E-2</v>
      </c>
    </row>
    <row r="167" spans="2:29" x14ac:dyDescent="0.2">
      <c r="B167" s="20" t="s">
        <v>403</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7.4599996048482789E-2</v>
      </c>
    </row>
    <row r="168" spans="2:29" x14ac:dyDescent="0.2">
      <c r="B168" s="20" t="s">
        <v>317</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319</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2.0918863338941858</v>
      </c>
    </row>
    <row r="170" spans="2:29" x14ac:dyDescent="0.2">
      <c r="B170" s="20" t="s">
        <v>330</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2.0918863338941858</v>
      </c>
    </row>
    <row r="171" spans="2:29" x14ac:dyDescent="0.2">
      <c r="B171" s="20" t="s">
        <v>324</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0.2226990648503856</v>
      </c>
    </row>
    <row r="172" spans="2:29" x14ac:dyDescent="0.2">
      <c r="B172" s="20" t="s">
        <v>325</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T172:AA172" si="166">AA107/AA75</f>
        <v>2.6959777878408766</v>
      </c>
      <c r="AC172" s="72">
        <f>AC107/AC75</f>
        <v>2.6959777878408766</v>
      </c>
    </row>
    <row r="173" spans="2:29" x14ac:dyDescent="0.2">
      <c r="B173" s="20" t="s">
        <v>327</v>
      </c>
      <c r="M173" s="175">
        <f>M54/M59</f>
        <v>-9.3805469133780903</v>
      </c>
      <c r="N173" s="175">
        <f>N54/N59</f>
        <v>-37.054403366396151</v>
      </c>
      <c r="O173" s="175">
        <f>O54/O59</f>
        <v>1.243655586093446</v>
      </c>
      <c r="P173" s="175">
        <f>P54/P59</f>
        <v>1.1172492318250589</v>
      </c>
      <c r="Q173" s="175">
        <f>Q54/Q59</f>
        <v>0.78305424452059225</v>
      </c>
      <c r="T173" s="175">
        <f t="shared" ref="T173:Z173" si="167">T54/T59</f>
        <v>3.1167794798717492</v>
      </c>
      <c r="U173" s="175" t="e">
        <f t="shared" si="167"/>
        <v>#DIV/0!</v>
      </c>
      <c r="V173" s="175">
        <f t="shared" si="167"/>
        <v>0.6416782911211576</v>
      </c>
      <c r="W173" s="175">
        <f t="shared" si="167"/>
        <v>1.8757303965181427</v>
      </c>
      <c r="X173" s="175">
        <f t="shared" si="167"/>
        <v>2.5282091188850764</v>
      </c>
      <c r="Y173" s="175">
        <f t="shared" si="167"/>
        <v>0.35555092460569898</v>
      </c>
      <c r="Z173" s="175">
        <f t="shared" si="167"/>
        <v>0.40408404584318719</v>
      </c>
      <c r="AA173" s="175">
        <f t="shared" ref="T173:AA173" si="168">AA54/AA59</f>
        <v>1.4646079676862438</v>
      </c>
      <c r="AC173" s="175">
        <f>AC54/AC59</f>
        <v>0.62848898581632484</v>
      </c>
    </row>
    <row r="174" spans="2:29" x14ac:dyDescent="0.2">
      <c r="B174" s="20" t="s">
        <v>328</v>
      </c>
      <c r="M174" s="175">
        <f>M54/M5</f>
        <v>0.57784459995606618</v>
      </c>
      <c r="N174" s="175">
        <f>N54/N5</f>
        <v>0.3493733592422309</v>
      </c>
      <c r="O174" s="175">
        <f>O54/O5</f>
        <v>0.28435361356255617</v>
      </c>
      <c r="P174" s="175">
        <f>P54/P5</f>
        <v>0.25051410681111086</v>
      </c>
      <c r="Q174" s="175">
        <f>Q54/Q5</f>
        <v>0.18047997854178516</v>
      </c>
      <c r="T174" s="175">
        <f t="shared" ref="T174:Z174" si="169">T54/T5</f>
        <v>0.24668619749445234</v>
      </c>
      <c r="U174" s="175">
        <f t="shared" si="169"/>
        <v>0</v>
      </c>
      <c r="V174" s="175">
        <f t="shared" si="169"/>
        <v>0.21412187626183318</v>
      </c>
      <c r="W174" s="175">
        <f t="shared" si="169"/>
        <v>0.21564822186836519</v>
      </c>
      <c r="X174" s="175">
        <f t="shared" si="169"/>
        <v>0.17385730930425455</v>
      </c>
      <c r="Y174" s="175">
        <f t="shared" si="169"/>
        <v>0.13476004298420102</v>
      </c>
      <c r="Z174" s="175">
        <f t="shared" si="169"/>
        <v>0.1274194396508454</v>
      </c>
      <c r="AA174" s="175">
        <f t="shared" ref="T174:AA174" si="170">AA54/AA5</f>
        <v>0.1095949845949846</v>
      </c>
      <c r="AC174" s="175">
        <f>AC54/AC5</f>
        <v>0.1363163026815693</v>
      </c>
    </row>
    <row r="175" spans="2:29" x14ac:dyDescent="0.2">
      <c r="B175" s="20" t="s">
        <v>333</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T175:AA175" si="172">(AA107-AA108)/AA75</f>
        <v>2.6959777878408766</v>
      </c>
      <c r="AC175" s="72">
        <f>(AC107-AC108)/AC75</f>
        <v>2.6959777878408766</v>
      </c>
    </row>
    <row r="176" spans="2:29" x14ac:dyDescent="0.2">
      <c r="B176" s="20" t="s">
        <v>338</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0.19481547022227461</v>
      </c>
    </row>
    <row r="177" spans="1:31" x14ac:dyDescent="0.2">
      <c r="B177" s="20" t="s">
        <v>347</v>
      </c>
      <c r="M177" s="175">
        <f>-M110/M5</f>
        <v>1.325746537973577E-2</v>
      </c>
      <c r="N177" s="175">
        <f>-N110/N5</f>
        <v>2.2497097529617479E-2</v>
      </c>
      <c r="O177" s="175">
        <f>-O110/O5</f>
        <v>5.6128408833764501E-3</v>
      </c>
      <c r="P177" s="175">
        <f>-P110/P5</f>
        <v>1.0438116928173332E-2</v>
      </c>
      <c r="Q177" s="175">
        <f>-Q110/Q5</f>
        <v>1.1826854061786744E-2</v>
      </c>
      <c r="T177" s="175">
        <f t="shared" ref="T177:Z177" si="173">-T110/T5</f>
        <v>1.3745830431435797E-2</v>
      </c>
      <c r="U177" s="175">
        <f t="shared" si="173"/>
        <v>0</v>
      </c>
      <c r="V177" s="175">
        <f t="shared" si="173"/>
        <v>3.5981874467225984E-2</v>
      </c>
      <c r="W177" s="175">
        <f t="shared" si="173"/>
        <v>0</v>
      </c>
      <c r="X177" s="175">
        <f t="shared" si="173"/>
        <v>7.6961808553852587E-3</v>
      </c>
      <c r="Y177" s="175">
        <f t="shared" si="173"/>
        <v>6.3437031679023587E-3</v>
      </c>
      <c r="Z177" s="175">
        <f t="shared" si="173"/>
        <v>6.415189946030183E-3</v>
      </c>
      <c r="AA177" s="175">
        <f t="shared" ref="T177:AA177" si="174">-AA110/AA5</f>
        <v>3.3856908856908859E-3</v>
      </c>
      <c r="AC177" s="175">
        <f>-AC110/AC5</f>
        <v>5.9789941994051804E-3</v>
      </c>
    </row>
    <row r="178" spans="1:31" x14ac:dyDescent="0.2">
      <c r="B178" s="20" t="s">
        <v>348</v>
      </c>
      <c r="M178" s="175">
        <f>-(M110/M59)</f>
        <v>-0.21521750996124667</v>
      </c>
      <c r="N178" s="175">
        <f>-(N110/N59)</f>
        <v>-2.3860334635808034</v>
      </c>
      <c r="O178" s="175">
        <f>-(O110/O59)</f>
        <v>2.4548451595214689E-2</v>
      </c>
      <c r="P178" s="175">
        <f>-(P110/P59)</f>
        <v>4.6552181304883568E-2</v>
      </c>
      <c r="Q178" s="175">
        <f>-(Q110/Q59)</f>
        <v>5.1313549276955236E-2</v>
      </c>
      <c r="T178" s="175">
        <f t="shared" ref="T178:Z178" si="175">-(T110/T59)</f>
        <v>0.17367296045600286</v>
      </c>
      <c r="U178" s="175" t="e">
        <f t="shared" si="175"/>
        <v>#DIV/0!</v>
      </c>
      <c r="V178" s="175">
        <f t="shared" si="175"/>
        <v>0.10783012050217644</v>
      </c>
      <c r="W178" s="175">
        <f t="shared" si="175"/>
        <v>0</v>
      </c>
      <c r="X178" s="175">
        <f t="shared" si="175"/>
        <v>0.11191680520674896</v>
      </c>
      <c r="Y178" s="175">
        <f t="shared" si="175"/>
        <v>1.6737227718428501E-2</v>
      </c>
      <c r="Z178" s="175">
        <f t="shared" si="175"/>
        <v>2.0344430295312594E-2</v>
      </c>
      <c r="AA178" s="175">
        <f t="shared" ref="T178:AA178" si="176">-(AA110/AA59)</f>
        <v>4.524577347796345E-2</v>
      </c>
      <c r="AC178" s="175">
        <f>-(AC110/AC59)</f>
        <v>2.7566269966724358E-2</v>
      </c>
    </row>
    <row r="179" spans="1:31" x14ac:dyDescent="0.2">
      <c r="B179" s="20" t="s">
        <v>349</v>
      </c>
      <c r="M179" s="175">
        <f>-M110/M53</f>
        <v>0.80442026521591292</v>
      </c>
      <c r="N179" s="175">
        <f>-N110/N53</f>
        <v>1.2719649628798804</v>
      </c>
      <c r="O179" s="175">
        <f>-O110/O53</f>
        <v>0.32491038633446917</v>
      </c>
      <c r="P179" s="175">
        <f>-P110/P53</f>
        <v>0.86600510677808729</v>
      </c>
      <c r="Q179" s="175">
        <f>-Q110/Q53</f>
        <v>1.1225175319700631</v>
      </c>
      <c r="T179" s="175">
        <f t="shared" ref="T179:Z179" si="177">-T110/T53</f>
        <v>1.0752095280105867</v>
      </c>
      <c r="U179" s="175" t="e">
        <f t="shared" si="177"/>
        <v>#DIV/0!</v>
      </c>
      <c r="V179" s="175">
        <f t="shared" si="177"/>
        <v>3.9446664617276359</v>
      </c>
      <c r="W179" s="175">
        <f t="shared" si="177"/>
        <v>0</v>
      </c>
      <c r="X179" s="175">
        <f t="shared" si="177"/>
        <v>0.7010857522712165</v>
      </c>
      <c r="Y179" s="175">
        <f t="shared" si="177"/>
        <v>0.61371405590187011</v>
      </c>
      <c r="Z179" s="175">
        <f t="shared" si="177"/>
        <v>0.35743774137701423</v>
      </c>
      <c r="AA179" s="175">
        <f t="shared" ref="T179:AA179" si="178">-AA110/AA53</f>
        <v>0.15424764019988896</v>
      </c>
      <c r="AC179" s="175">
        <f>-AC110/AC53</f>
        <v>0.39573076923076922</v>
      </c>
    </row>
    <row r="180" spans="1:31" x14ac:dyDescent="0.2">
      <c r="B180" s="20" t="s">
        <v>416</v>
      </c>
      <c r="M180" s="245">
        <f>M5/M37</f>
        <v>0.346849112713561</v>
      </c>
      <c r="N180" s="245">
        <f t="shared" ref="N180:Q180" si="179">N5/N37</f>
        <v>0.38702057541552631</v>
      </c>
      <c r="O180" s="245">
        <f t="shared" si="179"/>
        <v>0.44270021436611728</v>
      </c>
      <c r="P180" s="245">
        <f t="shared" si="179"/>
        <v>0.49896309946357587</v>
      </c>
      <c r="Q180" s="245">
        <f t="shared" si="179"/>
        <v>0.50659662808253647</v>
      </c>
      <c r="T180" s="49"/>
      <c r="U180" s="49"/>
      <c r="V180" s="49"/>
      <c r="W180" s="49"/>
      <c r="X180" s="49"/>
      <c r="Y180" s="49"/>
      <c r="Z180" s="49"/>
      <c r="AA180" s="49"/>
      <c r="AC180" s="245">
        <f t="shared" ref="AC180" si="180">AC5/AC37</f>
        <v>0.5918956911872495</v>
      </c>
    </row>
    <row r="181" spans="1:31" x14ac:dyDescent="0.2">
      <c r="B181" s="20" t="s">
        <v>413</v>
      </c>
      <c r="M181" s="247" t="str">
        <f>IF(AND(M12&gt;0,M108&gt;0),M108/M12,"N/A")</f>
        <v>N/A</v>
      </c>
      <c r="N181" s="247" t="str">
        <f t="shared" ref="N181:Q181" si="181">IF(AND(N12&gt;0,N108&gt;0),N108/N12,"N/A")</f>
        <v>N/A</v>
      </c>
      <c r="O181" s="247" t="str">
        <f t="shared" si="181"/>
        <v>N/A</v>
      </c>
      <c r="P181" s="247" t="str">
        <f t="shared" si="181"/>
        <v>N/A</v>
      </c>
      <c r="Q181" s="247" t="str">
        <f t="shared" si="181"/>
        <v>N/A</v>
      </c>
      <c r="T181" s="49"/>
      <c r="U181" s="49"/>
      <c r="V181" s="49"/>
      <c r="W181" s="49"/>
      <c r="X181" s="49"/>
      <c r="Y181" s="49"/>
      <c r="Z181" s="49"/>
      <c r="AA181" s="49"/>
      <c r="AC181" s="247" t="str">
        <f t="shared" ref="AC181" si="182">IF(AND(AC12&gt;0,AC108&gt;0),AC108/AC12,"N/A")</f>
        <v>N/A</v>
      </c>
    </row>
    <row r="182" spans="1:31" x14ac:dyDescent="0.2">
      <c r="B182" s="20" t="s">
        <v>414</v>
      </c>
      <c r="M182" s="247" t="str">
        <f>IF(AND(M12&gt;0,M108&gt;0),(M108-M107)/M12,"N/A")</f>
        <v>N/A</v>
      </c>
      <c r="N182" s="247" t="str">
        <f t="shared" ref="N182:Q182" si="183">IF(AND(N12&gt;0,N108&gt;0),(N108-N107)/N12,"N/A")</f>
        <v>N/A</v>
      </c>
      <c r="O182" s="247" t="str">
        <f t="shared" si="183"/>
        <v>N/A</v>
      </c>
      <c r="P182" s="247" t="str">
        <f t="shared" si="183"/>
        <v>N/A</v>
      </c>
      <c r="Q182" s="247" t="str">
        <f t="shared" si="183"/>
        <v>N/A</v>
      </c>
      <c r="T182" s="49"/>
      <c r="U182" s="49"/>
      <c r="V182" s="49"/>
      <c r="W182" s="49"/>
      <c r="X182" s="49"/>
      <c r="Y182" s="49"/>
      <c r="Z182" s="49"/>
      <c r="AA182" s="49"/>
      <c r="AC182" s="247" t="str">
        <f t="shared" ref="AC182" si="184">IF(AND(AC12&gt;0,AC108&gt;0),(AC108-AC107)/AC12,"N/A")</f>
        <v>N/A</v>
      </c>
    </row>
    <row r="183" spans="1:31" x14ac:dyDescent="0.2">
      <c r="B183" s="20" t="s">
        <v>415</v>
      </c>
      <c r="M183" s="247">
        <f>M5/(M108+M112-M107)</f>
        <v>23.950501959521127</v>
      </c>
      <c r="N183" s="247">
        <f t="shared" ref="N183:Q183" si="185">N5/(N108+N112-N107)</f>
        <v>6.6028018437778737</v>
      </c>
      <c r="O183" s="247">
        <f t="shared" si="185"/>
        <v>9.5976403430894184</v>
      </c>
      <c r="P183" s="247">
        <f t="shared" si="185"/>
        <v>11.705987832736978</v>
      </c>
      <c r="Q183" s="247">
        <f t="shared" si="185"/>
        <v>4.0969904174647871</v>
      </c>
      <c r="T183" s="49"/>
      <c r="U183" s="49"/>
      <c r="V183" s="49"/>
      <c r="W183" s="49"/>
      <c r="X183" s="49"/>
      <c r="Y183" s="49"/>
      <c r="Z183" s="49"/>
      <c r="AA183" s="49"/>
      <c r="AC183" s="247">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361</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T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362</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331</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408</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409</v>
      </c>
      <c r="M207" s="164">
        <v>100</v>
      </c>
      <c r="N207" s="164">
        <f>100*(1+((N117-$M117)/ABS($M117)))</f>
        <v>43.583607538139404</v>
      </c>
      <c r="O207" s="164">
        <f t="shared" ref="O207:Q207" si="197">100*(1+((O117-$M117)/ABS($M117)))</f>
        <v>71.343104995513016</v>
      </c>
      <c r="P207" s="164">
        <f t="shared" si="197"/>
        <v>43.613520789709838</v>
      </c>
      <c r="Q207" s="164">
        <f t="shared" si="197"/>
        <v>37.660783727191152</v>
      </c>
      <c r="T207" s="49"/>
      <c r="U207" s="49"/>
      <c r="V207" s="49"/>
      <c r="W207" s="49"/>
      <c r="X207" s="49"/>
      <c r="Y207" s="49"/>
      <c r="Z207" s="49"/>
      <c r="AA207" s="49"/>
      <c r="AC207" s="49"/>
    </row>
    <row r="208" spans="2:29" x14ac:dyDescent="0.2">
      <c r="B208" s="20" t="s">
        <v>410</v>
      </c>
      <c r="M208" s="164">
        <v>100</v>
      </c>
      <c r="N208" s="164">
        <f>100*(1+((N5-$M5)/ABS($M5)))</f>
        <v>118.64148245114609</v>
      </c>
      <c r="O208" s="164">
        <f t="shared" ref="O208:Q208" si="198">100*(1+((O5-$M5)/ABS($M5)))</f>
        <v>146.60342593796372</v>
      </c>
      <c r="P208" s="164">
        <f t="shared" si="198"/>
        <v>160.23096613961079</v>
      </c>
      <c r="Q208" s="164">
        <f t="shared" si="198"/>
        <v>180.50640402038886</v>
      </c>
      <c r="T208" s="49"/>
      <c r="U208" s="49"/>
      <c r="V208" s="49"/>
      <c r="W208" s="49"/>
      <c r="X208" s="49"/>
      <c r="Y208" s="49"/>
      <c r="Z208" s="49"/>
      <c r="AA208" s="49"/>
      <c r="AC208" s="49"/>
    </row>
    <row r="209" spans="1:31" x14ac:dyDescent="0.2">
      <c r="B209" s="20" t="s">
        <v>411</v>
      </c>
      <c r="M209" s="164">
        <v>100</v>
      </c>
      <c r="N209" s="164">
        <f>100*(1+((N26-$M26)/ABS($M26)))</f>
        <v>148.27586206896552</v>
      </c>
      <c r="O209" s="164">
        <f t="shared" ref="O209:Q209" si="199">100*(1+((O26-$M26)/ABS($M26)))</f>
        <v>186.20689655172413</v>
      </c>
      <c r="P209" s="164">
        <f t="shared" si="199"/>
        <v>188.79310344827584</v>
      </c>
      <c r="Q209" s="164">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321</v>
      </c>
    </row>
    <row r="4" spans="2:7" x14ac:dyDescent="0.2">
      <c r="B4" s="256" t="s">
        <v>280</v>
      </c>
      <c r="C4" s="256"/>
      <c r="E4" s="256" t="s">
        <v>287</v>
      </c>
      <c r="F4" s="256"/>
      <c r="G4" s="256"/>
    </row>
    <row r="5" spans="2:7" x14ac:dyDescent="0.2">
      <c r="B5" s="20" t="s">
        <v>1</v>
      </c>
      <c r="C5" s="193">
        <f ca="1">Overview!C5</f>
        <v>13.75</v>
      </c>
      <c r="E5" s="12"/>
      <c r="F5" s="153" t="s">
        <v>288</v>
      </c>
      <c r="G5" s="153" t="s">
        <v>289</v>
      </c>
    </row>
    <row r="6" spans="2:7" x14ac:dyDescent="0.2">
      <c r="B6" s="20" t="s">
        <v>286</v>
      </c>
      <c r="C6" s="194">
        <f ca="1">Statement!AC153</f>
        <v>7212081.25</v>
      </c>
      <c r="E6" s="20" t="s">
        <v>20</v>
      </c>
      <c r="F6" s="199">
        <f>IF(Statement!M5&lt;=0,"N/A",_xlfn.RRI(4,Statement!M5,Statement!Q5))</f>
        <v>0.15910599918172563</v>
      </c>
      <c r="G6" s="199" t="str">
        <f>IF(Statement!H5&lt;=0,"N/A",_xlfn.RRI(9,Statement!H5,Statement!Q5))</f>
        <v>N/A</v>
      </c>
    </row>
    <row r="7" spans="2:7" x14ac:dyDescent="0.2">
      <c r="B7" s="20" t="s">
        <v>227</v>
      </c>
      <c r="C7" s="194">
        <f ca="1">Statement!AC154</f>
        <v>5807056.25</v>
      </c>
      <c r="E7" s="20" t="s">
        <v>32</v>
      </c>
      <c r="F7" s="199" t="str">
        <f>IF(OR(Statement!M18&lt;=0, Statement!Q18&lt;=0), "N/A", _xlfn.RRI(4, Statement!M18, Statement!Q18))</f>
        <v>N/A</v>
      </c>
      <c r="G7" s="199" t="str">
        <f>IF(OR(Statement!H18&lt;=0, Statement!Q18&lt;=0), "N/A", _xlfn.RRI(9, Statement!H18, Statement!Q18))</f>
        <v>N/A</v>
      </c>
    </row>
    <row r="8" spans="2:7" x14ac:dyDescent="0.2">
      <c r="B8" s="20" t="s">
        <v>284</v>
      </c>
      <c r="C8" s="195">
        <f ca="1">Statement!AC150</f>
        <v>20.522388059701488</v>
      </c>
      <c r="E8" s="20" t="s">
        <v>290</v>
      </c>
      <c r="F8" s="199" t="str">
        <f>IF(OR(Statement!M26&lt;=0, Statement!Q26&lt;=0), "N/A", _xlfn.RRI(4, Statement!M26, Statement!Q26))</f>
        <v>N/A</v>
      </c>
      <c r="G8" s="199" t="str">
        <f>IF(OR(Statement!H26&lt;=0, Statement!Q26&lt;=0), "N/A", _xlfn.RRI(9, Statement!H26, Statement!Q26))</f>
        <v>N/A</v>
      </c>
    </row>
    <row r="9" spans="2:7" x14ac:dyDescent="0.2">
      <c r="B9" s="20" t="s">
        <v>240</v>
      </c>
      <c r="C9" s="195">
        <f ca="1">Statement!AC151</f>
        <v>4.2650350508292956</v>
      </c>
      <c r="E9" s="20" t="s">
        <v>291</v>
      </c>
      <c r="F9" s="199" t="str">
        <f>IF(Statement!M82&lt;=0,"N/A",_xlfn.RRI(4,Statement!M82,Statement!Q82))</f>
        <v>N/A</v>
      </c>
      <c r="G9" s="199" t="str">
        <f>IF(Statement!H82&lt;=0,"N/A",_xlfn.RRI(9,Statement!H82,Statement!Q82))</f>
        <v>N/A</v>
      </c>
    </row>
    <row r="10" spans="2:7" x14ac:dyDescent="0.2">
      <c r="B10" s="20" t="s">
        <v>285</v>
      </c>
      <c r="C10" s="195">
        <f ca="1">Statement!AC152</f>
        <v>3.6775506517407037</v>
      </c>
      <c r="E10" s="20" t="s">
        <v>1</v>
      </c>
      <c r="F10" s="199">
        <f>IF(Statement!M117&lt;=0,"N/A",_xlfn.RRI(4,Statement!M117,Statement!Q117))</f>
        <v>-0.21662025481427405</v>
      </c>
      <c r="G10" s="199" t="str">
        <f>IF(Statement!H117&lt;=0,"N/A",_xlfn.RRI(9,Statement!H117,Statement!Q117))</f>
        <v>N/A</v>
      </c>
    </row>
    <row r="11" spans="2:7" x14ac:dyDescent="0.2">
      <c r="B11" s="20" t="s">
        <v>307</v>
      </c>
      <c r="C11" s="195">
        <f ca="1">Statement!AC155</f>
        <v>3.3745121619564196</v>
      </c>
    </row>
    <row r="12" spans="2:7" x14ac:dyDescent="0.2">
      <c r="B12" s="20" t="s">
        <v>243</v>
      </c>
      <c r="C12" s="195">
        <f ca="1">Statement!AC156</f>
        <v>37.967520006799695</v>
      </c>
    </row>
    <row r="15" spans="2:7" x14ac:dyDescent="0.2">
      <c r="B15" s="256" t="s">
        <v>78</v>
      </c>
      <c r="C15" s="256"/>
      <c r="E15" s="256" t="s">
        <v>293</v>
      </c>
      <c r="F15" s="256"/>
    </row>
    <row r="16" spans="2:7" x14ac:dyDescent="0.2">
      <c r="B16" s="20" t="s">
        <v>79</v>
      </c>
      <c r="C16" s="196">
        <f>Statement!AC101</f>
        <v>0.82551610882478388</v>
      </c>
      <c r="E16" s="20" t="s">
        <v>32</v>
      </c>
      <c r="F16" s="194">
        <f>Statement!AC18</f>
        <v>361915</v>
      </c>
    </row>
    <row r="17" spans="2:6" x14ac:dyDescent="0.2">
      <c r="B17" s="20" t="s">
        <v>80</v>
      </c>
      <c r="C17" s="196">
        <f>Statement!AC102</f>
        <v>8.8878919701683698E-2</v>
      </c>
      <c r="E17" s="20" t="s">
        <v>294</v>
      </c>
      <c r="F17" s="194">
        <f>Statement!AC59</f>
        <v>373246</v>
      </c>
    </row>
    <row r="18" spans="2:6" x14ac:dyDescent="0.2">
      <c r="B18" s="20" t="s">
        <v>81</v>
      </c>
      <c r="C18" s="196">
        <f>Statement!AC103</f>
        <v>0.21031078682843093</v>
      </c>
      <c r="E18" s="20" t="s">
        <v>301</v>
      </c>
      <c r="F18" s="198">
        <f>IF(OR(F16&lt;=0, F17&lt;=0),"N/A",F16-F17)</f>
        <v>-11331</v>
      </c>
    </row>
    <row r="21" spans="2:6" x14ac:dyDescent="0.2">
      <c r="B21" s="256" t="s">
        <v>292</v>
      </c>
      <c r="C21" s="256"/>
      <c r="E21" s="256" t="s">
        <v>296</v>
      </c>
      <c r="F21" s="256"/>
    </row>
    <row r="22" spans="2:6" x14ac:dyDescent="0.2">
      <c r="B22" s="20" t="s">
        <v>117</v>
      </c>
      <c r="C22" s="196">
        <f>Statement!AC121</f>
        <v>0.21031078682843093</v>
      </c>
      <c r="E22" s="20" t="s">
        <v>119</v>
      </c>
      <c r="F22" s="196">
        <f>C24</f>
        <v>0.12448204853394841</v>
      </c>
    </row>
    <row r="23" spans="2:6" x14ac:dyDescent="0.2">
      <c r="B23" s="20" t="s">
        <v>118</v>
      </c>
      <c r="C23" s="195">
        <f>Statement!AC122</f>
        <v>0.5918956911872495</v>
      </c>
      <c r="E23" s="20" t="s">
        <v>121</v>
      </c>
      <c r="F23" s="196">
        <f>C26</f>
        <v>0.18573545162533595</v>
      </c>
    </row>
    <row r="24" spans="2:6" x14ac:dyDescent="0.2">
      <c r="B24" s="32" t="s">
        <v>119</v>
      </c>
      <c r="C24" s="197">
        <f>Statement!AC123</f>
        <v>0.12448204853394841</v>
      </c>
      <c r="E24" s="20" t="s">
        <v>122</v>
      </c>
      <c r="F24" s="196">
        <f>Statement!AC140</f>
        <v>0.28139960185897273</v>
      </c>
    </row>
    <row r="25" spans="2:6" x14ac:dyDescent="0.2">
      <c r="B25" s="20" t="s">
        <v>120</v>
      </c>
      <c r="C25" s="195">
        <f>Statement!AC124</f>
        <v>1.4920661558255339</v>
      </c>
    </row>
    <row r="26" spans="2:6" x14ac:dyDescent="0.2">
      <c r="B26" s="32" t="s">
        <v>121</v>
      </c>
      <c r="C26" s="197">
        <f>Statement!AC125</f>
        <v>0.18573545162533595</v>
      </c>
    </row>
    <row r="29" spans="2:6" x14ac:dyDescent="0.2">
      <c r="B29" s="256" t="s">
        <v>297</v>
      </c>
      <c r="C29" s="256"/>
      <c r="E29" s="256" t="s">
        <v>303</v>
      </c>
      <c r="F29" s="256"/>
    </row>
    <row r="30" spans="2:6" x14ac:dyDescent="0.2">
      <c r="B30" s="20" t="s">
        <v>178</v>
      </c>
      <c r="C30" s="195">
        <f>Statement!AC141</f>
        <v>65.13952923483518</v>
      </c>
      <c r="E30" s="20" t="s">
        <v>304</v>
      </c>
      <c r="F30" s="201">
        <f>Statement!AC145</f>
        <v>0</v>
      </c>
    </row>
    <row r="31" spans="2:6" x14ac:dyDescent="0.2">
      <c r="B31" s="20" t="s">
        <v>179</v>
      </c>
      <c r="C31" s="195">
        <f>Statement!AC142</f>
        <v>0</v>
      </c>
      <c r="E31" s="20" t="s">
        <v>305</v>
      </c>
      <c r="F31" s="201">
        <f>Statement!AC146</f>
        <v>-0.72106144514564929</v>
      </c>
    </row>
    <row r="32" spans="2:6" x14ac:dyDescent="0.2">
      <c r="B32" s="20" t="s">
        <v>180</v>
      </c>
      <c r="C32" s="195">
        <f>Statement!AC143</f>
        <v>20.038033450786315</v>
      </c>
      <c r="E32" s="20" t="s">
        <v>300</v>
      </c>
      <c r="F32" s="201">
        <f>Statement!AC148</f>
        <v>2.386634756174606</v>
      </c>
    </row>
    <row r="33" spans="2:6" x14ac:dyDescent="0.2">
      <c r="B33" s="20" t="s">
        <v>181</v>
      </c>
      <c r="C33" s="195">
        <f>Statement!AC144</f>
        <v>45.101495784048865</v>
      </c>
      <c r="E33" s="20" t="s">
        <v>299</v>
      </c>
      <c r="F33" s="201">
        <f>Statement!AC147</f>
        <v>2.1209291205537757</v>
      </c>
    </row>
    <row r="34" spans="2:6" x14ac:dyDescent="0.2">
      <c r="E34" s="20" t="s">
        <v>306</v>
      </c>
      <c r="F34" s="203" t="str">
        <f>Statement!AC149</f>
        <v>N/A</v>
      </c>
    </row>
    <row r="37" spans="2:6" x14ac:dyDescent="0.2">
      <c r="B37" s="256" t="s">
        <v>315</v>
      </c>
      <c r="C37" s="256"/>
      <c r="E37" s="256" t="s">
        <v>318</v>
      </c>
      <c r="F37" s="256"/>
    </row>
    <row r="38" spans="2:6" x14ac:dyDescent="0.2">
      <c r="B38" s="20" t="s">
        <v>313</v>
      </c>
      <c r="C38" s="196">
        <f ca="1">Statement!AC162</f>
        <v>4.8727272727272737E-2</v>
      </c>
      <c r="E38" s="20" t="s">
        <v>317</v>
      </c>
      <c r="F38" s="196">
        <f>Statement!AC168</f>
        <v>0</v>
      </c>
    </row>
    <row r="39" spans="2:6" x14ac:dyDescent="0.2">
      <c r="B39" s="54" t="s">
        <v>316</v>
      </c>
      <c r="C39" s="236">
        <f ca="1">Statement!AC161</f>
        <v>1.7800132243379816E-2</v>
      </c>
      <c r="E39" s="20" t="s">
        <v>319</v>
      </c>
      <c r="F39" s="196">
        <f>Statement!AC169</f>
        <v>2.0918863338941858</v>
      </c>
    </row>
    <row r="40" spans="2:6" x14ac:dyDescent="0.2">
      <c r="B40" s="20" t="s">
        <v>314</v>
      </c>
      <c r="C40" s="196">
        <f ca="1">Statement!AC163</f>
        <v>0</v>
      </c>
      <c r="E40" s="20" t="s">
        <v>320</v>
      </c>
      <c r="F40" s="196">
        <f>Statement!AC170</f>
        <v>2.0918863338941858</v>
      </c>
    </row>
    <row r="41" spans="2:6" x14ac:dyDescent="0.2">
      <c r="B41" s="20" t="s">
        <v>339</v>
      </c>
      <c r="C41" s="196">
        <f ca="1">Statement!AC164</f>
        <v>3.7235853381435494E-2</v>
      </c>
    </row>
    <row r="42" spans="2:6" x14ac:dyDescent="0.2">
      <c r="B42" s="20" t="s">
        <v>341</v>
      </c>
      <c r="C42" s="196">
        <f ca="1">Statement!AC165</f>
        <v>3.7235853381435494E-2</v>
      </c>
    </row>
    <row r="45" spans="2:6" x14ac:dyDescent="0.2">
      <c r="B45" s="256" t="s">
        <v>326</v>
      </c>
      <c r="C45" s="256"/>
      <c r="E45" s="256" t="s">
        <v>332</v>
      </c>
      <c r="F45" s="256"/>
    </row>
    <row r="46" spans="2:6" x14ac:dyDescent="0.2">
      <c r="B46" s="20" t="s">
        <v>324</v>
      </c>
      <c r="C46" s="196">
        <f>Statement!AC171</f>
        <v>0.2226990648503856</v>
      </c>
      <c r="E46" s="20" t="s">
        <v>325</v>
      </c>
      <c r="F46" s="195">
        <f>Statement!AC172</f>
        <v>2.6959777878408766</v>
      </c>
    </row>
    <row r="47" spans="2:6" x14ac:dyDescent="0.2">
      <c r="E47" s="20" t="s">
        <v>333</v>
      </c>
      <c r="F47" s="195">
        <f>Statement!AC175</f>
        <v>2.6959777878408766</v>
      </c>
    </row>
    <row r="48" spans="2:6" x14ac:dyDescent="0.2">
      <c r="E48" s="20" t="s">
        <v>338</v>
      </c>
      <c r="F48" s="196">
        <f ca="1">Statement!AC176</f>
        <v>0.19481547022227461</v>
      </c>
    </row>
    <row r="51" spans="2:6" x14ac:dyDescent="0.2">
      <c r="B51" s="256" t="s">
        <v>329</v>
      </c>
      <c r="C51" s="256"/>
      <c r="E51" s="256" t="s">
        <v>350</v>
      </c>
      <c r="F51" s="256"/>
    </row>
    <row r="52" spans="2:6" x14ac:dyDescent="0.2">
      <c r="B52" s="20" t="s">
        <v>327</v>
      </c>
      <c r="C52" s="196">
        <f>Statement!AC173</f>
        <v>0.62848898581632484</v>
      </c>
      <c r="E52" s="20" t="s">
        <v>351</v>
      </c>
      <c r="F52" s="196">
        <f>Statement!AC177</f>
        <v>5.9789941994051804E-3</v>
      </c>
    </row>
    <row r="53" spans="2:6" x14ac:dyDescent="0.2">
      <c r="B53" s="20" t="s">
        <v>328</v>
      </c>
      <c r="C53" s="196">
        <f>Statement!AC174</f>
        <v>0.1363163026815693</v>
      </c>
      <c r="E53" s="20" t="s">
        <v>348</v>
      </c>
      <c r="F53" s="196">
        <f>Statement!AC178</f>
        <v>2.7566269966724358E-2</v>
      </c>
    </row>
    <row r="54" spans="2:6" x14ac:dyDescent="0.2">
      <c r="E54" s="20" t="s">
        <v>349</v>
      </c>
      <c r="F54" s="196">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280</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13.75</v>
      </c>
    </row>
    <row r="7" spans="2:9" x14ac:dyDescent="0.2">
      <c r="B7" s="20" t="s">
        <v>286</v>
      </c>
      <c r="C7" s="194">
        <f>Statement!M153</f>
        <v>18122001.84</v>
      </c>
      <c r="D7" s="194">
        <f>Statement!N153</f>
        <v>8121653.1100000003</v>
      </c>
      <c r="E7" s="194">
        <f>Statement!O153</f>
        <v>13570960.050000001</v>
      </c>
      <c r="F7" s="194">
        <f>Statement!P153</f>
        <v>8040767.9400000004</v>
      </c>
      <c r="G7" s="194">
        <f>Statement!Q153</f>
        <v>6680971.6299999999</v>
      </c>
      <c r="I7" s="194">
        <f ca="1">Statement!AC153</f>
        <v>7212081.25</v>
      </c>
    </row>
    <row r="8" spans="2:9" x14ac:dyDescent="0.2">
      <c r="B8" s="20" t="s">
        <v>227</v>
      </c>
      <c r="C8" s="194">
        <f>Statement!M154</f>
        <v>16237338.84</v>
      </c>
      <c r="D8" s="194">
        <f>Statement!N154</f>
        <v>6361818.1100000003</v>
      </c>
      <c r="E8" s="194">
        <f>Statement!O154</f>
        <v>11691137.050000001</v>
      </c>
      <c r="F8" s="194">
        <f>Statement!P154</f>
        <v>6317136.9400000004</v>
      </c>
      <c r="G8" s="194">
        <f>Statement!Q154</f>
        <v>4991495.63</v>
      </c>
      <c r="I8" s="194">
        <f ca="1">Statement!AC154</f>
        <v>5807056.25</v>
      </c>
    </row>
    <row r="9" spans="2:9" x14ac:dyDescent="0.2">
      <c r="B9" s="20" t="s">
        <v>284</v>
      </c>
      <c r="C9" s="195">
        <f>Statement!M150</f>
        <v>-28.818965517241381</v>
      </c>
      <c r="D9" s="195">
        <f>Statement!N150</f>
        <v>-24.283333333333335</v>
      </c>
      <c r="E9" s="195">
        <f>Statement!O150</f>
        <v>-149.0625</v>
      </c>
      <c r="F9" s="195">
        <f>Statement!P150</f>
        <v>-112.15384615384615</v>
      </c>
      <c r="G9" s="195">
        <f>Statement!Q150</f>
        <v>24.21153846153846</v>
      </c>
      <c r="I9" s="195">
        <f ca="1">Statement!AC150</f>
        <v>20.522388059701488</v>
      </c>
    </row>
    <row r="10" spans="2:9" x14ac:dyDescent="0.2">
      <c r="B10" s="20" t="s">
        <v>240</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4.2650350508292956</v>
      </c>
    </row>
    <row r="11" spans="2:9" x14ac:dyDescent="0.2">
      <c r="B11" s="20" t="s">
        <v>285</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3.6775506517407037</v>
      </c>
    </row>
    <row r="12" spans="2:9" x14ac:dyDescent="0.2">
      <c r="B12" s="20" t="s">
        <v>307</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3.3745121619564196</v>
      </c>
    </row>
    <row r="13" spans="2:9" x14ac:dyDescent="0.2">
      <c r="B13" s="20" t="s">
        <v>243</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37.967520006799695</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0.82551610882478388</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8.8878919701683698E-2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0.21031078682843093</v>
      </c>
    </row>
    <row r="20" spans="2:9" ht="17" thickBot="1" x14ac:dyDescent="0.25">
      <c r="B20" s="14" t="s">
        <v>293</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361915</v>
      </c>
    </row>
    <row r="22" spans="2:9" x14ac:dyDescent="0.2">
      <c r="B22" s="20" t="s">
        <v>294</v>
      </c>
      <c r="C22" s="198">
        <f>Statement!M59</f>
        <v>-54963</v>
      </c>
      <c r="D22" s="198">
        <f>Statement!N59</f>
        <v>-9981</v>
      </c>
      <c r="E22" s="198">
        <f>Statement!O59</f>
        <v>299082</v>
      </c>
      <c r="F22" s="198">
        <f>Statement!P59</f>
        <v>320565</v>
      </c>
      <c r="G22" s="198">
        <f>Statement!Q59</f>
        <v>371208</v>
      </c>
      <c r="I22" s="198">
        <f>Statement!AC59</f>
        <v>373246</v>
      </c>
    </row>
    <row r="23" spans="2:9" x14ac:dyDescent="0.2">
      <c r="B23" s="20" t="s">
        <v>301</v>
      </c>
      <c r="C23" s="216" t="str">
        <f>IF(OR(C21&lt;=0, C22&lt;=0),"N/A",C21-C22)</f>
        <v>N/A</v>
      </c>
      <c r="D23" s="216" t="str">
        <f t="shared" ref="D23:I23" si="0">IF(OR(D21&lt;=0, D22&lt;=0),"N/A",D21-D22)</f>
        <v>N/A</v>
      </c>
      <c r="E23" s="216" t="str">
        <f t="shared" si="0"/>
        <v>N/A</v>
      </c>
      <c r="F23" s="216" t="str">
        <f t="shared" si="0"/>
        <v>N/A</v>
      </c>
      <c r="G23" s="216">
        <f t="shared" si="0"/>
        <v>-88878</v>
      </c>
      <c r="I23" s="216">
        <f t="shared" si="0"/>
        <v>-11331</v>
      </c>
    </row>
    <row r="25" spans="2:9" ht="17" thickBot="1" x14ac:dyDescent="0.25">
      <c r="B25" s="14" t="s">
        <v>292</v>
      </c>
      <c r="C25" s="14"/>
      <c r="D25" s="14"/>
      <c r="E25" s="14"/>
      <c r="F25" s="14"/>
      <c r="G25" s="14"/>
      <c r="I25" s="14"/>
    </row>
    <row r="26" spans="2:9" x14ac:dyDescent="0.2">
      <c r="B26" s="20" t="s">
        <v>117</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0.21031078682843093</v>
      </c>
    </row>
    <row r="27" spans="2:9" x14ac:dyDescent="0.2">
      <c r="B27" s="20" t="s">
        <v>118</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0.5918956911872495</v>
      </c>
    </row>
    <row r="28" spans="2:9" x14ac:dyDescent="0.2">
      <c r="B28" s="32" t="s">
        <v>119</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0.12448204853394841</v>
      </c>
    </row>
    <row r="29" spans="2:9" x14ac:dyDescent="0.2">
      <c r="B29" s="20" t="s">
        <v>120</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1.4920661558255339</v>
      </c>
    </row>
    <row r="30" spans="2:9" x14ac:dyDescent="0.2">
      <c r="B30" s="32" t="s">
        <v>121</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0.18573545162533595</v>
      </c>
    </row>
    <row r="32" spans="2:9" ht="17" thickBot="1" x14ac:dyDescent="0.25">
      <c r="B32" s="14" t="s">
        <v>352</v>
      </c>
      <c r="C32" s="14"/>
      <c r="D32" s="14"/>
      <c r="E32" s="14"/>
      <c r="F32" s="14"/>
      <c r="G32" s="14"/>
      <c r="I32" s="14"/>
    </row>
    <row r="33" spans="2:9" x14ac:dyDescent="0.2">
      <c r="B33" s="20" t="s">
        <v>119</v>
      </c>
      <c r="C33" s="196">
        <f>C28</f>
        <v>-0.20431339773367801</v>
      </c>
      <c r="D33" s="196">
        <f t="shared" ref="D33:G33" si="1">D28</f>
        <v>-0.12004653397221271</v>
      </c>
      <c r="E33" s="196">
        <f t="shared" si="1"/>
        <v>-3.0419750111515053E-2</v>
      </c>
      <c r="F33" s="196">
        <f t="shared" si="1"/>
        <v>-2.5719740199003933E-2</v>
      </c>
      <c r="G33" s="196">
        <f t="shared" si="1"/>
        <v>8.8805359838953199E-2</v>
      </c>
      <c r="I33" s="196">
        <f>I28</f>
        <v>0.12448204853394841</v>
      </c>
    </row>
    <row r="34" spans="2:9" x14ac:dyDescent="0.2">
      <c r="B34" s="20" t="s">
        <v>121</v>
      </c>
      <c r="C34" s="196">
        <f>C30</f>
        <v>-0.27346966596372269</v>
      </c>
      <c r="D34" s="196">
        <f t="shared" ref="D34:G34" si="2">D30</f>
        <v>-0.17100259457815453</v>
      </c>
      <c r="E34" s="196">
        <f t="shared" si="2"/>
        <v>-4.4582300405631825E-2</v>
      </c>
      <c r="F34" s="196">
        <f t="shared" si="2"/>
        <v>-3.9926057639067224E-2</v>
      </c>
      <c r="G34" s="196">
        <f t="shared" si="2"/>
        <v>0.13556696550972422</v>
      </c>
      <c r="I34" s="196">
        <f>I30</f>
        <v>0.18573545162533595</v>
      </c>
    </row>
    <row r="35" spans="2:9" x14ac:dyDescent="0.2">
      <c r="B35" s="20" t="s">
        <v>122</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0.28139960185897273</v>
      </c>
    </row>
    <row r="37" spans="2:9" ht="17" thickBot="1" x14ac:dyDescent="0.25">
      <c r="B37" s="14" t="s">
        <v>297</v>
      </c>
      <c r="C37" s="14"/>
      <c r="D37" s="14"/>
      <c r="E37" s="14"/>
      <c r="F37" s="14"/>
      <c r="G37" s="14"/>
      <c r="I37" s="14"/>
    </row>
    <row r="38" spans="2:9" x14ac:dyDescent="0.2">
      <c r="B38" s="20" t="s">
        <v>178</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65.13952923483518</v>
      </c>
    </row>
    <row r="39" spans="2:9" x14ac:dyDescent="0.2">
      <c r="B39" s="20" t="s">
        <v>179</v>
      </c>
      <c r="C39" s="195">
        <f>Statement!M142</f>
        <v>0</v>
      </c>
      <c r="D39" s="195">
        <f>Statement!N142</f>
        <v>0</v>
      </c>
      <c r="E39" s="195">
        <f>Statement!O142</f>
        <v>0</v>
      </c>
      <c r="F39" s="195">
        <f>Statement!P142</f>
        <v>0</v>
      </c>
      <c r="G39" s="195">
        <f>Statement!Q142</f>
        <v>0</v>
      </c>
      <c r="I39" s="195">
        <f>Statement!AC142</f>
        <v>0</v>
      </c>
    </row>
    <row r="40" spans="2:9" x14ac:dyDescent="0.2">
      <c r="B40" s="20" t="s">
        <v>180</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20.038033450786315</v>
      </c>
    </row>
    <row r="41" spans="2:9" x14ac:dyDescent="0.2">
      <c r="B41" s="20" t="s">
        <v>181</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45.101495784048865</v>
      </c>
    </row>
    <row r="43" spans="2:9" ht="17" thickBot="1" x14ac:dyDescent="0.25">
      <c r="B43" s="14" t="s">
        <v>303</v>
      </c>
      <c r="C43" s="14"/>
      <c r="D43" s="14"/>
      <c r="E43" s="14"/>
      <c r="F43" s="14"/>
      <c r="G43" s="14"/>
      <c r="I43" s="14"/>
    </row>
    <row r="44" spans="2:9" x14ac:dyDescent="0.2">
      <c r="B44" s="20" t="s">
        <v>304</v>
      </c>
      <c r="C44" s="201">
        <f>Statement!M145</f>
        <v>0</v>
      </c>
      <c r="D44" s="201">
        <f>Statement!N145</f>
        <v>0</v>
      </c>
      <c r="E44" s="201">
        <f>Statement!O145</f>
        <v>0</v>
      </c>
      <c r="F44" s="201">
        <f>Statement!P145</f>
        <v>0</v>
      </c>
      <c r="G44" s="201">
        <f>Statement!Q145</f>
        <v>0</v>
      </c>
      <c r="I44" s="201">
        <f>Statement!AC145</f>
        <v>0</v>
      </c>
    </row>
    <row r="45" spans="2:9" x14ac:dyDescent="0.2">
      <c r="B45" s="20" t="s">
        <v>305</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-0.72106144514564929</v>
      </c>
    </row>
    <row r="46" spans="2:9" x14ac:dyDescent="0.2">
      <c r="B46" s="20" t="s">
        <v>299</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2.1209291205537757</v>
      </c>
    </row>
    <row r="47" spans="2:9" x14ac:dyDescent="0.2">
      <c r="B47" s="20" t="s">
        <v>300</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2.386634756174606</v>
      </c>
    </row>
    <row r="48" spans="2:9" x14ac:dyDescent="0.2">
      <c r="B48" s="20" t="s">
        <v>306</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315</v>
      </c>
      <c r="C50" s="14"/>
      <c r="D50" s="14"/>
      <c r="E50" s="14"/>
      <c r="F50" s="14"/>
      <c r="G50" s="14"/>
      <c r="I50" s="14"/>
    </row>
    <row r="51" spans="2:9" x14ac:dyDescent="0.2">
      <c r="B51" s="20" t="s">
        <v>313</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4.8727272727272737E-2</v>
      </c>
    </row>
    <row r="52" spans="2:9" x14ac:dyDescent="0.2">
      <c r="B52" s="20" t="s">
        <v>316</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1.7800132243379816E-2</v>
      </c>
    </row>
    <row r="53" spans="2:9" x14ac:dyDescent="0.2">
      <c r="B53" s="20" t="s">
        <v>314</v>
      </c>
      <c r="C53" s="196">
        <f>Statement!M163</f>
        <v>0</v>
      </c>
      <c r="D53" s="196">
        <f>Statement!N163</f>
        <v>0</v>
      </c>
      <c r="E53" s="196">
        <f>Statement!O163</f>
        <v>0</v>
      </c>
      <c r="F53" s="196">
        <f>Statement!P163</f>
        <v>0</v>
      </c>
      <c r="G53" s="196">
        <f>Statement!Q163</f>
        <v>0</v>
      </c>
      <c r="I53" s="196">
        <f ca="1">Statement!AC163</f>
        <v>0</v>
      </c>
    </row>
    <row r="54" spans="2:9" x14ac:dyDescent="0.2">
      <c r="B54" s="20" t="s">
        <v>339</v>
      </c>
      <c r="C54" s="196">
        <f>Statement!M164</f>
        <v>0</v>
      </c>
      <c r="D54" s="196">
        <f>Statement!N164</f>
        <v>0</v>
      </c>
      <c r="E54" s="196">
        <f>Statement!O164</f>
        <v>7.5613663014209515E-3</v>
      </c>
      <c r="F54" s="196">
        <f>Statement!P164</f>
        <v>4.8596228981581578E-2</v>
      </c>
      <c r="G54" s="196">
        <f>Statement!Q164</f>
        <v>4.9259451802222368E-2</v>
      </c>
      <c r="I54" s="196">
        <f ca="1">Statement!AC164</f>
        <v>3.7235853381435494E-2</v>
      </c>
    </row>
    <row r="55" spans="2:9" x14ac:dyDescent="0.2">
      <c r="B55" s="20" t="s">
        <v>341</v>
      </c>
      <c r="C55" s="196">
        <f>Statement!M165</f>
        <v>0</v>
      </c>
      <c r="D55" s="196">
        <f>Statement!N165</f>
        <v>0</v>
      </c>
      <c r="E55" s="196">
        <f>Statement!O165</f>
        <v>7.5613663014209515E-3</v>
      </c>
      <c r="F55" s="196">
        <f>Statement!P165</f>
        <v>4.8596228981581578E-2</v>
      </c>
      <c r="G55" s="196">
        <f>Statement!Q165</f>
        <v>4.9259451802222368E-2</v>
      </c>
      <c r="I55" s="196">
        <f ca="1">Statement!AC165</f>
        <v>3.7235853381435494E-2</v>
      </c>
    </row>
    <row r="57" spans="2:9" ht="17" thickBot="1" x14ac:dyDescent="0.25">
      <c r="B57" s="14" t="s">
        <v>318</v>
      </c>
      <c r="C57" s="14"/>
      <c r="D57" s="14"/>
      <c r="E57" s="14"/>
      <c r="F57" s="14"/>
      <c r="G57" s="14"/>
      <c r="I57" s="14"/>
    </row>
    <row r="58" spans="2:9" x14ac:dyDescent="0.2">
      <c r="B58" s="20" t="s">
        <v>317</v>
      </c>
      <c r="C58" s="196">
        <f>Statement!M168</f>
        <v>0</v>
      </c>
      <c r="D58" s="196">
        <f>Statement!N168</f>
        <v>0</v>
      </c>
      <c r="E58" s="196">
        <f>Statement!O168</f>
        <v>0</v>
      </c>
      <c r="F58" s="196">
        <f>Statement!P168</f>
        <v>0</v>
      </c>
      <c r="G58" s="196">
        <f>Statement!Q168</f>
        <v>0</v>
      </c>
      <c r="I58" s="196">
        <f>Statement!AC168</f>
        <v>0</v>
      </c>
    </row>
    <row r="59" spans="2:9" x14ac:dyDescent="0.2">
      <c r="B59" s="20" t="s">
        <v>319</v>
      </c>
      <c r="C59" s="196">
        <f>Statement!M169</f>
        <v>0</v>
      </c>
      <c r="D59" s="196">
        <f>Statement!N169</f>
        <v>0</v>
      </c>
      <c r="E59" s="196">
        <f>Statement!O169</f>
        <v>-1.2792495169232687</v>
      </c>
      <c r="F59" s="196">
        <f>Statement!P169</f>
        <v>-7.44160048753547</v>
      </c>
      <c r="G59" s="196">
        <f>Statement!Q169</f>
        <v>5.3526283260685705</v>
      </c>
      <c r="I59" s="196">
        <f>Statement!AC169</f>
        <v>2.0918863338941858</v>
      </c>
    </row>
    <row r="60" spans="2:9" x14ac:dyDescent="0.2">
      <c r="B60" s="20" t="s">
        <v>320</v>
      </c>
      <c r="C60" s="196">
        <f>Statement!M170</f>
        <v>0</v>
      </c>
      <c r="D60" s="196">
        <f>Statement!N170</f>
        <v>0</v>
      </c>
      <c r="E60" s="196">
        <f>Statement!O170</f>
        <v>-1.2792495169232687</v>
      </c>
      <c r="F60" s="196">
        <f>Statement!P170</f>
        <v>-7.44160048753547</v>
      </c>
      <c r="G60" s="196">
        <f>Statement!Q170</f>
        <v>5.3526283260685705</v>
      </c>
      <c r="I60" s="196">
        <f>Statement!AC170</f>
        <v>2.0918863338941858</v>
      </c>
    </row>
    <row r="62" spans="2:9" ht="17" thickBot="1" x14ac:dyDescent="0.25">
      <c r="B62" s="14" t="s">
        <v>326</v>
      </c>
      <c r="C62" s="14"/>
      <c r="D62" s="14"/>
      <c r="E62" s="14"/>
      <c r="F62" s="14"/>
      <c r="G62" s="14"/>
      <c r="I62" s="14"/>
    </row>
    <row r="63" spans="2:9" x14ac:dyDescent="0.2">
      <c r="B63" s="20" t="s">
        <v>324</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0.2226990648503856</v>
      </c>
    </row>
    <row r="65" spans="2:9" ht="17" thickBot="1" x14ac:dyDescent="0.25">
      <c r="B65" s="14" t="s">
        <v>332</v>
      </c>
      <c r="C65" s="14"/>
      <c r="D65" s="14"/>
      <c r="E65" s="14"/>
      <c r="F65" s="14"/>
      <c r="G65" s="14"/>
      <c r="I65" s="14"/>
    </row>
    <row r="66" spans="2:9" x14ac:dyDescent="0.2">
      <c r="B66" s="20" t="s">
        <v>325</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2.6959777878408766</v>
      </c>
    </row>
    <row r="67" spans="2:9" x14ac:dyDescent="0.2">
      <c r="B67" s="20" t="s">
        <v>333</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2.6959777878408766</v>
      </c>
    </row>
    <row r="68" spans="2:9" x14ac:dyDescent="0.2">
      <c r="B68" s="20" t="s">
        <v>338</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0.19481547022227461</v>
      </c>
    </row>
    <row r="70" spans="2:9" ht="17" thickBot="1" x14ac:dyDescent="0.25">
      <c r="B70" s="14" t="s">
        <v>353</v>
      </c>
      <c r="C70" s="14"/>
      <c r="D70" s="14"/>
      <c r="E70" s="14"/>
      <c r="F70" s="14"/>
      <c r="G70" s="14"/>
      <c r="I70" s="14"/>
    </row>
    <row r="71" spans="2:9" x14ac:dyDescent="0.2">
      <c r="B71" s="20" t="s">
        <v>327</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0.62848898581632484</v>
      </c>
    </row>
    <row r="72" spans="2:9" x14ac:dyDescent="0.2">
      <c r="B72" s="20" t="s">
        <v>328</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0.1363163026815693</v>
      </c>
    </row>
    <row r="74" spans="2:9" ht="17" thickBot="1" x14ac:dyDescent="0.25">
      <c r="B74" s="14" t="s">
        <v>354</v>
      </c>
      <c r="C74" s="14"/>
      <c r="D74" s="14"/>
      <c r="E74" s="14"/>
      <c r="F74" s="14"/>
      <c r="G74" s="14"/>
      <c r="I74" s="14"/>
    </row>
    <row r="75" spans="2:9" x14ac:dyDescent="0.2">
      <c r="B75" s="20" t="s">
        <v>351</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5.9789941994051804E-3</v>
      </c>
    </row>
    <row r="76" spans="2:9" x14ac:dyDescent="0.2">
      <c r="B76" s="20" t="s">
        <v>348</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2.7566269966724358E-2</v>
      </c>
    </row>
    <row r="77" spans="2:9" x14ac:dyDescent="0.2">
      <c r="B77" s="20" t="s">
        <v>349</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0.39573076923076922</v>
      </c>
    </row>
    <row r="79" spans="2:9" ht="17" thickBot="1" x14ac:dyDescent="0.25">
      <c r="B79" s="14" t="s">
        <v>144</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355</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356</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357</v>
      </c>
      <c r="C88" s="14"/>
      <c r="D88" s="14"/>
      <c r="E88" s="14"/>
      <c r="F88" s="14"/>
      <c r="G88" s="14"/>
      <c r="I88" s="14"/>
    </row>
    <row r="89" spans="2:9" x14ac:dyDescent="0.2">
      <c r="B89" s="20" t="s">
        <v>358</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359</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360</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362</v>
      </c>
      <c r="C93" s="14"/>
      <c r="D93" s="14"/>
      <c r="E93" s="14"/>
      <c r="F93" s="14"/>
      <c r="G93" s="14"/>
      <c r="I93" s="14"/>
    </row>
    <row r="94" spans="2:9" x14ac:dyDescent="0.2">
      <c r="B94" s="20" t="s">
        <v>331</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9" t="s">
        <v>363</v>
      </c>
      <c r="D3" s="260"/>
      <c r="F3" s="261" t="s">
        <v>364</v>
      </c>
      <c r="G3" s="260"/>
    </row>
    <row r="4" spans="2:7" x14ac:dyDescent="0.2">
      <c r="B4" s="8"/>
      <c r="C4" s="10" t="str">
        <f>Statement!Z2</f>
        <v>30.04.2026</v>
      </c>
      <c r="D4" s="224" t="str">
        <f>Statement!AA2</f>
        <v>31.07.2026</v>
      </c>
      <c r="F4" s="225" t="str">
        <f>Statement!W2</f>
        <v>31.07.2025</v>
      </c>
      <c r="G4" s="224" t="str">
        <f>Statement!AA2</f>
        <v>31.07.2026</v>
      </c>
    </row>
    <row r="5" spans="2:7" x14ac:dyDescent="0.2">
      <c r="B5" s="8" t="s">
        <v>369</v>
      </c>
      <c r="C5" s="10" t="str">
        <f>Statement!Z3</f>
        <v>Q1 2027</v>
      </c>
      <c r="D5" s="224" t="str">
        <f>Statement!AA3</f>
        <v>Q2 2027</v>
      </c>
      <c r="F5" s="225" t="str">
        <f>Statement!W3</f>
        <v>Q2 2026</v>
      </c>
      <c r="G5" s="224" t="str">
        <f>Statement!AA3</f>
        <v>Q2 2027</v>
      </c>
    </row>
    <row r="6" spans="2:7" x14ac:dyDescent="0.2">
      <c r="B6" s="226" t="s">
        <v>20</v>
      </c>
      <c r="C6" s="220">
        <f>Statement!Z5</f>
        <v>418382</v>
      </c>
      <c r="D6" s="219">
        <f>Statement!AA5</f>
        <v>410256</v>
      </c>
      <c r="F6" s="220">
        <f>Statement!W5</f>
        <v>361728</v>
      </c>
      <c r="G6" s="219">
        <f>Statement!AA5</f>
        <v>410256</v>
      </c>
    </row>
    <row r="7" spans="2:7" x14ac:dyDescent="0.2">
      <c r="B7" s="227" t="s">
        <v>365</v>
      </c>
      <c r="C7" s="257">
        <f>Statement!AA89</f>
        <v>-1.94224416920422E-2</v>
      </c>
      <c r="D7" s="258"/>
      <c r="F7" s="257">
        <f>IF(F6=0,
IF(G6=0,0,IF(G6&gt;0,1,-1)),
(G6-F6)/ABS(F6)
)</f>
        <v>0.13415605095541402</v>
      </c>
      <c r="G7" s="258"/>
    </row>
    <row r="8" spans="2:7" x14ac:dyDescent="0.2">
      <c r="B8" s="228" t="s">
        <v>21</v>
      </c>
      <c r="C8" s="221">
        <f>Statement!Z6</f>
        <v>76928</v>
      </c>
      <c r="D8" s="219">
        <f>Statement!AA6</f>
        <v>80587</v>
      </c>
      <c r="F8" s="221">
        <f>Statement!W6</f>
        <v>64380</v>
      </c>
      <c r="G8" s="219">
        <f>Statement!AA6</f>
        <v>80587</v>
      </c>
    </row>
    <row r="9" spans="2:7" x14ac:dyDescent="0.2">
      <c r="B9" s="227" t="s">
        <v>365</v>
      </c>
      <c r="C9" s="257">
        <f>Statement!AA90</f>
        <v>4.7563955906821963E-2</v>
      </c>
      <c r="D9" s="258"/>
      <c r="F9" s="257">
        <f>IF(F8=0,
IF(G8=0,0,IF(G8&gt;0,1,-1)),
(G8-F8)/ABS(F8)
)</f>
        <v>0.25173967070518793</v>
      </c>
      <c r="G9" s="258"/>
    </row>
    <row r="10" spans="2:7" x14ac:dyDescent="0.2">
      <c r="B10" s="228" t="s">
        <v>22</v>
      </c>
      <c r="C10" s="221">
        <f>Statement!Z7</f>
        <v>341454</v>
      </c>
      <c r="D10" s="219">
        <f>Statement!AA7</f>
        <v>329669</v>
      </c>
      <c r="F10" s="221">
        <f>Statement!W7</f>
        <v>297348</v>
      </c>
      <c r="G10" s="219">
        <f>Statement!AA7</f>
        <v>329669</v>
      </c>
    </row>
    <row r="11" spans="2:7" x14ac:dyDescent="0.2">
      <c r="B11" s="227" t="s">
        <v>365</v>
      </c>
      <c r="C11" s="257">
        <f>Statement!AA91</f>
        <v>-3.4514165890573843E-2</v>
      </c>
      <c r="D11" s="258"/>
      <c r="F11" s="257">
        <f>IF(F10=0,
IF(G10=0,0,IF(G10&gt;0,1,-1)),
(G10-F10)/ABS(F10)
)</f>
        <v>0.10869755303550049</v>
      </c>
      <c r="G11" s="258"/>
    </row>
    <row r="12" spans="2:7" x14ac:dyDescent="0.2">
      <c r="B12" s="228" t="s">
        <v>26</v>
      </c>
      <c r="C12" s="221">
        <f>Statement!Z11</f>
        <v>313467</v>
      </c>
      <c r="D12" s="219">
        <f>Statement!AA11</f>
        <v>298065</v>
      </c>
      <c r="F12" s="221">
        <f>Statement!W11</f>
        <v>317533</v>
      </c>
      <c r="G12" s="219">
        <f>Statement!AA11</f>
        <v>298065</v>
      </c>
    </row>
    <row r="13" spans="2:7" x14ac:dyDescent="0.2">
      <c r="B13" s="227" t="s">
        <v>365</v>
      </c>
      <c r="C13" s="257">
        <f>Statement!AA95</f>
        <v>-4.9134358640622461E-2</v>
      </c>
      <c r="D13" s="258"/>
      <c r="F13" s="257">
        <f>IF(F12=0,
IF(G12=0,0,IF(G12&gt;0,1,-1)),
(G12-F12)/ABS(F12)
)</f>
        <v>-6.1310163038172411E-2</v>
      </c>
      <c r="G13" s="258"/>
    </row>
    <row r="14" spans="2:7" x14ac:dyDescent="0.2">
      <c r="B14" s="228" t="s">
        <v>366</v>
      </c>
      <c r="C14" s="221">
        <f>Statement!Z12</f>
        <v>27987</v>
      </c>
      <c r="D14" s="219">
        <f>Statement!AA12</f>
        <v>31604</v>
      </c>
      <c r="F14" s="221">
        <f>Statement!W12</f>
        <v>-20185</v>
      </c>
      <c r="G14" s="219">
        <f>Statement!AA12</f>
        <v>31604</v>
      </c>
    </row>
    <row r="15" spans="2:7" x14ac:dyDescent="0.2">
      <c r="B15" s="227" t="s">
        <v>365</v>
      </c>
      <c r="C15" s="257">
        <f>Statement!AA96</f>
        <v>0.12923857505270303</v>
      </c>
      <c r="D15" s="258"/>
      <c r="F15" s="257">
        <f>IF(F14=0,
IF(G14=0,0,IF(G14&gt;0,1,-1)),
(G14-F14)/ABS(F14)
)</f>
        <v>2.5657171166707951</v>
      </c>
      <c r="G15" s="258"/>
    </row>
    <row r="16" spans="2:7" x14ac:dyDescent="0.2">
      <c r="B16" s="228" t="s">
        <v>32</v>
      </c>
      <c r="C16" s="221">
        <f>Statement!Z18</f>
        <v>22525</v>
      </c>
      <c r="D16" s="219">
        <f>Statement!AA18</f>
        <v>36089</v>
      </c>
      <c r="F16" s="221">
        <f>Statement!W18</f>
        <v>1584</v>
      </c>
      <c r="G16" s="219">
        <f>Statement!AA18</f>
        <v>36089</v>
      </c>
    </row>
    <row r="17" spans="2:7" x14ac:dyDescent="0.2">
      <c r="B17" s="227" t="s">
        <v>365</v>
      </c>
      <c r="C17" s="257">
        <f>Statement!AA98</f>
        <v>0.60217536071032185</v>
      </c>
      <c r="D17" s="258"/>
      <c r="F17" s="257">
        <f>IF(F16=0,
IF(G16=0,0,IF(G16&gt;0,1,-1)),
(G16-F16)/ABS(F16)
)</f>
        <v>21.783459595959595</v>
      </c>
      <c r="G17" s="258"/>
    </row>
    <row r="18" spans="2:7" x14ac:dyDescent="0.2">
      <c r="B18" s="228" t="s">
        <v>367</v>
      </c>
      <c r="C18" s="221">
        <f>Statement!Z22</f>
        <v>527818</v>
      </c>
      <c r="D18" s="219">
        <f>Statement!AA22</f>
        <v>523013</v>
      </c>
      <c r="F18" s="221">
        <f>Statement!W22</f>
        <v>542865</v>
      </c>
      <c r="G18" s="219">
        <f>Statement!AA22</f>
        <v>523013</v>
      </c>
    </row>
    <row r="19" spans="2:7" x14ac:dyDescent="0.2">
      <c r="B19" s="227" t="s">
        <v>365</v>
      </c>
      <c r="C19" s="257">
        <f>IF(C18=0,
IF(D18=0,0,IF(D18&gt;0,1,-1)),
(D18-C18)/ABS(C18)
)</f>
        <v>-9.1035167425135184E-3</v>
      </c>
      <c r="D19" s="258"/>
      <c r="F19" s="257">
        <f>IF(F18=0,
IF(G18=0,0,IF(G18&gt;0,1,-1)),
(G18-F18)/ABS(F18)
)</f>
        <v>-3.6568944396857414E-2</v>
      </c>
      <c r="G19" s="258"/>
    </row>
    <row r="20" spans="2:7" x14ac:dyDescent="0.2">
      <c r="B20" s="228" t="s">
        <v>39</v>
      </c>
      <c r="C20" s="222">
        <f>Statement!Z26</f>
        <v>0.04</v>
      </c>
      <c r="D20" s="223">
        <f>Statement!AA26</f>
        <v>7.0000000000000007E-2</v>
      </c>
      <c r="F20" s="222">
        <f>Statement!W26</f>
        <v>0</v>
      </c>
      <c r="G20" s="223">
        <f>Statement!AA26</f>
        <v>7.0000000000000007E-2</v>
      </c>
    </row>
    <row r="21" spans="2:7" x14ac:dyDescent="0.2">
      <c r="B21" s="227" t="s">
        <v>365</v>
      </c>
      <c r="C21" s="257">
        <f>IF(C20=0,
IF(D20=0,0,IF(D20&gt;0,1,-1)),
(D20-C20)/ABS(C20)
)</f>
        <v>0.75000000000000011</v>
      </c>
      <c r="D21" s="258"/>
      <c r="F21" s="257">
        <f>IF(F20=0,
IF(G20=0,0,IF(G20&gt;0,1,-1)),
(G20-F20)/ABS(F20)
)</f>
        <v>1</v>
      </c>
      <c r="G21" s="258"/>
    </row>
    <row r="23" spans="2:7" x14ac:dyDescent="0.2">
      <c r="B23" s="8" t="s">
        <v>368</v>
      </c>
      <c r="C23" s="10" t="str">
        <f>C5</f>
        <v>Q1 2027</v>
      </c>
      <c r="D23" s="224" t="str">
        <f>D5</f>
        <v>Q2 2027</v>
      </c>
      <c r="F23" s="225" t="str">
        <f>F5</f>
        <v>Q2 2026</v>
      </c>
      <c r="G23" s="224" t="str">
        <f>G5</f>
        <v>Q2 2027</v>
      </c>
    </row>
    <row r="24" spans="2:7" x14ac:dyDescent="0.2">
      <c r="B24" s="20" t="s">
        <v>111</v>
      </c>
      <c r="C24" s="221">
        <f>Statement!Z187</f>
        <v>149309</v>
      </c>
      <c r="D24" s="219">
        <f>Statement!AA187</f>
        <v>123843</v>
      </c>
      <c r="F24" s="221">
        <f>Statement!W187</f>
        <v>112161</v>
      </c>
      <c r="G24" s="219">
        <f>Statement!AA187</f>
        <v>123843</v>
      </c>
    </row>
    <row r="25" spans="2:7" x14ac:dyDescent="0.2">
      <c r="B25" s="227" t="s">
        <v>365</v>
      </c>
      <c r="C25" s="257">
        <f>IF(C24=0,
IF(D24=0,0,IF(D24&gt;0,1,-1)),
(D24-C24)/ABS(C24)
)</f>
        <v>-0.17055904198675231</v>
      </c>
      <c r="D25" s="258"/>
      <c r="F25" s="257">
        <f>IF(F24=0,
IF(G24=0,0,IF(G24&gt;0,1,-1)),
(G24-F24)/ABS(F24)
)</f>
        <v>0.10415385026881001</v>
      </c>
      <c r="G25" s="258"/>
    </row>
    <row r="26" spans="2:7" x14ac:dyDescent="0.2">
      <c r="B26" s="20" t="s">
        <v>112</v>
      </c>
      <c r="C26" s="221">
        <f>Statement!Z188</f>
        <v>252903</v>
      </c>
      <c r="D26" s="219">
        <f>Statement!AA188</f>
        <v>266067</v>
      </c>
      <c r="F26" s="221">
        <f>Statement!W188</f>
        <v>238363</v>
      </c>
      <c r="G26" s="219">
        <f>Statement!AA188</f>
        <v>266067</v>
      </c>
    </row>
    <row r="27" spans="2:7" x14ac:dyDescent="0.2">
      <c r="B27" s="227" t="s">
        <v>365</v>
      </c>
      <c r="C27" s="257">
        <f>IF(C26=0,
IF(D26=0,0,IF(D26&gt;0,1,-1)),
(D26-C26)/ABS(C26)
)</f>
        <v>5.20515770868673E-2</v>
      </c>
      <c r="D27" s="258"/>
      <c r="F27" s="257">
        <f>IF(F26=0,
IF(G26=0,0,IF(G26&gt;0,1,-1)),
(G26-F26)/ABS(F26)
)</f>
        <v>0.11622609213678298</v>
      </c>
      <c r="G27" s="258"/>
    </row>
    <row r="28" spans="2:7" x14ac:dyDescent="0.2">
      <c r="B28" s="20" t="s">
        <v>113</v>
      </c>
      <c r="C28" s="221">
        <f>Statement!Z189</f>
        <v>16170</v>
      </c>
      <c r="D28" s="219">
        <f>Statement!AA189</f>
        <v>20346</v>
      </c>
      <c r="F28" s="221">
        <f>Statement!W189</f>
        <v>11204</v>
      </c>
      <c r="G28" s="219">
        <f>Statement!AA189</f>
        <v>20346</v>
      </c>
    </row>
    <row r="29" spans="2:7" x14ac:dyDescent="0.2">
      <c r="B29" s="227" t="s">
        <v>365</v>
      </c>
      <c r="C29" s="257">
        <f>IF(C28=0,
IF(D28=0,0,IF(D28&gt;0,1,-1)),
(D28-C28)/ABS(C28)
)</f>
        <v>0.2582560296846011</v>
      </c>
      <c r="D29" s="258"/>
      <c r="F29" s="257">
        <f>IF(F28=0,
IF(G28=0,0,IF(G28&gt;0,1,-1)),
(G28-F28)/ABS(F28)
)</f>
        <v>0.81595858621920747</v>
      </c>
      <c r="G29" s="258"/>
    </row>
    <row r="31" spans="2:7" x14ac:dyDescent="0.2">
      <c r="B31" s="8" t="s">
        <v>370</v>
      </c>
      <c r="C31" s="10" t="str">
        <f>C5</f>
        <v>Q1 2027</v>
      </c>
      <c r="D31" s="10" t="str">
        <f>D5</f>
        <v>Q2 2027</v>
      </c>
      <c r="F31" s="10" t="str">
        <f>F5</f>
        <v>Q2 2026</v>
      </c>
      <c r="G31" s="10" t="str">
        <f>G5</f>
        <v>Q2 2027</v>
      </c>
    </row>
    <row r="32" spans="2:7" x14ac:dyDescent="0.2">
      <c r="B32" s="20" t="s">
        <v>128</v>
      </c>
      <c r="C32" s="221">
        <f>Statement!Z213</f>
        <v>1901211</v>
      </c>
      <c r="D32" s="221">
        <f>Statement!AA213</f>
        <v>1937722</v>
      </c>
      <c r="F32" s="221">
        <f>Statement!W213</f>
        <v>1723401</v>
      </c>
      <c r="G32" s="219">
        <f>Statement!AA213</f>
        <v>1937722</v>
      </c>
    </row>
    <row r="33" spans="2:7" x14ac:dyDescent="0.2">
      <c r="B33" s="227" t="s">
        <v>365</v>
      </c>
      <c r="C33" s="257">
        <f>IF(C32=0,
IF(D32=0,0,IF(D32&gt;0,1,-1)),
(D32-C32)/ABS(C32)
)</f>
        <v>1.9204075718055491E-2</v>
      </c>
      <c r="D33" s="258"/>
      <c r="F33" s="257">
        <f>IF(F32=0,
IF(G32=0,0,IF(G32&gt;0,1,-1)),
(G32-F32)/ABS(F32)
)</f>
        <v>0.12435933366639569</v>
      </c>
      <c r="G33" s="258"/>
    </row>
    <row r="34" spans="2:7" x14ac:dyDescent="0.2">
      <c r="B34" s="20" t="s">
        <v>132</v>
      </c>
      <c r="C34" s="221">
        <f>Statement!Z217</f>
        <v>2624</v>
      </c>
      <c r="D34" s="221">
        <f>Statement!AA217</f>
        <v>2666</v>
      </c>
      <c r="F34" s="221">
        <f>Statement!W217</f>
        <v>2432</v>
      </c>
      <c r="G34" s="219">
        <f>Statement!AA217</f>
        <v>2666</v>
      </c>
    </row>
    <row r="35" spans="2:7" x14ac:dyDescent="0.2">
      <c r="B35" s="227" t="s">
        <v>365</v>
      </c>
      <c r="C35" s="257">
        <f>IF(C34=0,
IF(D34=0,0,IF(D34&gt;0,1,-1)),
(D34-C34)/ABS(C34)
)</f>
        <v>1.600609756097561E-2</v>
      </c>
      <c r="D35" s="258"/>
      <c r="F35" s="257">
        <f>IF(F34=0,
IF(G34=0,0,IF(G34&gt;0,1,-1)),
(G34-F34)/ABS(F34)
)</f>
        <v>9.6217105263157895E-2</v>
      </c>
      <c r="G35" s="258"/>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308</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309</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396</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397</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398</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121</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122</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409</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410</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411</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396</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397</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398</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308</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D24" zoomScale="184" zoomScaleNormal="75" workbookViewId="0">
      <selection activeCell="H21" sqref="H21"/>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6" t="s">
        <v>135</v>
      </c>
      <c r="D2" s="256"/>
      <c r="E2" s="256"/>
      <c r="F2" s="256"/>
      <c r="G2" s="262"/>
      <c r="H2" s="263" t="s">
        <v>136</v>
      </c>
      <c r="I2" s="256"/>
      <c r="J2" s="256"/>
      <c r="K2" s="256"/>
      <c r="L2" s="256"/>
      <c r="O2" s="5"/>
      <c r="S2" s="256" t="s">
        <v>135</v>
      </c>
      <c r="T2" s="256"/>
      <c r="U2" s="256"/>
      <c r="V2" s="256"/>
      <c r="W2" s="256"/>
      <c r="X2" s="256"/>
      <c r="Y2" s="256"/>
      <c r="Z2" s="256"/>
      <c r="AA2" s="256" t="s">
        <v>136</v>
      </c>
      <c r="AB2" s="256"/>
      <c r="AC2" s="256"/>
      <c r="AE2" s="87" t="s">
        <v>137</v>
      </c>
    </row>
    <row r="3" spans="1:31" ht="10" customHeight="1" x14ac:dyDescent="0.2">
      <c r="O3" s="5"/>
    </row>
    <row r="4" spans="1:31" ht="16" customHeight="1" x14ac:dyDescent="0.2">
      <c r="A4" s="88"/>
      <c r="B4" s="60"/>
      <c r="C4" s="264" t="s">
        <v>138</v>
      </c>
      <c r="D4" s="264"/>
      <c r="E4" s="264"/>
      <c r="F4" s="264"/>
      <c r="G4" s="264"/>
      <c r="H4" s="264"/>
      <c r="I4" s="264"/>
      <c r="J4" s="264"/>
      <c r="K4" s="264"/>
      <c r="L4" s="264"/>
      <c r="O4" s="5"/>
      <c r="S4" s="265" t="s">
        <v>138</v>
      </c>
      <c r="T4" s="266"/>
      <c r="U4" s="266"/>
      <c r="V4" s="266"/>
      <c r="W4" s="266"/>
      <c r="X4" s="266"/>
      <c r="Y4" s="266"/>
      <c r="Z4" s="266"/>
      <c r="AA4" s="266"/>
      <c r="AB4" s="266"/>
      <c r="AC4" s="266"/>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628183.5</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1094834.1000000001</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71792.400000000009</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1794810</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4" t="s">
        <v>144</v>
      </c>
      <c r="D11" s="264"/>
      <c r="E11" s="264"/>
      <c r="F11" s="264"/>
      <c r="G11" s="264"/>
      <c r="H11" s="264"/>
      <c r="I11" s="264"/>
      <c r="J11" s="264"/>
      <c r="K11" s="264"/>
      <c r="L11" s="264"/>
      <c r="O11" s="5"/>
      <c r="Q11" s="93"/>
      <c r="S11" s="265" t="s">
        <v>144</v>
      </c>
      <c r="T11" s="266"/>
      <c r="U11" s="266"/>
      <c r="V11" s="266"/>
      <c r="W11" s="266"/>
      <c r="X11" s="266"/>
      <c r="Y11" s="266"/>
      <c r="Z11" s="266"/>
      <c r="AA11" s="266"/>
      <c r="AB11" s="266"/>
      <c r="AC11" s="266"/>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3.5932908307140243E-2</v>
      </c>
      <c r="I13" s="97">
        <f t="shared" si="9"/>
        <v>2.3522986515882582E-2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0.14705732593517684</v>
      </c>
      <c r="I14" s="97">
        <f t="shared" si="11"/>
        <v>0.13360382436023865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0.44434072345390918</v>
      </c>
      <c r="I15" s="97">
        <f t="shared" si="12"/>
        <v>-0.1044173867986028</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0.11439289892038351</v>
      </c>
      <c r="I16" s="107">
        <f t="shared" si="13"/>
        <v>8.5554682668360416E-2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4" t="s">
        <v>146</v>
      </c>
      <c r="D19" s="264"/>
      <c r="E19" s="264"/>
      <c r="F19" s="264"/>
      <c r="G19" s="264"/>
      <c r="H19" s="264"/>
      <c r="I19" s="264"/>
      <c r="J19" s="264"/>
      <c r="K19" s="264"/>
      <c r="L19" s="264"/>
      <c r="O19" s="5"/>
      <c r="Q19" s="93"/>
      <c r="S19" s="265" t="s">
        <v>146</v>
      </c>
      <c r="T19" s="266"/>
      <c r="U19" s="266"/>
      <c r="V19" s="266"/>
      <c r="W19" s="266"/>
      <c r="X19" s="266"/>
      <c r="Y19" s="266"/>
      <c r="Z19" s="266"/>
      <c r="AA19" s="266"/>
      <c r="AB19" s="266"/>
      <c r="AC19" s="266"/>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0.87</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4" t="s">
        <v>148</v>
      </c>
      <c r="D32" s="264"/>
      <c r="E32" s="264"/>
      <c r="F32" s="264"/>
      <c r="G32" s="264"/>
      <c r="H32" s="264"/>
      <c r="I32" s="264"/>
      <c r="J32" s="264"/>
      <c r="K32" s="264"/>
      <c r="L32" s="264"/>
      <c r="O32" s="5"/>
      <c r="S32" s="265" t="s">
        <v>148</v>
      </c>
      <c r="T32" s="266"/>
      <c r="U32" s="266"/>
      <c r="V32" s="266"/>
      <c r="W32" s="266"/>
      <c r="X32" s="266"/>
      <c r="Y32" s="266"/>
      <c r="Z32" s="266"/>
      <c r="AA32" s="266"/>
      <c r="AB32" s="266"/>
      <c r="AC32" s="266"/>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6" t="s">
        <v>135</v>
      </c>
      <c r="D2" s="256"/>
      <c r="E2" s="256"/>
      <c r="F2" s="256"/>
      <c r="G2" s="262"/>
      <c r="H2" s="263" t="s">
        <v>136</v>
      </c>
      <c r="I2" s="256"/>
      <c r="J2" s="256"/>
      <c r="K2" s="256"/>
      <c r="L2" s="256"/>
      <c r="P2" s="256" t="s">
        <v>135</v>
      </c>
      <c r="Q2" s="256"/>
      <c r="R2" s="256"/>
      <c r="S2" s="256"/>
      <c r="T2" s="256"/>
      <c r="U2" s="256"/>
      <c r="V2" s="256"/>
      <c r="W2" s="256"/>
      <c r="X2" s="256" t="s">
        <v>136</v>
      </c>
      <c r="Y2" s="256"/>
      <c r="Z2" s="256"/>
      <c r="AB2" s="87" t="s">
        <v>137</v>
      </c>
    </row>
    <row r="3" spans="1:28" ht="10" customHeight="1" x14ac:dyDescent="0.2"/>
    <row r="4" spans="1:28" ht="16" customHeight="1" x14ac:dyDescent="0.2">
      <c r="A4" s="88"/>
      <c r="B4" s="60"/>
      <c r="C4" s="264" t="s">
        <v>138</v>
      </c>
      <c r="D4" s="264"/>
      <c r="E4" s="264"/>
      <c r="F4" s="264"/>
      <c r="G4" s="264"/>
      <c r="H4" s="264"/>
      <c r="I4" s="264"/>
      <c r="J4" s="264"/>
      <c r="K4" s="264"/>
      <c r="L4" s="264"/>
      <c r="P4" s="266" t="s">
        <v>138</v>
      </c>
      <c r="Q4" s="266"/>
      <c r="R4" s="266"/>
      <c r="S4" s="266"/>
      <c r="T4" s="266"/>
      <c r="U4" s="266"/>
      <c r="V4" s="266"/>
      <c r="W4" s="266"/>
      <c r="X4" s="266"/>
      <c r="Y4" s="266"/>
      <c r="Z4" s="266"/>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1794810</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4" t="s">
        <v>164</v>
      </c>
      <c r="D9" s="264"/>
      <c r="E9" s="264"/>
      <c r="F9" s="264"/>
      <c r="G9" s="264"/>
      <c r="H9" s="264"/>
      <c r="I9" s="264"/>
      <c r="J9" s="264"/>
      <c r="K9" s="264"/>
      <c r="L9" s="264"/>
      <c r="N9" s="93"/>
      <c r="P9" s="266" t="s">
        <v>165</v>
      </c>
      <c r="Q9" s="266"/>
      <c r="R9" s="266"/>
      <c r="S9" s="266"/>
      <c r="T9" s="266"/>
      <c r="U9" s="266"/>
      <c r="V9" s="266"/>
      <c r="W9" s="266"/>
      <c r="X9" s="266"/>
      <c r="Y9" s="266"/>
      <c r="Z9" s="266"/>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5384.43</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179481</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125636.70000000001</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310502.13</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717924</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448702.5</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215377.19999999998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1382003.7</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4" t="s">
        <v>167</v>
      </c>
      <c r="D21" s="264"/>
      <c r="E21" s="264"/>
      <c r="F21" s="264"/>
      <c r="G21" s="264"/>
      <c r="H21" s="264"/>
      <c r="I21" s="264"/>
      <c r="J21" s="264"/>
      <c r="K21" s="264"/>
      <c r="L21" s="264"/>
      <c r="P21" s="266" t="s">
        <v>167</v>
      </c>
      <c r="Q21" s="266"/>
      <c r="R21" s="266"/>
      <c r="S21" s="266"/>
      <c r="T21" s="266"/>
      <c r="U21" s="266"/>
      <c r="V21" s="266"/>
      <c r="W21" s="266"/>
      <c r="X21" s="266"/>
      <c r="Y21" s="266"/>
      <c r="Z21" s="266"/>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0.17300000000000001</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6" t="s">
        <v>135</v>
      </c>
      <c r="D3" s="256"/>
      <c r="E3" s="256"/>
      <c r="F3" s="256"/>
      <c r="G3" s="262"/>
      <c r="H3" s="263" t="s">
        <v>136</v>
      </c>
      <c r="I3" s="256"/>
      <c r="J3" s="256"/>
      <c r="K3" s="256"/>
      <c r="L3" s="256"/>
      <c r="P3" s="267"/>
      <c r="Q3" s="267"/>
      <c r="R3" s="267"/>
      <c r="S3" s="267"/>
      <c r="T3" s="267"/>
      <c r="U3" s="267"/>
      <c r="V3" s="267"/>
      <c r="W3" s="267"/>
      <c r="X3" s="267"/>
      <c r="Y3" s="267"/>
      <c r="Z3" s="267"/>
      <c r="AB3" s="130"/>
    </row>
    <row r="4" spans="1:28" ht="10" customHeight="1" x14ac:dyDescent="0.2"/>
    <row r="5" spans="1:28" ht="16" customHeight="1" x14ac:dyDescent="0.2">
      <c r="A5" s="88"/>
      <c r="B5" s="60"/>
      <c r="C5" s="264" t="s">
        <v>138</v>
      </c>
      <c r="D5" s="264"/>
      <c r="E5" s="264"/>
      <c r="F5" s="264"/>
      <c r="G5" s="264"/>
      <c r="H5" s="264"/>
      <c r="I5" s="264"/>
      <c r="J5" s="264"/>
      <c r="K5" s="264"/>
      <c r="L5" s="264"/>
      <c r="P5" s="267"/>
      <c r="Q5" s="267"/>
      <c r="R5" s="267"/>
      <c r="S5" s="267"/>
      <c r="T5" s="267"/>
      <c r="U5" s="267"/>
      <c r="V5" s="267"/>
      <c r="W5" s="267"/>
      <c r="X5" s="267"/>
      <c r="Y5" s="267"/>
      <c r="Z5" s="267"/>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1794810</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310502.13</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4" t="s">
        <v>171</v>
      </c>
      <c r="D11" s="264"/>
      <c r="E11" s="264"/>
      <c r="F11" s="264"/>
      <c r="G11" s="264"/>
      <c r="H11" s="264"/>
      <c r="I11" s="264"/>
      <c r="J11" s="264"/>
      <c r="K11" s="264"/>
      <c r="L11" s="264"/>
      <c r="N11" s="93"/>
      <c r="P11" s="267"/>
      <c r="Q11" s="267"/>
      <c r="R11" s="267"/>
      <c r="S11" s="267"/>
      <c r="T11" s="267"/>
      <c r="U11" s="267"/>
      <c r="V11" s="267"/>
      <c r="W11" s="267"/>
      <c r="X11" s="267"/>
      <c r="Y11" s="267"/>
      <c r="Z11" s="267"/>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639247.39726027392</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19565.887643835616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4" t="s">
        <v>176</v>
      </c>
      <c r="D18" s="264"/>
      <c r="E18" s="264"/>
      <c r="F18" s="264"/>
      <c r="G18" s="264"/>
      <c r="H18" s="264"/>
      <c r="I18" s="264"/>
      <c r="J18" s="264"/>
      <c r="K18" s="264"/>
      <c r="L18" s="264"/>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7"/>
      <c r="C25" s="267"/>
    </row>
    <row r="26" spans="2:12" x14ac:dyDescent="0.2">
      <c r="B26" s="130"/>
      <c r="C26" s="264" t="s">
        <v>182</v>
      </c>
      <c r="D26" s="264"/>
      <c r="E26" s="264"/>
      <c r="F26" s="264"/>
      <c r="G26" s="264"/>
      <c r="H26" s="264"/>
      <c r="I26" s="264"/>
      <c r="J26" s="264"/>
      <c r="K26" s="264"/>
      <c r="L26" s="264"/>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-58542.397260273923</v>
      </c>
      <c r="I28" s="147">
        <f t="shared" ref="I28:L29" si="7">-(I13-H13)</f>
        <v>-54690.608219178161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9404.8876438356165</v>
      </c>
      <c r="I30" s="64">
        <f t="shared" ref="I30:L30" si="8">I15-H15</f>
        <v>1060.0850728767109</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4" t="s">
        <v>186</v>
      </c>
      <c r="D33" s="264"/>
      <c r="E33" s="264"/>
      <c r="F33" s="264"/>
      <c r="G33" s="264"/>
      <c r="H33" s="264"/>
      <c r="I33" s="264"/>
      <c r="J33" s="264"/>
      <c r="K33" s="264"/>
      <c r="L33" s="264"/>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-102981.80961643829</v>
      </c>
      <c r="I35" s="147">
        <f t="shared" ref="I35:L35" si="10">I36+I28+I29+I30</f>
        <v>-112081.45514630145</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-53844.299999999996</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4" t="s">
        <v>189</v>
      </c>
      <c r="D40" s="264"/>
      <c r="E40" s="264"/>
      <c r="F40" s="264"/>
      <c r="G40" s="264"/>
      <c r="H40" s="264"/>
      <c r="I40" s="264"/>
      <c r="J40" s="264"/>
      <c r="K40" s="264"/>
      <c r="L40" s="264"/>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17948.100000000002</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19742.91</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6" t="s">
        <v>135</v>
      </c>
      <c r="D2" s="256"/>
      <c r="E2" s="256"/>
      <c r="F2" s="256"/>
      <c r="G2" s="262"/>
      <c r="H2" s="263" t="s">
        <v>136</v>
      </c>
      <c r="I2" s="256"/>
      <c r="J2" s="256"/>
      <c r="K2" s="256"/>
      <c r="L2" s="256"/>
      <c r="S2" s="267"/>
      <c r="T2" s="267"/>
      <c r="U2" s="267"/>
      <c r="V2" s="267"/>
      <c r="W2" s="267"/>
      <c r="X2" s="267"/>
      <c r="Y2" s="267"/>
      <c r="Z2" s="267"/>
      <c r="AA2" s="267"/>
      <c r="AB2" s="267"/>
      <c r="AC2" s="267"/>
      <c r="AE2" s="130"/>
    </row>
    <row r="3" spans="1:31" ht="10" customHeight="1" x14ac:dyDescent="0.2"/>
    <row r="4" spans="1:31" ht="16" customHeight="1" x14ac:dyDescent="0.2">
      <c r="A4" s="88"/>
      <c r="B4" s="60"/>
      <c r="C4" s="264" t="s">
        <v>19</v>
      </c>
      <c r="D4" s="264"/>
      <c r="E4" s="264"/>
      <c r="F4" s="264"/>
      <c r="G4" s="264"/>
      <c r="H4" s="264"/>
      <c r="I4" s="264"/>
      <c r="J4" s="264"/>
      <c r="K4" s="264"/>
      <c r="L4" s="264"/>
      <c r="S4" s="267"/>
      <c r="T4" s="267"/>
      <c r="U4" s="267"/>
      <c r="V4" s="267"/>
      <c r="W4" s="267"/>
      <c r="X4" s="267"/>
      <c r="Y4" s="267"/>
      <c r="Z4" s="267"/>
      <c r="AA4" s="267"/>
      <c r="AB4" s="267"/>
      <c r="AC4" s="267"/>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1794810</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310502.13</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1484307.87</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1382003.7</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102304.17000000016</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4" t="s">
        <v>197</v>
      </c>
      <c r="D13" s="264"/>
      <c r="E13" s="264"/>
      <c r="F13" s="264"/>
      <c r="G13" s="264"/>
      <c r="H13" s="264"/>
      <c r="I13" s="264"/>
      <c r="J13" s="264"/>
      <c r="K13" s="264"/>
      <c r="L13" s="26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4" t="s">
        <v>198</v>
      </c>
      <c r="D18" s="264"/>
      <c r="E18" s="264"/>
      <c r="F18" s="264"/>
      <c r="G18" s="264"/>
      <c r="H18" s="264"/>
      <c r="I18" s="264"/>
      <c r="J18" s="264"/>
      <c r="K18" s="264"/>
      <c r="L18" s="264"/>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17948.100000000002</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19742.91</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-102981.80961643829</v>
      </c>
      <c r="I22" s="90">
        <f>'WC &amp; Investments'!I35</f>
        <v>-112081.45514630145</v>
      </c>
      <c r="J22" s="90">
        <f>'WC &amp; Investments'!J35</f>
        <v>-133866.04146146297</v>
      </c>
      <c r="K22" s="90">
        <f>'WC &amp; Investments'!K35</f>
        <v>-125701.09746653018</v>
      </c>
      <c r="L22" s="90">
        <f>'WC &amp; Investments'!L35</f>
        <v>-135844.66387890521</v>
      </c>
      <c r="N22" s="1" t="s">
        <v>199</v>
      </c>
    </row>
    <row r="25" spans="2:14" x14ac:dyDescent="0.2">
      <c r="C25" s="264" t="s">
        <v>309</v>
      </c>
      <c r="D25" s="264"/>
      <c r="E25" s="264"/>
      <c r="F25" s="264"/>
      <c r="G25" s="264"/>
      <c r="H25" s="264"/>
      <c r="I25" s="264"/>
      <c r="J25" s="264"/>
      <c r="K25" s="264"/>
      <c r="L25" s="264"/>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80820.294300000125</v>
      </c>
      <c r="I27" s="147">
        <f t="shared" si="6"/>
        <v>95430.88831200017</v>
      </c>
      <c r="J27" s="147">
        <f t="shared" si="6"/>
        <v>199641.46085892004</v>
      </c>
      <c r="K27" s="147">
        <f t="shared" si="6"/>
        <v>232852.88245201937</v>
      </c>
      <c r="L27" s="147">
        <f t="shared" si="6"/>
        <v>338056.99612540059</v>
      </c>
    </row>
    <row r="28" spans="2:14" x14ac:dyDescent="0.2">
      <c r="B28" s="16" t="s">
        <v>309</v>
      </c>
      <c r="C28" s="96">
        <f>C27+C20-C21+C22</f>
        <v>-603972</v>
      </c>
      <c r="D28" s="96">
        <f t="shared" ref="D28:L28" si="7">D27+D20-D21+D22</f>
        <v>-500062</v>
      </c>
      <c r="E28" s="96">
        <f t="shared" si="7"/>
        <v>-216393</v>
      </c>
      <c r="F28" s="96">
        <f t="shared" si="7"/>
        <v>-202032</v>
      </c>
      <c r="G28" s="148">
        <f t="shared" si="7"/>
        <v>-94526</v>
      </c>
      <c r="H28" s="96">
        <f t="shared" si="7"/>
        <v>-23956.32531643816</v>
      </c>
      <c r="I28" s="96">
        <f t="shared" si="7"/>
        <v>-18598.931234301272</v>
      </c>
      <c r="J28" s="96">
        <f t="shared" si="7"/>
        <v>63633.803211457067</v>
      </c>
      <c r="K28" s="96">
        <f t="shared" si="7"/>
        <v>104849.0468283292</v>
      </c>
      <c r="L28" s="96">
        <f t="shared" si="7"/>
        <v>199738.80479990577</v>
      </c>
    </row>
    <row r="31" spans="2:14" x14ac:dyDescent="0.2">
      <c r="C31" s="264" t="s">
        <v>78</v>
      </c>
      <c r="D31" s="264"/>
      <c r="E31" s="264"/>
      <c r="F31" s="264"/>
      <c r="G31" s="264"/>
      <c r="H31" s="264"/>
      <c r="I31" s="264"/>
      <c r="J31" s="264"/>
      <c r="K31" s="264"/>
      <c r="L31" s="264"/>
    </row>
    <row r="32" spans="2:14" x14ac:dyDescent="0.2">
      <c r="B32" s="16" t="s">
        <v>388</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0.82700000000000007</v>
      </c>
      <c r="I33" s="237">
        <f t="shared" ref="I33:L33" si="9">I8/I6</f>
        <v>0.83200000000000007</v>
      </c>
      <c r="J33" s="237">
        <f t="shared" si="9"/>
        <v>0.85299999999999998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5.7000000000000085E-2</v>
      </c>
      <c r="I34" s="237">
        <f t="shared" ref="I34:L34" si="10">I10/I6</f>
        <v>6.2000000000000118E-2</v>
      </c>
      <c r="J34" s="237">
        <f t="shared" si="10"/>
        <v>0.11800000000000001</v>
      </c>
      <c r="K34" s="237">
        <f t="shared" si="10"/>
        <v>0.12800000000000009</v>
      </c>
      <c r="L34" s="237">
        <f t="shared" si="10"/>
        <v>0.17299999999999996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6" t="s">
        <v>205</v>
      </c>
      <c r="C4" s="256"/>
    </row>
    <row r="5" spans="1:3" ht="17" customHeight="1" x14ac:dyDescent="0.2">
      <c r="B5" s="1" t="s">
        <v>206</v>
      </c>
      <c r="C5" s="157">
        <f>Statement!AC78</f>
        <v>524515</v>
      </c>
    </row>
    <row r="6" spans="1:3" ht="17" customHeight="1" x14ac:dyDescent="0.2">
      <c r="B6" s="1" t="s">
        <v>1</v>
      </c>
      <c r="C6" s="154">
        <f ca="1">Overview!C5</f>
        <v>13.75</v>
      </c>
    </row>
    <row r="7" spans="1:3" ht="17" customHeight="1" x14ac:dyDescent="0.2">
      <c r="B7" s="1" t="s">
        <v>207</v>
      </c>
      <c r="C7" s="155">
        <f ca="1">C5*C6</f>
        <v>7212081.25</v>
      </c>
    </row>
    <row r="8" spans="1:3" ht="17" customHeight="1" x14ac:dyDescent="0.2">
      <c r="B8" s="1" t="s">
        <v>208</v>
      </c>
      <c r="C8" s="133">
        <f>Statement!AC108</f>
        <v>0</v>
      </c>
    </row>
    <row r="9" spans="1:3" ht="17" customHeight="1" x14ac:dyDescent="0.2">
      <c r="B9" s="1" t="s">
        <v>209</v>
      </c>
      <c r="C9" s="156">
        <f ca="1">Overview!F27</f>
        <v>4.7840000000000001E-2</v>
      </c>
    </row>
    <row r="10" spans="1:3" ht="17" customHeight="1" x14ac:dyDescent="0.2">
      <c r="B10" s="1" t="s">
        <v>9</v>
      </c>
      <c r="C10" s="154">
        <f ca="1">Overview!C13</f>
        <v>1.0184</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6" t="s">
        <v>212</v>
      </c>
      <c r="C15" s="256"/>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9.3668000000000001E-2</v>
      </c>
    </row>
    <row r="20" spans="2:3" ht="17" customHeight="1" x14ac:dyDescent="0.2">
      <c r="B20" s="1" t="s">
        <v>204</v>
      </c>
      <c r="C20" s="46">
        <f ca="1">(C17*C19)+(C16*C18)</f>
        <v>9.3668000000000001E-2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6" t="s">
        <v>135</v>
      </c>
      <c r="D3" s="256"/>
      <c r="E3" s="256"/>
      <c r="F3" s="256"/>
      <c r="G3" s="262"/>
      <c r="H3" s="263" t="s">
        <v>136</v>
      </c>
      <c r="I3" s="256"/>
      <c r="J3" s="256"/>
      <c r="K3" s="256"/>
      <c r="L3" s="256"/>
      <c r="P3" s="267"/>
      <c r="Q3" s="267"/>
      <c r="R3" s="267"/>
      <c r="S3" s="267"/>
      <c r="T3" s="267"/>
      <c r="U3" s="267"/>
      <c r="V3" s="267"/>
      <c r="W3" s="267"/>
      <c r="X3" s="267"/>
      <c r="Y3" s="267"/>
      <c r="Z3" s="267"/>
      <c r="AB3" s="130"/>
    </row>
    <row r="4" spans="1:28" ht="10" customHeight="1" x14ac:dyDescent="0.2"/>
    <row r="5" spans="1:28" ht="16" customHeight="1" x14ac:dyDescent="0.2">
      <c r="A5" s="88"/>
      <c r="B5" s="60"/>
      <c r="C5" s="264" t="s">
        <v>219</v>
      </c>
      <c r="D5" s="264"/>
      <c r="E5" s="264"/>
      <c r="F5" s="264"/>
      <c r="G5" s="264"/>
      <c r="H5" s="264"/>
      <c r="I5" s="264"/>
      <c r="J5" s="264"/>
      <c r="K5" s="264"/>
      <c r="L5" s="264"/>
      <c r="P5" s="267"/>
      <c r="Q5" s="267"/>
      <c r="R5" s="267"/>
      <c r="S5" s="267"/>
      <c r="T5" s="267"/>
      <c r="U5" s="267"/>
      <c r="V5" s="267"/>
      <c r="W5" s="267"/>
      <c r="X5" s="267"/>
      <c r="Y5" s="267"/>
      <c r="Z5" s="267"/>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309</v>
      </c>
      <c r="C7" s="133">
        <f>'FCF &amp; Other'!C28</f>
        <v>-603972</v>
      </c>
      <c r="D7" s="133">
        <f>'FCF &amp; Other'!D28</f>
        <v>-500062</v>
      </c>
      <c r="E7" s="133">
        <f>'FCF &amp; Other'!E28</f>
        <v>-216393</v>
      </c>
      <c r="F7" s="133">
        <f>'FCF &amp; Other'!F28</f>
        <v>-202032</v>
      </c>
      <c r="G7" s="134">
        <f>'FCF &amp; Other'!G28</f>
        <v>-94526</v>
      </c>
      <c r="H7" s="133">
        <f>'FCF &amp; Other'!H28</f>
        <v>-23956.32531643816</v>
      </c>
      <c r="I7" s="133">
        <f>'FCF &amp; Other'!I28</f>
        <v>-18598.931234301272</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L7*(1+C14)/(C15-C14)</f>
        <v>2546669.7611987987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371</v>
      </c>
      <c r="C10" s="158"/>
      <c r="D10" s="158"/>
      <c r="E10" s="158"/>
      <c r="F10" s="158"/>
      <c r="G10" s="159"/>
      <c r="H10" s="147">
        <f>H7/(1+$C$15)^H9</f>
        <v>-21778.477560398325</v>
      </c>
      <c r="I10" s="147">
        <f t="shared" ref="I10:L10" si="0">I7/(1+$C$15)^I9</f>
        <v>-15371.017549009313</v>
      </c>
      <c r="J10" s="147">
        <f t="shared" si="0"/>
        <v>47809.018190426032</v>
      </c>
      <c r="K10" s="147">
        <f t="shared" si="0"/>
        <v>71613.309765951213</v>
      </c>
      <c r="L10" s="147">
        <f t="shared" si="0"/>
        <v>124022.08294261179</v>
      </c>
      <c r="N10" s="93"/>
    </row>
    <row r="11" spans="1:28" x14ac:dyDescent="0.2">
      <c r="B11" s="1" t="s">
        <v>222</v>
      </c>
      <c r="C11" s="158"/>
      <c r="D11" s="158"/>
      <c r="E11" s="158"/>
      <c r="F11" s="158"/>
      <c r="G11" s="159"/>
      <c r="H11" s="158"/>
      <c r="I11" s="158"/>
      <c r="J11" s="158"/>
      <c r="K11" s="158"/>
      <c r="L11" s="147">
        <f>L8/(1+C15)^L9</f>
        <v>1581281.5575183004</v>
      </c>
    </row>
    <row r="13" spans="1:28" x14ac:dyDescent="0.2">
      <c r="B13" s="256" t="s">
        <v>223</v>
      </c>
      <c r="C13" s="256"/>
    </row>
    <row r="14" spans="1:28" x14ac:dyDescent="0.2">
      <c r="B14" s="1" t="s">
        <v>224</v>
      </c>
      <c r="C14" s="161">
        <v>0.02</v>
      </c>
    </row>
    <row r="15" spans="1:28" x14ac:dyDescent="0.2">
      <c r="B15" s="1" t="s">
        <v>204</v>
      </c>
      <c r="C15" s="156">
        <f>IF(Overview!C28&gt;0,Overview!C28,WACC!C20)</f>
        <v>0.1</v>
      </c>
    </row>
    <row r="18" spans="2:3" x14ac:dyDescent="0.2">
      <c r="B18" s="256" t="s">
        <v>225</v>
      </c>
      <c r="C18" s="256"/>
    </row>
    <row r="19" spans="2:3" x14ac:dyDescent="0.2">
      <c r="B19" s="1" t="s">
        <v>226</v>
      </c>
      <c r="C19" s="64">
        <f>SUM(H10:L10)</f>
        <v>206294.91578958137</v>
      </c>
    </row>
    <row r="20" spans="2:3" x14ac:dyDescent="0.2">
      <c r="B20" s="1" t="s">
        <v>222</v>
      </c>
      <c r="C20" s="64">
        <f>L11</f>
        <v>1581281.5575183004</v>
      </c>
    </row>
    <row r="21" spans="2:3" x14ac:dyDescent="0.2">
      <c r="B21" s="16" t="s">
        <v>227</v>
      </c>
      <c r="C21" s="96">
        <f>C19+C20</f>
        <v>1787576.4733078817</v>
      </c>
    </row>
    <row r="22" spans="2:3" x14ac:dyDescent="0.2">
      <c r="B22" s="1" t="s">
        <v>228</v>
      </c>
      <c r="C22" s="90">
        <f>Statement!AC107</f>
        <v>1405025</v>
      </c>
    </row>
    <row r="23" spans="2:3" x14ac:dyDescent="0.2">
      <c r="B23" s="1" t="s">
        <v>229</v>
      </c>
      <c r="C23" s="90">
        <f>Statement!AC108</f>
        <v>0</v>
      </c>
    </row>
    <row r="24" spans="2:3" x14ac:dyDescent="0.2">
      <c r="B24" s="16" t="s">
        <v>230</v>
      </c>
      <c r="C24" s="96">
        <f>C21+C22-C23</f>
        <v>3192601.4733078815</v>
      </c>
    </row>
    <row r="25" spans="2:3" x14ac:dyDescent="0.2">
      <c r="B25" s="1" t="s">
        <v>70</v>
      </c>
      <c r="C25" s="90">
        <f>Statement!AC78</f>
        <v>524515</v>
      </c>
    </row>
    <row r="26" spans="2:3" x14ac:dyDescent="0.2">
      <c r="B26" s="162" t="s">
        <v>231</v>
      </c>
      <c r="C26" s="163">
        <f>C24/C25</f>
        <v>6.0867686783178394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6" t="s">
        <v>135</v>
      </c>
      <c r="D2" s="256"/>
      <c r="E2" s="256"/>
      <c r="F2" s="256"/>
      <c r="G2" s="262"/>
      <c r="H2" s="263" t="s">
        <v>136</v>
      </c>
      <c r="I2" s="256"/>
      <c r="J2" s="256"/>
      <c r="K2" s="256"/>
      <c r="L2" s="256"/>
    </row>
    <row r="3" spans="1:14" ht="10" customHeight="1" x14ac:dyDescent="0.2"/>
    <row r="4" spans="1:14" ht="16" customHeight="1" x14ac:dyDescent="0.2">
      <c r="A4" s="88"/>
      <c r="B4" s="60"/>
      <c r="C4" s="264" t="s">
        <v>233</v>
      </c>
      <c r="D4" s="264"/>
      <c r="E4" s="264"/>
      <c r="F4" s="264"/>
      <c r="G4" s="264"/>
      <c r="H4" s="264"/>
      <c r="I4" s="264"/>
      <c r="J4" s="264"/>
      <c r="K4" s="264"/>
      <c r="L4" s="264"/>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1794810</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102304.17000000016</v>
      </c>
      <c r="I7" s="94">
        <f>'FCF &amp; Other'!I10</f>
        <v>120798.59280000022</v>
      </c>
      <c r="J7" s="94">
        <f>'FCF &amp; Other'!J10</f>
        <v>252710.70994800003</v>
      </c>
      <c r="K7" s="94">
        <f>'FCF &amp; Other'!K10</f>
        <v>294750.48411648022</v>
      </c>
      <c r="L7" s="94">
        <f>'FCF &amp; Other'!L10</f>
        <v>427920.24826000072</v>
      </c>
      <c r="N7" s="93"/>
    </row>
    <row r="8" spans="1:14" x14ac:dyDescent="0.2">
      <c r="B8" s="16" t="s">
        <v>309</v>
      </c>
      <c r="C8" s="94">
        <f>'FCF &amp; Other'!C28</f>
        <v>-603972</v>
      </c>
      <c r="D8" s="94">
        <f>'FCF &amp; Other'!D28</f>
        <v>-500062</v>
      </c>
      <c r="E8" s="94">
        <f>'FCF &amp; Other'!E28</f>
        <v>-216393</v>
      </c>
      <c r="F8" s="94">
        <f>'FCF &amp; Other'!F28</f>
        <v>-202032</v>
      </c>
      <c r="G8" s="95">
        <f>'FCF &amp; Other'!G28</f>
        <v>-94526</v>
      </c>
      <c r="H8" s="94">
        <f>'FCF &amp; Other'!H28</f>
        <v>-23956.32531643816</v>
      </c>
      <c r="I8" s="94">
        <f>'FCF &amp; Other'!I28</f>
        <v>-18598.931234301272</v>
      </c>
      <c r="J8" s="94">
        <f>'FCF &amp; Other'!J28</f>
        <v>63633.803211457067</v>
      </c>
      <c r="K8" s="94">
        <f>'FCF &amp; Other'!K28</f>
        <v>104849.0468283292</v>
      </c>
      <c r="L8" s="94">
        <f>'FCF &amp; Other'!L28</f>
        <v>199738.80479990577</v>
      </c>
      <c r="N8" s="93"/>
    </row>
    <row r="9" spans="1:14" x14ac:dyDescent="0.2">
      <c r="N9" s="93"/>
    </row>
    <row r="10" spans="1:14" x14ac:dyDescent="0.2">
      <c r="C10" s="264" t="s">
        <v>144</v>
      </c>
      <c r="D10" s="264"/>
      <c r="E10" s="264"/>
      <c r="F10" s="264"/>
      <c r="G10" s="264"/>
      <c r="H10" s="264"/>
      <c r="I10" s="264"/>
      <c r="J10" s="264"/>
      <c r="K10" s="264"/>
      <c r="L10" s="264"/>
      <c r="N10" s="93"/>
    </row>
    <row r="11" spans="1:14" x14ac:dyDescent="0.2">
      <c r="B11" s="16" t="s">
        <v>234</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0.11439289892038357</v>
      </c>
      <c r="I12" s="97">
        <f t="shared" si="1"/>
        <v>8.5554682668360388E-2</v>
      </c>
      <c r="J12" s="97">
        <f t="shared" si="1"/>
        <v>9.9186674730866731E-2</v>
      </c>
      <c r="K12" s="97">
        <f t="shared" si="1"/>
        <v>7.523382210746897E-2</v>
      </c>
      <c r="L12" s="97">
        <f t="shared" si="1"/>
        <v>7.4167915660995842E-2</v>
      </c>
      <c r="N12" s="93"/>
    </row>
    <row r="13" spans="1:14" x14ac:dyDescent="0.2">
      <c r="B13" s="1" t="s">
        <v>196</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0.80239904862579559</v>
      </c>
      <c r="I13" s="97">
        <f t="shared" si="2"/>
        <v>0.18077877763926953</v>
      </c>
      <c r="J13" s="97">
        <f t="shared" si="2"/>
        <v>1.0920004454555168</v>
      </c>
      <c r="K13" s="97">
        <f t="shared" si="2"/>
        <v>0.1663553324555602</v>
      </c>
      <c r="L13" s="97">
        <f t="shared" si="2"/>
        <v>0.45180507351056343</v>
      </c>
      <c r="N13" s="93"/>
    </row>
    <row r="14" spans="1:14" x14ac:dyDescent="0.2">
      <c r="B14" s="1" t="s">
        <v>309</v>
      </c>
      <c r="C14" s="158"/>
      <c r="D14" s="97">
        <f>IF(C8=0,
IF(D8=0,0,IF(D8&gt;0,1,-1)),
(D8-C8)/ABS(C8)
)</f>
        <v>0.17204439940924413</v>
      </c>
      <c r="E14" s="97">
        <f t="shared" ref="E14:L14" si="3">IF(D8=0,
IF(E8=0,0,IF(E8&gt;0,1,-1)),
(E8-D8)/ABS(D8)
)</f>
        <v>0.5672676588103075</v>
      </c>
      <c r="F14" s="97">
        <f t="shared" si="3"/>
        <v>6.6365363020060728E-2</v>
      </c>
      <c r="G14" s="98">
        <f t="shared" si="3"/>
        <v>0.53212362398035951</v>
      </c>
      <c r="H14" s="97">
        <f t="shared" si="3"/>
        <v>0.74656364051754898</v>
      </c>
      <c r="I14" s="97">
        <f t="shared" si="3"/>
        <v>0.2236317136026198</v>
      </c>
      <c r="J14" s="97">
        <f t="shared" si="3"/>
        <v>4.4213688093055454</v>
      </c>
      <c r="K14" s="97">
        <f t="shared" si="3"/>
        <v>0.64769417411548735</v>
      </c>
      <c r="L14" s="97">
        <f t="shared" si="3"/>
        <v>0.90501307204958092</v>
      </c>
      <c r="N14" s="93"/>
    </row>
    <row r="15" spans="1:14" x14ac:dyDescent="0.2">
      <c r="N15" s="93"/>
    </row>
    <row r="16" spans="1:14" x14ac:dyDescent="0.2">
      <c r="C16" s="264" t="s">
        <v>235</v>
      </c>
      <c r="D16" s="264"/>
      <c r="E16" s="264"/>
      <c r="F16" s="264"/>
      <c r="G16" s="264"/>
      <c r="H16" s="264"/>
      <c r="I16" s="264"/>
      <c r="J16" s="264"/>
      <c r="K16" s="264"/>
      <c r="L16" s="264"/>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236</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237</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64" t="s">
        <v>238</v>
      </c>
      <c r="D21" s="264"/>
      <c r="E21" s="264"/>
      <c r="F21" s="264"/>
      <c r="G21" s="264"/>
      <c r="H21" s="264"/>
      <c r="I21" s="264"/>
      <c r="J21" s="264"/>
      <c r="K21" s="264"/>
      <c r="L21" s="264"/>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64" t="s">
        <v>239</v>
      </c>
      <c r="D26" s="264"/>
      <c r="E26" s="264"/>
      <c r="F26" s="264"/>
      <c r="G26" s="264"/>
      <c r="H26" s="264"/>
      <c r="I26" s="264"/>
      <c r="J26" s="264"/>
      <c r="K26" s="264"/>
      <c r="L26" s="264"/>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240</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241</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208</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217</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242</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243</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372</v>
      </c>
      <c r="C34" s="170">
        <f>C32/C8</f>
        <v>-22.043158871603321</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56" t="s">
        <v>244</v>
      </c>
      <c r="C37" s="256"/>
      <c r="N37" s="93"/>
    </row>
    <row r="38" spans="2:14" x14ac:dyDescent="0.2">
      <c r="B38" s="1" t="s">
        <v>245</v>
      </c>
      <c r="C38" s="64">
        <f>L7</f>
        <v>427920.24826000072</v>
      </c>
    </row>
    <row r="39" spans="2:14" x14ac:dyDescent="0.2">
      <c r="B39" s="1" t="s">
        <v>204</v>
      </c>
      <c r="C39" s="156">
        <f>IF(Overview!C28&gt;0,Overview!C28,WACC!C20)</f>
        <v>0.1</v>
      </c>
    </row>
    <row r="40" spans="2:14" x14ac:dyDescent="0.2">
      <c r="B40" s="39" t="s">
        <v>246</v>
      </c>
      <c r="C40" s="114">
        <v>25</v>
      </c>
    </row>
    <row r="41" spans="2:14" x14ac:dyDescent="0.2">
      <c r="B41" s="1" t="s">
        <v>242</v>
      </c>
      <c r="C41" s="24">
        <f>(C38*C40)</f>
        <v>10698006.206500018</v>
      </c>
    </row>
    <row r="42" spans="2:14" x14ac:dyDescent="0.2">
      <c r="B42" s="1" t="s">
        <v>406</v>
      </c>
      <c r="C42" s="24">
        <f>C41/(1+C39)^5-G30+G31</f>
        <v>8332096.1678350428</v>
      </c>
    </row>
    <row r="43" spans="2:14" x14ac:dyDescent="0.2">
      <c r="B43" s="1" t="s">
        <v>228</v>
      </c>
      <c r="C43" s="90">
        <f>Statement!AC107</f>
        <v>1405025</v>
      </c>
    </row>
    <row r="44" spans="2:14" x14ac:dyDescent="0.2">
      <c r="B44" s="1" t="s">
        <v>229</v>
      </c>
      <c r="C44" s="90">
        <f>Statement!AC108</f>
        <v>0</v>
      </c>
    </row>
    <row r="45" spans="2:14" x14ac:dyDescent="0.2">
      <c r="B45" s="1" t="s">
        <v>230</v>
      </c>
      <c r="C45" s="24">
        <f>C42+C43-C44</f>
        <v>9737121.1678350419</v>
      </c>
    </row>
    <row r="46" spans="2:14" x14ac:dyDescent="0.2">
      <c r="B46" s="1" t="s">
        <v>70</v>
      </c>
      <c r="C46" s="90">
        <f>Statement!AC78</f>
        <v>524515</v>
      </c>
    </row>
    <row r="47" spans="2:14" x14ac:dyDescent="0.2">
      <c r="B47" s="162" t="s">
        <v>248</v>
      </c>
      <c r="C47" s="163">
        <f>C45/C46</f>
        <v>18.564047106059963</v>
      </c>
    </row>
    <row r="49" spans="2:3" x14ac:dyDescent="0.2">
      <c r="B49" s="256" t="s">
        <v>249</v>
      </c>
      <c r="C49" s="256"/>
    </row>
    <row r="50" spans="2:3" x14ac:dyDescent="0.2">
      <c r="B50" s="1" t="s">
        <v>250</v>
      </c>
      <c r="C50" s="64">
        <f>L6</f>
        <v>2473527.4465896003</v>
      </c>
    </row>
    <row r="51" spans="2:3" x14ac:dyDescent="0.2">
      <c r="B51" s="1" t="s">
        <v>405</v>
      </c>
      <c r="C51" s="156">
        <f>IF(Overview!C29&gt;0,Overview!C29,WACC!C19)</f>
        <v>0.12</v>
      </c>
    </row>
    <row r="52" spans="2:3" x14ac:dyDescent="0.2">
      <c r="B52" s="39" t="s">
        <v>251</v>
      </c>
      <c r="C52" s="114">
        <v>5</v>
      </c>
    </row>
    <row r="53" spans="2:3" x14ac:dyDescent="0.2">
      <c r="B53" s="1" t="s">
        <v>247</v>
      </c>
      <c r="C53" s="24">
        <f>L18</f>
        <v>482510.33681860787</v>
      </c>
    </row>
    <row r="54" spans="2:3" x14ac:dyDescent="0.2">
      <c r="B54" s="1" t="s">
        <v>231</v>
      </c>
      <c r="C54" s="24">
        <f>(C50*C52)/C53</f>
        <v>25.631859649874027</v>
      </c>
    </row>
    <row r="55" spans="2:3" x14ac:dyDescent="0.2">
      <c r="B55" s="162" t="s">
        <v>248</v>
      </c>
      <c r="C55" s="163">
        <f>C54/(1+C51)^5</f>
        <v>14.544205527348455</v>
      </c>
    </row>
    <row r="57" spans="2:3" x14ac:dyDescent="0.2">
      <c r="B57" s="256" t="s">
        <v>373</v>
      </c>
      <c r="C57" s="256"/>
    </row>
    <row r="58" spans="2:3" x14ac:dyDescent="0.2">
      <c r="B58" s="1" t="s">
        <v>252</v>
      </c>
      <c r="C58" s="64">
        <f>L8</f>
        <v>199738.80479990577</v>
      </c>
    </row>
    <row r="59" spans="2:3" x14ac:dyDescent="0.2">
      <c r="B59" s="1" t="s">
        <v>204</v>
      </c>
      <c r="C59" s="156">
        <f>IF(Overview!C28&gt;0,Overview!C28,WACC!C20)</f>
        <v>0.1</v>
      </c>
    </row>
    <row r="60" spans="2:3" x14ac:dyDescent="0.2">
      <c r="B60" s="39" t="s">
        <v>407</v>
      </c>
      <c r="C60" s="114">
        <v>30</v>
      </c>
    </row>
    <row r="61" spans="2:3" x14ac:dyDescent="0.2">
      <c r="B61" s="1" t="s">
        <v>242</v>
      </c>
      <c r="C61" s="24">
        <f>(C58*C60)</f>
        <v>5992164.1439971728</v>
      </c>
    </row>
    <row r="62" spans="2:3" x14ac:dyDescent="0.2">
      <c r="B62" s="1" t="s">
        <v>406</v>
      </c>
      <c r="C62" s="24">
        <f>C61/(1+C59)^5-G30+G31</f>
        <v>5410138.4882783536</v>
      </c>
    </row>
    <row r="63" spans="2:3" x14ac:dyDescent="0.2">
      <c r="B63" s="1" t="s">
        <v>228</v>
      </c>
      <c r="C63" s="90">
        <f>Statement!AC107</f>
        <v>1405025</v>
      </c>
    </row>
    <row r="64" spans="2:3" x14ac:dyDescent="0.2">
      <c r="B64" s="1" t="s">
        <v>229</v>
      </c>
      <c r="C64" s="90">
        <f>Statement!AC108</f>
        <v>0</v>
      </c>
    </row>
    <row r="65" spans="2:3" x14ac:dyDescent="0.2">
      <c r="B65" s="1" t="s">
        <v>230</v>
      </c>
      <c r="C65" s="24">
        <f>C62+C63-C64</f>
        <v>6815163.4882783536</v>
      </c>
    </row>
    <row r="66" spans="2:3" x14ac:dyDescent="0.2">
      <c r="B66" s="1" t="s">
        <v>70</v>
      </c>
      <c r="C66" s="90">
        <f>Statement!AC78</f>
        <v>524515</v>
      </c>
    </row>
    <row r="67" spans="2:3" x14ac:dyDescent="0.2">
      <c r="B67" s="162" t="s">
        <v>248</v>
      </c>
      <c r="C67" s="163">
        <f>C65/C66</f>
        <v>12.993267091081005</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253</v>
      </c>
    </row>
    <row r="2" spans="1:14" x14ac:dyDescent="0.2">
      <c r="N2" s="93"/>
    </row>
    <row r="3" spans="1:14" x14ac:dyDescent="0.2">
      <c r="N3" s="93"/>
    </row>
    <row r="4" spans="1:14" x14ac:dyDescent="0.2">
      <c r="B4" s="256" t="s">
        <v>254</v>
      </c>
      <c r="C4" s="256"/>
      <c r="N4" s="93"/>
    </row>
    <row r="5" spans="1:14" x14ac:dyDescent="0.2">
      <c r="B5" s="1" t="s">
        <v>255</v>
      </c>
      <c r="C5" s="154">
        <f>DCF!C26</f>
        <v>6.0867686783178394</v>
      </c>
    </row>
    <row r="6" spans="1:14" x14ac:dyDescent="0.2">
      <c r="B6" s="1" t="s">
        <v>256</v>
      </c>
      <c r="C6" s="154">
        <f>Multiples!C47</f>
        <v>18.564047106059963</v>
      </c>
    </row>
    <row r="7" spans="1:14" x14ac:dyDescent="0.2">
      <c r="B7" s="1" t="s">
        <v>257</v>
      </c>
      <c r="C7" s="154">
        <f>Multiples!C55</f>
        <v>14.544205527348455</v>
      </c>
    </row>
    <row r="8" spans="1:14" x14ac:dyDescent="0.2">
      <c r="B8" s="1" t="s">
        <v>374</v>
      </c>
      <c r="C8" s="154">
        <f>Multiples!C67</f>
        <v>12.993267091081005</v>
      </c>
    </row>
    <row r="9" spans="1:14" x14ac:dyDescent="0.2">
      <c r="B9" s="162" t="s">
        <v>258</v>
      </c>
      <c r="C9" s="163">
        <f>AVERAGE(C5:C8)</f>
        <v>13.047072100701815</v>
      </c>
    </row>
    <row r="10" spans="1:14" x14ac:dyDescent="0.2">
      <c r="B10" s="1" t="s">
        <v>259</v>
      </c>
      <c r="C10" s="154">
        <f ca="1">Overview!C5</f>
        <v>13.75</v>
      </c>
    </row>
    <row r="11" spans="1:14" x14ac:dyDescent="0.2">
      <c r="B11" s="1" t="s">
        <v>260</v>
      </c>
      <c r="C11" s="175">
        <f ca="1">(C9-C10)/C10</f>
        <v>-5.1122029039868011E-2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C25" sqref="C2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418</v>
      </c>
    </row>
    <row r="2" spans="1:14" x14ac:dyDescent="0.2">
      <c r="A2" s="4"/>
      <c r="C2" s="256" t="s">
        <v>135</v>
      </c>
      <c r="D2" s="256"/>
      <c r="E2" s="256"/>
      <c r="F2" s="256"/>
      <c r="G2" s="262"/>
      <c r="H2" s="263" t="s">
        <v>136</v>
      </c>
      <c r="I2" s="256"/>
      <c r="J2" s="256"/>
      <c r="K2" s="256"/>
      <c r="L2" s="256"/>
    </row>
    <row r="3" spans="1:14" ht="10" customHeight="1" x14ac:dyDescent="0.2"/>
    <row r="4" spans="1:14" ht="16" customHeight="1" x14ac:dyDescent="0.2">
      <c r="A4" s="88"/>
      <c r="B4" s="60"/>
      <c r="C4" s="264" t="s">
        <v>233</v>
      </c>
      <c r="D4" s="264"/>
      <c r="E4" s="264"/>
      <c r="F4" s="264"/>
      <c r="G4" s="264"/>
      <c r="H4" s="264"/>
      <c r="I4" s="264"/>
      <c r="J4" s="264"/>
      <c r="K4" s="264"/>
      <c r="L4" s="264"/>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290</v>
      </c>
      <c r="C6" s="249">
        <f>Statement!M26</f>
        <v>-1.1599999999999999</v>
      </c>
      <c r="D6" s="249">
        <f>Statement!N26</f>
        <v>-0.6</v>
      </c>
      <c r="E6" s="249">
        <f>Statement!O26</f>
        <v>-0.16</v>
      </c>
      <c r="F6" s="249">
        <f>Statement!P26</f>
        <v>-0.13</v>
      </c>
      <c r="G6" s="250">
        <f>Statement!Q26</f>
        <v>0.52</v>
      </c>
      <c r="H6" s="158"/>
      <c r="I6" s="158"/>
      <c r="J6" s="158"/>
      <c r="K6" s="158"/>
      <c r="L6" s="158"/>
      <c r="N6" s="93"/>
    </row>
    <row r="7" spans="1:14" x14ac:dyDescent="0.2">
      <c r="B7" s="16" t="s">
        <v>419</v>
      </c>
      <c r="C7" s="249">
        <f>Statement!M82</f>
        <v>0</v>
      </c>
      <c r="D7" s="249">
        <f>Statement!N82</f>
        <v>0</v>
      </c>
      <c r="E7" s="249">
        <f>Statement!O82</f>
        <v>0</v>
      </c>
      <c r="F7" s="249">
        <f>Statement!P82</f>
        <v>0</v>
      </c>
      <c r="G7" s="250">
        <f>Statement!Q82</f>
        <v>0</v>
      </c>
      <c r="H7" s="158"/>
      <c r="I7" s="158"/>
      <c r="J7" s="158"/>
      <c r="K7" s="158"/>
      <c r="L7" s="158"/>
      <c r="N7" s="93"/>
    </row>
    <row r="8" spans="1:14" x14ac:dyDescent="0.2">
      <c r="N8" s="93"/>
    </row>
    <row r="9" spans="1:14" x14ac:dyDescent="0.2">
      <c r="C9" s="264" t="s">
        <v>144</v>
      </c>
      <c r="D9" s="264"/>
      <c r="E9" s="264"/>
      <c r="F9" s="264"/>
      <c r="G9" s="264"/>
      <c r="H9" s="264"/>
      <c r="I9" s="264"/>
      <c r="J9" s="264"/>
      <c r="K9" s="264"/>
      <c r="L9" s="264"/>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290</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291</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4" t="s">
        <v>420</v>
      </c>
      <c r="D14" s="264"/>
      <c r="E14" s="264"/>
      <c r="F14" s="264"/>
      <c r="G14" s="264"/>
      <c r="H14" s="264"/>
      <c r="I14" s="264"/>
      <c r="J14" s="264"/>
      <c r="K14" s="264"/>
      <c r="L14" s="264"/>
      <c r="N14" s="93"/>
    </row>
    <row r="15" spans="1:14" x14ac:dyDescent="0.2">
      <c r="B15" s="16" t="s">
        <v>388</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421</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6" t="s">
        <v>422</v>
      </c>
      <c r="C20" s="256"/>
      <c r="N20" s="93"/>
    </row>
    <row r="21" spans="2:14" x14ac:dyDescent="0.2">
      <c r="B21" s="1" t="s">
        <v>423</v>
      </c>
      <c r="C21" s="122">
        <f>G7</f>
        <v>0</v>
      </c>
    </row>
    <row r="22" spans="2:14" x14ac:dyDescent="0.2">
      <c r="B22" s="1" t="s">
        <v>424</v>
      </c>
      <c r="C22" s="251">
        <v>0</v>
      </c>
    </row>
    <row r="23" spans="2:14" x14ac:dyDescent="0.2">
      <c r="B23" s="39" t="s">
        <v>425</v>
      </c>
      <c r="C23" s="252">
        <f>C21*(1+C22)</f>
        <v>0</v>
      </c>
    </row>
    <row r="24" spans="2:14" x14ac:dyDescent="0.2">
      <c r="B24" s="1" t="s">
        <v>405</v>
      </c>
      <c r="C24" s="156">
        <f>IF(Overview!C29&gt;0,Overview!C29,WACC!C19)</f>
        <v>0.12</v>
      </c>
    </row>
    <row r="25" spans="2:14" x14ac:dyDescent="0.2">
      <c r="B25" s="39" t="s">
        <v>426</v>
      </c>
      <c r="C25" s="251">
        <v>0</v>
      </c>
    </row>
    <row r="26" spans="2:14" x14ac:dyDescent="0.2">
      <c r="B26" s="162" t="s">
        <v>248</v>
      </c>
      <c r="C26" s="163">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261</v>
      </c>
    </row>
    <row r="2" spans="1:28" s="85" customFormat="1" ht="18" customHeight="1" x14ac:dyDescent="0.2">
      <c r="A2" s="4"/>
      <c r="B2" s="84"/>
    </row>
    <row r="3" spans="1:28" x14ac:dyDescent="0.2">
      <c r="A3" s="4"/>
      <c r="C3" s="256" t="s">
        <v>135</v>
      </c>
      <c r="D3" s="256"/>
      <c r="E3" s="256"/>
      <c r="F3" s="256"/>
      <c r="G3" s="262"/>
      <c r="H3" s="263" t="s">
        <v>136</v>
      </c>
      <c r="I3" s="256"/>
      <c r="J3" s="256"/>
      <c r="K3" s="256"/>
      <c r="L3" s="256"/>
      <c r="P3" s="267"/>
      <c r="Q3" s="267"/>
      <c r="R3" s="267"/>
      <c r="S3" s="267"/>
      <c r="T3" s="267"/>
      <c r="U3" s="267"/>
      <c r="V3" s="267"/>
      <c r="W3" s="267"/>
      <c r="X3" s="267"/>
      <c r="Y3" s="267"/>
      <c r="Z3" s="267"/>
      <c r="AB3" s="130"/>
    </row>
    <row r="4" spans="1:28" ht="10" customHeight="1" x14ac:dyDescent="0.2"/>
    <row r="5" spans="1:28" ht="16" customHeight="1" x14ac:dyDescent="0.2">
      <c r="A5" s="88"/>
      <c r="B5" s="60"/>
      <c r="C5" s="264" t="s">
        <v>219</v>
      </c>
      <c r="D5" s="264"/>
      <c r="E5" s="264"/>
      <c r="F5" s="264"/>
      <c r="G5" s="264"/>
      <c r="H5" s="264"/>
      <c r="I5" s="264"/>
      <c r="J5" s="264"/>
      <c r="K5" s="264"/>
      <c r="L5" s="264"/>
      <c r="P5" s="267"/>
      <c r="Q5" s="267"/>
      <c r="R5" s="267"/>
      <c r="S5" s="267"/>
      <c r="T5" s="267"/>
      <c r="U5" s="267"/>
      <c r="V5" s="267"/>
      <c r="W5" s="267"/>
      <c r="X5" s="267"/>
      <c r="Y5" s="267"/>
      <c r="Z5" s="267"/>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309</v>
      </c>
      <c r="C7" s="133">
        <f>'FCF &amp; Other'!C28</f>
        <v>-603972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371</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222</v>
      </c>
      <c r="C11" s="158"/>
      <c r="D11" s="158"/>
      <c r="E11" s="158"/>
      <c r="F11" s="158"/>
      <c r="G11" s="159"/>
      <c r="H11" s="158"/>
      <c r="I11" s="158"/>
      <c r="J11" s="158"/>
      <c r="K11" s="158"/>
      <c r="L11" s="147">
        <f>L8/(1+C21)^L9</f>
        <v>3263999.9999999991</v>
      </c>
    </row>
    <row r="13" spans="1:28" ht="17" thickBot="1" x14ac:dyDescent="0.25"/>
    <row r="14" spans="1:28" x14ac:dyDescent="0.2">
      <c r="B14" s="268" t="s">
        <v>262</v>
      </c>
      <c r="C14" s="269"/>
    </row>
    <row r="15" spans="1:28" x14ac:dyDescent="0.2">
      <c r="B15" s="176" t="s">
        <v>263</v>
      </c>
      <c r="C15" s="177">
        <f ca="1">Overview!C5</f>
        <v>13.75</v>
      </c>
    </row>
    <row r="16" spans="1:28" x14ac:dyDescent="0.2">
      <c r="B16" s="176" t="s">
        <v>264</v>
      </c>
      <c r="C16" s="177">
        <f>C36</f>
        <v>9.910708118106669</v>
      </c>
    </row>
    <row r="17" spans="2:9" ht="17" thickBot="1" x14ac:dyDescent="0.25">
      <c r="B17" s="178" t="s">
        <v>375</v>
      </c>
      <c r="C17" s="179">
        <v>1.2</v>
      </c>
      <c r="E17" s="270" t="s">
        <v>265</v>
      </c>
      <c r="F17" s="270"/>
      <c r="G17" s="270"/>
      <c r="H17" s="270"/>
      <c r="I17" s="270"/>
    </row>
    <row r="18" spans="2:9" ht="17" thickBot="1" x14ac:dyDescent="0.25"/>
    <row r="19" spans="2:9" x14ac:dyDescent="0.2">
      <c r="B19" s="268" t="s">
        <v>223</v>
      </c>
      <c r="C19" s="269"/>
    </row>
    <row r="20" spans="2:9" x14ac:dyDescent="0.2">
      <c r="B20" s="180" t="s">
        <v>224</v>
      </c>
      <c r="C20" s="181">
        <v>0.02</v>
      </c>
    </row>
    <row r="21" spans="2:9" x14ac:dyDescent="0.2">
      <c r="B21" s="180" t="s">
        <v>204</v>
      </c>
      <c r="C21" s="243">
        <f>IF(Overview!C28&gt;0,Overview!C28,WACC!C20)</f>
        <v>0.1</v>
      </c>
    </row>
    <row r="22" spans="2:9" x14ac:dyDescent="0.2">
      <c r="B22" s="180" t="s">
        <v>70</v>
      </c>
      <c r="C22" s="244">
        <f>Statement!AC75</f>
        <v>521156</v>
      </c>
    </row>
    <row r="23" spans="2:9" x14ac:dyDescent="0.2">
      <c r="B23" s="180" t="s">
        <v>266</v>
      </c>
      <c r="C23" s="182">
        <f ca="1">C15*C22</f>
        <v>7165895</v>
      </c>
    </row>
    <row r="24" spans="2:9" x14ac:dyDescent="0.2">
      <c r="B24" s="180" t="s">
        <v>217</v>
      </c>
      <c r="C24" s="244">
        <f>Statement!AC107</f>
        <v>1405025</v>
      </c>
    </row>
    <row r="25" spans="2:9" x14ac:dyDescent="0.2">
      <c r="B25" s="180" t="s">
        <v>208</v>
      </c>
      <c r="C25" s="244">
        <f>Statement!AC108</f>
        <v>0</v>
      </c>
    </row>
    <row r="26" spans="2:9" ht="17" thickBot="1" x14ac:dyDescent="0.25">
      <c r="B26" s="178" t="s">
        <v>267</v>
      </c>
      <c r="C26" s="183">
        <f ca="1">C23+C25-C24</f>
        <v>5760870</v>
      </c>
    </row>
    <row r="27" spans="2:9" ht="17" thickBot="1" x14ac:dyDescent="0.25"/>
    <row r="28" spans="2:9" x14ac:dyDescent="0.2">
      <c r="B28" s="268" t="s">
        <v>225</v>
      </c>
      <c r="C28" s="269"/>
    </row>
    <row r="29" spans="2:9" x14ac:dyDescent="0.2">
      <c r="B29" s="180" t="s">
        <v>226</v>
      </c>
      <c r="C29" s="182">
        <f>SUM(H10:L10)</f>
        <v>495999.99999999988</v>
      </c>
    </row>
    <row r="30" spans="2:9" x14ac:dyDescent="0.2">
      <c r="B30" s="180" t="s">
        <v>222</v>
      </c>
      <c r="C30" s="182">
        <f>L11</f>
        <v>3263999.9999999991</v>
      </c>
    </row>
    <row r="31" spans="2:9" x14ac:dyDescent="0.2">
      <c r="B31" s="184" t="s">
        <v>227</v>
      </c>
      <c r="C31" s="185">
        <f>C29+C30</f>
        <v>3759999.9999999991</v>
      </c>
    </row>
    <row r="32" spans="2:9" x14ac:dyDescent="0.2">
      <c r="B32" s="180" t="s">
        <v>228</v>
      </c>
      <c r="C32" s="186">
        <f>C24</f>
        <v>1405025</v>
      </c>
    </row>
    <row r="33" spans="2:12" x14ac:dyDescent="0.2">
      <c r="B33" s="180" t="s">
        <v>229</v>
      </c>
      <c r="C33" s="186">
        <f>C25</f>
        <v>0</v>
      </c>
    </row>
    <row r="34" spans="2:12" x14ac:dyDescent="0.2">
      <c r="B34" s="184" t="s">
        <v>230</v>
      </c>
      <c r="C34" s="185">
        <f>C31+C32-C33</f>
        <v>5165024.9999999991</v>
      </c>
    </row>
    <row r="35" spans="2:12" x14ac:dyDescent="0.2">
      <c r="B35" s="180" t="s">
        <v>70</v>
      </c>
      <c r="C35" s="182">
        <f>C22</f>
        <v>521156</v>
      </c>
    </row>
    <row r="36" spans="2:12" ht="17" thickBot="1" x14ac:dyDescent="0.25">
      <c r="B36" s="187" t="s">
        <v>231</v>
      </c>
      <c r="C36" s="188">
        <f>C34/C35</f>
        <v>9.910708118106669</v>
      </c>
    </row>
    <row r="39" spans="2:12" x14ac:dyDescent="0.2">
      <c r="C39" s="264" t="s">
        <v>268</v>
      </c>
      <c r="D39" s="264"/>
      <c r="E39" s="264"/>
      <c r="F39" s="264"/>
      <c r="G39" s="264"/>
      <c r="H39" s="264"/>
      <c r="I39" s="264"/>
      <c r="J39" s="264"/>
      <c r="K39" s="264"/>
      <c r="L39" s="264"/>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309</v>
      </c>
      <c r="C41" s="133">
        <f>C7</f>
        <v>-603972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196</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376</v>
      </c>
      <c r="C43" s="97">
        <f>C41/C42</f>
        <v>1.2056628858200285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377</v>
      </c>
      <c r="C45" s="97">
        <f>C41/C44</f>
        <v>-0.67690742077350341</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378</v>
      </c>
      <c r="C46" s="158"/>
      <c r="D46" s="97">
        <f>D41/C41-1</f>
        <v>-0.1720443994092441</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269</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270</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271</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2026-09-12T19:19:21Z</dcterms:modified>
</cp:coreProperties>
</file>