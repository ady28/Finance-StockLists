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9DE463E-EC64-6845-B9F1-B7FE14884A7E}"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0" i="3" l="1"/>
  <c r="AC179" i="3"/>
  <c r="Q180" i="3"/>
  <c r="P180" i="3"/>
  <c r="O180" i="3"/>
  <c r="N180" i="3"/>
  <c r="Q179" i="3"/>
  <c r="P179" i="3"/>
  <c r="O179" i="3"/>
  <c r="N179" i="3"/>
  <c r="M180" i="3"/>
  <c r="M179" i="3"/>
  <c r="AC170" i="3"/>
  <c r="Q170" i="3"/>
  <c r="P170" i="3"/>
  <c r="O170" i="3"/>
  <c r="N170" i="3"/>
  <c r="M170" i="3"/>
  <c r="AC169" i="3"/>
  <c r="AC168" i="3"/>
  <c r="Q169" i="3"/>
  <c r="P169" i="3"/>
  <c r="O169" i="3"/>
  <c r="N169" i="3"/>
  <c r="Q168" i="3"/>
  <c r="P168" i="3"/>
  <c r="O168" i="3"/>
  <c r="N168" i="3"/>
  <c r="M169" i="3"/>
  <c r="M168" i="3"/>
  <c r="AC167" i="3"/>
  <c r="Q167" i="3"/>
  <c r="P167" i="3"/>
  <c r="O167" i="3"/>
  <c r="N167" i="3"/>
  <c r="M167" i="3"/>
  <c r="Q126" i="3"/>
  <c r="P126" i="3"/>
  <c r="O126" i="3"/>
  <c r="N126" i="3"/>
  <c r="M126"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14" i="12"/>
  <c r="K14" i="12"/>
  <c r="J14" i="12"/>
  <c r="L13" i="12"/>
  <c r="K13" i="12"/>
  <c r="J13" i="12"/>
  <c r="I13" i="12"/>
  <c r="L34" i="8"/>
  <c r="K34" i="8"/>
  <c r="J34" i="8"/>
  <c r="I34" i="8"/>
  <c r="H34" i="8"/>
  <c r="L33" i="8"/>
  <c r="K33" i="8"/>
  <c r="J33" i="8"/>
  <c r="I33" i="8"/>
  <c r="H33" i="8"/>
  <c r="L14" i="7"/>
  <c r="K14" i="7"/>
  <c r="J14" i="7"/>
  <c r="I14" i="7"/>
  <c r="H14" i="7"/>
  <c r="G7" i="16"/>
  <c r="F7" i="16"/>
  <c r="L70" i="3"/>
  <c r="K70" i="3"/>
  <c r="J70" i="3"/>
  <c r="I70" i="3"/>
  <c r="H70" i="3"/>
  <c r="G70" i="3"/>
  <c r="F70" i="3"/>
  <c r="E70" i="3"/>
  <c r="D70" i="3"/>
  <c r="C70" i="3"/>
  <c r="Q205" i="3"/>
  <c r="P205" i="3"/>
  <c r="O205" i="3"/>
  <c r="N205" i="3"/>
  <c r="M205" i="3"/>
  <c r="AC83" i="3"/>
  <c r="AC44"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1" i="3"/>
  <c r="Y201" i="3"/>
  <c r="X201" i="3"/>
  <c r="W201" i="3"/>
  <c r="V201" i="3"/>
  <c r="U201" i="3"/>
  <c r="T201" i="3"/>
  <c r="Z200" i="3"/>
  <c r="Y200" i="3"/>
  <c r="X200" i="3"/>
  <c r="W200" i="3"/>
  <c r="V200" i="3"/>
  <c r="U200" i="3"/>
  <c r="T200" i="3"/>
  <c r="Z199" i="3"/>
  <c r="Y199" i="3"/>
  <c r="X199" i="3"/>
  <c r="W199" i="3"/>
  <c r="V199" i="3"/>
  <c r="U199" i="3"/>
  <c r="T199" i="3"/>
  <c r="Z190" i="3"/>
  <c r="Y190" i="3"/>
  <c r="X190" i="3"/>
  <c r="W190" i="3"/>
  <c r="V190" i="3"/>
  <c r="U190" i="3"/>
  <c r="T190" i="3"/>
  <c r="Z189" i="3"/>
  <c r="Y189" i="3"/>
  <c r="X189" i="3"/>
  <c r="W189" i="3"/>
  <c r="V189" i="3"/>
  <c r="U189" i="3"/>
  <c r="T189" i="3"/>
  <c r="Z166" i="3"/>
  <c r="Y166" i="3"/>
  <c r="X166" i="3"/>
  <c r="W166" i="3"/>
  <c r="V166" i="3"/>
  <c r="U166" i="3"/>
  <c r="T166" i="3"/>
  <c r="Z165" i="3"/>
  <c r="Y165" i="3"/>
  <c r="X165" i="3"/>
  <c r="W165" i="3"/>
  <c r="V165" i="3"/>
  <c r="U165" i="3"/>
  <c r="T165" i="3"/>
  <c r="Z162" i="3"/>
  <c r="Y162" i="3"/>
  <c r="X162" i="3"/>
  <c r="W162" i="3"/>
  <c r="V162" i="3"/>
  <c r="U162" i="3"/>
  <c r="T162" i="3"/>
  <c r="Z160" i="3"/>
  <c r="Y160" i="3"/>
  <c r="X160" i="3"/>
  <c r="W160" i="3"/>
  <c r="V160" i="3"/>
  <c r="U160" i="3"/>
  <c r="T160" i="3"/>
  <c r="Z159" i="3"/>
  <c r="Y159" i="3"/>
  <c r="X159" i="3"/>
  <c r="W159" i="3"/>
  <c r="V159" i="3"/>
  <c r="U159" i="3"/>
  <c r="T159" i="3"/>
  <c r="Z153" i="3"/>
  <c r="Y153" i="3"/>
  <c r="X153" i="3"/>
  <c r="W153" i="3"/>
  <c r="V153" i="3"/>
  <c r="U153" i="3"/>
  <c r="T153" i="3"/>
  <c r="Z152" i="3"/>
  <c r="Y152" i="3"/>
  <c r="X152" i="3"/>
  <c r="W152" i="3"/>
  <c r="V152" i="3"/>
  <c r="U152" i="3"/>
  <c r="T152" i="3"/>
  <c r="Z149" i="3"/>
  <c r="Y149" i="3"/>
  <c r="X149" i="3"/>
  <c r="W149" i="3"/>
  <c r="V149" i="3"/>
  <c r="U149" i="3"/>
  <c r="T149" i="3"/>
  <c r="Z148" i="3"/>
  <c r="Y148" i="3"/>
  <c r="X148" i="3"/>
  <c r="W148" i="3"/>
  <c r="V148" i="3"/>
  <c r="U148" i="3"/>
  <c r="T148"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1" i="3"/>
  <c r="AA200" i="3"/>
  <c r="AA199" i="3"/>
  <c r="G16" i="18"/>
  <c r="F16" i="18"/>
  <c r="D16" i="18"/>
  <c r="C16" i="18"/>
  <c r="G14" i="18"/>
  <c r="F14" i="18"/>
  <c r="D14" i="18"/>
  <c r="C14" i="18"/>
  <c r="G8" i="18"/>
  <c r="F8" i="18"/>
  <c r="D8" i="18"/>
  <c r="C8" i="18"/>
  <c r="G6" i="18"/>
  <c r="F6" i="18"/>
  <c r="D6" i="18"/>
  <c r="C6" i="18"/>
  <c r="G5" i="18"/>
  <c r="G4" i="18"/>
  <c r="F5" i="18"/>
  <c r="F4" i="18"/>
  <c r="D5" i="18"/>
  <c r="D4" i="18"/>
  <c r="C5" i="18"/>
  <c r="C4" i="18"/>
  <c r="Q201" i="3"/>
  <c r="P201" i="3"/>
  <c r="O201" i="3"/>
  <c r="N201" i="3"/>
  <c r="M201" i="3"/>
  <c r="Q200" i="3"/>
  <c r="P200" i="3"/>
  <c r="O200" i="3"/>
  <c r="N200" i="3"/>
  <c r="M200" i="3"/>
  <c r="Q199" i="3"/>
  <c r="P199" i="3"/>
  <c r="O199" i="3"/>
  <c r="N199" i="3"/>
  <c r="M199"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59" i="3"/>
  <c r="Q159" i="3"/>
  <c r="P159" i="3"/>
  <c r="O159" i="3"/>
  <c r="N159" i="3"/>
  <c r="M159" i="3"/>
  <c r="AC31" i="3"/>
  <c r="AC63" i="3"/>
  <c r="AA190" i="3"/>
  <c r="Q190" i="3"/>
  <c r="P190" i="3"/>
  <c r="O190" i="3"/>
  <c r="N190" i="3"/>
  <c r="M190" i="3"/>
  <c r="AA189" i="3"/>
  <c r="Q189" i="3"/>
  <c r="P189" i="3"/>
  <c r="O189" i="3"/>
  <c r="N189" i="3"/>
  <c r="M189" i="3"/>
  <c r="M78" i="3"/>
  <c r="N78" i="3"/>
  <c r="O78" i="3"/>
  <c r="P78" i="3"/>
  <c r="Q78" i="3"/>
  <c r="AA166" i="3"/>
  <c r="Q166" i="3"/>
  <c r="P166" i="3"/>
  <c r="O166" i="3"/>
  <c r="N166" i="3"/>
  <c r="M166" i="3"/>
  <c r="AA165" i="3"/>
  <c r="Q165" i="3"/>
  <c r="P165" i="3"/>
  <c r="O165" i="3"/>
  <c r="N165" i="3"/>
  <c r="M165" i="3"/>
  <c r="AA160" i="3"/>
  <c r="Q160" i="3"/>
  <c r="P160" i="3"/>
  <c r="O160" i="3"/>
  <c r="N160" i="3"/>
  <c r="M160" i="3"/>
  <c r="F10" i="16"/>
  <c r="G10" i="16"/>
  <c r="G9" i="16"/>
  <c r="F6" i="16"/>
  <c r="G6" i="16"/>
  <c r="AC61" i="3"/>
  <c r="AC60" i="3"/>
  <c r="AC59" i="3"/>
  <c r="AC58" i="3"/>
  <c r="AC53" i="3"/>
  <c r="AC52" i="3"/>
  <c r="AC75" i="3"/>
  <c r="P76" i="3"/>
  <c r="O76" i="3"/>
  <c r="N76" i="3"/>
  <c r="M76" i="3"/>
  <c r="Q76" i="3"/>
  <c r="AA152" i="3"/>
  <c r="AA153" i="3"/>
  <c r="AA149" i="3"/>
  <c r="AA148"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39" i="3"/>
  <c r="AC142" i="3"/>
  <c r="AC141" i="3"/>
  <c r="AC140" i="3"/>
  <c r="AC138" i="3"/>
  <c r="AA82" i="3"/>
  <c r="O82" i="3"/>
  <c r="N82" i="3"/>
  <c r="M82" i="3"/>
  <c r="L82" i="3"/>
  <c r="K82" i="3"/>
  <c r="J82" i="3"/>
  <c r="I82" i="3"/>
  <c r="H82" i="3"/>
  <c r="G82" i="3"/>
  <c r="F82" i="3"/>
  <c r="E82" i="3"/>
  <c r="D82" i="3"/>
  <c r="C82" i="3"/>
  <c r="P82" i="3"/>
  <c r="Q82" i="3"/>
  <c r="P133" i="3"/>
  <c r="O133" i="3"/>
  <c r="N133" i="3"/>
  <c r="M133" i="3"/>
  <c r="Q133" i="3"/>
  <c r="P131" i="3"/>
  <c r="O131" i="3"/>
  <c r="N131" i="3"/>
  <c r="M131" i="3"/>
  <c r="Q131" i="3"/>
  <c r="AC111" i="3"/>
  <c r="AC110" i="3"/>
  <c r="AC109" i="3"/>
  <c r="AC107" i="3"/>
  <c r="AC106" i="3"/>
  <c r="AC105" i="3"/>
  <c r="AA10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J66" i="20" s="1"/>
  <c r="Z174" i="3"/>
  <c r="I66" i="20" s="1"/>
  <c r="Y174" i="3"/>
  <c r="H66" i="20" s="1"/>
  <c r="X174" i="3"/>
  <c r="G66" i="20" s="1"/>
  <c r="W174" i="3"/>
  <c r="F66" i="20" s="1"/>
  <c r="V174" i="3"/>
  <c r="E66" i="20" s="1"/>
  <c r="U174" i="3"/>
  <c r="D66" i="20" s="1"/>
  <c r="T174"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K29" i="7"/>
  <c r="I29" i="7"/>
  <c r="L29" i="7"/>
  <c r="J29" i="7"/>
  <c r="Q68" i="3"/>
  <c r="P68" i="3"/>
  <c r="O68" i="3"/>
  <c r="N68" i="3"/>
  <c r="M68" i="3"/>
  <c r="L68" i="3"/>
  <c r="K68" i="3"/>
  <c r="J68" i="3"/>
  <c r="I68" i="3"/>
  <c r="H68" i="3"/>
  <c r="G68" i="3"/>
  <c r="F68" i="3"/>
  <c r="E68" i="3"/>
  <c r="D68" i="3"/>
  <c r="C68" i="3"/>
  <c r="AA68" i="3"/>
  <c r="Z68" i="3"/>
  <c r="Y68" i="3"/>
  <c r="X68" i="3"/>
  <c r="W68" i="3"/>
  <c r="V68" i="3"/>
  <c r="U68" i="3"/>
  <c r="T68" i="3"/>
  <c r="AC68" i="3"/>
  <c r="AC174" i="3"/>
  <c r="Q174" i="3"/>
  <c r="P174" i="3"/>
  <c r="O174" i="3"/>
  <c r="N174" i="3"/>
  <c r="M174" i="3"/>
  <c r="AC121" i="3"/>
  <c r="Z90" i="3"/>
  <c r="Q130" i="3"/>
  <c r="P130" i="3"/>
  <c r="O130" i="3"/>
  <c r="N130" i="3"/>
  <c r="M13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0" i="3"/>
  <c r="G35" i="7"/>
  <c r="AC62" i="3"/>
  <c r="G30" i="12"/>
  <c r="E35" i="7"/>
  <c r="F35" i="7"/>
  <c r="D35" i="7"/>
  <c r="C35" i="7"/>
  <c r="Z195" i="3"/>
  <c r="Y195" i="3"/>
  <c r="X195" i="3"/>
  <c r="W195" i="3"/>
  <c r="V195" i="3"/>
  <c r="U195" i="3"/>
  <c r="T195" i="3"/>
  <c r="Z194" i="3"/>
  <c r="Y194" i="3"/>
  <c r="X194" i="3"/>
  <c r="W194" i="3"/>
  <c r="V194" i="3"/>
  <c r="U194" i="3"/>
  <c r="T194" i="3"/>
  <c r="Z193" i="3"/>
  <c r="Y193" i="3"/>
  <c r="X193" i="3"/>
  <c r="W193" i="3"/>
  <c r="V193" i="3"/>
  <c r="U193" i="3"/>
  <c r="T193" i="3"/>
  <c r="AC82" i="3"/>
  <c r="AC115" i="3" s="1"/>
  <c r="H29" i="7"/>
  <c r="AA162" i="3"/>
  <c r="Q162" i="3"/>
  <c r="N162" i="3"/>
  <c r="P162" i="3"/>
  <c r="O162" i="3"/>
  <c r="M162"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58" i="3"/>
  <c r="Z161" i="3" s="1"/>
  <c r="Y158" i="3"/>
  <c r="Y161" i="3" s="1"/>
  <c r="X158" i="3"/>
  <c r="X161" i="3" s="1"/>
  <c r="W158" i="3"/>
  <c r="W161" i="3" s="1"/>
  <c r="V158" i="3"/>
  <c r="V161" i="3" s="1"/>
  <c r="U158" i="3"/>
  <c r="U161" i="3" s="1"/>
  <c r="T158" i="3"/>
  <c r="T161" i="3" s="1"/>
  <c r="Z94" i="3"/>
  <c r="Y94" i="3"/>
  <c r="W94" i="3"/>
  <c r="V94" i="3"/>
  <c r="U94" i="3"/>
  <c r="V90" i="3"/>
  <c r="U90" i="3"/>
  <c r="F33" i="18"/>
  <c r="Z116" i="3"/>
  <c r="Y116" i="3"/>
  <c r="X116" i="3"/>
  <c r="W116" i="3"/>
  <c r="V116" i="3"/>
  <c r="U116" i="3"/>
  <c r="T116" i="3"/>
  <c r="Z115" i="3"/>
  <c r="Y115" i="3"/>
  <c r="Z100" i="3"/>
  <c r="I60" i="20" s="1"/>
  <c r="Y100" i="3"/>
  <c r="H60" i="20" s="1"/>
  <c r="X100" i="3"/>
  <c r="G60" i="20" s="1"/>
  <c r="W100" i="3"/>
  <c r="F60" i="20" s="1"/>
  <c r="V100" i="3"/>
  <c r="E60" i="20" s="1"/>
  <c r="U100" i="3"/>
  <c r="D60" i="20" s="1"/>
  <c r="T100" i="3"/>
  <c r="C60" i="20" s="1"/>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95" i="3"/>
  <c r="Q195" i="3"/>
  <c r="G77" i="17" s="1"/>
  <c r="P195" i="3"/>
  <c r="F77" i="17" s="1"/>
  <c r="O195" i="3"/>
  <c r="E77" i="17" s="1"/>
  <c r="N195" i="3"/>
  <c r="D77" i="17" s="1"/>
  <c r="M195" i="3"/>
  <c r="C77" i="17" s="1"/>
  <c r="AA194" i="3"/>
  <c r="Q194" i="3"/>
  <c r="G76" i="17" s="1"/>
  <c r="P194" i="3"/>
  <c r="F76" i="17" s="1"/>
  <c r="O194" i="3"/>
  <c r="E76" i="17" s="1"/>
  <c r="N194" i="3"/>
  <c r="D76" i="17" s="1"/>
  <c r="M194" i="3"/>
  <c r="C76" i="17" s="1"/>
  <c r="AA193" i="3"/>
  <c r="Q193" i="3"/>
  <c r="G75" i="17" s="1"/>
  <c r="P193" i="3"/>
  <c r="F75" i="17" s="1"/>
  <c r="O193" i="3"/>
  <c r="E75" i="17" s="1"/>
  <c r="N193" i="3"/>
  <c r="D75" i="17" s="1"/>
  <c r="M193" i="3"/>
  <c r="C75" i="17" s="1"/>
  <c r="AC119" i="3"/>
  <c r="D23" i="17"/>
  <c r="E23" i="17"/>
  <c r="F23" i="17"/>
  <c r="G23" i="17"/>
  <c r="C23" i="17"/>
  <c r="AC159" i="3"/>
  <c r="I39" i="17" s="1"/>
  <c r="AC189" i="3"/>
  <c r="I71" i="17" s="1"/>
  <c r="C52" i="16"/>
  <c r="AC190" i="3"/>
  <c r="AC78" i="3"/>
  <c r="Q79" i="3"/>
  <c r="P79" i="3"/>
  <c r="N79" i="3"/>
  <c r="M79" i="3"/>
  <c r="O79" i="3"/>
  <c r="G53" i="17"/>
  <c r="F53" i="17"/>
  <c r="E53" i="17"/>
  <c r="D53" i="17"/>
  <c r="C53" i="17"/>
  <c r="G51" i="17"/>
  <c r="F51" i="17"/>
  <c r="E51" i="17"/>
  <c r="D51" i="17"/>
  <c r="C51" i="17"/>
  <c r="AC166" i="3"/>
  <c r="AC165" i="3"/>
  <c r="AC162" i="3"/>
  <c r="AA158" i="3"/>
  <c r="AC160" i="3"/>
  <c r="AC158" i="3"/>
  <c r="Q158" i="3"/>
  <c r="P158" i="3"/>
  <c r="O158" i="3"/>
  <c r="N158" i="3"/>
  <c r="M158" i="3"/>
  <c r="F9" i="16"/>
  <c r="F17" i="16"/>
  <c r="AC57" i="3"/>
  <c r="F16" i="16"/>
  <c r="F18" i="16" s="1"/>
  <c r="AC76" i="3"/>
  <c r="O30" i="6"/>
  <c r="O26" i="6"/>
  <c r="AC56" i="3"/>
  <c r="AC54" i="3"/>
  <c r="C25" i="14"/>
  <c r="O115" i="3"/>
  <c r="O118" i="3" s="1"/>
  <c r="O175" i="3" s="1"/>
  <c r="N115" i="3"/>
  <c r="N118" i="3" s="1"/>
  <c r="N175" i="3" s="1"/>
  <c r="M115" i="3"/>
  <c r="M118" i="3" s="1"/>
  <c r="M175"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23" i="11"/>
  <c r="C8" i="10"/>
  <c r="H7" i="14"/>
  <c r="G41" i="14"/>
  <c r="C18" i="10"/>
  <c r="AA116" i="3"/>
  <c r="Q116" i="3"/>
  <c r="P116" i="3"/>
  <c r="O116" i="3"/>
  <c r="N116" i="3"/>
  <c r="M116" i="3"/>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P175" i="3" s="1"/>
  <c r="Q115" i="3"/>
  <c r="AC133" i="3"/>
  <c r="AC131" i="3"/>
  <c r="AC101" i="3"/>
  <c r="AA100" i="3"/>
  <c r="J60" i="20" s="1"/>
  <c r="AC81" i="3"/>
  <c r="AC73" i="3"/>
  <c r="AA74" i="3"/>
  <c r="AC74" i="3" s="1"/>
  <c r="M74" i="3"/>
  <c r="N74" i="3"/>
  <c r="O74" i="3"/>
  <c r="P74" i="3"/>
  <c r="Q74" i="3"/>
  <c r="AC41"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M171" i="3" l="1"/>
  <c r="M77" i="3"/>
  <c r="N77" i="3"/>
  <c r="N171" i="3" s="1"/>
  <c r="O77" i="3"/>
  <c r="O171" i="3" s="1"/>
  <c r="P77" i="3"/>
  <c r="P171" i="3" s="1"/>
  <c r="Q77" i="3"/>
  <c r="Q171" i="3" s="1"/>
  <c r="F22" i="8"/>
  <c r="AC186" i="3"/>
  <c r="AC184" i="3"/>
  <c r="AC70" i="3"/>
  <c r="Q184" i="3"/>
  <c r="L60" i="19"/>
  <c r="Q186" i="3"/>
  <c r="P184" i="3"/>
  <c r="K60" i="19"/>
  <c r="P186" i="3"/>
  <c r="O184" i="3"/>
  <c r="J60" i="19"/>
  <c r="O186" i="3"/>
  <c r="N184" i="3"/>
  <c r="I60" i="19"/>
  <c r="N186" i="3"/>
  <c r="M184" i="3"/>
  <c r="H60" i="19"/>
  <c r="M186"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32" i="3"/>
  <c r="K68" i="19" s="1"/>
  <c r="O132" i="3"/>
  <c r="J68" i="19" s="1"/>
  <c r="N132" i="3"/>
  <c r="I68" i="19" s="1"/>
  <c r="M132" i="3"/>
  <c r="H68" i="19" s="1"/>
  <c r="Q132" i="3"/>
  <c r="L68" i="19" s="1"/>
  <c r="Q69" i="3"/>
  <c r="O157" i="3"/>
  <c r="J70" i="19" s="1"/>
  <c r="N157" i="3"/>
  <c r="I70" i="19" s="1"/>
  <c r="M157" i="3"/>
  <c r="H70" i="19" s="1"/>
  <c r="K61" i="19"/>
  <c r="P157" i="3"/>
  <c r="K70" i="19" s="1"/>
  <c r="C7" i="17"/>
  <c r="D7" i="17"/>
  <c r="E7" i="17"/>
  <c r="F7" i="17"/>
  <c r="G7" i="17"/>
  <c r="AC79" i="3"/>
  <c r="AC102" i="3"/>
  <c r="AC130"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63" i="3"/>
  <c r="Z164" i="3"/>
  <c r="Z188" i="3"/>
  <c r="Z191" i="3"/>
  <c r="Y163" i="3"/>
  <c r="Y164" i="3"/>
  <c r="Y188" i="3"/>
  <c r="Y191" i="3"/>
  <c r="X163" i="3"/>
  <c r="X164" i="3"/>
  <c r="X188" i="3"/>
  <c r="X191" i="3"/>
  <c r="W163" i="3"/>
  <c r="W164" i="3"/>
  <c r="W188" i="3"/>
  <c r="W191" i="3"/>
  <c r="V163" i="3"/>
  <c r="V164" i="3"/>
  <c r="V188" i="3"/>
  <c r="V191" i="3"/>
  <c r="U163" i="3"/>
  <c r="U164" i="3"/>
  <c r="U188" i="3"/>
  <c r="U191" i="3"/>
  <c r="T163" i="3"/>
  <c r="T164" i="3"/>
  <c r="T188" i="3"/>
  <c r="T191" i="3"/>
  <c r="G58" i="17"/>
  <c r="Q185" i="3"/>
  <c r="G59" i="17" s="1"/>
  <c r="P185" i="3"/>
  <c r="F59" i="17" s="1"/>
  <c r="O185" i="3"/>
  <c r="E59" i="17" s="1"/>
  <c r="E60" i="17"/>
  <c r="D58" i="17"/>
  <c r="N185" i="3"/>
  <c r="D59" i="17" s="1"/>
  <c r="D60" i="17"/>
  <c r="C58" i="17"/>
  <c r="M185" i="3"/>
  <c r="C59" i="17" s="1"/>
  <c r="C60" i="17"/>
  <c r="AC193" i="3"/>
  <c r="AC194" i="3"/>
  <c r="AC195" i="3"/>
  <c r="I23" i="17"/>
  <c r="G22" i="7"/>
  <c r="D22" i="7"/>
  <c r="E21" i="7"/>
  <c r="C21" i="7"/>
  <c r="C53" i="16"/>
  <c r="I72" i="17"/>
  <c r="F34" i="16"/>
  <c r="I48" i="17"/>
  <c r="F32" i="16"/>
  <c r="I47" i="17"/>
  <c r="F30" i="16"/>
  <c r="I44" i="17"/>
  <c r="C32" i="16"/>
  <c r="I40" i="17"/>
  <c r="C30" i="16"/>
  <c r="I38" i="17"/>
  <c r="Q161" i="3"/>
  <c r="G41" i="17" s="1"/>
  <c r="G38" i="17"/>
  <c r="P161" i="3"/>
  <c r="F41" i="17" s="1"/>
  <c r="F38" i="17"/>
  <c r="O161" i="3"/>
  <c r="E41" i="17" s="1"/>
  <c r="E38" i="17"/>
  <c r="N161" i="3"/>
  <c r="D41" i="17" s="1"/>
  <c r="D38" i="17"/>
  <c r="M161" i="3"/>
  <c r="C41" i="17" s="1"/>
  <c r="C38" i="17"/>
  <c r="C25" i="16"/>
  <c r="I29" i="17"/>
  <c r="C23" i="16"/>
  <c r="I27" i="17"/>
  <c r="C17" i="16"/>
  <c r="I17" i="17"/>
  <c r="C16" i="16"/>
  <c r="I16" i="17"/>
  <c r="M181" i="3"/>
  <c r="C54" i="17" s="1"/>
  <c r="M182" i="3"/>
  <c r="C55" i="17" s="1"/>
  <c r="N181" i="3"/>
  <c r="D54" i="17" s="1"/>
  <c r="N182" i="3"/>
  <c r="D55" i="17" s="1"/>
  <c r="O181" i="3"/>
  <c r="E54" i="17" s="1"/>
  <c r="O182" i="3"/>
  <c r="E55" i="17" s="1"/>
  <c r="P181" i="3"/>
  <c r="F54" i="17" s="1"/>
  <c r="P182" i="3"/>
  <c r="F55" i="17" s="1"/>
  <c r="Q181" i="3"/>
  <c r="G54" i="17" s="1"/>
  <c r="Q182" i="3"/>
  <c r="G55" i="17" s="1"/>
  <c r="AA191" i="3"/>
  <c r="Q192" i="3"/>
  <c r="G68" i="17" s="1"/>
  <c r="Q191" i="3"/>
  <c r="G67" i="17" s="1"/>
  <c r="P192" i="3"/>
  <c r="F68" i="17" s="1"/>
  <c r="P191" i="3"/>
  <c r="F67" i="17" s="1"/>
  <c r="O192" i="3"/>
  <c r="E68" i="17" s="1"/>
  <c r="O191" i="3"/>
  <c r="E67" i="17" s="1"/>
  <c r="N192" i="3"/>
  <c r="D68" i="17" s="1"/>
  <c r="N191" i="3"/>
  <c r="D67" i="17" s="1"/>
  <c r="M192" i="3"/>
  <c r="C68" i="17" s="1"/>
  <c r="M191" i="3"/>
  <c r="C67" i="17" s="1"/>
  <c r="Q187" i="3"/>
  <c r="G63" i="17" s="1"/>
  <c r="P187" i="3"/>
  <c r="F63" i="17" s="1"/>
  <c r="N187" i="3"/>
  <c r="D63" i="17" s="1"/>
  <c r="M187" i="3"/>
  <c r="C63" i="17" s="1"/>
  <c r="O187" i="3"/>
  <c r="E63" i="17" s="1"/>
  <c r="AA161" i="3"/>
  <c r="F48" i="14"/>
  <c r="D48" i="14"/>
  <c r="E40" i="14"/>
  <c r="C33" i="14"/>
  <c r="G48" i="14"/>
  <c r="F40" i="14"/>
  <c r="E48" i="14"/>
  <c r="G40" i="14"/>
  <c r="D40" i="14"/>
  <c r="C40" i="14"/>
  <c r="D29" i="12"/>
  <c r="F28" i="12"/>
  <c r="E19" i="12"/>
  <c r="H18" i="12"/>
  <c r="I18" i="12" s="1"/>
  <c r="J18" i="12" s="1"/>
  <c r="K18" i="12" s="1"/>
  <c r="L18" i="12" s="1"/>
  <c r="AA163" i="3"/>
  <c r="AA188" i="3"/>
  <c r="Q163" i="3"/>
  <c r="G45" i="17" s="1"/>
  <c r="Q188" i="3"/>
  <c r="G66" i="17" s="1"/>
  <c r="P163" i="3"/>
  <c r="F45" i="17" s="1"/>
  <c r="P188" i="3"/>
  <c r="F66" i="17" s="1"/>
  <c r="O163" i="3"/>
  <c r="E45" i="17" s="1"/>
  <c r="O188" i="3"/>
  <c r="E66" i="17" s="1"/>
  <c r="N163" i="3"/>
  <c r="D45" i="17" s="1"/>
  <c r="N188" i="3"/>
  <c r="D66" i="17" s="1"/>
  <c r="M163" i="3"/>
  <c r="C45" i="17" s="1"/>
  <c r="M188" i="3"/>
  <c r="C66" i="17" s="1"/>
  <c r="AC161" i="3"/>
  <c r="I41" i="17" s="1"/>
  <c r="M178" i="3"/>
  <c r="C52" i="17" s="1"/>
  <c r="M176" i="3"/>
  <c r="N178" i="3"/>
  <c r="D52" i="17" s="1"/>
  <c r="N176" i="3"/>
  <c r="O178" i="3"/>
  <c r="E52" i="17" s="1"/>
  <c r="O176" i="3"/>
  <c r="P178" i="3"/>
  <c r="F52" i="17" s="1"/>
  <c r="P176" i="3"/>
  <c r="Q178" i="3"/>
  <c r="G52" i="17" s="1"/>
  <c r="Q176" i="3"/>
  <c r="C9" i="17"/>
  <c r="D9" i="17"/>
  <c r="E9" i="17"/>
  <c r="G11" i="17"/>
  <c r="F11" i="17"/>
  <c r="E11" i="17"/>
  <c r="D11" i="17"/>
  <c r="C11" i="17"/>
  <c r="G10" i="17"/>
  <c r="F10" i="17"/>
  <c r="E10" i="17"/>
  <c r="D10" i="17"/>
  <c r="C10" i="17"/>
  <c r="G9" i="17"/>
  <c r="F9" i="17"/>
  <c r="C5" i="16"/>
  <c r="H5" i="6"/>
  <c r="G22" i="6"/>
  <c r="G10" i="6"/>
  <c r="T28" i="6"/>
  <c r="T27" i="6"/>
  <c r="G29" i="6"/>
  <c r="G27" i="6"/>
  <c r="AC116" i="3"/>
  <c r="AA164" i="3"/>
  <c r="G31" i="12"/>
  <c r="Q164" i="3"/>
  <c r="G46" i="17" s="1"/>
  <c r="F31" i="12"/>
  <c r="P164" i="3"/>
  <c r="F46" i="17" s="1"/>
  <c r="E31" i="12"/>
  <c r="O164" i="3"/>
  <c r="E46" i="17" s="1"/>
  <c r="D31" i="12"/>
  <c r="N164" i="3"/>
  <c r="D46" i="17" s="1"/>
  <c r="C31" i="12"/>
  <c r="M164" i="3"/>
  <c r="C46" i="17" s="1"/>
  <c r="AC118" i="3"/>
  <c r="Q118" i="3"/>
  <c r="Q175" i="3" s="1"/>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5" i="3"/>
  <c r="AC126"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I32" i="8" s="1"/>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AC69" i="3"/>
  <c r="P69" i="3"/>
  <c r="M69" i="3"/>
  <c r="L69" i="3"/>
  <c r="O69" i="3"/>
  <c r="N69" i="3"/>
  <c r="K69" i="3"/>
  <c r="J69" i="3"/>
  <c r="I69" i="3"/>
  <c r="H69" i="3"/>
  <c r="G69" i="3"/>
  <c r="F69" i="3"/>
  <c r="E69" i="3"/>
  <c r="D69" i="3"/>
  <c r="C69" i="3"/>
  <c r="G60" i="17" l="1"/>
  <c r="F58" i="17"/>
  <c r="F60" i="17"/>
  <c r="E58" i="17"/>
  <c r="P134" i="3"/>
  <c r="F28" i="17"/>
  <c r="F33" i="17" s="1"/>
  <c r="O134" i="3"/>
  <c r="E28" i="17"/>
  <c r="E33" i="17" s="1"/>
  <c r="N134" i="3"/>
  <c r="D28" i="17"/>
  <c r="D33" i="17" s="1"/>
  <c r="M134" i="3"/>
  <c r="C28" i="17"/>
  <c r="C33" i="17" s="1"/>
  <c r="Q134" i="3"/>
  <c r="O183" i="3"/>
  <c r="J61" i="19"/>
  <c r="N183" i="3"/>
  <c r="I61" i="19"/>
  <c r="M183" i="3"/>
  <c r="H61" i="19"/>
  <c r="G28" i="17"/>
  <c r="G33" i="17" s="1"/>
  <c r="E35" i="17"/>
  <c r="D35" i="17"/>
  <c r="C35" i="17"/>
  <c r="F35" i="17"/>
  <c r="P183" i="3"/>
  <c r="C8" i="17"/>
  <c r="D8" i="17"/>
  <c r="E8" i="17"/>
  <c r="F8" i="17"/>
  <c r="G8" i="17"/>
  <c r="AC187" i="3"/>
  <c r="I63" i="17" s="1"/>
  <c r="AC132" i="3"/>
  <c r="I28" i="17" s="1"/>
  <c r="I33" i="17" s="1"/>
  <c r="C22" i="16"/>
  <c r="AC175" i="3"/>
  <c r="AC157" i="3"/>
  <c r="L61" i="19"/>
  <c r="Q157"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85" i="3"/>
  <c r="I10" i="17"/>
  <c r="I9" i="17"/>
  <c r="I53" i="17"/>
  <c r="I6" i="17"/>
  <c r="C23" i="14"/>
  <c r="C58" i="12"/>
  <c r="C41" i="12"/>
  <c r="C50" i="12"/>
  <c r="C33" i="16"/>
  <c r="F18" i="1"/>
  <c r="C46" i="16"/>
  <c r="F17" i="1"/>
  <c r="AC188" i="3"/>
  <c r="AC191" i="3"/>
  <c r="I67" i="17" s="1"/>
  <c r="C24" i="16"/>
  <c r="F22" i="16" s="1"/>
  <c r="F12" i="1"/>
  <c r="C32" i="12"/>
  <c r="D32" i="12"/>
  <c r="F32" i="12"/>
  <c r="E32" i="12"/>
  <c r="C24" i="14"/>
  <c r="C32" i="14" s="1"/>
  <c r="C22" i="11"/>
  <c r="G32" i="12"/>
  <c r="I5" i="6"/>
  <c r="H10" i="6"/>
  <c r="H22" i="6"/>
  <c r="M172" i="3"/>
  <c r="C12" i="17" s="1"/>
  <c r="M173" i="3"/>
  <c r="C13" i="17" s="1"/>
  <c r="M177" i="3"/>
  <c r="N172" i="3"/>
  <c r="D12" i="17" s="1"/>
  <c r="N173" i="3"/>
  <c r="D13" i="17" s="1"/>
  <c r="N177" i="3"/>
  <c r="O172" i="3"/>
  <c r="E12" i="17" s="1"/>
  <c r="O173" i="3"/>
  <c r="E13" i="17" s="1"/>
  <c r="O177" i="3"/>
  <c r="P172" i="3"/>
  <c r="F12" i="17" s="1"/>
  <c r="P173" i="3"/>
  <c r="F13" i="17" s="1"/>
  <c r="P177" i="3"/>
  <c r="Q172" i="3"/>
  <c r="G12" i="17" s="1"/>
  <c r="Q173" i="3"/>
  <c r="G13" i="17" s="1"/>
  <c r="AC171" i="3"/>
  <c r="I51" i="17"/>
  <c r="AC134" i="3"/>
  <c r="I30" i="17" s="1"/>
  <c r="I34" i="17" s="1"/>
  <c r="AC164" i="3"/>
  <c r="I46" i="17" s="1"/>
  <c r="AC163"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J32" i="8" s="1"/>
  <c r="E23" i="7"/>
  <c r="D23" i="7"/>
  <c r="F23" i="7"/>
  <c r="G23" i="7"/>
  <c r="C23" i="7"/>
  <c r="J9" i="5"/>
  <c r="K21" i="5"/>
  <c r="J23" i="5"/>
  <c r="J35" i="5" s="1"/>
  <c r="I6" i="5"/>
  <c r="I8" i="5"/>
  <c r="I15" i="5"/>
  <c r="J5" i="5"/>
  <c r="J6" i="14" s="1"/>
  <c r="J40" i="14" s="1"/>
  <c r="I12" i="5"/>
  <c r="I20" i="5"/>
  <c r="I33" i="5"/>
  <c r="F30" i="17" l="1"/>
  <c r="F34" i="17" s="1"/>
  <c r="K69" i="19"/>
  <c r="E30" i="17"/>
  <c r="E34" i="17" s="1"/>
  <c r="J69" i="19"/>
  <c r="D30" i="17"/>
  <c r="D34" i="17" s="1"/>
  <c r="I69" i="19"/>
  <c r="C30" i="17"/>
  <c r="C34" i="17" s="1"/>
  <c r="H69" i="19"/>
  <c r="G30" i="17"/>
  <c r="G34" i="17" s="1"/>
  <c r="L69" i="19"/>
  <c r="I35" i="17"/>
  <c r="AC183" i="3"/>
  <c r="G35" i="17"/>
  <c r="Q183"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1" i="3"/>
  <c r="I54" i="17" s="1"/>
  <c r="AC182" i="3"/>
  <c r="F24" i="16"/>
  <c r="F14" i="1"/>
  <c r="C26" i="16"/>
  <c r="F23" i="16" s="1"/>
  <c r="F13" i="1"/>
  <c r="AC192" i="3"/>
  <c r="I68" i="17" s="1"/>
  <c r="F3" i="1"/>
  <c r="C38" i="16"/>
  <c r="F9" i="1"/>
  <c r="C26" i="14"/>
  <c r="J5" i="6"/>
  <c r="I10" i="6"/>
  <c r="I22" i="6"/>
  <c r="Q177" i="3"/>
  <c r="C6" i="16"/>
  <c r="AC178" i="3"/>
  <c r="I52" i="17" s="1"/>
  <c r="AC176" i="3"/>
  <c r="D27" i="8"/>
  <c r="D28" i="8" s="1"/>
  <c r="G27" i="8"/>
  <c r="G28" i="8" s="1"/>
  <c r="G42" i="14"/>
  <c r="D42" i="14"/>
  <c r="G7" i="12"/>
  <c r="H13" i="12" s="1"/>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I5" i="12"/>
  <c r="I6" i="11"/>
  <c r="I46" i="14"/>
  <c r="I42" i="14"/>
  <c r="I44" i="14"/>
  <c r="I48" i="14" s="1"/>
  <c r="J41" i="14"/>
  <c r="K7" i="14"/>
  <c r="H49" i="14"/>
  <c r="J26" i="8"/>
  <c r="J19" i="8"/>
  <c r="J14" i="8"/>
  <c r="K5" i="8"/>
  <c r="K32" i="8" s="1"/>
  <c r="K34" i="5"/>
  <c r="K23" i="5"/>
  <c r="K35" i="5" s="1"/>
  <c r="K9" i="5"/>
  <c r="L21" i="5"/>
  <c r="L34" i="5" s="1"/>
  <c r="J8" i="5"/>
  <c r="J6" i="5"/>
  <c r="I7" i="5"/>
  <c r="K5" i="5"/>
  <c r="K6" i="14" s="1"/>
  <c r="K40" i="14" s="1"/>
  <c r="J12" i="5"/>
  <c r="J20" i="5"/>
  <c r="J33" i="5"/>
  <c r="H13" i="5"/>
  <c r="H14" i="5"/>
  <c r="AE6" i="5"/>
  <c r="AA13" i="5"/>
  <c r="E13" i="12" l="1"/>
  <c r="C33" i="12"/>
  <c r="D13" i="12"/>
  <c r="C15" i="1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E14" i="12" s="1"/>
  <c r="G7" i="11"/>
  <c r="G8" i="12"/>
  <c r="G43" i="14"/>
  <c r="G49" i="14"/>
  <c r="K5" i="6"/>
  <c r="J22" i="6"/>
  <c r="J10" i="6"/>
  <c r="G33" i="12"/>
  <c r="H47" i="14"/>
  <c r="AC172" i="3"/>
  <c r="C7" i="16"/>
  <c r="AC173" i="3"/>
  <c r="AC177"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J5" i="12"/>
  <c r="J6" i="11"/>
  <c r="I49" i="14"/>
  <c r="I47" i="14"/>
  <c r="J44" i="14"/>
  <c r="J48" i="14" s="1"/>
  <c r="J46" i="14"/>
  <c r="J42" i="14"/>
  <c r="L7" i="14"/>
  <c r="K41" i="14"/>
  <c r="K26" i="8"/>
  <c r="K19" i="8"/>
  <c r="K14" i="8"/>
  <c r="L5" i="8"/>
  <c r="L32" i="8" s="1"/>
  <c r="K6" i="5"/>
  <c r="K8" i="5"/>
  <c r="L9" i="5"/>
  <c r="L23" i="5"/>
  <c r="L35" i="5" s="1"/>
  <c r="K15" i="5"/>
  <c r="L5" i="5"/>
  <c r="L6" i="14" s="1"/>
  <c r="L40" i="14" s="1"/>
  <c r="K12" i="5"/>
  <c r="K20" i="5"/>
  <c r="K33" i="5"/>
  <c r="I13" i="5"/>
  <c r="AE7" i="5"/>
  <c r="AA14" i="5"/>
  <c r="H16" i="5"/>
  <c r="G14" i="12" l="1"/>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I14" i="12" l="1"/>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5"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41"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2"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<sst xmlns="http://schemas.openxmlformats.org/spreadsheetml/2006/main" count="753" uniqueCount="408">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</sst>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-8.8230445426845385</c:v>
                </c:pt>
                <c:pt idx="1">
                  <c:v>-2.1332373748200779</c:v>
                </c:pt>
                <c:pt idx="2">
                  <c:v>-1.2085904425090432</c:v>
                </c:pt>
                <c:pt idx="3">
                  <c:v>-0.75178502062484975</c:v>
                </c:pt>
                <c:pt idx="4">
                  <c:v>9.3033776374731397E-2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0.96489999999999998</v>
    <v>-0.57499999999999996</v>
    <v>-4.7209000000000001E-2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12.24</v>
    <v>Software &amp; IT Services</v>
    <v>Stock</v>
    <v>46176.724120323437</v>
    <v>0</v>
    <v>11.511100000000001</v>
    <v>6039745657</v>
    <v>UIPATH, INC.</v>
    <v>UIPATH, INC.</v>
    <v>12.16</v>
    <v>19.290199999999999</v>
    <v>12.18</v>
    <v>11.605</v>
    <v>520443400</v>
    <v>PATH</v>
    <v>UIPATH, INC. (XNYS:PATH)</v>
    <v>17779230</v>
    <v>39411001</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-0.2</v>
    <v>-4.4689999999999999E-3</v>
    <v>US</v>
    <v>44.63</v>
    <v>Index</v>
    <v>6</v>
    <v>44.28</v>
    <v>10 Y TSY YLD NDX</v>
    <v>44.3</v>
    <v>44.75</v>
    <v>44.55</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41" dT="2026-05-20T20:26:42.93" personId="{A0F62302-F8D3-B346-B5DF-839B413AE710}" id="{BD518828-4CC2-0B4C-8B09-D92EFD9BB7AB}">
    <text>Actual value</text>
  </threadedComment>
  <threadedComment ref="B142"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8" t="s">
        <v>18</v>
      </c>
      <c r="C2" s="249"/>
      <c r="E2" s="248" t="s">
        <v>340</v>
      </c>
      <c r="F2" s="249"/>
      <c r="H2" s="248" t="s">
        <v>385</v>
      </c>
      <c r="I2" s="249"/>
    </row>
    <row r="3" spans="2:9" x14ac:dyDescent="0.2">
      <c r="B3" s="209" t="s">
        <v>11</v>
      </c>
      <c r="C3" s="242" t="e" vm="1">
        <v>#VALUE!</v>
      </c>
      <c r="D3" s="2"/>
      <c r="E3" s="209" t="s">
        <v>291</v>
      </c>
      <c r="F3" s="211">
        <f ca="1">Statement!AC170</f>
        <v>6129250.3799999999</v>
      </c>
      <c r="H3" s="209" t="str">
        <f>'AVG target price'!B5</f>
        <v>DCF price</v>
      </c>
      <c r="I3" s="235">
        <f ca="1">'AVG target price'!C5</f>
        <v>6.6936952540628525</v>
      </c>
    </row>
    <row r="4" spans="2:9" x14ac:dyDescent="0.2">
      <c r="B4" s="209" t="s">
        <v>0</v>
      </c>
      <c r="C4" s="213" t="str" cm="1">
        <f t="array" aca="1" ref="C4" ca="1">_FV(C3,"Ticker symbol",TRUE)</f>
        <v>PATH</v>
      </c>
      <c r="E4" s="210" t="s">
        <v>230</v>
      </c>
      <c r="F4" s="212">
        <f ca="1">Statement!AC171</f>
        <v>4822006.38</v>
      </c>
      <c r="H4" s="209" t="str">
        <f>'AVG target price'!B6</f>
        <v>EV/EBIT price</v>
      </c>
      <c r="I4" s="235">
        <f ca="1">'AVG target price'!C6</f>
        <v>15.996134440941134</v>
      </c>
    </row>
    <row r="5" spans="2:9" x14ac:dyDescent="0.2">
      <c r="B5" s="209" t="s">
        <v>1</v>
      </c>
      <c r="C5" s="232" cm="1">
        <f t="array" aca="1" ref="C5" ca="1">_FV(C3,"Price",TRUE)</f>
        <v>11.605</v>
      </c>
      <c r="E5" s="209" t="s">
        <v>295</v>
      </c>
      <c r="F5" s="213">
        <f>Statement!AC26</f>
        <v>0.60000000000000009</v>
      </c>
      <c r="H5" s="209" t="str">
        <f>'AVG target price'!B7</f>
        <v>PS price</v>
      </c>
      <c r="I5" s="235">
        <f ca="1">'AVG target price'!C7</f>
        <v>16.178217386651543</v>
      </c>
    </row>
    <row r="6" spans="2:9" x14ac:dyDescent="0.2">
      <c r="B6" s="209" t="s">
        <v>2</v>
      </c>
      <c r="C6" s="232" t="e" cm="1" vm="2">
        <f t="array" ref="C6">_FV(C3,"Price (Extended hours)",TRUE)</f>
        <v>#VALUE!</v>
      </c>
      <c r="E6" s="209" t="s">
        <v>289</v>
      </c>
      <c r="F6" s="214">
        <f ca="1">Statement!AC167</f>
        <v>19.341666666666665</v>
      </c>
      <c r="H6" s="209" t="str">
        <f>'AVG target price'!B8</f>
        <v>EV/FCFF price</v>
      </c>
      <c r="I6" s="235">
        <f ca="1">'AVG target price'!C8</f>
        <v>10.12254584609968</v>
      </c>
    </row>
    <row r="7" spans="2:9" x14ac:dyDescent="0.2">
      <c r="B7" s="209" t="s">
        <v>3</v>
      </c>
      <c r="C7" s="6" cm="1">
        <f t="array" aca="1" ref="C7" ca="1">_FV(C3,"Change")</f>
        <v>-0.57499999999999996</v>
      </c>
      <c r="E7" s="210" t="s">
        <v>243</v>
      </c>
      <c r="F7" s="215">
        <f ca="1">Statement!AC168</f>
        <v>3.7385864220877458</v>
      </c>
      <c r="H7" s="208" t="str">
        <f>'AVG target price'!B9</f>
        <v>AVG price</v>
      </c>
      <c r="I7" s="236">
        <f ca="1">'AVG target price'!C9</f>
        <v>12.247648231938804</v>
      </c>
    </row>
    <row r="8" spans="2:9" x14ac:dyDescent="0.2">
      <c r="B8" s="209" t="s">
        <v>4</v>
      </c>
      <c r="C8" s="6" t="e" cm="1" vm="3">
        <f t="array" ref="C8">_FV(C3,"Change (extended hours)",TRUE)</f>
        <v>#VALUE!</v>
      </c>
      <c r="E8" s="209" t="s">
        <v>317</v>
      </c>
      <c r="F8" s="216">
        <f ca="1">Statement!AC178</f>
        <v>1.7556633083734459E-2</v>
      </c>
      <c r="H8" s="208" t="str">
        <f>'AVG target price'!B11</f>
        <v>Upside/Downside</v>
      </c>
      <c r="I8" s="237">
        <f ca="1">'AVG target price'!C11</f>
        <v>5.5376840322171786E-2</v>
      </c>
    </row>
    <row r="9" spans="2:9" x14ac:dyDescent="0.2">
      <c r="B9" s="209" t="s">
        <v>5</v>
      </c>
      <c r="C9" s="73" cm="1">
        <f t="array" aca="1" ref="C9" ca="1">_FV(C3,"Change (%)",TRUE)</f>
        <v>-4.7209000000000001E-2</v>
      </c>
      <c r="E9" s="209" t="s">
        <v>341</v>
      </c>
      <c r="F9" s="216">
        <f ca="1">Statement!AC179</f>
        <v>5.1701852649719951E-2</v>
      </c>
    </row>
    <row r="10" spans="2:9" x14ac:dyDescent="0.2">
      <c r="B10" s="209" t="s">
        <v>6</v>
      </c>
      <c r="C10" s="73" t="e" cm="1" vm="4">
        <f t="array" ref="C10">_FV(C3,"Change % (extended hours)",TRUE)</f>
        <v>#VALUE!</v>
      </c>
      <c r="E10" s="209" t="s">
        <v>346</v>
      </c>
      <c r="F10" s="216">
        <f ca="1">Statement!AC181</f>
        <v>5.6348163084830614E-2</v>
      </c>
    </row>
    <row r="11" spans="2:9" x14ac:dyDescent="0.2">
      <c r="B11" s="209" t="s">
        <v>7</v>
      </c>
      <c r="C11" s="233" cm="1">
        <f t="array" aca="1" ref="C11" ca="1">_FV(C3,"52 week high",TRUE)</f>
        <v>19.84</v>
      </c>
      <c r="E11" s="210" t="s">
        <v>342</v>
      </c>
      <c r="F11" s="217">
        <f ca="1">Statement!AC180</f>
        <v>0</v>
      </c>
    </row>
    <row r="12" spans="2:9" x14ac:dyDescent="0.2">
      <c r="B12" s="209" t="s">
        <v>8</v>
      </c>
      <c r="C12" s="233" cm="1">
        <f t="array" aca="1" ref="C12" ca="1">_FV(C3,"52 week low",TRUE)</f>
        <v>9.2002000000000006</v>
      </c>
      <c r="E12" s="209" t="s">
        <v>121</v>
      </c>
      <c r="F12" s="216">
        <f>Statement!AC132</f>
        <v>0.1127173202051847</v>
      </c>
    </row>
    <row r="13" spans="2:9" x14ac:dyDescent="0.2">
      <c r="B13" s="209" t="s">
        <v>9</v>
      </c>
      <c r="C13" s="233" cm="1">
        <f t="array" aca="1" ref="C13" ca="1">_FV(C3,"Beta")</f>
        <v>0.96489999999999998</v>
      </c>
      <c r="E13" s="209" t="s">
        <v>123</v>
      </c>
      <c r="F13" s="216">
        <f>Statement!AC134</f>
        <v>0.17205256008386913</v>
      </c>
    </row>
    <row r="14" spans="2:9" x14ac:dyDescent="0.2">
      <c r="B14" s="210" t="s">
        <v>10</v>
      </c>
      <c r="C14" s="234" cm="1">
        <f t="array" aca="1" ref="C14" ca="1">_FV(C3,"Volume average",TRUE)</f>
        <v>39411001</v>
      </c>
      <c r="E14" s="210" t="s">
        <v>124</v>
      </c>
      <c r="F14" s="217">
        <f>Statement!AC157</f>
        <v>0.16980935706480046</v>
      </c>
    </row>
    <row r="15" spans="2:9" x14ac:dyDescent="0.2">
      <c r="E15" s="209" t="s">
        <v>343</v>
      </c>
      <c r="F15" s="216">
        <f ca="1">Statement!AC192</f>
        <v>0.21327958868601482</v>
      </c>
    </row>
    <row r="16" spans="2:9" x14ac:dyDescent="0.2">
      <c r="E16" s="210" t="s">
        <v>348</v>
      </c>
      <c r="F16" s="215">
        <f>Statement!AC191</f>
        <v>2.4951118677971147</v>
      </c>
    </row>
    <row r="17" spans="2:9" x14ac:dyDescent="0.2">
      <c r="B17" s="250" t="s">
        <v>103</v>
      </c>
      <c r="C17" s="250"/>
      <c r="E17" s="208" t="s">
        <v>349</v>
      </c>
      <c r="F17" s="218">
        <f>Statement!AC187</f>
        <v>0.22116382280992736</v>
      </c>
    </row>
    <row r="18" spans="2:9" x14ac:dyDescent="0.2">
      <c r="B18" s="208" t="s">
        <v>12</v>
      </c>
      <c r="C18" s="69" t="s">
        <v>14</v>
      </c>
      <c r="E18" s="209" t="s">
        <v>350</v>
      </c>
      <c r="F18" s="214">
        <f>Statement!AC161</f>
        <v>40.164814474593925</v>
      </c>
      <c r="I18" s="50"/>
    </row>
    <row r="19" spans="2:9" x14ac:dyDescent="0.2">
      <c r="B19" s="208" t="s">
        <v>13</v>
      </c>
      <c r="C19" s="70">
        <v>1000</v>
      </c>
      <c r="E19" s="209" t="s">
        <v>310</v>
      </c>
      <c r="F19" s="214">
        <f>Statement!AC163</f>
        <v>-0.68695115254353079</v>
      </c>
    </row>
    <row r="20" spans="2:9" x14ac:dyDescent="0.2">
      <c r="B20" s="208" t="s">
        <v>104</v>
      </c>
      <c r="C20" s="69" t="s">
        <v>105</v>
      </c>
      <c r="E20" s="210" t="s">
        <v>351</v>
      </c>
      <c r="F20" s="215">
        <f>Statement!AC164</f>
        <v>1.9325582625717537</v>
      </c>
    </row>
    <row r="21" spans="2:9" x14ac:dyDescent="0.2">
      <c r="B21" s="208" t="s">
        <v>106</v>
      </c>
      <c r="C21" s="69" t="s">
        <v>107</v>
      </c>
      <c r="I21" s="50"/>
    </row>
    <row r="22" spans="2:9" x14ac:dyDescent="0.2">
      <c r="B22" s="208" t="s">
        <v>108</v>
      </c>
      <c r="C22" s="69" t="s">
        <v>107</v>
      </c>
    </row>
    <row r="25" spans="2:9" x14ac:dyDescent="0.2">
      <c r="B25" s="250" t="s">
        <v>126</v>
      </c>
      <c r="C25" s="250"/>
      <c r="E25" s="248" t="s">
        <v>405</v>
      </c>
      <c r="F25" s="249"/>
    </row>
    <row r="26" spans="2:9" x14ac:dyDescent="0.2">
      <c r="B26" s="208" t="s">
        <v>127</v>
      </c>
      <c r="C26" s="193">
        <v>0.21</v>
      </c>
      <c r="E26" s="209" t="e" vm="5">
        <v>#VALUE!</v>
      </c>
      <c r="F26" s="245" cm="1">
        <f t="array" aca="1" ref="F26" ca="1">_FV(E26,"Price")</f>
        <v>44.55</v>
      </c>
    </row>
    <row r="27" spans="2:9" x14ac:dyDescent="0.2">
      <c r="B27" s="208" t="s">
        <v>214</v>
      </c>
      <c r="C27" s="193">
        <v>0</v>
      </c>
      <c r="E27" s="210" t="s">
        <v>406</v>
      </c>
      <c r="F27" s="246">
        <f ca="1">F26/1000</f>
        <v>4.4549999999999999E-2</v>
      </c>
    </row>
    <row r="31" spans="2:9" x14ac:dyDescent="0.2">
      <c r="B31" s="247" t="s">
        <v>395</v>
      </c>
      <c r="C31" s="247"/>
      <c r="D31" s="247"/>
      <c r="E31" s="247"/>
      <c r="F31" s="247"/>
      <c r="G31" s="247"/>
      <c r="H31" s="247"/>
    </row>
    <row r="33" spans="2:8" x14ac:dyDescent="0.2">
      <c r="B33" s="16" t="s">
        <v>396</v>
      </c>
      <c r="C33" s="1" t="s">
        <v>401</v>
      </c>
    </row>
    <row r="34" spans="2:8" x14ac:dyDescent="0.2">
      <c r="B34" s="16" t="s">
        <v>397</v>
      </c>
      <c r="C34" s="1" t="s">
        <v>400</v>
      </c>
    </row>
    <row r="37" spans="2:8" ht="6" customHeight="1" x14ac:dyDescent="0.2">
      <c r="B37" s="247"/>
      <c r="C37" s="247"/>
      <c r="D37" s="247"/>
      <c r="E37" s="247"/>
      <c r="F37" s="247"/>
      <c r="G37" s="247"/>
      <c r="H37" s="247"/>
    </row>
    <row r="40" spans="2:8" x14ac:dyDescent="0.2">
      <c r="B40" s="247" t="s">
        <v>398</v>
      </c>
      <c r="C40" s="247"/>
      <c r="D40" s="247"/>
      <c r="E40" s="247"/>
      <c r="F40" s="247"/>
      <c r="G40" s="247"/>
      <c r="H40" s="247"/>
    </row>
    <row r="42" spans="2:8" x14ac:dyDescent="0.2">
      <c r="B42" s="41" t="s">
        <v>399</v>
      </c>
      <c r="C42" s="41" t="s">
        <v>386</v>
      </c>
      <c r="D42" s="41" t="s">
        <v>387</v>
      </c>
      <c r="E42" s="243"/>
    </row>
    <row r="47" spans="2:8" ht="5" customHeight="1" x14ac:dyDescent="0.2">
      <c r="B47" s="247"/>
      <c r="C47" s="247"/>
      <c r="D47" s="247"/>
      <c r="E47" s="247"/>
      <c r="F47" s="247"/>
      <c r="G47" s="247"/>
      <c r="H47" s="247"/>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5"/>
  <sheetViews>
    <sheetView tabSelected="1" zoomScale="170" zoomScaleNormal="150" workbookViewId="0">
      <pane xSplit="2" ySplit="3" topLeftCell="K171" activePane="bottomRight" state="frozen"/>
      <selection pane="topRight" activeCell="C1" sqref="C1"/>
      <selection pane="bottomLeft" activeCell="A4" sqref="A4"/>
      <selection pane="bottomRight" activeCell="AC179" sqref="AC179:AC1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386</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387</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211</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211</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392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393</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388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109</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186</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110</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111</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112</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337</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391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9">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286</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287</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288</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328</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329</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113</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114</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115</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116</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117</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118</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128</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220</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211</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204</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352</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389</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390</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11.605</v>
      </c>
    </row>
    <row r="126" spans="1:31" x14ac:dyDescent="0.2">
      <c r="B126" s="20" t="s">
        <v>407</v>
      </c>
      <c r="C126" s="26"/>
      <c r="D126" s="26"/>
      <c r="E126" s="26"/>
      <c r="F126" s="26"/>
      <c r="G126" s="26"/>
      <c r="H126" s="26"/>
      <c r="I126" s="26"/>
      <c r="J126" s="26"/>
      <c r="K126" s="26"/>
      <c r="L126" s="26"/>
      <c r="M126" s="65">
        <f>M125/M84</f>
        <v>33.43</v>
      </c>
      <c r="N126" s="65">
        <f t="shared" ref="N126:Q126" si="75">N125/N84</f>
        <v>14.57</v>
      </c>
      <c r="O126" s="65">
        <f t="shared" si="75"/>
        <v>23.85</v>
      </c>
      <c r="P126" s="65">
        <f t="shared" si="75"/>
        <v>14.58</v>
      </c>
      <c r="Q126" s="65">
        <f t="shared" si="75"/>
        <v>12.59</v>
      </c>
      <c r="T126" s="68"/>
      <c r="U126" s="68"/>
      <c r="V126" s="68"/>
      <c r="W126" s="68"/>
      <c r="X126" s="68"/>
      <c r="Y126" s="68"/>
      <c r="Z126" s="68"/>
      <c r="AA126" s="68"/>
      <c r="AC126" s="65">
        <f t="shared" ref="AC126" ca="1" si="76">AC125/AC84</f>
        <v>11.605</v>
      </c>
    </row>
    <row r="128" spans="1:31" x14ac:dyDescent="0.2">
      <c r="B128" s="1"/>
    </row>
    <row r="129" spans="1:31" ht="17" thickBot="1" x14ac:dyDescent="0.25">
      <c r="B129" s="14" t="s">
        <v>125</v>
      </c>
      <c r="C129" s="15"/>
      <c r="D129" s="15"/>
      <c r="E129" s="15"/>
      <c r="F129" s="15"/>
      <c r="G129" s="15"/>
      <c r="H129" s="15"/>
      <c r="I129" s="15"/>
      <c r="J129" s="15"/>
      <c r="K129" s="15"/>
      <c r="L129" s="15"/>
      <c r="M129" s="15"/>
      <c r="N129" s="15"/>
      <c r="O129" s="15"/>
      <c r="P129" s="15"/>
      <c r="Q129" s="15"/>
      <c r="T129" s="15"/>
      <c r="U129" s="15"/>
      <c r="V129" s="15"/>
      <c r="W129" s="15"/>
      <c r="X129" s="15"/>
      <c r="Y129" s="15"/>
      <c r="Z129" s="15"/>
      <c r="AA129" s="15"/>
      <c r="AC129" s="15"/>
    </row>
    <row r="130" spans="1:31" x14ac:dyDescent="0.2">
      <c r="B130" s="20" t="s">
        <v>119</v>
      </c>
      <c r="M130" s="74">
        <f>M120/M5</f>
        <v>-0.58905555829519018</v>
      </c>
      <c r="N130" s="74">
        <f>N120/N5</f>
        <v>-0.31018127096556619</v>
      </c>
      <c r="O130" s="74">
        <f>O120/O5</f>
        <v>-6.8714107480322181E-2</v>
      </c>
      <c r="P130" s="74">
        <f>P120/P5</f>
        <v>-5.1546377330617545E-2</v>
      </c>
      <c r="Q130" s="74">
        <f>Q120/Q5</f>
        <v>0.17529796867199976</v>
      </c>
      <c r="T130" s="77"/>
      <c r="U130" s="77"/>
      <c r="V130" s="77"/>
      <c r="W130" s="77"/>
      <c r="X130" s="77"/>
      <c r="Y130" s="77"/>
      <c r="Z130" s="77"/>
      <c r="AA130" s="77"/>
      <c r="AC130" s="74">
        <f>AC120/AC5</f>
        <v>0.19578073705548546</v>
      </c>
    </row>
    <row r="131" spans="1:31" x14ac:dyDescent="0.2">
      <c r="B131" s="20" t="s">
        <v>120</v>
      </c>
      <c r="M131" s="75">
        <f>M5/M36</f>
        <v>0.346849112713561</v>
      </c>
      <c r="N131" s="75">
        <f>N5/N36</f>
        <v>0.38702057541552631</v>
      </c>
      <c r="O131" s="75">
        <f>O5/O36</f>
        <v>0.44270021436611728</v>
      </c>
      <c r="P131" s="75">
        <f>P5/P36</f>
        <v>0.49896309946357587</v>
      </c>
      <c r="Q131" s="75">
        <f>Q5/Q36</f>
        <v>0.50659662808253647</v>
      </c>
      <c r="T131" s="78"/>
      <c r="U131" s="78"/>
      <c r="V131" s="78"/>
      <c r="W131" s="78"/>
      <c r="X131" s="78"/>
      <c r="Y131" s="78"/>
      <c r="Z131" s="78"/>
      <c r="AA131" s="78"/>
      <c r="AC131" s="75">
        <f>AC5/AC36</f>
        <v>0.57573243364202842</v>
      </c>
    </row>
    <row r="132" spans="1:31" x14ac:dyDescent="0.2">
      <c r="B132" s="32" t="s">
        <v>121</v>
      </c>
      <c r="M132" s="76">
        <f t="shared" ref="M132:P132" si="77">M130*M131</f>
        <v>-0.20431339773367801</v>
      </c>
      <c r="N132" s="76">
        <f t="shared" si="77"/>
        <v>-0.12004653397221271</v>
      </c>
      <c r="O132" s="76">
        <f t="shared" si="77"/>
        <v>-3.0419750111515053E-2</v>
      </c>
      <c r="P132" s="76">
        <f t="shared" si="77"/>
        <v>-2.5719740199003933E-2</v>
      </c>
      <c r="Q132" s="76">
        <f>Q130*Q131</f>
        <v>8.8805359838953199E-2</v>
      </c>
      <c r="T132" s="79"/>
      <c r="U132" s="79"/>
      <c r="V132" s="79"/>
      <c r="W132" s="79"/>
      <c r="X132" s="79"/>
      <c r="Y132" s="79"/>
      <c r="Z132" s="79"/>
      <c r="AA132" s="79"/>
      <c r="AC132" s="76">
        <f>AC130*AC131</f>
        <v>0.1127173202051847</v>
      </c>
    </row>
    <row r="133" spans="1:31" x14ac:dyDescent="0.2">
      <c r="B133" s="20" t="s">
        <v>122</v>
      </c>
      <c r="M133" s="75">
        <f>M36/M48</f>
        <v>1.3384813183920012</v>
      </c>
      <c r="N133" s="75">
        <f>N36/N48</f>
        <v>1.4244692363857558</v>
      </c>
      <c r="O133" s="75">
        <f>O36/O48</f>
        <v>1.4655708952965953</v>
      </c>
      <c r="P133" s="75">
        <f>P36/P48</f>
        <v>1.5523507364438103</v>
      </c>
      <c r="Q133" s="75">
        <f>Q36/Q48</f>
        <v>1.526562875884657</v>
      </c>
      <c r="T133" s="80"/>
      <c r="U133" s="80"/>
      <c r="V133" s="80"/>
      <c r="W133" s="80"/>
      <c r="X133" s="80"/>
      <c r="Y133" s="80"/>
      <c r="Z133" s="80"/>
      <c r="AA133" s="80"/>
      <c r="AC133" s="75">
        <f>AC36/AC48</f>
        <v>1.5264074746513994</v>
      </c>
    </row>
    <row r="134" spans="1:31" x14ac:dyDescent="0.2">
      <c r="B134" s="32" t="s">
        <v>123</v>
      </c>
      <c r="M134" s="76">
        <f t="shared" ref="M134:P134" si="78">M132*M133</f>
        <v>-0.27346966596372269</v>
      </c>
      <c r="N134" s="76">
        <f t="shared" si="78"/>
        <v>-0.17100259457815453</v>
      </c>
      <c r="O134" s="76">
        <f t="shared" si="78"/>
        <v>-4.4582300405631825E-2</v>
      </c>
      <c r="P134" s="76">
        <f t="shared" si="78"/>
        <v>-3.9926057639067224E-2</v>
      </c>
      <c r="Q134" s="76">
        <f>Q132*Q133</f>
        <v>0.13556696550972422</v>
      </c>
      <c r="T134" s="79"/>
      <c r="U134" s="79"/>
      <c r="V134" s="79"/>
      <c r="W134" s="79"/>
      <c r="X134" s="79"/>
      <c r="Y134" s="79"/>
      <c r="Z134" s="79"/>
      <c r="AA134" s="79"/>
      <c r="AC134" s="76">
        <f>AC132*AC133</f>
        <v>0.17205256008386913</v>
      </c>
    </row>
    <row r="136" spans="1:31" x14ac:dyDescent="0.2">
      <c r="B136" s="1"/>
    </row>
    <row r="137" spans="1:31" s="15" customFormat="1" ht="17" thickBot="1" x14ac:dyDescent="0.25">
      <c r="A137" s="11"/>
      <c r="B137" s="14" t="s">
        <v>129</v>
      </c>
      <c r="R137" s="1"/>
      <c r="S137" s="1"/>
      <c r="AB137" s="1"/>
      <c r="AD137" s="1"/>
      <c r="AE137" s="1"/>
    </row>
    <row r="138" spans="1:31" x14ac:dyDescent="0.2">
      <c r="B138" s="20" t="s">
        <v>130</v>
      </c>
      <c r="C138" s="62"/>
      <c r="D138" s="62"/>
      <c r="E138" s="62"/>
      <c r="F138" s="62"/>
      <c r="G138" s="62"/>
      <c r="H138" s="62"/>
      <c r="I138" s="62"/>
      <c r="J138" s="62"/>
      <c r="K138" s="62"/>
      <c r="L138" s="62"/>
      <c r="M138" s="62">
        <v>925276</v>
      </c>
      <c r="N138" s="62">
        <v>1203845</v>
      </c>
      <c r="O138" s="62">
        <v>1463698</v>
      </c>
      <c r="P138" s="62">
        <v>1666136</v>
      </c>
      <c r="Q138" s="62">
        <v>1852567</v>
      </c>
      <c r="T138" s="62">
        <v>1550605</v>
      </c>
      <c r="U138" s="62">
        <v>1606561</v>
      </c>
      <c r="V138" s="62">
        <v>1666136</v>
      </c>
      <c r="W138" s="62">
        <v>1692683</v>
      </c>
      <c r="X138" s="62">
        <v>1723401</v>
      </c>
      <c r="Y138" s="62">
        <v>1782384</v>
      </c>
      <c r="Z138" s="62">
        <v>1852567</v>
      </c>
      <c r="AA138" s="62">
        <v>1901211</v>
      </c>
      <c r="AC138" s="62">
        <f>AA138</f>
        <v>1901211</v>
      </c>
    </row>
    <row r="139" spans="1:31" x14ac:dyDescent="0.2">
      <c r="B139" s="20" t="s">
        <v>131</v>
      </c>
      <c r="C139" s="62"/>
      <c r="D139" s="62"/>
      <c r="E139" s="62"/>
      <c r="F139" s="62"/>
      <c r="G139" s="62"/>
      <c r="H139" s="62"/>
      <c r="I139" s="62"/>
      <c r="J139" s="62"/>
      <c r="K139" s="62"/>
      <c r="L139" s="62"/>
      <c r="M139" s="62">
        <v>344793</v>
      </c>
      <c r="N139" s="62">
        <v>278569</v>
      </c>
      <c r="O139" s="62">
        <v>259853</v>
      </c>
      <c r="P139" s="62">
        <v>202438</v>
      </c>
      <c r="Q139" s="62">
        <v>186431</v>
      </c>
      <c r="T139" s="62">
        <v>43000</v>
      </c>
      <c r="U139" s="62">
        <v>56000</v>
      </c>
      <c r="V139" s="62">
        <v>60000</v>
      </c>
      <c r="W139" s="62">
        <v>27000</v>
      </c>
      <c r="X139" s="62">
        <v>31000</v>
      </c>
      <c r="Y139" s="62">
        <v>59000</v>
      </c>
      <c r="Z139" s="62">
        <v>70000</v>
      </c>
      <c r="AA139" s="62">
        <v>49000</v>
      </c>
      <c r="AC139" s="83">
        <f>SUM(X139:AA139)</f>
        <v>209000</v>
      </c>
    </row>
    <row r="140" spans="1:31" x14ac:dyDescent="0.2">
      <c r="B140" s="20" t="s">
        <v>132</v>
      </c>
      <c r="C140" s="57"/>
      <c r="D140" s="57"/>
      <c r="E140" s="57"/>
      <c r="F140" s="57"/>
      <c r="G140" s="57"/>
      <c r="H140" s="57"/>
      <c r="I140" s="57"/>
      <c r="J140" s="57"/>
      <c r="K140" s="57"/>
      <c r="L140" s="82"/>
      <c r="M140" s="82">
        <v>1.45</v>
      </c>
      <c r="N140" s="82">
        <v>1.23</v>
      </c>
      <c r="O140" s="82">
        <v>1.19</v>
      </c>
      <c r="P140" s="82">
        <v>1.1000000000000001</v>
      </c>
      <c r="Q140" s="82">
        <v>1.07</v>
      </c>
      <c r="T140" s="82">
        <v>1.1499999999999999</v>
      </c>
      <c r="U140" s="82">
        <v>1.1299999999999999</v>
      </c>
      <c r="V140" s="82">
        <v>1.1000000000000001</v>
      </c>
      <c r="W140" s="82">
        <v>1.08</v>
      </c>
      <c r="X140" s="82">
        <v>1.08</v>
      </c>
      <c r="Y140" s="82">
        <v>1.07</v>
      </c>
      <c r="Z140" s="82">
        <v>1.07</v>
      </c>
      <c r="AA140" s="82">
        <v>1.0900000000000001</v>
      </c>
      <c r="AC140" s="82">
        <f>AA140</f>
        <v>1.0900000000000001</v>
      </c>
    </row>
    <row r="141" spans="1:31" x14ac:dyDescent="0.2">
      <c r="B141" s="20" t="s">
        <v>133</v>
      </c>
      <c r="M141" s="62">
        <v>158</v>
      </c>
      <c r="N141" s="62">
        <v>229</v>
      </c>
      <c r="O141" s="62">
        <v>288</v>
      </c>
      <c r="P141" s="62">
        <v>317</v>
      </c>
      <c r="Q141" s="62">
        <v>357</v>
      </c>
      <c r="T141" s="62">
        <v>293</v>
      </c>
      <c r="U141" s="62">
        <v>302</v>
      </c>
      <c r="V141" s="62">
        <v>317</v>
      </c>
      <c r="W141" s="62">
        <v>316</v>
      </c>
      <c r="X141" s="62">
        <v>320</v>
      </c>
      <c r="Y141" s="62">
        <v>333</v>
      </c>
      <c r="Z141" s="62">
        <v>357</v>
      </c>
      <c r="AA141" s="62">
        <v>374</v>
      </c>
      <c r="AC141" s="62">
        <f>AA141</f>
        <v>374</v>
      </c>
    </row>
    <row r="142" spans="1:31" x14ac:dyDescent="0.2">
      <c r="B142" s="20" t="s">
        <v>134</v>
      </c>
      <c r="M142" s="62">
        <v>1493</v>
      </c>
      <c r="N142" s="62">
        <v>1785</v>
      </c>
      <c r="O142" s="62">
        <v>2054</v>
      </c>
      <c r="P142" s="62">
        <v>2292</v>
      </c>
      <c r="Q142" s="62">
        <v>2565</v>
      </c>
      <c r="T142" s="62">
        <v>2163</v>
      </c>
      <c r="U142" s="62">
        <v>2235</v>
      </c>
      <c r="V142" s="62">
        <v>2292</v>
      </c>
      <c r="W142" s="62">
        <v>2365</v>
      </c>
      <c r="X142" s="62">
        <v>2432</v>
      </c>
      <c r="Y142" s="62">
        <v>2506</v>
      </c>
      <c r="Z142" s="62">
        <v>2565</v>
      </c>
      <c r="AA142" s="62">
        <v>2624</v>
      </c>
      <c r="AC142" s="62">
        <f>AA142</f>
        <v>2624</v>
      </c>
    </row>
    <row r="144" spans="1:31" x14ac:dyDescent="0.2">
      <c r="B144" s="1"/>
    </row>
    <row r="145" spans="2:29" ht="17" thickBot="1" x14ac:dyDescent="0.25">
      <c r="B145" s="14" t="s">
        <v>277</v>
      </c>
      <c r="C145" s="194"/>
      <c r="D145" s="194"/>
      <c r="E145" s="194"/>
      <c r="F145" s="194"/>
      <c r="G145" s="194"/>
      <c r="H145" s="194"/>
      <c r="I145" s="194"/>
      <c r="J145" s="194"/>
      <c r="K145" s="194"/>
      <c r="L145" s="194"/>
      <c r="M145" s="194"/>
      <c r="N145" s="194"/>
      <c r="O145" s="194"/>
      <c r="P145" s="194"/>
      <c r="Q145" s="194"/>
      <c r="T145" s="194"/>
      <c r="U145" s="194"/>
      <c r="V145" s="194"/>
      <c r="W145" s="194"/>
      <c r="X145" s="194"/>
      <c r="Y145" s="194"/>
      <c r="Z145" s="194"/>
      <c r="AA145" s="194"/>
      <c r="AC145" s="194"/>
    </row>
    <row r="146" spans="2:29" x14ac:dyDescent="0.2">
      <c r="B146" s="20" t="s">
        <v>278</v>
      </c>
      <c r="C146" s="49"/>
      <c r="D146" s="49"/>
      <c r="E146" s="49"/>
      <c r="F146" s="49"/>
      <c r="G146" s="49"/>
      <c r="H146" s="49"/>
      <c r="I146" s="49"/>
      <c r="J146" s="49"/>
      <c r="K146" s="49"/>
      <c r="L146" s="49"/>
      <c r="M146" s="49"/>
      <c r="N146" s="49"/>
      <c r="O146" s="49"/>
      <c r="P146" s="49"/>
      <c r="Q146" s="49"/>
      <c r="T146" s="21">
        <v>345000</v>
      </c>
      <c r="U146" s="21">
        <v>422000</v>
      </c>
      <c r="V146" s="21">
        <v>330000</v>
      </c>
      <c r="W146" s="21">
        <v>345000</v>
      </c>
      <c r="X146" s="21">
        <v>390000</v>
      </c>
      <c r="Y146" s="21">
        <v>462000</v>
      </c>
      <c r="Z146" s="21">
        <v>395000</v>
      </c>
      <c r="AA146" s="21">
        <v>395000</v>
      </c>
      <c r="AC146" s="49"/>
    </row>
    <row r="147" spans="2:29" x14ac:dyDescent="0.2">
      <c r="B147" s="20" t="s">
        <v>279</v>
      </c>
      <c r="C147" s="49"/>
      <c r="D147" s="49"/>
      <c r="E147" s="49"/>
      <c r="F147" s="49"/>
      <c r="G147" s="49"/>
      <c r="H147" s="49"/>
      <c r="I147" s="49"/>
      <c r="J147" s="49"/>
      <c r="K147" s="49"/>
      <c r="L147" s="49"/>
      <c r="M147" s="49"/>
      <c r="N147" s="49"/>
      <c r="O147" s="49"/>
      <c r="P147" s="49"/>
      <c r="Q147" s="49"/>
      <c r="T147" s="21">
        <v>350000</v>
      </c>
      <c r="U147" s="21">
        <v>427000</v>
      </c>
      <c r="V147" s="21">
        <v>335000</v>
      </c>
      <c r="W147" s="21">
        <v>350000</v>
      </c>
      <c r="X147" s="21">
        <v>395000</v>
      </c>
      <c r="Y147" s="21">
        <v>467000</v>
      </c>
      <c r="Z147" s="21">
        <v>400000</v>
      </c>
      <c r="AA147" s="21">
        <v>400000</v>
      </c>
      <c r="AC147" s="49"/>
    </row>
    <row r="148" spans="2:29" x14ac:dyDescent="0.2">
      <c r="B148" s="20" t="s">
        <v>280</v>
      </c>
      <c r="C148" s="49"/>
      <c r="D148" s="49"/>
      <c r="E148" s="49"/>
      <c r="F148" s="49"/>
      <c r="G148" s="49"/>
      <c r="H148" s="49"/>
      <c r="I148" s="49"/>
      <c r="J148" s="49"/>
      <c r="K148" s="49"/>
      <c r="L148" s="49"/>
      <c r="M148" s="49"/>
      <c r="N148" s="49"/>
      <c r="O148" s="49"/>
      <c r="P148" s="49"/>
      <c r="Q148" s="49"/>
      <c r="T148" s="25">
        <f t="shared" ref="T148:AA148" si="79">U5</f>
        <v>354653</v>
      </c>
      <c r="U148" s="25">
        <f t="shared" si="79"/>
        <v>423646</v>
      </c>
      <c r="V148" s="25">
        <f t="shared" si="79"/>
        <v>356624</v>
      </c>
      <c r="W148" s="25">
        <f t="shared" si="79"/>
        <v>361728</v>
      </c>
      <c r="X148" s="25">
        <f t="shared" si="79"/>
        <v>411113</v>
      </c>
      <c r="Y148" s="25">
        <f t="shared" si="79"/>
        <v>481107</v>
      </c>
      <c r="Z148" s="25">
        <f t="shared" si="79"/>
        <v>418382</v>
      </c>
      <c r="AA148" s="25">
        <f t="shared" si="79"/>
        <v>0</v>
      </c>
      <c r="AC148" s="49"/>
    </row>
    <row r="149" spans="2:29" x14ac:dyDescent="0.2">
      <c r="B149" s="20" t="s">
        <v>228</v>
      </c>
      <c r="C149" s="49"/>
      <c r="D149" s="49"/>
      <c r="E149" s="49"/>
      <c r="F149" s="49"/>
      <c r="G149" s="49"/>
      <c r="H149" s="49"/>
      <c r="I149" s="49"/>
      <c r="J149" s="49"/>
      <c r="K149" s="49"/>
      <c r="L149" s="49"/>
      <c r="M149" s="49"/>
      <c r="N149" s="49"/>
      <c r="O149" s="49"/>
      <c r="P149" s="49"/>
      <c r="Q149" s="49"/>
      <c r="T149" s="195" t="str">
        <f t="shared" ref="T149:AA149" si="80">IF(U5&gt;T147, "BEAT", IF(U5&lt;T146, "MISSED", "MET"))</f>
        <v>BEAT</v>
      </c>
      <c r="U149" s="195" t="str">
        <f t="shared" si="80"/>
        <v>MET</v>
      </c>
      <c r="V149" s="195" t="str">
        <f t="shared" si="80"/>
        <v>BEAT</v>
      </c>
      <c r="W149" s="195" t="str">
        <f t="shared" si="80"/>
        <v>BEAT</v>
      </c>
      <c r="X149" s="195" t="str">
        <f t="shared" si="80"/>
        <v>BEAT</v>
      </c>
      <c r="Y149" s="195" t="str">
        <f t="shared" si="80"/>
        <v>BEAT</v>
      </c>
      <c r="Z149" s="195" t="str">
        <f t="shared" si="80"/>
        <v>BEAT</v>
      </c>
      <c r="AA149" s="195" t="str">
        <f t="shared" si="80"/>
        <v>MISSED</v>
      </c>
      <c r="AC149" s="49"/>
    </row>
    <row r="150" spans="2:29" x14ac:dyDescent="0.2">
      <c r="B150" s="20" t="s">
        <v>281</v>
      </c>
      <c r="C150" s="49"/>
      <c r="D150" s="49"/>
      <c r="E150" s="49"/>
      <c r="F150" s="49"/>
      <c r="G150" s="49"/>
      <c r="H150" s="49"/>
      <c r="I150" s="49"/>
      <c r="J150" s="49"/>
      <c r="K150" s="49"/>
      <c r="L150" s="49"/>
      <c r="M150" s="49"/>
      <c r="N150" s="49"/>
      <c r="O150" s="49"/>
      <c r="P150" s="49"/>
      <c r="Q150" s="49"/>
      <c r="T150" s="21">
        <v>1600000</v>
      </c>
      <c r="U150" s="21">
        <v>1669000</v>
      </c>
      <c r="V150" s="21">
        <v>1686000</v>
      </c>
      <c r="W150" s="21">
        <v>1715000</v>
      </c>
      <c r="X150" s="21">
        <v>1771000</v>
      </c>
      <c r="Y150" s="21">
        <v>1844000</v>
      </c>
      <c r="Z150" s="21">
        <v>1894000</v>
      </c>
      <c r="AA150" s="21">
        <v>1929000</v>
      </c>
      <c r="AC150" s="49"/>
    </row>
    <row r="151" spans="2:29" x14ac:dyDescent="0.2">
      <c r="B151" s="20" t="s">
        <v>282</v>
      </c>
      <c r="C151" s="49"/>
      <c r="D151" s="49"/>
      <c r="E151" s="49"/>
      <c r="F151" s="49"/>
      <c r="G151" s="49"/>
      <c r="H151" s="49"/>
      <c r="I151" s="49"/>
      <c r="J151" s="49"/>
      <c r="K151" s="49"/>
      <c r="L151" s="49"/>
      <c r="M151" s="49"/>
      <c r="N151" s="49"/>
      <c r="O151" s="49"/>
      <c r="P151" s="49"/>
      <c r="Q151" s="49"/>
      <c r="T151" s="21">
        <v>1605000</v>
      </c>
      <c r="U151" s="21">
        <v>1674000</v>
      </c>
      <c r="V151" s="21">
        <v>1691000</v>
      </c>
      <c r="W151" s="21">
        <v>1720000</v>
      </c>
      <c r="X151" s="21">
        <v>1776000</v>
      </c>
      <c r="Y151" s="21">
        <v>1849000</v>
      </c>
      <c r="Z151" s="21">
        <v>1899000</v>
      </c>
      <c r="AA151" s="21">
        <v>1934000</v>
      </c>
      <c r="AC151" s="49"/>
    </row>
    <row r="152" spans="2:29" x14ac:dyDescent="0.2">
      <c r="B152" s="20" t="s">
        <v>283</v>
      </c>
      <c r="C152" s="49"/>
      <c r="D152" s="49"/>
      <c r="E152" s="49"/>
      <c r="F152" s="49"/>
      <c r="G152" s="49"/>
      <c r="H152" s="49"/>
      <c r="I152" s="49"/>
      <c r="J152" s="49"/>
      <c r="K152" s="49"/>
      <c r="L152" s="49"/>
      <c r="M152" s="49"/>
      <c r="N152" s="49"/>
      <c r="O152" s="49"/>
      <c r="P152" s="49"/>
      <c r="Q152" s="49"/>
      <c r="T152" s="25">
        <f t="shared" ref="T152" si="81">U138</f>
        <v>1606561</v>
      </c>
      <c r="U152" s="25">
        <f t="shared" ref="U152" si="82">V138</f>
        <v>1666136</v>
      </c>
      <c r="V152" s="25">
        <f t="shared" ref="V152" si="83">W138</f>
        <v>1692683</v>
      </c>
      <c r="W152" s="25">
        <f t="shared" ref="W152" si="84">X138</f>
        <v>1723401</v>
      </c>
      <c r="X152" s="25">
        <f t="shared" ref="X152" si="85">Y138</f>
        <v>1782384</v>
      </c>
      <c r="Y152" s="25">
        <f t="shared" ref="Y152" si="86">Z138</f>
        <v>1852567</v>
      </c>
      <c r="Z152" s="25">
        <f t="shared" ref="Z152" si="87">AA138</f>
        <v>1901211</v>
      </c>
      <c r="AA152" s="25">
        <f t="shared" ref="AA152" si="88">AB138</f>
        <v>0</v>
      </c>
      <c r="AC152" s="49"/>
    </row>
    <row r="153" spans="2:29" x14ac:dyDescent="0.2">
      <c r="B153" s="20" t="s">
        <v>228</v>
      </c>
      <c r="C153" s="49"/>
      <c r="D153" s="49"/>
      <c r="E153" s="49"/>
      <c r="F153" s="49"/>
      <c r="G153" s="49"/>
      <c r="H153" s="49"/>
      <c r="I153" s="49"/>
      <c r="J153" s="49"/>
      <c r="K153" s="49"/>
      <c r="L153" s="49"/>
      <c r="M153" s="49"/>
      <c r="N153" s="49"/>
      <c r="O153" s="49"/>
      <c r="P153" s="49"/>
      <c r="Q153" s="49"/>
      <c r="T153" s="195" t="str">
        <f t="shared" ref="T153" si="89">IF(U138&gt;T151, "BEAT", IF(U138&lt;T150, "MISSED", "MET"))</f>
        <v>BEAT</v>
      </c>
      <c r="U153" s="195" t="str">
        <f t="shared" ref="U153" si="90">IF(V138&gt;U151, "BEAT", IF(V138&lt;U150, "MISSED", "MET"))</f>
        <v>MISSED</v>
      </c>
      <c r="V153" s="195" t="str">
        <f t="shared" ref="V153" si="91">IF(W138&gt;V151, "BEAT", IF(W138&lt;V150, "MISSED", "MET"))</f>
        <v>BEAT</v>
      </c>
      <c r="W153" s="195" t="str">
        <f t="shared" ref="W153" si="92">IF(X138&gt;W151, "BEAT", IF(X138&lt;W150, "MISSED", "MET"))</f>
        <v>BEAT</v>
      </c>
      <c r="X153" s="195" t="str">
        <f t="shared" ref="X153" si="93">IF(Y138&gt;X151, "BEAT", IF(Y138&lt;X150, "MISSED", "MET"))</f>
        <v>BEAT</v>
      </c>
      <c r="Y153" s="195" t="str">
        <f t="shared" ref="Y153" si="94">IF(Z138&gt;Y151, "BEAT", IF(Z138&lt;Y150, "MISSED", "MET"))</f>
        <v>BEAT</v>
      </c>
      <c r="Z153" s="195" t="str">
        <f t="shared" ref="Z153" si="95">IF(AA138&gt;Z151, "BEAT", IF(AA138&lt;Z150, "MISSED", "MET"))</f>
        <v>BEAT</v>
      </c>
      <c r="AA153" s="195" t="str">
        <f t="shared" ref="AA153" si="96">IF(AB138&gt;AA151, "BEAT", IF(AB138&lt;AA150, "MISSED", "MET"))</f>
        <v>MISSED</v>
      </c>
      <c r="AC153" s="49"/>
    </row>
    <row r="155" spans="2:29" x14ac:dyDescent="0.2">
      <c r="B155" s="1"/>
    </row>
    <row r="156" spans="2:29" ht="17" thickBot="1" x14ac:dyDescent="0.25">
      <c r="B156" s="14" t="s">
        <v>300</v>
      </c>
      <c r="C156" s="194"/>
      <c r="D156" s="194"/>
      <c r="E156" s="194"/>
      <c r="F156" s="194"/>
      <c r="G156" s="194"/>
      <c r="H156" s="194"/>
      <c r="I156" s="194"/>
      <c r="J156" s="194"/>
      <c r="K156" s="194"/>
      <c r="L156" s="194"/>
      <c r="M156" s="194"/>
      <c r="N156" s="194"/>
      <c r="O156" s="194"/>
      <c r="P156" s="194"/>
      <c r="Q156" s="194"/>
      <c r="T156" s="194"/>
      <c r="U156" s="194"/>
      <c r="V156" s="194"/>
      <c r="W156" s="194"/>
      <c r="X156" s="194"/>
      <c r="Y156" s="194"/>
      <c r="Z156" s="194"/>
      <c r="AA156" s="194"/>
      <c r="AC156" s="194"/>
    </row>
    <row r="157" spans="2:29" x14ac:dyDescent="0.2">
      <c r="B157" s="20" t="s">
        <v>124</v>
      </c>
      <c r="C157" s="81"/>
      <c r="D157" s="81"/>
      <c r="E157" s="81"/>
      <c r="F157" s="81"/>
      <c r="G157" s="81"/>
      <c r="H157" s="81"/>
      <c r="I157" s="81"/>
      <c r="J157" s="81"/>
      <c r="K157" s="81"/>
      <c r="L157" s="81"/>
      <c r="M157" s="81">
        <f>M118/(M117+M121-M116)</f>
        <v>-8.8230445426845385</v>
      </c>
      <c r="N157" s="81">
        <f>N118/(N117+N121-N116)</f>
        <v>-2.1332373748200779</v>
      </c>
      <c r="O157" s="81">
        <f>O118/(O117+O121-O116)</f>
        <v>-1.2085904425090432</v>
      </c>
      <c r="P157" s="81">
        <f>P118/(P117+P121-P116)</f>
        <v>-0.75178502062484975</v>
      </c>
      <c r="Q157" s="81">
        <f>Q118/(Q117+Q121-Q116)</f>
        <v>9.3033776374731397E-2</v>
      </c>
      <c r="T157" s="49"/>
      <c r="U157" s="49"/>
      <c r="V157" s="49"/>
      <c r="W157" s="49"/>
      <c r="X157" s="49"/>
      <c r="Y157" s="49"/>
      <c r="Z157" s="49"/>
      <c r="AA157" s="49"/>
      <c r="AC157" s="81">
        <f>AC118/(AC117+AC121-AC116)</f>
        <v>0.16980935706480046</v>
      </c>
    </row>
    <row r="158" spans="2:29" x14ac:dyDescent="0.2">
      <c r="B158" s="20" t="s">
        <v>180</v>
      </c>
      <c r="M158" s="139">
        <f>M30/M5*365</f>
        <v>133.69421979440784</v>
      </c>
      <c r="N158" s="139">
        <f>N30/N5*365</f>
        <v>152.91140215061483</v>
      </c>
      <c r="O158" s="139">
        <f>O30/O5*365</f>
        <v>145.23661159324561</v>
      </c>
      <c r="P158" s="139">
        <f>P30/P5*365</f>
        <v>137.8303503480538</v>
      </c>
      <c r="Q158" s="139">
        <f>Q30/Q5*365</f>
        <v>131.6037563052133</v>
      </c>
      <c r="T158" s="139">
        <f t="shared" ref="T158:AA158" si="97">T30/T5*90</f>
        <v>104.95764467056439</v>
      </c>
      <c r="U158" s="139">
        <f t="shared" si="97"/>
        <v>113.19501033404484</v>
      </c>
      <c r="V158" s="139">
        <f t="shared" si="97"/>
        <v>114.68995340449337</v>
      </c>
      <c r="W158" s="139">
        <f t="shared" si="97"/>
        <v>93.317359459823237</v>
      </c>
      <c r="X158" s="139">
        <f t="shared" si="97"/>
        <v>96.344546178343947</v>
      </c>
      <c r="Y158" s="139">
        <f t="shared" si="97"/>
        <v>108.60342533561332</v>
      </c>
      <c r="Z158" s="139">
        <f t="shared" si="97"/>
        <v>108.63165574394054</v>
      </c>
      <c r="AA158" s="139">
        <f t="shared" si="97"/>
        <v>64.534109976050601</v>
      </c>
      <c r="AC158" s="139">
        <f>AC30/AC5*365</f>
        <v>65.477289171395597</v>
      </c>
    </row>
    <row r="159" spans="2:29" x14ac:dyDescent="0.2">
      <c r="B159" s="20" t="s">
        <v>181</v>
      </c>
      <c r="M159" s="139">
        <f>M31/M6*365</f>
        <v>0</v>
      </c>
      <c r="N159" s="139">
        <f>N31/N6*365</f>
        <v>0</v>
      </c>
      <c r="O159" s="139">
        <f>O31/O6*365</f>
        <v>0</v>
      </c>
      <c r="P159" s="139">
        <f>P31/P6*365</f>
        <v>0</v>
      </c>
      <c r="Q159" s="139">
        <f>Q31/Q6*365</f>
        <v>0</v>
      </c>
      <c r="T159" s="139">
        <f t="shared" ref="T159:AA159" si="98">T31/T6*365</f>
        <v>0</v>
      </c>
      <c r="U159" s="139">
        <f t="shared" si="98"/>
        <v>0</v>
      </c>
      <c r="V159" s="139">
        <f t="shared" si="98"/>
        <v>0</v>
      </c>
      <c r="W159" s="139">
        <f t="shared" si="98"/>
        <v>0</v>
      </c>
      <c r="X159" s="139">
        <f t="shared" si="98"/>
        <v>0</v>
      </c>
      <c r="Y159" s="139">
        <f t="shared" si="98"/>
        <v>0</v>
      </c>
      <c r="Z159" s="139">
        <f t="shared" si="98"/>
        <v>0</v>
      </c>
      <c r="AA159" s="139">
        <f t="shared" si="98"/>
        <v>0</v>
      </c>
      <c r="AC159" s="139">
        <f>AC31/AC6*365</f>
        <v>0</v>
      </c>
    </row>
    <row r="160" spans="2:29" x14ac:dyDescent="0.2">
      <c r="B160" s="20" t="s">
        <v>182</v>
      </c>
      <c r="M160" s="139">
        <f>M37/M6*365</f>
        <v>24.889114574697395</v>
      </c>
      <c r="N160" s="139">
        <f>N37/N6*365</f>
        <v>18.023865460341792</v>
      </c>
      <c r="O160" s="139">
        <f>O37/O6*365</f>
        <v>6.4216481901145333</v>
      </c>
      <c r="P160" s="139">
        <f>P37/P6*365</f>
        <v>49.039734026613537</v>
      </c>
      <c r="Q160" s="139">
        <f>Q37/Q6*365</f>
        <v>13.686287751306349</v>
      </c>
      <c r="T160" s="139">
        <f t="shared" ref="T160:AA160" si="99">T37/T6*90</f>
        <v>14.085596967782692</v>
      </c>
      <c r="U160" s="139">
        <f t="shared" si="99"/>
        <v>26.007872904348915</v>
      </c>
      <c r="V160" s="139">
        <f t="shared" si="99"/>
        <v>46.270493073418663</v>
      </c>
      <c r="W160" s="139">
        <f t="shared" si="99"/>
        <v>23.797704245423365</v>
      </c>
      <c r="X160" s="139">
        <f t="shared" si="99"/>
        <v>27.599720410065238</v>
      </c>
      <c r="Y160" s="139">
        <f t="shared" si="99"/>
        <v>18.67697494623031</v>
      </c>
      <c r="Z160" s="139">
        <f t="shared" si="99"/>
        <v>12.368837492391966</v>
      </c>
      <c r="AA160" s="139">
        <f t="shared" si="99"/>
        <v>23.046355033277873</v>
      </c>
      <c r="AC160" s="139">
        <f>AC37/AC6*365</f>
        <v>25.312474696801676</v>
      </c>
    </row>
    <row r="161" spans="2:29" x14ac:dyDescent="0.2">
      <c r="B161" s="20" t="s">
        <v>183</v>
      </c>
      <c r="M161" s="139">
        <f>M158+M159-M160</f>
        <v>108.80510521971044</v>
      </c>
      <c r="N161" s="139">
        <f t="shared" ref="N161:Q161" si="100">N158+N159-N160</f>
        <v>134.88753669027304</v>
      </c>
      <c r="O161" s="139">
        <f t="shared" si="100"/>
        <v>138.81496340313109</v>
      </c>
      <c r="P161" s="139">
        <f t="shared" si="100"/>
        <v>88.790616321440268</v>
      </c>
      <c r="Q161" s="139">
        <f t="shared" si="100"/>
        <v>117.91746855390694</v>
      </c>
      <c r="T161" s="139">
        <f t="shared" ref="T161" si="101">T158+T159-T160</f>
        <v>90.8720477027817</v>
      </c>
      <c r="U161" s="139">
        <f t="shared" ref="U161" si="102">U158+U159-U160</f>
        <v>87.187137429695923</v>
      </c>
      <c r="V161" s="139">
        <f t="shared" ref="V161" si="103">V158+V159-V160</f>
        <v>68.419460331074703</v>
      </c>
      <c r="W161" s="139">
        <f t="shared" ref="W161" si="104">W158+W159-W160</f>
        <v>69.519655214399876</v>
      </c>
      <c r="X161" s="139">
        <f t="shared" ref="X161" si="105">X158+X159-X160</f>
        <v>68.744825768278702</v>
      </c>
      <c r="Y161" s="139">
        <f t="shared" ref="Y161" si="106">Y158+Y159-Y160</f>
        <v>89.926450389383007</v>
      </c>
      <c r="Z161" s="139">
        <f t="shared" ref="Z161:AA161" si="107">Z158+Z159-Z160</f>
        <v>96.26281825154858</v>
      </c>
      <c r="AA161" s="139">
        <f t="shared" si="107"/>
        <v>41.487754942772725</v>
      </c>
      <c r="AC161" s="139">
        <f t="shared" ref="AC161" si="108">AC158+AC159-AC160</f>
        <v>40.164814474593925</v>
      </c>
    </row>
    <row r="162" spans="2:29" x14ac:dyDescent="0.2">
      <c r="B162" s="20" t="s">
        <v>303</v>
      </c>
      <c r="M162" s="139">
        <f>M117/M48</f>
        <v>0</v>
      </c>
      <c r="N162" s="139">
        <f>N117/N48</f>
        <v>0</v>
      </c>
      <c r="O162" s="139">
        <f>O117/O48</f>
        <v>0</v>
      </c>
      <c r="P162" s="139">
        <f>P117/P48</f>
        <v>0</v>
      </c>
      <c r="Q162" s="139">
        <f>Q117/Q48</f>
        <v>0</v>
      </c>
      <c r="T162" s="139">
        <f t="shared" ref="T162:AA162" si="109">T117/T48</f>
        <v>0</v>
      </c>
      <c r="U162" s="139">
        <f t="shared" si="109"/>
        <v>0</v>
      </c>
      <c r="V162" s="139">
        <f t="shared" si="109"/>
        <v>0</v>
      </c>
      <c r="W162" s="139">
        <f t="shared" si="109"/>
        <v>0</v>
      </c>
      <c r="X162" s="139">
        <f t="shared" si="109"/>
        <v>0</v>
      </c>
      <c r="Y162" s="139">
        <f t="shared" si="109"/>
        <v>0</v>
      </c>
      <c r="Z162" s="139">
        <f t="shared" si="109"/>
        <v>0</v>
      </c>
      <c r="AA162" s="139">
        <f t="shared" si="109"/>
        <v>0</v>
      </c>
      <c r="AC162" s="139">
        <f>AC117/AC48</f>
        <v>0</v>
      </c>
    </row>
    <row r="163" spans="2:29" x14ac:dyDescent="0.2">
      <c r="B163" s="20" t="s">
        <v>307</v>
      </c>
      <c r="M163" s="203">
        <f>(M117-M116)/M48</f>
        <v>-0.97045814153264687</v>
      </c>
      <c r="N163" s="203">
        <f>(N117-N116)/N48</f>
        <v>-0.91497314283512088</v>
      </c>
      <c r="O163" s="203">
        <f>(O117-O116)/O48</f>
        <v>-0.93239915996813671</v>
      </c>
      <c r="P163" s="203">
        <f>(P117-P116)/P48</f>
        <v>-0.88284296675302665</v>
      </c>
      <c r="Q163" s="203">
        <f>(Q117-Q116)/Q48</f>
        <v>-0.70704657236408375</v>
      </c>
      <c r="T163" s="203">
        <f t="shared" ref="T163:AA163" si="110">(T117-T116)/T48</f>
        <v>-0.95080282790888426</v>
      </c>
      <c r="U163" s="203">
        <f t="shared" si="110"/>
        <v>-0.90599389668243979</v>
      </c>
      <c r="V163" s="203">
        <f t="shared" si="110"/>
        <v>-0.88284296675302665</v>
      </c>
      <c r="W163" s="203">
        <f t="shared" si="110"/>
        <v>-0.91555413989488132</v>
      </c>
      <c r="X163" s="203">
        <f t="shared" si="110"/>
        <v>-0.86899465270819587</v>
      </c>
      <c r="Y163" s="203">
        <f t="shared" si="110"/>
        <v>-0.72647492981720518</v>
      </c>
      <c r="Z163" s="203">
        <f t="shared" si="110"/>
        <v>-0.70704657236408375</v>
      </c>
      <c r="AA163" s="203">
        <f t="shared" si="110"/>
        <v>-0.68695115254353079</v>
      </c>
      <c r="AC163" s="203">
        <f>(AC117-AC116)/AC48</f>
        <v>-0.68695115254353079</v>
      </c>
    </row>
    <row r="164" spans="2:29" x14ac:dyDescent="0.2">
      <c r="B164" s="20" t="s">
        <v>304</v>
      </c>
      <c r="M164" s="139">
        <f>(M116+M30)/M39</f>
        <v>4.1553646343798398</v>
      </c>
      <c r="N164" s="139">
        <f>(N116+N30)/N39</f>
        <v>3.5124319181677128</v>
      </c>
      <c r="O164" s="139">
        <f>(O116+O30)/O39</f>
        <v>3.3726940484002186</v>
      </c>
      <c r="P164" s="139">
        <f>(P116+P30)/P39</f>
        <v>2.715395784308817</v>
      </c>
      <c r="Q164" s="139">
        <f>(Q116+Q30)/Q39</f>
        <v>2.2676594254840001</v>
      </c>
      <c r="T164" s="139">
        <f t="shared" ref="T164:AA164" si="111">(T116+T30)/T39</f>
        <v>3.3394102478565317</v>
      </c>
      <c r="U164" s="139">
        <f t="shared" si="111"/>
        <v>2.8974467736346341</v>
      </c>
      <c r="V164" s="139">
        <f t="shared" si="111"/>
        <v>2.715395784308817</v>
      </c>
      <c r="W164" s="139">
        <f t="shared" si="111"/>
        <v>2.6887704000882846</v>
      </c>
      <c r="X164" s="139">
        <f t="shared" si="111"/>
        <v>2.4846597518746183</v>
      </c>
      <c r="Y164" s="139">
        <f t="shared" si="111"/>
        <v>2.4017725370863445</v>
      </c>
      <c r="Z164" s="139">
        <f t="shared" si="111"/>
        <v>2.2676594254840001</v>
      </c>
      <c r="AA164" s="139">
        <f t="shared" si="111"/>
        <v>1.9325582625717537</v>
      </c>
      <c r="AC164" s="139">
        <f>(AC116+AC30)/AC39</f>
        <v>1.9325582625717537</v>
      </c>
    </row>
    <row r="165" spans="2:29" x14ac:dyDescent="0.2">
      <c r="B165" s="20" t="s">
        <v>305</v>
      </c>
      <c r="M165" s="139">
        <f>M32/M39</f>
        <v>4.3171501096680389</v>
      </c>
      <c r="N165" s="139">
        <f>N32/N39</f>
        <v>3.7423569563190795</v>
      </c>
      <c r="O165" s="139">
        <f>O32/O39</f>
        <v>3.6257476910625539</v>
      </c>
      <c r="P165" s="139">
        <f>P32/P39</f>
        <v>2.9271504030441093</v>
      </c>
      <c r="Q165" s="139">
        <f>Q32/Q39</f>
        <v>2.4783388537733191</v>
      </c>
      <c r="T165" s="139">
        <f t="shared" ref="T165:AA165" si="112">T32/T39</f>
        <v>3.5957679252114221</v>
      </c>
      <c r="U165" s="139">
        <f t="shared" si="112"/>
        <v>3.129493165083332</v>
      </c>
      <c r="V165" s="139">
        <f t="shared" si="112"/>
        <v>2.9271504030441093</v>
      </c>
      <c r="W165" s="139">
        <f t="shared" si="112"/>
        <v>2.9470125037192663</v>
      </c>
      <c r="X165" s="139">
        <f t="shared" si="112"/>
        <v>2.7501208666647705</v>
      </c>
      <c r="Y165" s="139">
        <f t="shared" si="112"/>
        <v>2.6541688855077976</v>
      </c>
      <c r="Z165" s="139">
        <f t="shared" si="112"/>
        <v>2.4783388537733191</v>
      </c>
      <c r="AA165" s="139">
        <f t="shared" si="112"/>
        <v>2.3066495444084523</v>
      </c>
      <c r="AC165" s="139">
        <f>AC32/AC39</f>
        <v>2.3066495444084523</v>
      </c>
    </row>
    <row r="166" spans="2:29" x14ac:dyDescent="0.2">
      <c r="B166" s="20" t="s">
        <v>311</v>
      </c>
      <c r="M166" s="205" t="str">
        <f>IF(M13&gt;=0,"N/A",IF(M12&lt;=0,"N/A",M12/-M13))</f>
        <v>N/A</v>
      </c>
      <c r="N166" s="205" t="str">
        <f>IF(N13&gt;=0,"N/A",IF(N12&lt;=0,"N/A",N12/-N13))</f>
        <v>N/A</v>
      </c>
      <c r="O166" s="205" t="str">
        <f>IF(O13&gt;=0,"N/A",IF(O12&lt;=0,"N/A",O12/-O13))</f>
        <v>N/A</v>
      </c>
      <c r="P166" s="205" t="str">
        <f>IF(P13&gt;=0,"N/A",IF(P12&lt;=0,"N/A",P12/-P13))</f>
        <v>N/A</v>
      </c>
      <c r="Q166" s="205" t="str">
        <f>IF(Q13&gt;=0,"N/A",IF(Q12&lt;=0,"N/A",Q12/-Q13))</f>
        <v>N/A</v>
      </c>
      <c r="T166" s="205" t="str">
        <f t="shared" ref="T166:AA166" si="113">IF(T13&gt;=0,"N/A",IF(T12&lt;=0,"N/A",T12/-T13))</f>
        <v>N/A</v>
      </c>
      <c r="U166" s="205" t="str">
        <f t="shared" si="113"/>
        <v>N/A</v>
      </c>
      <c r="V166" s="205" t="str">
        <f t="shared" si="113"/>
        <v>N/A</v>
      </c>
      <c r="W166" s="205" t="str">
        <f t="shared" si="113"/>
        <v>N/A</v>
      </c>
      <c r="X166" s="205" t="str">
        <f t="shared" si="113"/>
        <v>N/A</v>
      </c>
      <c r="Y166" s="205" t="str">
        <f t="shared" si="113"/>
        <v>N/A</v>
      </c>
      <c r="Z166" s="205" t="str">
        <f t="shared" si="113"/>
        <v>N/A</v>
      </c>
      <c r="AA166" s="205" t="str">
        <f t="shared" si="113"/>
        <v>N/A</v>
      </c>
      <c r="AC166" s="205" t="str">
        <f>IF(AC13&gt;=0,"N/A",IF(AC12&lt;=0,"N/A",AC12/-AC13))</f>
        <v>N/A</v>
      </c>
    </row>
    <row r="167" spans="2:29" x14ac:dyDescent="0.2">
      <c r="B167" s="20" t="s">
        <v>289</v>
      </c>
      <c r="M167" s="72">
        <f>M126/Statement!M26</f>
        <v>-28.818965517241381</v>
      </c>
      <c r="N167" s="72">
        <f>N126/Statement!N26</f>
        <v>-24.283333333333335</v>
      </c>
      <c r="O167" s="72">
        <f>O126/Statement!O26</f>
        <v>-149.0625</v>
      </c>
      <c r="P167" s="72">
        <f>P126/Statement!P26</f>
        <v>-112.15384615384615</v>
      </c>
      <c r="Q167" s="72">
        <f>Q126/Statement!Q26</f>
        <v>24.21153846153846</v>
      </c>
      <c r="T167" s="49"/>
      <c r="U167" s="49"/>
      <c r="V167" s="49"/>
      <c r="W167" s="49"/>
      <c r="X167" s="49"/>
      <c r="Y167" s="49"/>
      <c r="Z167" s="49"/>
      <c r="AA167" s="49"/>
      <c r="AC167" s="72">
        <f ca="1">AC126/Statement!AC26</f>
        <v>19.341666666666665</v>
      </c>
    </row>
    <row r="168" spans="2:29" x14ac:dyDescent="0.2">
      <c r="B168" s="20" t="s">
        <v>243</v>
      </c>
      <c r="M168" s="72">
        <f>M126/(Statement!M5/Statement!M22)</f>
        <v>17.03343197885799</v>
      </c>
      <c r="N168" s="72">
        <f>N126/(Statement!N5/Statement!N22)</f>
        <v>7.5428149003241138</v>
      </c>
      <c r="O168" s="72">
        <f>O126/(Statement!O5/Statement!O22)</f>
        <v>11.921699837623619</v>
      </c>
      <c r="P168" s="72">
        <f>P126/(Statement!P5/Statement!P22)</f>
        <v>5.7103089537122012</v>
      </c>
      <c r="Q168" s="72">
        <f>Q126/(Statement!Q5/Statement!Q22)</f>
        <v>4.2592243004348767</v>
      </c>
      <c r="T168" s="49"/>
      <c r="U168" s="49"/>
      <c r="V168" s="49"/>
      <c r="W168" s="49"/>
      <c r="X168" s="49"/>
      <c r="Y168" s="49"/>
      <c r="Z168" s="49"/>
      <c r="AA168" s="49"/>
      <c r="AC168" s="72">
        <f ca="1">AC126/(Statement!AC5/Statement!AC22)</f>
        <v>3.7385864220877458</v>
      </c>
    </row>
    <row r="169" spans="2:29" x14ac:dyDescent="0.2">
      <c r="B169" s="20" t="s">
        <v>290</v>
      </c>
      <c r="M169" s="72">
        <f>M126/(Statement!M48/Statement!M74)</f>
        <v>9.4291282297830765</v>
      </c>
      <c r="N169" s="72">
        <f>N126/(Statement!N48/Statement!N74)</f>
        <v>4.2296795940750709</v>
      </c>
      <c r="O169" s="72">
        <f>O126/(Statement!O48/Statement!O74)</f>
        <v>6.731246372972957</v>
      </c>
      <c r="P169" s="72">
        <f>P126/(Statement!P48/Statement!P74)</f>
        <v>4.3563406007925183</v>
      </c>
      <c r="Q169" s="72">
        <f>Q126/(Statement!Q48/Statement!Q74)</f>
        <v>3.1673000839820857</v>
      </c>
      <c r="T169" s="49"/>
      <c r="U169" s="49"/>
      <c r="V169" s="49"/>
      <c r="W169" s="49"/>
      <c r="X169" s="49"/>
      <c r="Y169" s="49"/>
      <c r="Z169" s="49"/>
      <c r="AA169" s="49"/>
      <c r="AC169" s="72">
        <f ca="1">AC126/(Statement!AC48/Statement!AC74)</f>
        <v>3.1950744285890704</v>
      </c>
    </row>
    <row r="170" spans="2:29" x14ac:dyDescent="0.2">
      <c r="B170" s="20" t="s">
        <v>291</v>
      </c>
      <c r="M170" s="165">
        <f>Statement!M126*Statement!M77</f>
        <v>18122001.84</v>
      </c>
      <c r="N170" s="165">
        <f>Statement!N126*Statement!N77</f>
        <v>8121653.1100000003</v>
      </c>
      <c r="O170" s="165">
        <f>Statement!O126*Statement!O77</f>
        <v>13570960.050000001</v>
      </c>
      <c r="P170" s="165">
        <f>Statement!P126*Statement!P77</f>
        <v>8040767.9400000004</v>
      </c>
      <c r="Q170" s="165">
        <f>Statement!Q126*Statement!Q77</f>
        <v>6680971.6299999999</v>
      </c>
      <c r="T170" s="49"/>
      <c r="U170" s="49"/>
      <c r="V170" s="49"/>
      <c r="W170" s="49"/>
      <c r="X170" s="49"/>
      <c r="Y170" s="49"/>
      <c r="Z170" s="49"/>
      <c r="AA170" s="49"/>
      <c r="AC170" s="165">
        <f ca="1">Statement!AC126*Statement!AC77</f>
        <v>6129250.3799999999</v>
      </c>
    </row>
    <row r="171" spans="2:29" x14ac:dyDescent="0.2">
      <c r="B171" s="20" t="s">
        <v>230</v>
      </c>
      <c r="M171" s="165">
        <f>M170+M117-M116+M47+M44</f>
        <v>16256861.84</v>
      </c>
      <c r="N171" s="165">
        <f>N170+N117-N116+N47+N44</f>
        <v>6364760.1100000003</v>
      </c>
      <c r="O171" s="165">
        <f>O170+O117-O116+O47+O44</f>
        <v>11691137.050000001</v>
      </c>
      <c r="P171" s="165">
        <f>P170+P117-P116+P47+P44</f>
        <v>6411249.9400000004</v>
      </c>
      <c r="Q171" s="165">
        <f>Q170+Q117-Q116+Q47+Q44</f>
        <v>5208485.63</v>
      </c>
      <c r="T171" s="49"/>
      <c r="U171" s="49"/>
      <c r="V171" s="49"/>
      <c r="W171" s="49"/>
      <c r="X171" s="49"/>
      <c r="Y171" s="49"/>
      <c r="Z171" s="49"/>
      <c r="AA171" s="49"/>
      <c r="AC171" s="165">
        <f ca="1">AC170+AC117-AC116+AC47+AC44</f>
        <v>4822006.38</v>
      </c>
    </row>
    <row r="172" spans="2:29" x14ac:dyDescent="0.2">
      <c r="B172" s="20" t="s">
        <v>312</v>
      </c>
      <c r="M172" s="207">
        <f>M171/M5</f>
        <v>18.220034071092023</v>
      </c>
      <c r="N172" s="207">
        <f>N171/N5</f>
        <v>6.012539531693843</v>
      </c>
      <c r="O172" s="207">
        <f>O171/O5</f>
        <v>8.9376861900568176</v>
      </c>
      <c r="P172" s="207">
        <f>P171/P5</f>
        <v>4.4844452542695352</v>
      </c>
      <c r="Q172" s="207">
        <f>Q171/Q5</f>
        <v>3.2339352913126516</v>
      </c>
      <c r="T172" s="49"/>
      <c r="U172" s="49"/>
      <c r="V172" s="49"/>
      <c r="W172" s="49"/>
      <c r="X172" s="49"/>
      <c r="Y172" s="49"/>
      <c r="Z172" s="49"/>
      <c r="AA172" s="49"/>
      <c r="AC172" s="207">
        <f ca="1">AC171/AC5</f>
        <v>2.8834060143631937</v>
      </c>
    </row>
    <row r="173" spans="2:29" x14ac:dyDescent="0.2">
      <c r="B173" s="20" t="s">
        <v>246</v>
      </c>
      <c r="M173" s="207">
        <f>M171/M12</f>
        <v>-32.452323883212962</v>
      </c>
      <c r="N173" s="207">
        <f>N171/N12</f>
        <v>-18.274679240732393</v>
      </c>
      <c r="O173" s="207">
        <f>O171/O12</f>
        <v>-70.97581987615348</v>
      </c>
      <c r="P173" s="207">
        <f>P171/P12</f>
        <v>-39.437100185152154</v>
      </c>
      <c r="Q173" s="207">
        <f>Q171/Q12</f>
        <v>91.763312720225514</v>
      </c>
      <c r="T173" s="49"/>
      <c r="U173" s="49"/>
      <c r="V173" s="49"/>
      <c r="W173" s="49"/>
      <c r="X173" s="49"/>
      <c r="Y173" s="49"/>
      <c r="Z173" s="49"/>
      <c r="AA173" s="49"/>
      <c r="AC173" s="207">
        <f ca="1">AC171/AC12</f>
        <v>47.667596358208364</v>
      </c>
    </row>
    <row r="174" spans="2:29" x14ac:dyDescent="0.2">
      <c r="B174" s="20" t="s">
        <v>313</v>
      </c>
      <c r="M174" s="64">
        <f>M58-M53+M119+M64</f>
        <v>-582375</v>
      </c>
      <c r="N174" s="64">
        <f>N58-N53+N119+N64</f>
        <v>-403636</v>
      </c>
      <c r="O174" s="64">
        <f>O58-O53+O119+O64</f>
        <v>-80215</v>
      </c>
      <c r="P174" s="64">
        <f>P58-P53+P119+P64</f>
        <v>-52509</v>
      </c>
      <c r="Q174" s="64">
        <f>Q58-Q53+Q119+Q64</f>
        <v>61484</v>
      </c>
      <c r="T174" s="64">
        <f>T58-T53+T119+T64</f>
        <v>-49347</v>
      </c>
      <c r="U174" s="64">
        <f t="shared" ref="U174:AA174" si="114">U58-U53+U119+U64</f>
        <v>-64293</v>
      </c>
      <c r="V174" s="64">
        <f t="shared" si="114"/>
        <v>0</v>
      </c>
      <c r="W174" s="64">
        <f t="shared" si="114"/>
        <v>29809</v>
      </c>
      <c r="X174" s="64">
        <f t="shared" si="114"/>
        <v>-36419</v>
      </c>
      <c r="Y174" s="64">
        <f t="shared" si="114"/>
        <v>-46368</v>
      </c>
      <c r="Z174" s="64">
        <f t="shared" si="114"/>
        <v>114462</v>
      </c>
      <c r="AA174" s="64">
        <f t="shared" si="114"/>
        <v>75934</v>
      </c>
      <c r="AC174" s="64">
        <f>AC58-AC53+AC119+AC64</f>
        <v>107609</v>
      </c>
    </row>
    <row r="175" spans="2:29" x14ac:dyDescent="0.2">
      <c r="B175" s="20" t="s">
        <v>314</v>
      </c>
      <c r="M175" s="64">
        <f t="shared" ref="M175:P175" si="115">M118+M52+M119+M54+M56+M57+M55</f>
        <v>-603972</v>
      </c>
      <c r="N175" s="64">
        <f t="shared" si="115"/>
        <v>-500062</v>
      </c>
      <c r="O175" s="64">
        <f t="shared" si="115"/>
        <v>-216393</v>
      </c>
      <c r="P175" s="64">
        <f t="shared" si="115"/>
        <v>-202032</v>
      </c>
      <c r="Q175" s="64">
        <f>Q118+Q52+Q119+Q54+Q56+Q57+Q55</f>
        <v>-94526</v>
      </c>
      <c r="T175" s="49"/>
      <c r="U175" s="49"/>
      <c r="V175" s="49"/>
      <c r="W175" s="49"/>
      <c r="X175" s="49"/>
      <c r="Y175" s="49"/>
      <c r="Z175" s="49"/>
      <c r="AA175" s="49"/>
      <c r="AC175" s="64">
        <f>AC118+AC52+AC119+AC54+AC56+AC57</f>
        <v>-54235</v>
      </c>
    </row>
    <row r="176" spans="2:29" x14ac:dyDescent="0.2">
      <c r="B176" s="20" t="s">
        <v>315</v>
      </c>
      <c r="M176" s="72">
        <f>M170/M174</f>
        <v>-31.117410328396652</v>
      </c>
      <c r="N176" s="72">
        <f t="shared" ref="N176:Q176" si="116">N170/N174</f>
        <v>-20.121230787144853</v>
      </c>
      <c r="O176" s="72">
        <f t="shared" si="116"/>
        <v>-169.18232313158387</v>
      </c>
      <c r="P176" s="72">
        <f t="shared" si="116"/>
        <v>-153.13123350282808</v>
      </c>
      <c r="Q176" s="72">
        <f t="shared" si="116"/>
        <v>108.6619548175135</v>
      </c>
      <c r="T176" s="49"/>
      <c r="U176" s="49"/>
      <c r="V176" s="49"/>
      <c r="W176" s="49"/>
      <c r="X176" s="49"/>
      <c r="Y176" s="49"/>
      <c r="Z176" s="49"/>
      <c r="AA176" s="49"/>
      <c r="AC176" s="72">
        <f t="shared" ref="AC176:AC177" ca="1" si="117">AC170/AC174</f>
        <v>56.958529305169641</v>
      </c>
    </row>
    <row r="177" spans="2:29" x14ac:dyDescent="0.2">
      <c r="B177" s="20" t="s">
        <v>316</v>
      </c>
      <c r="M177" s="72">
        <f>M171/M175</f>
        <v>-26.916581960753149</v>
      </c>
      <c r="N177" s="72">
        <f t="shared" ref="N177:Q177" si="118">N171/N175</f>
        <v>-12.727941955197556</v>
      </c>
      <c r="O177" s="72">
        <f t="shared" si="118"/>
        <v>-54.027334756669582</v>
      </c>
      <c r="P177" s="72">
        <f t="shared" si="118"/>
        <v>-31.733833947097491</v>
      </c>
      <c r="Q177" s="72">
        <f t="shared" si="118"/>
        <v>-55.101089964665803</v>
      </c>
      <c r="T177" s="49"/>
      <c r="U177" s="49"/>
      <c r="V177" s="49"/>
      <c r="W177" s="49"/>
      <c r="X177" s="49"/>
      <c r="Y177" s="49"/>
      <c r="Z177" s="49"/>
      <c r="AA177" s="49"/>
      <c r="AC177" s="72">
        <f t="shared" ca="1" si="117"/>
        <v>-88.909493500507054</v>
      </c>
    </row>
    <row r="178" spans="2:29" x14ac:dyDescent="0.2">
      <c r="B178" s="20" t="s">
        <v>317</v>
      </c>
      <c r="M178" s="74">
        <f>M174/M170</f>
        <v>-3.2136350340421331E-2</v>
      </c>
      <c r="N178" s="74">
        <f t="shared" ref="N178:Q178" si="119">N174/N170</f>
        <v>-4.9698749076467263E-2</v>
      </c>
      <c r="O178" s="74">
        <f t="shared" si="119"/>
        <v>-5.9107830031523813E-3</v>
      </c>
      <c r="P178" s="74">
        <f t="shared" si="119"/>
        <v>-6.5303464037043202E-3</v>
      </c>
      <c r="Q178" s="74">
        <f t="shared" si="119"/>
        <v>9.2028530287292954E-3</v>
      </c>
      <c r="T178" s="49"/>
      <c r="U178" s="49"/>
      <c r="V178" s="49"/>
      <c r="W178" s="49"/>
      <c r="X178" s="49"/>
      <c r="Y178" s="49"/>
      <c r="Z178" s="49"/>
      <c r="AA178" s="49"/>
      <c r="AC178" s="74">
        <f t="shared" ref="AC178" ca="1" si="120">AC174/AC170</f>
        <v>1.7556633083734459E-2</v>
      </c>
    </row>
    <row r="179" spans="2:29" x14ac:dyDescent="0.2">
      <c r="B179" s="20" t="s">
        <v>318</v>
      </c>
      <c r="M179" s="74">
        <f>M26/M126</f>
        <v>-3.4699371821717021E-2</v>
      </c>
      <c r="N179" s="74">
        <f t="shared" ref="N179:Q179" si="121">N26/N126</f>
        <v>-4.1180507892930679E-2</v>
      </c>
      <c r="O179" s="74">
        <f t="shared" si="121"/>
        <v>-6.7085953878406705E-3</v>
      </c>
      <c r="P179" s="74">
        <f t="shared" si="121"/>
        <v>-8.9163237311385458E-3</v>
      </c>
      <c r="Q179" s="74">
        <f t="shared" si="121"/>
        <v>4.1302621127879274E-2</v>
      </c>
      <c r="T179" s="49"/>
      <c r="U179" s="49"/>
      <c r="V179" s="49"/>
      <c r="W179" s="49"/>
      <c r="X179" s="49"/>
      <c r="Y179" s="49"/>
      <c r="Z179" s="49"/>
      <c r="AA179" s="49"/>
      <c r="AC179" s="74">
        <f t="shared" ref="AC179" ca="1" si="122">AC26/AC126</f>
        <v>5.1701852649719951E-2</v>
      </c>
    </row>
    <row r="180" spans="2:29" x14ac:dyDescent="0.2">
      <c r="B180" s="20" t="s">
        <v>319</v>
      </c>
      <c r="M180" s="176">
        <f>M81/M126</f>
        <v>0</v>
      </c>
      <c r="N180" s="176">
        <f t="shared" ref="N180:Q180" si="123">N81/N126</f>
        <v>0</v>
      </c>
      <c r="O180" s="176">
        <f t="shared" si="123"/>
        <v>0</v>
      </c>
      <c r="P180" s="176">
        <f t="shared" si="123"/>
        <v>0</v>
      </c>
      <c r="Q180" s="176">
        <f t="shared" si="123"/>
        <v>0</v>
      </c>
      <c r="T180" s="49"/>
      <c r="U180" s="49"/>
      <c r="V180" s="49"/>
      <c r="W180" s="49"/>
      <c r="X180" s="49"/>
      <c r="Y180" s="49"/>
      <c r="Z180" s="49"/>
      <c r="AA180" s="49"/>
      <c r="AC180" s="176">
        <f t="shared" ref="AC180" ca="1" si="124">AC81/AC126</f>
        <v>0</v>
      </c>
    </row>
    <row r="181" spans="2:29" x14ac:dyDescent="0.2">
      <c r="B181" s="20" t="s">
        <v>345</v>
      </c>
      <c r="M181" s="176">
        <f>-M62/M170</f>
        <v>0</v>
      </c>
      <c r="N181" s="176">
        <f>-N62/N170</f>
        <v>0</v>
      </c>
      <c r="O181" s="176">
        <f>-O62/O170</f>
        <v>7.5613663014209515E-3</v>
      </c>
      <c r="P181" s="176">
        <f>-P62/P170</f>
        <v>4.8596228981581578E-2</v>
      </c>
      <c r="Q181" s="176">
        <f>-Q62/Q170</f>
        <v>4.9259451802222368E-2</v>
      </c>
      <c r="T181" s="49"/>
      <c r="U181" s="49"/>
      <c r="V181" s="49"/>
      <c r="W181" s="49"/>
      <c r="X181" s="49"/>
      <c r="Y181" s="49"/>
      <c r="Z181" s="49"/>
      <c r="AA181" s="49"/>
      <c r="AC181" s="176">
        <f ca="1">-AC62/AC170</f>
        <v>5.6348163084830614E-2</v>
      </c>
    </row>
    <row r="182" spans="2:29" x14ac:dyDescent="0.2">
      <c r="B182" s="20" t="s">
        <v>347</v>
      </c>
      <c r="M182" s="176">
        <f>-(M62+M63)/M170</f>
        <v>0</v>
      </c>
      <c r="N182" s="176">
        <f>-(N62+N63)/N170</f>
        <v>0</v>
      </c>
      <c r="O182" s="176">
        <f>-(O62+O63)/O170</f>
        <v>7.5613663014209515E-3</v>
      </c>
      <c r="P182" s="176">
        <f>-(P62+P63)/P170</f>
        <v>4.8596228981581578E-2</v>
      </c>
      <c r="Q182" s="176">
        <f>-(Q62+Q63)/Q170</f>
        <v>4.9259451802222368E-2</v>
      </c>
      <c r="T182" s="49"/>
      <c r="U182" s="49"/>
      <c r="V182" s="49"/>
      <c r="W182" s="49"/>
      <c r="X182" s="49"/>
      <c r="Y182" s="49"/>
      <c r="Z182" s="49"/>
      <c r="AA182" s="49"/>
      <c r="AC182" s="176">
        <f ca="1">-(AC62+AC63)/AC170</f>
        <v>5.6348163084830614E-2</v>
      </c>
    </row>
    <row r="183" spans="2:29" x14ac:dyDescent="0.2">
      <c r="B183" s="20" t="s">
        <v>320</v>
      </c>
      <c r="M183" s="72">
        <f>M175/M5</f>
        <v>-0.67690742077350341</v>
      </c>
      <c r="N183" s="72">
        <f>N175/N5</f>
        <v>-0.47238898109828159</v>
      </c>
      <c r="O183" s="72">
        <f>O175/O5</f>
        <v>-0.16542896721281397</v>
      </c>
      <c r="P183" s="72">
        <f>P175/P5</f>
        <v>-0.14131432280591805</v>
      </c>
      <c r="Q183" s="72">
        <f>Q175/Q5</f>
        <v>-5.8690949550842808E-2</v>
      </c>
      <c r="T183" s="49"/>
      <c r="U183" s="49"/>
      <c r="V183" s="49"/>
      <c r="W183" s="49"/>
      <c r="X183" s="49"/>
      <c r="Y183" s="49"/>
      <c r="Z183" s="49"/>
      <c r="AA183" s="49"/>
      <c r="AC183" s="72">
        <f>AC175/AC5</f>
        <v>-3.2430800141120472E-2</v>
      </c>
    </row>
    <row r="184" spans="2:29" x14ac:dyDescent="0.2">
      <c r="B184" s="20" t="s">
        <v>323</v>
      </c>
      <c r="M184" s="176">
        <f>-M63/M174</f>
        <v>0</v>
      </c>
      <c r="N184" s="176">
        <f>-N63/N174</f>
        <v>0</v>
      </c>
      <c r="O184" s="176">
        <f>-O63/O174</f>
        <v>0</v>
      </c>
      <c r="P184" s="176">
        <f>-P63/P174</f>
        <v>0</v>
      </c>
      <c r="Q184" s="176">
        <f>-Q63/Q174</f>
        <v>0</v>
      </c>
      <c r="T184" s="49"/>
      <c r="U184" s="49"/>
      <c r="V184" s="49"/>
      <c r="W184" s="49"/>
      <c r="X184" s="49"/>
      <c r="Y184" s="49"/>
      <c r="Z184" s="49"/>
      <c r="AA184" s="49"/>
      <c r="AC184" s="176">
        <f>-AC63/AC174</f>
        <v>0</v>
      </c>
    </row>
    <row r="185" spans="2:29" x14ac:dyDescent="0.2">
      <c r="B185" s="20" t="s">
        <v>325</v>
      </c>
      <c r="M185" s="176">
        <f>-M62/M174</f>
        <v>0</v>
      </c>
      <c r="N185" s="176">
        <f>-N62/N174</f>
        <v>0</v>
      </c>
      <c r="O185" s="176">
        <f>-O62/O174</f>
        <v>-1.2792495169232687</v>
      </c>
      <c r="P185" s="176">
        <f>-P62/P174</f>
        <v>-7.44160048753547</v>
      </c>
      <c r="Q185" s="176">
        <f>-Q62/Q174</f>
        <v>5.3526283260685705</v>
      </c>
      <c r="T185" s="49"/>
      <c r="U185" s="49"/>
      <c r="V185" s="49"/>
      <c r="W185" s="49"/>
      <c r="X185" s="49"/>
      <c r="Y185" s="49"/>
      <c r="Z185" s="49"/>
      <c r="AA185" s="49"/>
      <c r="AC185" s="176">
        <f>-AC62/AC174</f>
        <v>3.2095084983598028</v>
      </c>
    </row>
    <row r="186" spans="2:29" x14ac:dyDescent="0.2">
      <c r="B186" s="20" t="s">
        <v>336</v>
      </c>
      <c r="M186" s="176">
        <f>(-M63-M62)/M174</f>
        <v>0</v>
      </c>
      <c r="N186" s="176">
        <f>(-N63-N62)/N174</f>
        <v>0</v>
      </c>
      <c r="O186" s="176">
        <f>(-O63-O62)/O174</f>
        <v>-1.2792495169232687</v>
      </c>
      <c r="P186" s="176">
        <f>(-P63-P62)/P174</f>
        <v>-7.44160048753547</v>
      </c>
      <c r="Q186" s="176">
        <f>(-Q63-Q62)/Q174</f>
        <v>5.3526283260685705</v>
      </c>
      <c r="T186" s="49"/>
      <c r="U186" s="49"/>
      <c r="V186" s="49"/>
      <c r="W186" s="49"/>
      <c r="X186" s="49"/>
      <c r="Y186" s="49"/>
      <c r="Z186" s="49"/>
      <c r="AA186" s="49"/>
      <c r="AC186" s="176">
        <f>(-AC63-AC62)/AC174</f>
        <v>3.2095084983598028</v>
      </c>
    </row>
    <row r="187" spans="2:29" x14ac:dyDescent="0.2">
      <c r="B187" s="20" t="s">
        <v>330</v>
      </c>
      <c r="M187" s="176">
        <f>M79/M77</f>
        <v>0.32041292188722126</v>
      </c>
      <c r="N187" s="176">
        <f>N79/N77</f>
        <v>0.31207180184527727</v>
      </c>
      <c r="O187" s="176">
        <f>O79/O77</f>
        <v>0.22510733498180183</v>
      </c>
      <c r="P187" s="176">
        <f>P79/P77</f>
        <v>0.22494029842627195</v>
      </c>
      <c r="Q187" s="176">
        <f>Q79/Q77</f>
        <v>0.22012147206199109</v>
      </c>
      <c r="T187" s="49"/>
      <c r="U187" s="49"/>
      <c r="V187" s="49"/>
      <c r="W187" s="49"/>
      <c r="X187" s="49"/>
      <c r="Y187" s="49"/>
      <c r="Z187" s="49"/>
      <c r="AA187" s="49"/>
      <c r="AC187" s="176">
        <f>AC79/AC77</f>
        <v>0.22116382280992736</v>
      </c>
    </row>
    <row r="188" spans="2:29" x14ac:dyDescent="0.2">
      <c r="B188" s="20" t="s">
        <v>331</v>
      </c>
      <c r="M188" s="72">
        <f>M116/M74</f>
        <v>3.4406590811823912</v>
      </c>
      <c r="N188" s="72">
        <f>N116/N74</f>
        <v>3.1518128961309455</v>
      </c>
      <c r="O188" s="72">
        <f>O116/O74</f>
        <v>3.3036556282545391</v>
      </c>
      <c r="P188" s="72">
        <f>P116/P74</f>
        <v>2.9547392260645196</v>
      </c>
      <c r="Q188" s="72">
        <f>Q116/Q74</f>
        <v>2.8105061440443424</v>
      </c>
      <c r="T188" s="72">
        <f t="shared" ref="T188:AA188" si="125">T116/T74</f>
        <v>3.1700129828095962</v>
      </c>
      <c r="U188" s="72">
        <f t="shared" si="125"/>
        <v>2.8548832876333474</v>
      </c>
      <c r="V188" s="72">
        <f t="shared" si="125"/>
        <v>2.9547392260645196</v>
      </c>
      <c r="W188" s="72">
        <f t="shared" si="125"/>
        <v>2.90639187049916</v>
      </c>
      <c r="X188" s="72">
        <f t="shared" si="125"/>
        <v>2.7258512829976911</v>
      </c>
      <c r="Y188" s="72">
        <f t="shared" si="125"/>
        <v>2.6146535764375876</v>
      </c>
      <c r="Z188" s="72">
        <f t="shared" si="125"/>
        <v>2.8105061440443424</v>
      </c>
      <c r="AA188" s="72">
        <f t="shared" si="125"/>
        <v>2.4951118677971147</v>
      </c>
      <c r="AC188" s="72">
        <f>AC116/AC74</f>
        <v>2.4951118677971147</v>
      </c>
    </row>
    <row r="189" spans="2:29" x14ac:dyDescent="0.2">
      <c r="B189" s="20" t="s">
        <v>333</v>
      </c>
      <c r="M189" s="176">
        <f>M53/M58</f>
        <v>-9.3805469133780903</v>
      </c>
      <c r="N189" s="176">
        <f>N53/N58</f>
        <v>-37.054403366396151</v>
      </c>
      <c r="O189" s="176">
        <f>O53/O58</f>
        <v>1.243655586093446</v>
      </c>
      <c r="P189" s="176">
        <f>P53/P58</f>
        <v>1.1172492318250589</v>
      </c>
      <c r="Q189" s="176">
        <f>Q53/Q58</f>
        <v>0.78305424452059225</v>
      </c>
      <c r="T189" s="176">
        <f t="shared" ref="T189:AA189" si="126">T53/T58</f>
        <v>2.0334871485250994</v>
      </c>
      <c r="U189" s="176">
        <f t="shared" si="126"/>
        <v>3.1167794798717492</v>
      </c>
      <c r="V189" s="176" t="e">
        <f t="shared" si="126"/>
        <v>#DIV/0!</v>
      </c>
      <c r="W189" s="176">
        <f t="shared" si="126"/>
        <v>0.6416782911211576</v>
      </c>
      <c r="X189" s="176">
        <f t="shared" si="126"/>
        <v>1.8757303965181427</v>
      </c>
      <c r="Y189" s="176">
        <f t="shared" si="126"/>
        <v>2.5282091188850764</v>
      </c>
      <c r="Z189" s="176">
        <f t="shared" si="126"/>
        <v>0.35555092460569898</v>
      </c>
      <c r="AA189" s="176">
        <f t="shared" si="126"/>
        <v>0.40408404584318719</v>
      </c>
      <c r="AC189" s="176">
        <f>AC53/AC58</f>
        <v>0.69669698594761198</v>
      </c>
    </row>
    <row r="190" spans="2:29" x14ac:dyDescent="0.2">
      <c r="B190" s="20" t="s">
        <v>334</v>
      </c>
      <c r="M190" s="176">
        <f>M53/M5</f>
        <v>0.57784459995606618</v>
      </c>
      <c r="N190" s="176">
        <f>N53/N5</f>
        <v>0.3493733592422309</v>
      </c>
      <c r="O190" s="176">
        <f>O53/O5</f>
        <v>0.28435361356255617</v>
      </c>
      <c r="P190" s="176">
        <f>P53/P5</f>
        <v>0.25051410681111086</v>
      </c>
      <c r="Q190" s="176">
        <f>Q53/Q5</f>
        <v>0.18047997854178516</v>
      </c>
      <c r="T190" s="176">
        <f t="shared" ref="T190:AA190" si="127">T53/T5</f>
        <v>0.29819479973312507</v>
      </c>
      <c r="U190" s="176">
        <f t="shared" si="127"/>
        <v>0.24668619749445234</v>
      </c>
      <c r="V190" s="176">
        <f t="shared" si="127"/>
        <v>0</v>
      </c>
      <c r="W190" s="176">
        <f t="shared" si="127"/>
        <v>0.21412187626183318</v>
      </c>
      <c r="X190" s="176">
        <f t="shared" si="127"/>
        <v>0.21564822186836519</v>
      </c>
      <c r="Y190" s="176">
        <f t="shared" si="127"/>
        <v>0.17385730930425455</v>
      </c>
      <c r="Z190" s="176">
        <f t="shared" si="127"/>
        <v>0.13476004298420102</v>
      </c>
      <c r="AA190" s="176">
        <f t="shared" si="127"/>
        <v>0.1274194396508454</v>
      </c>
      <c r="AC190" s="176">
        <f>AC53/AC5</f>
        <v>0.16003121393504871</v>
      </c>
    </row>
    <row r="191" spans="2:29" x14ac:dyDescent="0.2">
      <c r="B191" s="20" t="s">
        <v>339</v>
      </c>
      <c r="M191" s="72">
        <f>(M116-M117)/M74</f>
        <v>3.4406590811823912</v>
      </c>
      <c r="N191" s="72">
        <f>(N116-N117)/N74</f>
        <v>3.1518128961309455</v>
      </c>
      <c r="O191" s="72">
        <f>(O116-O117)/O74</f>
        <v>3.3036556282545391</v>
      </c>
      <c r="P191" s="72">
        <f>(P116-P117)/P74</f>
        <v>2.9547392260645196</v>
      </c>
      <c r="Q191" s="72">
        <f>(Q116-Q117)/Q74</f>
        <v>2.8105061440443424</v>
      </c>
      <c r="T191" s="72">
        <f t="shared" ref="T191:AA191" si="128">(T116-T117)/T74</f>
        <v>3.1700129828095962</v>
      </c>
      <c r="U191" s="72">
        <f t="shared" si="128"/>
        <v>2.8548832876333474</v>
      </c>
      <c r="V191" s="72">
        <f t="shared" si="128"/>
        <v>2.9547392260645196</v>
      </c>
      <c r="W191" s="72">
        <f t="shared" si="128"/>
        <v>2.90639187049916</v>
      </c>
      <c r="X191" s="72">
        <f t="shared" si="128"/>
        <v>2.7258512829976911</v>
      </c>
      <c r="Y191" s="72">
        <f t="shared" si="128"/>
        <v>2.6146535764375876</v>
      </c>
      <c r="Z191" s="72">
        <f t="shared" si="128"/>
        <v>2.8105061440443424</v>
      </c>
      <c r="AA191" s="72">
        <f t="shared" si="128"/>
        <v>2.4951118677971147</v>
      </c>
      <c r="AC191" s="72">
        <f>(AC116-AC117)/AC74</f>
        <v>2.4951118677971147</v>
      </c>
    </row>
    <row r="192" spans="2:29" x14ac:dyDescent="0.2">
      <c r="B192" s="20" t="s">
        <v>344</v>
      </c>
      <c r="M192" s="176">
        <f>(M116-M117)/M170</f>
        <v>0.10292130066354745</v>
      </c>
      <c r="N192" s="176">
        <f>(N116-N117)/N170</f>
        <v>0.21632209307693517</v>
      </c>
      <c r="O192" s="176">
        <f>(O116-O117)/O170</f>
        <v>0.1385180556920142</v>
      </c>
      <c r="P192" s="176">
        <f>(P116-P117)/P170</f>
        <v>0.20265701138988473</v>
      </c>
      <c r="Q192" s="176">
        <f>(Q116-Q117)/Q170</f>
        <v>0.22039997795949329</v>
      </c>
      <c r="T192" s="49"/>
      <c r="U192" s="49"/>
      <c r="V192" s="49"/>
      <c r="W192" s="49"/>
      <c r="X192" s="49"/>
      <c r="Y192" s="49"/>
      <c r="Z192" s="49"/>
      <c r="AA192" s="49"/>
      <c r="AC192" s="176">
        <f ca="1">(AC116-AC117)/AC170</f>
        <v>0.21327958868601482</v>
      </c>
    </row>
    <row r="193" spans="2:29" x14ac:dyDescent="0.2">
      <c r="B193" s="20" t="s">
        <v>353</v>
      </c>
      <c r="M193" s="176">
        <f>-M119/M5</f>
        <v>1.325746537973577E-2</v>
      </c>
      <c r="N193" s="176">
        <f>-N119/N5</f>
        <v>2.2497097529617479E-2</v>
      </c>
      <c r="O193" s="176">
        <f>-O119/O5</f>
        <v>5.6128408833764501E-3</v>
      </c>
      <c r="P193" s="176">
        <f>-P119/P5</f>
        <v>1.0438116928173332E-2</v>
      </c>
      <c r="Q193" s="176">
        <f>-Q119/Q5</f>
        <v>1.1826854061786744E-2</v>
      </c>
      <c r="T193" s="176">
        <f t="shared" ref="T193:AA193" si="129">-T119/T5</f>
        <v>4.4837519327879894E-3</v>
      </c>
      <c r="U193" s="176">
        <f t="shared" si="129"/>
        <v>1.3745830431435797E-2</v>
      </c>
      <c r="V193" s="176">
        <f t="shared" si="129"/>
        <v>0</v>
      </c>
      <c r="W193" s="176">
        <f t="shared" si="129"/>
        <v>3.5981874467225984E-2</v>
      </c>
      <c r="X193" s="176">
        <f t="shared" si="129"/>
        <v>0</v>
      </c>
      <c r="Y193" s="176">
        <f t="shared" si="129"/>
        <v>7.6961808553852587E-3</v>
      </c>
      <c r="Z193" s="176">
        <f t="shared" si="129"/>
        <v>6.3437031679023587E-3</v>
      </c>
      <c r="AA193" s="176">
        <f t="shared" si="129"/>
        <v>6.415189946030183E-3</v>
      </c>
      <c r="AC193" s="176">
        <f>-AC119/AC5</f>
        <v>5.3219161289936798E-3</v>
      </c>
    </row>
    <row r="194" spans="2:29" x14ac:dyDescent="0.2">
      <c r="B194" s="20" t="s">
        <v>354</v>
      </c>
      <c r="M194" s="176">
        <f>-(M119/M58)</f>
        <v>-0.21521750996124667</v>
      </c>
      <c r="N194" s="176">
        <f>-(N119/N58)</f>
        <v>-2.3860334635808034</v>
      </c>
      <c r="O194" s="176">
        <f>-(O119/O58)</f>
        <v>2.4548451595214689E-2</v>
      </c>
      <c r="P194" s="176">
        <f>-(P119/P58)</f>
        <v>4.6552181304883568E-2</v>
      </c>
      <c r="Q194" s="176">
        <f>-(Q119/Q58)</f>
        <v>5.1313549276955236E-2</v>
      </c>
      <c r="T194" s="176">
        <f t="shared" ref="T194:AA194" si="130">-(T119/T58)</f>
        <v>3.0576160082801448E-2</v>
      </c>
      <c r="U194" s="176">
        <f t="shared" si="130"/>
        <v>0.17367296045600286</v>
      </c>
      <c r="V194" s="176" t="e">
        <f t="shared" si="130"/>
        <v>#DIV/0!</v>
      </c>
      <c r="W194" s="176">
        <f t="shared" si="130"/>
        <v>0.10783012050217644</v>
      </c>
      <c r="X194" s="176">
        <f t="shared" si="130"/>
        <v>0</v>
      </c>
      <c r="Y194" s="176">
        <f t="shared" si="130"/>
        <v>0.11191680520674896</v>
      </c>
      <c r="Z194" s="176">
        <f t="shared" si="130"/>
        <v>1.6737227718428501E-2</v>
      </c>
      <c r="AA194" s="176">
        <f t="shared" si="130"/>
        <v>2.0344430295312594E-2</v>
      </c>
      <c r="AC194" s="176">
        <f>-(AC119/AC58)</f>
        <v>2.3168998318295178E-2</v>
      </c>
    </row>
    <row r="195" spans="2:29" x14ac:dyDescent="0.2">
      <c r="B195" s="20" t="s">
        <v>355</v>
      </c>
      <c r="M195" s="176">
        <f>-M119/M52</f>
        <v>0.80442026521591292</v>
      </c>
      <c r="N195" s="176">
        <f>-N119/N52</f>
        <v>1.2719649628798804</v>
      </c>
      <c r="O195" s="176">
        <f>-O119/O52</f>
        <v>0.32491038633446917</v>
      </c>
      <c r="P195" s="176">
        <f>-P119/P52</f>
        <v>0.86600510677808729</v>
      </c>
      <c r="Q195" s="176">
        <f>-Q119/Q52</f>
        <v>1.1225175319700631</v>
      </c>
      <c r="T195" s="176">
        <f t="shared" ref="T195:AA195" si="131">-T119/T52</f>
        <v>0.30953940187731938</v>
      </c>
      <c r="U195" s="176">
        <f t="shared" si="131"/>
        <v>1.0752095280105867</v>
      </c>
      <c r="V195" s="176" t="e">
        <f t="shared" si="131"/>
        <v>#DIV/0!</v>
      </c>
      <c r="W195" s="176">
        <f t="shared" si="131"/>
        <v>3.9446664617276359</v>
      </c>
      <c r="X195" s="176">
        <f t="shared" si="131"/>
        <v>0</v>
      </c>
      <c r="Y195" s="176">
        <f t="shared" si="131"/>
        <v>0.7010857522712165</v>
      </c>
      <c r="Z195" s="176">
        <f t="shared" si="131"/>
        <v>0.61371405590187011</v>
      </c>
      <c r="AA195" s="176">
        <f t="shared" si="131"/>
        <v>0.35743774137701423</v>
      </c>
      <c r="AC195" s="176">
        <f>-AC119/AC52</f>
        <v>0.41931684334511188</v>
      </c>
    </row>
    <row r="197" spans="2:29" x14ac:dyDescent="0.2">
      <c r="B197" s="1"/>
    </row>
    <row r="198" spans="2:29" ht="17" thickBot="1" x14ac:dyDescent="0.25">
      <c r="B198" s="14" t="s">
        <v>367</v>
      </c>
      <c r="C198" s="194"/>
      <c r="D198" s="194"/>
      <c r="E198" s="194"/>
      <c r="F198" s="194"/>
      <c r="G198" s="194"/>
      <c r="H198" s="194"/>
      <c r="I198" s="194"/>
      <c r="J198" s="194"/>
      <c r="K198" s="194"/>
      <c r="L198" s="194"/>
      <c r="M198" s="194"/>
      <c r="N198" s="194"/>
      <c r="O198" s="194"/>
      <c r="P198" s="194"/>
      <c r="Q198" s="194"/>
      <c r="T198" s="194"/>
      <c r="U198" s="194"/>
      <c r="V198" s="194"/>
      <c r="W198" s="194"/>
      <c r="X198" s="194"/>
      <c r="Y198" s="194"/>
      <c r="Z198" s="194"/>
      <c r="AA198" s="194"/>
      <c r="AC198" s="194"/>
    </row>
    <row r="199" spans="2:29" x14ac:dyDescent="0.2">
      <c r="B199" s="20" t="s">
        <v>113</v>
      </c>
      <c r="C199" s="81"/>
      <c r="D199" s="81"/>
      <c r="E199" s="81"/>
      <c r="F199" s="81"/>
      <c r="G199" s="81"/>
      <c r="H199" s="81"/>
      <c r="I199" s="81"/>
      <c r="J199" s="81"/>
      <c r="K199" s="81"/>
      <c r="L199" s="81"/>
      <c r="M199" s="81">
        <f>IF(L105=0,
IF(M105=0,0,IF(M105&gt;0,1,-1)),
(M105-L105)/ABS(L105)
)</f>
        <v>1</v>
      </c>
      <c r="N199" s="81">
        <f t="shared" ref="N199:Q199" si="132">IF(M105=0,
IF(N105=0,0,IF(N105&gt;0,1,-1)),
(N105-M105)/ABS(M105)
)</f>
        <v>3.4084087514825716E-2</v>
      </c>
      <c r="O199" s="81">
        <f t="shared" si="132"/>
        <v>0.24818614965570993</v>
      </c>
      <c r="P199" s="81">
        <f t="shared" si="132"/>
        <v>-5.5102093364575021E-2</v>
      </c>
      <c r="Q199" s="81">
        <f t="shared" si="132"/>
        <v>3.2771752459329104E-2</v>
      </c>
      <c r="T199" s="81">
        <f t="shared" ref="T199:T201" si="133">IF(S105=0,
IF(T105=0,0,IF(T105&gt;0,1,-1)),
(T105-S105)/ABS(S105)
)</f>
        <v>1</v>
      </c>
      <c r="U199" s="81">
        <f t="shared" ref="U199:U201" si="134">IF(T105=0,
IF(U105=0,0,IF(U105&gt;0,1,-1)),
(U105-T105)/ABS(T105)
)</f>
        <v>0.22202920241245067</v>
      </c>
      <c r="V199" s="81">
        <f t="shared" ref="V199:V201" si="135">IF(U105=0,
IF(V105=0,0,IF(V105&gt;0,1,-1)),
(V105-U105)/ABS(U105)
)</f>
        <v>0.44057182848061588</v>
      </c>
      <c r="W199" s="81">
        <f t="shared" ref="W199:W201" si="136">IF(V105=0,
IF(W105=0,0,IF(W105&gt;0,1,-1)),
(W105-V105)/ABS(V105)
)</f>
        <v>-0.35080892064632685</v>
      </c>
      <c r="X199" s="81">
        <f t="shared" ref="X199:X201" si="137">IF(W105=0,
IF(X105=0,0,IF(X105&gt;0,1,-1)),
(X105-W105)/ABS(W105)
)</f>
        <v>-0.12569571114540948</v>
      </c>
      <c r="Y199" s="81">
        <f t="shared" ref="Y199:Y201" si="138">IF(X105=0,
IF(Y105=0,0,IF(Y105&gt;0,1,-1)),
(Y105-X105)/ABS(X105)
)</f>
        <v>0.33774663207353717</v>
      </c>
      <c r="Z199" s="81">
        <f t="shared" ref="Z199:Z201" si="139">IF(Y105=0,
IF(Z105=0,0,IF(Z105&gt;0,1,-1)),
(Z105-Y105)/ABS(Y105)
)</f>
        <v>0.43894750171617469</v>
      </c>
      <c r="AA199" s="81">
        <f t="shared" ref="AA199:AA201" si="140">IF(Z105=0,
IF(AA105=0,0,IF(AA105&gt;0,1,-1)),
(AA105-Z105)/ABS(Z105)
)</f>
        <v>-0.30844727286201273</v>
      </c>
      <c r="AC199" s="49"/>
    </row>
    <row r="200" spans="2:29" x14ac:dyDescent="0.2">
      <c r="B200" s="20" t="s">
        <v>114</v>
      </c>
      <c r="M200" s="81">
        <f t="shared" ref="M200:Q200" si="141">IF(L106=0,
IF(M106=0,0,IF(M106&gt;0,1,-1)),
(M106-L106)/ABS(L106)
)</f>
        <v>1</v>
      </c>
      <c r="N200" s="81">
        <f t="shared" si="141"/>
        <v>0.37569180272908909</v>
      </c>
      <c r="O200" s="81">
        <f t="shared" si="141"/>
        <v>0.27729682030883041</v>
      </c>
      <c r="P200" s="81">
        <f t="shared" si="141"/>
        <v>0.23392027917368038</v>
      </c>
      <c r="Q200" s="81">
        <f t="shared" si="141"/>
        <v>0.19019336689332336</v>
      </c>
      <c r="T200" s="81">
        <f t="shared" si="133"/>
        <v>1</v>
      </c>
      <c r="U200" s="81">
        <f t="shared" si="134"/>
        <v>6.292089812146523E-2</v>
      </c>
      <c r="V200" s="81">
        <f t="shared" si="135"/>
        <v>4.0106900184610626E-2</v>
      </c>
      <c r="W200" s="81">
        <f t="shared" si="136"/>
        <v>9.673777187170397E-3</v>
      </c>
      <c r="X200" s="81">
        <f t="shared" si="137"/>
        <v>9.6915367022084364E-2</v>
      </c>
      <c r="Y200" s="81">
        <f t="shared" si="138"/>
        <v>3.8638547089942653E-2</v>
      </c>
      <c r="Z200" s="81">
        <f t="shared" si="139"/>
        <v>1.4783518396594137E-2</v>
      </c>
      <c r="AA200" s="81">
        <f t="shared" si="140"/>
        <v>6.6472159310281692E-3</v>
      </c>
      <c r="AC200" s="49"/>
    </row>
    <row r="201" spans="2:29" x14ac:dyDescent="0.2">
      <c r="B201" s="20" t="s">
        <v>115</v>
      </c>
      <c r="M201" s="81">
        <f t="shared" ref="M201:Q201" si="142">IF(L107=0,
IF(M107=0,0,IF(M107&gt;0,1,-1)),
(M107-L107)/ABS(L107)
)</f>
        <v>1</v>
      </c>
      <c r="N201" s="81">
        <f t="shared" si="142"/>
        <v>0.26768885199472631</v>
      </c>
      <c r="O201" s="81">
        <f t="shared" si="142"/>
        <v>-0.29197642617772812</v>
      </c>
      <c r="P201" s="81">
        <f t="shared" si="142"/>
        <v>0.10317719384146673</v>
      </c>
      <c r="Q201" s="81">
        <f t="shared" si="142"/>
        <v>0.22564418690666996</v>
      </c>
      <c r="T201" s="81">
        <f t="shared" si="133"/>
        <v>1</v>
      </c>
      <c r="U201" s="81">
        <f t="shared" si="134"/>
        <v>0.13163254368099475</v>
      </c>
      <c r="V201" s="81">
        <f t="shared" si="135"/>
        <v>2.4533484891541158E-2</v>
      </c>
      <c r="W201" s="81">
        <f t="shared" si="136"/>
        <v>2.0247781065088757E-2</v>
      </c>
      <c r="X201" s="81">
        <f t="shared" si="137"/>
        <v>1.5314907113729044E-2</v>
      </c>
      <c r="Y201" s="81">
        <f t="shared" si="138"/>
        <v>0.20465905033916459</v>
      </c>
      <c r="Z201" s="81">
        <f t="shared" si="139"/>
        <v>3.5044824775876122E-2</v>
      </c>
      <c r="AA201" s="81">
        <f t="shared" si="140"/>
        <v>0.15748031496062992</v>
      </c>
      <c r="AC201" s="49"/>
    </row>
    <row r="203" spans="2:29" x14ac:dyDescent="0.2">
      <c r="B203" s="1"/>
    </row>
    <row r="204" spans="2:29" ht="17" thickBot="1" x14ac:dyDescent="0.25">
      <c r="B204" s="14" t="s">
        <v>368</v>
      </c>
      <c r="C204" s="194"/>
      <c r="D204" s="194"/>
      <c r="E204" s="194"/>
      <c r="F204" s="194"/>
      <c r="G204" s="194"/>
      <c r="H204" s="194"/>
      <c r="I204" s="194"/>
      <c r="J204" s="194"/>
      <c r="K204" s="194"/>
      <c r="L204" s="194"/>
      <c r="M204" s="194"/>
      <c r="N204" s="194"/>
      <c r="O204" s="194"/>
      <c r="P204" s="194"/>
      <c r="Q204" s="194"/>
      <c r="T204" s="194"/>
      <c r="U204" s="194"/>
      <c r="V204" s="194"/>
      <c r="W204" s="194"/>
      <c r="X204" s="194"/>
      <c r="Y204" s="194"/>
      <c r="Z204" s="194"/>
      <c r="AA204" s="194"/>
      <c r="AC204" s="194"/>
    </row>
    <row r="205" spans="2:29" x14ac:dyDescent="0.2">
      <c r="B205" s="20" t="s">
        <v>337</v>
      </c>
      <c r="C205" s="81"/>
      <c r="D205" s="81"/>
      <c r="E205" s="81"/>
      <c r="F205" s="81"/>
      <c r="G205" s="81"/>
      <c r="H205" s="81"/>
      <c r="I205" s="81"/>
      <c r="J205" s="81"/>
      <c r="K205" s="81"/>
      <c r="L205" s="81"/>
      <c r="M205" s="81">
        <f>IF(L63=0,
IF(M63=0,0,IF(M63&gt;0,1,-1)),
(M63-L63)/L63
)</f>
        <v>0</v>
      </c>
      <c r="N205" s="81">
        <f t="shared" ref="N205:Q205" si="143">IF(M63=0,
IF(N63=0,0,IF(N63&gt;0,1,-1)),
(N63-M63)/M63
)</f>
        <v>0</v>
      </c>
      <c r="O205" s="81">
        <f t="shared" si="143"/>
        <v>0</v>
      </c>
      <c r="P205" s="81">
        <f t="shared" si="143"/>
        <v>0</v>
      </c>
      <c r="Q205" s="81">
        <f t="shared" si="143"/>
        <v>0</v>
      </c>
      <c r="T205" s="49"/>
      <c r="U205" s="49"/>
      <c r="V205" s="49"/>
      <c r="W205" s="49"/>
      <c r="X205" s="49"/>
      <c r="Y205" s="49"/>
      <c r="Z205" s="49"/>
      <c r="AA205" s="49"/>
      <c r="AC205" s="49"/>
    </row>
  </sheetData>
  <pageMargins left="0.7" right="0.7" top="0.75" bottom="0.75" header="0.3" footer="0.3"/>
  <ignoredErrors>
    <ignoredError sqref="AC23 AC80 AC105:AC111 AC65 AC52:AC56 AC58:AC61 AC5:AC19 AC63:AC64" formulaRange="1"/>
    <ignoredError sqref="AC20:AC21 AC24:AC25 AC139" formula="1" formulaRange="1"/>
    <ignoredError sqref="M133:Q13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8" sqref="G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327</v>
      </c>
    </row>
    <row r="4" spans="2:7" x14ac:dyDescent="0.2">
      <c r="B4" s="247" t="s">
        <v>285</v>
      </c>
      <c r="C4" s="247"/>
      <c r="E4" s="247" t="s">
        <v>292</v>
      </c>
      <c r="F4" s="247"/>
      <c r="G4" s="247"/>
    </row>
    <row r="5" spans="2:7" x14ac:dyDescent="0.2">
      <c r="B5" s="20" t="s">
        <v>1</v>
      </c>
      <c r="C5" s="196">
        <f ca="1">Overview!C5</f>
        <v>11.605</v>
      </c>
      <c r="E5" s="12"/>
      <c r="F5" s="153" t="s">
        <v>293</v>
      </c>
      <c r="G5" s="153" t="s">
        <v>294</v>
      </c>
    </row>
    <row r="6" spans="2:7" x14ac:dyDescent="0.2">
      <c r="B6" s="20" t="s">
        <v>291</v>
      </c>
      <c r="C6" s="197">
        <f ca="1">Statement!AC170</f>
        <v>6129250.3799999999</v>
      </c>
      <c r="E6" s="20" t="s">
        <v>20</v>
      </c>
      <c r="F6" s="202">
        <f>IF(Statement!M5&lt;=0,"N/A",_xlfn.RRI(4,Statement!M5,Statement!Q5))</f>
        <v>0.15910599918172563</v>
      </c>
      <c r="G6" s="202" t="str">
        <f>IF(Statement!H5&lt;=0,"N/A",_xlfn.RRI(9,Statement!H5,Statement!Q5))</f>
        <v>N/A</v>
      </c>
    </row>
    <row r="7" spans="2:7" x14ac:dyDescent="0.2">
      <c r="B7" s="20" t="s">
        <v>230</v>
      </c>
      <c r="C7" s="197">
        <f ca="1">Statement!AC171</f>
        <v>4822006.38</v>
      </c>
      <c r="E7" s="20" t="s">
        <v>32</v>
      </c>
      <c r="F7" s="202" t="str">
        <f>IF(OR(Statement!M18&lt;=0, Statement!Q18&lt;=0), "N/A", _xlfn.RRI(4, Statement!M18, Statement!Q18))</f>
        <v>N/A</v>
      </c>
      <c r="G7" s="202" t="str">
        <f>IF(OR(Statement!H18&lt;=0, Statement!Q18&lt;=0), "N/A", _xlfn.RRI(9, Statement!H18, Statement!Q18))</f>
        <v>N/A</v>
      </c>
    </row>
    <row r="8" spans="2:7" x14ac:dyDescent="0.2">
      <c r="B8" s="20" t="s">
        <v>289</v>
      </c>
      <c r="C8" s="198">
        <f ca="1">Statement!AC167</f>
        <v>19.341666666666665</v>
      </c>
      <c r="E8" s="20" t="s">
        <v>295</v>
      </c>
      <c r="F8" s="202" t="str">
        <f>IF(OR(Statement!M26&lt;=0, Statement!Q26&lt;=0), "N/A", _xlfn.RRI(4, Statement!M26, Statement!Q26))</f>
        <v>N/A</v>
      </c>
      <c r="G8" s="202" t="str">
        <f>IF(OR(Statement!H26&lt;=0, Statement!Q26&lt;=0), "N/A", _xlfn.RRI(9, Statement!H26, Statement!Q26))</f>
        <v>N/A</v>
      </c>
    </row>
    <row r="9" spans="2:7" x14ac:dyDescent="0.2">
      <c r="B9" s="20" t="s">
        <v>243</v>
      </c>
      <c r="C9" s="198">
        <f ca="1">Statement!AC168</f>
        <v>3.7385864220877458</v>
      </c>
      <c r="E9" s="20" t="s">
        <v>296</v>
      </c>
      <c r="F9" s="202" t="str">
        <f>IF(Statement!M81&lt;=0,"N/A",_xlfn.RRI(4,Statement!M81,Statement!Q81))</f>
        <v>N/A</v>
      </c>
      <c r="G9" s="202" t="str">
        <f>IF(Statement!H81&lt;=0,"N/A",_xlfn.RRI(9,Statement!H81,Statement!Q81))</f>
        <v>N/A</v>
      </c>
    </row>
    <row r="10" spans="2:7" x14ac:dyDescent="0.2">
      <c r="B10" s="20" t="s">
        <v>290</v>
      </c>
      <c r="C10" s="198">
        <f ca="1">Statement!AC169</f>
        <v>3.1950744285890704</v>
      </c>
      <c r="E10" s="20" t="s">
        <v>1</v>
      </c>
      <c r="F10" s="202">
        <f>IF(Statement!M125&lt;=0,"N/A",_xlfn.RRI(4,Statement!M125,Statement!Q125))</f>
        <v>-0.21662025481427405</v>
      </c>
      <c r="G10" s="202" t="str">
        <f>IF(Statement!H125&lt;=0,"N/A",_xlfn.RRI(9,Statement!H125,Statement!Q125))</f>
        <v>N/A</v>
      </c>
    </row>
    <row r="11" spans="2:7" x14ac:dyDescent="0.2">
      <c r="B11" s="20" t="s">
        <v>312</v>
      </c>
      <c r="C11" s="198">
        <f ca="1">Statement!AC172</f>
        <v>2.8834060143631937</v>
      </c>
    </row>
    <row r="12" spans="2:7" x14ac:dyDescent="0.2">
      <c r="B12" s="20" t="s">
        <v>246</v>
      </c>
      <c r="C12" s="198">
        <f ca="1">Statement!AC173</f>
        <v>47.667596358208364</v>
      </c>
    </row>
    <row r="15" spans="2:7" x14ac:dyDescent="0.2">
      <c r="B15" s="247" t="s">
        <v>78</v>
      </c>
      <c r="C15" s="247"/>
      <c r="E15" s="247" t="s">
        <v>298</v>
      </c>
      <c r="F15" s="247"/>
    </row>
    <row r="16" spans="2:7" x14ac:dyDescent="0.2">
      <c r="B16" s="20" t="s">
        <v>79</v>
      </c>
      <c r="C16" s="199">
        <f>Statement!AC100</f>
        <v>0.83014417010996633</v>
      </c>
      <c r="E16" s="20" t="s">
        <v>32</v>
      </c>
      <c r="F16" s="197">
        <f>Statement!AC18</f>
        <v>327410</v>
      </c>
    </row>
    <row r="17" spans="2:6" x14ac:dyDescent="0.2">
      <c r="B17" s="20" t="s">
        <v>80</v>
      </c>
      <c r="C17" s="199">
        <f>Statement!AC101</f>
        <v>6.0489855471109168E-2</v>
      </c>
      <c r="E17" s="20" t="s">
        <v>299</v>
      </c>
      <c r="F17" s="197">
        <f>Statement!AC58</f>
        <v>384134</v>
      </c>
    </row>
    <row r="18" spans="2:6" x14ac:dyDescent="0.2">
      <c r="B18" s="20" t="s">
        <v>81</v>
      </c>
      <c r="C18" s="199">
        <f>Statement!AC102</f>
        <v>0.19578073705548546</v>
      </c>
      <c r="E18" s="20" t="s">
        <v>306</v>
      </c>
      <c r="F18" s="201">
        <f>IF(OR(F16&lt;=0, F17&lt;=0),"N/A",F16-F17)</f>
        <v>-56724</v>
      </c>
    </row>
    <row r="21" spans="2:6" x14ac:dyDescent="0.2">
      <c r="B21" s="247" t="s">
        <v>297</v>
      </c>
      <c r="C21" s="247"/>
      <c r="E21" s="247" t="s">
        <v>301</v>
      </c>
      <c r="F21" s="247"/>
    </row>
    <row r="22" spans="2:6" x14ac:dyDescent="0.2">
      <c r="B22" s="20" t="s">
        <v>119</v>
      </c>
      <c r="C22" s="199">
        <f>Statement!AC130</f>
        <v>0.19578073705548546</v>
      </c>
      <c r="E22" s="20" t="s">
        <v>121</v>
      </c>
      <c r="F22" s="199">
        <f>C24</f>
        <v>0.1127173202051847</v>
      </c>
    </row>
    <row r="23" spans="2:6" x14ac:dyDescent="0.2">
      <c r="B23" s="20" t="s">
        <v>120</v>
      </c>
      <c r="C23" s="198">
        <f>Statement!AC131</f>
        <v>0.57573243364202842</v>
      </c>
      <c r="E23" s="20" t="s">
        <v>123</v>
      </c>
      <c r="F23" s="199">
        <f>C26</f>
        <v>0.17205256008386913</v>
      </c>
    </row>
    <row r="24" spans="2:6" x14ac:dyDescent="0.2">
      <c r="B24" s="32" t="s">
        <v>121</v>
      </c>
      <c r="C24" s="200">
        <f>Statement!AC132</f>
        <v>0.1127173202051847</v>
      </c>
      <c r="E24" s="20" t="s">
        <v>124</v>
      </c>
      <c r="F24" s="199">
        <f>Statement!AC157</f>
        <v>0.16980935706480046</v>
      </c>
    </row>
    <row r="25" spans="2:6" x14ac:dyDescent="0.2">
      <c r="B25" s="20" t="s">
        <v>122</v>
      </c>
      <c r="C25" s="198">
        <f>Statement!AC133</f>
        <v>1.5264074746513994</v>
      </c>
    </row>
    <row r="26" spans="2:6" x14ac:dyDescent="0.2">
      <c r="B26" s="32" t="s">
        <v>123</v>
      </c>
      <c r="C26" s="200">
        <f>Statement!AC134</f>
        <v>0.17205256008386913</v>
      </c>
    </row>
    <row r="29" spans="2:6" x14ac:dyDescent="0.2">
      <c r="B29" s="247" t="s">
        <v>302</v>
      </c>
      <c r="C29" s="247"/>
      <c r="E29" s="247" t="s">
        <v>308</v>
      </c>
      <c r="F29" s="247"/>
    </row>
    <row r="30" spans="2:6" x14ac:dyDescent="0.2">
      <c r="B30" s="20" t="s">
        <v>180</v>
      </c>
      <c r="C30" s="198">
        <f>Statement!AC158</f>
        <v>65.477289171395597</v>
      </c>
      <c r="E30" s="20" t="s">
        <v>309</v>
      </c>
      <c r="F30" s="204">
        <f>Statement!AC162</f>
        <v>0</v>
      </c>
    </row>
    <row r="31" spans="2:6" x14ac:dyDescent="0.2">
      <c r="B31" s="20" t="s">
        <v>181</v>
      </c>
      <c r="C31" s="198">
        <f>Statement!AC159</f>
        <v>0</v>
      </c>
      <c r="E31" s="20" t="s">
        <v>310</v>
      </c>
      <c r="F31" s="204">
        <f>Statement!AC163</f>
        <v>-0.68695115254353079</v>
      </c>
    </row>
    <row r="32" spans="2:6" x14ac:dyDescent="0.2">
      <c r="B32" s="20" t="s">
        <v>182</v>
      </c>
      <c r="C32" s="198">
        <f>Statement!AC160</f>
        <v>25.312474696801676</v>
      </c>
      <c r="E32" s="20" t="s">
        <v>305</v>
      </c>
      <c r="F32" s="204">
        <f>Statement!AC165</f>
        <v>2.3066495444084523</v>
      </c>
    </row>
    <row r="33" spans="2:6" x14ac:dyDescent="0.2">
      <c r="B33" s="20" t="s">
        <v>183</v>
      </c>
      <c r="C33" s="198">
        <f>Statement!AC161</f>
        <v>40.164814474593925</v>
      </c>
      <c r="E33" s="20" t="s">
        <v>304</v>
      </c>
      <c r="F33" s="204">
        <f>Statement!AC164</f>
        <v>1.9325582625717537</v>
      </c>
    </row>
    <row r="34" spans="2:6" x14ac:dyDescent="0.2">
      <c r="E34" s="20" t="s">
        <v>311</v>
      </c>
      <c r="F34" s="206" t="str">
        <f>Statement!AC166</f>
        <v>N/A</v>
      </c>
    </row>
    <row r="37" spans="2:6" x14ac:dyDescent="0.2">
      <c r="B37" s="247" t="s">
        <v>321</v>
      </c>
      <c r="C37" s="247"/>
      <c r="E37" s="247" t="s">
        <v>324</v>
      </c>
      <c r="F37" s="247"/>
    </row>
    <row r="38" spans="2:6" x14ac:dyDescent="0.2">
      <c r="B38" s="20" t="s">
        <v>318</v>
      </c>
      <c r="C38" s="199">
        <f ca="1">Statement!AC179</f>
        <v>5.1701852649719951E-2</v>
      </c>
      <c r="E38" s="20" t="s">
        <v>323</v>
      </c>
      <c r="F38" s="199">
        <f>Statement!AC184</f>
        <v>0</v>
      </c>
    </row>
    <row r="39" spans="2:6" x14ac:dyDescent="0.2">
      <c r="B39" s="54" t="s">
        <v>322</v>
      </c>
      <c r="C39" s="240">
        <f ca="1">Statement!AC178</f>
        <v>1.7556633083734459E-2</v>
      </c>
      <c r="E39" s="20" t="s">
        <v>325</v>
      </c>
      <c r="F39" s="199">
        <f>Statement!AC185</f>
        <v>3.2095084983598028</v>
      </c>
    </row>
    <row r="40" spans="2:6" x14ac:dyDescent="0.2">
      <c r="B40" s="20" t="s">
        <v>319</v>
      </c>
      <c r="C40" s="199">
        <f ca="1">Statement!AC180</f>
        <v>0</v>
      </c>
      <c r="E40" s="20" t="s">
        <v>326</v>
      </c>
      <c r="F40" s="199">
        <f>Statement!AC186</f>
        <v>3.2095084983598028</v>
      </c>
    </row>
    <row r="41" spans="2:6" x14ac:dyDescent="0.2">
      <c r="B41" s="20" t="s">
        <v>345</v>
      </c>
      <c r="C41" s="199">
        <f ca="1">Statement!AC181</f>
        <v>5.6348163084830614E-2</v>
      </c>
    </row>
    <row r="42" spans="2:6" x14ac:dyDescent="0.2">
      <c r="B42" s="20" t="s">
        <v>347</v>
      </c>
      <c r="C42" s="199">
        <f ca="1">Statement!AC182</f>
        <v>5.6348163084830614E-2</v>
      </c>
    </row>
    <row r="45" spans="2:6" x14ac:dyDescent="0.2">
      <c r="B45" s="247" t="s">
        <v>332</v>
      </c>
      <c r="C45" s="247"/>
      <c r="E45" s="247" t="s">
        <v>338</v>
      </c>
      <c r="F45" s="247"/>
    </row>
    <row r="46" spans="2:6" x14ac:dyDescent="0.2">
      <c r="B46" s="20" t="s">
        <v>330</v>
      </c>
      <c r="C46" s="199">
        <f>Statement!AC187</f>
        <v>0.22116382280992736</v>
      </c>
      <c r="E46" s="20" t="s">
        <v>331</v>
      </c>
      <c r="F46" s="198">
        <f>Statement!AC188</f>
        <v>2.4951118677971147</v>
      </c>
    </row>
    <row r="47" spans="2:6" x14ac:dyDescent="0.2">
      <c r="E47" s="20" t="s">
        <v>339</v>
      </c>
      <c r="F47" s="198">
        <f>Statement!AC191</f>
        <v>2.4951118677971147</v>
      </c>
    </row>
    <row r="48" spans="2:6" x14ac:dyDescent="0.2">
      <c r="E48" s="20" t="s">
        <v>344</v>
      </c>
      <c r="F48" s="199">
        <f ca="1">Statement!AC192</f>
        <v>0.21327958868601482</v>
      </c>
    </row>
    <row r="51" spans="2:6" x14ac:dyDescent="0.2">
      <c r="B51" s="247" t="s">
        <v>335</v>
      </c>
      <c r="C51" s="247"/>
      <c r="E51" s="247" t="s">
        <v>356</v>
      </c>
      <c r="F51" s="247"/>
    </row>
    <row r="52" spans="2:6" x14ac:dyDescent="0.2">
      <c r="B52" s="20" t="s">
        <v>333</v>
      </c>
      <c r="C52" s="199">
        <f>Statement!AC189</f>
        <v>0.69669698594761198</v>
      </c>
      <c r="E52" s="20" t="s">
        <v>357</v>
      </c>
      <c r="F52" s="199">
        <f>Statement!AC193</f>
        <v>5.3219161289936798E-3</v>
      </c>
    </row>
    <row r="53" spans="2:6" x14ac:dyDescent="0.2">
      <c r="B53" s="20" t="s">
        <v>334</v>
      </c>
      <c r="C53" s="199">
        <f>Statement!AC190</f>
        <v>0.16003121393504871</v>
      </c>
      <c r="E53" s="20" t="s">
        <v>354</v>
      </c>
      <c r="F53" s="199">
        <f>Statement!AC194</f>
        <v>2.3168998318295178E-2</v>
      </c>
    </row>
    <row r="54" spans="2:6" x14ac:dyDescent="0.2">
      <c r="E54" s="20" t="s">
        <v>355</v>
      </c>
      <c r="F54" s="199">
        <f>Statement!AC195</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285</v>
      </c>
      <c r="C5" s="14"/>
      <c r="D5" s="14"/>
      <c r="E5" s="14"/>
      <c r="F5" s="14"/>
      <c r="G5" s="14"/>
      <c r="I5" s="14"/>
    </row>
    <row r="6" spans="2:9" x14ac:dyDescent="0.2">
      <c r="B6" s="20" t="s">
        <v>1</v>
      </c>
      <c r="C6" s="196">
        <f>Statement!M125</f>
        <v>33.43</v>
      </c>
      <c r="D6" s="196">
        <f>Statement!N125</f>
        <v>14.57</v>
      </c>
      <c r="E6" s="196">
        <f>Statement!O125</f>
        <v>23.85</v>
      </c>
      <c r="F6" s="196">
        <f>Statement!P125</f>
        <v>14.58</v>
      </c>
      <c r="G6" s="196">
        <f>Statement!Q125</f>
        <v>12.59</v>
      </c>
      <c r="I6" s="196">
        <f ca="1">Statement!AC125</f>
        <v>11.605</v>
      </c>
    </row>
    <row r="7" spans="2:9" x14ac:dyDescent="0.2">
      <c r="B7" s="20" t="s">
        <v>291</v>
      </c>
      <c r="C7" s="197">
        <f>Statement!M170</f>
        <v>18122001.84</v>
      </c>
      <c r="D7" s="197">
        <f>Statement!N170</f>
        <v>8121653.1100000003</v>
      </c>
      <c r="E7" s="197">
        <f>Statement!O170</f>
        <v>13570960.050000001</v>
      </c>
      <c r="F7" s="197">
        <f>Statement!P170</f>
        <v>8040767.9400000004</v>
      </c>
      <c r="G7" s="197">
        <f>Statement!Q170</f>
        <v>6680971.6299999999</v>
      </c>
      <c r="I7" s="197">
        <f ca="1">Statement!AC170</f>
        <v>6129250.3799999999</v>
      </c>
    </row>
    <row r="8" spans="2:9" x14ac:dyDescent="0.2">
      <c r="B8" s="20" t="s">
        <v>230</v>
      </c>
      <c r="C8" s="197">
        <f>Statement!M171</f>
        <v>16256861.84</v>
      </c>
      <c r="D8" s="197">
        <f>Statement!N171</f>
        <v>6364760.1100000003</v>
      </c>
      <c r="E8" s="197">
        <f>Statement!O171</f>
        <v>11691137.050000001</v>
      </c>
      <c r="F8" s="197">
        <f>Statement!P171</f>
        <v>6411249.9400000004</v>
      </c>
      <c r="G8" s="197">
        <f>Statement!Q171</f>
        <v>5208485.63</v>
      </c>
      <c r="I8" s="197">
        <f ca="1">Statement!AC171</f>
        <v>4822006.38</v>
      </c>
    </row>
    <row r="9" spans="2:9" x14ac:dyDescent="0.2">
      <c r="B9" s="20" t="s">
        <v>289</v>
      </c>
      <c r="C9" s="198">
        <f>Statement!M167</f>
        <v>-28.818965517241381</v>
      </c>
      <c r="D9" s="198">
        <f>Statement!N167</f>
        <v>-24.283333333333335</v>
      </c>
      <c r="E9" s="198">
        <f>Statement!O167</f>
        <v>-149.0625</v>
      </c>
      <c r="F9" s="198">
        <f>Statement!P167</f>
        <v>-112.15384615384615</v>
      </c>
      <c r="G9" s="198">
        <f>Statement!Q167</f>
        <v>24.21153846153846</v>
      </c>
      <c r="I9" s="198">
        <f ca="1">Statement!AC167</f>
        <v>19.341666666666665</v>
      </c>
    </row>
    <row r="10" spans="2:9" x14ac:dyDescent="0.2">
      <c r="B10" s="20" t="s">
        <v>243</v>
      </c>
      <c r="C10" s="198">
        <f>Statement!M168</f>
        <v>17.03343197885799</v>
      </c>
      <c r="D10" s="198">
        <f>Statement!N168</f>
        <v>7.5428149003241138</v>
      </c>
      <c r="E10" s="198">
        <f>Statement!O168</f>
        <v>11.921699837623619</v>
      </c>
      <c r="F10" s="198">
        <f>Statement!P168</f>
        <v>5.7103089537122012</v>
      </c>
      <c r="G10" s="198">
        <f>Statement!Q168</f>
        <v>4.2592243004348767</v>
      </c>
      <c r="I10" s="198">
        <f ca="1">Statement!AC168</f>
        <v>3.7385864220877458</v>
      </c>
    </row>
    <row r="11" spans="2:9" x14ac:dyDescent="0.2">
      <c r="B11" s="20" t="s">
        <v>290</v>
      </c>
      <c r="C11" s="198">
        <f>Statement!M169</f>
        <v>9.4291282297830765</v>
      </c>
      <c r="D11" s="198">
        <f>Statement!N169</f>
        <v>4.2296795940750709</v>
      </c>
      <c r="E11" s="198">
        <f>Statement!O169</f>
        <v>6.731246372972957</v>
      </c>
      <c r="F11" s="198">
        <f>Statement!P169</f>
        <v>4.3563406007925183</v>
      </c>
      <c r="G11" s="198">
        <f>Statement!Q169</f>
        <v>3.1673000839820857</v>
      </c>
      <c r="I11" s="198">
        <f ca="1">Statement!AC169</f>
        <v>3.1950744285890704</v>
      </c>
    </row>
    <row r="12" spans="2:9" x14ac:dyDescent="0.2">
      <c r="B12" s="20" t="s">
        <v>312</v>
      </c>
      <c r="C12" s="198">
        <f>Statement!M172</f>
        <v>18.220034071092023</v>
      </c>
      <c r="D12" s="198">
        <f>Statement!N172</f>
        <v>6.012539531693843</v>
      </c>
      <c r="E12" s="198">
        <f>Statement!O172</f>
        <v>8.9376861900568176</v>
      </c>
      <c r="F12" s="198">
        <f>Statement!P172</f>
        <v>4.4844452542695352</v>
      </c>
      <c r="G12" s="198">
        <f>Statement!Q172</f>
        <v>3.2339352913126516</v>
      </c>
      <c r="I12" s="198">
        <f ca="1">Statement!AC172</f>
        <v>2.8834060143631937</v>
      </c>
    </row>
    <row r="13" spans="2:9" x14ac:dyDescent="0.2">
      <c r="B13" s="20" t="s">
        <v>246</v>
      </c>
      <c r="C13" s="198">
        <f>Statement!M173</f>
        <v>-32.452323883212962</v>
      </c>
      <c r="D13" s="198">
        <f>Statement!N173</f>
        <v>-18.274679240732393</v>
      </c>
      <c r="E13" s="198">
        <f>Statement!O173</f>
        <v>-70.97581987615348</v>
      </c>
      <c r="F13" s="198">
        <f>Statement!P173</f>
        <v>-39.437100185152154</v>
      </c>
      <c r="G13" s="198">
        <f>Statement!Q173</f>
        <v>91.763312720225514</v>
      </c>
      <c r="I13" s="198">
        <f ca="1">Statement!AC173</f>
        <v>47.667596358208364</v>
      </c>
    </row>
    <row r="15" spans="2:9" ht="17" thickBot="1" x14ac:dyDescent="0.25">
      <c r="B15" s="14" t="s">
        <v>78</v>
      </c>
      <c r="C15" s="14"/>
      <c r="D15" s="14"/>
      <c r="E15" s="14"/>
      <c r="F15" s="14"/>
      <c r="G15" s="14"/>
      <c r="I15" s="14"/>
    </row>
    <row r="16" spans="2:9" x14ac:dyDescent="0.2">
      <c r="B16" s="20" t="s">
        <v>79</v>
      </c>
      <c r="C16" s="199">
        <f>Statement!M100</f>
        <v>0.81073956684882742</v>
      </c>
      <c r="D16" s="199">
        <f>Statement!N100</f>
        <v>0.82991287393217905</v>
      </c>
      <c r="E16" s="199">
        <f>Statement!O100</f>
        <v>0.85021925398601916</v>
      </c>
      <c r="F16" s="199">
        <f>Statement!P100</f>
        <v>0.82727270183763457</v>
      </c>
      <c r="G16" s="199">
        <f>Statement!Q100</f>
        <v>0.83174673345867178</v>
      </c>
      <c r="I16" s="199">
        <f>Statement!AC100</f>
        <v>0.83014417010996633</v>
      </c>
    </row>
    <row r="17" spans="2:9" x14ac:dyDescent="0.2">
      <c r="B17" s="20" t="s">
        <v>80</v>
      </c>
      <c r="C17" s="199">
        <f>Statement!M101</f>
        <v>-0.56144004160259653</v>
      </c>
      <c r="D17" s="199">
        <f>Statement!N101</f>
        <v>-0.32900930585377974</v>
      </c>
      <c r="E17" s="199">
        <f>Statement!O101</f>
        <v>-0.12592579001767487</v>
      </c>
      <c r="F17" s="199">
        <f>Statement!P101</f>
        <v>-0.11371133357208407</v>
      </c>
      <c r="G17" s="199">
        <f>Statement!Q101</f>
        <v>3.5242137575966802E-2</v>
      </c>
      <c r="I17" s="199">
        <f>Statement!AC101</f>
        <v>6.0489855471109168E-2</v>
      </c>
    </row>
    <row r="18" spans="2:9" x14ac:dyDescent="0.2">
      <c r="B18" s="20" t="s">
        <v>81</v>
      </c>
      <c r="C18" s="199">
        <f>Statement!M102</f>
        <v>-0.58905555829519018</v>
      </c>
      <c r="D18" s="199">
        <f>Statement!N102</f>
        <v>-0.31018127096556619</v>
      </c>
      <c r="E18" s="199">
        <f>Statement!O102</f>
        <v>-6.8714107480322181E-2</v>
      </c>
      <c r="F18" s="199">
        <f>Statement!P102</f>
        <v>-5.1546377330617545E-2</v>
      </c>
      <c r="G18" s="199">
        <f>Statement!Q102</f>
        <v>0.17529796867199976</v>
      </c>
      <c r="I18" s="199">
        <f>Statement!AC102</f>
        <v>0.19578073705548546</v>
      </c>
    </row>
    <row r="20" spans="2:9" ht="17" thickBot="1" x14ac:dyDescent="0.25">
      <c r="B20" s="14" t="s">
        <v>298</v>
      </c>
      <c r="C20" s="14"/>
      <c r="D20" s="14"/>
      <c r="E20" s="14"/>
      <c r="F20" s="14"/>
      <c r="G20" s="14"/>
      <c r="I20" s="14"/>
    </row>
    <row r="21" spans="2:9" x14ac:dyDescent="0.2">
      <c r="B21" s="20" t="s">
        <v>32</v>
      </c>
      <c r="C21" s="201">
        <f>Statement!M18</f>
        <v>-525586</v>
      </c>
      <c r="D21" s="201">
        <f>Statement!N18</f>
        <v>-328352</v>
      </c>
      <c r="E21" s="201">
        <f>Statement!O18</f>
        <v>-89883</v>
      </c>
      <c r="F21" s="201">
        <f>Statement!P18</f>
        <v>-73694</v>
      </c>
      <c r="G21" s="201">
        <f>Statement!Q18</f>
        <v>282330</v>
      </c>
      <c r="I21" s="201">
        <f>Statement!AC18</f>
        <v>327410</v>
      </c>
    </row>
    <row r="22" spans="2:9" x14ac:dyDescent="0.2">
      <c r="B22" s="20" t="s">
        <v>299</v>
      </c>
      <c r="C22" s="201">
        <f>Statement!M58</f>
        <v>-54963</v>
      </c>
      <c r="D22" s="201">
        <f>Statement!N58</f>
        <v>-9981</v>
      </c>
      <c r="E22" s="201">
        <f>Statement!O58</f>
        <v>299082</v>
      </c>
      <c r="F22" s="201">
        <f>Statement!P58</f>
        <v>320565</v>
      </c>
      <c r="G22" s="201">
        <f>Statement!Q58</f>
        <v>371208</v>
      </c>
      <c r="I22" s="201">
        <f>Statement!AC58</f>
        <v>384134</v>
      </c>
    </row>
    <row r="23" spans="2:9" x14ac:dyDescent="0.2">
      <c r="B23" s="20" t="s">
        <v>306</v>
      </c>
      <c r="C23" s="219" t="str">
        <f>IF(OR(C21&lt;=0, C22&lt;=0),"N/A",C21-C22)</f>
        <v>N/A</v>
      </c>
      <c r="D23" s="219" t="str">
        <f t="shared" ref="D23:I23" si="0">IF(OR(D21&lt;=0, D22&lt;=0),"N/A",D21-D22)</f>
        <v>N/A</v>
      </c>
      <c r="E23" s="219" t="str">
        <f t="shared" si="0"/>
        <v>N/A</v>
      </c>
      <c r="F23" s="219" t="str">
        <f t="shared" si="0"/>
        <v>N/A</v>
      </c>
      <c r="G23" s="219">
        <f t="shared" si="0"/>
        <v>-88878</v>
      </c>
      <c r="I23" s="219">
        <f t="shared" si="0"/>
        <v>-56724</v>
      </c>
    </row>
    <row r="25" spans="2:9" ht="17" thickBot="1" x14ac:dyDescent="0.25">
      <c r="B25" s="14" t="s">
        <v>297</v>
      </c>
      <c r="C25" s="14"/>
      <c r="D25" s="14"/>
      <c r="E25" s="14"/>
      <c r="F25" s="14"/>
      <c r="G25" s="14"/>
      <c r="I25" s="14"/>
    </row>
    <row r="26" spans="2:9" x14ac:dyDescent="0.2">
      <c r="B26" s="20" t="s">
        <v>119</v>
      </c>
      <c r="C26" s="199">
        <f>Statement!M130</f>
        <v>-0.58905555829519018</v>
      </c>
      <c r="D26" s="199">
        <f>Statement!N130</f>
        <v>-0.31018127096556619</v>
      </c>
      <c r="E26" s="199">
        <f>Statement!O130</f>
        <v>-6.8714107480322181E-2</v>
      </c>
      <c r="F26" s="199">
        <f>Statement!P130</f>
        <v>-5.1546377330617545E-2</v>
      </c>
      <c r="G26" s="199">
        <f>Statement!Q130</f>
        <v>0.17529796867199976</v>
      </c>
      <c r="I26" s="199">
        <f>Statement!AC130</f>
        <v>0.19578073705548546</v>
      </c>
    </row>
    <row r="27" spans="2:9" x14ac:dyDescent="0.2">
      <c r="B27" s="20" t="s">
        <v>120</v>
      </c>
      <c r="C27" s="238">
        <f>Statement!M131</f>
        <v>0.346849112713561</v>
      </c>
      <c r="D27" s="238">
        <f>Statement!N131</f>
        <v>0.38702057541552631</v>
      </c>
      <c r="E27" s="238">
        <f>Statement!O131</f>
        <v>0.44270021436611728</v>
      </c>
      <c r="F27" s="238">
        <f>Statement!P131</f>
        <v>0.49896309946357587</v>
      </c>
      <c r="G27" s="238">
        <f>Statement!Q131</f>
        <v>0.50659662808253647</v>
      </c>
      <c r="I27" s="238">
        <f>Statement!AC131</f>
        <v>0.57573243364202842</v>
      </c>
    </row>
    <row r="28" spans="2:9" x14ac:dyDescent="0.2">
      <c r="B28" s="32" t="s">
        <v>121</v>
      </c>
      <c r="C28" s="200">
        <f>Statement!M132</f>
        <v>-0.20431339773367801</v>
      </c>
      <c r="D28" s="200">
        <f>Statement!N132</f>
        <v>-0.12004653397221271</v>
      </c>
      <c r="E28" s="200">
        <f>Statement!O132</f>
        <v>-3.0419750111515053E-2</v>
      </c>
      <c r="F28" s="200">
        <f>Statement!P132</f>
        <v>-2.5719740199003933E-2</v>
      </c>
      <c r="G28" s="200">
        <f>Statement!Q132</f>
        <v>8.8805359838953199E-2</v>
      </c>
      <c r="I28" s="200">
        <f>Statement!AC132</f>
        <v>0.1127173202051847</v>
      </c>
    </row>
    <row r="29" spans="2:9" x14ac:dyDescent="0.2">
      <c r="B29" s="20" t="s">
        <v>122</v>
      </c>
      <c r="C29" s="238">
        <f>Statement!M133</f>
        <v>1.3384813183920012</v>
      </c>
      <c r="D29" s="238">
        <f>Statement!N133</f>
        <v>1.4244692363857558</v>
      </c>
      <c r="E29" s="238">
        <f>Statement!O133</f>
        <v>1.4655708952965953</v>
      </c>
      <c r="F29" s="238">
        <f>Statement!P133</f>
        <v>1.5523507364438103</v>
      </c>
      <c r="G29" s="238">
        <f>Statement!Q133</f>
        <v>1.526562875884657</v>
      </c>
      <c r="I29" s="238">
        <f>Statement!AC133</f>
        <v>1.5264074746513994</v>
      </c>
    </row>
    <row r="30" spans="2:9" x14ac:dyDescent="0.2">
      <c r="B30" s="32" t="s">
        <v>123</v>
      </c>
      <c r="C30" s="200">
        <f>Statement!M134</f>
        <v>-0.27346966596372269</v>
      </c>
      <c r="D30" s="200">
        <f>Statement!N134</f>
        <v>-0.17100259457815453</v>
      </c>
      <c r="E30" s="200">
        <f>Statement!O134</f>
        <v>-4.4582300405631825E-2</v>
      </c>
      <c r="F30" s="200">
        <f>Statement!P134</f>
        <v>-3.9926057639067224E-2</v>
      </c>
      <c r="G30" s="200">
        <f>Statement!Q134</f>
        <v>0.13556696550972422</v>
      </c>
      <c r="I30" s="200">
        <f>Statement!AC134</f>
        <v>0.17205256008386913</v>
      </c>
    </row>
    <row r="32" spans="2:9" ht="17" thickBot="1" x14ac:dyDescent="0.25">
      <c r="B32" s="14" t="s">
        <v>358</v>
      </c>
      <c r="C32" s="14"/>
      <c r="D32" s="14"/>
      <c r="E32" s="14"/>
      <c r="F32" s="14"/>
      <c r="G32" s="14"/>
      <c r="I32" s="14"/>
    </row>
    <row r="33" spans="2:9" x14ac:dyDescent="0.2">
      <c r="B33" s="20" t="s">
        <v>121</v>
      </c>
      <c r="C33" s="199">
        <f>C28</f>
        <v>-0.20431339773367801</v>
      </c>
      <c r="D33" s="199">
        <f t="shared" ref="D33:G33" si="1">D28</f>
        <v>-0.12004653397221271</v>
      </c>
      <c r="E33" s="199">
        <f t="shared" si="1"/>
        <v>-3.0419750111515053E-2</v>
      </c>
      <c r="F33" s="199">
        <f t="shared" si="1"/>
        <v>-2.5719740199003933E-2</v>
      </c>
      <c r="G33" s="199">
        <f t="shared" si="1"/>
        <v>8.8805359838953199E-2</v>
      </c>
      <c r="I33" s="199">
        <f>I28</f>
        <v>0.1127173202051847</v>
      </c>
    </row>
    <row r="34" spans="2:9" x14ac:dyDescent="0.2">
      <c r="B34" s="20" t="s">
        <v>123</v>
      </c>
      <c r="C34" s="199">
        <f>C30</f>
        <v>-0.27346966596372269</v>
      </c>
      <c r="D34" s="199">
        <f t="shared" ref="D34:G34" si="2">D30</f>
        <v>-0.17100259457815453</v>
      </c>
      <c r="E34" s="199">
        <f t="shared" si="2"/>
        <v>-4.4582300405631825E-2</v>
      </c>
      <c r="F34" s="199">
        <f t="shared" si="2"/>
        <v>-3.9926057639067224E-2</v>
      </c>
      <c r="G34" s="199">
        <f t="shared" si="2"/>
        <v>0.13556696550972422</v>
      </c>
      <c r="I34" s="199">
        <f>I30</f>
        <v>0.17205256008386913</v>
      </c>
    </row>
    <row r="35" spans="2:9" x14ac:dyDescent="0.2">
      <c r="B35" s="20" t="s">
        <v>124</v>
      </c>
      <c r="C35" s="199">
        <f>Statement!M157</f>
        <v>-8.8230445426845385</v>
      </c>
      <c r="D35" s="199">
        <f>Statement!N157</f>
        <v>-2.1332373748200779</v>
      </c>
      <c r="E35" s="199">
        <f>Statement!O157</f>
        <v>-1.2085904425090432</v>
      </c>
      <c r="F35" s="199">
        <f>Statement!P157</f>
        <v>-0.75178502062484975</v>
      </c>
      <c r="G35" s="199">
        <f>Statement!Q157</f>
        <v>9.3033776374731397E-2</v>
      </c>
      <c r="I35" s="199">
        <f>Statement!AC157</f>
        <v>0.16980935706480046</v>
      </c>
    </row>
    <row r="37" spans="2:9" ht="17" thickBot="1" x14ac:dyDescent="0.25">
      <c r="B37" s="14" t="s">
        <v>302</v>
      </c>
      <c r="C37" s="14"/>
      <c r="D37" s="14"/>
      <c r="E37" s="14"/>
      <c r="F37" s="14"/>
      <c r="G37" s="14"/>
      <c r="I37" s="14"/>
    </row>
    <row r="38" spans="2:9" x14ac:dyDescent="0.2">
      <c r="B38" s="20" t="s">
        <v>180</v>
      </c>
      <c r="C38" s="198">
        <f>Statement!M158</f>
        <v>133.69421979440784</v>
      </c>
      <c r="D38" s="198">
        <f>Statement!N158</f>
        <v>152.91140215061483</v>
      </c>
      <c r="E38" s="198">
        <f>Statement!O158</f>
        <v>145.23661159324561</v>
      </c>
      <c r="F38" s="198">
        <f>Statement!P158</f>
        <v>137.8303503480538</v>
      </c>
      <c r="G38" s="198">
        <f>Statement!Q158</f>
        <v>131.6037563052133</v>
      </c>
      <c r="I38" s="198">
        <f>Statement!AC158</f>
        <v>65.477289171395597</v>
      </c>
    </row>
    <row r="39" spans="2:9" x14ac:dyDescent="0.2">
      <c r="B39" s="20" t="s">
        <v>181</v>
      </c>
      <c r="C39" s="198">
        <f>Statement!M159</f>
        <v>0</v>
      </c>
      <c r="D39" s="198">
        <f>Statement!N159</f>
        <v>0</v>
      </c>
      <c r="E39" s="198">
        <f>Statement!O159</f>
        <v>0</v>
      </c>
      <c r="F39" s="198">
        <f>Statement!P159</f>
        <v>0</v>
      </c>
      <c r="G39" s="198">
        <f>Statement!Q159</f>
        <v>0</v>
      </c>
      <c r="I39" s="198">
        <f>Statement!AC159</f>
        <v>0</v>
      </c>
    </row>
    <row r="40" spans="2:9" x14ac:dyDescent="0.2">
      <c r="B40" s="20" t="s">
        <v>182</v>
      </c>
      <c r="C40" s="198">
        <f>Statement!M160</f>
        <v>24.889114574697395</v>
      </c>
      <c r="D40" s="198">
        <f>Statement!N160</f>
        <v>18.023865460341792</v>
      </c>
      <c r="E40" s="198">
        <f>Statement!O160</f>
        <v>6.4216481901145333</v>
      </c>
      <c r="F40" s="198">
        <f>Statement!P160</f>
        <v>49.039734026613537</v>
      </c>
      <c r="G40" s="198">
        <f>Statement!Q160</f>
        <v>13.686287751306349</v>
      </c>
      <c r="I40" s="198">
        <f>Statement!AC160</f>
        <v>25.312474696801676</v>
      </c>
    </row>
    <row r="41" spans="2:9" x14ac:dyDescent="0.2">
      <c r="B41" s="20" t="s">
        <v>183</v>
      </c>
      <c r="C41" s="198">
        <f>Statement!M161</f>
        <v>108.80510521971044</v>
      </c>
      <c r="D41" s="198">
        <f>Statement!N161</f>
        <v>134.88753669027304</v>
      </c>
      <c r="E41" s="198">
        <f>Statement!O161</f>
        <v>138.81496340313109</v>
      </c>
      <c r="F41" s="198">
        <f>Statement!P161</f>
        <v>88.790616321440268</v>
      </c>
      <c r="G41" s="198">
        <f>Statement!Q161</f>
        <v>117.91746855390694</v>
      </c>
      <c r="I41" s="198">
        <f>Statement!AC161</f>
        <v>40.164814474593925</v>
      </c>
    </row>
    <row r="43" spans="2:9" ht="17" thickBot="1" x14ac:dyDescent="0.25">
      <c r="B43" s="14" t="s">
        <v>308</v>
      </c>
      <c r="C43" s="14"/>
      <c r="D43" s="14"/>
      <c r="E43" s="14"/>
      <c r="F43" s="14"/>
      <c r="G43" s="14"/>
      <c r="I43" s="14"/>
    </row>
    <row r="44" spans="2:9" x14ac:dyDescent="0.2">
      <c r="B44" s="20" t="s">
        <v>309</v>
      </c>
      <c r="C44" s="204">
        <f>Statement!M162</f>
        <v>0</v>
      </c>
      <c r="D44" s="204">
        <f>Statement!N162</f>
        <v>0</v>
      </c>
      <c r="E44" s="204">
        <f>Statement!O162</f>
        <v>0</v>
      </c>
      <c r="F44" s="204">
        <f>Statement!P162</f>
        <v>0</v>
      </c>
      <c r="G44" s="204">
        <f>Statement!Q162</f>
        <v>0</v>
      </c>
      <c r="I44" s="204">
        <f>Statement!AC162</f>
        <v>0</v>
      </c>
    </row>
    <row r="45" spans="2:9" x14ac:dyDescent="0.2">
      <c r="B45" s="20" t="s">
        <v>310</v>
      </c>
      <c r="C45" s="204">
        <f>Statement!M163</f>
        <v>-0.97045814153264687</v>
      </c>
      <c r="D45" s="204">
        <f>Statement!N163</f>
        <v>-0.91497314283512088</v>
      </c>
      <c r="E45" s="204">
        <f>Statement!O163</f>
        <v>-0.93239915996813671</v>
      </c>
      <c r="F45" s="204">
        <f>Statement!P163</f>
        <v>-0.88284296675302665</v>
      </c>
      <c r="G45" s="204">
        <f>Statement!Q163</f>
        <v>-0.70704657236408375</v>
      </c>
      <c r="I45" s="204">
        <f>Statement!AC163</f>
        <v>-0.68695115254353079</v>
      </c>
    </row>
    <row r="46" spans="2:9" x14ac:dyDescent="0.2">
      <c r="B46" s="20" t="s">
        <v>304</v>
      </c>
      <c r="C46" s="204">
        <f>Statement!M164</f>
        <v>4.1553646343798398</v>
      </c>
      <c r="D46" s="204">
        <f>Statement!N164</f>
        <v>3.5124319181677128</v>
      </c>
      <c r="E46" s="204">
        <f>Statement!O164</f>
        <v>3.3726940484002186</v>
      </c>
      <c r="F46" s="204">
        <f>Statement!P164</f>
        <v>2.715395784308817</v>
      </c>
      <c r="G46" s="204">
        <f>Statement!Q164</f>
        <v>2.2676594254840001</v>
      </c>
      <c r="I46" s="204">
        <f>Statement!AC164</f>
        <v>1.9325582625717537</v>
      </c>
    </row>
    <row r="47" spans="2:9" x14ac:dyDescent="0.2">
      <c r="B47" s="20" t="s">
        <v>305</v>
      </c>
      <c r="C47" s="204">
        <f>Statement!M165</f>
        <v>4.3171501096680389</v>
      </c>
      <c r="D47" s="204">
        <f>Statement!N165</f>
        <v>3.7423569563190795</v>
      </c>
      <c r="E47" s="204">
        <f>Statement!O165</f>
        <v>3.6257476910625539</v>
      </c>
      <c r="F47" s="204">
        <f>Statement!P165</f>
        <v>2.9271504030441093</v>
      </c>
      <c r="G47" s="204">
        <f>Statement!Q165</f>
        <v>2.4783388537733191</v>
      </c>
      <c r="I47" s="204">
        <f>Statement!AC165</f>
        <v>2.3066495444084523</v>
      </c>
    </row>
    <row r="48" spans="2:9" x14ac:dyDescent="0.2">
      <c r="B48" s="20" t="s">
        <v>311</v>
      </c>
      <c r="C48" s="206" t="str">
        <f>Statement!M166</f>
        <v>N/A</v>
      </c>
      <c r="D48" s="206" t="str">
        <f>Statement!N166</f>
        <v>N/A</v>
      </c>
      <c r="E48" s="206" t="str">
        <f>Statement!O166</f>
        <v>N/A</v>
      </c>
      <c r="F48" s="206" t="str">
        <f>Statement!P166</f>
        <v>N/A</v>
      </c>
      <c r="G48" s="206" t="str">
        <f>Statement!Q166</f>
        <v>N/A</v>
      </c>
      <c r="I48" s="206" t="str">
        <f>Statement!AC166</f>
        <v>N/A</v>
      </c>
    </row>
    <row r="50" spans="2:9" ht="17" thickBot="1" x14ac:dyDescent="0.25">
      <c r="B50" s="14" t="s">
        <v>321</v>
      </c>
      <c r="C50" s="14"/>
      <c r="D50" s="14"/>
      <c r="E50" s="14"/>
      <c r="F50" s="14"/>
      <c r="G50" s="14"/>
      <c r="I50" s="14"/>
    </row>
    <row r="51" spans="2:9" x14ac:dyDescent="0.2">
      <c r="B51" s="20" t="s">
        <v>318</v>
      </c>
      <c r="C51" s="199">
        <f>Statement!M179</f>
        <v>-3.4699371821717021E-2</v>
      </c>
      <c r="D51" s="199">
        <f>Statement!N179</f>
        <v>-4.1180507892930679E-2</v>
      </c>
      <c r="E51" s="199">
        <f>Statement!O179</f>
        <v>-6.7085953878406705E-3</v>
      </c>
      <c r="F51" s="199">
        <f>Statement!P179</f>
        <v>-8.9163237311385458E-3</v>
      </c>
      <c r="G51" s="199">
        <f>Statement!Q179</f>
        <v>4.1302621127879274E-2</v>
      </c>
      <c r="I51" s="199">
        <f ca="1">Statement!AC179</f>
        <v>5.1701852649719951E-2</v>
      </c>
    </row>
    <row r="52" spans="2:9" x14ac:dyDescent="0.2">
      <c r="B52" s="20" t="s">
        <v>322</v>
      </c>
      <c r="C52" s="199">
        <f>Statement!M178</f>
        <v>-3.2136350340421331E-2</v>
      </c>
      <c r="D52" s="199">
        <f>Statement!N178</f>
        <v>-4.9698749076467263E-2</v>
      </c>
      <c r="E52" s="199">
        <f>Statement!O178</f>
        <v>-5.9107830031523813E-3</v>
      </c>
      <c r="F52" s="199">
        <f>Statement!P178</f>
        <v>-6.5303464037043202E-3</v>
      </c>
      <c r="G52" s="199">
        <f>Statement!Q178</f>
        <v>9.2028530287292954E-3</v>
      </c>
      <c r="I52" s="199">
        <f ca="1">Statement!AC178</f>
        <v>1.7556633083734459E-2</v>
      </c>
    </row>
    <row r="53" spans="2:9" x14ac:dyDescent="0.2">
      <c r="B53" s="20" t="s">
        <v>319</v>
      </c>
      <c r="C53" s="199">
        <f>Statement!M180</f>
        <v>0</v>
      </c>
      <c r="D53" s="199">
        <f>Statement!N180</f>
        <v>0</v>
      </c>
      <c r="E53" s="199">
        <f>Statement!O180</f>
        <v>0</v>
      </c>
      <c r="F53" s="199">
        <f>Statement!P180</f>
        <v>0</v>
      </c>
      <c r="G53" s="199">
        <f>Statement!Q180</f>
        <v>0</v>
      </c>
      <c r="I53" s="199">
        <f ca="1">Statement!AC180</f>
        <v>0</v>
      </c>
    </row>
    <row r="54" spans="2:9" x14ac:dyDescent="0.2">
      <c r="B54" s="20" t="s">
        <v>345</v>
      </c>
      <c r="C54" s="199">
        <f>Statement!M181</f>
        <v>0</v>
      </c>
      <c r="D54" s="199">
        <f>Statement!N181</f>
        <v>0</v>
      </c>
      <c r="E54" s="199">
        <f>Statement!O181</f>
        <v>7.5613663014209515E-3</v>
      </c>
      <c r="F54" s="199">
        <f>Statement!P181</f>
        <v>4.8596228981581578E-2</v>
      </c>
      <c r="G54" s="199">
        <f>Statement!Q181</f>
        <v>4.9259451802222368E-2</v>
      </c>
      <c r="I54" s="199">
        <f ca="1">Statement!AC181</f>
        <v>5.6348163084830614E-2</v>
      </c>
    </row>
    <row r="55" spans="2:9" x14ac:dyDescent="0.2">
      <c r="B55" s="20" t="s">
        <v>347</v>
      </c>
      <c r="C55" s="199">
        <f>Statement!M182</f>
        <v>0</v>
      </c>
      <c r="D55" s="199">
        <f>Statement!N182</f>
        <v>0</v>
      </c>
      <c r="E55" s="199">
        <f>Statement!O182</f>
        <v>7.5613663014209515E-3</v>
      </c>
      <c r="F55" s="199">
        <f>Statement!P182</f>
        <v>4.8596228981581578E-2</v>
      </c>
      <c r="G55" s="199">
        <f>Statement!Q182</f>
        <v>4.9259451802222368E-2</v>
      </c>
      <c r="I55" s="199">
        <f ca="1">Statement!AC182</f>
        <v>5.6348163084830614E-2</v>
      </c>
    </row>
    <row r="57" spans="2:9" ht="17" thickBot="1" x14ac:dyDescent="0.25">
      <c r="B57" s="14" t="s">
        <v>324</v>
      </c>
      <c r="C57" s="14"/>
      <c r="D57" s="14"/>
      <c r="E57" s="14"/>
      <c r="F57" s="14"/>
      <c r="G57" s="14"/>
      <c r="I57" s="14"/>
    </row>
    <row r="58" spans="2:9" x14ac:dyDescent="0.2">
      <c r="B58" s="20" t="s">
        <v>323</v>
      </c>
      <c r="C58" s="199">
        <f>Statement!M184</f>
        <v>0</v>
      </c>
      <c r="D58" s="199">
        <f>Statement!N184</f>
        <v>0</v>
      </c>
      <c r="E58" s="199">
        <f>Statement!O184</f>
        <v>0</v>
      </c>
      <c r="F58" s="199">
        <f>Statement!P184</f>
        <v>0</v>
      </c>
      <c r="G58" s="199">
        <f>Statement!Q184</f>
        <v>0</v>
      </c>
      <c r="I58" s="199">
        <f>Statement!AC184</f>
        <v>0</v>
      </c>
    </row>
    <row r="59" spans="2:9" x14ac:dyDescent="0.2">
      <c r="B59" s="20" t="s">
        <v>325</v>
      </c>
      <c r="C59" s="199">
        <f>Statement!M185</f>
        <v>0</v>
      </c>
      <c r="D59" s="199">
        <f>Statement!N185</f>
        <v>0</v>
      </c>
      <c r="E59" s="199">
        <f>Statement!O185</f>
        <v>-1.2792495169232687</v>
      </c>
      <c r="F59" s="199">
        <f>Statement!P185</f>
        <v>-7.44160048753547</v>
      </c>
      <c r="G59" s="199">
        <f>Statement!Q185</f>
        <v>5.3526283260685705</v>
      </c>
      <c r="I59" s="199">
        <f>Statement!AC185</f>
        <v>3.2095084983598028</v>
      </c>
    </row>
    <row r="60" spans="2:9" x14ac:dyDescent="0.2">
      <c r="B60" s="20" t="s">
        <v>326</v>
      </c>
      <c r="C60" s="199">
        <f>Statement!M186</f>
        <v>0</v>
      </c>
      <c r="D60" s="199">
        <f>Statement!N186</f>
        <v>0</v>
      </c>
      <c r="E60" s="199">
        <f>Statement!O186</f>
        <v>-1.2792495169232687</v>
      </c>
      <c r="F60" s="199">
        <f>Statement!P186</f>
        <v>-7.44160048753547</v>
      </c>
      <c r="G60" s="199">
        <f>Statement!Q186</f>
        <v>5.3526283260685705</v>
      </c>
      <c r="I60" s="199">
        <f>Statement!AC186</f>
        <v>3.2095084983598028</v>
      </c>
    </row>
    <row r="62" spans="2:9" ht="17" thickBot="1" x14ac:dyDescent="0.25">
      <c r="B62" s="14" t="s">
        <v>332</v>
      </c>
      <c r="C62" s="14"/>
      <c r="D62" s="14"/>
      <c r="E62" s="14"/>
      <c r="F62" s="14"/>
      <c r="G62" s="14"/>
      <c r="I62" s="14"/>
    </row>
    <row r="63" spans="2:9" x14ac:dyDescent="0.2">
      <c r="B63" s="20" t="s">
        <v>330</v>
      </c>
      <c r="C63" s="199">
        <f>Statement!M187</f>
        <v>0.32041292188722126</v>
      </c>
      <c r="D63" s="199">
        <f>Statement!N187</f>
        <v>0.31207180184527727</v>
      </c>
      <c r="E63" s="199">
        <f>Statement!O187</f>
        <v>0.22510733498180183</v>
      </c>
      <c r="F63" s="199">
        <f>Statement!P187</f>
        <v>0.22494029842627195</v>
      </c>
      <c r="G63" s="199">
        <f>Statement!Q187</f>
        <v>0.22012147206199109</v>
      </c>
      <c r="I63" s="199">
        <f>Statement!AC187</f>
        <v>0.22116382280992736</v>
      </c>
    </row>
    <row r="65" spans="2:9" ht="17" thickBot="1" x14ac:dyDescent="0.25">
      <c r="B65" s="14" t="s">
        <v>338</v>
      </c>
      <c r="C65" s="14"/>
      <c r="D65" s="14"/>
      <c r="E65" s="14"/>
      <c r="F65" s="14"/>
      <c r="G65" s="14"/>
      <c r="I65" s="14"/>
    </row>
    <row r="66" spans="2:9" x14ac:dyDescent="0.2">
      <c r="B66" s="20" t="s">
        <v>331</v>
      </c>
      <c r="C66" s="198">
        <f>Statement!M188</f>
        <v>3.4406590811823912</v>
      </c>
      <c r="D66" s="198">
        <f>Statement!N188</f>
        <v>3.1518128961309455</v>
      </c>
      <c r="E66" s="198">
        <f>Statement!O188</f>
        <v>3.3036556282545391</v>
      </c>
      <c r="F66" s="198">
        <f>Statement!P188</f>
        <v>2.9547392260645196</v>
      </c>
      <c r="G66" s="198">
        <f>Statement!Q188</f>
        <v>2.8105061440443424</v>
      </c>
      <c r="I66" s="198">
        <f>Statement!AC188</f>
        <v>2.4951118677971147</v>
      </c>
    </row>
    <row r="67" spans="2:9" x14ac:dyDescent="0.2">
      <c r="B67" s="20" t="s">
        <v>339</v>
      </c>
      <c r="C67" s="198">
        <f>Statement!M191</f>
        <v>3.4406590811823912</v>
      </c>
      <c r="D67" s="198">
        <f>Statement!N191</f>
        <v>3.1518128961309455</v>
      </c>
      <c r="E67" s="198">
        <f>Statement!O191</f>
        <v>3.3036556282545391</v>
      </c>
      <c r="F67" s="198">
        <f>Statement!P191</f>
        <v>2.9547392260645196</v>
      </c>
      <c r="G67" s="198">
        <f>Statement!Q191</f>
        <v>2.8105061440443424</v>
      </c>
      <c r="I67" s="198">
        <f>Statement!AC191</f>
        <v>2.4951118677971147</v>
      </c>
    </row>
    <row r="68" spans="2:9" x14ac:dyDescent="0.2">
      <c r="B68" s="20" t="s">
        <v>344</v>
      </c>
      <c r="C68" s="220">
        <f>Statement!M192</f>
        <v>0.10292130066354745</v>
      </c>
      <c r="D68" s="220">
        <f>Statement!N192</f>
        <v>0.21632209307693517</v>
      </c>
      <c r="E68" s="220">
        <f>Statement!O192</f>
        <v>0.1385180556920142</v>
      </c>
      <c r="F68" s="220">
        <f>Statement!P192</f>
        <v>0.20265701138988473</v>
      </c>
      <c r="G68" s="220">
        <f>Statement!Q192</f>
        <v>0.22039997795949329</v>
      </c>
      <c r="I68" s="220">
        <f ca="1">Statement!AC192</f>
        <v>0.21327958868601482</v>
      </c>
    </row>
    <row r="70" spans="2:9" ht="17" thickBot="1" x14ac:dyDescent="0.25">
      <c r="B70" s="14" t="s">
        <v>359</v>
      </c>
      <c r="C70" s="14"/>
      <c r="D70" s="14"/>
      <c r="E70" s="14"/>
      <c r="F70" s="14"/>
      <c r="G70" s="14"/>
      <c r="I70" s="14"/>
    </row>
    <row r="71" spans="2:9" x14ac:dyDescent="0.2">
      <c r="B71" s="20" t="s">
        <v>333</v>
      </c>
      <c r="C71" s="199">
        <f>Statement!M189</f>
        <v>-9.3805469133780903</v>
      </c>
      <c r="D71" s="199">
        <f>Statement!N189</f>
        <v>-37.054403366396151</v>
      </c>
      <c r="E71" s="199">
        <f>Statement!O189</f>
        <v>1.243655586093446</v>
      </c>
      <c r="F71" s="199">
        <f>Statement!P189</f>
        <v>1.1172492318250589</v>
      </c>
      <c r="G71" s="199">
        <f>Statement!Q189</f>
        <v>0.78305424452059225</v>
      </c>
      <c r="I71" s="199">
        <f>Statement!AC189</f>
        <v>0.69669698594761198</v>
      </c>
    </row>
    <row r="72" spans="2:9" x14ac:dyDescent="0.2">
      <c r="B72" s="20" t="s">
        <v>334</v>
      </c>
      <c r="C72" s="199">
        <f>Statement!M190</f>
        <v>0.57784459995606618</v>
      </c>
      <c r="D72" s="199">
        <f>Statement!N190</f>
        <v>0.3493733592422309</v>
      </c>
      <c r="E72" s="199">
        <f>Statement!O190</f>
        <v>0.28435361356255617</v>
      </c>
      <c r="F72" s="199">
        <f>Statement!P190</f>
        <v>0.25051410681111086</v>
      </c>
      <c r="G72" s="199">
        <f>Statement!Q190</f>
        <v>0.18047997854178516</v>
      </c>
      <c r="I72" s="199">
        <f>Statement!AC190</f>
        <v>0.16003121393504871</v>
      </c>
    </row>
    <row r="74" spans="2:9" ht="17" thickBot="1" x14ac:dyDescent="0.25">
      <c r="B74" s="14" t="s">
        <v>360</v>
      </c>
      <c r="C74" s="14"/>
      <c r="D74" s="14"/>
      <c r="E74" s="14"/>
      <c r="F74" s="14"/>
      <c r="G74" s="14"/>
      <c r="I74" s="14"/>
    </row>
    <row r="75" spans="2:9" x14ac:dyDescent="0.2">
      <c r="B75" s="20" t="s">
        <v>357</v>
      </c>
      <c r="C75" s="199">
        <f>Statement!M193</f>
        <v>1.325746537973577E-2</v>
      </c>
      <c r="D75" s="199">
        <f>Statement!N193</f>
        <v>2.2497097529617479E-2</v>
      </c>
      <c r="E75" s="199">
        <f>Statement!O193</f>
        <v>5.6128408833764501E-3</v>
      </c>
      <c r="F75" s="199">
        <f>Statement!P193</f>
        <v>1.0438116928173332E-2</v>
      </c>
      <c r="G75" s="199">
        <f>Statement!Q193</f>
        <v>1.1826854061786744E-2</v>
      </c>
      <c r="I75" s="199">
        <f>Statement!AC193</f>
        <v>5.3219161289936798E-3</v>
      </c>
    </row>
    <row r="76" spans="2:9" x14ac:dyDescent="0.2">
      <c r="B76" s="20" t="s">
        <v>354</v>
      </c>
      <c r="C76" s="199">
        <f>Statement!M194</f>
        <v>-0.21521750996124667</v>
      </c>
      <c r="D76" s="199">
        <f>Statement!N194</f>
        <v>-2.3860334635808034</v>
      </c>
      <c r="E76" s="199">
        <f>Statement!O194</f>
        <v>2.4548451595214689E-2</v>
      </c>
      <c r="F76" s="199">
        <f>Statement!P194</f>
        <v>4.6552181304883568E-2</v>
      </c>
      <c r="G76" s="199">
        <f>Statement!Q194</f>
        <v>5.1313549276955236E-2</v>
      </c>
      <c r="I76" s="199">
        <f>Statement!AC194</f>
        <v>2.3168998318295178E-2</v>
      </c>
    </row>
    <row r="77" spans="2:9" x14ac:dyDescent="0.2">
      <c r="B77" s="20" t="s">
        <v>355</v>
      </c>
      <c r="C77" s="199">
        <f>Statement!M195</f>
        <v>0.80442026521591292</v>
      </c>
      <c r="D77" s="199">
        <f>Statement!N195</f>
        <v>1.2719649628798804</v>
      </c>
      <c r="E77" s="199">
        <f>Statement!O195</f>
        <v>0.32491038633446917</v>
      </c>
      <c r="F77" s="199">
        <f>Statement!P195</f>
        <v>0.86600510677808729</v>
      </c>
      <c r="G77" s="199">
        <f>Statement!Q195</f>
        <v>1.1225175319700631</v>
      </c>
      <c r="I77" s="199">
        <f>Statement!AC195</f>
        <v>0.41931684334511188</v>
      </c>
    </row>
    <row r="79" spans="2:9" ht="17" thickBot="1" x14ac:dyDescent="0.25">
      <c r="B79" s="14" t="s">
        <v>146</v>
      </c>
      <c r="C79" s="14"/>
      <c r="D79" s="14"/>
      <c r="E79" s="14"/>
      <c r="F79" s="14"/>
      <c r="G79" s="14"/>
      <c r="I79" s="14"/>
    </row>
    <row r="80" spans="2:9" x14ac:dyDescent="0.2">
      <c r="B80" s="20" t="s">
        <v>20</v>
      </c>
      <c r="C80" s="199">
        <f>Statement!M88</f>
        <v>1</v>
      </c>
      <c r="D80" s="199">
        <f>Statement!N88</f>
        <v>0.18641482451146088</v>
      </c>
      <c r="E80" s="199">
        <f>Statement!O88</f>
        <v>0.23568437370404344</v>
      </c>
      <c r="F80" s="199">
        <f>Statement!P88</f>
        <v>9.2955127852289474E-2</v>
      </c>
      <c r="G80" s="199">
        <f>Statement!Q88</f>
        <v>0.12653882310808692</v>
      </c>
      <c r="I80" s="221"/>
    </row>
    <row r="81" spans="2:9" x14ac:dyDescent="0.2">
      <c r="B81" s="20" t="s">
        <v>21</v>
      </c>
      <c r="C81" s="199">
        <f>Statement!M89</f>
        <v>1</v>
      </c>
      <c r="D81" s="199">
        <f>Statement!N89</f>
        <v>6.6223322358291689E-2</v>
      </c>
      <c r="E81" s="199">
        <f>Statement!O89</f>
        <v>8.8158355132712404E-2</v>
      </c>
      <c r="F81" s="199">
        <f>Statement!P89</f>
        <v>0.26039688858945303</v>
      </c>
      <c r="G81" s="199">
        <f>Statement!Q89</f>
        <v>9.7358893991301598E-2</v>
      </c>
      <c r="I81" s="221"/>
    </row>
    <row r="82" spans="2:9" x14ac:dyDescent="0.2">
      <c r="B82" s="20" t="s">
        <v>22</v>
      </c>
      <c r="C82" s="199">
        <f>Statement!M90</f>
        <v>1</v>
      </c>
      <c r="D82" s="199">
        <f>Statement!N90</f>
        <v>0.21447253464273469</v>
      </c>
      <c r="E82" s="199">
        <f>Statement!O90</f>
        <v>0.26591920594629664</v>
      </c>
      <c r="F82" s="199">
        <f>Statement!P90</f>
        <v>6.3457381571517466E-2</v>
      </c>
      <c r="G82" s="199">
        <f>Statement!Q90</f>
        <v>0.13263133686529885</v>
      </c>
      <c r="I82" s="221"/>
    </row>
    <row r="83" spans="2:9" x14ac:dyDescent="0.2">
      <c r="B83" s="20" t="s">
        <v>26</v>
      </c>
      <c r="C83" s="199">
        <f>Statement!M94</f>
        <v>1</v>
      </c>
      <c r="D83" s="199">
        <f>Statement!N94</f>
        <v>2.0280479935964979E-3</v>
      </c>
      <c r="E83" s="199">
        <f>Statement!O94</f>
        <v>4.080083924770931E-2</v>
      </c>
      <c r="F83" s="199">
        <f>Statement!P94</f>
        <v>5.3586588433573397E-2</v>
      </c>
      <c r="G83" s="199">
        <f>Statement!Q94</f>
        <v>-4.6430846560335276E-2</v>
      </c>
      <c r="I83" s="221"/>
    </row>
    <row r="84" spans="2:9" x14ac:dyDescent="0.2">
      <c r="B84" s="20" t="s">
        <v>361</v>
      </c>
      <c r="C84" s="199">
        <f>Statement!M95</f>
        <v>-1</v>
      </c>
      <c r="D84" s="199">
        <f>Statement!N95</f>
        <v>0.3047494141085067</v>
      </c>
      <c r="E84" s="199">
        <f>Statement!O95</f>
        <v>0.52705127726590162</v>
      </c>
      <c r="F84" s="199">
        <f>Statement!P95</f>
        <v>1.3058523555123847E-2</v>
      </c>
      <c r="G84" s="199">
        <f>Statement!Q95</f>
        <v>1.3491440557547871</v>
      </c>
      <c r="I84" s="221"/>
    </row>
    <row r="85" spans="2:9" x14ac:dyDescent="0.2">
      <c r="B85" s="20" t="s">
        <v>362</v>
      </c>
      <c r="C85" s="199">
        <f>Statement!M97</f>
        <v>-1</v>
      </c>
      <c r="D85" s="199">
        <f>Statement!N97</f>
        <v>0.37526494236908897</v>
      </c>
      <c r="E85" s="199">
        <f>Statement!O97</f>
        <v>0.72626023292076791</v>
      </c>
      <c r="F85" s="199">
        <f>Statement!P97</f>
        <v>0.18011192327803924</v>
      </c>
      <c r="G85" s="199">
        <f>Statement!Q97</f>
        <v>4.8311124379189625</v>
      </c>
      <c r="I85" s="221"/>
    </row>
    <row r="88" spans="2:9" ht="17" thickBot="1" x14ac:dyDescent="0.25">
      <c r="B88" s="14" t="s">
        <v>363</v>
      </c>
      <c r="C88" s="14"/>
      <c r="D88" s="14"/>
      <c r="E88" s="14"/>
      <c r="F88" s="14"/>
      <c r="G88" s="14"/>
      <c r="I88" s="14"/>
    </row>
    <row r="89" spans="2:9" x14ac:dyDescent="0.2">
      <c r="B89" s="20" t="s">
        <v>364</v>
      </c>
      <c r="C89" s="199">
        <f>Statement!M199</f>
        <v>1</v>
      </c>
      <c r="D89" s="199">
        <f>Statement!N199</f>
        <v>3.4084087514825716E-2</v>
      </c>
      <c r="E89" s="199">
        <f>Statement!O199</f>
        <v>0.24818614965570993</v>
      </c>
      <c r="F89" s="199">
        <f>Statement!P199</f>
        <v>-5.5102093364575021E-2</v>
      </c>
      <c r="G89" s="199">
        <f>Statement!Q199</f>
        <v>3.2771752459329104E-2</v>
      </c>
      <c r="I89" s="221"/>
    </row>
    <row r="90" spans="2:9" x14ac:dyDescent="0.2">
      <c r="B90" s="20" t="s">
        <v>365</v>
      </c>
      <c r="C90" s="199">
        <f>Statement!M200</f>
        <v>1</v>
      </c>
      <c r="D90" s="199">
        <f>Statement!N200</f>
        <v>0.37569180272908909</v>
      </c>
      <c r="E90" s="199">
        <f>Statement!O200</f>
        <v>0.27729682030883041</v>
      </c>
      <c r="F90" s="199">
        <f>Statement!P200</f>
        <v>0.23392027917368038</v>
      </c>
      <c r="G90" s="199">
        <f>Statement!Q200</f>
        <v>0.19019336689332336</v>
      </c>
      <c r="I90" s="221"/>
    </row>
    <row r="91" spans="2:9" x14ac:dyDescent="0.2">
      <c r="B91" s="20" t="s">
        <v>366</v>
      </c>
      <c r="C91" s="199">
        <f>Statement!M201</f>
        <v>1</v>
      </c>
      <c r="D91" s="199">
        <f>Statement!N201</f>
        <v>0.26768885199472631</v>
      </c>
      <c r="E91" s="199">
        <f>Statement!O201</f>
        <v>-0.29197642617772812</v>
      </c>
      <c r="F91" s="199">
        <f>Statement!P201</f>
        <v>0.10317719384146673</v>
      </c>
      <c r="G91" s="199">
        <f>Statement!Q201</f>
        <v>0.22564418690666996</v>
      </c>
      <c r="I91" s="221"/>
    </row>
    <row r="93" spans="2:9" ht="17" thickBot="1" x14ac:dyDescent="0.25">
      <c r="B93" s="14" t="s">
        <v>368</v>
      </c>
      <c r="C93" s="14"/>
      <c r="D93" s="14"/>
      <c r="E93" s="14"/>
      <c r="F93" s="14"/>
      <c r="G93" s="14"/>
      <c r="I93" s="14"/>
    </row>
    <row r="94" spans="2:9" x14ac:dyDescent="0.2">
      <c r="B94" s="20" t="s">
        <v>337</v>
      </c>
      <c r="C94" s="199">
        <f>Statement!M205</f>
        <v>0</v>
      </c>
      <c r="D94" s="199">
        <f>Statement!N205</f>
        <v>0</v>
      </c>
      <c r="E94" s="199">
        <f>Statement!O205</f>
        <v>0</v>
      </c>
      <c r="F94" s="199">
        <f>Statement!P205</f>
        <v>0</v>
      </c>
      <c r="G94" s="199">
        <f>Statement!Q205</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6"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369</v>
      </c>
      <c r="D3" s="254"/>
      <c r="F3" s="255" t="s">
        <v>370</v>
      </c>
      <c r="G3" s="254"/>
    </row>
    <row r="4" spans="2:7" x14ac:dyDescent="0.2">
      <c r="B4" s="8"/>
      <c r="C4" s="10" t="str">
        <f>Statement!Z2</f>
        <v>31.01.2026</v>
      </c>
      <c r="D4" s="227" t="str">
        <f>Statement!AA2</f>
        <v>30.04.2026</v>
      </c>
      <c r="F4" s="228" t="str">
        <f>Statement!W2</f>
        <v>30.04.2025</v>
      </c>
      <c r="G4" s="227" t="str">
        <f>Statement!AA2</f>
        <v>30.04.2026</v>
      </c>
    </row>
    <row r="5" spans="2:7" x14ac:dyDescent="0.2">
      <c r="B5" s="8" t="s">
        <v>375</v>
      </c>
      <c r="C5" s="10" t="str">
        <f>Statement!Z3</f>
        <v>Q4 2026</v>
      </c>
      <c r="D5" s="227" t="str">
        <f>Statement!AA3</f>
        <v>Q1 2027</v>
      </c>
      <c r="F5" s="228" t="str">
        <f>Statement!W3</f>
        <v>Q1 2026</v>
      </c>
      <c r="G5" s="227" t="str">
        <f>Statement!AA3</f>
        <v>Q1 2027</v>
      </c>
    </row>
    <row r="6" spans="2:7" x14ac:dyDescent="0.2">
      <c r="B6" s="229" t="s">
        <v>20</v>
      </c>
      <c r="C6" s="223">
        <f>Statement!Z5</f>
        <v>481107</v>
      </c>
      <c r="D6" s="222">
        <f>Statement!AA5</f>
        <v>418382</v>
      </c>
      <c r="F6" s="223">
        <f>Statement!W5</f>
        <v>356624</v>
      </c>
      <c r="G6" s="222">
        <f>Statement!AA5</f>
        <v>418382</v>
      </c>
    </row>
    <row r="7" spans="2:7" x14ac:dyDescent="0.2">
      <c r="B7" s="230" t="s">
        <v>371</v>
      </c>
      <c r="C7" s="251">
        <f>Statement!AA88</f>
        <v>-0.13037640275448081</v>
      </c>
      <c r="D7" s="252"/>
      <c r="F7" s="251">
        <f>IF(F6=0,
IF(G6=0,0,IF(G6&gt;0,1,-1)),
(G6-F6)/ABS(F6)
)</f>
        <v>0.17317398716855847</v>
      </c>
      <c r="G7" s="252"/>
    </row>
    <row r="8" spans="2:7" x14ac:dyDescent="0.2">
      <c r="B8" s="231" t="s">
        <v>21</v>
      </c>
      <c r="C8" s="224">
        <f>Statement!Z6</f>
        <v>73935</v>
      </c>
      <c r="D8" s="222">
        <f>Statement!AA6</f>
        <v>76928</v>
      </c>
      <c r="F8" s="224">
        <f>Statement!W6</f>
        <v>63857</v>
      </c>
      <c r="G8" s="222">
        <f>Statement!AA6</f>
        <v>76928</v>
      </c>
    </row>
    <row r="9" spans="2:7" x14ac:dyDescent="0.2">
      <c r="B9" s="230" t="s">
        <v>371</v>
      </c>
      <c r="C9" s="251">
        <f>Statement!AA89</f>
        <v>4.0481504023804696E-2</v>
      </c>
      <c r="D9" s="252"/>
      <c r="F9" s="251">
        <f>IF(F8=0,
IF(G8=0,0,IF(G8&gt;0,1,-1)),
(G8-F8)/ABS(F8)
)</f>
        <v>0.20469173309112548</v>
      </c>
      <c r="G9" s="252"/>
    </row>
    <row r="10" spans="2:7" x14ac:dyDescent="0.2">
      <c r="B10" s="231" t="s">
        <v>22</v>
      </c>
      <c r="C10" s="224">
        <f>Statement!Z7</f>
        <v>407172</v>
      </c>
      <c r="D10" s="222">
        <f>Statement!AA7</f>
        <v>341454</v>
      </c>
      <c r="F10" s="224">
        <f>Statement!W7</f>
        <v>292767</v>
      </c>
      <c r="G10" s="222">
        <f>Statement!AA7</f>
        <v>341454</v>
      </c>
    </row>
    <row r="11" spans="2:7" x14ac:dyDescent="0.2">
      <c r="B11" s="230" t="s">
        <v>371</v>
      </c>
      <c r="C11" s="251">
        <f>Statement!AA90</f>
        <v>-0.1614010786596328</v>
      </c>
      <c r="D11" s="252"/>
      <c r="F11" s="251">
        <f>IF(F10=0,
IF(G10=0,0,IF(G10&gt;0,1,-1)),
(G10-F10)/ABS(F10)
)</f>
        <v>0.16629948047423376</v>
      </c>
      <c r="G11" s="252"/>
    </row>
    <row r="12" spans="2:7" x14ac:dyDescent="0.2">
      <c r="B12" s="231" t="s">
        <v>26</v>
      </c>
      <c r="C12" s="224">
        <f>Statement!Z11</f>
        <v>326886</v>
      </c>
      <c r="D12" s="222">
        <f>Statement!AA11</f>
        <v>313467</v>
      </c>
      <c r="F12" s="224">
        <f>Statement!W11</f>
        <v>309179</v>
      </c>
      <c r="G12" s="222">
        <f>Statement!AA11</f>
        <v>313467</v>
      </c>
    </row>
    <row r="13" spans="2:7" x14ac:dyDescent="0.2">
      <c r="B13" s="230" t="s">
        <v>371</v>
      </c>
      <c r="C13" s="251">
        <f>Statement!AA94</f>
        <v>-4.1051008608505718E-2</v>
      </c>
      <c r="D13" s="252"/>
      <c r="F13" s="251">
        <f>IF(F12=0,
IF(G12=0,0,IF(G12&gt;0,1,-1)),
(G12-F12)/ABS(F12)
)</f>
        <v>1.3868988514743887E-2</v>
      </c>
      <c r="G13" s="252"/>
    </row>
    <row r="14" spans="2:7" x14ac:dyDescent="0.2">
      <c r="B14" s="231" t="s">
        <v>372</v>
      </c>
      <c r="C14" s="224">
        <f>Statement!Z12</f>
        <v>80286</v>
      </c>
      <c r="D14" s="222">
        <f>Statement!AA12</f>
        <v>27987</v>
      </c>
      <c r="F14" s="224">
        <f>Statement!W12</f>
        <v>-16412</v>
      </c>
      <c r="G14" s="222">
        <f>Statement!AA12</f>
        <v>27987</v>
      </c>
    </row>
    <row r="15" spans="2:7" x14ac:dyDescent="0.2">
      <c r="B15" s="230" t="s">
        <v>371</v>
      </c>
      <c r="C15" s="251">
        <f>Statement!AA95</f>
        <v>-0.65140871384799337</v>
      </c>
      <c r="D15" s="252"/>
      <c r="F15" s="251">
        <f>IF(F14=0,
IF(G14=0,0,IF(G14&gt;0,1,-1)),
(G14-F14)/ABS(F14)
)</f>
        <v>2.7052766268583963</v>
      </c>
      <c r="G15" s="252"/>
    </row>
    <row r="16" spans="2:7" x14ac:dyDescent="0.2">
      <c r="B16" s="231" t="s">
        <v>32</v>
      </c>
      <c r="C16" s="224">
        <f>Statement!Z18</f>
        <v>104462</v>
      </c>
      <c r="D16" s="222">
        <f>Statement!AA18</f>
        <v>22525</v>
      </c>
      <c r="F16" s="224">
        <f>Statement!W18</f>
        <v>-22555</v>
      </c>
      <c r="G16" s="222">
        <f>Statement!AA18</f>
        <v>22525</v>
      </c>
    </row>
    <row r="17" spans="2:7" x14ac:dyDescent="0.2">
      <c r="B17" s="230" t="s">
        <v>371</v>
      </c>
      <c r="C17" s="251">
        <f>Statement!AA97</f>
        <v>-0.78437135034749483</v>
      </c>
      <c r="D17" s="252"/>
      <c r="F17" s="251">
        <f>IF(F16=0,
IF(G16=0,0,IF(G16&gt;0,1,-1)),
(G16-F16)/ABS(F16)
)</f>
        <v>1.9986699179782754</v>
      </c>
      <c r="G17" s="252"/>
    </row>
    <row r="18" spans="2:7" x14ac:dyDescent="0.2">
      <c r="B18" s="231" t="s">
        <v>373</v>
      </c>
      <c r="C18" s="224">
        <f>Statement!Z22</f>
        <v>545284</v>
      </c>
      <c r="D18" s="222">
        <f>Statement!AA22</f>
        <v>527818</v>
      </c>
      <c r="F18" s="224">
        <f>Statement!W22</f>
        <v>548451</v>
      </c>
      <c r="G18" s="222">
        <f>Statement!AA22</f>
        <v>527818</v>
      </c>
    </row>
    <row r="19" spans="2:7" x14ac:dyDescent="0.2">
      <c r="B19" s="230" t="s">
        <v>371</v>
      </c>
      <c r="C19" s="251">
        <f>IF(C18=0,
IF(D18=0,0,IF(D18&gt;0,1,-1)),
(D18-C18)/ABS(C18)
)</f>
        <v>-3.2031015030699599E-2</v>
      </c>
      <c r="D19" s="252"/>
      <c r="F19" s="251">
        <f>IF(F18=0,
IF(G18=0,0,IF(G18&gt;0,1,-1)),
(G18-F18)/ABS(F18)
)</f>
        <v>-3.7620498458385526E-2</v>
      </c>
      <c r="G19" s="252"/>
    </row>
    <row r="20" spans="2:7" x14ac:dyDescent="0.2">
      <c r="B20" s="231" t="s">
        <v>39</v>
      </c>
      <c r="C20" s="225">
        <f>Statement!Z26</f>
        <v>0.19</v>
      </c>
      <c r="D20" s="226">
        <f>Statement!AA26</f>
        <v>0.04</v>
      </c>
      <c r="F20" s="225">
        <f>Statement!W26</f>
        <v>-0.04</v>
      </c>
      <c r="G20" s="226">
        <f>Statement!AA26</f>
        <v>0.04</v>
      </c>
    </row>
    <row r="21" spans="2:7" x14ac:dyDescent="0.2">
      <c r="B21" s="230" t="s">
        <v>371</v>
      </c>
      <c r="C21" s="251">
        <f>IF(C20=0,
IF(D20=0,0,IF(D20&gt;0,1,-1)),
(D20-C20)/ABS(C20)
)</f>
        <v>-0.78947368421052633</v>
      </c>
      <c r="D21" s="252"/>
      <c r="F21" s="251">
        <f>IF(F20=0,
IF(G20=0,0,IF(G20&gt;0,1,-1)),
(G20-F20)/ABS(F20)
)</f>
        <v>2</v>
      </c>
      <c r="G21" s="252"/>
    </row>
    <row r="23" spans="2:7" x14ac:dyDescent="0.2">
      <c r="B23" s="8" t="s">
        <v>374</v>
      </c>
      <c r="C23" s="10" t="str">
        <f>C5</f>
        <v>Q4 2026</v>
      </c>
      <c r="D23" s="227" t="str">
        <f>D5</f>
        <v>Q1 2027</v>
      </c>
      <c r="F23" s="228" t="str">
        <f>F5</f>
        <v>Q1 2026</v>
      </c>
      <c r="G23" s="227" t="str">
        <f>G5</f>
        <v>Q1 2027</v>
      </c>
    </row>
    <row r="24" spans="2:7" x14ac:dyDescent="0.2">
      <c r="B24" s="20" t="s">
        <v>113</v>
      </c>
      <c r="C24" s="224">
        <f>Statement!Z105</f>
        <v>215904</v>
      </c>
      <c r="D24" s="222">
        <f>Statement!AA105</f>
        <v>149309</v>
      </c>
      <c r="F24" s="224">
        <f>Statement!W105</f>
        <v>128286</v>
      </c>
      <c r="G24" s="222">
        <f>Statement!AA105</f>
        <v>149309</v>
      </c>
    </row>
    <row r="25" spans="2:7" x14ac:dyDescent="0.2">
      <c r="B25" s="230" t="s">
        <v>371</v>
      </c>
      <c r="C25" s="251">
        <f>IF(C24=0,
IF(D24=0,0,IF(D24&gt;0,1,-1)),
(D24-C24)/ABS(C24)
)</f>
        <v>-0.30844727286201273</v>
      </c>
      <c r="D25" s="252"/>
      <c r="F25" s="251">
        <f>IF(F24=0,
IF(G24=0,0,IF(G24&gt;0,1,-1)),
(G24-F24)/ABS(F24)
)</f>
        <v>0.16387602700216702</v>
      </c>
      <c r="G25" s="252"/>
    </row>
    <row r="26" spans="2:7" x14ac:dyDescent="0.2">
      <c r="B26" s="20" t="s">
        <v>114</v>
      </c>
      <c r="C26" s="224">
        <f>Statement!Z106</f>
        <v>251233</v>
      </c>
      <c r="D26" s="222">
        <f>Statement!AA106</f>
        <v>252903</v>
      </c>
      <c r="F26" s="224">
        <f>Statement!W106</f>
        <v>217303</v>
      </c>
      <c r="G26" s="222">
        <f>Statement!AA106</f>
        <v>252903</v>
      </c>
    </row>
    <row r="27" spans="2:7" x14ac:dyDescent="0.2">
      <c r="B27" s="230" t="s">
        <v>371</v>
      </c>
      <c r="C27" s="251">
        <f>IF(C26=0,
IF(D26=0,0,IF(D26&gt;0,1,-1)),
(D26-C26)/ABS(C26)
)</f>
        <v>6.6472159310281692E-3</v>
      </c>
      <c r="D27" s="252"/>
      <c r="F27" s="251">
        <f>IF(F26=0,
IF(G26=0,0,IF(G26&gt;0,1,-1)),
(G26-F26)/ABS(F26)
)</f>
        <v>0.16382654634312457</v>
      </c>
      <c r="G27" s="252"/>
    </row>
    <row r="28" spans="2:7" x14ac:dyDescent="0.2">
      <c r="B28" s="20" t="s">
        <v>115</v>
      </c>
      <c r="C28" s="224">
        <f>Statement!Z107</f>
        <v>13970</v>
      </c>
      <c r="D28" s="222">
        <f>Statement!AA107</f>
        <v>16170</v>
      </c>
      <c r="F28" s="224">
        <f>Statement!W107</f>
        <v>11035</v>
      </c>
      <c r="G28" s="222">
        <f>Statement!AA107</f>
        <v>16170</v>
      </c>
    </row>
    <row r="29" spans="2:7" x14ac:dyDescent="0.2">
      <c r="B29" s="230" t="s">
        <v>371</v>
      </c>
      <c r="C29" s="251">
        <f>IF(C28=0,
IF(D28=0,0,IF(D28&gt;0,1,-1)),
(D28-C28)/ABS(C28)
)</f>
        <v>0.15748031496062992</v>
      </c>
      <c r="D29" s="252"/>
      <c r="F29" s="251">
        <f>IF(F28=0,
IF(G28=0,0,IF(G28&gt;0,1,-1)),
(G28-F28)/ABS(F28)
)</f>
        <v>0.46533756230176709</v>
      </c>
      <c r="G29" s="252"/>
    </row>
    <row r="31" spans="2:7" x14ac:dyDescent="0.2">
      <c r="B31" s="8" t="s">
        <v>376</v>
      </c>
      <c r="C31" s="10" t="str">
        <f>C5</f>
        <v>Q4 2026</v>
      </c>
      <c r="D31" s="10" t="str">
        <f>D5</f>
        <v>Q1 2027</v>
      </c>
      <c r="F31" s="10" t="str">
        <f>F5</f>
        <v>Q1 2026</v>
      </c>
      <c r="G31" s="10" t="str">
        <f>G5</f>
        <v>Q1 2027</v>
      </c>
    </row>
    <row r="32" spans="2:7" x14ac:dyDescent="0.2">
      <c r="B32" s="20" t="s">
        <v>130</v>
      </c>
      <c r="C32" s="224">
        <f>Statement!Z138</f>
        <v>1852567</v>
      </c>
      <c r="D32" s="224">
        <f>Statement!AA138</f>
        <v>1901211</v>
      </c>
      <c r="F32" s="224">
        <f>Statement!W138</f>
        <v>1692683</v>
      </c>
      <c r="G32" s="222">
        <f>Statement!AA138</f>
        <v>1901211</v>
      </c>
    </row>
    <row r="33" spans="2:7" x14ac:dyDescent="0.2">
      <c r="B33" s="230" t="s">
        <v>371</v>
      </c>
      <c r="C33" s="251">
        <f>IF(C32=0,
IF(D32=0,0,IF(D32&gt;0,1,-1)),
(D32-C32)/ABS(C32)
)</f>
        <v>2.6257619832373135E-2</v>
      </c>
      <c r="D33" s="252"/>
      <c r="F33" s="251">
        <f>IF(F32=0,
IF(G32=0,0,IF(G32&gt;0,1,-1)),
(G32-F32)/ABS(F32)
)</f>
        <v>0.12319376989075922</v>
      </c>
      <c r="G33" s="252"/>
    </row>
    <row r="34" spans="2:7" x14ac:dyDescent="0.2">
      <c r="B34" s="20" t="s">
        <v>134</v>
      </c>
      <c r="C34" s="224">
        <f>Statement!Z142</f>
        <v>2565</v>
      </c>
      <c r="D34" s="224">
        <f>Statement!AA142</f>
        <v>2624</v>
      </c>
      <c r="F34" s="224">
        <f>Statement!W142</f>
        <v>2365</v>
      </c>
      <c r="G34" s="222">
        <f>Statement!AA142</f>
        <v>2624</v>
      </c>
    </row>
    <row r="35" spans="2:7" x14ac:dyDescent="0.2">
      <c r="B35" s="230" t="s">
        <v>371</v>
      </c>
      <c r="C35" s="251">
        <f>IF(C34=0,
IF(D34=0,0,IF(D34&gt;0,1,-1)),
(D34-C34)/ABS(C34)
)</f>
        <v>2.3001949317738791E-2</v>
      </c>
      <c r="D35" s="252"/>
      <c r="F35" s="251">
        <f>IF(F34=0,
IF(G34=0,0,IF(G34&gt;0,1,-1)),
(G34-F34)/ABS(F34)
)</f>
        <v>0.10951374207188161</v>
      </c>
      <c r="G35" s="252"/>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313</v>
      </c>
      <c r="C60" s="64">
        <f>Statement!H174</f>
        <v>0</v>
      </c>
      <c r="D60" s="64">
        <f>Statement!I174</f>
        <v>0</v>
      </c>
      <c r="E60" s="64">
        <f>Statement!J174</f>
        <v>0</v>
      </c>
      <c r="F60" s="64">
        <f>Statement!K174</f>
        <v>0</v>
      </c>
      <c r="G60" s="64">
        <f>Statement!L174</f>
        <v>0</v>
      </c>
      <c r="H60" s="64">
        <f>Statement!M174</f>
        <v>-582375</v>
      </c>
      <c r="I60" s="64">
        <f>Statement!N174</f>
        <v>-403636</v>
      </c>
      <c r="J60" s="64">
        <f>Statement!O174</f>
        <v>-80215</v>
      </c>
      <c r="K60" s="64">
        <f>Statement!P174</f>
        <v>-52509</v>
      </c>
      <c r="L60" s="64">
        <f>Statement!Q174</f>
        <v>61484</v>
      </c>
    </row>
    <row r="61" spans="2:12" x14ac:dyDescent="0.2">
      <c r="B61" s="20" t="s">
        <v>314</v>
      </c>
      <c r="C61" s="64">
        <f>Statement!H175</f>
        <v>0</v>
      </c>
      <c r="D61" s="64">
        <f>Statement!I175</f>
        <v>0</v>
      </c>
      <c r="E61" s="64">
        <f>Statement!J175</f>
        <v>0</v>
      </c>
      <c r="F61" s="64">
        <f>Statement!K175</f>
        <v>0</v>
      </c>
      <c r="G61" s="64">
        <f>Statement!L175</f>
        <v>0</v>
      </c>
      <c r="H61" s="64">
        <f>Statement!M175</f>
        <v>-603972</v>
      </c>
      <c r="I61" s="64">
        <f>Statement!N175</f>
        <v>-500062</v>
      </c>
      <c r="J61" s="64">
        <f>Statement!O175</f>
        <v>-216393</v>
      </c>
      <c r="K61" s="64">
        <f>Statement!P175</f>
        <v>-202032</v>
      </c>
      <c r="L61" s="64">
        <f>Statement!Q175</f>
        <v>-94526</v>
      </c>
    </row>
    <row r="62" spans="2:12" x14ac:dyDescent="0.2">
      <c r="B62" s="20" t="s">
        <v>79</v>
      </c>
      <c r="C62" s="58">
        <f>Statement!H100</f>
        <v>0</v>
      </c>
      <c r="D62" s="58">
        <f>Statement!I100</f>
        <v>0</v>
      </c>
      <c r="E62" s="58">
        <f>Statement!J100</f>
        <v>0</v>
      </c>
      <c r="F62" s="58">
        <f>Statement!K100</f>
        <v>0</v>
      </c>
      <c r="G62" s="58">
        <f>Statement!L100</f>
        <v>0</v>
      </c>
      <c r="H62" s="58">
        <f>Statement!M100</f>
        <v>0.81073956684882742</v>
      </c>
      <c r="I62" s="58">
        <f>Statement!N100</f>
        <v>0.82991287393217905</v>
      </c>
      <c r="J62" s="58">
        <f>Statement!O100</f>
        <v>0.85021925398601916</v>
      </c>
      <c r="K62" s="58">
        <f>Statement!P100</f>
        <v>0.82727270183763457</v>
      </c>
      <c r="L62" s="58">
        <f>Statement!Q100</f>
        <v>0.83174673345867178</v>
      </c>
    </row>
    <row r="63" spans="2:12" x14ac:dyDescent="0.2">
      <c r="B63" s="20" t="s">
        <v>80</v>
      </c>
      <c r="C63" s="58">
        <f>Statement!H101</f>
        <v>0</v>
      </c>
      <c r="D63" s="58">
        <f>Statement!I101</f>
        <v>0</v>
      </c>
      <c r="E63" s="58">
        <f>Statement!J101</f>
        <v>0</v>
      </c>
      <c r="F63" s="58">
        <f>Statement!K101</f>
        <v>0</v>
      </c>
      <c r="G63" s="58">
        <f>Statement!L101</f>
        <v>0</v>
      </c>
      <c r="H63" s="58">
        <f>Statement!M101</f>
        <v>-0.56144004160259653</v>
      </c>
      <c r="I63" s="58">
        <f>Statement!N101</f>
        <v>-0.32900930585377974</v>
      </c>
      <c r="J63" s="58">
        <f>Statement!O101</f>
        <v>-0.12592579001767487</v>
      </c>
      <c r="K63" s="58">
        <f>Statement!P101</f>
        <v>-0.11371133357208407</v>
      </c>
      <c r="L63" s="58">
        <f>Statement!Q101</f>
        <v>3.5242137575966802E-2</v>
      </c>
    </row>
    <row r="64" spans="2:12" x14ac:dyDescent="0.2">
      <c r="B64" s="20" t="s">
        <v>81</v>
      </c>
      <c r="C64" s="58">
        <f>Statement!H102</f>
        <v>0</v>
      </c>
      <c r="D64" s="58">
        <f>Statement!I102</f>
        <v>0</v>
      </c>
      <c r="E64" s="58">
        <f>Statement!J102</f>
        <v>0</v>
      </c>
      <c r="F64" s="58">
        <f>Statement!K102</f>
        <v>0</v>
      </c>
      <c r="G64" s="58">
        <f>Statement!L102</f>
        <v>0</v>
      </c>
      <c r="H64" s="58">
        <f>Statement!M102</f>
        <v>-0.58905555829519018</v>
      </c>
      <c r="I64" s="58">
        <f>Statement!N102</f>
        <v>-0.31018127096556619</v>
      </c>
      <c r="J64" s="58">
        <f>Statement!O102</f>
        <v>-6.8714107480322181E-2</v>
      </c>
      <c r="K64" s="58">
        <f>Statement!P102</f>
        <v>-5.1546377330617545E-2</v>
      </c>
      <c r="L64" s="58">
        <f>Statement!Q102</f>
        <v>0.17529796867199976</v>
      </c>
    </row>
    <row r="65" spans="2:12" x14ac:dyDescent="0.2">
      <c r="B65" s="20" t="s">
        <v>402</v>
      </c>
      <c r="C65" s="64">
        <f>Statement!H105</f>
        <v>0</v>
      </c>
      <c r="D65" s="64">
        <f>Statement!I105</f>
        <v>0</v>
      </c>
      <c r="E65" s="64">
        <f>Statement!J105</f>
        <v>0</v>
      </c>
      <c r="F65" s="64">
        <f>Statement!K105</f>
        <v>0</v>
      </c>
      <c r="G65" s="64">
        <f>Statement!L105</f>
        <v>0</v>
      </c>
      <c r="H65" s="64">
        <f>Statement!M105</f>
        <v>481427</v>
      </c>
      <c r="I65" s="64">
        <f>Statement!N105</f>
        <v>497836</v>
      </c>
      <c r="J65" s="64">
        <f>Statement!O105</f>
        <v>621392</v>
      </c>
      <c r="K65" s="64">
        <f>Statement!P105</f>
        <v>587152</v>
      </c>
      <c r="L65" s="64">
        <f>Statement!Q105</f>
        <v>606394</v>
      </c>
    </row>
    <row r="66" spans="2:12" x14ac:dyDescent="0.2">
      <c r="B66" s="20" t="s">
        <v>403</v>
      </c>
      <c r="C66" s="64">
        <f>Statement!H106</f>
        <v>0</v>
      </c>
      <c r="D66" s="64">
        <f>Statement!I106</f>
        <v>0</v>
      </c>
      <c r="E66" s="64">
        <f>Statement!J106</f>
        <v>0</v>
      </c>
      <c r="F66" s="64">
        <f>Statement!K106</f>
        <v>0</v>
      </c>
      <c r="G66" s="64">
        <f>Statement!L106</f>
        <v>0</v>
      </c>
      <c r="H66" s="64">
        <f>Statement!M106</f>
        <v>369867</v>
      </c>
      <c r="I66" s="64">
        <f>Statement!N106</f>
        <v>508823</v>
      </c>
      <c r="J66" s="64">
        <f>Statement!O106</f>
        <v>649918</v>
      </c>
      <c r="K66" s="64">
        <f>Statement!P106</f>
        <v>801947</v>
      </c>
      <c r="L66" s="64">
        <f>Statement!Q106</f>
        <v>954472</v>
      </c>
    </row>
    <row r="67" spans="2:12" x14ac:dyDescent="0.2">
      <c r="B67" s="20" t="s">
        <v>404</v>
      </c>
      <c r="C67" s="64">
        <f>Statement!H107</f>
        <v>0</v>
      </c>
      <c r="D67" s="64">
        <f>Statement!I107</f>
        <v>0</v>
      </c>
      <c r="E67" s="64">
        <f>Statement!J107</f>
        <v>0</v>
      </c>
      <c r="F67" s="64">
        <f>Statement!K107</f>
        <v>0</v>
      </c>
      <c r="G67" s="64">
        <f>Statement!L107</f>
        <v>0</v>
      </c>
      <c r="H67" s="64">
        <f>Statement!M107</f>
        <v>40958</v>
      </c>
      <c r="I67" s="64">
        <f>Statement!N107</f>
        <v>51922</v>
      </c>
      <c r="J67" s="64">
        <f>Statement!O107</f>
        <v>36762</v>
      </c>
      <c r="K67" s="64">
        <f>Statement!P107</f>
        <v>40555</v>
      </c>
      <c r="L67" s="64">
        <f>Statement!Q107</f>
        <v>49706</v>
      </c>
    </row>
    <row r="68" spans="2:12" x14ac:dyDescent="0.2">
      <c r="B68" s="20" t="s">
        <v>121</v>
      </c>
      <c r="C68" s="244">
        <f>Statement!H132</f>
        <v>0</v>
      </c>
      <c r="D68" s="244">
        <f>Statement!I132</f>
        <v>0</v>
      </c>
      <c r="E68" s="244">
        <f>Statement!J132</f>
        <v>0</v>
      </c>
      <c r="F68" s="244">
        <f>Statement!K132</f>
        <v>0</v>
      </c>
      <c r="G68" s="244">
        <f>Statement!L132</f>
        <v>0</v>
      </c>
      <c r="H68" s="244">
        <f>Statement!M132</f>
        <v>-0.20431339773367801</v>
      </c>
      <c r="I68" s="244">
        <f>Statement!N132</f>
        <v>-0.12004653397221271</v>
      </c>
      <c r="J68" s="244">
        <f>Statement!O132</f>
        <v>-3.0419750111515053E-2</v>
      </c>
      <c r="K68" s="244">
        <f>Statement!P132</f>
        <v>-2.5719740199003933E-2</v>
      </c>
      <c r="L68" s="244">
        <f>Statement!Q132</f>
        <v>8.8805359838953199E-2</v>
      </c>
    </row>
    <row r="69" spans="2:12" x14ac:dyDescent="0.2">
      <c r="B69" s="20" t="s">
        <v>123</v>
      </c>
      <c r="C69" s="244">
        <f>Statement!H134</f>
        <v>0</v>
      </c>
      <c r="D69" s="244">
        <f>Statement!I134</f>
        <v>0</v>
      </c>
      <c r="E69" s="244">
        <f>Statement!J134</f>
        <v>0</v>
      </c>
      <c r="F69" s="244">
        <f>Statement!K134</f>
        <v>0</v>
      </c>
      <c r="G69" s="244">
        <f>Statement!L134</f>
        <v>0</v>
      </c>
      <c r="H69" s="244">
        <f>Statement!M134</f>
        <v>-0.27346966596372269</v>
      </c>
      <c r="I69" s="244">
        <f>Statement!N134</f>
        <v>-0.17100259457815453</v>
      </c>
      <c r="J69" s="244">
        <f>Statement!O134</f>
        <v>-4.4582300405631825E-2</v>
      </c>
      <c r="K69" s="244">
        <f>Statement!P134</f>
        <v>-3.9926057639067224E-2</v>
      </c>
      <c r="L69" s="244">
        <f>Statement!Q134</f>
        <v>0.13556696550972422</v>
      </c>
    </row>
    <row r="70" spans="2:12" x14ac:dyDescent="0.2">
      <c r="B70" s="20" t="s">
        <v>124</v>
      </c>
      <c r="C70" s="244">
        <f>Statement!H157</f>
        <v>0</v>
      </c>
      <c r="D70" s="244">
        <f>Statement!I157</f>
        <v>0</v>
      </c>
      <c r="E70" s="244">
        <f>Statement!J157</f>
        <v>0</v>
      </c>
      <c r="F70" s="244">
        <f>Statement!K157</f>
        <v>0</v>
      </c>
      <c r="G70" s="244">
        <f>Statement!L157</f>
        <v>0</v>
      </c>
      <c r="H70" s="244">
        <f>Statement!M157</f>
        <v>-8.8230445426845385</v>
      </c>
      <c r="I70" s="244">
        <f>Statement!N157</f>
        <v>-2.1332373748200779</v>
      </c>
      <c r="J70" s="244">
        <f>Statement!O157</f>
        <v>-1.2085904425090432</v>
      </c>
      <c r="K70" s="244">
        <f>Statement!P157</f>
        <v>-0.75178502062484975</v>
      </c>
      <c r="L70" s="244">
        <f>Statement!Q157</f>
        <v>9.3033776374731397E-2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Statement!T100</f>
        <v>0.79978055544137128</v>
      </c>
      <c r="D60" s="58">
        <f>Statement!U100</f>
        <v>0.82021017727186851</v>
      </c>
      <c r="E60" s="58">
        <f>Statement!V100</f>
        <v>0.84766998862257636</v>
      </c>
      <c r="F60" s="58">
        <f>Statement!W100</f>
        <v>0.82094026201265202</v>
      </c>
      <c r="G60" s="58">
        <f>Statement!X100</f>
        <v>0.82202096602972397</v>
      </c>
      <c r="H60" s="58">
        <f>Statement!Y100</f>
        <v>0.83262022850165285</v>
      </c>
      <c r="I60" s="58">
        <f>Statement!Z100</f>
        <v>0.84632316719565504</v>
      </c>
      <c r="J60" s="58">
        <f>Statement!AA100</f>
        <v>0.81612975701631518</v>
      </c>
    </row>
    <row r="61" spans="2:10" x14ac:dyDescent="0.2">
      <c r="B61" s="20" t="s">
        <v>80</v>
      </c>
      <c r="C61" s="58">
        <f>Statement!T101</f>
        <v>-0.32679215691234548</v>
      </c>
      <c r="D61" s="58">
        <f>Statement!U101</f>
        <v>-0.12227162888795527</v>
      </c>
      <c r="E61" s="58">
        <f>Statement!V101</f>
        <v>7.9332744791642082E-2</v>
      </c>
      <c r="F61" s="58">
        <f>Statement!W101</f>
        <v>-4.602045852214097E-2</v>
      </c>
      <c r="G61" s="58">
        <f>Statement!X101</f>
        <v>-5.5801596779900917E-2</v>
      </c>
      <c r="H61" s="58">
        <f>Statement!Y101</f>
        <v>3.1794178242964828E-2</v>
      </c>
      <c r="I61" s="58">
        <f>Statement!Z101</f>
        <v>0.16687763844633313</v>
      </c>
      <c r="J61" s="58">
        <f>Statement!AA101</f>
        <v>6.689341319655244E-2</v>
      </c>
    </row>
    <row r="62" spans="2:10" x14ac:dyDescent="0.2">
      <c r="B62" s="20" t="s">
        <v>81</v>
      </c>
      <c r="C62" s="58">
        <f>Statement!T102</f>
        <v>-0.27224089573853844</v>
      </c>
      <c r="D62" s="58">
        <f>Statement!U102</f>
        <v>-3.0043450922450959E-2</v>
      </c>
      <c r="E62" s="58">
        <f>Statement!V102</f>
        <v>0.12225773405154303</v>
      </c>
      <c r="F62" s="58">
        <f>Statement!W102</f>
        <v>-6.3245883619722734E-2</v>
      </c>
      <c r="G62" s="58">
        <f>Statement!X102</f>
        <v>4.3789808917197451E-3</v>
      </c>
      <c r="H62" s="58">
        <f>Statement!Y102</f>
        <v>0.48366021020984495</v>
      </c>
      <c r="I62" s="58">
        <f>Statement!Z102</f>
        <v>0.2171284142612766</v>
      </c>
      <c r="J62" s="58">
        <f>Statement!AA102</f>
        <v>5.3838358246769698E-2</v>
      </c>
    </row>
    <row r="63" spans="2:10" x14ac:dyDescent="0.2">
      <c r="B63" s="20" t="s">
        <v>402</v>
      </c>
      <c r="C63" s="64">
        <f>Statement!T105</f>
        <v>112251</v>
      </c>
      <c r="D63" s="64">
        <f>Statement!U105</f>
        <v>137174</v>
      </c>
      <c r="E63" s="64">
        <f>Statement!V105</f>
        <v>197609</v>
      </c>
      <c r="F63" s="64">
        <f>Statement!W105</f>
        <v>128286</v>
      </c>
      <c r="G63" s="64">
        <f>Statement!X105</f>
        <v>112161</v>
      </c>
      <c r="H63" s="64">
        <f>Statement!Y105</f>
        <v>150043</v>
      </c>
      <c r="I63" s="64">
        <f>Statement!Z105</f>
        <v>215904</v>
      </c>
      <c r="J63" s="64">
        <f>Statement!AA105</f>
        <v>149309</v>
      </c>
    </row>
    <row r="64" spans="2:10" x14ac:dyDescent="0.2">
      <c r="B64" s="20" t="s">
        <v>403</v>
      </c>
      <c r="C64" s="64">
        <f>Statement!T106</f>
        <v>194673</v>
      </c>
      <c r="D64" s="64">
        <f>Statement!U106</f>
        <v>206922</v>
      </c>
      <c r="E64" s="64">
        <f>Statement!V106</f>
        <v>215221</v>
      </c>
      <c r="F64" s="64">
        <f>Statement!W106</f>
        <v>217303</v>
      </c>
      <c r="G64" s="64">
        <f>Statement!X106</f>
        <v>238363</v>
      </c>
      <c r="H64" s="64">
        <f>Statement!Y106</f>
        <v>247573</v>
      </c>
      <c r="I64" s="64">
        <f>Statement!Z106</f>
        <v>251233</v>
      </c>
      <c r="J64" s="64">
        <f>Statement!AA106</f>
        <v>252903</v>
      </c>
    </row>
    <row r="65" spans="2:10" x14ac:dyDescent="0.2">
      <c r="B65" s="20" t="s">
        <v>404</v>
      </c>
      <c r="C65" s="64">
        <f>Statement!T107</f>
        <v>9329</v>
      </c>
      <c r="D65" s="64">
        <f>Statement!U107</f>
        <v>10557</v>
      </c>
      <c r="E65" s="64">
        <f>Statement!V107</f>
        <v>10816</v>
      </c>
      <c r="F65" s="64">
        <f>Statement!W107</f>
        <v>11035</v>
      </c>
      <c r="G65" s="64">
        <f>Statement!X107</f>
        <v>11204</v>
      </c>
      <c r="H65" s="64">
        <f>Statement!Y107</f>
        <v>13497</v>
      </c>
      <c r="I65" s="64">
        <f>Statement!Z107</f>
        <v>13970</v>
      </c>
      <c r="J65" s="64">
        <f>Statement!AA107</f>
        <v>16170</v>
      </c>
    </row>
    <row r="66" spans="2:10" x14ac:dyDescent="0.2">
      <c r="B66" s="20" t="s">
        <v>313</v>
      </c>
      <c r="C66" s="64">
        <f>Statement!T174</f>
        <v>-49347</v>
      </c>
      <c r="D66" s="64">
        <f>Statement!U174</f>
        <v>-64293</v>
      </c>
      <c r="E66" s="64">
        <f>Statement!V174</f>
        <v>0</v>
      </c>
      <c r="F66" s="64">
        <f>Statement!W174</f>
        <v>29809</v>
      </c>
      <c r="G66" s="64">
        <f>Statement!X174</f>
        <v>-36419</v>
      </c>
      <c r="H66" s="64">
        <f>Statement!Y174</f>
        <v>-46368</v>
      </c>
      <c r="I66" s="64">
        <f>Statement!Z174</f>
        <v>114462</v>
      </c>
      <c r="J66" s="64">
        <f>Statement!AA174</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P33"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7" t="s">
        <v>137</v>
      </c>
      <c r="D2" s="247"/>
      <c r="E2" s="247"/>
      <c r="F2" s="247"/>
      <c r="G2" s="256"/>
      <c r="H2" s="257" t="s">
        <v>138</v>
      </c>
      <c r="I2" s="247"/>
      <c r="J2" s="247"/>
      <c r="K2" s="247"/>
      <c r="L2" s="247"/>
      <c r="O2" s="5"/>
      <c r="S2" s="247" t="s">
        <v>137</v>
      </c>
      <c r="T2" s="247"/>
      <c r="U2" s="247"/>
      <c r="V2" s="247"/>
      <c r="W2" s="247"/>
      <c r="X2" s="247"/>
      <c r="Y2" s="247"/>
      <c r="Z2" s="247"/>
      <c r="AA2" s="247" t="s">
        <v>138</v>
      </c>
      <c r="AB2" s="247"/>
      <c r="AC2" s="247"/>
      <c r="AE2" s="87" t="s">
        <v>139</v>
      </c>
    </row>
    <row r="3" spans="1:31" ht="10" customHeight="1" x14ac:dyDescent="0.2">
      <c r="O3" s="5"/>
    </row>
    <row r="4" spans="1:31" ht="16" customHeight="1" x14ac:dyDescent="0.2">
      <c r="A4" s="88"/>
      <c r="B4" s="60"/>
      <c r="C4" s="258" t="s">
        <v>140</v>
      </c>
      <c r="D4" s="258"/>
      <c r="E4" s="258"/>
      <c r="F4" s="258"/>
      <c r="G4" s="258"/>
      <c r="H4" s="258"/>
      <c r="I4" s="258"/>
      <c r="J4" s="258"/>
      <c r="K4" s="258"/>
      <c r="L4" s="258"/>
      <c r="O4" s="5"/>
      <c r="S4" s="259" t="s">
        <v>140</v>
      </c>
      <c r="T4" s="260"/>
      <c r="U4" s="260"/>
      <c r="V4" s="260"/>
      <c r="W4" s="260"/>
      <c r="X4" s="260"/>
      <c r="Y4" s="260"/>
      <c r="Z4" s="260"/>
      <c r="AA4" s="260"/>
      <c r="AB4" s="260"/>
      <c r="AC4" s="260"/>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8" t="s">
        <v>146</v>
      </c>
      <c r="D11" s="258"/>
      <c r="E11" s="258"/>
      <c r="F11" s="258"/>
      <c r="G11" s="258"/>
      <c r="H11" s="258"/>
      <c r="I11" s="258"/>
      <c r="J11" s="258"/>
      <c r="K11" s="258"/>
      <c r="L11" s="258"/>
      <c r="O11" s="5"/>
      <c r="Q11" s="93"/>
      <c r="S11" s="259" t="s">
        <v>146</v>
      </c>
      <c r="T11" s="260"/>
      <c r="U11" s="260"/>
      <c r="V11" s="260"/>
      <c r="W11" s="260"/>
      <c r="X11" s="260"/>
      <c r="Y11" s="260"/>
      <c r="Z11" s="260"/>
      <c r="AA11" s="260"/>
      <c r="AB11" s="260"/>
      <c r="AC11" s="260"/>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8" t="s">
        <v>148</v>
      </c>
      <c r="D19" s="258"/>
      <c r="E19" s="258"/>
      <c r="F19" s="258"/>
      <c r="G19" s="258"/>
      <c r="H19" s="258"/>
      <c r="I19" s="258"/>
      <c r="J19" s="258"/>
      <c r="K19" s="258"/>
      <c r="L19" s="258"/>
      <c r="O19" s="5"/>
      <c r="Q19" s="93"/>
      <c r="S19" s="259" t="s">
        <v>148</v>
      </c>
      <c r="T19" s="260"/>
      <c r="U19" s="260"/>
      <c r="V19" s="260"/>
      <c r="W19" s="260"/>
      <c r="X19" s="260"/>
      <c r="Y19" s="260"/>
      <c r="Z19" s="260"/>
      <c r="AA19" s="260"/>
      <c r="AB19" s="260"/>
      <c r="AC19" s="260"/>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Statement!M138</f>
        <v>925276</v>
      </c>
      <c r="D21" s="100">
        <f>Statement!N138</f>
        <v>1203845</v>
      </c>
      <c r="E21" s="100">
        <f>Statement!O138</f>
        <v>1463698</v>
      </c>
      <c r="F21" s="100">
        <f>Statement!P138</f>
        <v>1666136</v>
      </c>
      <c r="G21" s="101">
        <f>Statement!Q138</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Statement!T138</f>
        <v>1550605</v>
      </c>
      <c r="T21" s="100">
        <f>Statement!U138</f>
        <v>1606561</v>
      </c>
      <c r="U21" s="100">
        <f>Statement!V138</f>
        <v>1666136</v>
      </c>
      <c r="V21" s="100">
        <f>Statement!W138</f>
        <v>1692683</v>
      </c>
      <c r="W21" s="100">
        <f>Statement!X138</f>
        <v>1723401</v>
      </c>
      <c r="X21" s="100">
        <f>Statement!Y138</f>
        <v>1782384</v>
      </c>
      <c r="Y21" s="100">
        <f>Statement!Z138</f>
        <v>1852567</v>
      </c>
      <c r="Z21" s="102">
        <f>Statement!AA138</f>
        <v>1901211</v>
      </c>
      <c r="AA21" s="111">
        <v>1931000</v>
      </c>
      <c r="AB21" s="111"/>
      <c r="AC21" s="111"/>
      <c r="AE21" s="24">
        <f>AA21</f>
        <v>1931000</v>
      </c>
    </row>
    <row r="22" spans="2:31" x14ac:dyDescent="0.2">
      <c r="B22" s="1" t="s">
        <v>132</v>
      </c>
      <c r="C22" s="116">
        <f>Statement!M140</f>
        <v>1.45</v>
      </c>
      <c r="D22" s="116">
        <f>Statement!N140</f>
        <v>1.23</v>
      </c>
      <c r="E22" s="116">
        <f>Statement!O140</f>
        <v>1.19</v>
      </c>
      <c r="F22" s="116">
        <f>Statement!P140</f>
        <v>1.1000000000000001</v>
      </c>
      <c r="G22" s="117">
        <f>Statement!Q140</f>
        <v>1.07</v>
      </c>
      <c r="H22" s="118">
        <v>1.07</v>
      </c>
      <c r="I22" s="118">
        <v>1.07</v>
      </c>
      <c r="J22" s="118">
        <v>1.06</v>
      </c>
      <c r="K22" s="118">
        <v>1.05</v>
      </c>
      <c r="L22" s="118">
        <v>1.05</v>
      </c>
      <c r="N22" s="92"/>
      <c r="O22" s="5"/>
      <c r="Q22" s="92"/>
      <c r="R22" s="1" t="s">
        <v>132</v>
      </c>
      <c r="S22" s="116">
        <f>Statement!T140</f>
        <v>1.1499999999999999</v>
      </c>
      <c r="T22" s="116">
        <f>Statement!U140</f>
        <v>1.1299999999999999</v>
      </c>
      <c r="U22" s="116">
        <f>Statement!V140</f>
        <v>1.1000000000000001</v>
      </c>
      <c r="V22" s="116">
        <f>Statement!W140</f>
        <v>1.08</v>
      </c>
      <c r="W22" s="116">
        <f>Statement!X140</f>
        <v>1.08</v>
      </c>
      <c r="X22" s="116">
        <f>Statement!Y140</f>
        <v>1.07</v>
      </c>
      <c r="Y22" s="116">
        <f>Statement!Z140</f>
        <v>1.07</v>
      </c>
      <c r="Z22" s="119">
        <f>Statement!AA140</f>
        <v>1.0900000000000001</v>
      </c>
      <c r="AA22" s="118">
        <v>1.07</v>
      </c>
      <c r="AB22" s="99"/>
      <c r="AC22" s="99"/>
      <c r="AE22" s="124">
        <f>AA22</f>
        <v>1.07</v>
      </c>
    </row>
    <row r="23" spans="2:31" x14ac:dyDescent="0.2">
      <c r="B23" s="1" t="s">
        <v>131</v>
      </c>
      <c r="C23" s="103">
        <f>Statement!M139</f>
        <v>344793</v>
      </c>
      <c r="D23" s="103">
        <f>Statement!N139</f>
        <v>278569</v>
      </c>
      <c r="E23" s="103">
        <f>Statement!O139</f>
        <v>259853</v>
      </c>
      <c r="F23" s="103">
        <f>Statement!P139</f>
        <v>202438</v>
      </c>
      <c r="G23" s="104">
        <f>Statement!Q139</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Statement!T139</f>
        <v>43000</v>
      </c>
      <c r="T23" s="103">
        <f>Statement!U139</f>
        <v>56000</v>
      </c>
      <c r="U23" s="103">
        <f>Statement!V139</f>
        <v>60000</v>
      </c>
      <c r="V23" s="103">
        <f>Statement!W139</f>
        <v>27000</v>
      </c>
      <c r="W23" s="103">
        <f>Statement!X139</f>
        <v>31000</v>
      </c>
      <c r="X23" s="103">
        <f>Statement!Y139</f>
        <v>59000</v>
      </c>
      <c r="Y23" s="103">
        <f>Statement!Z139</f>
        <v>70000</v>
      </c>
      <c r="Z23" s="105">
        <f>Statement!AA139</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Statement!N142-Statement!M142</f>
        <v>292</v>
      </c>
      <c r="E25" s="100">
        <f>Statement!O142-Statement!N142</f>
        <v>269</v>
      </c>
      <c r="F25" s="100">
        <f>Statement!P142-Statement!O142</f>
        <v>238</v>
      </c>
      <c r="G25" s="101">
        <f>Statement!Q142-Statement!P142</f>
        <v>273</v>
      </c>
      <c r="H25" s="111">
        <v>250</v>
      </c>
      <c r="I25" s="111">
        <v>250</v>
      </c>
      <c r="J25" s="111">
        <v>250</v>
      </c>
      <c r="K25" s="111">
        <v>250</v>
      </c>
      <c r="L25" s="111">
        <v>250</v>
      </c>
      <c r="N25" s="92"/>
      <c r="O25" s="5"/>
      <c r="R25" s="1" t="s">
        <v>155</v>
      </c>
      <c r="S25" s="47"/>
      <c r="T25" s="120">
        <f>Statement!U142-Statement!T142</f>
        <v>72</v>
      </c>
      <c r="U25" s="120">
        <f>Statement!V142-Statement!U142</f>
        <v>57</v>
      </c>
      <c r="V25" s="120">
        <f>Statement!W142-Statement!V142</f>
        <v>73</v>
      </c>
      <c r="W25" s="120">
        <f>Statement!X142-Statement!W142</f>
        <v>67</v>
      </c>
      <c r="X25" s="120">
        <f>Statement!Y142-Statement!X142</f>
        <v>74</v>
      </c>
      <c r="Y25" s="120">
        <f>Statement!Z142-Statement!Y142</f>
        <v>59</v>
      </c>
      <c r="Z25" s="121">
        <f>Statement!AA142-Statement!Z142</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8" t="s">
        <v>150</v>
      </c>
      <c r="D32" s="258"/>
      <c r="E32" s="258"/>
      <c r="F32" s="258"/>
      <c r="G32" s="258"/>
      <c r="H32" s="258"/>
      <c r="I32" s="258"/>
      <c r="J32" s="258"/>
      <c r="K32" s="258"/>
      <c r="L32" s="258"/>
      <c r="O32" s="5"/>
      <c r="S32" s="259" t="s">
        <v>150</v>
      </c>
      <c r="T32" s="260"/>
      <c r="U32" s="260"/>
      <c r="V32" s="260"/>
      <c r="W32" s="260"/>
      <c r="X32" s="260"/>
      <c r="Y32" s="260"/>
      <c r="Z32" s="260"/>
      <c r="AA32" s="260"/>
      <c r="AB32" s="260"/>
      <c r="AC32" s="260"/>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7" t="s">
        <v>137</v>
      </c>
      <c r="D2" s="247"/>
      <c r="E2" s="247"/>
      <c r="F2" s="247"/>
      <c r="G2" s="256"/>
      <c r="H2" s="257" t="s">
        <v>138</v>
      </c>
      <c r="I2" s="247"/>
      <c r="J2" s="247"/>
      <c r="K2" s="247"/>
      <c r="L2" s="247"/>
      <c r="P2" s="247" t="s">
        <v>137</v>
      </c>
      <c r="Q2" s="247"/>
      <c r="R2" s="247"/>
      <c r="S2" s="247"/>
      <c r="T2" s="247"/>
      <c r="U2" s="247"/>
      <c r="V2" s="247"/>
      <c r="W2" s="247"/>
      <c r="X2" s="247" t="s">
        <v>138</v>
      </c>
      <c r="Y2" s="247"/>
      <c r="Z2" s="247"/>
      <c r="AB2" s="87" t="s">
        <v>139</v>
      </c>
    </row>
    <row r="3" spans="1:28" ht="10" customHeight="1" x14ac:dyDescent="0.2"/>
    <row r="4" spans="1:28" ht="16" customHeight="1" x14ac:dyDescent="0.2">
      <c r="A4" s="88"/>
      <c r="B4" s="60"/>
      <c r="C4" s="258" t="s">
        <v>140</v>
      </c>
      <c r="D4" s="258"/>
      <c r="E4" s="258"/>
      <c r="F4" s="258"/>
      <c r="G4" s="258"/>
      <c r="H4" s="258"/>
      <c r="I4" s="258"/>
      <c r="J4" s="258"/>
      <c r="K4" s="258"/>
      <c r="L4" s="258"/>
      <c r="P4" s="260" t="s">
        <v>140</v>
      </c>
      <c r="Q4" s="260"/>
      <c r="R4" s="260"/>
      <c r="S4" s="260"/>
      <c r="T4" s="260"/>
      <c r="U4" s="260"/>
      <c r="V4" s="260"/>
      <c r="W4" s="260"/>
      <c r="X4" s="260"/>
      <c r="Y4" s="260"/>
      <c r="Z4" s="260"/>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8" t="s">
        <v>166</v>
      </c>
      <c r="D9" s="258"/>
      <c r="E9" s="258"/>
      <c r="F9" s="258"/>
      <c r="G9" s="258"/>
      <c r="H9" s="258"/>
      <c r="I9" s="258"/>
      <c r="J9" s="258"/>
      <c r="K9" s="258"/>
      <c r="L9" s="258"/>
      <c r="N9" s="93"/>
      <c r="P9" s="260" t="s">
        <v>167</v>
      </c>
      <c r="Q9" s="260"/>
      <c r="R9" s="260"/>
      <c r="S9" s="260"/>
      <c r="T9" s="260"/>
      <c r="U9" s="260"/>
      <c r="V9" s="260"/>
      <c r="W9" s="260"/>
      <c r="X9" s="260"/>
      <c r="Y9" s="260"/>
      <c r="Z9" s="260"/>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8" t="s">
        <v>169</v>
      </c>
      <c r="D21" s="258"/>
      <c r="E21" s="258"/>
      <c r="F21" s="258"/>
      <c r="G21" s="258"/>
      <c r="H21" s="258"/>
      <c r="I21" s="258"/>
      <c r="J21" s="258"/>
      <c r="K21" s="258"/>
      <c r="L21" s="258"/>
      <c r="P21" s="260" t="s">
        <v>169</v>
      </c>
      <c r="Q21" s="260"/>
      <c r="R21" s="260"/>
      <c r="S21" s="260"/>
      <c r="T21" s="260"/>
      <c r="U21" s="260"/>
      <c r="V21" s="260"/>
      <c r="W21" s="260"/>
      <c r="X21" s="260"/>
      <c r="Y21" s="260"/>
      <c r="Z21" s="260"/>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7" t="s">
        <v>137</v>
      </c>
      <c r="D3" s="247"/>
      <c r="E3" s="247"/>
      <c r="F3" s="247"/>
      <c r="G3" s="256"/>
      <c r="H3" s="257" t="s">
        <v>138</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8" t="s">
        <v>140</v>
      </c>
      <c r="D5" s="258"/>
      <c r="E5" s="258"/>
      <c r="F5" s="258"/>
      <c r="G5" s="258"/>
      <c r="H5" s="258"/>
      <c r="I5" s="258"/>
      <c r="J5" s="258"/>
      <c r="K5" s="258"/>
      <c r="L5" s="258"/>
      <c r="P5" s="261"/>
      <c r="Q5" s="261"/>
      <c r="R5" s="261"/>
      <c r="S5" s="261"/>
      <c r="T5" s="261"/>
      <c r="U5" s="261"/>
      <c r="V5" s="261"/>
      <c r="W5" s="261"/>
      <c r="X5" s="261"/>
      <c r="Y5" s="261"/>
      <c r="Z5" s="261"/>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8" t="s">
        <v>173</v>
      </c>
      <c r="D11" s="258"/>
      <c r="E11" s="258"/>
      <c r="F11" s="258"/>
      <c r="G11" s="258"/>
      <c r="H11" s="258"/>
      <c r="I11" s="258"/>
      <c r="J11" s="258"/>
      <c r="K11" s="258"/>
      <c r="L11" s="258"/>
      <c r="N11" s="93"/>
      <c r="P11" s="261"/>
      <c r="Q11" s="261"/>
      <c r="R11" s="261"/>
      <c r="S11" s="261"/>
      <c r="T11" s="261"/>
      <c r="U11" s="261"/>
      <c r="V11" s="261"/>
      <c r="W11" s="261"/>
      <c r="X11" s="261"/>
      <c r="Y11" s="261"/>
      <c r="Z11" s="261"/>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8" t="s">
        <v>178</v>
      </c>
      <c r="D18" s="258"/>
      <c r="E18" s="258"/>
      <c r="F18" s="258"/>
      <c r="G18" s="258"/>
      <c r="H18" s="258"/>
      <c r="I18" s="258"/>
      <c r="J18" s="258"/>
      <c r="K18" s="258"/>
      <c r="L18" s="258"/>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1"/>
      <c r="C25" s="261"/>
    </row>
    <row r="26" spans="2:12" x14ac:dyDescent="0.2">
      <c r="B26" s="130"/>
      <c r="C26" s="258" t="s">
        <v>184</v>
      </c>
      <c r="D26" s="258"/>
      <c r="E26" s="258"/>
      <c r="F26" s="258"/>
      <c r="G26" s="258"/>
      <c r="H26" s="258"/>
      <c r="I26" s="258"/>
      <c r="J26" s="258"/>
      <c r="K26" s="258"/>
      <c r="L26" s="258"/>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187</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8" t="s">
        <v>188</v>
      </c>
      <c r="D33" s="258"/>
      <c r="E33" s="258"/>
      <c r="F33" s="258"/>
      <c r="G33" s="258"/>
      <c r="H33" s="258"/>
      <c r="I33" s="258"/>
      <c r="J33" s="258"/>
      <c r="K33" s="258"/>
      <c r="L33" s="258"/>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8" t="s">
        <v>191</v>
      </c>
      <c r="D40" s="258"/>
      <c r="E40" s="258"/>
      <c r="F40" s="258"/>
      <c r="G40" s="258"/>
      <c r="H40" s="258"/>
      <c r="I40" s="258"/>
      <c r="J40" s="258"/>
      <c r="K40" s="258"/>
      <c r="L40" s="258"/>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7" t="s">
        <v>137</v>
      </c>
      <c r="D2" s="247"/>
      <c r="E2" s="247"/>
      <c r="F2" s="247"/>
      <c r="G2" s="256"/>
      <c r="H2" s="257" t="s">
        <v>138</v>
      </c>
      <c r="I2" s="247"/>
      <c r="J2" s="247"/>
      <c r="K2" s="247"/>
      <c r="L2" s="247"/>
      <c r="S2" s="261"/>
      <c r="T2" s="261"/>
      <c r="U2" s="261"/>
      <c r="V2" s="261"/>
      <c r="W2" s="261"/>
      <c r="X2" s="261"/>
      <c r="Y2" s="261"/>
      <c r="Z2" s="261"/>
      <c r="AA2" s="261"/>
      <c r="AB2" s="261"/>
      <c r="AC2" s="261"/>
      <c r="AE2" s="130"/>
    </row>
    <row r="3" spans="1:31" ht="10" customHeight="1" x14ac:dyDescent="0.2"/>
    <row r="4" spans="1:31" ht="16" customHeight="1" x14ac:dyDescent="0.2">
      <c r="A4" s="88"/>
      <c r="B4" s="60"/>
      <c r="C4" s="258" t="s">
        <v>19</v>
      </c>
      <c r="D4" s="258"/>
      <c r="E4" s="258"/>
      <c r="F4" s="258"/>
      <c r="G4" s="258"/>
      <c r="H4" s="258"/>
      <c r="I4" s="258"/>
      <c r="J4" s="258"/>
      <c r="K4" s="258"/>
      <c r="L4" s="258"/>
      <c r="S4" s="261"/>
      <c r="T4" s="261"/>
      <c r="U4" s="261"/>
      <c r="V4" s="261"/>
      <c r="W4" s="261"/>
      <c r="X4" s="261"/>
      <c r="Y4" s="261"/>
      <c r="Z4" s="261"/>
      <c r="AA4" s="261"/>
      <c r="AB4" s="261"/>
      <c r="AC4" s="261"/>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8" t="s">
        <v>199</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205</v>
      </c>
    </row>
    <row r="18" spans="2:14" x14ac:dyDescent="0.2">
      <c r="C18" s="258" t="s">
        <v>200</v>
      </c>
      <c r="D18" s="258"/>
      <c r="E18" s="258"/>
      <c r="F18" s="258"/>
      <c r="G18" s="258"/>
      <c r="H18" s="258"/>
      <c r="I18" s="258"/>
      <c r="J18" s="258"/>
      <c r="K18" s="258"/>
      <c r="L18" s="258"/>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8" t="s">
        <v>203</v>
      </c>
      <c r="D25" s="258"/>
      <c r="E25" s="258"/>
      <c r="F25" s="258"/>
      <c r="G25" s="258"/>
      <c r="H25" s="258"/>
      <c r="I25" s="258"/>
      <c r="J25" s="258"/>
      <c r="K25" s="258"/>
      <c r="L25" s="258"/>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204</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314</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8" t="s">
        <v>78</v>
      </c>
      <c r="D31" s="258"/>
      <c r="E31" s="258"/>
      <c r="F31" s="258"/>
      <c r="G31" s="258"/>
      <c r="H31" s="258"/>
      <c r="I31" s="258"/>
      <c r="J31" s="258"/>
      <c r="K31" s="258"/>
      <c r="L31" s="258"/>
    </row>
    <row r="32" spans="2:14" x14ac:dyDescent="0.2">
      <c r="B32" s="16" t="s">
        <v>394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3" zoomScale="187" zoomScaleNormal="100" workbookViewId="0">
      <selection activeCell="C9" sqref="C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207</v>
      </c>
    </row>
    <row r="2" spans="1:3" s="85" customFormat="1" ht="18" customHeight="1" x14ac:dyDescent="0.2">
      <c r="A2" s="4"/>
      <c r="B2" s="84"/>
    </row>
    <row r="3" spans="1:3" ht="17" customHeight="1" x14ac:dyDescent="0.2"/>
    <row r="4" spans="1:3" ht="17" customHeight="1" x14ac:dyDescent="0.2">
      <c r="B4" s="247" t="s">
        <v>208</v>
      </c>
      <c r="C4" s="247"/>
    </row>
    <row r="5" spans="1:3" ht="17" customHeight="1" x14ac:dyDescent="0.2">
      <c r="B5" s="1" t="s">
        <v>209</v>
      </c>
      <c r="C5" s="158">
        <f>Statement!AC77</f>
        <v>528156</v>
      </c>
    </row>
    <row r="6" spans="1:3" ht="17" customHeight="1" x14ac:dyDescent="0.2">
      <c r="B6" s="1" t="s">
        <v>1</v>
      </c>
      <c r="C6" s="154">
        <f ca="1">Overview!C5</f>
        <v>11.605</v>
      </c>
    </row>
    <row r="7" spans="1:3" ht="17" customHeight="1" x14ac:dyDescent="0.2">
      <c r="B7" s="1" t="s">
        <v>210</v>
      </c>
      <c r="C7" s="155">
        <f ca="1">C5*C6</f>
        <v>6129250.3799999999</v>
      </c>
    </row>
    <row r="8" spans="1:3" ht="17" customHeight="1" x14ac:dyDescent="0.2">
      <c r="B8" s="1" t="s">
        <v>211</v>
      </c>
      <c r="C8" s="133">
        <f>Statement!AC117</f>
        <v>0</v>
      </c>
    </row>
    <row r="9" spans="1:3" ht="17" customHeight="1" x14ac:dyDescent="0.2">
      <c r="B9" s="1" t="s">
        <v>212</v>
      </c>
      <c r="C9" s="156">
        <f ca="1">Overview!F27</f>
        <v>4.4549999999999999E-2</v>
      </c>
    </row>
    <row r="10" spans="1:3" ht="17" customHeight="1" x14ac:dyDescent="0.2">
      <c r="B10" s="1" t="s">
        <v>9</v>
      </c>
      <c r="C10" s="154">
        <f ca="1">Overview!C13</f>
        <v>0.96489999999999998</v>
      </c>
    </row>
    <row r="11" spans="1:3" ht="17" customHeight="1" x14ac:dyDescent="0.2">
      <c r="B11" s="1" t="s">
        <v>213</v>
      </c>
      <c r="C11" s="156">
        <f>[1]Sheet1!$C$12</f>
        <v>4.4999999999999998E-2</v>
      </c>
    </row>
    <row r="12" spans="1:3" ht="17" customHeight="1" x14ac:dyDescent="0.2">
      <c r="B12" s="1" t="s">
        <v>74</v>
      </c>
      <c r="C12" s="156">
        <f>Overview!C26</f>
        <v>0.21</v>
      </c>
    </row>
    <row r="13" spans="1:3" ht="17" customHeight="1" x14ac:dyDescent="0.2">
      <c r="B13" s="1" t="s">
        <v>214</v>
      </c>
      <c r="C13" s="156">
        <f>Overview!C27</f>
        <v>0</v>
      </c>
    </row>
    <row r="14" spans="1:3" ht="17" customHeight="1" x14ac:dyDescent="0.2"/>
    <row r="15" spans="1:3" ht="17" customHeight="1" x14ac:dyDescent="0.2">
      <c r="B15" s="247" t="s">
        <v>215</v>
      </c>
      <c r="C15" s="247"/>
    </row>
    <row r="16" spans="1:3" ht="17" customHeight="1" x14ac:dyDescent="0.2">
      <c r="B16" s="1" t="s">
        <v>216</v>
      </c>
      <c r="C16" s="46">
        <f ca="1">C8/(C8+C7)</f>
        <v>0</v>
      </c>
    </row>
    <row r="17" spans="2:3" ht="17" customHeight="1" x14ac:dyDescent="0.2">
      <c r="B17" s="1" t="s">
        <v>217</v>
      </c>
      <c r="C17" s="46">
        <f ca="1">C7/(C8+C7)</f>
        <v>1</v>
      </c>
    </row>
    <row r="18" spans="2:3" ht="17" customHeight="1" x14ac:dyDescent="0.2">
      <c r="B18" s="1" t="s">
        <v>218</v>
      </c>
      <c r="C18" s="46">
        <f>C13*(1-C12)</f>
        <v>0</v>
      </c>
    </row>
    <row r="19" spans="2:3" ht="17" customHeight="1" x14ac:dyDescent="0.2">
      <c r="B19" s="1" t="s">
        <v>219</v>
      </c>
      <c r="C19" s="46">
        <f ca="1">C9+C10*C11</f>
        <v>8.7970500000000007E-2</v>
      </c>
    </row>
    <row r="20" spans="2:3" ht="17" customHeight="1" x14ac:dyDescent="0.2">
      <c r="B20" s="1" t="s">
        <v>207</v>
      </c>
      <c r="C20" s="46">
        <f ca="1">(C17*C19)+(C16*C18)</f>
        <v>8.7970500000000007E-2</v>
      </c>
    </row>
    <row r="21" spans="2:3" ht="17" customHeight="1" x14ac:dyDescent="0.2">
      <c r="B21" s="1" t="s">
        <v>276</v>
      </c>
      <c r="C21" s="157">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221</v>
      </c>
    </row>
    <row r="2" spans="1:28" s="85" customFormat="1" ht="18" customHeight="1" x14ac:dyDescent="0.2">
      <c r="A2" s="4"/>
      <c r="B2" s="84"/>
    </row>
    <row r="3" spans="1:28" x14ac:dyDescent="0.2">
      <c r="A3" s="4"/>
      <c r="C3" s="247" t="s">
        <v>137</v>
      </c>
      <c r="D3" s="247"/>
      <c r="E3" s="247"/>
      <c r="F3" s="247"/>
      <c r="G3" s="256"/>
      <c r="H3" s="257" t="s">
        <v>138</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8" t="s">
        <v>222</v>
      </c>
      <c r="D5" s="258"/>
      <c r="E5" s="258"/>
      <c r="F5" s="258"/>
      <c r="G5" s="258"/>
      <c r="H5" s="258"/>
      <c r="I5" s="258"/>
      <c r="J5" s="258"/>
      <c r="K5" s="258"/>
      <c r="L5" s="258"/>
      <c r="P5" s="261"/>
      <c r="Q5" s="261"/>
      <c r="R5" s="261"/>
      <c r="S5" s="261"/>
      <c r="T5" s="261"/>
      <c r="U5" s="261"/>
      <c r="V5" s="261"/>
      <c r="W5" s="261"/>
      <c r="X5" s="261"/>
      <c r="Y5" s="261"/>
      <c r="Z5" s="261"/>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223</v>
      </c>
      <c r="C8" s="147">
        <v>0</v>
      </c>
      <c r="D8" s="147">
        <v>0</v>
      </c>
      <c r="E8" s="147">
        <v>0</v>
      </c>
      <c r="F8" s="147">
        <v>0</v>
      </c>
      <c r="G8" s="152">
        <v>0</v>
      </c>
      <c r="H8" s="147">
        <v>0</v>
      </c>
      <c r="I8" s="147">
        <v>0</v>
      </c>
      <c r="J8" s="147">
        <v>0</v>
      </c>
      <c r="K8" s="147">
        <v>0</v>
      </c>
      <c r="L8" s="147">
        <f ca="1">L7*(1+C14)/(C15-C14)</f>
        <v>2987701.1721932362</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H7/(1+$C$15)^H9</f>
        <v>3310.2840941880327</v>
      </c>
      <c r="I10" s="147">
        <f t="shared" ref="I10:L10" ca="1" si="0">I7/(1+$C$15)^I9</f>
        <v>-3558.4507195714136</v>
      </c>
      <c r="J10" s="147">
        <f t="shared" ca="1" si="0"/>
        <v>59934.297704966149</v>
      </c>
      <c r="K10" s="147">
        <f t="shared" ca="1" si="0"/>
        <v>77796.922040773221</v>
      </c>
      <c r="L10" s="147">
        <f t="shared" ca="1" si="0"/>
        <v>130608.62326262318</v>
      </c>
      <c r="N10" s="93"/>
    </row>
    <row r="11" spans="1:28" x14ac:dyDescent="0.2">
      <c r="B11" s="1" t="s">
        <v>225</v>
      </c>
      <c r="C11" s="159"/>
      <c r="D11" s="159"/>
      <c r="E11" s="159"/>
      <c r="F11" s="159"/>
      <c r="G11" s="160"/>
      <c r="H11" s="159"/>
      <c r="I11" s="159"/>
      <c r="J11" s="159"/>
      <c r="K11" s="159"/>
      <c r="L11" s="147">
        <f ca="1">L8/(1+C15)^L9</f>
        <v>1959979.6342218409</v>
      </c>
    </row>
    <row r="13" spans="1:28" x14ac:dyDescent="0.2">
      <c r="B13" s="247" t="s">
        <v>226</v>
      </c>
      <c r="C13" s="247"/>
    </row>
    <row r="14" spans="1:28" x14ac:dyDescent="0.2">
      <c r="B14" s="1" t="s">
        <v>227</v>
      </c>
      <c r="C14" s="162">
        <v>0.02</v>
      </c>
    </row>
    <row r="15" spans="1:28" x14ac:dyDescent="0.2">
      <c r="B15" s="1" t="s">
        <v>207</v>
      </c>
      <c r="C15" s="156">
        <f ca="1">IF(WACC!C21&gt;0,WACC!C21,WACC!C20)</f>
        <v>8.7970500000000007E-2</v>
      </c>
    </row>
    <row r="18" spans="2:3" x14ac:dyDescent="0.2">
      <c r="B18" s="247" t="s">
        <v>228</v>
      </c>
      <c r="C18" s="247"/>
    </row>
    <row r="19" spans="2:3" x14ac:dyDescent="0.2">
      <c r="B19" s="1" t="s">
        <v>229</v>
      </c>
      <c r="C19" s="64">
        <f ca="1">SUM(H10:L10)</f>
        <v>268091.67638297915</v>
      </c>
    </row>
    <row r="20" spans="2:3" x14ac:dyDescent="0.2">
      <c r="B20" s="1" t="s">
        <v>225</v>
      </c>
      <c r="C20" s="64">
        <f ca="1">L11</f>
        <v>1959979.6342218409</v>
      </c>
    </row>
    <row r="21" spans="2:3" x14ac:dyDescent="0.2">
      <c r="B21" s="16" t="s">
        <v>230</v>
      </c>
      <c r="C21" s="96">
        <f ca="1">C19+C20</f>
        <v>2228071.31060482</v>
      </c>
    </row>
    <row r="22" spans="2:3" x14ac:dyDescent="0.2">
      <c r="B22" s="1" t="s">
        <v>231</v>
      </c>
      <c r="C22" s="24">
        <f>Statement!AC116</f>
        <v>1307244</v>
      </c>
    </row>
    <row r="23" spans="2:3" x14ac:dyDescent="0.2">
      <c r="B23" s="1" t="s">
        <v>232</v>
      </c>
      <c r="C23" s="24">
        <f>Statement!AC117</f>
        <v>0</v>
      </c>
    </row>
    <row r="24" spans="2:3" x14ac:dyDescent="0.2">
      <c r="B24" s="16" t="s">
        <v>233</v>
      </c>
      <c r="C24" s="96">
        <f ca="1">C21+C22-C23</f>
        <v>3535315.31060482</v>
      </c>
    </row>
    <row r="25" spans="2:3" x14ac:dyDescent="0.2">
      <c r="B25" s="1" t="s">
        <v>70</v>
      </c>
      <c r="C25" s="64">
        <f>Statement!AC77</f>
        <v>528156</v>
      </c>
    </row>
    <row r="26" spans="2:3" x14ac:dyDescent="0.2">
      <c r="B26" s="163" t="s">
        <v>234</v>
      </c>
      <c r="C26" s="164">
        <f ca="1">C24/C25</f>
        <v>6.6936952540628525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235</v>
      </c>
    </row>
    <row r="2" spans="1:14" x14ac:dyDescent="0.2">
      <c r="A2" s="4"/>
      <c r="C2" s="247" t="s">
        <v>137</v>
      </c>
      <c r="D2" s="247"/>
      <c r="E2" s="247"/>
      <c r="F2" s="247"/>
      <c r="G2" s="256"/>
      <c r="H2" s="257" t="s">
        <v>138</v>
      </c>
      <c r="I2" s="247"/>
      <c r="J2" s="247"/>
      <c r="K2" s="247"/>
      <c r="L2" s="247"/>
    </row>
    <row r="3" spans="1:14" ht="10" customHeight="1" x14ac:dyDescent="0.2"/>
    <row r="4" spans="1:14" ht="16" customHeight="1" x14ac:dyDescent="0.2">
      <c r="A4" s="88"/>
      <c r="B4" s="60"/>
      <c r="C4" s="258" t="s">
        <v>236</v>
      </c>
      <c r="D4" s="258"/>
      <c r="E4" s="258"/>
      <c r="F4" s="258"/>
      <c r="G4" s="258"/>
      <c r="H4" s="258"/>
      <c r="I4" s="258"/>
      <c r="J4" s="258"/>
      <c r="K4" s="258"/>
      <c r="L4" s="258"/>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314</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8" t="s">
        <v>146</v>
      </c>
      <c r="D10" s="258"/>
      <c r="E10" s="258"/>
      <c r="F10" s="258"/>
      <c r="G10" s="258"/>
      <c r="H10" s="258"/>
      <c r="I10" s="258"/>
      <c r="J10" s="258"/>
      <c r="K10" s="258"/>
      <c r="L10" s="258"/>
      <c r="N10" s="93"/>
    </row>
    <row r="11" spans="1:14" x14ac:dyDescent="0.2">
      <c r="B11" s="16" t="s">
        <v>237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9"/>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9"/>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314</v>
      </c>
      <c r="C14" s="159"/>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8" t="s">
        <v>238</v>
      </c>
      <c r="D16" s="258"/>
      <c r="E16" s="258"/>
      <c r="F16" s="258"/>
      <c r="G16" s="258"/>
      <c r="H16" s="258"/>
      <c r="I16" s="258"/>
      <c r="J16" s="258"/>
      <c r="K16" s="258"/>
      <c r="L16" s="258"/>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239</v>
      </c>
      <c r="C18" s="103">
        <f>Statement!M22</f>
        <v>454625</v>
      </c>
      <c r="D18" s="103">
        <f>Statement!N22</f>
        <v>548022</v>
      </c>
      <c r="E18" s="103">
        <f>Statement!O22</f>
        <v>653855</v>
      </c>
      <c r="F18" s="103">
        <f>Statement!P22</f>
        <v>559933</v>
      </c>
      <c r="G18" s="104">
        <f>Statement!Q22</f>
        <v>544860</v>
      </c>
      <c r="H18" s="165">
        <f>G18*(1+H19)</f>
        <v>528514.19999999995</v>
      </c>
      <c r="I18" s="165">
        <f t="shared" ref="I18:L18" si="5">H18*(1+I19)</f>
        <v>512658.77399999992</v>
      </c>
      <c r="J18" s="165">
        <f t="shared" si="5"/>
        <v>502405.59851999988</v>
      </c>
      <c r="K18" s="165">
        <f t="shared" si="5"/>
        <v>492357.48654959985</v>
      </c>
      <c r="L18" s="165">
        <f t="shared" si="5"/>
        <v>482510.33681860787</v>
      </c>
      <c r="N18" s="93"/>
    </row>
    <row r="19" spans="2:14" x14ac:dyDescent="0.2">
      <c r="B19" s="1" t="s">
        <v>240</v>
      </c>
      <c r="C19" s="159"/>
      <c r="D19" s="166">
        <f>D18/C18-1</f>
        <v>0.20543744844652179</v>
      </c>
      <c r="E19" s="166">
        <f t="shared" ref="E19:G19" si="6">E18/D18-1</f>
        <v>0.19311815948994759</v>
      </c>
      <c r="F19" s="166">
        <f t="shared" si="6"/>
        <v>-0.14364346835307518</v>
      </c>
      <c r="G19" s="167">
        <f t="shared" si="6"/>
        <v>-2.6919292129594097E-2</v>
      </c>
      <c r="H19" s="168">
        <v>-0.03</v>
      </c>
      <c r="I19" s="99">
        <v>-0.03</v>
      </c>
      <c r="J19" s="99">
        <v>-0.02</v>
      </c>
      <c r="K19" s="99">
        <v>-0.02</v>
      </c>
      <c r="L19" s="99">
        <v>-0.02</v>
      </c>
      <c r="N19" s="93"/>
    </row>
    <row r="20" spans="2:14" x14ac:dyDescent="0.2">
      <c r="N20" s="93"/>
    </row>
    <row r="21" spans="2:14" x14ac:dyDescent="0.2">
      <c r="C21" s="258" t="s">
        <v>241</v>
      </c>
      <c r="D21" s="258"/>
      <c r="E21" s="258"/>
      <c r="F21" s="258"/>
      <c r="G21" s="258"/>
      <c r="H21" s="258"/>
      <c r="I21" s="258"/>
      <c r="J21" s="258"/>
      <c r="K21" s="258"/>
      <c r="L21" s="258"/>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Statement!M125</f>
        <v>33.43</v>
      </c>
      <c r="D23" s="169">
        <f>Statement!N125</f>
        <v>14.57</v>
      </c>
      <c r="E23" s="169">
        <f>Statement!O125</f>
        <v>23.85</v>
      </c>
      <c r="F23" s="169">
        <f>Statement!P125</f>
        <v>14.58</v>
      </c>
      <c r="G23" s="170">
        <f>Statement!Q125</f>
        <v>12.59</v>
      </c>
      <c r="H23" s="159"/>
      <c r="I23" s="159"/>
      <c r="J23" s="159"/>
      <c r="K23" s="159"/>
      <c r="L23" s="159"/>
      <c r="N23" s="93"/>
    </row>
    <row r="24" spans="2:14" x14ac:dyDescent="0.2">
      <c r="N24" s="93"/>
    </row>
    <row r="25" spans="2:14" x14ac:dyDescent="0.2">
      <c r="N25" s="93"/>
    </row>
    <row r="26" spans="2:14" x14ac:dyDescent="0.2">
      <c r="C26" s="258" t="s">
        <v>242</v>
      </c>
      <c r="D26" s="258"/>
      <c r="E26" s="258"/>
      <c r="F26" s="258"/>
      <c r="G26" s="258"/>
      <c r="H26" s="258"/>
      <c r="I26" s="258"/>
      <c r="J26" s="258"/>
      <c r="K26" s="258"/>
      <c r="L26" s="258"/>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243</v>
      </c>
      <c r="C28" s="171">
        <f>C23/(C6/C18)</f>
        <v>17.03343197885799</v>
      </c>
      <c r="D28" s="171">
        <f t="shared" ref="D28:G28" si="9">D23/(D6/D18)</f>
        <v>7.5428149003241138</v>
      </c>
      <c r="E28" s="171">
        <f t="shared" si="9"/>
        <v>11.921699837623619</v>
      </c>
      <c r="F28" s="171">
        <f t="shared" si="9"/>
        <v>5.7103089537122012</v>
      </c>
      <c r="G28" s="172">
        <f t="shared" si="9"/>
        <v>4.2592243004348767</v>
      </c>
      <c r="H28" s="159"/>
      <c r="I28" s="159"/>
      <c r="J28" s="159"/>
      <c r="K28" s="159"/>
      <c r="L28" s="159"/>
      <c r="N28" s="93"/>
    </row>
    <row r="29" spans="2:14" x14ac:dyDescent="0.2">
      <c r="B29" s="1" t="s">
        <v>244</v>
      </c>
      <c r="C29" s="165">
        <f>C23*C18</f>
        <v>15198113.75</v>
      </c>
      <c r="D29" s="165">
        <f t="shared" ref="D29:G29" si="10">D23*D18</f>
        <v>7984680.54</v>
      </c>
      <c r="E29" s="165">
        <f t="shared" si="10"/>
        <v>15594441.75</v>
      </c>
      <c r="F29" s="165">
        <f t="shared" si="10"/>
        <v>8163823.1399999997</v>
      </c>
      <c r="G29" s="173">
        <f t="shared" si="10"/>
        <v>6859787.4000000004</v>
      </c>
      <c r="H29" s="159"/>
      <c r="I29" s="159"/>
      <c r="J29" s="159"/>
      <c r="K29" s="159"/>
      <c r="L29" s="159"/>
      <c r="N29" s="93"/>
    </row>
    <row r="30" spans="2:14" x14ac:dyDescent="0.2">
      <c r="B30" s="1" t="s">
        <v>211</v>
      </c>
      <c r="C30" s="90">
        <f>Statement!M117</f>
        <v>0</v>
      </c>
      <c r="D30" s="174">
        <f>Statement!N117</f>
        <v>0</v>
      </c>
      <c r="E30" s="174">
        <f>Statement!O117</f>
        <v>0</v>
      </c>
      <c r="F30" s="174">
        <f>Statement!P117</f>
        <v>0</v>
      </c>
      <c r="G30" s="175">
        <f>Statement!Q117</f>
        <v>0</v>
      </c>
      <c r="H30" s="159"/>
      <c r="I30" s="159"/>
      <c r="J30" s="159"/>
      <c r="K30" s="159"/>
      <c r="L30" s="159"/>
      <c r="N30" s="93"/>
    </row>
    <row r="31" spans="2:14" x14ac:dyDescent="0.2">
      <c r="B31" s="1" t="s">
        <v>220</v>
      </c>
      <c r="C31" s="174">
        <f>Statement!M116</f>
        <v>1865140</v>
      </c>
      <c r="D31" s="174">
        <f>Statement!N116</f>
        <v>1756893</v>
      </c>
      <c r="E31" s="174">
        <f>Statement!O116</f>
        <v>1879823</v>
      </c>
      <c r="F31" s="174">
        <f>Statement!P116</f>
        <v>1629518</v>
      </c>
      <c r="G31" s="175">
        <f>Statement!Q116</f>
        <v>1472486</v>
      </c>
      <c r="H31" s="159"/>
      <c r="I31" s="159"/>
      <c r="J31" s="159"/>
      <c r="K31" s="159"/>
      <c r="L31" s="159"/>
      <c r="N31" s="93"/>
    </row>
    <row r="32" spans="2:14" x14ac:dyDescent="0.2">
      <c r="B32" s="1" t="s">
        <v>245</v>
      </c>
      <c r="C32" s="165">
        <f>C29+C30-C31</f>
        <v>13332973.75</v>
      </c>
      <c r="D32" s="165">
        <f t="shared" ref="D32:G32" si="11">D29+D30-D31</f>
        <v>6227787.54</v>
      </c>
      <c r="E32" s="165">
        <f t="shared" si="11"/>
        <v>13714618.75</v>
      </c>
      <c r="F32" s="165">
        <f t="shared" si="11"/>
        <v>6534305.1399999997</v>
      </c>
      <c r="G32" s="173">
        <f t="shared" si="11"/>
        <v>5387301.4000000004</v>
      </c>
      <c r="H32" s="159"/>
      <c r="I32" s="159"/>
      <c r="J32" s="159"/>
      <c r="K32" s="159"/>
      <c r="L32" s="159"/>
      <c r="N32" s="93"/>
    </row>
    <row r="33" spans="2:14" x14ac:dyDescent="0.2">
      <c r="B33" s="16" t="s">
        <v>246</v>
      </c>
      <c r="C33" s="171">
        <f>C32/C7</f>
        <v>-26.615590802202234</v>
      </c>
      <c r="D33" s="171">
        <f t="shared" ref="D33:G33" si="12">D32/D7</f>
        <v>-17.88139972378784</v>
      </c>
      <c r="E33" s="171">
        <f t="shared" si="12"/>
        <v>-83.260191537153958</v>
      </c>
      <c r="F33" s="171">
        <f t="shared" si="12"/>
        <v>-40.194041545436093</v>
      </c>
      <c r="G33" s="172">
        <f t="shared" si="12"/>
        <v>94.913696264975343</v>
      </c>
      <c r="H33" s="159"/>
      <c r="I33" s="159"/>
      <c r="J33" s="159"/>
      <c r="K33" s="159"/>
      <c r="L33" s="159"/>
      <c r="N33" s="93"/>
    </row>
    <row r="34" spans="2:14" x14ac:dyDescent="0.2">
      <c r="B34" s="16" t="s">
        <v>378</v>
      </c>
      <c r="C34" s="171">
        <f>C32/C8</f>
        <v>-22.183836448582582</v>
      </c>
      <c r="D34" s="171">
        <f t="shared" ref="D34:G34" si="13">D32/D8</f>
        <v>-12.454030780183258</v>
      </c>
      <c r="E34" s="171">
        <f t="shared" si="13"/>
        <v>-63.37829204271857</v>
      </c>
      <c r="F34" s="171">
        <f t="shared" si="13"/>
        <v>-32.342921616377602</v>
      </c>
      <c r="G34" s="172">
        <f t="shared" si="13"/>
        <v>-56.992799864587525</v>
      </c>
      <c r="H34" s="159"/>
      <c r="I34" s="159"/>
      <c r="J34" s="159"/>
      <c r="K34" s="159"/>
      <c r="L34" s="159"/>
      <c r="N34" s="93"/>
    </row>
    <row r="35" spans="2:14" x14ac:dyDescent="0.2">
      <c r="N35" s="93"/>
    </row>
    <row r="36" spans="2:14" x14ac:dyDescent="0.2">
      <c r="N36" s="93"/>
    </row>
    <row r="37" spans="2:14" x14ac:dyDescent="0.2">
      <c r="B37" s="247" t="s">
        <v>247</v>
      </c>
      <c r="C37" s="247"/>
      <c r="N37" s="93"/>
    </row>
    <row r="38" spans="2:14" x14ac:dyDescent="0.2">
      <c r="B38" s="1" t="s">
        <v>248</v>
      </c>
      <c r="C38" s="64">
        <f>L7</f>
        <v>411717.17667744006</v>
      </c>
    </row>
    <row r="39" spans="2:14" x14ac:dyDescent="0.2">
      <c r="B39" s="1" t="s">
        <v>207</v>
      </c>
      <c r="C39" s="156">
        <f ca="1">IF(WACC!C21&gt;0,WACC!C21,WACC!C20)</f>
        <v>8.7970500000000007E-2</v>
      </c>
    </row>
    <row r="40" spans="2:14" x14ac:dyDescent="0.2">
      <c r="B40" s="39" t="s">
        <v>249</v>
      </c>
      <c r="C40" s="114">
        <v>25</v>
      </c>
    </row>
    <row r="41" spans="2:14" x14ac:dyDescent="0.2">
      <c r="B41" s="1" t="s">
        <v>250</v>
      </c>
      <c r="C41" s="24">
        <f>L18</f>
        <v>482510.33681860787</v>
      </c>
    </row>
    <row r="42" spans="2:14" x14ac:dyDescent="0.2">
      <c r="B42" s="1" t="s">
        <v>245</v>
      </c>
      <c r="C42" s="24">
        <f>(C38*C40)-G30+G31</f>
        <v>11765415.416936001</v>
      </c>
    </row>
    <row r="43" spans="2:14" x14ac:dyDescent="0.2">
      <c r="B43" s="1" t="s">
        <v>234</v>
      </c>
      <c r="C43" s="24">
        <f>C42/C41</f>
        <v>24.383758272434736</v>
      </c>
    </row>
    <row r="44" spans="2:14" x14ac:dyDescent="0.2">
      <c r="B44" s="163" t="s">
        <v>251</v>
      </c>
      <c r="C44" s="164">
        <f ca="1">C43/(1+C48)^5</f>
        <v>15.996134440941134</v>
      </c>
    </row>
    <row r="46" spans="2:14" x14ac:dyDescent="0.2">
      <c r="B46" s="247" t="s">
        <v>252</v>
      </c>
      <c r="C46" s="247"/>
    </row>
    <row r="47" spans="2:14" x14ac:dyDescent="0.2">
      <c r="B47" s="1" t="s">
        <v>253</v>
      </c>
      <c r="C47" s="64">
        <f>L6</f>
        <v>2379868.0732800001</v>
      </c>
    </row>
    <row r="48" spans="2:14" x14ac:dyDescent="0.2">
      <c r="B48" s="1" t="s">
        <v>207</v>
      </c>
      <c r="C48" s="156">
        <f ca="1">IF(WACC!C21&gt;0,WACC!C21,WACC!C20)</f>
        <v>8.7970500000000007E-2</v>
      </c>
    </row>
    <row r="49" spans="2:3" x14ac:dyDescent="0.2">
      <c r="B49" s="39" t="s">
        <v>254</v>
      </c>
      <c r="C49" s="114">
        <v>5</v>
      </c>
    </row>
    <row r="50" spans="2:3" x14ac:dyDescent="0.2">
      <c r="B50" s="1" t="s">
        <v>250</v>
      </c>
      <c r="C50" s="24">
        <f>L18</f>
        <v>482510.33681860787</v>
      </c>
    </row>
    <row r="51" spans="2:3" x14ac:dyDescent="0.2">
      <c r="B51" s="1" t="s">
        <v>234</v>
      </c>
      <c r="C51" s="24">
        <f>(C47*C49)/C50</f>
        <v>24.661316988268727</v>
      </c>
    </row>
    <row r="52" spans="2:3" x14ac:dyDescent="0.2">
      <c r="B52" s="163" t="s">
        <v>251</v>
      </c>
      <c r="C52" s="164">
        <f ca="1">C51/(1+C48)^5</f>
        <v>16.178217386651543</v>
      </c>
    </row>
    <row r="54" spans="2:3" x14ac:dyDescent="0.2">
      <c r="B54" s="247" t="s">
        <v>379</v>
      </c>
      <c r="C54" s="247"/>
    </row>
    <row r="55" spans="2:3" x14ac:dyDescent="0.2">
      <c r="B55" s="1" t="s">
        <v>255</v>
      </c>
      <c r="C55" s="64">
        <f>L8</f>
        <v>199093.66914172584</v>
      </c>
    </row>
    <row r="56" spans="2:3" x14ac:dyDescent="0.2">
      <c r="B56" s="1" t="s">
        <v>207</v>
      </c>
      <c r="C56" s="156">
        <f ca="1">IF(WACC!C21&gt;0,WACC!C21,WACC!C20)</f>
        <v>8.7970500000000007E-2</v>
      </c>
    </row>
    <row r="57" spans="2:3" x14ac:dyDescent="0.2">
      <c r="B57" s="39" t="s">
        <v>256</v>
      </c>
      <c r="C57" s="114">
        <v>30</v>
      </c>
    </row>
    <row r="58" spans="2:3" x14ac:dyDescent="0.2">
      <c r="B58" s="1" t="s">
        <v>250</v>
      </c>
      <c r="C58" s="24">
        <f>L18</f>
        <v>482510.33681860787</v>
      </c>
    </row>
    <row r="59" spans="2:3" x14ac:dyDescent="0.2">
      <c r="B59" s="1" t="s">
        <v>245</v>
      </c>
      <c r="C59" s="24">
        <f>(C55*C57)-G30+G31</f>
        <v>7445296.0742517756</v>
      </c>
    </row>
    <row r="60" spans="2:3" x14ac:dyDescent="0.2">
      <c r="B60" s="1" t="s">
        <v>234</v>
      </c>
      <c r="C60" s="24">
        <f>C59/C58</f>
        <v>15.43033486772889</v>
      </c>
    </row>
    <row r="61" spans="2:3" x14ac:dyDescent="0.2">
      <c r="B61" s="163" t="s">
        <v>251</v>
      </c>
      <c r="C61" s="164">
        <f ca="1">C60/(1+C56)^5</f>
        <v>10.12254584609968</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257</v>
      </c>
    </row>
    <row r="2" spans="1:14" x14ac:dyDescent="0.2">
      <c r="N2" s="93"/>
    </row>
    <row r="3" spans="1:14" x14ac:dyDescent="0.2">
      <c r="N3" s="93"/>
    </row>
    <row r="4" spans="1:14" x14ac:dyDescent="0.2">
      <c r="B4" s="247" t="s">
        <v>258</v>
      </c>
      <c r="C4" s="247"/>
      <c r="N4" s="93"/>
    </row>
    <row r="5" spans="1:14" x14ac:dyDescent="0.2">
      <c r="B5" s="1" t="s">
        <v>259</v>
      </c>
      <c r="C5" s="154">
        <f ca="1">DCF!C26</f>
        <v>6.6936952540628525</v>
      </c>
    </row>
    <row r="6" spans="1:14" x14ac:dyDescent="0.2">
      <c r="B6" s="1" t="s">
        <v>260</v>
      </c>
      <c r="C6" s="154">
        <f ca="1">Multiples!C44</f>
        <v>15.996134440941134</v>
      </c>
    </row>
    <row r="7" spans="1:14" x14ac:dyDescent="0.2">
      <c r="B7" s="1" t="s">
        <v>261</v>
      </c>
      <c r="C7" s="154">
        <f ca="1">Multiples!C52</f>
        <v>16.178217386651543</v>
      </c>
    </row>
    <row r="8" spans="1:14" x14ac:dyDescent="0.2">
      <c r="B8" s="1" t="s">
        <v>380</v>
      </c>
      <c r="C8" s="154">
        <f ca="1">Multiples!C61</f>
        <v>10.12254584609968</v>
      </c>
    </row>
    <row r="9" spans="1:14" x14ac:dyDescent="0.2">
      <c r="B9" s="163" t="s">
        <v>262</v>
      </c>
      <c r="C9" s="164">
        <f ca="1">AVERAGE(C5:C8)</f>
        <v>12.247648231938804</v>
      </c>
    </row>
    <row r="10" spans="1:14" x14ac:dyDescent="0.2">
      <c r="B10" s="1" t="s">
        <v>263</v>
      </c>
      <c r="C10" s="154">
        <f ca="1">Overview!C5</f>
        <v>11.605</v>
      </c>
    </row>
    <row r="11" spans="1:14" x14ac:dyDescent="0.2">
      <c r="B11" s="1" t="s">
        <v>264</v>
      </c>
      <c r="C11" s="176">
        <f ca="1">(C9-C10)/C10</f>
        <v>5.5376840322171786E-2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265</v>
      </c>
    </row>
    <row r="2" spans="1:28" s="85" customFormat="1" ht="18" customHeight="1" x14ac:dyDescent="0.2">
      <c r="A2" s="4"/>
      <c r="B2" s="84"/>
    </row>
    <row r="3" spans="1:28" x14ac:dyDescent="0.2">
      <c r="A3" s="4"/>
      <c r="C3" s="247" t="s">
        <v>137</v>
      </c>
      <c r="D3" s="247"/>
      <c r="E3" s="247"/>
      <c r="F3" s="247"/>
      <c r="G3" s="256"/>
      <c r="H3" s="257" t="s">
        <v>138</v>
      </c>
      <c r="I3" s="247"/>
      <c r="J3" s="247"/>
      <c r="K3" s="247"/>
      <c r="L3" s="247"/>
      <c r="P3" s="261"/>
      <c r="Q3" s="261"/>
      <c r="R3" s="261"/>
      <c r="S3" s="261"/>
      <c r="T3" s="261"/>
      <c r="U3" s="261"/>
      <c r="V3" s="261"/>
      <c r="W3" s="261"/>
      <c r="X3" s="261"/>
      <c r="Y3" s="261"/>
      <c r="Z3" s="261"/>
      <c r="AB3" s="130"/>
    </row>
    <row r="4" spans="1:28" ht="10" customHeight="1" x14ac:dyDescent="0.2"/>
    <row r="5" spans="1:28" ht="16" customHeight="1" x14ac:dyDescent="0.2">
      <c r="A5" s="88"/>
      <c r="B5" s="60"/>
      <c r="C5" s="258" t="s">
        <v>222</v>
      </c>
      <c r="D5" s="258"/>
      <c r="E5" s="258"/>
      <c r="F5" s="258"/>
      <c r="G5" s="258"/>
      <c r="H5" s="258"/>
      <c r="I5" s="258"/>
      <c r="J5" s="258"/>
      <c r="K5" s="258"/>
      <c r="L5" s="258"/>
      <c r="P5" s="261"/>
      <c r="Q5" s="261"/>
      <c r="R5" s="261"/>
      <c r="S5" s="261"/>
      <c r="T5" s="261"/>
      <c r="U5" s="261"/>
      <c r="V5" s="261"/>
      <c r="W5" s="261"/>
      <c r="X5" s="261"/>
      <c r="Y5" s="261"/>
      <c r="Z5" s="261"/>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314</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223</v>
      </c>
      <c r="C8" s="159"/>
      <c r="D8" s="159"/>
      <c r="E8" s="159"/>
      <c r="F8" s="159"/>
      <c r="G8" s="160"/>
      <c r="H8" s="159"/>
      <c r="I8" s="159"/>
      <c r="J8" s="159"/>
      <c r="K8" s="159"/>
      <c r="L8" s="147">
        <f ca="1">L7*(1+C20)/(C21-C20)</f>
        <v>6187042.4846072933</v>
      </c>
      <c r="N8" s="93"/>
      <c r="O8" s="16"/>
      <c r="P8" s="94"/>
      <c r="Q8" s="94"/>
      <c r="R8" s="94"/>
      <c r="S8" s="94"/>
      <c r="T8" s="94"/>
      <c r="U8" s="94"/>
      <c r="V8" s="94"/>
      <c r="W8" s="94"/>
      <c r="X8" s="96"/>
      <c r="Y8" s="96"/>
      <c r="Z8" s="96"/>
      <c r="AB8" s="96"/>
    </row>
    <row r="9" spans="1:28" x14ac:dyDescent="0.2">
      <c r="B9" s="1" t="s">
        <v>224</v>
      </c>
      <c r="C9" s="159"/>
      <c r="D9" s="159"/>
      <c r="E9" s="159"/>
      <c r="F9" s="159"/>
      <c r="G9" s="160"/>
      <c r="H9" s="161">
        <v>1</v>
      </c>
      <c r="I9" s="161">
        <v>2</v>
      </c>
      <c r="J9" s="161">
        <v>3</v>
      </c>
      <c r="K9" s="161">
        <v>4</v>
      </c>
      <c r="L9" s="161">
        <v>5</v>
      </c>
      <c r="N9" s="93"/>
    </row>
    <row r="10" spans="1:28" x14ac:dyDescent="0.2">
      <c r="B10" s="1" t="s">
        <v>377</v>
      </c>
      <c r="C10" s="159"/>
      <c r="D10" s="159"/>
      <c r="E10" s="159"/>
      <c r="F10" s="159"/>
      <c r="G10" s="160"/>
      <c r="H10" s="147">
        <f ca="1">H7/(1+$C$21)^H9</f>
        <v>16176.909208475781</v>
      </c>
      <c r="I10" s="147">
        <f t="shared" ref="I10:L10" ca="1" si="1">I7/(1+$C$21)^I9</f>
        <v>32711.548942408572</v>
      </c>
      <c r="J10" s="147">
        <f t="shared" ca="1" si="1"/>
        <v>66146.469663744429</v>
      </c>
      <c r="K10" s="147">
        <f t="shared" ca="1" si="1"/>
        <v>133755.67927644894</v>
      </c>
      <c r="L10" s="147">
        <f t="shared" ca="1" si="1"/>
        <v>270469.18497164</v>
      </c>
      <c r="N10" s="93"/>
    </row>
    <row r="11" spans="1:28" x14ac:dyDescent="0.2">
      <c r="B11" s="1" t="s">
        <v>225</v>
      </c>
      <c r="C11" s="159"/>
      <c r="D11" s="159"/>
      <c r="E11" s="159"/>
      <c r="F11" s="159"/>
      <c r="G11" s="160"/>
      <c r="H11" s="159"/>
      <c r="I11" s="159"/>
      <c r="J11" s="159"/>
      <c r="K11" s="159"/>
      <c r="L11" s="147">
        <f ca="1">L8/(1+C21)^L9</f>
        <v>4058798.5768984016</v>
      </c>
    </row>
    <row r="13" spans="1:28" ht="17" thickBot="1" x14ac:dyDescent="0.25"/>
    <row r="14" spans="1:28" x14ac:dyDescent="0.2">
      <c r="B14" s="262" t="s">
        <v>266</v>
      </c>
      <c r="C14" s="263"/>
    </row>
    <row r="15" spans="1:28" x14ac:dyDescent="0.2">
      <c r="B15" s="177" t="s">
        <v>267</v>
      </c>
      <c r="C15" s="178">
        <f ca="1">Overview!C5</f>
        <v>11.605</v>
      </c>
    </row>
    <row r="16" spans="1:28" x14ac:dyDescent="0.2">
      <c r="B16" s="177" t="s">
        <v>268</v>
      </c>
      <c r="C16" s="178">
        <f ca="1">C36</f>
        <v>11.233165182911042</v>
      </c>
    </row>
    <row r="17" spans="2:9" ht="17" thickBot="1" x14ac:dyDescent="0.25">
      <c r="B17" s="179" t="s">
        <v>381</v>
      </c>
      <c r="C17" s="180">
        <v>1.2</v>
      </c>
      <c r="E17" s="264" t="s">
        <v>269</v>
      </c>
      <c r="F17" s="264"/>
      <c r="G17" s="264"/>
      <c r="H17" s="264"/>
      <c r="I17" s="264"/>
    </row>
    <row r="18" spans="2:9" ht="17" thickBot="1" x14ac:dyDescent="0.25"/>
    <row r="19" spans="2:9" x14ac:dyDescent="0.2">
      <c r="B19" s="262" t="s">
        <v>226</v>
      </c>
      <c r="C19" s="263"/>
    </row>
    <row r="20" spans="2:9" x14ac:dyDescent="0.2">
      <c r="B20" s="181" t="s">
        <v>227</v>
      </c>
      <c r="C20" s="182">
        <v>0.02</v>
      </c>
    </row>
    <row r="21" spans="2:9" x14ac:dyDescent="0.2">
      <c r="B21" s="181" t="s">
        <v>207</v>
      </c>
      <c r="C21" s="183">
        <f ca="1">IF(WACC!C21&gt;0,WACC!C21,WACC!C20)</f>
        <v>8.7970500000000007E-2</v>
      </c>
    </row>
    <row r="22" spans="2:9" x14ac:dyDescent="0.2">
      <c r="B22" s="181" t="s">
        <v>70</v>
      </c>
      <c r="C22" s="184">
        <f>Statement!AC74</f>
        <v>523922</v>
      </c>
    </row>
    <row r="23" spans="2:9" x14ac:dyDescent="0.2">
      <c r="B23" s="181" t="s">
        <v>270</v>
      </c>
      <c r="C23" s="184">
        <f ca="1">C15*C22</f>
        <v>6080114.8100000005</v>
      </c>
    </row>
    <row r="24" spans="2:9" x14ac:dyDescent="0.2">
      <c r="B24" s="181" t="s">
        <v>220</v>
      </c>
      <c r="C24" s="184">
        <f>Statement!AC116</f>
        <v>1307244</v>
      </c>
    </row>
    <row r="25" spans="2:9" x14ac:dyDescent="0.2">
      <c r="B25" s="181" t="s">
        <v>211</v>
      </c>
      <c r="C25" s="184">
        <f>Statement!AC117</f>
        <v>0</v>
      </c>
    </row>
    <row r="26" spans="2:9" ht="17" thickBot="1" x14ac:dyDescent="0.25">
      <c r="B26" s="179" t="s">
        <v>271</v>
      </c>
      <c r="C26" s="185">
        <f ca="1">C23+C25-C24</f>
        <v>4772870.8100000005</v>
      </c>
    </row>
    <row r="27" spans="2:9" ht="17" thickBot="1" x14ac:dyDescent="0.25"/>
    <row r="28" spans="2:9" x14ac:dyDescent="0.2">
      <c r="B28" s="262" t="s">
        <v>228</v>
      </c>
      <c r="C28" s="263"/>
    </row>
    <row r="29" spans="2:9" x14ac:dyDescent="0.2">
      <c r="B29" s="181" t="s">
        <v>229</v>
      </c>
      <c r="C29" s="184">
        <f ca="1">SUM(H10:L10)</f>
        <v>519259.79206271772</v>
      </c>
    </row>
    <row r="30" spans="2:9" x14ac:dyDescent="0.2">
      <c r="B30" s="181" t="s">
        <v>225</v>
      </c>
      <c r="C30" s="184">
        <f ca="1">L11</f>
        <v>4058798.5768984016</v>
      </c>
    </row>
    <row r="31" spans="2:9" x14ac:dyDescent="0.2">
      <c r="B31" s="186" t="s">
        <v>230</v>
      </c>
      <c r="C31" s="187">
        <f ca="1">C29+C30</f>
        <v>4578058.3689611191</v>
      </c>
    </row>
    <row r="32" spans="2:9" x14ac:dyDescent="0.2">
      <c r="B32" s="181" t="s">
        <v>231</v>
      </c>
      <c r="C32" s="188">
        <f>C24</f>
        <v>1307244</v>
      </c>
    </row>
    <row r="33" spans="2:12" x14ac:dyDescent="0.2">
      <c r="B33" s="181" t="s">
        <v>232</v>
      </c>
      <c r="C33" s="188">
        <f>C25</f>
        <v>0</v>
      </c>
    </row>
    <row r="34" spans="2:12" x14ac:dyDescent="0.2">
      <c r="B34" s="186" t="s">
        <v>233</v>
      </c>
      <c r="C34" s="187">
        <f ca="1">C31+C32-C33</f>
        <v>5885302.3689611191</v>
      </c>
    </row>
    <row r="35" spans="2:12" x14ac:dyDescent="0.2">
      <c r="B35" s="181" t="s">
        <v>70</v>
      </c>
      <c r="C35" s="184">
        <f>C22</f>
        <v>523922</v>
      </c>
    </row>
    <row r="36" spans="2:12" ht="17" thickBot="1" x14ac:dyDescent="0.25">
      <c r="B36" s="189" t="s">
        <v>234</v>
      </c>
      <c r="C36" s="190">
        <f ca="1">C34/C35</f>
        <v>11.233165182911042</v>
      </c>
    </row>
    <row r="39" spans="2:12" x14ac:dyDescent="0.2">
      <c r="C39" s="258" t="s">
        <v>272</v>
      </c>
      <c r="D39" s="258"/>
      <c r="E39" s="258"/>
      <c r="F39" s="258"/>
      <c r="G39" s="258"/>
      <c r="H39" s="258"/>
      <c r="I39" s="258"/>
      <c r="J39" s="258"/>
      <c r="K39" s="258"/>
      <c r="L39" s="25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314</v>
      </c>
      <c r="C41" s="133">
        <f>C7</f>
        <v>-601022</v>
      </c>
      <c r="D41" s="133">
        <f t="shared" si="2"/>
        <v>-500062</v>
      </c>
      <c r="E41" s="133">
        <f t="shared" si="2"/>
        <v>-216393</v>
      </c>
      <c r="F41" s="133">
        <f t="shared" si="2"/>
        <v>-202032</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5">
        <f>H41/H43</f>
        <v>15999.999999999998</v>
      </c>
      <c r="I42" s="165">
        <f t="shared" ref="I42:L42" si="3">I41/I43</f>
        <v>35200</v>
      </c>
      <c r="J42" s="165">
        <f t="shared" si="3"/>
        <v>77440</v>
      </c>
      <c r="K42" s="165">
        <f t="shared" si="3"/>
        <v>170368</v>
      </c>
      <c r="L42" s="165">
        <f t="shared" si="3"/>
        <v>374809.60000000003</v>
      </c>
    </row>
    <row r="43" spans="2:12" x14ac:dyDescent="0.2">
      <c r="B43" s="143" t="s">
        <v>382</v>
      </c>
      <c r="C43" s="97">
        <f>C41/C42</f>
        <v>1.1997740275398945</v>
      </c>
      <c r="D43" s="97">
        <f t="shared" ref="D43:G43" si="4">D41/D42</f>
        <v>1.4357921575270685</v>
      </c>
      <c r="E43" s="97">
        <f t="shared" si="4"/>
        <v>1.3137020398251578</v>
      </c>
      <c r="F43" s="97">
        <f t="shared" si="4"/>
        <v>1.2427461570164053</v>
      </c>
      <c r="G43" s="98">
        <f t="shared" si="4"/>
        <v>0.14094432699083861</v>
      </c>
      <c r="H43" s="191">
        <v>1.1000000000000001</v>
      </c>
      <c r="I43" s="191">
        <v>1.1000000000000001</v>
      </c>
      <c r="J43" s="191">
        <v>1.1000000000000001</v>
      </c>
      <c r="K43" s="191">
        <v>1.1000000000000001</v>
      </c>
      <c r="L43" s="191">
        <v>1.1000000000000001</v>
      </c>
    </row>
    <row r="44" spans="2:12" x14ac:dyDescent="0.2">
      <c r="B44" s="1" t="s">
        <v>20</v>
      </c>
      <c r="C44" s="133">
        <f>Revenue!C9</f>
        <v>892252</v>
      </c>
      <c r="D44" s="133">
        <f>Revenue!D9</f>
        <v>1058581</v>
      </c>
      <c r="E44" s="133">
        <f>Revenue!E9</f>
        <v>1308072</v>
      </c>
      <c r="F44" s="133">
        <f>Revenue!F9</f>
        <v>1429664</v>
      </c>
      <c r="G44" s="134">
        <f>Revenue!G9</f>
        <v>1610572</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383</v>
      </c>
      <c r="C45" s="97">
        <f>C41/C44</f>
        <v>-0.67360117993571322</v>
      </c>
      <c r="D45" s="97">
        <f t="shared" ref="D45:G45" si="6">D41/D44</f>
        <v>-0.47238898109828159</v>
      </c>
      <c r="E45" s="97">
        <f t="shared" si="6"/>
        <v>-0.16542896721281397</v>
      </c>
      <c r="F45" s="97">
        <f t="shared" si="6"/>
        <v>-0.14131432280591805</v>
      </c>
      <c r="G45" s="98">
        <f t="shared" si="6"/>
        <v>4.967179362363185E-3</v>
      </c>
      <c r="H45" s="191">
        <v>0.01</v>
      </c>
      <c r="I45" s="191">
        <v>0.02</v>
      </c>
      <c r="J45" s="191">
        <v>4.2000000000000003E-2</v>
      </c>
      <c r="K45" s="191">
        <v>7.0000000000000007E-2</v>
      </c>
      <c r="L45" s="191">
        <v>0.15</v>
      </c>
    </row>
    <row r="46" spans="2:12" x14ac:dyDescent="0.2">
      <c r="B46" s="143" t="s">
        <v>384</v>
      </c>
      <c r="C46" s="159"/>
      <c r="D46" s="97">
        <f>D41/C41-1</f>
        <v>-0.16798053981385042</v>
      </c>
      <c r="E46" s="97">
        <f t="shared" ref="E46:L47" si="7">E41/D41-1</f>
        <v>-0.5672676588103075</v>
      </c>
      <c r="F46" s="97">
        <f t="shared" si="7"/>
        <v>-6.6365363020060686E-2</v>
      </c>
      <c r="G46" s="98">
        <f t="shared" si="7"/>
        <v>-1.0395976874950503</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273</v>
      </c>
      <c r="C47" s="159"/>
      <c r="D47" s="97">
        <f>D42/C42-1</f>
        <v>-0.30474941410850676</v>
      </c>
      <c r="E47" s="97">
        <f t="shared" si="7"/>
        <v>-0.52705127726590151</v>
      </c>
      <c r="F47" s="97">
        <f t="shared" si="7"/>
        <v>-1.3058523555123824E-2</v>
      </c>
      <c r="G47" s="98">
        <f t="shared" si="7"/>
        <v>-1.3491440557547871</v>
      </c>
      <c r="H47" s="192">
        <f t="shared" si="7"/>
        <v>-0.71811134601832283</v>
      </c>
      <c r="I47" s="192">
        <f t="shared" si="7"/>
        <v>1.2000000000000002</v>
      </c>
      <c r="J47" s="192">
        <f t="shared" si="7"/>
        <v>1.2000000000000002</v>
      </c>
      <c r="K47" s="192">
        <f t="shared" si="7"/>
        <v>1.2000000000000002</v>
      </c>
      <c r="L47" s="192">
        <f t="shared" si="7"/>
        <v>1.2000000000000002</v>
      </c>
    </row>
    <row r="48" spans="2:12" x14ac:dyDescent="0.2">
      <c r="B48" s="143" t="s">
        <v>274</v>
      </c>
      <c r="C48" s="159"/>
      <c r="D48" s="97">
        <f>D44/C44-1</f>
        <v>0.18641482451146096</v>
      </c>
      <c r="E48" s="97">
        <f t="shared" ref="E48:L48" si="8">E44/D44-1</f>
        <v>0.23568437370404349</v>
      </c>
      <c r="F48" s="97">
        <f t="shared" si="8"/>
        <v>9.2955127852289543E-2</v>
      </c>
      <c r="G48" s="98">
        <f t="shared" si="8"/>
        <v>0.12653882310808684</v>
      </c>
      <c r="H48" s="192">
        <f t="shared" si="8"/>
        <v>9.2779459719900759E-2</v>
      </c>
      <c r="I48" s="192">
        <f t="shared" si="8"/>
        <v>0.10000000000000009</v>
      </c>
      <c r="J48" s="192">
        <f t="shared" si="8"/>
        <v>4.761904761904745E-2</v>
      </c>
      <c r="K48" s="192">
        <f t="shared" si="8"/>
        <v>0.32000000000000006</v>
      </c>
      <c r="L48" s="192">
        <f t="shared" si="8"/>
        <v>2.6666666666666838E-2</v>
      </c>
    </row>
    <row r="49" spans="2:12" x14ac:dyDescent="0.2">
      <c r="B49" s="143" t="s">
        <v>275</v>
      </c>
      <c r="C49" s="97">
        <f>C42/C44</f>
        <v>-0.56144004160259653</v>
      </c>
      <c r="D49" s="97">
        <f t="shared" ref="D49:L49" si="9">D42/D44</f>
        <v>-0.32900930585377974</v>
      </c>
      <c r="E49" s="97">
        <f t="shared" si="9"/>
        <v>-0.12592579001767487</v>
      </c>
      <c r="F49" s="97">
        <f t="shared" si="9"/>
        <v>-0.11371133357208407</v>
      </c>
      <c r="G49" s="98">
        <f t="shared" si="9"/>
        <v>3.5242137575966802E-2</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2026-06-03T17:25:01Z</dcterms:modified>
</cp:coreProperties>
</file>