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33E0709-4AA7-8A42-85BE-096929668063}"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9" i="13"/>
  <c r="C83" i="12"/>
  <c r="C81" i="12"/>
  <c r="C80" i="12"/>
  <c r="C79" i="12"/>
  <c r="C75"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C82" i="12" s="1"/>
  <c r="C84" i="12" s="1"/>
  <c r="AA174" i="3"/>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0"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AC78" i="3" l="1"/>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H27" i="8" l="1"/>
  <c r="H28" i="8" s="1"/>
  <c r="H34" i="8"/>
  <c r="F14" i="12"/>
  <c r="J26" i="8"/>
  <c r="J19" i="8"/>
  <c r="J14" i="8"/>
  <c r="K5" i="8"/>
  <c r="K32" i="8" s="1"/>
  <c r="C62" i="12"/>
  <c r="C41" i="12"/>
  <c r="C15" i="1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L28" i="8" l="1"/>
  <c r="J15" i="12"/>
  <c r="K15" i="12"/>
  <c r="L14" i="12"/>
  <c r="C40" i="12"/>
  <c r="C43" i="12" s="1"/>
  <c r="C44" i="12" s="1"/>
  <c r="C45" i="12" s="1"/>
  <c r="C48" i="12" s="1"/>
  <c r="C50" i="12" s="1"/>
  <c r="C6" i="13" s="1"/>
  <c r="I4" i="1" s="1"/>
  <c r="L8" i="12" l="1"/>
  <c r="L7" i="11"/>
  <c r="L15" i="12" l="1"/>
  <c r="C61" i="12"/>
  <c r="C64" i="12" s="1"/>
  <c r="C65" i="12" s="1"/>
  <c r="C66" i="12" s="1"/>
  <c r="C69" i="12" s="1"/>
  <c r="C71" i="12" s="1"/>
  <c r="C8" i="13" s="1"/>
  <c r="L8" i="11"/>
  <c r="L11" i="11" s="1"/>
  <c r="C20" i="11" s="1"/>
  <c r="L10" i="11"/>
  <c r="C19" i="11" l="1"/>
  <c r="C21" i="11" s="1"/>
  <c r="C24" i="11" s="1"/>
  <c r="C26" i="11" s="1"/>
  <c r="C5" i="13" s="1"/>
  <c r="L9" i="12"/>
  <c r="I6" i="1"/>
  <c r="I3" i="1" l="1"/>
  <c r="I7" i="1" l="1"/>
  <c r="C12"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<sst xmlns="http://schemas.openxmlformats.org/spreadsheetml/2006/main" count="810" uniqueCount="433">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</sst>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8" xfId="0" applyFont="1" applyFill="1" applyBorder="1" applyAlignment="1">
      <alignment horizontal="center"/>
    </xf>
    <xf numFmtId="0" fontId="4" fillId="4" borderId="19"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0.9829</v>
    <v>-0.14000000000000001</v>
    <v>-1.1110999999999999E-2</v>
    <v>0.02</v>
    <v>1.6050000000000001E-3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12.81</v>
    <v>Software &amp; IT Services</v>
    <v>Stock</v>
    <v>46290.999607175778</v>
    <v>0</v>
    <v>12.36</v>
    <v>6493596284</v>
    <v>UIPATH, INC.</v>
    <v>UIPATH, INC.</v>
    <v>12.6</v>
    <v>18.79</v>
    <v>12.6</v>
    <v>12.46</v>
    <v>12.48</v>
    <v>521155400</v>
    <v>PATH</v>
    <v>UIPATH, INC. (XNYS:PATH)</v>
    <v>45670205</v>
    <v>59393997</v>
    <v>2015</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5" t="s">
        <v>18</v>
      </c>
      <c r="C2" s="256"/>
      <c r="E2" s="255" t="s">
        <v>329</v>
      </c>
      <c r="F2" s="256"/>
      <c r="H2" s="255" t="s">
        <v>371</v>
      </c>
      <c r="I2" s="256"/>
    </row>
    <row r="3" spans="2:9" x14ac:dyDescent="0.2">
      <c r="B3" s="202" t="s">
        <v>11</v>
      </c>
      <c r="C3" s="234" t="e" vm="1">
        <v>#VALUE!</v>
      </c>
      <c r="D3" s="2"/>
      <c r="E3" s="202" t="s">
        <v>281</v>
      </c>
      <c r="F3" s="204">
        <f ca="1">Statement!AC153</f>
        <v>6535456.9000000004</v>
      </c>
      <c r="H3" s="202" t="str">
        <f>'AVG target price'!B5</f>
        <v>DCF price</v>
      </c>
      <c r="I3" s="228">
        <f>'AVG target price'!C5</f>
        <v>6.0868928055205176</v>
      </c>
    </row>
    <row r="4" spans="2:9" x14ac:dyDescent="0.2">
      <c r="B4" s="202" t="s">
        <v>0</v>
      </c>
      <c r="C4" s="206" t="str" cm="1">
        <f t="array" aca="1" ref="C4" ca="1">_FV(C3,"Ticker symbol",TRUE)</f>
        <v>PATH</v>
      </c>
      <c r="E4" s="203" t="s">
        <v>227</v>
      </c>
      <c r="F4" s="205">
        <f ca="1">Statement!AC154</f>
        <v>5130431.9000000004</v>
      </c>
      <c r="H4" s="202" t="str">
        <f>'AVG target price'!B6</f>
        <v>EV/EBIT price</v>
      </c>
      <c r="I4" s="228">
        <f>'AVG target price'!C6</f>
        <v>15.500001157758549</v>
      </c>
    </row>
    <row r="5" spans="2:9" x14ac:dyDescent="0.2">
      <c r="B5" s="202" t="s">
        <v>1</v>
      </c>
      <c r="C5" s="225" cm="1">
        <f t="array" aca="1" ref="C5" ca="1">_FV(C3,"Price",TRUE)</f>
        <v>12.46</v>
      </c>
      <c r="E5" s="202" t="s">
        <v>285</v>
      </c>
      <c r="F5" s="207">
        <f>Statement!AC26</f>
        <v>0.67000000000000015</v>
      </c>
      <c r="H5" s="202" t="str">
        <f>'AVG target price'!B7</f>
        <v>PS price</v>
      </c>
      <c r="I5" s="228">
        <f>'AVG target price'!C7</f>
        <v>11.635364421878764</v>
      </c>
    </row>
    <row r="6" spans="2:9" x14ac:dyDescent="0.2">
      <c r="B6" s="202" t="s">
        <v>2</v>
      </c>
      <c r="C6" s="225" cm="1">
        <f t="array" aca="1" ref="C6" ca="1">_FV(C3,"Price (Extended hours)",TRUE)</f>
        <v>12.48</v>
      </c>
      <c r="E6" s="202" t="s">
        <v>279</v>
      </c>
      <c r="F6" s="207">
        <f ca="1">Statement!AC150</f>
        <v>18.597014925373131</v>
      </c>
      <c r="H6" s="202" t="str">
        <f>'AVG target price'!B8</f>
        <v>EV/FCFF price</v>
      </c>
      <c r="I6" s="228">
        <f>'AVG target price'!C8</f>
        <v>9.9292211427795856</v>
      </c>
    </row>
    <row r="7" spans="2:9" x14ac:dyDescent="0.2">
      <c r="B7" s="202" t="s">
        <v>3</v>
      </c>
      <c r="C7" s="6" cm="1">
        <f t="array" aca="1" ref="C7" ca="1">_FV(C3,"Change")</f>
        <v>-0.14000000000000001</v>
      </c>
      <c r="E7" s="203" t="s">
        <v>240</v>
      </c>
      <c r="F7" s="208">
        <f ca="1">Statement!AC151</f>
        <v>3.8648972169696747</v>
      </c>
      <c r="H7" s="201" t="str">
        <f>'AVG target price'!B10</f>
        <v>AVG price</v>
      </c>
      <c r="I7" s="229">
        <f>'AVG target price'!C10</f>
        <v>10.954332680019224</v>
      </c>
    </row>
    <row r="8" spans="2:9" x14ac:dyDescent="0.2">
      <c r="B8" s="202" t="s">
        <v>4</v>
      </c>
      <c r="C8" s="6" cm="1">
        <f t="array" aca="1" ref="C8" ca="1">_FV(C3,"Change (extended hours)",TRUE)</f>
        <v>0.02</v>
      </c>
      <c r="E8" s="202" t="s">
        <v>307</v>
      </c>
      <c r="F8" s="209">
        <f ca="1">Statement!AC161</f>
        <v>1.9643003077566005E-2</v>
      </c>
      <c r="H8" s="201" t="str">
        <f>'AVG target price'!B12</f>
        <v>Upside/Downside</v>
      </c>
      <c r="I8" s="230">
        <f ca="1">'AVG target price'!C12</f>
        <v>-0.12084007383473329</v>
      </c>
    </row>
    <row r="9" spans="2:9" x14ac:dyDescent="0.2">
      <c r="B9" s="202" t="s">
        <v>5</v>
      </c>
      <c r="C9" s="73" cm="1">
        <f t="array" aca="1" ref="C9" ca="1">_FV(C3,"Change (%)",TRUE)</f>
        <v>-1.1110999999999999E-2</v>
      </c>
      <c r="E9" s="202" t="s">
        <v>330</v>
      </c>
      <c r="F9" s="209">
        <f ca="1">Statement!AC162</f>
        <v>5.377207062600322E-2</v>
      </c>
    </row>
    <row r="10" spans="2:9" x14ac:dyDescent="0.2">
      <c r="B10" s="202" t="s">
        <v>6</v>
      </c>
      <c r="C10" s="73" cm="1">
        <f t="array" aca="1" ref="C10" ca="1">_FV(C3,"Change % (extended hours)",TRUE)</f>
        <v>1.6050000000000001E-3</v>
      </c>
      <c r="E10" s="202" t="s">
        <v>335</v>
      </c>
      <c r="F10" s="209">
        <f ca="1">Statement!AC164</f>
        <v>4.1090929694601763E-2</v>
      </c>
      <c r="H10" s="201" t="s">
        <v>418</v>
      </c>
      <c r="I10" s="229">
        <f>DDM!C26</f>
        <v>0</v>
      </c>
    </row>
    <row r="11" spans="2:9" x14ac:dyDescent="0.2">
      <c r="B11" s="202" t="s">
        <v>7</v>
      </c>
      <c r="C11" s="226" cm="1">
        <f t="array" aca="1" ref="C11" ca="1">_FV(C3,"52 week high",TRUE)</f>
        <v>19.84</v>
      </c>
      <c r="E11" s="203" t="s">
        <v>331</v>
      </c>
      <c r="F11" s="210">
        <f ca="1">Statement!AC163</f>
        <v>0</v>
      </c>
    </row>
    <row r="12" spans="2:9" x14ac:dyDescent="0.2">
      <c r="B12" s="202" t="s">
        <v>8</v>
      </c>
      <c r="C12" s="226" cm="1">
        <f t="array" aca="1" ref="C12" ca="1">_FV(C3,"52 week low",TRUE)</f>
        <v>9.2002000000000006</v>
      </c>
      <c r="E12" s="202" t="s">
        <v>119</v>
      </c>
      <c r="F12" s="209">
        <f>Statement!AC123</f>
        <v>0.12448204853394841</v>
      </c>
    </row>
    <row r="13" spans="2:9" x14ac:dyDescent="0.2">
      <c r="B13" s="202" t="s">
        <v>9</v>
      </c>
      <c r="C13" s="226" cm="1">
        <f t="array" aca="1" ref="C13" ca="1">_FV(C3,"Beta")</f>
        <v>0.9829</v>
      </c>
      <c r="E13" s="202" t="s">
        <v>121</v>
      </c>
      <c r="F13" s="209">
        <f>Statement!AC125</f>
        <v>0.18573545162533595</v>
      </c>
    </row>
    <row r="14" spans="2:9" x14ac:dyDescent="0.2">
      <c r="B14" s="203" t="s">
        <v>10</v>
      </c>
      <c r="C14" s="227" cm="1">
        <f t="array" aca="1" ref="C14" ca="1">_FV(C3,"Volume average",TRUE)</f>
        <v>59393997</v>
      </c>
      <c r="E14" s="203" t="s">
        <v>122</v>
      </c>
      <c r="F14" s="210">
        <f>Statement!AC140</f>
        <v>0.28139960185897273</v>
      </c>
    </row>
    <row r="15" spans="2:9" x14ac:dyDescent="0.2">
      <c r="E15" s="202" t="s">
        <v>332</v>
      </c>
      <c r="F15" s="209">
        <f ca="1">Statement!AC176</f>
        <v>0.21498496914576851</v>
      </c>
    </row>
    <row r="16" spans="2:9" x14ac:dyDescent="0.2">
      <c r="E16" s="203" t="s">
        <v>337</v>
      </c>
      <c r="F16" s="208">
        <f>Statement!AC175</f>
        <v>2.6959777878408766</v>
      </c>
    </row>
    <row r="17" spans="2:9" x14ac:dyDescent="0.2">
      <c r="B17" s="257" t="s">
        <v>101</v>
      </c>
      <c r="C17" s="257"/>
      <c r="E17" s="201" t="s">
        <v>338</v>
      </c>
      <c r="F17" s="211">
        <f>Statement!AC171</f>
        <v>0.2226990648503856</v>
      </c>
    </row>
    <row r="18" spans="2:9" x14ac:dyDescent="0.2">
      <c r="B18" s="201" t="s">
        <v>12</v>
      </c>
      <c r="C18" s="69" t="s">
        <v>14</v>
      </c>
      <c r="E18" s="202" t="s">
        <v>339</v>
      </c>
      <c r="F18" s="207">
        <f>Statement!AC144</f>
        <v>45.101495784048865</v>
      </c>
      <c r="I18" s="50"/>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7" t="s">
        <v>124</v>
      </c>
      <c r="C25" s="257"/>
      <c r="E25" s="255" t="s">
        <v>391</v>
      </c>
      <c r="F25" s="256"/>
    </row>
    <row r="26" spans="2:9" x14ac:dyDescent="0.2">
      <c r="B26" s="201" t="s">
        <v>125</v>
      </c>
      <c r="C26" s="187">
        <v>0.21</v>
      </c>
      <c r="E26" s="202" t="e" vm="2">
        <v>#VALUE!</v>
      </c>
      <c r="F26" s="236" cm="1">
        <f t="array" aca="1" ref="F26" ca="1">_FV(E26,"Price")</f>
        <v>51.84</v>
      </c>
    </row>
    <row r="27" spans="2:9" x14ac:dyDescent="0.2">
      <c r="B27" s="201" t="s">
        <v>211</v>
      </c>
      <c r="C27" s="238">
        <v>0</v>
      </c>
      <c r="E27" s="203" t="s">
        <v>392</v>
      </c>
      <c r="F27" s="237">
        <f ca="1">F26/1000</f>
        <v>5.1840000000000004E-2</v>
      </c>
    </row>
    <row r="28" spans="2:9" x14ac:dyDescent="0.2">
      <c r="B28" s="201" t="s">
        <v>396</v>
      </c>
      <c r="C28" s="238">
        <v>0.1</v>
      </c>
    </row>
    <row r="29" spans="2:9" x14ac:dyDescent="0.2">
      <c r="B29" s="201" t="s">
        <v>408</v>
      </c>
      <c r="C29" s="238">
        <v>0.12</v>
      </c>
    </row>
    <row r="33" spans="2:8" x14ac:dyDescent="0.2">
      <c r="B33" s="252" t="s">
        <v>381</v>
      </c>
      <c r="C33" s="252"/>
      <c r="D33" s="252"/>
      <c r="E33" s="252"/>
      <c r="F33" s="252"/>
      <c r="G33" s="252"/>
      <c r="H33" s="252"/>
    </row>
    <row r="35" spans="2:8" x14ac:dyDescent="0.2">
      <c r="B35" s="16" t="s">
        <v>382</v>
      </c>
      <c r="C35" s="1" t="s">
        <v>387</v>
      </c>
    </row>
    <row r="36" spans="2:8" x14ac:dyDescent="0.2">
      <c r="B36" s="16" t="s">
        <v>383</v>
      </c>
      <c r="C36" s="1" t="s">
        <v>386</v>
      </c>
    </row>
    <row r="39" spans="2:8" ht="6" customHeight="1" x14ac:dyDescent="0.2">
      <c r="B39" s="252"/>
      <c r="C39" s="252"/>
      <c r="D39" s="252"/>
      <c r="E39" s="252"/>
      <c r="F39" s="252"/>
      <c r="G39" s="252"/>
      <c r="H39" s="252"/>
    </row>
    <row r="42" spans="2:8" x14ac:dyDescent="0.2">
      <c r="B42" s="252" t="s">
        <v>384</v>
      </c>
      <c r="C42" s="252"/>
      <c r="D42" s="252"/>
      <c r="E42" s="252"/>
      <c r="F42" s="252"/>
      <c r="G42" s="252"/>
      <c r="H42" s="252"/>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252"/>
      <c r="C49" s="252"/>
      <c r="D49" s="252"/>
      <c r="E49" s="252"/>
      <c r="F49" s="252"/>
      <c r="G49" s="252"/>
      <c r="H49" s="252"/>
    </row>
    <row r="52" spans="2:8" x14ac:dyDescent="0.2">
      <c r="B52" s="252" t="s">
        <v>126</v>
      </c>
      <c r="C52" s="252"/>
      <c r="D52" s="252"/>
      <c r="E52" s="252"/>
      <c r="F52" s="252"/>
      <c r="G52" s="252"/>
      <c r="H52" s="252"/>
    </row>
    <row r="54" spans="2:8" x14ac:dyDescent="0.2">
      <c r="B54" s="41" t="s">
        <v>385</v>
      </c>
      <c r="C54" s="41" t="s">
        <v>372</v>
      </c>
      <c r="D54" s="41"/>
      <c r="E54" s="41" t="s">
        <v>373</v>
      </c>
    </row>
    <row r="59" spans="2:8" ht="5" customHeight="1" x14ac:dyDescent="0.2">
      <c r="B59" s="252"/>
      <c r="C59" s="252"/>
      <c r="D59" s="252"/>
      <c r="E59" s="252"/>
      <c r="F59" s="252"/>
      <c r="G59" s="252"/>
      <c r="H59" s="25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W207" activePane="bottomRight" state="frozen"/>
      <selection pane="topRight" activeCell="C1" sqref="C1"/>
      <selection pane="bottomLeft" activeCell="A4" sqref="A4"/>
      <selection pane="bottomRight" activeCell="AA214" sqref="AA2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12.46</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12.46</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18.597014925373131</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3.8648972169696747</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3.3325295360501213</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6535456.9000000004</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5130431.9000000004</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2.9813220498146857</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33.543635091665145</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50.908712687729796</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-113.68874288120195</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1.9643003077566005E-2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5.377207062600322E-2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4.1090929694601763E-2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4.1090929694601763E-2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0.21498496914576851</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2" t="s">
        <v>275</v>
      </c>
      <c r="C4" s="252"/>
      <c r="E4" s="252" t="s">
        <v>282</v>
      </c>
      <c r="F4" s="252"/>
      <c r="G4" s="252"/>
    </row>
    <row r="5" spans="2:7" x14ac:dyDescent="0.2">
      <c r="B5" s="20" t="s">
        <v>1</v>
      </c>
      <c r="C5" s="189">
        <f ca="1">Overview!C5</f>
        <v>12.46</v>
      </c>
      <c r="E5" s="12"/>
      <c r="F5" s="153" t="s">
        <v>283</v>
      </c>
      <c r="G5" s="153" t="s">
        <v>284</v>
      </c>
    </row>
    <row r="6" spans="2:7" x14ac:dyDescent="0.2">
      <c r="B6" s="20" t="s">
        <v>281</v>
      </c>
      <c r="C6" s="190">
        <f ca="1">Statement!AC153</f>
        <v>6535456.9000000004</v>
      </c>
      <c r="E6" s="20" t="s">
        <v>20</v>
      </c>
      <c r="F6" s="195">
        <f>IF(Statement!M5&lt;=0,"N/A",_xlfn.RRI(4,Statement!M5,Statement!Q5))</f>
        <v>0.15910599918172563</v>
      </c>
      <c r="G6" s="195" t="str">
        <f>IF(Statement!H5&lt;=0,"N/A",_xlfn.RRI(9,Statement!H5,Statement!Q5))</f>
        <v>N/A</v>
      </c>
    </row>
    <row r="7" spans="2:7" x14ac:dyDescent="0.2">
      <c r="B7" s="20" t="s">
        <v>227</v>
      </c>
      <c r="C7" s="190">
        <f ca="1">Statement!AC154</f>
        <v>5130431.9000000004</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18.597014925373131</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3.8648972169696747</v>
      </c>
      <c r="E9" s="20" t="s">
        <v>286</v>
      </c>
      <c r="F9" s="195" t="str">
        <f>IF(Statement!M82&lt;=0,"N/A",_xlfn.RRI(4,Statement!M82,Statement!Q82))</f>
        <v>N/A</v>
      </c>
      <c r="G9" s="195" t="str">
        <f>IF(Statement!H82&lt;=0,"N/A",_xlfn.RRI(9,Statement!H82,Statement!Q82))</f>
        <v>N/A</v>
      </c>
    </row>
    <row r="10" spans="2:7" x14ac:dyDescent="0.2">
      <c r="B10" s="20" t="s">
        <v>280</v>
      </c>
      <c r="C10" s="191">
        <f ca="1">Statement!AC152</f>
        <v>3.3325295360501213</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2.9813220498146857</v>
      </c>
    </row>
    <row r="12" spans="2:7" x14ac:dyDescent="0.2">
      <c r="B12" s="20" t="s">
        <v>243</v>
      </c>
      <c r="C12" s="191">
        <f ca="1">Statement!AC156</f>
        <v>33.543635091665145</v>
      </c>
    </row>
    <row r="15" spans="2:7" x14ac:dyDescent="0.2">
      <c r="B15" s="252" t="s">
        <v>78</v>
      </c>
      <c r="C15" s="252"/>
      <c r="E15" s="252" t="s">
        <v>288</v>
      </c>
      <c r="F15" s="252"/>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2" t="s">
        <v>287</v>
      </c>
      <c r="C21" s="252"/>
      <c r="E21" s="252" t="s">
        <v>291</v>
      </c>
      <c r="F21" s="252"/>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2" t="s">
        <v>292</v>
      </c>
      <c r="C29" s="252"/>
      <c r="E29" s="252" t="s">
        <v>298</v>
      </c>
      <c r="F29" s="252"/>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2" t="s">
        <v>310</v>
      </c>
      <c r="C37" s="252"/>
      <c r="E37" s="252" t="s">
        <v>313</v>
      </c>
      <c r="F37" s="252"/>
    </row>
    <row r="38" spans="2:6" x14ac:dyDescent="0.2">
      <c r="B38" s="20" t="s">
        <v>308</v>
      </c>
      <c r="C38" s="192">
        <f ca="1">Statement!AC162</f>
        <v>5.377207062600322E-2</v>
      </c>
      <c r="E38" s="20" t="s">
        <v>312</v>
      </c>
      <c r="F38" s="192">
        <f>Statement!AC168</f>
        <v>0</v>
      </c>
    </row>
    <row r="39" spans="2:6" x14ac:dyDescent="0.2">
      <c r="B39" s="54" t="s">
        <v>311</v>
      </c>
      <c r="C39" s="232">
        <f ca="1">Statement!AC161</f>
        <v>1.9643003077566005E-2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4.1090929694601763E-2</v>
      </c>
    </row>
    <row r="42" spans="2:6" x14ac:dyDescent="0.2">
      <c r="B42" s="20" t="s">
        <v>336</v>
      </c>
      <c r="C42" s="192">
        <f ca="1">Statement!AC165</f>
        <v>4.1090929694601763E-2</v>
      </c>
    </row>
    <row r="45" spans="2:6" x14ac:dyDescent="0.2">
      <c r="B45" s="252" t="s">
        <v>321</v>
      </c>
      <c r="C45" s="252"/>
      <c r="E45" s="252" t="s">
        <v>327</v>
      </c>
      <c r="F45" s="252"/>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0.21498496914576851</v>
      </c>
    </row>
    <row r="51" spans="2:6" x14ac:dyDescent="0.2">
      <c r="B51" s="252" t="s">
        <v>324</v>
      </c>
      <c r="C51" s="252"/>
      <c r="E51" s="252" t="s">
        <v>345</v>
      </c>
      <c r="F51" s="252"/>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12.46</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6535456.9000000004</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5130431.9000000004</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18.597014925373131</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3.8648972169696747</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3.3325295360501213</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2.9813220498146857</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33.543635091665145</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5.377207062600322E-2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1.9643003077566005E-2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4.1090929694601763E-2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4.1090929694601763E-2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0.21498496914576851</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0" t="s">
        <v>358</v>
      </c>
      <c r="D3" s="261"/>
      <c r="F3" s="262" t="s">
        <v>359</v>
      </c>
      <c r="G3" s="261"/>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58">
        <f>Statement!AA89</f>
        <v>-1.94224416920422E-2</v>
      </c>
      <c r="D7" s="259"/>
      <c r="F7" s="258">
        <f>IF(F6=0,
IF(G6=0,0,IF(G6&gt;0,1,-1)),
(G6-F6)/ABS(F6)
)</f>
        <v>0.13415605095541402</v>
      </c>
      <c r="G7" s="259"/>
    </row>
    <row r="8" spans="2:7" x14ac:dyDescent="0.2">
      <c r="B8" s="224" t="s">
        <v>21</v>
      </c>
      <c r="C8" s="217">
        <f>Statement!Z6</f>
        <v>76928</v>
      </c>
      <c r="D8" s="215">
        <f>Statement!AA6</f>
        <v>80587</v>
      </c>
      <c r="F8" s="217">
        <f>Statement!W6</f>
        <v>64380</v>
      </c>
      <c r="G8" s="215">
        <f>Statement!AA6</f>
        <v>80587</v>
      </c>
    </row>
    <row r="9" spans="2:7" x14ac:dyDescent="0.2">
      <c r="B9" s="223" t="s">
        <v>360</v>
      </c>
      <c r="C9" s="258">
        <f>Statement!AA90</f>
        <v>4.7563955906821963E-2</v>
      </c>
      <c r="D9" s="259"/>
      <c r="F9" s="258">
        <f>IF(F8=0,
IF(G8=0,0,IF(G8&gt;0,1,-1)),
(G8-F8)/ABS(F8)
)</f>
        <v>0.25173967070518793</v>
      </c>
      <c r="G9" s="259"/>
    </row>
    <row r="10" spans="2:7" x14ac:dyDescent="0.2">
      <c r="B10" s="224" t="s">
        <v>22</v>
      </c>
      <c r="C10" s="217">
        <f>Statement!Z7</f>
        <v>341454</v>
      </c>
      <c r="D10" s="215">
        <f>Statement!AA7</f>
        <v>329669</v>
      </c>
      <c r="F10" s="217">
        <f>Statement!W7</f>
        <v>297348</v>
      </c>
      <c r="G10" s="215">
        <f>Statement!AA7</f>
        <v>329669</v>
      </c>
    </row>
    <row r="11" spans="2:7" x14ac:dyDescent="0.2">
      <c r="B11" s="223" t="s">
        <v>360</v>
      </c>
      <c r="C11" s="258">
        <f>Statement!AA91</f>
        <v>-3.4514165890573843E-2</v>
      </c>
      <c r="D11" s="259"/>
      <c r="F11" s="258">
        <f>IF(F10=0,
IF(G10=0,0,IF(G10&gt;0,1,-1)),
(G10-F10)/ABS(F10)
)</f>
        <v>0.10869755303550049</v>
      </c>
      <c r="G11" s="259"/>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58">
        <f>Statement!AA95</f>
        <v>-4.9134358640622461E-2</v>
      </c>
      <c r="D13" s="259"/>
      <c r="F13" s="258">
        <f>IF(F12=0,
IF(G12=0,0,IF(G12&gt;0,1,-1)),
(G12-F12)/ABS(F12)
)</f>
        <v>-6.1310163038172411E-2</v>
      </c>
      <c r="G13" s="259"/>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58">
        <f>Statement!AA96</f>
        <v>0.12923857505270303</v>
      </c>
      <c r="D15" s="259"/>
      <c r="F15" s="258">
        <f>IF(F14=0,
IF(G14=0,0,IF(G14&gt;0,1,-1)),
(G14-F14)/ABS(F14)
)</f>
        <v>2.5657171166707951</v>
      </c>
      <c r="G15" s="259"/>
    </row>
    <row r="16" spans="2:7" x14ac:dyDescent="0.2">
      <c r="B16" s="224" t="s">
        <v>32</v>
      </c>
      <c r="C16" s="217">
        <f>Statement!Z18</f>
        <v>22525</v>
      </c>
      <c r="D16" s="215">
        <f>Statement!AA18</f>
        <v>36089</v>
      </c>
      <c r="F16" s="217">
        <f>Statement!W18</f>
        <v>1584</v>
      </c>
      <c r="G16" s="215">
        <f>Statement!AA18</f>
        <v>36089</v>
      </c>
    </row>
    <row r="17" spans="2:7" x14ac:dyDescent="0.2">
      <c r="B17" s="223" t="s">
        <v>360</v>
      </c>
      <c r="C17" s="258">
        <f>Statement!AA98</f>
        <v>0.60217536071032185</v>
      </c>
      <c r="D17" s="259"/>
      <c r="F17" s="258">
        <f>IF(F16=0,
IF(G16=0,0,IF(G16&gt;0,1,-1)),
(G16-F16)/ABS(F16)
)</f>
        <v>21.783459595959595</v>
      </c>
      <c r="G17" s="259"/>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58">
        <f>IF(C18=0,
IF(D18=0,0,IF(D18&gt;0,1,-1)),
(D18-C18)/ABS(C18)
)</f>
        <v>-9.1035167425135184E-3</v>
      </c>
      <c r="D19" s="259"/>
      <c r="F19" s="258">
        <f>IF(F18=0,
IF(G18=0,0,IF(G18&gt;0,1,-1)),
(G18-F18)/ABS(F18)
)</f>
        <v>-3.6568944396857414E-2</v>
      </c>
      <c r="G19" s="259"/>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58">
        <f>IF(C20=0,
IF(D20=0,0,IF(D20&gt;0,1,-1)),
(D20-C20)/ABS(C20)
)</f>
        <v>0.75000000000000011</v>
      </c>
      <c r="D21" s="259"/>
      <c r="F21" s="258">
        <f>IF(F20=0,
IF(G20=0,0,IF(G20&gt;0,1,-1)),
(G20-F20)/ABS(F20)
)</f>
        <v>1</v>
      </c>
      <c r="G21" s="259"/>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58">
        <f>IF(C24=0,
IF(D24=0,0,IF(D24&gt;0,1,-1)),
(D24-C24)/ABS(C24)
)</f>
        <v>-0.17055904198675231</v>
      </c>
      <c r="D25" s="259"/>
      <c r="F25" s="258">
        <f>IF(F24=0,
IF(G24=0,0,IF(G24&gt;0,1,-1)),
(G24-F24)/ABS(F24)
)</f>
        <v>0.10415385026881001</v>
      </c>
      <c r="G25" s="259"/>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58">
        <f>IF(C26=0,
IF(D26=0,0,IF(D26&gt;0,1,-1)),
(D26-C26)/ABS(C26)
)</f>
        <v>5.20515770868673E-2</v>
      </c>
      <c r="D27" s="259"/>
      <c r="F27" s="258">
        <f>IF(F26=0,
IF(G26=0,0,IF(G26&gt;0,1,-1)),
(G26-F26)/ABS(F26)
)</f>
        <v>0.11622609213678298</v>
      </c>
      <c r="G27" s="259"/>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58">
        <f>IF(C28=0,
IF(D28=0,0,IF(D28&gt;0,1,-1)),
(D28-C28)/ABS(C28)
)</f>
        <v>0.2582560296846011</v>
      </c>
      <c r="D29" s="259"/>
      <c r="F29" s="258">
        <f>IF(F28=0,
IF(G28=0,0,IF(G28&gt;0,1,-1)),
(G28-F28)/ABS(F28)
)</f>
        <v>0.81595858621920747</v>
      </c>
      <c r="G29" s="259"/>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58">
        <f>IF(C32=0,
IF(D32=0,0,IF(D32&gt;0,1,-1)),
(D32-C32)/ABS(C32)
)</f>
        <v>1.9204075718055491E-2</v>
      </c>
      <c r="D33" s="259"/>
      <c r="F33" s="258">
        <f>IF(F32=0,
IF(G32=0,0,IF(G32&gt;0,1,-1)),
(G32-F32)/ABS(F32)
)</f>
        <v>0.12435933366639569</v>
      </c>
      <c r="G33" s="259"/>
    </row>
    <row r="34" spans="2:7" x14ac:dyDescent="0.2">
      <c r="B34" s="20" t="s">
        <v>132</v>
      </c>
      <c r="C34" s="217">
        <f>Statement!Z217</f>
        <v>2624</v>
      </c>
      <c r="D34" s="217">
        <f>Statement!AA217</f>
        <v>2666</v>
      </c>
      <c r="F34" s="217">
        <f>Statement!W217</f>
        <v>2432</v>
      </c>
      <c r="G34" s="215">
        <f>Statement!AA217</f>
        <v>2666</v>
      </c>
    </row>
    <row r="35" spans="2:7" x14ac:dyDescent="0.2">
      <c r="B35" s="223" t="s">
        <v>360</v>
      </c>
      <c r="C35" s="258">
        <f>IF(C34=0,
IF(D34=0,0,IF(D34&gt;0,1,-1)),
(D34-C34)/ABS(C34)
)</f>
        <v>1.600609756097561E-2</v>
      </c>
      <c r="D35" s="259"/>
      <c r="F35" s="258">
        <f>IF(F34=0,
IF(G34=0,0,IF(G34&gt;0,1,-1)),
(G34-F34)/ABS(F34)
)</f>
        <v>9.6217105263157895E-2</v>
      </c>
      <c r="G35" s="259"/>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2" t="s">
        <v>135</v>
      </c>
      <c r="D2" s="252"/>
      <c r="E2" s="252"/>
      <c r="F2" s="252"/>
      <c r="G2" s="253"/>
      <c r="H2" s="254" t="s">
        <v>136</v>
      </c>
      <c r="I2" s="252"/>
      <c r="J2" s="252"/>
      <c r="K2" s="252"/>
      <c r="L2" s="252"/>
      <c r="O2" s="5"/>
      <c r="S2" s="252" t="s">
        <v>135</v>
      </c>
      <c r="T2" s="252"/>
      <c r="U2" s="252"/>
      <c r="V2" s="252"/>
      <c r="W2" s="252"/>
      <c r="X2" s="252"/>
      <c r="Y2" s="252"/>
      <c r="Z2" s="252"/>
      <c r="AA2" s="252" t="s">
        <v>136</v>
      </c>
      <c r="AB2" s="252"/>
      <c r="AC2" s="252"/>
      <c r="AE2" s="87" t="s">
        <v>137</v>
      </c>
    </row>
    <row r="3" spans="1:31" ht="10" customHeight="1" x14ac:dyDescent="0.2">
      <c r="O3" s="5"/>
    </row>
    <row r="4" spans="1:31" ht="16" customHeight="1" x14ac:dyDescent="0.2">
      <c r="A4" s="88"/>
      <c r="B4" s="60"/>
      <c r="C4" s="251" t="s">
        <v>138</v>
      </c>
      <c r="D4" s="251"/>
      <c r="E4" s="251"/>
      <c r="F4" s="251"/>
      <c r="G4" s="251"/>
      <c r="H4" s="251"/>
      <c r="I4" s="251"/>
      <c r="J4" s="251"/>
      <c r="K4" s="251"/>
      <c r="L4" s="251"/>
      <c r="O4" s="5"/>
      <c r="S4" s="263" t="s">
        <v>138</v>
      </c>
      <c r="T4" s="264"/>
      <c r="U4" s="264"/>
      <c r="V4" s="264"/>
      <c r="W4" s="264"/>
      <c r="X4" s="264"/>
      <c r="Y4" s="264"/>
      <c r="Z4" s="264"/>
      <c r="AA4" s="264"/>
      <c r="AB4" s="264"/>
      <c r="AC4" s="264"/>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51" t="s">
        <v>144</v>
      </c>
      <c r="D11" s="251"/>
      <c r="E11" s="251"/>
      <c r="F11" s="251"/>
      <c r="G11" s="251"/>
      <c r="H11" s="251"/>
      <c r="I11" s="251"/>
      <c r="J11" s="251"/>
      <c r="K11" s="251"/>
      <c r="L11" s="251"/>
      <c r="O11" s="5"/>
      <c r="Q11" s="93"/>
      <c r="S11" s="263" t="s">
        <v>144</v>
      </c>
      <c r="T11" s="264"/>
      <c r="U11" s="264"/>
      <c r="V11" s="264"/>
      <c r="W11" s="264"/>
      <c r="X11" s="264"/>
      <c r="Y11" s="264"/>
      <c r="Z11" s="264"/>
      <c r="AA11" s="264"/>
      <c r="AB11" s="264"/>
      <c r="AC11" s="264"/>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51" t="s">
        <v>146</v>
      </c>
      <c r="D19" s="251"/>
      <c r="E19" s="251"/>
      <c r="F19" s="251"/>
      <c r="G19" s="251"/>
      <c r="H19" s="251"/>
      <c r="I19" s="251"/>
      <c r="J19" s="251"/>
      <c r="K19" s="251"/>
      <c r="L19" s="251"/>
      <c r="O19" s="5"/>
      <c r="Q19" s="93"/>
      <c r="S19" s="263" t="s">
        <v>146</v>
      </c>
      <c r="T19" s="264"/>
      <c r="U19" s="264"/>
      <c r="V19" s="264"/>
      <c r="W19" s="264"/>
      <c r="X19" s="264"/>
      <c r="Y19" s="264"/>
      <c r="Z19" s="264"/>
      <c r="AA19" s="264"/>
      <c r="AB19" s="264"/>
      <c r="AC19" s="264"/>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51" t="s">
        <v>148</v>
      </c>
      <c r="D32" s="251"/>
      <c r="E32" s="251"/>
      <c r="F32" s="251"/>
      <c r="G32" s="251"/>
      <c r="H32" s="251"/>
      <c r="I32" s="251"/>
      <c r="J32" s="251"/>
      <c r="K32" s="251"/>
      <c r="L32" s="251"/>
      <c r="O32" s="5"/>
      <c r="S32" s="263" t="s">
        <v>148</v>
      </c>
      <c r="T32" s="264"/>
      <c r="U32" s="264"/>
      <c r="V32" s="264"/>
      <c r="W32" s="264"/>
      <c r="X32" s="264"/>
      <c r="Y32" s="264"/>
      <c r="Z32" s="264"/>
      <c r="AA32" s="264"/>
      <c r="AB32" s="264"/>
      <c r="AC32" s="264"/>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2" t="s">
        <v>135</v>
      </c>
      <c r="D2" s="252"/>
      <c r="E2" s="252"/>
      <c r="F2" s="252"/>
      <c r="G2" s="253"/>
      <c r="H2" s="254" t="s">
        <v>136</v>
      </c>
      <c r="I2" s="252"/>
      <c r="J2" s="252"/>
      <c r="K2" s="252"/>
      <c r="L2" s="252"/>
      <c r="P2" s="252" t="s">
        <v>135</v>
      </c>
      <c r="Q2" s="252"/>
      <c r="R2" s="252"/>
      <c r="S2" s="252"/>
      <c r="T2" s="252"/>
      <c r="U2" s="252"/>
      <c r="V2" s="252"/>
      <c r="W2" s="252"/>
      <c r="X2" s="252" t="s">
        <v>136</v>
      </c>
      <c r="Y2" s="252"/>
      <c r="Z2" s="252"/>
      <c r="AB2" s="87" t="s">
        <v>137</v>
      </c>
    </row>
    <row r="3" spans="1:28" ht="10" customHeight="1" x14ac:dyDescent="0.2"/>
    <row r="4" spans="1:28" ht="16" customHeight="1" x14ac:dyDescent="0.2">
      <c r="A4" s="88"/>
      <c r="B4" s="60"/>
      <c r="C4" s="251" t="s">
        <v>138</v>
      </c>
      <c r="D4" s="251"/>
      <c r="E4" s="251"/>
      <c r="F4" s="251"/>
      <c r="G4" s="251"/>
      <c r="H4" s="251"/>
      <c r="I4" s="251"/>
      <c r="J4" s="251"/>
      <c r="K4" s="251"/>
      <c r="L4" s="251"/>
      <c r="P4" s="264" t="s">
        <v>138</v>
      </c>
      <c r="Q4" s="264"/>
      <c r="R4" s="264"/>
      <c r="S4" s="264"/>
      <c r="T4" s="264"/>
      <c r="U4" s="264"/>
      <c r="V4" s="264"/>
      <c r="W4" s="264"/>
      <c r="X4" s="264"/>
      <c r="Y4" s="264"/>
      <c r="Z4" s="264"/>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51" t="s">
        <v>164</v>
      </c>
      <c r="D9" s="251"/>
      <c r="E9" s="251"/>
      <c r="F9" s="251"/>
      <c r="G9" s="251"/>
      <c r="H9" s="251"/>
      <c r="I9" s="251"/>
      <c r="J9" s="251"/>
      <c r="K9" s="251"/>
      <c r="L9" s="251"/>
      <c r="N9" s="93"/>
      <c r="P9" s="264" t="s">
        <v>165</v>
      </c>
      <c r="Q9" s="264"/>
      <c r="R9" s="264"/>
      <c r="S9" s="264"/>
      <c r="T9" s="264"/>
      <c r="U9" s="264"/>
      <c r="V9" s="264"/>
      <c r="W9" s="264"/>
      <c r="X9" s="264"/>
      <c r="Y9" s="264"/>
      <c r="Z9" s="264"/>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51" t="s">
        <v>167</v>
      </c>
      <c r="D21" s="251"/>
      <c r="E21" s="251"/>
      <c r="F21" s="251"/>
      <c r="G21" s="251"/>
      <c r="H21" s="251"/>
      <c r="I21" s="251"/>
      <c r="J21" s="251"/>
      <c r="K21" s="251"/>
      <c r="L21" s="251"/>
      <c r="P21" s="264" t="s">
        <v>167</v>
      </c>
      <c r="Q21" s="264"/>
      <c r="R21" s="264"/>
      <c r="S21" s="264"/>
      <c r="T21" s="264"/>
      <c r="U21" s="264"/>
      <c r="V21" s="264"/>
      <c r="W21" s="264"/>
      <c r="X21" s="264"/>
      <c r="Y21" s="264"/>
      <c r="Z21" s="264"/>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2" t="s">
        <v>135</v>
      </c>
      <c r="D3" s="252"/>
      <c r="E3" s="252"/>
      <c r="F3" s="252"/>
      <c r="G3" s="253"/>
      <c r="H3" s="254" t="s">
        <v>136</v>
      </c>
      <c r="I3" s="252"/>
      <c r="J3" s="252"/>
      <c r="K3" s="252"/>
      <c r="L3" s="252"/>
      <c r="P3" s="265"/>
      <c r="Q3" s="265"/>
      <c r="R3" s="265"/>
      <c r="S3" s="265"/>
      <c r="T3" s="265"/>
      <c r="U3" s="265"/>
      <c r="V3" s="265"/>
      <c r="W3" s="265"/>
      <c r="X3" s="265"/>
      <c r="Y3" s="265"/>
      <c r="Z3" s="265"/>
      <c r="AB3" s="130"/>
    </row>
    <row r="4" spans="1:28" ht="10" customHeight="1" x14ac:dyDescent="0.2"/>
    <row r="5" spans="1:28" ht="16" customHeight="1" x14ac:dyDescent="0.2">
      <c r="A5" s="88"/>
      <c r="B5" s="60"/>
      <c r="C5" s="251" t="s">
        <v>138</v>
      </c>
      <c r="D5" s="251"/>
      <c r="E5" s="251"/>
      <c r="F5" s="251"/>
      <c r="G5" s="251"/>
      <c r="H5" s="251"/>
      <c r="I5" s="251"/>
      <c r="J5" s="251"/>
      <c r="K5" s="251"/>
      <c r="L5" s="251"/>
      <c r="P5" s="265"/>
      <c r="Q5" s="265"/>
      <c r="R5" s="265"/>
      <c r="S5" s="265"/>
      <c r="T5" s="265"/>
      <c r="U5" s="265"/>
      <c r="V5" s="265"/>
      <c r="W5" s="265"/>
      <c r="X5" s="265"/>
      <c r="Y5" s="265"/>
      <c r="Z5" s="265"/>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1" t="s">
        <v>171</v>
      </c>
      <c r="D11" s="251"/>
      <c r="E11" s="251"/>
      <c r="F11" s="251"/>
      <c r="G11" s="251"/>
      <c r="H11" s="251"/>
      <c r="I11" s="251"/>
      <c r="J11" s="251"/>
      <c r="K11" s="251"/>
      <c r="L11" s="251"/>
      <c r="N11" s="93"/>
      <c r="P11" s="265"/>
      <c r="Q11" s="265"/>
      <c r="R11" s="265"/>
      <c r="S11" s="265"/>
      <c r="T11" s="265"/>
      <c r="U11" s="265"/>
      <c r="V11" s="265"/>
      <c r="W11" s="265"/>
      <c r="X11" s="265"/>
      <c r="Y11" s="265"/>
      <c r="Z11" s="265"/>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51" t="s">
        <v>176</v>
      </c>
      <c r="D18" s="251"/>
      <c r="E18" s="251"/>
      <c r="F18" s="251"/>
      <c r="G18" s="251"/>
      <c r="H18" s="251"/>
      <c r="I18" s="251"/>
      <c r="J18" s="251"/>
      <c r="K18" s="251"/>
      <c r="L18" s="251"/>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5"/>
      <c r="C25" s="265"/>
    </row>
    <row r="26" spans="2:12" x14ac:dyDescent="0.2">
      <c r="B26" s="130"/>
      <c r="C26" s="251" t="s">
        <v>182</v>
      </c>
      <c r="D26" s="251"/>
      <c r="E26" s="251"/>
      <c r="F26" s="251"/>
      <c r="G26" s="251"/>
      <c r="H26" s="251"/>
      <c r="I26" s="251"/>
      <c r="J26" s="251"/>
      <c r="K26" s="251"/>
      <c r="L26" s="251"/>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51" t="s">
        <v>186</v>
      </c>
      <c r="D33" s="251"/>
      <c r="E33" s="251"/>
      <c r="F33" s="251"/>
      <c r="G33" s="251"/>
      <c r="H33" s="251"/>
      <c r="I33" s="251"/>
      <c r="J33" s="251"/>
      <c r="K33" s="251"/>
      <c r="L33" s="251"/>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1" t="s">
        <v>189</v>
      </c>
      <c r="D40" s="251"/>
      <c r="E40" s="251"/>
      <c r="F40" s="251"/>
      <c r="G40" s="251"/>
      <c r="H40" s="251"/>
      <c r="I40" s="251"/>
      <c r="J40" s="251"/>
      <c r="K40" s="251"/>
      <c r="L40" s="251"/>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2" t="s">
        <v>135</v>
      </c>
      <c r="D2" s="252"/>
      <c r="E2" s="252"/>
      <c r="F2" s="252"/>
      <c r="G2" s="253"/>
      <c r="H2" s="254" t="s">
        <v>136</v>
      </c>
      <c r="I2" s="252"/>
      <c r="J2" s="252"/>
      <c r="K2" s="252"/>
      <c r="L2" s="252"/>
      <c r="S2" s="265"/>
      <c r="T2" s="265"/>
      <c r="U2" s="265"/>
      <c r="V2" s="265"/>
      <c r="W2" s="265"/>
      <c r="X2" s="265"/>
      <c r="Y2" s="265"/>
      <c r="Z2" s="265"/>
      <c r="AA2" s="265"/>
      <c r="AB2" s="265"/>
      <c r="AC2" s="265"/>
      <c r="AE2" s="130"/>
    </row>
    <row r="3" spans="1:31" ht="10" customHeight="1" x14ac:dyDescent="0.2"/>
    <row r="4" spans="1:31" ht="16" customHeight="1" x14ac:dyDescent="0.2">
      <c r="A4" s="88"/>
      <c r="B4" s="60"/>
      <c r="C4" s="251" t="s">
        <v>19</v>
      </c>
      <c r="D4" s="251"/>
      <c r="E4" s="251"/>
      <c r="F4" s="251"/>
      <c r="G4" s="251"/>
      <c r="H4" s="251"/>
      <c r="I4" s="251"/>
      <c r="J4" s="251"/>
      <c r="K4" s="251"/>
      <c r="L4" s="251"/>
      <c r="S4" s="265"/>
      <c r="T4" s="265"/>
      <c r="U4" s="265"/>
      <c r="V4" s="265"/>
      <c r="W4" s="265"/>
      <c r="X4" s="265"/>
      <c r="Y4" s="265"/>
      <c r="Z4" s="265"/>
      <c r="AA4" s="265"/>
      <c r="AB4" s="265"/>
      <c r="AC4" s="265"/>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51" t="s">
        <v>197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51" t="s">
        <v>198</v>
      </c>
      <c r="D18" s="251"/>
      <c r="E18" s="251"/>
      <c r="F18" s="251"/>
      <c r="G18" s="251"/>
      <c r="H18" s="251"/>
      <c r="I18" s="251"/>
      <c r="J18" s="251"/>
      <c r="K18" s="251"/>
      <c r="L18" s="251"/>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51" t="s">
        <v>304</v>
      </c>
      <c r="D25" s="251"/>
      <c r="E25" s="251"/>
      <c r="F25" s="251"/>
      <c r="G25" s="251"/>
      <c r="H25" s="251"/>
      <c r="I25" s="251"/>
      <c r="J25" s="251"/>
      <c r="K25" s="251"/>
      <c r="L25" s="251"/>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51" t="s">
        <v>78</v>
      </c>
      <c r="D31" s="251"/>
      <c r="E31" s="251"/>
      <c r="F31" s="251"/>
      <c r="G31" s="251"/>
      <c r="H31" s="251"/>
      <c r="I31" s="251"/>
      <c r="J31" s="251"/>
      <c r="K31" s="251"/>
      <c r="L31" s="251"/>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2" t="s">
        <v>205</v>
      </c>
      <c r="C4" s="252"/>
    </row>
    <row r="5" spans="1:3" ht="17" customHeight="1" x14ac:dyDescent="0.2">
      <c r="B5" s="1" t="s">
        <v>206</v>
      </c>
      <c r="C5" s="157">
        <f>Statement!AC78</f>
        <v>524515</v>
      </c>
    </row>
    <row r="6" spans="1:3" ht="17" customHeight="1" x14ac:dyDescent="0.2">
      <c r="B6" s="1" t="s">
        <v>1</v>
      </c>
      <c r="C6" s="154">
        <f ca="1">Overview!C5</f>
        <v>12.46</v>
      </c>
    </row>
    <row r="7" spans="1:3" ht="17" customHeight="1" x14ac:dyDescent="0.2">
      <c r="B7" s="1" t="s">
        <v>207</v>
      </c>
      <c r="C7" s="155">
        <f ca="1">C5*C6</f>
        <v>6535456.9000000004</v>
      </c>
    </row>
    <row r="8" spans="1:3" ht="17" customHeight="1" x14ac:dyDescent="0.2">
      <c r="B8" s="1" t="s">
        <v>208</v>
      </c>
      <c r="C8" s="133">
        <f>Statement!AC108</f>
        <v>0</v>
      </c>
    </row>
    <row r="9" spans="1:3" ht="17" customHeight="1" x14ac:dyDescent="0.2">
      <c r="B9" s="1" t="s">
        <v>209</v>
      </c>
      <c r="C9" s="156">
        <f ca="1">Overview!F27</f>
        <v>5.1840000000000004E-2</v>
      </c>
    </row>
    <row r="10" spans="1:3" ht="17" customHeight="1" x14ac:dyDescent="0.2">
      <c r="B10" s="1" t="s">
        <v>9</v>
      </c>
      <c r="C10" s="154">
        <f ca="1">Overview!C13</f>
        <v>0.9829</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2" t="s">
        <v>212</v>
      </c>
      <c r="C15" s="252"/>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9.6070500000000003E-2</v>
      </c>
    </row>
    <row r="20" spans="2:3" ht="17" customHeight="1" x14ac:dyDescent="0.2">
      <c r="B20" s="1" t="s">
        <v>204</v>
      </c>
      <c r="C20" s="46">
        <f ca="1">(C17*C19)+(C16*C18)</f>
        <v>9.6070500000000003E-2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2" t="s">
        <v>135</v>
      </c>
      <c r="D3" s="252"/>
      <c r="E3" s="252"/>
      <c r="F3" s="252"/>
      <c r="G3" s="253"/>
      <c r="H3" s="254" t="s">
        <v>136</v>
      </c>
      <c r="I3" s="252"/>
      <c r="J3" s="252"/>
      <c r="K3" s="252"/>
      <c r="L3" s="252"/>
      <c r="P3" s="265"/>
      <c r="Q3" s="265"/>
      <c r="R3" s="265"/>
      <c r="S3" s="265"/>
      <c r="T3" s="265"/>
      <c r="U3" s="265"/>
      <c r="V3" s="265"/>
      <c r="W3" s="265"/>
      <c r="X3" s="265"/>
      <c r="Y3" s="265"/>
      <c r="Z3" s="265"/>
      <c r="AB3" s="130"/>
    </row>
    <row r="4" spans="1:28" ht="10" customHeight="1" x14ac:dyDescent="0.2"/>
    <row r="5" spans="1:28" ht="16" customHeight="1" x14ac:dyDescent="0.2">
      <c r="A5" s="88"/>
      <c r="B5" s="60"/>
      <c r="C5" s="251" t="s">
        <v>219</v>
      </c>
      <c r="D5" s="251"/>
      <c r="E5" s="251"/>
      <c r="F5" s="251"/>
      <c r="G5" s="251"/>
      <c r="H5" s="251"/>
      <c r="I5" s="251"/>
      <c r="J5" s="251"/>
      <c r="K5" s="251"/>
      <c r="L5" s="251"/>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2" t="s">
        <v>223</v>
      </c>
      <c r="C13" s="252"/>
    </row>
    <row r="14" spans="1:28" x14ac:dyDescent="0.2">
      <c r="B14" s="1" t="s">
        <v>224</v>
      </c>
      <c r="C14" s="161">
        <v>0.02</v>
      </c>
    </row>
    <row r="15" spans="1:28" x14ac:dyDescent="0.2">
      <c r="B15" s="1" t="s">
        <v>204</v>
      </c>
      <c r="C15" s="156">
        <f>IF(Overview!C28&gt;0,Overview!C28,WACC!C20)</f>
        <v>0.1</v>
      </c>
    </row>
    <row r="18" spans="2:3" x14ac:dyDescent="0.2">
      <c r="B18" s="252" t="s">
        <v>225</v>
      </c>
      <c r="C18" s="252"/>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249" t="s">
        <v>231</v>
      </c>
      <c r="C26" s="250">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2" t="s">
        <v>135</v>
      </c>
      <c r="D2" s="252"/>
      <c r="E2" s="252"/>
      <c r="F2" s="252"/>
      <c r="G2" s="253"/>
      <c r="H2" s="254" t="s">
        <v>136</v>
      </c>
      <c r="I2" s="252"/>
      <c r="J2" s="252"/>
      <c r="K2" s="252"/>
      <c r="L2" s="252"/>
    </row>
    <row r="3" spans="1:14" ht="10" customHeight="1" x14ac:dyDescent="0.2"/>
    <row r="4" spans="1:14" ht="16" customHeight="1" x14ac:dyDescent="0.2">
      <c r="A4" s="88"/>
      <c r="B4" s="60"/>
      <c r="C4" s="251" t="s">
        <v>233</v>
      </c>
      <c r="D4" s="251"/>
      <c r="E4" s="251"/>
      <c r="F4" s="251"/>
      <c r="G4" s="251"/>
      <c r="H4" s="251"/>
      <c r="I4" s="251"/>
      <c r="J4" s="251"/>
      <c r="K4" s="251"/>
      <c r="L4" s="251"/>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DCF!H10</f>
        <v>-20536.052638107143</v>
      </c>
      <c r="I9" s="94">
        <f>DCF!I10</f>
        <v>-16548.335891588267</v>
      </c>
      <c r="J9" s="94">
        <f>DCF!J10</f>
        <v>47809.018190426032</v>
      </c>
      <c r="K9" s="94">
        <f>DCF!K10</f>
        <v>71613.309765951213</v>
      </c>
      <c r="L9" s="94">
        <f>DCF!L10</f>
        <v>124022.08294261179</v>
      </c>
      <c r="N9" s="93"/>
    </row>
    <row r="10" spans="1:14" x14ac:dyDescent="0.2">
      <c r="N10" s="93"/>
    </row>
    <row r="11" spans="1:14" x14ac:dyDescent="0.2">
      <c r="C11" s="251" t="s">
        <v>144</v>
      </c>
      <c r="D11" s="251"/>
      <c r="E11" s="251"/>
      <c r="F11" s="251"/>
      <c r="G11" s="251"/>
      <c r="H11" s="251"/>
      <c r="I11" s="251"/>
      <c r="J11" s="251"/>
      <c r="K11" s="251"/>
      <c r="L11" s="251"/>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51" t="s">
        <v>235</v>
      </c>
      <c r="D17" s="251"/>
      <c r="E17" s="251"/>
      <c r="F17" s="251"/>
      <c r="G17" s="251"/>
      <c r="H17" s="251"/>
      <c r="I17" s="251"/>
      <c r="J17" s="251"/>
      <c r="K17" s="251"/>
      <c r="L17" s="251"/>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51" t="s">
        <v>238</v>
      </c>
      <c r="D22" s="251"/>
      <c r="E22" s="251"/>
      <c r="F22" s="251"/>
      <c r="G22" s="251"/>
      <c r="H22" s="251"/>
      <c r="I22" s="251"/>
      <c r="J22" s="251"/>
      <c r="K22" s="251"/>
      <c r="L22" s="251"/>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51" t="s">
        <v>239</v>
      </c>
      <c r="D27" s="251"/>
      <c r="E27" s="251"/>
      <c r="F27" s="251"/>
      <c r="G27" s="251"/>
      <c r="H27" s="251"/>
      <c r="I27" s="251"/>
      <c r="J27" s="251"/>
      <c r="K27" s="251"/>
      <c r="L27" s="251"/>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6"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52" t="s">
        <v>244</v>
      </c>
      <c r="C39" s="252"/>
      <c r="N39" s="93"/>
    </row>
    <row r="40" spans="2:14" x14ac:dyDescent="0.2">
      <c r="B40" s="1" t="s">
        <v>245</v>
      </c>
      <c r="C40" s="64">
        <f>L7</f>
        <v>427920.24826000072</v>
      </c>
    </row>
    <row r="41" spans="2:14" x14ac:dyDescent="0.2">
      <c r="B41" s="1" t="s">
        <v>204</v>
      </c>
      <c r="C41" s="156">
        <f>IF(Overview!C28&gt;0,Overview!C28,WACC!C20)</f>
        <v>0.1</v>
      </c>
    </row>
    <row r="42" spans="2:14" x14ac:dyDescent="0.2">
      <c r="B42" s="39" t="s">
        <v>246</v>
      </c>
      <c r="C42" s="114">
        <v>25</v>
      </c>
    </row>
    <row r="43" spans="2:14" x14ac:dyDescent="0.2">
      <c r="B43" s="1" t="s">
        <v>425</v>
      </c>
      <c r="C43" s="24">
        <f>(C40*C42)</f>
        <v>10698006.206500018</v>
      </c>
    </row>
    <row r="44" spans="2:14" x14ac:dyDescent="0.2">
      <c r="B44" s="1" t="s">
        <v>426</v>
      </c>
      <c r="C44" s="24">
        <f>C43/(1+C41)^5</f>
        <v>6642620.1678350428</v>
      </c>
    </row>
    <row r="45" spans="2:14" x14ac:dyDescent="0.2">
      <c r="B45" s="16" t="s">
        <v>427</v>
      </c>
      <c r="C45" s="127">
        <f>SUM(H9:K9)+C44</f>
        <v>6724958.1072617248</v>
      </c>
    </row>
    <row r="46" spans="2:14" x14ac:dyDescent="0.2">
      <c r="B46" s="1" t="s">
        <v>228</v>
      </c>
      <c r="C46" s="90">
        <f>Statement!AC107</f>
        <v>1405025</v>
      </c>
    </row>
    <row r="47" spans="2:14" x14ac:dyDescent="0.2">
      <c r="B47" s="1" t="s">
        <v>229</v>
      </c>
      <c r="C47" s="90">
        <f>Statement!AC108</f>
        <v>0</v>
      </c>
    </row>
    <row r="48" spans="2:14" x14ac:dyDescent="0.2">
      <c r="B48" s="16" t="s">
        <v>230</v>
      </c>
      <c r="C48" s="127">
        <f>C45+C46-C47</f>
        <v>8129983.1072617248</v>
      </c>
    </row>
    <row r="49" spans="2:3" x14ac:dyDescent="0.2">
      <c r="B49" s="1" t="s">
        <v>70</v>
      </c>
      <c r="C49" s="90">
        <f>Statement!AC78</f>
        <v>524515</v>
      </c>
    </row>
    <row r="50" spans="2:3" x14ac:dyDescent="0.2">
      <c r="B50" s="249" t="s">
        <v>248</v>
      </c>
      <c r="C50" s="250">
        <f>C48/C49</f>
        <v>15.500001157758549</v>
      </c>
    </row>
    <row r="52" spans="2:3" x14ac:dyDescent="0.2">
      <c r="B52" s="252" t="s">
        <v>249</v>
      </c>
      <c r="C52" s="252"/>
    </row>
    <row r="53" spans="2:3" x14ac:dyDescent="0.2">
      <c r="B53" s="1" t="s">
        <v>250</v>
      </c>
      <c r="C53" s="64">
        <f>L6</f>
        <v>2473527.4465896003</v>
      </c>
    </row>
    <row r="54" spans="2:3" x14ac:dyDescent="0.2">
      <c r="B54" s="1" t="s">
        <v>397</v>
      </c>
      <c r="C54" s="156">
        <f>IF(Overview!C29&gt;0,Overview!C29,WACC!C19)</f>
        <v>0.12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C57/(1+C54)^5</f>
        <v>11.635364421878764</v>
      </c>
    </row>
    <row r="60" spans="2:3" x14ac:dyDescent="0.2">
      <c r="B60" s="252" t="s">
        <v>368</v>
      </c>
      <c r="C60" s="252"/>
    </row>
    <row r="61" spans="2:3" x14ac:dyDescent="0.2">
      <c r="B61" s="1" t="s">
        <v>428</v>
      </c>
      <c r="C61" s="64">
        <f>L8</f>
        <v>199738.80479990577</v>
      </c>
    </row>
    <row r="62" spans="2:3" x14ac:dyDescent="0.2">
      <c r="B62" s="1" t="s">
        <v>204</v>
      </c>
      <c r="C62" s="156">
        <f>IF(Overview!C28&gt;0,Overview!C28,WACC!C20)</f>
        <v>0.1</v>
      </c>
    </row>
    <row r="63" spans="2:3" x14ac:dyDescent="0.2">
      <c r="B63" s="39" t="s">
        <v>398</v>
      </c>
      <c r="C63" s="114">
        <v>30</v>
      </c>
    </row>
    <row r="64" spans="2:3" x14ac:dyDescent="0.2">
      <c r="B64" s="1" t="s">
        <v>425</v>
      </c>
      <c r="C64" s="24">
        <f>(C61*C63)</f>
        <v>5992164.1439971728</v>
      </c>
    </row>
    <row r="65" spans="2:3" x14ac:dyDescent="0.2">
      <c r="B65" s="1" t="s">
        <v>426</v>
      </c>
      <c r="C65" s="24">
        <f>C64/(1+C62)^5</f>
        <v>3720662.4882783531</v>
      </c>
    </row>
    <row r="66" spans="2:3" x14ac:dyDescent="0.2">
      <c r="B66" s="16" t="s">
        <v>427</v>
      </c>
      <c r="C66" s="127">
        <f>SUM(H9:K9)+C65</f>
        <v>3803000.4277050351</v>
      </c>
    </row>
    <row r="67" spans="2:3" x14ac:dyDescent="0.2">
      <c r="B67" s="1" t="s">
        <v>228</v>
      </c>
      <c r="C67" s="90">
        <f>Statement!AC107</f>
        <v>1405025</v>
      </c>
    </row>
    <row r="68" spans="2:3" x14ac:dyDescent="0.2">
      <c r="B68" s="1" t="s">
        <v>229</v>
      </c>
      <c r="C68" s="90">
        <f>Statement!AC108</f>
        <v>0</v>
      </c>
    </row>
    <row r="69" spans="2:3" x14ac:dyDescent="0.2">
      <c r="B69" s="16" t="s">
        <v>230</v>
      </c>
      <c r="C69" s="127">
        <f>C66+C67-C68</f>
        <v>5208025.4277050346</v>
      </c>
    </row>
    <row r="70" spans="2:3" x14ac:dyDescent="0.2">
      <c r="B70" s="1" t="s">
        <v>70</v>
      </c>
      <c r="C70" s="90">
        <f>Statement!AC78</f>
        <v>524515</v>
      </c>
    </row>
    <row r="71" spans="2:3" x14ac:dyDescent="0.2">
      <c r="B71" s="249" t="s">
        <v>248</v>
      </c>
      <c r="C71" s="250">
        <f>C69/C70</f>
        <v>9.9292211427795856</v>
      </c>
    </row>
    <row r="73" spans="2:3" x14ac:dyDescent="0.2">
      <c r="B73" s="252" t="s">
        <v>430</v>
      </c>
      <c r="C73" s="252"/>
    </row>
    <row r="74" spans="2:3" x14ac:dyDescent="0.2">
      <c r="B74" s="1" t="s">
        <v>431</v>
      </c>
      <c r="C74" s="64">
        <f>L6</f>
        <v>2473527.4465896003</v>
      </c>
    </row>
    <row r="75" spans="2:3" x14ac:dyDescent="0.2">
      <c r="B75" s="1" t="s">
        <v>204</v>
      </c>
      <c r="C75" s="156">
        <f>IF(Overview!C28&gt;0,Overview!C28,WACC!C20)</f>
        <v>0.1</v>
      </c>
    </row>
    <row r="76" spans="2:3" x14ac:dyDescent="0.2">
      <c r="B76" s="39" t="s">
        <v>432</v>
      </c>
      <c r="C76" s="114">
        <v>3</v>
      </c>
    </row>
    <row r="77" spans="2:3" x14ac:dyDescent="0.2">
      <c r="B77" s="1" t="s">
        <v>425</v>
      </c>
      <c r="C77" s="24">
        <f>(C74*C76)</f>
        <v>7420582.3397688009</v>
      </c>
    </row>
    <row r="78" spans="2:3" x14ac:dyDescent="0.2">
      <c r="B78" s="1" t="s">
        <v>426</v>
      </c>
      <c r="C78" s="24">
        <f>C77/(1+C75)^5</f>
        <v>4607597.8042786438</v>
      </c>
    </row>
    <row r="79" spans="2:3" x14ac:dyDescent="0.2">
      <c r="B79" s="16" t="s">
        <v>427</v>
      </c>
      <c r="C79" s="127">
        <f>SUM(H9:K9)+C78</f>
        <v>4689935.7437053258</v>
      </c>
    </row>
    <row r="80" spans="2:3" x14ac:dyDescent="0.2">
      <c r="B80" s="1" t="s">
        <v>228</v>
      </c>
      <c r="C80" s="90">
        <f>Statement!AC107</f>
        <v>1405025</v>
      </c>
    </row>
    <row r="81" spans="2:3" x14ac:dyDescent="0.2">
      <c r="B81" s="1" t="s">
        <v>229</v>
      </c>
      <c r="C81" s="90">
        <f>Statement!AC108</f>
        <v>0</v>
      </c>
    </row>
    <row r="82" spans="2:3" x14ac:dyDescent="0.2">
      <c r="B82" s="16" t="s">
        <v>230</v>
      </c>
      <c r="C82" s="127">
        <f>C79+C80-C81</f>
        <v>6094960.7437053258</v>
      </c>
    </row>
    <row r="83" spans="2:3" x14ac:dyDescent="0.2">
      <c r="B83" s="1" t="s">
        <v>70</v>
      </c>
      <c r="C83" s="90">
        <f>Statement!AC78</f>
        <v>524515</v>
      </c>
    </row>
    <row r="84" spans="2:3" x14ac:dyDescent="0.2">
      <c r="B84" s="249" t="s">
        <v>248</v>
      </c>
      <c r="C84" s="250">
        <f>C82/C83</f>
        <v>11.620183872158711</v>
      </c>
    </row>
  </sheetData>
  <mergeCells count="11">
    <mergeCell ref="B73:C73"/>
    <mergeCell ref="C27:L27"/>
    <mergeCell ref="B39:C39"/>
    <mergeCell ref="B52:C52"/>
    <mergeCell ref="B60:C60"/>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2" t="s">
        <v>253</v>
      </c>
      <c r="C4" s="252"/>
      <c r="N4" s="93"/>
    </row>
    <row r="5" spans="1:14" x14ac:dyDescent="0.2">
      <c r="B5" s="1" t="s">
        <v>254</v>
      </c>
      <c r="C5" s="154">
        <f>DCF!C26</f>
        <v>6.0868928055205176</v>
      </c>
    </row>
    <row r="6" spans="1:14" x14ac:dyDescent="0.2">
      <c r="B6" s="1" t="s">
        <v>255</v>
      </c>
      <c r="C6" s="154">
        <f>Multiples!C50</f>
        <v>15.500001157758549</v>
      </c>
    </row>
    <row r="7" spans="1:14" x14ac:dyDescent="0.2">
      <c r="B7" s="1" t="s">
        <v>256</v>
      </c>
      <c r="C7" s="154">
        <f>Multiples!C58</f>
        <v>11.635364421878764</v>
      </c>
    </row>
    <row r="8" spans="1:14" x14ac:dyDescent="0.2">
      <c r="B8" s="1" t="s">
        <v>369</v>
      </c>
      <c r="C8" s="154">
        <f>Multiples!C71</f>
        <v>9.9292211427795856</v>
      </c>
    </row>
    <row r="9" spans="1:14" x14ac:dyDescent="0.2">
      <c r="B9" s="1" t="s">
        <v>429</v>
      </c>
      <c r="C9" s="154">
        <f>Multiples!C84</f>
        <v>11.620183872158711</v>
      </c>
    </row>
    <row r="10" spans="1:14" x14ac:dyDescent="0.2">
      <c r="B10" s="249" t="s">
        <v>257</v>
      </c>
      <c r="C10" s="250">
        <f>AVERAGE(C5:C9)</f>
        <v>10.954332680019224</v>
      </c>
    </row>
    <row r="11" spans="1:14" x14ac:dyDescent="0.2">
      <c r="B11" s="1" t="s">
        <v>258</v>
      </c>
      <c r="C11" s="154">
        <f ca="1">Overview!C5</f>
        <v>12.46</v>
      </c>
    </row>
    <row r="12" spans="1:14" x14ac:dyDescent="0.2">
      <c r="B12" s="1" t="s">
        <v>259</v>
      </c>
      <c r="C12" s="173">
        <f ca="1">(C10-C11)/C11</f>
        <v>-0.12084007383473329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2" t="s">
        <v>135</v>
      </c>
      <c r="D2" s="252"/>
      <c r="E2" s="252"/>
      <c r="F2" s="252"/>
      <c r="G2" s="253"/>
      <c r="H2" s="254" t="s">
        <v>136</v>
      </c>
      <c r="I2" s="252"/>
      <c r="J2" s="252"/>
      <c r="K2" s="252"/>
      <c r="L2" s="252"/>
    </row>
    <row r="3" spans="1:14" ht="10" customHeight="1" x14ac:dyDescent="0.2"/>
    <row r="4" spans="1:14" ht="16" customHeight="1" x14ac:dyDescent="0.2">
      <c r="A4" s="88"/>
      <c r="B4" s="60"/>
      <c r="C4" s="251" t="s">
        <v>233</v>
      </c>
      <c r="D4" s="251"/>
      <c r="E4" s="251"/>
      <c r="F4" s="251"/>
      <c r="G4" s="251"/>
      <c r="H4" s="251"/>
      <c r="I4" s="251"/>
      <c r="J4" s="251"/>
      <c r="K4" s="251"/>
      <c r="L4" s="251"/>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51" t="s">
        <v>144</v>
      </c>
      <c r="D9" s="251"/>
      <c r="E9" s="251"/>
      <c r="F9" s="251"/>
      <c r="G9" s="251"/>
      <c r="H9" s="251"/>
      <c r="I9" s="251"/>
      <c r="J9" s="251"/>
      <c r="K9" s="251"/>
      <c r="L9" s="251"/>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51" t="s">
        <v>411</v>
      </c>
      <c r="D14" s="251"/>
      <c r="E14" s="251"/>
      <c r="F14" s="251"/>
      <c r="G14" s="251"/>
      <c r="H14" s="251"/>
      <c r="I14" s="251"/>
      <c r="J14" s="251"/>
      <c r="K14" s="251"/>
      <c r="L14" s="251"/>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2" t="s">
        <v>413</v>
      </c>
      <c r="C20" s="252"/>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IF(Overview!C29&gt;0,Overview!C29,WACC!C19)</f>
        <v>0.12</v>
      </c>
    </row>
    <row r="25" spans="2:14" x14ac:dyDescent="0.2">
      <c r="B25" s="39" t="s">
        <v>417</v>
      </c>
      <c r="C25" s="247">
        <v>0</v>
      </c>
    </row>
    <row r="26" spans="2:14" x14ac:dyDescent="0.2">
      <c r="B26" s="249" t="s">
        <v>248</v>
      </c>
      <c r="C26" s="250">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9" sqref="B9"/>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2" t="s">
        <v>135</v>
      </c>
      <c r="D3" s="252"/>
      <c r="E3" s="252"/>
      <c r="F3" s="252"/>
      <c r="G3" s="253"/>
      <c r="H3" s="254" t="s">
        <v>136</v>
      </c>
      <c r="I3" s="252"/>
      <c r="J3" s="252"/>
      <c r="K3" s="252"/>
      <c r="L3" s="252"/>
      <c r="P3" s="265"/>
      <c r="Q3" s="265"/>
      <c r="R3" s="265"/>
      <c r="S3" s="265"/>
      <c r="T3" s="265"/>
      <c r="U3" s="265"/>
      <c r="V3" s="265"/>
      <c r="W3" s="265"/>
      <c r="X3" s="265"/>
      <c r="Y3" s="265"/>
      <c r="Z3" s="265"/>
      <c r="AB3" s="130"/>
    </row>
    <row r="4" spans="1:28" ht="10" customHeight="1" x14ac:dyDescent="0.2"/>
    <row r="5" spans="1:28" ht="16" customHeight="1" x14ac:dyDescent="0.2">
      <c r="A5" s="88"/>
      <c r="B5" s="60"/>
      <c r="C5" s="251" t="s">
        <v>219</v>
      </c>
      <c r="D5" s="251"/>
      <c r="E5" s="251"/>
      <c r="F5" s="251"/>
      <c r="G5" s="251"/>
      <c r="H5" s="251"/>
      <c r="I5" s="251"/>
      <c r="J5" s="251"/>
      <c r="K5" s="251"/>
      <c r="L5" s="251"/>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18800</v>
      </c>
      <c r="I7" s="147">
        <f t="shared" ref="I7:L7" si="0">H7*(1+$C$17)</f>
        <v>44180</v>
      </c>
      <c r="J7" s="147">
        <f t="shared" si="0"/>
        <v>103823</v>
      </c>
      <c r="K7" s="147">
        <f t="shared" si="0"/>
        <v>243984.05000000002</v>
      </c>
      <c r="L7" s="147">
        <f t="shared" si="0"/>
        <v>573362.51750000007</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7310372.0981250005</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H7/(1+$C$21)^H9</f>
        <v>17090.909090909088</v>
      </c>
      <c r="I10" s="147">
        <f t="shared" ref="I10:L10" si="1">I7/(1+$C$21)^I9</f>
        <v>36512.396694214869</v>
      </c>
      <c r="J10" s="147">
        <f t="shared" si="1"/>
        <v>78003.756574004481</v>
      </c>
      <c r="K10" s="147">
        <f t="shared" si="1"/>
        <v>166644.38904446413</v>
      </c>
      <c r="L10" s="147">
        <f t="shared" si="1"/>
        <v>356013.01295862795</v>
      </c>
      <c r="N10" s="93"/>
    </row>
    <row r="11" spans="1:28" x14ac:dyDescent="0.2">
      <c r="B11" s="1" t="s">
        <v>222</v>
      </c>
      <c r="C11" s="158"/>
      <c r="D11" s="158"/>
      <c r="E11" s="158"/>
      <c r="F11" s="158"/>
      <c r="G11" s="159"/>
      <c r="H11" s="158"/>
      <c r="I11" s="158"/>
      <c r="J11" s="158"/>
      <c r="K11" s="158"/>
      <c r="L11" s="147">
        <f>L8/(1+C21)^L9</f>
        <v>4539165.915222506</v>
      </c>
    </row>
    <row r="13" spans="1:28" ht="17" thickBot="1" x14ac:dyDescent="0.25"/>
    <row r="14" spans="1:28" x14ac:dyDescent="0.2">
      <c r="B14" s="267" t="s">
        <v>261</v>
      </c>
      <c r="C14" s="268"/>
    </row>
    <row r="15" spans="1:28" x14ac:dyDescent="0.2">
      <c r="B15" s="174" t="s">
        <v>262</v>
      </c>
      <c r="C15" s="175">
        <f ca="1">Overview!C5</f>
        <v>12.46</v>
      </c>
    </row>
    <row r="16" spans="1:28" x14ac:dyDescent="0.2">
      <c r="B16" s="174" t="s">
        <v>263</v>
      </c>
      <c r="C16" s="175">
        <f>C36</f>
        <v>12.661190468083888</v>
      </c>
    </row>
    <row r="17" spans="2:9" ht="17" thickBot="1" x14ac:dyDescent="0.25">
      <c r="B17" s="176" t="s">
        <v>370</v>
      </c>
      <c r="C17" s="177">
        <v>1.35</v>
      </c>
      <c r="E17" s="266" t="s">
        <v>264</v>
      </c>
      <c r="F17" s="266"/>
      <c r="G17" s="266"/>
      <c r="H17" s="266"/>
      <c r="I17" s="266"/>
    </row>
    <row r="18" spans="2:9" ht="17" thickBot="1" x14ac:dyDescent="0.25"/>
    <row r="19" spans="2:9" x14ac:dyDescent="0.2">
      <c r="B19" s="267" t="s">
        <v>223</v>
      </c>
      <c r="C19" s="268"/>
    </row>
    <row r="20" spans="2:9" x14ac:dyDescent="0.2">
      <c r="B20" s="178" t="s">
        <v>224</v>
      </c>
      <c r="C20" s="179">
        <v>0.02</v>
      </c>
    </row>
    <row r="21" spans="2:9" x14ac:dyDescent="0.2">
      <c r="B21" s="178" t="s">
        <v>204</v>
      </c>
      <c r="C21" s="239">
        <f>IF(Overview!C28&gt;0,Overview!C28,WACC!C20)</f>
        <v>0.1</v>
      </c>
    </row>
    <row r="22" spans="2:9" x14ac:dyDescent="0.2">
      <c r="B22" s="178" t="s">
        <v>70</v>
      </c>
      <c r="C22" s="240">
        <f>Statement!AC75</f>
        <v>521156</v>
      </c>
    </row>
    <row r="23" spans="2:9" x14ac:dyDescent="0.2">
      <c r="B23" s="178" t="s">
        <v>265</v>
      </c>
      <c r="C23" s="180">
        <f ca="1">C15*C22</f>
        <v>6493603.7600000007</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5088578.7600000007</v>
      </c>
    </row>
    <row r="27" spans="2:9" ht="17" thickBot="1" x14ac:dyDescent="0.25"/>
    <row r="28" spans="2:9" x14ac:dyDescent="0.2">
      <c r="B28" s="267" t="s">
        <v>225</v>
      </c>
      <c r="C28" s="268"/>
    </row>
    <row r="29" spans="2:9" x14ac:dyDescent="0.2">
      <c r="B29" s="178" t="s">
        <v>226</v>
      </c>
      <c r="C29" s="180">
        <f>SUM(H10:L10)</f>
        <v>654264.46436222061</v>
      </c>
    </row>
    <row r="30" spans="2:9" x14ac:dyDescent="0.2">
      <c r="B30" s="178" t="s">
        <v>222</v>
      </c>
      <c r="C30" s="180">
        <f>L11</f>
        <v>4539165.915222506</v>
      </c>
    </row>
    <row r="31" spans="2:9" x14ac:dyDescent="0.2">
      <c r="B31" s="182" t="s">
        <v>227</v>
      </c>
      <c r="C31" s="183">
        <f>C29+C30</f>
        <v>5193430.3795847269</v>
      </c>
    </row>
    <row r="32" spans="2:9" x14ac:dyDescent="0.2">
      <c r="B32" s="178" t="s">
        <v>228</v>
      </c>
      <c r="C32" s="184">
        <f>C24</f>
        <v>1405025</v>
      </c>
    </row>
    <row r="33" spans="2:3" x14ac:dyDescent="0.2">
      <c r="B33" s="178" t="s">
        <v>229</v>
      </c>
      <c r="C33" s="184">
        <f>C25</f>
        <v>0</v>
      </c>
    </row>
    <row r="34" spans="2:3" x14ac:dyDescent="0.2">
      <c r="B34" s="182" t="s">
        <v>230</v>
      </c>
      <c r="C34" s="183">
        <f>C31+C32-C33</f>
        <v>6598455.3795847269</v>
      </c>
    </row>
    <row r="35" spans="2:3" x14ac:dyDescent="0.2">
      <c r="B35" s="178" t="s">
        <v>70</v>
      </c>
      <c r="C35" s="180">
        <f>C22</f>
        <v>521156</v>
      </c>
    </row>
    <row r="36" spans="2:3" ht="17" thickBot="1" x14ac:dyDescent="0.25">
      <c r="B36" s="185" t="s">
        <v>231</v>
      </c>
      <c r="C36" s="186">
        <f>C34/C35</f>
        <v>12.661190468083888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2026-09-26T20:41:15Z</dcterms:modified>
</cp:coreProperties>
</file>