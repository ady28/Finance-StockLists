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65B9A36-761C-D246-903F-B588D30447B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Forecast -&gt;" sheetId="4" r:id="rId6"/>
    <sheet name="Revenue" sheetId="5" r:id="rId7"/>
    <sheet name="COGS &amp; OpEx" sheetId="6" r:id="rId8"/>
    <sheet name="WC &amp; Investments" sheetId="7" r:id="rId9"/>
    <sheet name="FCF &amp; Other" sheetId="8" r:id="rId10"/>
    <sheet name="Valuation -&gt;" sheetId="9" r:id="rId11"/>
    <sheet name="WACC" sheetId="10" r:id="rId12"/>
    <sheet name="DCF" sheetId="11" r:id="rId13"/>
    <sheet name="Multiples" sheetId="12" r:id="rId14"/>
    <sheet name="AVG target price" sheetId="13" r:id="rId15"/>
    <sheet name="Reverse DCF" sheetId="14"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1" l="1"/>
  <c r="F19" i="1"/>
  <c r="F18" i="1"/>
  <c r="F17" i="1"/>
  <c r="F16" i="1"/>
  <c r="Q182" i="3"/>
  <c r="P182" i="3"/>
  <c r="O182" i="3"/>
  <c r="N182" i="3"/>
  <c r="M182" i="3"/>
  <c r="Q186" i="3"/>
  <c r="P186" i="3"/>
  <c r="O186" i="3"/>
  <c r="N186" i="3"/>
  <c r="M186" i="3"/>
  <c r="Q184" i="3"/>
  <c r="P184" i="3"/>
  <c r="O184" i="3"/>
  <c r="N184" i="3"/>
  <c r="M184" i="3"/>
  <c r="AA159" i="3"/>
  <c r="Z159" i="3"/>
  <c r="Y159" i="3"/>
  <c r="X159" i="3"/>
  <c r="W159" i="3"/>
  <c r="V159" i="3"/>
  <c r="U159" i="3"/>
  <c r="T159" i="3"/>
  <c r="Q159" i="3"/>
  <c r="P159" i="3"/>
  <c r="O159" i="3"/>
  <c r="N159" i="3"/>
  <c r="M159" i="3"/>
  <c r="AC30" i="3"/>
  <c r="AC58" i="3"/>
  <c r="AA191" i="3"/>
  <c r="Z191" i="3"/>
  <c r="Y191" i="3"/>
  <c r="X191" i="3"/>
  <c r="W191" i="3"/>
  <c r="V191" i="3"/>
  <c r="U191" i="3"/>
  <c r="T191" i="3"/>
  <c r="Q191" i="3"/>
  <c r="P191" i="3"/>
  <c r="O191" i="3"/>
  <c r="N191" i="3"/>
  <c r="M191" i="3"/>
  <c r="AA190" i="3"/>
  <c r="Z190" i="3"/>
  <c r="Y190" i="3"/>
  <c r="X190" i="3"/>
  <c r="W190" i="3"/>
  <c r="V190" i="3"/>
  <c r="U190" i="3"/>
  <c r="T190" i="3"/>
  <c r="Q190" i="3"/>
  <c r="P190" i="3"/>
  <c r="O190" i="3"/>
  <c r="N190" i="3"/>
  <c r="M190" i="3"/>
  <c r="M74" i="3"/>
  <c r="N74" i="3"/>
  <c r="O74" i="3"/>
  <c r="P74" i="3"/>
  <c r="Q74" i="3"/>
  <c r="Q185" i="3"/>
  <c r="P185" i="3"/>
  <c r="O185" i="3"/>
  <c r="N185" i="3"/>
  <c r="M185" i="3"/>
  <c r="Q174" i="3"/>
  <c r="P174" i="3"/>
  <c r="O174" i="3"/>
  <c r="N174" i="3"/>
  <c r="M174" i="3"/>
  <c r="AA166" i="3"/>
  <c r="Z166" i="3"/>
  <c r="Y166" i="3"/>
  <c r="X166" i="3"/>
  <c r="W166" i="3"/>
  <c r="V166" i="3"/>
  <c r="U166" i="3"/>
  <c r="T166" i="3"/>
  <c r="Q166" i="3"/>
  <c r="P166" i="3"/>
  <c r="O166" i="3"/>
  <c r="N166" i="3"/>
  <c r="M166" i="3"/>
  <c r="AA165" i="3"/>
  <c r="Z165" i="3"/>
  <c r="Y165" i="3"/>
  <c r="X165" i="3"/>
  <c r="W165" i="3"/>
  <c r="V165" i="3"/>
  <c r="U165" i="3"/>
  <c r="T165" i="3"/>
  <c r="Q165" i="3"/>
  <c r="P165" i="3"/>
  <c r="O165" i="3"/>
  <c r="N165" i="3"/>
  <c r="M165" i="3"/>
  <c r="AA162" i="3"/>
  <c r="Z162" i="3"/>
  <c r="Y162" i="3"/>
  <c r="X162" i="3"/>
  <c r="W162" i="3"/>
  <c r="V162" i="3"/>
  <c r="U162" i="3"/>
  <c r="T162" i="3"/>
  <c r="Q162" i="3"/>
  <c r="P162" i="3"/>
  <c r="O162" i="3"/>
  <c r="N162" i="3"/>
  <c r="M162" i="3"/>
  <c r="AA160" i="3"/>
  <c r="Z160" i="3"/>
  <c r="Y160" i="3"/>
  <c r="X160" i="3"/>
  <c r="W160" i="3"/>
  <c r="V160" i="3"/>
  <c r="U160" i="3"/>
  <c r="T160" i="3"/>
  <c r="Q160" i="3"/>
  <c r="P160" i="3"/>
  <c r="O160" i="3"/>
  <c r="N160" i="3"/>
  <c r="M160" i="3"/>
  <c r="F10" i="16"/>
  <c r="G10" i="16"/>
  <c r="G9" i="16"/>
  <c r="G8" i="16"/>
  <c r="G7" i="16"/>
  <c r="F7" i="16"/>
  <c r="F6" i="16"/>
  <c r="G6" i="16"/>
  <c r="AC57" i="3"/>
  <c r="AC56" i="3"/>
  <c r="AC55" i="3"/>
  <c r="AC54" i="3"/>
  <c r="AC53" i="3"/>
  <c r="AC49" i="3"/>
  <c r="AC48" i="3"/>
  <c r="T52" i="3"/>
  <c r="X52" i="3"/>
  <c r="AC71" i="3"/>
  <c r="AA72" i="3"/>
  <c r="Z72" i="3"/>
  <c r="Y72" i="3"/>
  <c r="X72" i="3"/>
  <c r="W72" i="3"/>
  <c r="V72" i="3"/>
  <c r="U72" i="3"/>
  <c r="T72" i="3"/>
  <c r="P72" i="3"/>
  <c r="O72" i="3"/>
  <c r="N72" i="3"/>
  <c r="M72" i="3"/>
  <c r="Q72" i="3"/>
  <c r="AA152" i="3"/>
  <c r="Z152" i="3"/>
  <c r="Y152" i="3"/>
  <c r="X152" i="3"/>
  <c r="W152" i="3"/>
  <c r="V152" i="3"/>
  <c r="U152" i="3"/>
  <c r="AA153" i="3"/>
  <c r="Z153" i="3"/>
  <c r="Y153" i="3"/>
  <c r="X153" i="3"/>
  <c r="W153" i="3"/>
  <c r="V153" i="3"/>
  <c r="U153" i="3"/>
  <c r="AA149" i="3"/>
  <c r="Z149" i="3"/>
  <c r="Y149" i="3"/>
  <c r="X149" i="3"/>
  <c r="W149" i="3"/>
  <c r="V149" i="3"/>
  <c r="U149" i="3"/>
  <c r="T149" i="3"/>
  <c r="T153" i="3"/>
  <c r="T152" i="3"/>
  <c r="AA148" i="3"/>
  <c r="Z148" i="3"/>
  <c r="Y148" i="3"/>
  <c r="X148" i="3"/>
  <c r="W148" i="3"/>
  <c r="V148" i="3"/>
  <c r="U148" i="3"/>
  <c r="T148" i="3"/>
  <c r="G30" i="12"/>
  <c r="F30" i="12"/>
  <c r="E30" i="12"/>
  <c r="D30" i="12"/>
  <c r="C30" i="12"/>
  <c r="G23" i="12"/>
  <c r="F23" i="12"/>
  <c r="E23" i="12"/>
  <c r="D23" i="12"/>
  <c r="C23" i="12"/>
  <c r="L7" i="12"/>
  <c r="K7" i="12"/>
  <c r="J7" i="12"/>
  <c r="I7" i="12"/>
  <c r="H7" i="12"/>
  <c r="L6" i="12"/>
  <c r="K6" i="12"/>
  <c r="J6" i="12"/>
  <c r="I6" i="12"/>
  <c r="H6" i="12"/>
  <c r="C13" i="10"/>
  <c r="C11" i="10"/>
  <c r="C12" i="10"/>
  <c r="AC113" i="3"/>
  <c r="C9" i="10"/>
  <c r="L22" i="8"/>
  <c r="K22" i="8"/>
  <c r="J22" i="8"/>
  <c r="I22" i="8"/>
  <c r="L21" i="8"/>
  <c r="K21" i="8"/>
  <c r="J21" i="8"/>
  <c r="I21" i="8"/>
  <c r="H21" i="8"/>
  <c r="L20" i="8"/>
  <c r="K20" i="8"/>
  <c r="J20" i="8"/>
  <c r="I20" i="8"/>
  <c r="H20" i="8"/>
  <c r="L15" i="8"/>
  <c r="K15" i="8"/>
  <c r="J15" i="8"/>
  <c r="I15" i="8"/>
  <c r="H15" i="8"/>
  <c r="L9" i="8"/>
  <c r="K9" i="8"/>
  <c r="J9" i="8"/>
  <c r="I9" i="8"/>
  <c r="H9" i="8"/>
  <c r="L7" i="8"/>
  <c r="K7" i="8"/>
  <c r="J7" i="8"/>
  <c r="I7" i="8"/>
  <c r="H7" i="8"/>
  <c r="L6" i="8"/>
  <c r="K6" i="8"/>
  <c r="J6" i="8"/>
  <c r="I6" i="8"/>
  <c r="H6" i="8"/>
  <c r="G45" i="7"/>
  <c r="F45" i="7"/>
  <c r="E45" i="7"/>
  <c r="D45" i="7"/>
  <c r="C45" i="7"/>
  <c r="G42" i="7"/>
  <c r="F42" i="7"/>
  <c r="E42" i="7"/>
  <c r="D42" i="7"/>
  <c r="C42" i="7"/>
  <c r="G30" i="7"/>
  <c r="F30" i="7"/>
  <c r="E30" i="7"/>
  <c r="D30" i="7"/>
  <c r="C30" i="7"/>
  <c r="G28" i="7"/>
  <c r="F28" i="7"/>
  <c r="E28" i="7"/>
  <c r="D28" i="7"/>
  <c r="C28" i="7"/>
  <c r="G15" i="7"/>
  <c r="F15" i="7"/>
  <c r="E15" i="7"/>
  <c r="D15" i="7"/>
  <c r="C15" i="7"/>
  <c r="L8" i="7"/>
  <c r="K8" i="7"/>
  <c r="J8" i="7"/>
  <c r="I8" i="7"/>
  <c r="H8" i="7"/>
  <c r="L7" i="7"/>
  <c r="K7" i="7"/>
  <c r="J7" i="7"/>
  <c r="I7" i="7"/>
  <c r="H7" i="7"/>
  <c r="L29" i="7"/>
  <c r="K29" i="7"/>
  <c r="J29" i="7"/>
  <c r="I29" i="7"/>
  <c r="H29" i="7"/>
  <c r="L23" i="7"/>
  <c r="K23" i="7"/>
  <c r="J23" i="7"/>
  <c r="I23" i="7"/>
  <c r="H23" i="7"/>
  <c r="AB5" i="6"/>
  <c r="X30" i="6"/>
  <c r="X18" i="6"/>
  <c r="X17" i="6"/>
  <c r="X16" i="6"/>
  <c r="X15" i="6"/>
  <c r="X26" i="6"/>
  <c r="X13" i="6"/>
  <c r="X12"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X6" i="6"/>
  <c r="L30" i="6"/>
  <c r="K30" i="6"/>
  <c r="J30" i="6"/>
  <c r="I30" i="6"/>
  <c r="H30" i="6"/>
  <c r="L17" i="6"/>
  <c r="K17" i="6"/>
  <c r="J17" i="6"/>
  <c r="I17" i="6"/>
  <c r="H17" i="6"/>
  <c r="L16" i="6"/>
  <c r="K16" i="6"/>
  <c r="J16" i="6"/>
  <c r="I16" i="6"/>
  <c r="H16" i="6"/>
  <c r="L15" i="6"/>
  <c r="K15" i="6"/>
  <c r="J15" i="6"/>
  <c r="I15" i="6"/>
  <c r="H15" i="6"/>
  <c r="L26" i="6"/>
  <c r="K26" i="6"/>
  <c r="J26" i="6"/>
  <c r="I26" i="6"/>
  <c r="H26" i="6"/>
  <c r="L14" i="6"/>
  <c r="K14" i="6"/>
  <c r="J14" i="6"/>
  <c r="I14" i="6"/>
  <c r="H14" i="6"/>
  <c r="L13" i="6"/>
  <c r="K13" i="6"/>
  <c r="J13" i="6"/>
  <c r="I13" i="6"/>
  <c r="H13" i="6"/>
  <c r="L12" i="6"/>
  <c r="K12" i="6"/>
  <c r="J12" i="6"/>
  <c r="I12" i="6"/>
  <c r="H12" i="6"/>
  <c r="L11" i="6"/>
  <c r="K11" i="6"/>
  <c r="J11" i="6"/>
  <c r="I11" i="6"/>
  <c r="H11"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L6" i="6"/>
  <c r="K6" i="6"/>
  <c r="J6" i="6"/>
  <c r="I6" i="6"/>
  <c r="H6" i="6"/>
  <c r="Z22" i="6"/>
  <c r="Y22" i="6"/>
  <c r="X22" i="6"/>
  <c r="Z10" i="6"/>
  <c r="Y10" i="6"/>
  <c r="X10" i="6"/>
  <c r="AE22" i="5"/>
  <c r="R35" i="5"/>
  <c r="R34" i="5"/>
  <c r="AA7" i="5"/>
  <c r="AA8" i="5"/>
  <c r="AA6"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39" i="3"/>
  <c r="AC142" i="3"/>
  <c r="AC141" i="3"/>
  <c r="AC140" i="3"/>
  <c r="AC138" i="3"/>
  <c r="AA78" i="3"/>
  <c r="Z78" i="3"/>
  <c r="Y78" i="3"/>
  <c r="X78" i="3"/>
  <c r="W78" i="3"/>
  <c r="V78" i="3"/>
  <c r="U78" i="3"/>
  <c r="T78" i="3"/>
  <c r="O78" i="3"/>
  <c r="N78" i="3"/>
  <c r="M78" i="3"/>
  <c r="L78" i="3"/>
  <c r="K78" i="3"/>
  <c r="J78" i="3"/>
  <c r="I78" i="3"/>
  <c r="H78" i="3"/>
  <c r="G78" i="3"/>
  <c r="F78" i="3"/>
  <c r="E78" i="3"/>
  <c r="D78" i="3"/>
  <c r="C78" i="3"/>
  <c r="P78" i="3"/>
  <c r="Q78" i="3"/>
  <c r="AA111" i="3"/>
  <c r="Z111" i="3"/>
  <c r="P133" i="3"/>
  <c r="O133" i="3"/>
  <c r="N133" i="3"/>
  <c r="M133" i="3"/>
  <c r="Q133" i="3"/>
  <c r="P131" i="3"/>
  <c r="O131" i="3"/>
  <c r="N131" i="3"/>
  <c r="M131" i="3"/>
  <c r="Q131" i="3"/>
  <c r="P130" i="3"/>
  <c r="O130" i="3"/>
  <c r="N130" i="3"/>
  <c r="M130" i="3"/>
  <c r="Q130" i="3"/>
  <c r="AC107" i="3"/>
  <c r="AC106" i="3"/>
  <c r="AC105" i="3"/>
  <c r="AC103" i="3"/>
  <c r="AC102" i="3"/>
  <c r="AC101" i="3"/>
  <c r="T69" i="3"/>
  <c r="U69" i="3"/>
  <c r="V69" i="3"/>
  <c r="X69" i="3"/>
  <c r="Y69" i="3"/>
  <c r="Z69" i="3"/>
  <c r="AA98" i="3"/>
  <c r="Z98" i="3"/>
  <c r="Y98" i="3"/>
  <c r="X98" i="3"/>
  <c r="W98" i="3"/>
  <c r="V98" i="3"/>
  <c r="U98" i="3"/>
  <c r="T98" i="3"/>
  <c r="AA97" i="3"/>
  <c r="Z97" i="3"/>
  <c r="Y97" i="3"/>
  <c r="X97" i="3"/>
  <c r="W97" i="3"/>
  <c r="V97" i="3"/>
  <c r="U97" i="3"/>
  <c r="T97" i="3"/>
  <c r="Q123" i="3"/>
  <c r="P123" i="3"/>
  <c r="O123" i="3"/>
  <c r="N123" i="3"/>
  <c r="M123" i="3"/>
  <c r="Q122" i="3"/>
  <c r="P122" i="3"/>
  <c r="O122" i="3"/>
  <c r="N122" i="3"/>
  <c r="M122" i="3"/>
  <c r="Q124" i="3"/>
  <c r="P124" i="3"/>
  <c r="O124" i="3"/>
  <c r="N124" i="3"/>
  <c r="M124" i="3"/>
  <c r="AC76" i="3"/>
  <c r="AA77" i="3"/>
  <c r="Z77" i="3"/>
  <c r="Y77" i="3"/>
  <c r="X77" i="3"/>
  <c r="W77" i="3"/>
  <c r="V77" i="3"/>
  <c r="U77" i="3"/>
  <c r="T77" i="3"/>
  <c r="W69" i="3"/>
  <c r="AA69" i="3"/>
  <c r="M69" i="3"/>
  <c r="N69" i="3"/>
  <c r="O69" i="3"/>
  <c r="P69" i="3"/>
  <c r="Q69" i="3"/>
  <c r="Q77" i="3"/>
  <c r="P77" i="3"/>
  <c r="O77" i="3"/>
  <c r="N77" i="3"/>
  <c r="M77" i="3"/>
  <c r="M52" i="3"/>
  <c r="N52" i="3"/>
  <c r="O52" i="3"/>
  <c r="P52" i="3"/>
  <c r="Q52" i="3"/>
  <c r="T29" i="3"/>
  <c r="T28" i="3"/>
  <c r="U29" i="3"/>
  <c r="U28" i="3"/>
  <c r="V29" i="3"/>
  <c r="V28" i="3"/>
  <c r="X29" i="3"/>
  <c r="X28" i="3"/>
  <c r="Y29" i="3"/>
  <c r="Y28" i="3"/>
  <c r="Z29" i="3"/>
  <c r="Z28" i="3"/>
  <c r="W29" i="3"/>
  <c r="W28" i="3"/>
  <c r="AA29" i="3"/>
  <c r="AA28" i="3"/>
  <c r="AC45" i="3"/>
  <c r="AC44" i="3"/>
  <c r="AC43" i="3"/>
  <c r="AC42" i="3"/>
  <c r="AC41" i="3"/>
  <c r="AC40" i="3"/>
  <c r="AC38" i="3"/>
  <c r="AC37" i="3"/>
  <c r="AC36" i="3"/>
  <c r="AC35" i="3"/>
  <c r="AC33" i="3"/>
  <c r="AC32" i="3"/>
  <c r="AC31" i="3"/>
  <c r="AC29" i="3"/>
  <c r="AC28" i="3"/>
  <c r="AA39" i="3"/>
  <c r="Z39" i="3"/>
  <c r="Y39" i="3"/>
  <c r="X39" i="3"/>
  <c r="W39" i="3"/>
  <c r="V39" i="3"/>
  <c r="U39" i="3"/>
  <c r="T39" i="3"/>
  <c r="AA34" i="3"/>
  <c r="Z34" i="3"/>
  <c r="Y34" i="3"/>
  <c r="X34" i="3"/>
  <c r="W34" i="3"/>
  <c r="V34" i="3"/>
  <c r="U34" i="3"/>
  <c r="T34" i="3"/>
  <c r="O39" i="3"/>
  <c r="N39" i="3"/>
  <c r="M39" i="3"/>
  <c r="M29" i="3"/>
  <c r="M28" i="3"/>
  <c r="M34" i="3"/>
  <c r="O34" i="3"/>
  <c r="N34" i="3"/>
  <c r="N29" i="3"/>
  <c r="O29" i="3"/>
  <c r="N28" i="3"/>
  <c r="O28" i="3"/>
  <c r="P39" i="3"/>
  <c r="Q39" i="3"/>
  <c r="P34" i="3"/>
  <c r="Q34" i="3"/>
  <c r="P29" i="3"/>
  <c r="Q29" i="3"/>
  <c r="P28" i="3"/>
  <c r="Q28" i="3"/>
  <c r="AA93" i="3"/>
  <c r="Z93" i="3"/>
  <c r="Y93" i="3"/>
  <c r="X93" i="3"/>
  <c r="W93" i="3"/>
  <c r="V93" i="3"/>
  <c r="U93" i="3"/>
  <c r="T93" i="3"/>
  <c r="AA92" i="3"/>
  <c r="Z92" i="3"/>
  <c r="Y92" i="3"/>
  <c r="X92" i="3"/>
  <c r="W92" i="3"/>
  <c r="V92" i="3"/>
  <c r="U92" i="3"/>
  <c r="T92" i="3"/>
  <c r="AA91" i="3"/>
  <c r="Z91" i="3"/>
  <c r="Y91" i="3"/>
  <c r="X91" i="3"/>
  <c r="W91" i="3"/>
  <c r="V91" i="3"/>
  <c r="U91" i="3"/>
  <c r="T91" i="3"/>
  <c r="AA89" i="3"/>
  <c r="Z89" i="3"/>
  <c r="Y89" i="3"/>
  <c r="X89" i="3"/>
  <c r="W89" i="3"/>
  <c r="V89" i="3"/>
  <c r="U89" i="3"/>
  <c r="T89" i="3"/>
  <c r="AA88" i="3"/>
  <c r="Z88" i="3"/>
  <c r="Y88" i="3"/>
  <c r="X88" i="3"/>
  <c r="W88" i="3"/>
  <c r="V88" i="3"/>
  <c r="U88" i="3"/>
  <c r="T88" i="3"/>
  <c r="AA87" i="3"/>
  <c r="Z87" i="3"/>
  <c r="Y87" i="3"/>
  <c r="X87" i="3"/>
  <c r="W87" i="3"/>
  <c r="V87" i="3"/>
  <c r="U87" i="3"/>
  <c r="T87" i="3"/>
  <c r="AA85" i="3"/>
  <c r="Z85" i="3"/>
  <c r="Y85" i="3"/>
  <c r="X85" i="3"/>
  <c r="W85" i="3"/>
  <c r="V85" i="3"/>
  <c r="U85" i="3"/>
  <c r="T85" i="3"/>
  <c r="AA84" i="3"/>
  <c r="Z84" i="3"/>
  <c r="Y84" i="3"/>
  <c r="X84" i="3"/>
  <c r="W84" i="3"/>
  <c r="V84" i="3"/>
  <c r="U84" i="3"/>
  <c r="T84" i="3"/>
  <c r="X66" i="3"/>
  <c r="W66" i="3"/>
  <c r="T66" i="3"/>
  <c r="Z65" i="3"/>
  <c r="X65" i="3"/>
  <c r="W65" i="3"/>
  <c r="V65" i="3"/>
  <c r="T65" i="3"/>
  <c r="AA64" i="3"/>
  <c r="Z64" i="3"/>
  <c r="Y64" i="3"/>
  <c r="X64" i="3"/>
  <c r="W64" i="3"/>
  <c r="V64" i="3"/>
  <c r="U64" i="3"/>
  <c r="T64" i="3"/>
  <c r="AC24" i="3"/>
  <c r="AC22" i="3"/>
  <c r="AC20" i="3"/>
  <c r="AC18" i="3"/>
  <c r="AC17" i="3"/>
  <c r="AC16" i="3"/>
  <c r="AC15" i="3"/>
  <c r="AC14" i="3"/>
  <c r="AC13" i="3"/>
  <c r="AC12" i="3"/>
  <c r="AC10" i="3"/>
  <c r="AC9" i="3"/>
  <c r="AC8" i="3"/>
  <c r="AC6" i="3"/>
  <c r="AC5" i="3"/>
  <c r="X19" i="3"/>
  <c r="AA25" i="3"/>
  <c r="Z25" i="3"/>
  <c r="Y25" i="3"/>
  <c r="X25" i="3"/>
  <c r="W25" i="3"/>
  <c r="V25" i="3"/>
  <c r="U25" i="3"/>
  <c r="T25" i="3"/>
  <c r="AA23" i="3"/>
  <c r="Z23" i="3"/>
  <c r="Y23" i="3"/>
  <c r="X23" i="3"/>
  <c r="W23" i="3"/>
  <c r="V23" i="3"/>
  <c r="U23" i="3"/>
  <c r="T23" i="3"/>
  <c r="AA21" i="3"/>
  <c r="Z21" i="3"/>
  <c r="Y21" i="3"/>
  <c r="X21" i="3"/>
  <c r="W21" i="3"/>
  <c r="V21" i="3"/>
  <c r="U21" i="3"/>
  <c r="T21" i="3"/>
  <c r="AA19" i="3"/>
  <c r="Z19" i="3"/>
  <c r="Y19" i="3"/>
  <c r="W19" i="3"/>
  <c r="V19" i="3"/>
  <c r="U19" i="3"/>
  <c r="T19" i="3"/>
  <c r="AA11" i="3"/>
  <c r="Z11" i="3"/>
  <c r="Y11" i="3"/>
  <c r="X11" i="3"/>
  <c r="W11" i="3"/>
  <c r="V11" i="3"/>
  <c r="U11" i="3"/>
  <c r="T11" i="3"/>
  <c r="AA7" i="3"/>
  <c r="Z7" i="3"/>
  <c r="Y7" i="3"/>
  <c r="X7" i="3"/>
  <c r="W7" i="3"/>
  <c r="V7" i="3"/>
  <c r="U7" i="3"/>
  <c r="T7" i="3"/>
  <c r="Q98" i="3"/>
  <c r="P98" i="3"/>
  <c r="O98" i="3"/>
  <c r="N98" i="3"/>
  <c r="M98" i="3"/>
  <c r="Q97" i="3"/>
  <c r="P97" i="3"/>
  <c r="O97" i="3"/>
  <c r="N97" i="3"/>
  <c r="M97" i="3"/>
  <c r="Q93" i="3"/>
  <c r="P93" i="3"/>
  <c r="O93" i="3"/>
  <c r="N93" i="3"/>
  <c r="M93" i="3"/>
  <c r="Q92" i="3"/>
  <c r="P92" i="3"/>
  <c r="O92" i="3"/>
  <c r="N92" i="3"/>
  <c r="M92" i="3"/>
  <c r="Q66" i="3"/>
  <c r="Q64" i="3"/>
  <c r="Q91" i="3"/>
  <c r="P91" i="3"/>
  <c r="O91" i="3"/>
  <c r="N91" i="3"/>
  <c r="M91" i="3"/>
  <c r="Q89" i="3"/>
  <c r="P89" i="3"/>
  <c r="O89" i="3"/>
  <c r="N89" i="3"/>
  <c r="M89" i="3"/>
  <c r="Q88" i="3"/>
  <c r="P88" i="3"/>
  <c r="O88" i="3"/>
  <c r="N88" i="3"/>
  <c r="M88" i="3"/>
  <c r="Q87" i="3"/>
  <c r="P87" i="3"/>
  <c r="O87" i="3"/>
  <c r="N87" i="3"/>
  <c r="M87" i="3"/>
  <c r="Q85" i="3"/>
  <c r="P85" i="3"/>
  <c r="O85" i="3"/>
  <c r="N85" i="3"/>
  <c r="M85" i="3"/>
  <c r="Q84" i="3"/>
  <c r="P84" i="3"/>
  <c r="O84" i="3"/>
  <c r="N84" i="3"/>
  <c r="M84" i="3"/>
  <c r="M25" i="3"/>
  <c r="N25" i="3"/>
  <c r="O25" i="3"/>
  <c r="P25" i="3"/>
  <c r="Q25" i="3"/>
  <c r="Q23" i="3"/>
  <c r="P23" i="3"/>
  <c r="O23" i="3"/>
  <c r="N23" i="3"/>
  <c r="M23" i="3"/>
  <c r="Q21" i="3"/>
  <c r="P21" i="3"/>
  <c r="O21" i="3"/>
  <c r="N21" i="3"/>
  <c r="M21" i="3"/>
  <c r="Q19" i="3"/>
  <c r="P19" i="3"/>
  <c r="O19" i="3"/>
  <c r="N19" i="3"/>
  <c r="M19" i="3"/>
  <c r="Q11" i="3"/>
  <c r="Q7" i="3"/>
  <c r="P66" i="3"/>
  <c r="O66" i="3"/>
  <c r="N66" i="3"/>
  <c r="M66" i="3"/>
  <c r="L66" i="3"/>
  <c r="K66" i="3"/>
  <c r="J66" i="3"/>
  <c r="I66" i="3"/>
  <c r="H66" i="3"/>
  <c r="G66" i="3"/>
  <c r="F66" i="3"/>
  <c r="E66" i="3"/>
  <c r="D66" i="3"/>
  <c r="C66" i="3"/>
  <c r="P64" i="3"/>
  <c r="O64" i="3"/>
  <c r="N64" i="3"/>
  <c r="M64" i="3"/>
  <c r="L64" i="3"/>
  <c r="K64" i="3"/>
  <c r="J64" i="3"/>
  <c r="I64" i="3"/>
  <c r="H64" i="3"/>
  <c r="G64" i="3"/>
  <c r="F64" i="3"/>
  <c r="E64" i="3"/>
  <c r="D64" i="3"/>
  <c r="C64" i="3"/>
  <c r="L21" i="3"/>
  <c r="K21" i="3"/>
  <c r="J21" i="3"/>
  <c r="I21" i="3"/>
  <c r="H21" i="3"/>
  <c r="G21" i="3"/>
  <c r="F21" i="3"/>
  <c r="E21" i="3"/>
  <c r="D21" i="3"/>
  <c r="C21" i="3"/>
  <c r="L19" i="3"/>
  <c r="K19" i="3"/>
  <c r="J19" i="3"/>
  <c r="I19" i="3"/>
  <c r="H19" i="3"/>
  <c r="G19" i="3"/>
  <c r="F19" i="3"/>
  <c r="E19" i="3"/>
  <c r="D19" i="3"/>
  <c r="C19"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C186" i="3" l="1"/>
  <c r="AC184" i="3"/>
  <c r="AC159" i="3"/>
  <c r="C31" i="16"/>
  <c r="AC190" i="3"/>
  <c r="C52" i="16"/>
  <c r="AC191" i="3"/>
  <c r="C53" i="16" s="1"/>
  <c r="AC74" i="3"/>
  <c r="Q75" i="3"/>
  <c r="P75" i="3"/>
  <c r="N75" i="3"/>
  <c r="M75" i="3"/>
  <c r="AC75" i="3"/>
  <c r="O75" i="3"/>
  <c r="AA187" i="3"/>
  <c r="Z187" i="3"/>
  <c r="Y187" i="3"/>
  <c r="X187" i="3"/>
  <c r="W187" i="3"/>
  <c r="V187" i="3"/>
  <c r="U187" i="3"/>
  <c r="T187" i="3"/>
  <c r="Q187" i="3"/>
  <c r="P187" i="3"/>
  <c r="O187" i="3"/>
  <c r="N187" i="3"/>
  <c r="M187" i="3"/>
  <c r="F40" i="16"/>
  <c r="AC185" i="3"/>
  <c r="F39" i="16" s="1"/>
  <c r="F38" i="16"/>
  <c r="Q180" i="3"/>
  <c r="P180" i="3"/>
  <c r="O180" i="3"/>
  <c r="N180" i="3"/>
  <c r="M180" i="3"/>
  <c r="Q179" i="3"/>
  <c r="P179" i="3"/>
  <c r="O179" i="3"/>
  <c r="N179" i="3"/>
  <c r="M179" i="3"/>
  <c r="AC174" i="3"/>
  <c r="AC166" i="3"/>
  <c r="F34" i="16" s="1"/>
  <c r="AC165" i="3"/>
  <c r="F32" i="16" s="1"/>
  <c r="AC162" i="3"/>
  <c r="F30" i="16" s="1"/>
  <c r="AA158" i="3"/>
  <c r="Z158" i="3"/>
  <c r="Y158" i="3"/>
  <c r="X158" i="3"/>
  <c r="W158" i="3"/>
  <c r="V158" i="3"/>
  <c r="U158" i="3"/>
  <c r="T158" i="3"/>
  <c r="AC160" i="3"/>
  <c r="C32" i="16" s="1"/>
  <c r="AC158" i="3"/>
  <c r="C30" i="16" s="1"/>
  <c r="Q158" i="3"/>
  <c r="Q161" i="3" s="1"/>
  <c r="P158" i="3"/>
  <c r="P161" i="3" s="1"/>
  <c r="O158" i="3"/>
  <c r="O161" i="3" s="1"/>
  <c r="N158" i="3"/>
  <c r="N161" i="3" s="1"/>
  <c r="M158" i="3"/>
  <c r="M161" i="3" s="1"/>
  <c r="F9" i="16"/>
  <c r="F8" i="16"/>
  <c r="F17" i="16"/>
  <c r="AC52" i="3"/>
  <c r="F16" i="16"/>
  <c r="AC72" i="3"/>
  <c r="O30" i="6"/>
  <c r="O26" i="6"/>
  <c r="AC51" i="3"/>
  <c r="AA65" i="3"/>
  <c r="AC50" i="3"/>
  <c r="V66" i="3"/>
  <c r="Z66" i="3"/>
  <c r="U66" i="3"/>
  <c r="U65" i="3"/>
  <c r="Y66" i="3"/>
  <c r="Y65" i="3"/>
  <c r="Y111" i="3"/>
  <c r="X111" i="3"/>
  <c r="W111" i="3"/>
  <c r="V111" i="3"/>
  <c r="U111" i="3"/>
  <c r="T111" i="3"/>
  <c r="C25" i="14"/>
  <c r="O111" i="3"/>
  <c r="O114" i="3" s="1"/>
  <c r="O175" i="3" s="1"/>
  <c r="O183" i="3" s="1"/>
  <c r="N111" i="3"/>
  <c r="N114" i="3" s="1"/>
  <c r="N175" i="3" s="1"/>
  <c r="N183" i="3" s="1"/>
  <c r="M111" i="3"/>
  <c r="M114" i="3" s="1"/>
  <c r="M175" i="3" s="1"/>
  <c r="M183" i="3" s="1"/>
  <c r="L111" i="3"/>
  <c r="K111" i="3"/>
  <c r="J111" i="3"/>
  <c r="I111" i="3"/>
  <c r="H111" i="3"/>
  <c r="G111" i="3"/>
  <c r="F111" i="3"/>
  <c r="E111" i="3"/>
  <c r="D111" i="3"/>
  <c r="C111" i="3"/>
  <c r="G44" i="14"/>
  <c r="F44" i="14"/>
  <c r="E44" i="14"/>
  <c r="D44" i="14"/>
  <c r="C44" i="14"/>
  <c r="G6" i="14"/>
  <c r="F6" i="14"/>
  <c r="E6" i="14"/>
  <c r="D6" i="14"/>
  <c r="C6" i="14"/>
  <c r="G18" i="12"/>
  <c r="F18" i="12"/>
  <c r="E18" i="12"/>
  <c r="D18" i="12"/>
  <c r="C18" i="12"/>
  <c r="G6" i="12"/>
  <c r="F6" i="12"/>
  <c r="E6" i="12"/>
  <c r="D6" i="12"/>
  <c r="C6" i="12"/>
  <c r="C23" i="11"/>
  <c r="C8" i="10"/>
  <c r="H7" i="14"/>
  <c r="G41" i="14"/>
  <c r="C47" i="12"/>
  <c r="C38" i="12"/>
  <c r="L13" i="12"/>
  <c r="I13" i="12"/>
  <c r="L12" i="12"/>
  <c r="J12" i="12"/>
  <c r="K13" i="12"/>
  <c r="J13" i="12"/>
  <c r="I12" i="12"/>
  <c r="K12" i="12"/>
  <c r="C18" i="10"/>
  <c r="AA112" i="3"/>
  <c r="Z112" i="3"/>
  <c r="Y112" i="3"/>
  <c r="X112" i="3"/>
  <c r="W112" i="3"/>
  <c r="V112" i="3"/>
  <c r="U112" i="3"/>
  <c r="T112" i="3"/>
  <c r="Q112" i="3"/>
  <c r="P112" i="3"/>
  <c r="O112" i="3"/>
  <c r="N112" i="3"/>
  <c r="M112" i="3"/>
  <c r="E7" i="8"/>
  <c r="E6" i="8"/>
  <c r="F5" i="8"/>
  <c r="E5" i="8"/>
  <c r="C5" i="8"/>
  <c r="G35" i="7"/>
  <c r="G22" i="8" s="1"/>
  <c r="D35" i="7"/>
  <c r="D2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H5" i="8" s="1"/>
  <c r="D5" i="8"/>
  <c r="E35" i="7"/>
  <c r="E22" i="8" s="1"/>
  <c r="C35" i="7"/>
  <c r="C2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F35" i="7"/>
  <c r="F22" i="8" s="1"/>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Q65" i="3"/>
  <c r="L8" i="8"/>
  <c r="L10" i="8" s="1"/>
  <c r="L27" i="8" s="1"/>
  <c r="L28" i="8" s="1"/>
  <c r="J8" i="8"/>
  <c r="J10" i="8" s="1"/>
  <c r="J27" i="8" s="1"/>
  <c r="J28" i="8" s="1"/>
  <c r="I8" i="8"/>
  <c r="I10" i="8" s="1"/>
  <c r="I27" i="8" s="1"/>
  <c r="I28" i="8" s="1"/>
  <c r="K8" i="8"/>
  <c r="K10" i="8" s="1"/>
  <c r="K27" i="8" s="1"/>
  <c r="K28" i="8" s="1"/>
  <c r="H8" i="8"/>
  <c r="H10" i="8" s="1"/>
  <c r="H27" i="8" s="1"/>
  <c r="G8" i="7"/>
  <c r="E8" i="7"/>
  <c r="F8" i="7"/>
  <c r="C8" i="7"/>
  <c r="D8" i="7"/>
  <c r="L45" i="7"/>
  <c r="K45" i="7"/>
  <c r="J45" i="7"/>
  <c r="I45" i="7"/>
  <c r="H45" i="7"/>
  <c r="G44" i="7"/>
  <c r="F44" i="7"/>
  <c r="E44" i="7"/>
  <c r="J42" i="7"/>
  <c r="K36" i="7"/>
  <c r="J36" i="7"/>
  <c r="H36" i="7"/>
  <c r="G22" i="7"/>
  <c r="D22" i="7"/>
  <c r="E21" i="7"/>
  <c r="C21" i="7"/>
  <c r="J15" i="7"/>
  <c r="H15" i="7"/>
  <c r="H30" i="7" s="1"/>
  <c r="K13" i="7"/>
  <c r="I13" i="7"/>
  <c r="D44" i="7"/>
  <c r="C44" i="7"/>
  <c r="L42" i="7"/>
  <c r="I36" i="7"/>
  <c r="I15" i="7"/>
  <c r="K42" i="7"/>
  <c r="H42" i="7"/>
  <c r="L15" i="7"/>
  <c r="L13" i="7"/>
  <c r="J13" i="7"/>
  <c r="I42" i="7"/>
  <c r="L36" i="7"/>
  <c r="K15" i="7"/>
  <c r="H13" i="7"/>
  <c r="AB12" i="6"/>
  <c r="AB17" i="6"/>
  <c r="O11" i="6"/>
  <c r="AB13" i="6"/>
  <c r="O13" i="6"/>
  <c r="O25" i="6" s="1"/>
  <c r="B23" i="6"/>
  <c r="O12" i="6"/>
  <c r="O24" i="6" s="1"/>
  <c r="B25" i="6"/>
  <c r="B24" i="6"/>
  <c r="O23" i="6"/>
  <c r="AB16" i="6"/>
  <c r="X11" i="6"/>
  <c r="X14" i="6" s="1"/>
  <c r="AB9" i="6"/>
  <c r="AB10" i="6"/>
  <c r="AB15"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AA15" i="5"/>
  <c r="H5" i="5"/>
  <c r="H6" i="14" s="1"/>
  <c r="H40" i="14" s="1"/>
  <c r="W33" i="5"/>
  <c r="U33" i="5"/>
  <c r="Z33" i="5"/>
  <c r="Y33" i="5"/>
  <c r="X33" i="5"/>
  <c r="V33" i="5"/>
  <c r="T33" i="5"/>
  <c r="P111" i="3"/>
  <c r="P114" i="3" s="1"/>
  <c r="Q111" i="3"/>
  <c r="AC133" i="3"/>
  <c r="C25" i="16" s="1"/>
  <c r="P132" i="3"/>
  <c r="P134" i="3" s="1"/>
  <c r="O132" i="3"/>
  <c r="O134" i="3" s="1"/>
  <c r="N132" i="3"/>
  <c r="N134" i="3" s="1"/>
  <c r="M132" i="3"/>
  <c r="M134" i="3" s="1"/>
  <c r="Q132" i="3"/>
  <c r="Q134" i="3" s="1"/>
  <c r="AC131" i="3"/>
  <c r="C23" i="16" s="1"/>
  <c r="AC130" i="3"/>
  <c r="Q126" i="3"/>
  <c r="P126" i="3"/>
  <c r="O126" i="3"/>
  <c r="N126" i="3"/>
  <c r="AC98" i="3"/>
  <c r="C18" i="16" s="1"/>
  <c r="AC97" i="3"/>
  <c r="C17" i="16" s="1"/>
  <c r="AA96" i="3"/>
  <c r="Z96" i="3"/>
  <c r="Y96" i="3"/>
  <c r="X96" i="3"/>
  <c r="W96" i="3"/>
  <c r="V96" i="3"/>
  <c r="U96" i="3"/>
  <c r="T96" i="3"/>
  <c r="AC77" i="3"/>
  <c r="AC187" i="3" s="1"/>
  <c r="AC69" i="3"/>
  <c r="M126" i="3"/>
  <c r="Q125" i="3"/>
  <c r="P125" i="3"/>
  <c r="O125" i="3"/>
  <c r="N125" i="3"/>
  <c r="M125" i="3"/>
  <c r="AA70" i="3"/>
  <c r="AC70" i="3" s="1"/>
  <c r="T70" i="3"/>
  <c r="Z70" i="3"/>
  <c r="W70" i="3"/>
  <c r="U70" i="3"/>
  <c r="Y70" i="3"/>
  <c r="X70" i="3"/>
  <c r="V70" i="3"/>
  <c r="M70" i="3"/>
  <c r="M73" i="3" s="1"/>
  <c r="M170" i="3" s="1"/>
  <c r="M181" i="3" s="1"/>
  <c r="N70" i="3"/>
  <c r="N73" i="3" s="1"/>
  <c r="N170" i="3" s="1"/>
  <c r="N181" i="3" s="1"/>
  <c r="O70" i="3"/>
  <c r="O73" i="3" s="1"/>
  <c r="O170" i="3" s="1"/>
  <c r="O181" i="3" s="1"/>
  <c r="P70" i="3"/>
  <c r="P73" i="3" s="1"/>
  <c r="P170" i="3" s="1"/>
  <c r="P181" i="3" s="1"/>
  <c r="Q70" i="3"/>
  <c r="Q73" i="3" s="1"/>
  <c r="Q170" i="3" s="1"/>
  <c r="Q181" i="3" s="1"/>
  <c r="AC64" i="3"/>
  <c r="AC39" i="3"/>
  <c r="AC34" i="3"/>
  <c r="AA86" i="3"/>
  <c r="Z86" i="3"/>
  <c r="Y86" i="3"/>
  <c r="X86" i="3"/>
  <c r="W86" i="3"/>
  <c r="V86" i="3"/>
  <c r="AA90" i="3"/>
  <c r="Z90" i="3"/>
  <c r="Y90" i="3"/>
  <c r="X90" i="3"/>
  <c r="W90" i="3"/>
  <c r="V90" i="3"/>
  <c r="U90" i="3"/>
  <c r="T90" i="3"/>
  <c r="U86" i="3"/>
  <c r="T86" i="3"/>
  <c r="AA62" i="3"/>
  <c r="Z62" i="3"/>
  <c r="Y62" i="3"/>
  <c r="X62" i="3"/>
  <c r="W62" i="3"/>
  <c r="V62" i="3"/>
  <c r="U62" i="3"/>
  <c r="T62" i="3"/>
  <c r="AC11" i="3"/>
  <c r="AC7" i="3"/>
  <c r="AC96" i="3" s="1"/>
  <c r="C16" i="16" s="1"/>
  <c r="Q96" i="3"/>
  <c r="P96" i="3"/>
  <c r="O96" i="3"/>
  <c r="N96" i="3"/>
  <c r="M96" i="3"/>
  <c r="Q62" i="3"/>
  <c r="Q63" i="3" s="1"/>
  <c r="Q90" i="3"/>
  <c r="P90" i="3"/>
  <c r="O90" i="3"/>
  <c r="N90" i="3"/>
  <c r="M90" i="3"/>
  <c r="AC25" i="3"/>
  <c r="F5" i="1" s="1"/>
  <c r="AC23" i="3"/>
  <c r="AC21" i="3"/>
  <c r="AC19" i="3"/>
  <c r="Q86" i="3"/>
  <c r="O86" i="3"/>
  <c r="M86" i="3"/>
  <c r="M62" i="3"/>
  <c r="K62" i="3"/>
  <c r="F62" i="3"/>
  <c r="C62" i="3"/>
  <c r="P62" i="3"/>
  <c r="P86" i="3"/>
  <c r="N86" i="3"/>
  <c r="N62" i="3"/>
  <c r="L62" i="3"/>
  <c r="J62" i="3"/>
  <c r="H62" i="3"/>
  <c r="G62" i="3"/>
  <c r="E62" i="3"/>
  <c r="D62" i="3"/>
  <c r="O62" i="3"/>
  <c r="I62" i="3"/>
  <c r="P65" i="3"/>
  <c r="O65" i="3"/>
  <c r="N65" i="3"/>
  <c r="M65" i="3"/>
  <c r="L65" i="3"/>
  <c r="K65" i="3"/>
  <c r="J65" i="3"/>
  <c r="I65" i="3"/>
  <c r="H65" i="3"/>
  <c r="G65" i="3"/>
  <c r="F65" i="3"/>
  <c r="E65" i="3"/>
  <c r="D65" i="3"/>
  <c r="C65" i="3"/>
  <c r="C8" i="1"/>
  <c r="C9" i="1"/>
  <c r="C10" i="1"/>
  <c r="C14" i="1"/>
  <c r="C13" i="1"/>
  <c r="C10" i="10" s="1"/>
  <c r="C19" i="10" s="1"/>
  <c r="C12" i="1"/>
  <c r="C11" i="1"/>
  <c r="C7" i="1"/>
  <c r="C6" i="1"/>
  <c r="C5" i="1"/>
  <c r="C4" i="1"/>
  <c r="W192" i="3" l="1"/>
  <c r="Z192" i="3"/>
  <c r="Y192" i="3"/>
  <c r="X192" i="3"/>
  <c r="V192" i="3"/>
  <c r="U192" i="3"/>
  <c r="T192" i="3"/>
  <c r="AA192" i="3"/>
  <c r="L8" i="12"/>
  <c r="L7" i="11"/>
  <c r="J8" i="12"/>
  <c r="J7" i="11"/>
  <c r="I8" i="12"/>
  <c r="I7" i="11"/>
  <c r="K8" i="12"/>
  <c r="K14" i="12" s="1"/>
  <c r="K7" i="11"/>
  <c r="Q193" i="3"/>
  <c r="Q192" i="3"/>
  <c r="P193" i="3"/>
  <c r="P192" i="3"/>
  <c r="O193" i="3"/>
  <c r="O192" i="3"/>
  <c r="N193" i="3"/>
  <c r="N192" i="3"/>
  <c r="M193" i="3"/>
  <c r="M192" i="3"/>
  <c r="Q188" i="3"/>
  <c r="P188" i="3"/>
  <c r="N188" i="3"/>
  <c r="M188" i="3"/>
  <c r="O188" i="3"/>
  <c r="Y189" i="3"/>
  <c r="X189" i="3"/>
  <c r="W189" i="3"/>
  <c r="V189" i="3"/>
  <c r="U189" i="3"/>
  <c r="T189" i="3"/>
  <c r="AA161" i="3"/>
  <c r="F48" i="14"/>
  <c r="D48" i="14"/>
  <c r="E40" i="14"/>
  <c r="C33" i="14"/>
  <c r="G48" i="14"/>
  <c r="F40" i="14"/>
  <c r="E48" i="14"/>
  <c r="G40" i="14"/>
  <c r="D40" i="14"/>
  <c r="C40" i="14"/>
  <c r="D29" i="12"/>
  <c r="F28" i="12"/>
  <c r="E19" i="12"/>
  <c r="H18" i="12"/>
  <c r="I18" i="12" s="1"/>
  <c r="J18" i="12" s="1"/>
  <c r="K18" i="12" s="1"/>
  <c r="L18" i="12" s="1"/>
  <c r="Z189" i="3"/>
  <c r="W161" i="3"/>
  <c r="V161" i="3"/>
  <c r="Z161" i="3"/>
  <c r="X161" i="3"/>
  <c r="U161" i="3"/>
  <c r="AA163" i="3"/>
  <c r="AA189" i="3"/>
  <c r="Q163" i="3"/>
  <c r="Q189" i="3"/>
  <c r="P163" i="3"/>
  <c r="P189" i="3"/>
  <c r="O163" i="3"/>
  <c r="O189" i="3"/>
  <c r="N163" i="3"/>
  <c r="N189" i="3"/>
  <c r="M163" i="3"/>
  <c r="M189" i="3"/>
  <c r="Y161" i="3"/>
  <c r="T161" i="3"/>
  <c r="AC161" i="3"/>
  <c r="C33" i="16" s="1"/>
  <c r="O157" i="3"/>
  <c r="N157" i="3"/>
  <c r="M157" i="3"/>
  <c r="P157" i="3"/>
  <c r="P175" i="3"/>
  <c r="P183" i="3" s="1"/>
  <c r="M178" i="3"/>
  <c r="M171" i="3"/>
  <c r="M176" i="3"/>
  <c r="N178" i="3"/>
  <c r="N171" i="3"/>
  <c r="N176" i="3"/>
  <c r="O178" i="3"/>
  <c r="O171" i="3"/>
  <c r="O176" i="3"/>
  <c r="P178" i="3"/>
  <c r="P171" i="3"/>
  <c r="P176" i="3"/>
  <c r="Q178" i="3"/>
  <c r="Q171" i="3"/>
  <c r="Q176" i="3"/>
  <c r="F18" i="16"/>
  <c r="M167" i="3"/>
  <c r="N167" i="3"/>
  <c r="O167" i="3"/>
  <c r="AC169" i="3"/>
  <c r="C10" i="16" s="1"/>
  <c r="Q169" i="3"/>
  <c r="P169" i="3"/>
  <c r="O169" i="3"/>
  <c r="N169" i="3"/>
  <c r="M169" i="3"/>
  <c r="Q168" i="3"/>
  <c r="P168" i="3"/>
  <c r="O168" i="3"/>
  <c r="N168" i="3"/>
  <c r="M168" i="3"/>
  <c r="Q167" i="3"/>
  <c r="P167" i="3"/>
  <c r="AC167" i="3"/>
  <c r="C5" i="16"/>
  <c r="AC168" i="3"/>
  <c r="H5" i="6"/>
  <c r="G22" i="6"/>
  <c r="G10" i="6"/>
  <c r="Z164" i="3"/>
  <c r="Z163" i="3"/>
  <c r="Y164" i="3"/>
  <c r="Y163" i="3"/>
  <c r="X164" i="3"/>
  <c r="X163" i="3"/>
  <c r="W164" i="3"/>
  <c r="W163" i="3"/>
  <c r="V164" i="3"/>
  <c r="V163" i="3"/>
  <c r="U164" i="3"/>
  <c r="U163" i="3"/>
  <c r="T164" i="3"/>
  <c r="T163" i="3"/>
  <c r="T28" i="6"/>
  <c r="T27" i="6"/>
  <c r="G29" i="6"/>
  <c r="G27" i="6"/>
  <c r="AC112" i="3"/>
  <c r="AA164" i="3"/>
  <c r="G31" i="12"/>
  <c r="Q164" i="3"/>
  <c r="F31" i="12"/>
  <c r="P164" i="3"/>
  <c r="E31" i="12"/>
  <c r="O164" i="3"/>
  <c r="D31" i="12"/>
  <c r="N164" i="3"/>
  <c r="C31" i="12"/>
  <c r="M164" i="3"/>
  <c r="AC111" i="3"/>
  <c r="AC114" i="3" s="1"/>
  <c r="Q114" i="3"/>
  <c r="E46" i="7"/>
  <c r="Q25" i="6"/>
  <c r="F25" i="6"/>
  <c r="D23" i="6"/>
  <c r="D22" i="6"/>
  <c r="V23" i="6"/>
  <c r="S23" i="6"/>
  <c r="Q23" i="6"/>
  <c r="W10" i="6"/>
  <c r="U10" i="6"/>
  <c r="R10" i="6"/>
  <c r="AA73" i="3"/>
  <c r="AC73" i="3" s="1"/>
  <c r="AC188" i="3" s="1"/>
  <c r="C46" i="16" s="1"/>
  <c r="W73" i="3"/>
  <c r="U73" i="3"/>
  <c r="Z73" i="3"/>
  <c r="X73" i="3"/>
  <c r="V73" i="3"/>
  <c r="T73" i="3"/>
  <c r="Y73" i="3"/>
  <c r="AC132" i="3"/>
  <c r="C22" i="16"/>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22" i="14"/>
  <c r="C35" i="14" s="1"/>
  <c r="C15" i="14"/>
  <c r="C23" i="14" s="1"/>
  <c r="C10" i="13"/>
  <c r="I7" i="14"/>
  <c r="H41" i="14"/>
  <c r="G45" i="14"/>
  <c r="C58" i="12"/>
  <c r="C41" i="12"/>
  <c r="C50" i="12"/>
  <c r="C51" i="12" s="1"/>
  <c r="AC118" i="3"/>
  <c r="AC180"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L44" i="7"/>
  <c r="K44" i="7"/>
  <c r="J44" i="7"/>
  <c r="I44" i="7"/>
  <c r="H44" i="7"/>
  <c r="K30" i="7"/>
  <c r="I30" i="7"/>
  <c r="L28" i="7"/>
  <c r="J28" i="7"/>
  <c r="J30" i="7"/>
  <c r="K28" i="7"/>
  <c r="K35" i="7" s="1"/>
  <c r="I28" i="7"/>
  <c r="I35" i="7" s="1"/>
  <c r="L30" i="7"/>
  <c r="L35" i="7" s="1"/>
  <c r="AB18" i="6"/>
  <c r="K18" i="6"/>
  <c r="H18" i="6"/>
  <c r="L18" i="6"/>
  <c r="J18" i="6"/>
  <c r="AB11" i="6"/>
  <c r="AB14" i="6" s="1"/>
  <c r="I18" i="6"/>
  <c r="I23" i="5"/>
  <c r="I35" i="5" s="1"/>
  <c r="J21" i="5"/>
  <c r="J34" i="5" s="1"/>
  <c r="H7" i="5"/>
  <c r="I9" i="5"/>
  <c r="I34" i="5"/>
  <c r="AE21" i="5"/>
  <c r="H15" i="5"/>
  <c r="I5" i="5"/>
  <c r="I6" i="14" s="1"/>
  <c r="I40" i="14" s="1"/>
  <c r="H12" i="5"/>
  <c r="H20" i="5"/>
  <c r="H33" i="5"/>
  <c r="AA63" i="3"/>
  <c r="Z63" i="3"/>
  <c r="Y63" i="3"/>
  <c r="X63" i="3"/>
  <c r="W63" i="3"/>
  <c r="V63" i="3"/>
  <c r="U63" i="3"/>
  <c r="T63" i="3"/>
  <c r="AC62" i="3"/>
  <c r="AC63" i="3" s="1"/>
  <c r="P63" i="3"/>
  <c r="M63" i="3"/>
  <c r="L63" i="3"/>
  <c r="O63" i="3"/>
  <c r="N63" i="3"/>
  <c r="K63" i="3"/>
  <c r="J63" i="3"/>
  <c r="I63" i="3"/>
  <c r="H63" i="3"/>
  <c r="G63" i="3"/>
  <c r="F63" i="3"/>
  <c r="E63" i="3"/>
  <c r="D63" i="3"/>
  <c r="C63" i="3"/>
  <c r="L14" i="12" l="1"/>
  <c r="C55" i="12"/>
  <c r="J14" i="12"/>
  <c r="AC189" i="3"/>
  <c r="F46" i="16" s="1"/>
  <c r="AC192" i="3"/>
  <c r="F47" i="16" s="1"/>
  <c r="C24" i="16"/>
  <c r="F22" i="16" s="1"/>
  <c r="F12" i="1"/>
  <c r="C40" i="16"/>
  <c r="F11" i="1"/>
  <c r="C8" i="16"/>
  <c r="F6" i="1"/>
  <c r="C9" i="16"/>
  <c r="F7" i="1"/>
  <c r="C32" i="12"/>
  <c r="D32" i="12"/>
  <c r="F32" i="12"/>
  <c r="E32" i="12"/>
  <c r="C24" i="14"/>
  <c r="C32" i="14" s="1"/>
  <c r="C22" i="11"/>
  <c r="G32" i="12"/>
  <c r="C42" i="12"/>
  <c r="C59" i="12"/>
  <c r="I5" i="6"/>
  <c r="H10" i="6"/>
  <c r="H22" i="6"/>
  <c r="M172" i="3"/>
  <c r="M173" i="3"/>
  <c r="M177" i="3"/>
  <c r="N172" i="3"/>
  <c r="N173" i="3"/>
  <c r="N177" i="3"/>
  <c r="O172" i="3"/>
  <c r="O173" i="3"/>
  <c r="O177" i="3"/>
  <c r="P172" i="3"/>
  <c r="P173" i="3"/>
  <c r="P177" i="3"/>
  <c r="Q172" i="3"/>
  <c r="Q173" i="3"/>
  <c r="AC157" i="3"/>
  <c r="AC175" i="3"/>
  <c r="AC183" i="3" s="1"/>
  <c r="Q157" i="3"/>
  <c r="Q175" i="3"/>
  <c r="Q183" i="3" s="1"/>
  <c r="AC170" i="3"/>
  <c r="AC179" i="3"/>
  <c r="AC134" i="3"/>
  <c r="AC164" i="3"/>
  <c r="F33" i="16" s="1"/>
  <c r="AC163" i="3"/>
  <c r="F31" i="16" s="1"/>
  <c r="D10" i="8"/>
  <c r="G10" i="8"/>
  <c r="C5" i="10"/>
  <c r="C7" i="10" s="1"/>
  <c r="C17" i="10" s="1"/>
  <c r="C25" i="11"/>
  <c r="J6" i="7"/>
  <c r="I27" i="7"/>
  <c r="I19" i="7"/>
  <c r="H35" i="7"/>
  <c r="H22" i="8" s="1"/>
  <c r="H28" i="8" s="1"/>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I14" i="8"/>
  <c r="I19" i="8"/>
  <c r="I26" i="8"/>
  <c r="J5" i="8"/>
  <c r="E23" i="7"/>
  <c r="D23" i="7"/>
  <c r="F23" i="7"/>
  <c r="G23" i="7"/>
  <c r="C23" i="7"/>
  <c r="J35" i="7"/>
  <c r="J9" i="5"/>
  <c r="K21" i="5"/>
  <c r="J23" i="5"/>
  <c r="J35" i="5" s="1"/>
  <c r="I6" i="5"/>
  <c r="I8" i="5"/>
  <c r="I15" i="5"/>
  <c r="J5" i="5"/>
  <c r="J6" i="14" s="1"/>
  <c r="J40" i="14" s="1"/>
  <c r="I12" i="5"/>
  <c r="I20" i="5"/>
  <c r="I33" i="5"/>
  <c r="AC181" i="3" l="1"/>
  <c r="AC182" i="3"/>
  <c r="C42" i="16" s="1"/>
  <c r="C41" i="16"/>
  <c r="F10" i="1"/>
  <c r="F24" i="16"/>
  <c r="F14" i="1"/>
  <c r="C26" i="16"/>
  <c r="F23" i="16" s="1"/>
  <c r="F13" i="1"/>
  <c r="AC193" i="3"/>
  <c r="F3" i="1"/>
  <c r="C38" i="16"/>
  <c r="F9" i="1"/>
  <c r="C26" i="14"/>
  <c r="C60" i="12"/>
  <c r="C43" i="12"/>
  <c r="J5" i="6"/>
  <c r="I10" i="6"/>
  <c r="I22" i="6"/>
  <c r="Q177" i="3"/>
  <c r="C6" i="16"/>
  <c r="AC171" i="3"/>
  <c r="F4" i="1" s="1"/>
  <c r="AC178" i="3"/>
  <c r="AC176" i="3"/>
  <c r="D27" i="8"/>
  <c r="D28" i="8" s="1"/>
  <c r="G27" i="8"/>
  <c r="G28" i="8" s="1"/>
  <c r="G42" i="14"/>
  <c r="D42" i="14"/>
  <c r="G7" i="12"/>
  <c r="D7" i="12"/>
  <c r="C16" i="10"/>
  <c r="C20" i="10" s="1"/>
  <c r="H8" i="12"/>
  <c r="H7" i="11"/>
  <c r="J34" i="7"/>
  <c r="J41" i="7"/>
  <c r="J12" i="7"/>
  <c r="J19" i="7"/>
  <c r="J27" i="7"/>
  <c r="K6" i="7"/>
  <c r="C7" i="12"/>
  <c r="C33" i="12" s="1"/>
  <c r="C42" i="14"/>
  <c r="C49" i="14" s="1"/>
  <c r="C27" i="8"/>
  <c r="C28" i="8" s="1"/>
  <c r="F7" i="12"/>
  <c r="F42" i="14"/>
  <c r="F27" i="8"/>
  <c r="F28" i="8" s="1"/>
  <c r="E7" i="12"/>
  <c r="E42" i="14"/>
  <c r="E27" i="8"/>
  <c r="E28" i="8" s="1"/>
  <c r="H17" i="12"/>
  <c r="H11" i="12"/>
  <c r="H27" i="12"/>
  <c r="H22" i="12"/>
  <c r="I5" i="12"/>
  <c r="I6" i="11"/>
  <c r="I46" i="14"/>
  <c r="I42" i="14"/>
  <c r="I44" i="14"/>
  <c r="I48" i="14" s="1"/>
  <c r="J41" i="14"/>
  <c r="K7" i="14"/>
  <c r="H49" i="14"/>
  <c r="J26" i="8"/>
  <c r="J19" i="8"/>
  <c r="J14" i="8"/>
  <c r="K5" i="8"/>
  <c r="K34" i="5"/>
  <c r="K23" i="5"/>
  <c r="K35" i="5" s="1"/>
  <c r="K9" i="5"/>
  <c r="L21" i="5"/>
  <c r="L34" i="5" s="1"/>
  <c r="J8" i="5"/>
  <c r="J6" i="5"/>
  <c r="I7" i="5"/>
  <c r="J7" i="5"/>
  <c r="J15" i="5"/>
  <c r="K5" i="5"/>
  <c r="K6" i="14" s="1"/>
  <c r="K40" i="14" s="1"/>
  <c r="J12" i="5"/>
  <c r="J20" i="5"/>
  <c r="J33" i="5"/>
  <c r="H13" i="5"/>
  <c r="H14" i="5"/>
  <c r="AE6" i="5"/>
  <c r="AA13" i="5"/>
  <c r="F48" i="16" l="1"/>
  <c r="F15" i="1"/>
  <c r="C39" i="16"/>
  <c r="F8" i="1"/>
  <c r="D7" i="11"/>
  <c r="D8" i="12"/>
  <c r="G7" i="11"/>
  <c r="G8" i="12"/>
  <c r="G43" i="14"/>
  <c r="G49" i="14"/>
  <c r="K5" i="6"/>
  <c r="J22" i="6"/>
  <c r="J10" i="6"/>
  <c r="G33" i="12"/>
  <c r="H13" i="12"/>
  <c r="H47" i="14"/>
  <c r="AC172" i="3"/>
  <c r="C11" i="16" s="1"/>
  <c r="C7" i="16"/>
  <c r="AC173" i="3"/>
  <c r="C12" i="16" s="1"/>
  <c r="AC177" i="3"/>
  <c r="D7" i="14"/>
  <c r="D41" i="14" s="1"/>
  <c r="D49" i="14"/>
  <c r="D33" i="12"/>
  <c r="I14" i="12"/>
  <c r="K12" i="7"/>
  <c r="K19" i="7"/>
  <c r="K27" i="7"/>
  <c r="K34" i="7"/>
  <c r="K41" i="7"/>
  <c r="L6" i="7"/>
  <c r="C15" i="11"/>
  <c r="C39" i="12"/>
  <c r="C56" i="12"/>
  <c r="C48" i="12"/>
  <c r="C21" i="14"/>
  <c r="D47" i="14"/>
  <c r="D13" i="12"/>
  <c r="C7" i="11"/>
  <c r="C8" i="12"/>
  <c r="C34" i="12" s="1"/>
  <c r="C7" i="14"/>
  <c r="C41" i="14" s="1"/>
  <c r="F33" i="12"/>
  <c r="F13" i="12"/>
  <c r="F47" i="14"/>
  <c r="F49" i="14"/>
  <c r="F7" i="11"/>
  <c r="F8" i="12"/>
  <c r="F7" i="14"/>
  <c r="F41" i="14" s="1"/>
  <c r="E33" i="12"/>
  <c r="E13" i="12"/>
  <c r="E47" i="14"/>
  <c r="E49" i="14"/>
  <c r="E7" i="11"/>
  <c r="E8" i="12"/>
  <c r="E7" i="14"/>
  <c r="E41" i="14" s="1"/>
  <c r="I17" i="12"/>
  <c r="I11" i="12"/>
  <c r="I27" i="12"/>
  <c r="I22" i="12"/>
  <c r="G47" i="14"/>
  <c r="G13" i="12"/>
  <c r="J5" i="12"/>
  <c r="J6" i="11"/>
  <c r="I49" i="14"/>
  <c r="I47" i="14"/>
  <c r="J44" i="14"/>
  <c r="J48" i="14" s="1"/>
  <c r="J46" i="14"/>
  <c r="J42" i="14"/>
  <c r="L7" i="14"/>
  <c r="K41" i="14"/>
  <c r="K26" i="8"/>
  <c r="K19" i="8"/>
  <c r="K14" i="8"/>
  <c r="L5" i="8"/>
  <c r="K6" i="5"/>
  <c r="K8" i="5"/>
  <c r="L9" i="5"/>
  <c r="L23" i="5"/>
  <c r="L35" i="5" s="1"/>
  <c r="K15" i="5"/>
  <c r="L5" i="5"/>
  <c r="L6" i="14" s="1"/>
  <c r="L40" i="14" s="1"/>
  <c r="K12" i="5"/>
  <c r="K20" i="5"/>
  <c r="K33" i="5"/>
  <c r="I13" i="5"/>
  <c r="AE7" i="5"/>
  <c r="AA14" i="5"/>
  <c r="H16" i="5"/>
  <c r="D34" i="12" l="1"/>
  <c r="D43" i="14"/>
  <c r="G34" i="12"/>
  <c r="H14" i="12"/>
  <c r="D45" i="14"/>
  <c r="L5" i="6"/>
  <c r="K22" i="6"/>
  <c r="K10" i="6"/>
  <c r="L12" i="7"/>
  <c r="L27" i="7"/>
  <c r="L19" i="7"/>
  <c r="L41" i="7"/>
  <c r="L34" i="7"/>
  <c r="K10" i="11"/>
  <c r="L8" i="11"/>
  <c r="L11" i="11" s="1"/>
  <c r="C20" i="11" s="1"/>
  <c r="I10" i="11"/>
  <c r="H10" i="11"/>
  <c r="J10" i="11"/>
  <c r="L10" i="11"/>
  <c r="C44" i="12"/>
  <c r="C6" i="13" s="1"/>
  <c r="C52" i="12"/>
  <c r="C7" i="13" s="1"/>
  <c r="K10" i="14"/>
  <c r="C61" i="12"/>
  <c r="C8" i="13" s="1"/>
  <c r="I10" i="14"/>
  <c r="H10" i="14"/>
  <c r="J10" i="14"/>
  <c r="C45" i="14"/>
  <c r="C43" i="14"/>
  <c r="F34" i="12"/>
  <c r="F14" i="12"/>
  <c r="F46" i="14"/>
  <c r="F45" i="14"/>
  <c r="F43" i="14"/>
  <c r="G46" i="14"/>
  <c r="E34" i="12"/>
  <c r="E14" i="12"/>
  <c r="E43" i="14"/>
  <c r="E46" i="14"/>
  <c r="E45" i="14"/>
  <c r="J17" i="12"/>
  <c r="J22" i="12"/>
  <c r="J27" i="12"/>
  <c r="J11" i="12"/>
  <c r="D14" i="12"/>
  <c r="D46" i="14"/>
  <c r="G14" i="12"/>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L10" i="6" l="1"/>
  <c r="L22" i="6"/>
  <c r="C19" i="11"/>
  <c r="C21" i="11" s="1"/>
  <c r="C24" i="11" s="1"/>
  <c r="C26" i="11" s="1"/>
  <c r="C5" i="13" s="1"/>
  <c r="C29" i="14"/>
  <c r="K27" i="12"/>
  <c r="K11" i="12"/>
  <c r="K17" i="12"/>
  <c r="K22" i="12"/>
  <c r="L5" i="12"/>
  <c r="L6" i="11"/>
  <c r="L42" i="14"/>
  <c r="L46" i="14"/>
  <c r="L44" i="14"/>
  <c r="L48" i="14" s="1"/>
  <c r="K47" i="14"/>
  <c r="K49" i="14"/>
  <c r="L7" i="5"/>
  <c r="I16" i="5"/>
  <c r="K13" i="5"/>
  <c r="J16" i="5"/>
  <c r="C9" i="13" l="1"/>
  <c r="C11" i="13" s="1"/>
  <c r="C31" i="14"/>
  <c r="C34" i="14" s="1"/>
  <c r="C36" i="14" s="1"/>
  <c r="C16" i="14" s="1"/>
  <c r="L11" i="12"/>
  <c r="L17" i="12"/>
  <c r="L22" i="12"/>
  <c r="L27" i="12"/>
  <c r="L49" i="14"/>
  <c r="L47" i="14"/>
  <c r="K14" i="5"/>
  <c r="L13" i="5"/>
  <c r="K16" i="5" l="1"/>
  <c r="L14" i="5"/>
  <c r="L16" i="5" l="1"/>
  <c r="AC59" i="3" l="1"/>
  <c r="AA6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tc={209749E1-FB11-B44E-A5F8-63B5C609A92B}</author>
    <author>tc={2CC87C03-C688-7A48-AFF8-37BA858A01DD}</author>
    <author>tc={BD518828-4CC2-0B4C-8B09-D92EFD9BB7AB}</author>
    <author>tc={9D8CB7E8-8C73-9749-8D8A-8250F244A2BB}</author>
  </authors>
  <commentList>
    <comment ref="B79"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8"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22" authorId="2" shapeId="0" xr:uid="{209749E1-FB11-B44E-A5F8-63B5C609A92B}">
      <text>
        <t>[Threaded comment]
Your version of Excel allows you to read this threaded comment; however, any edits to it will get removed if the file is opened in a newer version of Excel. Learn more: https://go.microsoft.com/fwlink/?linkid=870924
Comment:
    Actual number</t>
      </text>
    </comment>
    <comment ref="B123" authorId="3" shapeId="0" xr:uid="{2CC87C03-C688-7A48-AFF8-37BA858A01DD}">
      <text>
        <t>[Threaded comment]
Your version of Excel allows you to read this threaded comment; however, any edits to it will get removed if the file is opened in a newer version of Excel. Learn more: https://go.microsoft.com/fwlink/?linkid=870924
Comment:
    Actual number</t>
      </text>
    </comment>
    <comment ref="B141" authorId="4"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2" authorId="5"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<sst xmlns="http://schemas.openxmlformats.org/spreadsheetml/2006/main" count="594" uniqueCount="373">
  <si>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</si>
  <si>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</si>
  <si>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</si>
  <si>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</si>
  <si>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</si>
  <si>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</si>
  <si>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</si>
  <si>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</si>
  <si>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</si>
  <si>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</si>
  <si>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</si>
  <si>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</si>
  <si>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</si>
  <si>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</si>
  <si>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</si>
  <si>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</si>
  <si>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</si>
  <si>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</si>
  <si>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</si>
  <si>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</si>
  <si>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</si>
  <si>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</si>
  <si>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</si>
  <si>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</si>
  <si>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</si>
  <si>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</si>
  <si>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</si>
  <si>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</si>
  <si>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</si>
  <si>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</si>
  <si>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</si>
  <si>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</si>
  <si>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</si>
  <si>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</si>
  <si>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</si>
  <si>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</si>
  <si>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</si>
  <si>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</si>
  <si>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</si>
  <si>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</si>
  <si>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</si>
  <si>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</si>
  <si>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</si>
  <si>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</si>
  <si>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</si>
  <si>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</si>
  <si>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</si>
  <si>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</si>
  <si>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</si>
  <si>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</si>
  <si>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Operating lease liabilities</t>
  </si>
  <si>
    <t>Current liabilities</t>
  </si>
  <si>
    <t>Long term liabilities</t>
  </si>
  <si>
    <t>Total liabilities</t>
  </si>
  <si>
    <t>Paid in capital</t>
  </si>
  <si>
    <t>Accumulated other income/loss</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</si>
  <si>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</si>
  <si>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</si>
  <si>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</si>
  <si>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</si>
  <si>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</si>
  <si>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</si>
  <si>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</si>
  <si>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</si>
  <si>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</si>
  <si>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</si>
  <si>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</si>
  <si>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</si>
  <si>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</si>
  <si>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</si>
  <si>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</si>
  <si>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Calculated Operating Cashflow</t>
  </si>
  <si>
    <t>Calculated End Cash</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</si>
  <si>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</si>
  <si>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</si>
  <si>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</si>
  <si>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</si>
  <si>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</si>
  <si>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</si>
  <si>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</si>
  <si>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</si>
  <si>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</si>
  <si>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</si>
  <si>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</si>
  <si>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</si>
  <si>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</si>
  <si>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</si>
  <si>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</si>
  <si>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</si>
  <si>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Revenue per employee</t>
  </si>
  <si>
    <t>Net income per employee</t>
  </si>
  <si>
    <t>Employees growth</t>
  </si>
  <si>
    <t>Revenue per employees growth</t>
  </si>
  <si>
    <t>Net income per employees growth</t>
  </si>
  <si>
    <t>TTM/YTD</t>
  </si>
  <si>
    <t>31.01.2026</t>
  </si>
  <si>
    <t>31.01.2025</t>
  </si>
  <si>
    <t>31.01.2024</t>
  </si>
  <si>
    <t>31.01.2023</t>
  </si>
  <si>
    <t>31.01.2022</t>
  </si>
  <si>
    <t>Q1 2025</t>
  </si>
  <si>
    <t>Q4 2026</t>
  </si>
  <si>
    <t>Q4 2025</t>
  </si>
  <si>
    <t>31.10.2025</t>
  </si>
  <si>
    <t>Q3 2026</t>
  </si>
  <si>
    <t>31.10.2024</t>
  </si>
  <si>
    <t>Q3 2025</t>
  </si>
  <si>
    <t>31.07.2025</t>
  </si>
  <si>
    <t>Q2 2026</t>
  </si>
  <si>
    <t>31.07.2024</t>
  </si>
  <si>
    <t>Q2 2025</t>
  </si>
  <si>
    <t>30.04.2025</t>
  </si>
  <si>
    <t>Q1 2026</t>
  </si>
  <si>
    <t>30.04.2024</t>
  </si>
  <si>
    <t>Unit data and other info</t>
  </si>
  <si>
    <t>Has operating lease</t>
  </si>
  <si>
    <t>Yes</t>
  </si>
  <si>
    <t>Has finance lease</t>
  </si>
  <si>
    <t>No</t>
  </si>
  <si>
    <t>Has debt</t>
  </si>
  <si>
    <t>Change in accounts receivable</t>
  </si>
  <si>
    <t>Change in accounts payable</t>
  </si>
  <si>
    <t>Change in other operating NWC</t>
  </si>
  <si>
    <t>Capitalized software</t>
  </si>
  <si>
    <t>Employee related metrics</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</si>
  <si>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</si>
  <si>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</si>
  <si>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</si>
  <si>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</si>
  <si>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</si>
  <si>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</si>
  <si>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</si>
  <si>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</si>
  <si>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</si>
  <si>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</si>
  <si>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</si>
  <si>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</si>
  <si>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</si>
  <si>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</si>
  <si>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</si>
  <si>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</si>
  <si>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</si>
  <si>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</si>
  <si>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</si>
  <si>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</si>
  <si>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</si>
  <si>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</si>
  <si>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</si>
  <si>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</si>
  <si>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</si>
  <si>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</si>
  <si>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</si>
  <si>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</si>
  <si>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</si>
  <si>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</si>
  <si>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</si>
  <si>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</si>
  <si>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</si>
  <si>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</si>
  <si>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</si>
  <si>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</si>
  <si>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</si>
  <si>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</si>
  <si>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</si>
  <si>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</si>
  <si>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</si>
  <si>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</si>
  <si>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</si>
  <si>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</si>
  <si>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</si>
  <si>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</si>
  <si>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</si>
  <si>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</si>
  <si>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</si>
  <si>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</si>
  <si>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</si>
  <si>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</si>
  <si>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</si>
  <si>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</si>
  <si>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</si>
  <si>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</si>
  <si>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</si>
  <si>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</si>
  <si>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</si>
  <si>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</si>
  <si>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</si>
  <si>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</si>
  <si>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</si>
  <si>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</si>
  <si>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</si>
  <si>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</si>
  <si>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</si>
  <si>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</si>
  <si>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</si>
  <si>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</si>
  <si>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</si>
  <si>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</si>
  <si>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</si>
  <si>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</si>
  <si>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</si>
  <si>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</si>
  <si>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</si>
  <si>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</si>
  <si>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</si>
  <si>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</si>
  <si>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</si>
  <si>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</si>
  <si>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</si>
  <si>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</si>
  <si>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</si>
  <si>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</si>
  <si>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</si>
  <si>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</si>
  <si>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</si>
  <si>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</si>
  <si>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</si>
  <si>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</si>
  <si>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</si>
  <si>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</si>
  <si>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</si>
  <si>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</si>
  <si>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</si>
  <si>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</si>
  <si>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</si>
  <si>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</si>
  <si>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</si>
  <si>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</si>
  <si>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</si>
  <si>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</si>
  <si>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</si>
  <si>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</si>
  <si>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</si>
  <si>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</si>
  <si>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</si>
  <si>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</si>
  <si>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</si>
  <si>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</si>
  <si>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UFCF</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</si>
  <si>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</si>
  <si>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</si>
  <si>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</si>
  <si>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</si>
  <si>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</si>
  <si>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</si>
  <si>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</si>
  <si>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</si>
  <si>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</si>
  <si>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</si>
  <si>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</si>
  <si>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</si>
  <si>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</si>
  <si>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</si>
  <si>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</si>
  <si>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</si>
  <si>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</si>
  <si>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</si>
  <si>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</si>
  <si>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</si>
  <si>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</si>
  <si>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</si>
  <si>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EV/UFCF</t>
  </si>
  <si>
    <t>EV/EBIT valuation</t>
  </si>
  <si>
    <t>Year 5 EBIT</t>
  </si>
  <si>
    <t>Applied EV/EBIT ratio</t>
  </si>
  <si>
    <t>Shares outstanding diluted</t>
  </si>
  <si>
    <t>PV of price per share</t>
  </si>
  <si>
    <t>PS valuation</t>
  </si>
  <si>
    <t>Year 5 sales</t>
  </si>
  <si>
    <t>Applied PS ratio</t>
  </si>
  <si>
    <t>EV/UFCF valuation</t>
  </si>
  <si>
    <t>Year 5 UFCF</t>
  </si>
  <si>
    <t>Applied EV/UFCF ratio</t>
  </si>
  <si>
    <t>AVG target price</t>
  </si>
  <si>
    <t>AVG  target price</t>
  </si>
  <si>
    <t>DCF price</t>
  </si>
  <si>
    <t>EV/EBIT price</t>
  </si>
  <si>
    <t>PS price</t>
  </si>
  <si>
    <t>EV/UFCF price</t>
  </si>
  <si>
    <t>AVG price</t>
  </si>
  <si>
    <t>Current price</t>
  </si>
  <si>
    <t>Upside/Downside</t>
  </si>
  <si>
    <t>Reverse DCF</t>
  </si>
  <si>
    <t>Growth adjustment</t>
  </si>
  <si>
    <t>Current Price</t>
  </si>
  <si>
    <t>Calculated Price</t>
  </si>
  <si>
    <t>UFCF Growth</t>
  </si>
  <si>
    <t>Modify until Calculated Price is very close to Current Price</t>
  </si>
  <si>
    <t>Market cap</t>
  </si>
  <si>
    <t>Enterprise Value</t>
  </si>
  <si>
    <t>Compare Metrics and growth rates</t>
  </si>
  <si>
    <t>UFCF to EBIT margin</t>
  </si>
  <si>
    <t>UFCF to Revenue margin</t>
  </si>
  <si>
    <t>UFCF growth</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</si>
  <si>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</si>
  <si>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</si>
  <si>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</si>
  <si>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</si>
  <si>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</si>
  <si>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</si>
  <si>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</si>
  <si>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</si>
  <si>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</si>
  <si>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</si>
  <si>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</si>
  <si>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</si>
  <si>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</si>
  <si>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</si>
  <si>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</si>
  <si>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</si>
  <si>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</si>
  <si>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</si>
  <si>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</si>
  <si>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</si>
  <si>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</si>
  <si>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</si>
  <si>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</si>
  <si>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</si>
  <si>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</si>
  <si>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</si>
  <si>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</si>
  <si>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</si>
  <si>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</si>
  <si>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</si>
  <si>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</si>
  <si>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</si>
  <si>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</si>
  <si>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</si>
  <si>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</si>
  <si>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</si>
  <si>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</si>
  <si>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</si>
  <si>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</si>
  <si>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</si>
  <si>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</si>
  <si>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</si>
  <si>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</si>
  <si>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</si>
  <si>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</si>
  <si>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</si>
  <si>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</si>
  <si>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</si>
  <si>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</si>
  <si>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</si>
  <si>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</si>
  <si>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</si>
  <si>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</si>
  <si>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</si>
  <si>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</si>
  <si>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Dividend cover</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</si>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</sst>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7"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sz val="12"/>
      <color rgb="FF000000"/>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8">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9" fontId="1" fillId="0" borderId="0" applyFont="0" applyFill="0" applyBorder="0" applyAlignment="0" applyProtection="0"/>
  </cellStyleXfs>
  <cellXfs count="24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4" fontId="0" fillId="2" borderId="4" xfId="0" applyNumberFormat="1" applyFill="1" applyBorder="1" applyAlignment="1">
      <alignment horizontal="left"/>
    </xf>
    <xf numFmtId="3" fontId="0" fillId="2" borderId="6"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167" fontId="9" fillId="12" borderId="0" xfId="0" applyNumberFormat="1" applyFont="1" applyFill="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10" fontId="13" fillId="12" borderId="0" xfId="0" applyNumberFormat="1" applyFont="1" applyFill="1"/>
    <xf numFmtId="9" fontId="11" fillId="2" borderId="0" xfId="1" applyFont="1" applyFill="1"/>
    <xf numFmtId="37" fontId="11" fillId="2" borderId="0" xfId="0" applyNumberFormat="1" applyFont="1" applyFill="1"/>
    <xf numFmtId="0" fontId="14" fillId="2" borderId="0" xfId="0" applyFont="1" applyFill="1" applyAlignment="1">
      <alignment vertical="top"/>
    </xf>
    <xf numFmtId="0" fontId="15" fillId="2" borderId="0" xfId="0" applyFont="1" applyFill="1" applyAlignment="1">
      <alignment vertical="top"/>
    </xf>
    <xf numFmtId="0" fontId="15"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7" fillId="2" borderId="0" xfId="0" applyNumberFormat="1" applyFont="1" applyFill="1"/>
    <xf numFmtId="37" fontId="17"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8" fillId="2" borderId="0" xfId="0" applyNumberFormat="1" applyFont="1" applyFill="1"/>
    <xf numFmtId="37" fontId="18" fillId="2" borderId="14" xfId="0" applyNumberFormat="1" applyFont="1" applyFill="1" applyBorder="1"/>
    <xf numFmtId="37" fontId="7" fillId="2" borderId="0" xfId="0" applyNumberFormat="1" applyFont="1" applyFill="1"/>
    <xf numFmtId="168" fontId="19" fillId="2" borderId="0" xfId="1" applyNumberFormat="1" applyFont="1" applyFill="1"/>
    <xf numFmtId="168" fontId="19" fillId="2" borderId="14" xfId="1" applyNumberFormat="1" applyFont="1" applyFill="1" applyBorder="1"/>
    <xf numFmtId="168" fontId="19" fillId="3" borderId="0" xfId="1" applyNumberFormat="1" applyFont="1" applyFill="1"/>
    <xf numFmtId="38" fontId="20" fillId="12" borderId="0" xfId="0" applyNumberFormat="1" applyFont="1" applyFill="1"/>
    <xf numFmtId="38" fontId="20" fillId="12" borderId="14" xfId="0" applyNumberFormat="1" applyFont="1" applyFill="1" applyBorder="1"/>
    <xf numFmtId="38" fontId="20" fillId="12" borderId="15" xfId="0" applyNumberFormat="1" applyFont="1" applyFill="1" applyBorder="1"/>
    <xf numFmtId="38" fontId="17" fillId="2" borderId="0" xfId="0" applyNumberFormat="1" applyFont="1" applyFill="1"/>
    <xf numFmtId="38" fontId="17" fillId="2" borderId="14" xfId="0" applyNumberFormat="1" applyFont="1" applyFill="1" applyBorder="1"/>
    <xf numFmtId="38" fontId="17" fillId="2" borderId="15" xfId="0" applyNumberFormat="1" applyFont="1" applyFill="1" applyBorder="1"/>
    <xf numFmtId="170" fontId="0" fillId="3" borderId="0" xfId="0" applyNumberFormat="1" applyFill="1"/>
    <xf numFmtId="168" fontId="21" fillId="2" borderId="0" xfId="1" applyNumberFormat="1" applyFont="1" applyFill="1"/>
    <xf numFmtId="168" fontId="21" fillId="2" borderId="14" xfId="1" applyNumberFormat="1" applyFont="1" applyFill="1" applyBorder="1"/>
    <xf numFmtId="37" fontId="0" fillId="3" borderId="0" xfId="0" applyNumberFormat="1" applyFill="1"/>
    <xf numFmtId="168" fontId="17"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7" fillId="12" borderId="0" xfId="0" applyNumberFormat="1" applyFont="1" applyFill="1"/>
    <xf numFmtId="9" fontId="22" fillId="2" borderId="0" xfId="1" applyFont="1" applyFill="1"/>
    <xf numFmtId="9" fontId="22" fillId="2" borderId="14" xfId="1" applyFont="1" applyFill="1" applyBorder="1"/>
    <xf numFmtId="9" fontId="19" fillId="3" borderId="0" xfId="1" applyFont="1" applyFill="1"/>
    <xf numFmtId="9" fontId="22"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9" fillId="2" borderId="0" xfId="1" applyFont="1" applyFill="1"/>
    <xf numFmtId="38" fontId="23" fillId="12" borderId="0" xfId="0" applyNumberFormat="1" applyFont="1" applyFill="1"/>
    <xf numFmtId="38" fontId="23" fillId="12" borderId="14" xfId="0" applyNumberFormat="1" applyFont="1" applyFill="1" applyBorder="1"/>
    <xf numFmtId="38" fontId="7" fillId="2" borderId="0" xfId="0" applyNumberFormat="1" applyFont="1" applyFill="1"/>
    <xf numFmtId="38" fontId="24" fillId="12" borderId="0" xfId="0" applyNumberFormat="1" applyFont="1" applyFill="1"/>
    <xf numFmtId="38" fontId="24"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20" fillId="12" borderId="0" xfId="0" applyNumberFormat="1" applyFont="1" applyFill="1"/>
    <xf numFmtId="37" fontId="20" fillId="12" borderId="14" xfId="0" applyNumberFormat="1" applyFont="1" applyFill="1" applyBorder="1"/>
    <xf numFmtId="38" fontId="23" fillId="14" borderId="0" xfId="0" applyNumberFormat="1" applyFont="1" applyFill="1"/>
    <xf numFmtId="38" fontId="20"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9" fillId="2" borderId="0" xfId="0" applyFont="1" applyFill="1"/>
    <xf numFmtId="168" fontId="19" fillId="12" borderId="0" xfId="1" applyNumberFormat="1" applyFont="1" applyFill="1"/>
    <xf numFmtId="168" fontId="19"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7" fillId="2" borderId="0" xfId="0" applyNumberFormat="1" applyFont="1" applyFill="1"/>
    <xf numFmtId="10" fontId="17"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5"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6" fillId="12" borderId="0" xfId="0" applyNumberFormat="1" applyFont="1" applyFill="1"/>
    <xf numFmtId="168" fontId="26" fillId="12" borderId="14" xfId="0" applyNumberFormat="1" applyFont="1" applyFill="1" applyBorder="1"/>
    <xf numFmtId="168" fontId="26" fillId="16" borderId="0" xfId="0" applyNumberFormat="1" applyFont="1" applyFill="1"/>
    <xf numFmtId="0" fontId="17" fillId="2" borderId="0" xfId="0" applyFont="1" applyFill="1"/>
    <xf numFmtId="0" fontId="17"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7" fillId="2" borderId="0" xfId="0" applyNumberFormat="1" applyFont="1" applyFill="1"/>
    <xf numFmtId="3" fontId="17" fillId="2" borderId="14" xfId="0" applyNumberFormat="1" applyFont="1" applyFill="1" applyBorder="1"/>
    <xf numFmtId="10" fontId="0" fillId="2" borderId="0" xfId="0" applyNumberFormat="1" applyFill="1"/>
    <xf numFmtId="167" fontId="0" fillId="2" borderId="0" xfId="0" applyNumberFormat="1" applyFill="1"/>
    <xf numFmtId="4" fontId="0" fillId="2" borderId="0" xfId="0" applyNumberFormat="1" applyFill="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9" fillId="3" borderId="0" xfId="1" applyNumberFormat="1" applyFont="1" applyFill="1"/>
    <xf numFmtId="10" fontId="19"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16"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0" fontId="0" fillId="7" borderId="3" xfId="0" applyFill="1" applyBorder="1"/>
    <xf numFmtId="0" fontId="0" fillId="7" borderId="5" xfId="0" applyFill="1" applyBorder="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cellXfs>
  <cellStyles count="2">
    <cellStyle name="Normal" xfId="0" builtinId="0"/>
    <cellStyle name="Percent" xfId="1" builtinId="5"/>
  </cellStyles>
  <dxfs count="6">
    <dxf>
      <fill>
        <patternFill>
          <bgColor theme="9" tint="0.59996337778862885"/>
        </patternFill>
      </fill>
    </dxf>
    <dxf>
      <fill>
        <patternFill>
          <bgColor theme="0"/>
        </patternFill>
      </fill>
    </dxf>
    <dxf>
      <fill>
        <patternFill>
          <bgColor theme="5" tint="0.39994506668294322"/>
        </patternFill>
      </fill>
    </dxf>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17/06/relationships/rdSupportingPropertyBag" Target="richData/rdsupportingpropertybag.xml"/><Relationship Id="rId30"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45.86</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0.05</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https://www.bing.com/financeapi/forcetrigger?t=c1dbvh&amp;q=XNYS%3aPATH&amp;form=skydnc</v>
    <v>Learn more on Bing</v>
  </rv>
  <rv s="1">
    <v>0</v>
    <v>UIPATH, INC. (XNYS:PATH)</v>
    <v>2</v>
    <v>3</v>
    <v>Finance</v>
    <v>4</v>
    <v>en-US</v>
    <v>c1dbvh</v>
    <v>268435456</v>
    <v>1</v>
    <v>Powered by Refinitiv</v>
    <v>19.84</v>
    <v>9.2002000000000006</v>
    <v>0.92749999999999999</v>
    <v>0.36</v>
    <v>3.4058999999999999E-2</v>
    <v>-0.01</v>
    <v>-9.1490000000000007E-4</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11.1099</v>
    <v>Software &amp; IT Services</v>
    <v>Stock</v>
    <v>46164.999985404691</v>
    <v>0</v>
    <v>10.67</v>
    <v>5688446362</v>
    <v>UIPATH, INC.</v>
    <v>UIPATH, INC.</v>
    <v>10.7</v>
    <v>21.019200000000001</v>
    <v>10.57</v>
    <v>10.93</v>
    <v>10.92</v>
    <v>520443400</v>
    <v>PATH</v>
    <v>UIPATH, INC. (XNYS:PATH)</v>
    <v>39347026</v>
    <v>29517272</v>
    <v>2015</v>
  </rv>
  <rv s="2">
    <v>1</v>
  </rv>
</rvData>
</file>

<file path=xl/richData/rdrichvaluestructure.xml><?xml version="1.0" encoding="utf-8"?>
<rvStructures xmlns="http://schemas.microsoft.com/office/spreadsheetml/2017/richdata" count="3">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79" dT="2026-02-17T21:45:28.65" personId="{A0F62302-F8D3-B346-B5DF-839B413AE710}" id="{22B2B3EF-EBF6-0D4F-BF74-BA371A77FD6F}">
    <text>Actual number</text>
  </threadedComment>
  <threadedComment ref="B118"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22" dT="2026-04-29T20:34:03.37" personId="{A0F62302-F8D3-B346-B5DF-839B413AE710}" id="{209749E1-FB11-B44E-A5F8-63B5C609A92B}">
    <text>Actual number</text>
  </threadedComment>
  <threadedComment ref="B123" dT="2026-04-29T20:34:17.66" personId="{A0F62302-F8D3-B346-B5DF-839B413AE710}" id="{2CC87C03-C688-7A48-AFF8-37BA858A01DD}">
    <text>Actual number</text>
  </threadedComment>
  <threadedComment ref="B141" dT="2026-05-20T20:26:42.93" personId="{A0F62302-F8D3-B346-B5DF-839B413AE710}" id="{BD518828-4CC2-0B4C-8B09-D92EFD9BB7AB}">
    <text>Actual value</text>
  </threadedComment>
  <threadedComment ref="B142"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27"/>
  <sheetViews>
    <sheetView tabSelected="1" topLeftCell="A11" zoomScale="174" workbookViewId="0">
      <selection activeCell="H7" sqref="H7"/>
    </sheetView>
  </sheetViews>
  <sheetFormatPr baseColWidth="10" defaultRowHeight="16" x14ac:dyDescent="0.2"/>
  <cols>
    <col min="1" max="1" width="2.83203125" style="1" customWidth="1"/>
    <col min="2" max="2" width="22" style="1" customWidth="1"/>
    <col min="3" max="3" width="28.1640625" style="1" customWidth="1"/>
    <col min="4" max="4" width="4.33203125" style="1" customWidth="1"/>
    <col min="5" max="5" width="19.1640625" style="1" customWidth="1"/>
    <col min="6" max="6" width="14.5" style="1" customWidth="1"/>
    <col min="7" max="16384" width="10.83203125" style="1"/>
  </cols>
  <sheetData>
    <row r="1" spans="2:6" ht="11" customHeight="1" x14ac:dyDescent="0.2"/>
    <row r="2" spans="2:6" x14ac:dyDescent="0.2">
      <c r="B2" s="216" t="s">
        <v>18</v>
      </c>
      <c r="C2" s="217"/>
      <c r="E2" s="216" t="s">
        <v>361</v>
      </c>
      <c r="F2" s="217"/>
    </row>
    <row r="3" spans="2:6" x14ac:dyDescent="0.2">
      <c r="B3" s="228" t="s">
        <v>11</v>
      </c>
      <c r="C3" s="5" t="e" vm="1">
        <v>#VALUE!</v>
      </c>
      <c r="D3" s="2"/>
      <c r="E3" s="231" t="s">
        <v>311</v>
      </c>
      <c r="F3" s="233">
        <f ca="1">Statement!AC170</f>
        <v>5800081.0099999998</v>
      </c>
    </row>
    <row r="4" spans="2:6" x14ac:dyDescent="0.2">
      <c r="B4" s="228" t="s">
        <v>0</v>
      </c>
      <c r="C4" s="5" t="str" cm="1">
        <f t="array" aca="1" ref="C4" ca="1">_FV(C3,"Ticker symbol",TRUE)</f>
        <v>PATH</v>
      </c>
      <c r="E4" s="232" t="s">
        <v>243</v>
      </c>
      <c r="F4" s="234">
        <f ca="1">Statement!AC171</f>
        <v>4327595.01</v>
      </c>
    </row>
    <row r="5" spans="2:6" x14ac:dyDescent="0.2">
      <c r="B5" s="228" t="s">
        <v>1</v>
      </c>
      <c r="C5" s="6" cm="1">
        <f t="array" aca="1" ref="C5" ca="1">_FV(C3,"Price",TRUE)</f>
        <v>10.93</v>
      </c>
      <c r="E5" s="231" t="s">
        <v>315</v>
      </c>
      <c r="F5" s="235">
        <f>Statement!AC25</f>
        <v>0.52</v>
      </c>
    </row>
    <row r="6" spans="2:6" x14ac:dyDescent="0.2">
      <c r="B6" s="228" t="s">
        <v>2</v>
      </c>
      <c r="C6" s="6" cm="1">
        <f t="array" aca="1" ref="C6" ca="1">_FV(C3,"Price (Extended hours)",TRUE)</f>
        <v>10.92</v>
      </c>
      <c r="E6" s="231" t="s">
        <v>309</v>
      </c>
      <c r="F6" s="236">
        <f ca="1">Statement!AC167</f>
        <v>21.019230769230766</v>
      </c>
    </row>
    <row r="7" spans="2:6" x14ac:dyDescent="0.2">
      <c r="B7" s="228" t="s">
        <v>3</v>
      </c>
      <c r="C7" s="6" cm="1">
        <f t="array" aca="1" ref="C7" ca="1">_FV(C3,"Change")</f>
        <v>0.36</v>
      </c>
      <c r="E7" s="232" t="s">
        <v>256</v>
      </c>
      <c r="F7" s="237">
        <f ca="1">Statement!AC168</f>
        <v>3.6911582872420481</v>
      </c>
    </row>
    <row r="8" spans="2:6" x14ac:dyDescent="0.2">
      <c r="B8" s="228" t="s">
        <v>4</v>
      </c>
      <c r="C8" s="6" cm="1">
        <f t="array" aca="1" ref="C8" ca="1">_FV(C3,"Change (extended hours)",TRUE)</f>
        <v>-0.01</v>
      </c>
      <c r="E8" s="231" t="s">
        <v>337</v>
      </c>
      <c r="F8" s="238">
        <f ca="1">Statement!AC178</f>
        <v>1.0600541594849208E-2</v>
      </c>
    </row>
    <row r="9" spans="2:6" x14ac:dyDescent="0.2">
      <c r="B9" s="228" t="s">
        <v>5</v>
      </c>
      <c r="C9" s="76" cm="1">
        <f t="array" aca="1" ref="C9" ca="1">_FV(C3,"Change (%)",TRUE)</f>
        <v>3.4058999999999999E-2</v>
      </c>
      <c r="E9" s="231" t="s">
        <v>362</v>
      </c>
      <c r="F9" s="238">
        <f ca="1">Statement!AC179</f>
        <v>4.7575480329368716E-2</v>
      </c>
    </row>
    <row r="10" spans="2:6" x14ac:dyDescent="0.2">
      <c r="B10" s="228" t="s">
        <v>6</v>
      </c>
      <c r="C10" s="76" cm="1">
        <f t="array" aca="1" ref="C10" ca="1">_FV(C3,"Change % (extended hours)",TRUE)</f>
        <v>-9.1490000000000007E-4</v>
      </c>
      <c r="E10" s="231" t="s">
        <v>367</v>
      </c>
      <c r="F10" s="238">
        <f ca="1">Statement!AC181</f>
        <v>5.674075921225797E-2</v>
      </c>
    </row>
    <row r="11" spans="2:6" x14ac:dyDescent="0.2">
      <c r="B11" s="228" t="s">
        <v>7</v>
      </c>
      <c r="C11" s="7" cm="1">
        <f t="array" aca="1" ref="C11" ca="1">_FV(C3,"52 week high",TRUE)</f>
        <v>19.84</v>
      </c>
      <c r="E11" s="232" t="s">
        <v>363</v>
      </c>
      <c r="F11" s="239">
        <f ca="1">Statement!AC180</f>
        <v>0</v>
      </c>
    </row>
    <row r="12" spans="2:6" x14ac:dyDescent="0.2">
      <c r="B12" s="228" t="s">
        <v>8</v>
      </c>
      <c r="C12" s="7" cm="1">
        <f t="array" aca="1" ref="C12" ca="1">_FV(C3,"52 week low",TRUE)</f>
        <v>9.2002000000000006</v>
      </c>
      <c r="E12" s="231" t="s">
        <v>133</v>
      </c>
      <c r="F12" s="238">
        <f>Statement!AC132</f>
        <v>8.8805359838953199E-2</v>
      </c>
    </row>
    <row r="13" spans="2:6" x14ac:dyDescent="0.2">
      <c r="B13" s="228" t="s">
        <v>9</v>
      </c>
      <c r="C13" s="7" cm="1">
        <f t="array" aca="1" ref="C13" ca="1">_FV(C3,"Beta")</f>
        <v>0.92749999999999999</v>
      </c>
      <c r="E13" s="231" t="s">
        <v>135</v>
      </c>
      <c r="F13" s="238">
        <f>Statement!AC134</f>
        <v>0.13556696550972422</v>
      </c>
    </row>
    <row r="14" spans="2:6" x14ac:dyDescent="0.2">
      <c r="B14" s="229" t="s">
        <v>10</v>
      </c>
      <c r="C14" s="8" cm="1">
        <f t="array" aca="1" ref="C14" ca="1">_FV(C3,"Volume average",TRUE)</f>
        <v>29517272</v>
      </c>
      <c r="E14" s="232" t="s">
        <v>136</v>
      </c>
      <c r="F14" s="239">
        <f>Statement!AC157</f>
        <v>9.3033776374731397E-2</v>
      </c>
    </row>
    <row r="15" spans="2:6" x14ac:dyDescent="0.2">
      <c r="E15" s="231" t="s">
        <v>364</v>
      </c>
      <c r="F15" s="238">
        <f ca="1">Statement!AC193</f>
        <v>0.25387335064135597</v>
      </c>
    </row>
    <row r="16" spans="2:6" x14ac:dyDescent="0.2">
      <c r="E16" s="232" t="s">
        <v>369</v>
      </c>
      <c r="F16" s="237">
        <f>Statement!AC192</f>
        <v>2.8105061440443424</v>
      </c>
    </row>
    <row r="17" spans="2:9" x14ac:dyDescent="0.2">
      <c r="B17" s="218" t="s">
        <v>114</v>
      </c>
      <c r="C17" s="218"/>
      <c r="E17" s="230" t="s">
        <v>370</v>
      </c>
      <c r="F17" s="240">
        <f>Statement!AC188</f>
        <v>0.22012147206199109</v>
      </c>
    </row>
    <row r="18" spans="2:9" x14ac:dyDescent="0.2">
      <c r="B18" s="230" t="s">
        <v>12</v>
      </c>
      <c r="C18" s="72" t="s">
        <v>14</v>
      </c>
      <c r="E18" s="231" t="s">
        <v>371</v>
      </c>
      <c r="F18" s="236">
        <f>Statement!AC161</f>
        <v>117.91746855390694</v>
      </c>
      <c r="I18" s="52"/>
    </row>
    <row r="19" spans="2:9" x14ac:dyDescent="0.2">
      <c r="B19" s="230" t="s">
        <v>13</v>
      </c>
      <c r="C19" s="73">
        <v>1000</v>
      </c>
      <c r="E19" s="231" t="s">
        <v>330</v>
      </c>
      <c r="F19" s="236">
        <f>Statement!AC163</f>
        <v>-0.70704657236408375</v>
      </c>
    </row>
    <row r="20" spans="2:9" x14ac:dyDescent="0.2">
      <c r="B20" s="230" t="s">
        <v>115</v>
      </c>
      <c r="C20" s="72" t="s">
        <v>116</v>
      </c>
      <c r="E20" s="232" t="s">
        <v>372</v>
      </c>
      <c r="F20" s="237">
        <f>Statement!AC164</f>
        <v>2.2676594254840001</v>
      </c>
    </row>
    <row r="21" spans="2:9" x14ac:dyDescent="0.2">
      <c r="B21" s="230" t="s">
        <v>117</v>
      </c>
      <c r="C21" s="72" t="s">
        <v>118</v>
      </c>
      <c r="I21" s="52"/>
    </row>
    <row r="22" spans="2:9" x14ac:dyDescent="0.2">
      <c r="B22" s="230" t="s">
        <v>119</v>
      </c>
      <c r="C22" s="72" t="s">
        <v>118</v>
      </c>
    </row>
    <row r="25" spans="2:9" x14ac:dyDescent="0.2">
      <c r="B25" s="218" t="s">
        <v>138</v>
      </c>
      <c r="C25" s="218"/>
    </row>
    <row r="26" spans="2:9" x14ac:dyDescent="0.2">
      <c r="B26" s="230" t="s">
        <v>139</v>
      </c>
      <c r="C26" s="200">
        <v>0.21</v>
      </c>
    </row>
    <row r="27" spans="2:9" x14ac:dyDescent="0.2">
      <c r="B27" s="230" t="s">
        <v>226</v>
      </c>
      <c r="C27" s="200">
        <v>0</v>
      </c>
    </row>
  </sheetData>
  <mergeCells count="4">
    <mergeCell ref="B2:C2"/>
    <mergeCell ref="B17:C17"/>
    <mergeCell ref="B25:C25"/>
    <mergeCell ref="E2:F2"/>
  </mergeCells>
  <conditionalFormatting sqref="C7:C10">
    <cfRule type="cellIs" dxfId="5" priority="4" operator="lessThan">
      <formula>0</formula>
    </cfRule>
    <cfRule type="cellIs" dxfId="4" priority="5" operator="equal">
      <formula>0</formula>
    </cfRule>
    <cfRule type="cellIs" dxfId="3"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193"/>
  <sheetViews>
    <sheetView zoomScale="170" zoomScaleNormal="150" workbookViewId="0">
      <pane xSplit="2" ySplit="3" topLeftCell="W159" activePane="bottomRight" state="frozen"/>
      <selection pane="topRight" activeCell="C1" sqref="C1"/>
      <selection pane="bottomLeft" activeCell="A4" sqref="A4"/>
      <selection pane="bottomRight" activeCell="AC183" sqref="AC183"/>
    </sheetView>
  </sheetViews>
  <sheetFormatPr baseColWidth="10" defaultRowHeight="16" outlineLevelRow="2" outlineLevelCol="1" x14ac:dyDescent="0.2"/>
  <cols>
    <col min="1" max="1" width="3.6640625" style="1" customWidth="1"/>
    <col min="2" max="2" width="33.83203125" style="22" customWidth="1"/>
    <col min="3" max="8" width="12" style="1" customWidth="1" outlineLevel="1"/>
    <col min="9" max="9" width="10.83203125" style="1" customWidth="1" outlineLevel="1"/>
    <col min="10" max="10" width="12" style="1" customWidth="1" outlineLevel="1"/>
    <col min="11" max="11" width="10.83203125" style="1" customWidth="1" outlineLevel="1"/>
    <col min="12" max="12" width="10.83203125" style="1" customWidth="1"/>
    <col min="13" max="13" width="10.6640625" style="1" customWidth="1"/>
    <col min="14" max="14" width="10.83203125" style="1" customWidth="1"/>
    <col min="15" max="16" width="12" style="1" bestFit="1" customWidth="1"/>
    <col min="17" max="17" width="11.33203125" style="1" bestFit="1" customWidth="1"/>
    <col min="18" max="27" width="10.83203125" style="1"/>
    <col min="28" max="28" width="6.1640625" style="1" customWidth="1"/>
    <col min="29" max="16384" width="10.83203125" style="1"/>
  </cols>
  <sheetData>
    <row r="1" spans="1:31" x14ac:dyDescent="0.2">
      <c r="B1" s="1"/>
    </row>
    <row r="2" spans="1:31" s="12" customFormat="1" x14ac:dyDescent="0.2">
      <c r="A2" s="9"/>
      <c r="B2" s="10" t="s">
        <v>16</v>
      </c>
      <c r="C2" s="11"/>
      <c r="D2" s="11"/>
      <c r="E2" s="11"/>
      <c r="F2" s="11"/>
      <c r="G2" s="11"/>
      <c r="H2" s="11"/>
      <c r="I2" s="11"/>
      <c r="M2" s="12" t="s">
        <v>99</v>
      </c>
      <c r="N2" s="12" t="s">
        <v>98</v>
      </c>
      <c r="O2" s="12" t="s">
        <v>97</v>
      </c>
      <c r="P2" s="12" t="s">
        <v>96</v>
      </c>
      <c r="Q2" s="12" t="s">
        <v>95</v>
      </c>
      <c r="R2" s="9"/>
      <c r="S2" s="9"/>
      <c r="T2" s="12" t="s">
        <v>113</v>
      </c>
      <c r="U2" s="12" t="s">
        <v>109</v>
      </c>
      <c r="V2" s="12" t="s">
        <v>105</v>
      </c>
      <c r="W2" s="12" t="s">
        <v>96</v>
      </c>
      <c r="X2" s="12" t="s">
        <v>111</v>
      </c>
      <c r="Y2" s="12" t="s">
        <v>107</v>
      </c>
      <c r="Z2" s="12" t="s">
        <v>103</v>
      </c>
      <c r="AA2" s="12" t="s">
        <v>95</v>
      </c>
      <c r="AB2" s="9"/>
      <c r="AD2" s="9"/>
      <c r="AE2" s="9"/>
    </row>
    <row r="3" spans="1:31" s="15" customFormat="1" x14ac:dyDescent="0.2">
      <c r="A3" s="13"/>
      <c r="B3" s="14" t="s">
        <v>17</v>
      </c>
      <c r="M3" s="15">
        <v>2022</v>
      </c>
      <c r="N3" s="15">
        <v>2023</v>
      </c>
      <c r="O3" s="15">
        <v>2024</v>
      </c>
      <c r="P3" s="15">
        <v>2025</v>
      </c>
      <c r="Q3" s="15">
        <v>2026</v>
      </c>
      <c r="R3" s="13"/>
      <c r="S3" s="13"/>
      <c r="T3" s="15" t="s">
        <v>100</v>
      </c>
      <c r="U3" s="15" t="s">
        <v>110</v>
      </c>
      <c r="V3" s="15" t="s">
        <v>106</v>
      </c>
      <c r="W3" s="15" t="s">
        <v>102</v>
      </c>
      <c r="X3" s="15" t="s">
        <v>112</v>
      </c>
      <c r="Y3" s="15" t="s">
        <v>108</v>
      </c>
      <c r="Z3" s="15" t="s">
        <v>104</v>
      </c>
      <c r="AA3" s="15" t="s">
        <v>101</v>
      </c>
      <c r="AB3" s="13"/>
      <c r="AC3" s="61" t="s">
        <v>94</v>
      </c>
      <c r="AD3" s="13"/>
      <c r="AE3" s="13"/>
    </row>
    <row r="4" spans="1:31" s="17" customFormat="1" ht="17" thickBot="1" x14ac:dyDescent="0.25">
      <c r="A4" s="13"/>
      <c r="B4" s="16" t="s">
        <v>19</v>
      </c>
      <c r="R4" s="13"/>
      <c r="S4" s="13"/>
      <c r="AB4" s="13"/>
      <c r="AD4" s="13"/>
      <c r="AE4" s="13"/>
    </row>
    <row r="5" spans="1:31" s="21" customFormat="1" outlineLevel="1" x14ac:dyDescent="0.2">
      <c r="A5" s="18"/>
      <c r="B5" s="19" t="s">
        <v>20</v>
      </c>
      <c r="C5" s="20"/>
      <c r="D5" s="20"/>
      <c r="E5" s="20"/>
      <c r="F5" s="20"/>
      <c r="G5" s="20"/>
      <c r="H5" s="20"/>
      <c r="I5" s="20"/>
      <c r="J5" s="20"/>
      <c r="K5" s="20"/>
      <c r="L5" s="20"/>
      <c r="M5" s="20">
        <v>892252</v>
      </c>
      <c r="N5" s="20">
        <v>1058581</v>
      </c>
      <c r="O5" s="20">
        <v>1308072</v>
      </c>
      <c r="P5" s="20">
        <v>1429664</v>
      </c>
      <c r="Q5" s="20">
        <v>1610572</v>
      </c>
      <c r="R5" s="18"/>
      <c r="S5" s="18"/>
      <c r="T5" s="20">
        <v>335112</v>
      </c>
      <c r="U5" s="20">
        <v>316253</v>
      </c>
      <c r="V5" s="20">
        <v>354653</v>
      </c>
      <c r="W5" s="20">
        <v>423646</v>
      </c>
      <c r="X5" s="20">
        <v>356624</v>
      </c>
      <c r="Y5" s="20">
        <v>361728</v>
      </c>
      <c r="Z5" s="20">
        <v>411113</v>
      </c>
      <c r="AA5" s="20">
        <v>481107</v>
      </c>
      <c r="AB5" s="18"/>
      <c r="AC5" s="20">
        <f>SUM(X5:AA5)</f>
        <v>1610572</v>
      </c>
      <c r="AD5" s="18"/>
      <c r="AE5" s="18"/>
    </row>
    <row r="6" spans="1:31" outlineLevel="1" x14ac:dyDescent="0.2">
      <c r="B6" s="22" t="s">
        <v>21</v>
      </c>
      <c r="C6" s="23"/>
      <c r="D6" s="23"/>
      <c r="E6" s="23"/>
      <c r="F6" s="23"/>
      <c r="G6" s="23"/>
      <c r="H6" s="23"/>
      <c r="I6" s="23"/>
      <c r="J6" s="23"/>
      <c r="K6" s="23"/>
      <c r="L6" s="23"/>
      <c r="M6" s="23">
        <v>168868</v>
      </c>
      <c r="N6" s="23">
        <v>180051</v>
      </c>
      <c r="O6" s="23">
        <v>195924</v>
      </c>
      <c r="P6" s="23">
        <v>246942</v>
      </c>
      <c r="Q6" s="23">
        <v>270984</v>
      </c>
      <c r="T6" s="23">
        <v>55325</v>
      </c>
      <c r="U6" s="23">
        <v>63320</v>
      </c>
      <c r="V6" s="23">
        <v>63763</v>
      </c>
      <c r="W6" s="23">
        <v>64534</v>
      </c>
      <c r="X6" s="23">
        <v>63857</v>
      </c>
      <c r="Y6" s="23">
        <v>64380</v>
      </c>
      <c r="Z6" s="23">
        <v>68812</v>
      </c>
      <c r="AA6" s="23">
        <v>73935</v>
      </c>
      <c r="AC6" s="23">
        <f t="shared" ref="AC6:AC17" si="0">SUM(X6:AA6)</f>
        <v>270984</v>
      </c>
    </row>
    <row r="7" spans="1:31" s="21" customFormat="1" outlineLevel="1" x14ac:dyDescent="0.2">
      <c r="A7" s="18"/>
      <c r="B7" s="19" t="s">
        <v>22</v>
      </c>
      <c r="C7" s="24">
        <f t="shared" ref="C7:Q7" si="1">C5-C6</f>
        <v>0</v>
      </c>
      <c r="D7" s="24">
        <f t="shared" si="1"/>
        <v>0</v>
      </c>
      <c r="E7" s="24">
        <f t="shared" si="1"/>
        <v>0</v>
      </c>
      <c r="F7" s="24">
        <f t="shared" si="1"/>
        <v>0</v>
      </c>
      <c r="G7" s="24">
        <f t="shared" si="1"/>
        <v>0</v>
      </c>
      <c r="H7" s="24">
        <f t="shared" si="1"/>
        <v>0</v>
      </c>
      <c r="I7" s="24">
        <f t="shared" si="1"/>
        <v>0</v>
      </c>
      <c r="J7" s="24">
        <f t="shared" si="1"/>
        <v>0</v>
      </c>
      <c r="K7" s="24">
        <f t="shared" si="1"/>
        <v>0</v>
      </c>
      <c r="L7" s="24">
        <f t="shared" si="1"/>
        <v>0</v>
      </c>
      <c r="M7" s="24">
        <f t="shared" si="1"/>
        <v>723384</v>
      </c>
      <c r="N7" s="24">
        <f t="shared" si="1"/>
        <v>878530</v>
      </c>
      <c r="O7" s="24">
        <f t="shared" si="1"/>
        <v>1112148</v>
      </c>
      <c r="P7" s="24">
        <f t="shared" si="1"/>
        <v>1182722</v>
      </c>
      <c r="Q7" s="24">
        <f t="shared" si="1"/>
        <v>1339588</v>
      </c>
      <c r="R7" s="18"/>
      <c r="S7" s="18"/>
      <c r="T7" s="24">
        <f t="shared" ref="T7:AA7" si="2">T5-T6</f>
        <v>279787</v>
      </c>
      <c r="U7" s="24">
        <f t="shared" si="2"/>
        <v>252933</v>
      </c>
      <c r="V7" s="24">
        <f t="shared" si="2"/>
        <v>290890</v>
      </c>
      <c r="W7" s="24">
        <f t="shared" si="2"/>
        <v>359112</v>
      </c>
      <c r="X7" s="24">
        <f t="shared" si="2"/>
        <v>292767</v>
      </c>
      <c r="Y7" s="24">
        <f t="shared" si="2"/>
        <v>297348</v>
      </c>
      <c r="Z7" s="24">
        <f t="shared" si="2"/>
        <v>342301</v>
      </c>
      <c r="AA7" s="24">
        <f t="shared" si="2"/>
        <v>407172</v>
      </c>
      <c r="AB7" s="18"/>
      <c r="AC7" s="24">
        <f t="shared" si="0"/>
        <v>1339588</v>
      </c>
      <c r="AD7" s="18"/>
      <c r="AE7" s="18"/>
    </row>
    <row r="8" spans="1:31" outlineLevel="1" x14ac:dyDescent="0.2">
      <c r="B8" s="22" t="s">
        <v>24</v>
      </c>
      <c r="C8" s="23"/>
      <c r="D8" s="23"/>
      <c r="E8" s="23"/>
      <c r="F8" s="23"/>
      <c r="G8" s="23"/>
      <c r="H8" s="23"/>
      <c r="I8" s="23"/>
      <c r="J8" s="23"/>
      <c r="K8" s="23"/>
      <c r="L8" s="23"/>
      <c r="M8" s="23">
        <v>697682</v>
      </c>
      <c r="N8" s="23">
        <v>701558</v>
      </c>
      <c r="O8" s="23">
        <v>713130</v>
      </c>
      <c r="P8" s="23">
        <v>738493</v>
      </c>
      <c r="Q8" s="23">
        <v>683329</v>
      </c>
      <c r="T8" s="23">
        <v>180139</v>
      </c>
      <c r="U8" s="23">
        <v>194330</v>
      </c>
      <c r="V8" s="23">
        <v>187188</v>
      </c>
      <c r="W8" s="23">
        <v>176836</v>
      </c>
      <c r="X8" s="23">
        <v>159661</v>
      </c>
      <c r="Y8" s="23">
        <v>166303</v>
      </c>
      <c r="Z8" s="23">
        <v>179186</v>
      </c>
      <c r="AA8" s="23">
        <v>178179</v>
      </c>
      <c r="AC8" s="23">
        <f t="shared" si="0"/>
        <v>683329</v>
      </c>
    </row>
    <row r="9" spans="1:31" outlineLevel="1" x14ac:dyDescent="0.2">
      <c r="B9" s="22" t="s">
        <v>23</v>
      </c>
      <c r="C9" s="23"/>
      <c r="D9" s="23"/>
      <c r="E9" s="23"/>
      <c r="F9" s="23"/>
      <c r="G9" s="23"/>
      <c r="H9" s="23"/>
      <c r="I9" s="23"/>
      <c r="J9" s="23"/>
      <c r="K9" s="23"/>
      <c r="L9" s="23"/>
      <c r="M9" s="23">
        <v>276657</v>
      </c>
      <c r="N9" s="23">
        <v>285750</v>
      </c>
      <c r="O9" s="23">
        <v>332101</v>
      </c>
      <c r="P9" s="23">
        <v>380682</v>
      </c>
      <c r="Q9" s="23">
        <v>385208</v>
      </c>
      <c r="T9" s="23">
        <v>85603</v>
      </c>
      <c r="U9" s="23">
        <v>98433</v>
      </c>
      <c r="V9" s="23">
        <v>96976</v>
      </c>
      <c r="W9" s="23">
        <v>99670</v>
      </c>
      <c r="X9" s="23">
        <v>94839</v>
      </c>
      <c r="Y9" s="23">
        <v>98341</v>
      </c>
      <c r="Z9" s="23">
        <v>96869</v>
      </c>
      <c r="AA9" s="23">
        <v>95159</v>
      </c>
      <c r="AC9" s="23">
        <f t="shared" si="0"/>
        <v>385208</v>
      </c>
    </row>
    <row r="10" spans="1:31" outlineLevel="1" x14ac:dyDescent="0.2">
      <c r="B10" s="25" t="s">
        <v>25</v>
      </c>
      <c r="C10" s="23"/>
      <c r="D10" s="23"/>
      <c r="E10" s="23"/>
      <c r="F10" s="23"/>
      <c r="G10" s="23"/>
      <c r="H10" s="23"/>
      <c r="I10" s="23"/>
      <c r="J10" s="23"/>
      <c r="K10" s="23"/>
      <c r="L10" s="23"/>
      <c r="M10" s="23">
        <v>249991</v>
      </c>
      <c r="N10" s="23">
        <v>239505</v>
      </c>
      <c r="O10" s="23">
        <v>231637</v>
      </c>
      <c r="P10" s="23">
        <v>226116</v>
      </c>
      <c r="Q10" s="23">
        <v>214291</v>
      </c>
      <c r="T10" s="23">
        <v>63510</v>
      </c>
      <c r="U10" s="23">
        <v>63519</v>
      </c>
      <c r="V10" s="23">
        <v>50090</v>
      </c>
      <c r="W10" s="23">
        <v>48997</v>
      </c>
      <c r="X10" s="23">
        <v>54679</v>
      </c>
      <c r="Y10" s="23">
        <v>52889</v>
      </c>
      <c r="Z10" s="23">
        <v>53175</v>
      </c>
      <c r="AA10" s="23">
        <v>53548</v>
      </c>
      <c r="AC10" s="23">
        <f t="shared" si="0"/>
        <v>214291</v>
      </c>
    </row>
    <row r="11" spans="1:31" outlineLevel="1" x14ac:dyDescent="0.2">
      <c r="B11" s="25" t="s">
        <v>26</v>
      </c>
      <c r="C11" s="26">
        <f t="shared" ref="C11:Q11" si="3">SUM(C8:C10)</f>
        <v>0</v>
      </c>
      <c r="D11" s="26">
        <f t="shared" si="3"/>
        <v>0</v>
      </c>
      <c r="E11" s="26">
        <f t="shared" si="3"/>
        <v>0</v>
      </c>
      <c r="F11" s="26">
        <f t="shared" si="3"/>
        <v>0</v>
      </c>
      <c r="G11" s="26">
        <f t="shared" si="3"/>
        <v>0</v>
      </c>
      <c r="H11" s="26">
        <f t="shared" si="3"/>
        <v>0</v>
      </c>
      <c r="I11" s="26">
        <f t="shared" si="3"/>
        <v>0</v>
      </c>
      <c r="J11" s="26">
        <f t="shared" si="3"/>
        <v>0</v>
      </c>
      <c r="K11" s="26">
        <f t="shared" si="3"/>
        <v>0</v>
      </c>
      <c r="L11" s="26">
        <f t="shared" si="3"/>
        <v>0</v>
      </c>
      <c r="M11" s="26">
        <f t="shared" si="3"/>
        <v>1224330</v>
      </c>
      <c r="N11" s="26">
        <f t="shared" si="3"/>
        <v>1226813</v>
      </c>
      <c r="O11" s="26">
        <f t="shared" si="3"/>
        <v>1276868</v>
      </c>
      <c r="P11" s="26">
        <f t="shared" si="3"/>
        <v>1345291</v>
      </c>
      <c r="Q11" s="26">
        <f t="shared" si="3"/>
        <v>1282828</v>
      </c>
      <c r="T11" s="26">
        <f t="shared" ref="T11" si="4">SUM(T8:T10)</f>
        <v>329252</v>
      </c>
      <c r="U11" s="26">
        <f t="shared" ref="U11" si="5">SUM(U8:U10)</f>
        <v>356282</v>
      </c>
      <c r="V11" s="26">
        <f t="shared" ref="V11" si="6">SUM(V8:V10)</f>
        <v>334254</v>
      </c>
      <c r="W11" s="26">
        <f t="shared" ref="W11" si="7">SUM(W8:W10)</f>
        <v>325503</v>
      </c>
      <c r="X11" s="26">
        <f t="shared" ref="X11" si="8">SUM(X8:X10)</f>
        <v>309179</v>
      </c>
      <c r="Y11" s="26">
        <f t="shared" ref="Y11" si="9">SUM(Y8:Y10)</f>
        <v>317533</v>
      </c>
      <c r="Z11" s="26">
        <f t="shared" ref="Z11" si="10">SUM(Z8:Z10)</f>
        <v>329230</v>
      </c>
      <c r="AA11" s="26">
        <f t="shared" ref="AA11" si="11">SUM(AA8:AA10)</f>
        <v>326886</v>
      </c>
      <c r="AC11" s="26">
        <f t="shared" si="0"/>
        <v>1282828</v>
      </c>
    </row>
    <row r="12" spans="1:31" s="21" customFormat="1" outlineLevel="1" x14ac:dyDescent="0.2">
      <c r="A12" s="18"/>
      <c r="B12" s="19" t="s">
        <v>27</v>
      </c>
      <c r="C12" s="20"/>
      <c r="D12" s="20"/>
      <c r="E12" s="20"/>
      <c r="F12" s="20"/>
      <c r="G12" s="20"/>
      <c r="H12" s="20"/>
      <c r="I12" s="20"/>
      <c r="J12" s="20"/>
      <c r="K12" s="20"/>
      <c r="L12" s="20"/>
      <c r="M12" s="63">
        <v>-500946</v>
      </c>
      <c r="N12" s="63">
        <v>-348283</v>
      </c>
      <c r="O12" s="63">
        <v>-164720</v>
      </c>
      <c r="P12" s="63">
        <v>-162569</v>
      </c>
      <c r="Q12" s="20">
        <v>56760</v>
      </c>
      <c r="R12" s="18"/>
      <c r="S12" s="18"/>
      <c r="T12" s="63">
        <v>-49465</v>
      </c>
      <c r="U12" s="63">
        <v>-103349</v>
      </c>
      <c r="V12" s="63">
        <v>-43364</v>
      </c>
      <c r="W12" s="20">
        <v>33609</v>
      </c>
      <c r="X12" s="63">
        <v>-16412</v>
      </c>
      <c r="Y12" s="63">
        <v>-20185</v>
      </c>
      <c r="Z12" s="20">
        <v>13071</v>
      </c>
      <c r="AA12" s="20">
        <v>80286</v>
      </c>
      <c r="AB12" s="1"/>
      <c r="AC12" s="20">
        <f t="shared" si="0"/>
        <v>56760</v>
      </c>
      <c r="AD12" s="1"/>
      <c r="AE12" s="1"/>
    </row>
    <row r="13" spans="1:31" outlineLevel="1" x14ac:dyDescent="0.2">
      <c r="B13" s="25" t="s">
        <v>28</v>
      </c>
      <c r="C13" s="23"/>
      <c r="D13" s="23"/>
      <c r="E13" s="23"/>
      <c r="F13" s="23"/>
      <c r="G13" s="23"/>
      <c r="H13" s="23"/>
      <c r="I13" s="23"/>
      <c r="J13" s="23"/>
      <c r="K13" s="23"/>
      <c r="L13" s="23"/>
      <c r="M13" s="23">
        <v>3551</v>
      </c>
      <c r="N13" s="23">
        <v>27955</v>
      </c>
      <c r="O13" s="64">
        <v>57130</v>
      </c>
      <c r="P13" s="64">
        <v>49422</v>
      </c>
      <c r="Q13" s="64">
        <v>48023</v>
      </c>
      <c r="T13" s="64">
        <v>13830</v>
      </c>
      <c r="U13" s="64">
        <v>13370</v>
      </c>
      <c r="V13" s="64">
        <v>10055</v>
      </c>
      <c r="W13" s="64">
        <v>12167</v>
      </c>
      <c r="X13" s="64">
        <v>12648</v>
      </c>
      <c r="Y13" s="64">
        <v>12004</v>
      </c>
      <c r="Z13" s="64">
        <v>11701</v>
      </c>
      <c r="AA13" s="64">
        <v>11670</v>
      </c>
      <c r="AC13" s="64">
        <f t="shared" si="0"/>
        <v>48023</v>
      </c>
    </row>
    <row r="14" spans="1:31" outlineLevel="1" x14ac:dyDescent="0.2">
      <c r="B14" s="25" t="s">
        <v>29</v>
      </c>
      <c r="C14" s="23"/>
      <c r="D14" s="23"/>
      <c r="E14" s="23"/>
      <c r="F14" s="23"/>
      <c r="G14" s="23"/>
      <c r="H14" s="23"/>
      <c r="I14" s="23"/>
      <c r="J14" s="23"/>
      <c r="K14" s="23"/>
      <c r="L14" s="23"/>
      <c r="M14" s="64">
        <v>-13488</v>
      </c>
      <c r="N14" s="23">
        <v>2767</v>
      </c>
      <c r="O14" s="64">
        <v>31775</v>
      </c>
      <c r="P14" s="64">
        <v>35047</v>
      </c>
      <c r="Q14" s="64">
        <v>-4155</v>
      </c>
      <c r="T14" s="64">
        <v>10679</v>
      </c>
      <c r="U14" s="64">
        <v>7710</v>
      </c>
      <c r="V14" s="64">
        <v>7810</v>
      </c>
      <c r="W14" s="64">
        <v>8848</v>
      </c>
      <c r="X14" s="64">
        <v>-15964</v>
      </c>
      <c r="Y14" s="64">
        <v>11508</v>
      </c>
      <c r="Z14" s="64">
        <v>-180</v>
      </c>
      <c r="AA14" s="64">
        <v>481</v>
      </c>
      <c r="AC14" s="64">
        <f t="shared" si="0"/>
        <v>-4155</v>
      </c>
    </row>
    <row r="15" spans="1:31" s="21" customFormat="1" outlineLevel="1" x14ac:dyDescent="0.2">
      <c r="A15" s="18"/>
      <c r="B15" s="19" t="s">
        <v>30</v>
      </c>
      <c r="C15" s="20"/>
      <c r="D15" s="20"/>
      <c r="E15" s="20"/>
      <c r="F15" s="20"/>
      <c r="G15" s="20"/>
      <c r="H15" s="20"/>
      <c r="I15" s="20"/>
      <c r="J15" s="20"/>
      <c r="K15" s="20"/>
      <c r="L15" s="20"/>
      <c r="M15" s="63">
        <v>-510883</v>
      </c>
      <c r="N15" s="63">
        <v>-317561</v>
      </c>
      <c r="O15" s="63">
        <v>-75815</v>
      </c>
      <c r="P15" s="63">
        <v>-78100</v>
      </c>
      <c r="Q15" s="20">
        <v>100628</v>
      </c>
      <c r="R15" s="1"/>
      <c r="S15" s="1"/>
      <c r="T15" s="63">
        <v>-24956</v>
      </c>
      <c r="U15" s="63">
        <v>-82269</v>
      </c>
      <c r="V15" s="63">
        <v>-25499</v>
      </c>
      <c r="W15" s="20">
        <v>54624</v>
      </c>
      <c r="X15" s="63">
        <v>-19728</v>
      </c>
      <c r="Y15" s="20">
        <v>3327</v>
      </c>
      <c r="Z15" s="20">
        <v>24592</v>
      </c>
      <c r="AA15" s="20">
        <v>92437</v>
      </c>
      <c r="AB15" s="1"/>
      <c r="AC15" s="20">
        <f t="shared" si="0"/>
        <v>100628</v>
      </c>
      <c r="AD15" s="1"/>
      <c r="AE15" s="1"/>
    </row>
    <row r="16" spans="1:31" outlineLevel="1" x14ac:dyDescent="0.2">
      <c r="B16" s="25" t="s">
        <v>31</v>
      </c>
      <c r="C16" s="23"/>
      <c r="D16" s="23"/>
      <c r="E16" s="23"/>
      <c r="F16" s="23"/>
      <c r="G16" s="23"/>
      <c r="H16" s="23"/>
      <c r="I16" s="23"/>
      <c r="J16" s="23"/>
      <c r="K16" s="23"/>
      <c r="L16" s="23"/>
      <c r="M16" s="64">
        <v>-14703</v>
      </c>
      <c r="N16" s="64">
        <v>-10791</v>
      </c>
      <c r="O16" s="64">
        <v>-14068</v>
      </c>
      <c r="P16" s="64">
        <v>4406</v>
      </c>
      <c r="Q16" s="64">
        <v>181702</v>
      </c>
      <c r="T16" s="64">
        <v>-3780</v>
      </c>
      <c r="U16" s="64">
        <v>-3828</v>
      </c>
      <c r="V16" s="64">
        <v>14844</v>
      </c>
      <c r="W16" s="64">
        <v>-2830</v>
      </c>
      <c r="X16" s="64">
        <v>-2827</v>
      </c>
      <c r="Y16" s="64">
        <v>-1743</v>
      </c>
      <c r="Z16" s="64">
        <v>174247</v>
      </c>
      <c r="AA16" s="64">
        <v>12025</v>
      </c>
      <c r="AC16" s="64">
        <f t="shared" si="0"/>
        <v>181702</v>
      </c>
    </row>
    <row r="17" spans="1:31" s="21" customFormat="1" outlineLevel="1" x14ac:dyDescent="0.2">
      <c r="A17" s="18"/>
      <c r="B17" s="19" t="s">
        <v>32</v>
      </c>
      <c r="C17" s="20"/>
      <c r="D17" s="20"/>
      <c r="E17" s="20"/>
      <c r="F17" s="20"/>
      <c r="G17" s="20"/>
      <c r="H17" s="20"/>
      <c r="I17" s="20"/>
      <c r="J17" s="20"/>
      <c r="K17" s="20"/>
      <c r="L17" s="20"/>
      <c r="M17" s="63">
        <v>-525586</v>
      </c>
      <c r="N17" s="63">
        <v>-328352</v>
      </c>
      <c r="O17" s="63">
        <v>-89883</v>
      </c>
      <c r="P17" s="63">
        <v>-73694</v>
      </c>
      <c r="Q17" s="63">
        <v>282330</v>
      </c>
      <c r="R17" s="62"/>
      <c r="S17" s="62"/>
      <c r="T17" s="63">
        <v>-28736</v>
      </c>
      <c r="U17" s="63">
        <v>-86097</v>
      </c>
      <c r="V17" s="63">
        <v>-10655</v>
      </c>
      <c r="W17" s="63">
        <v>51794</v>
      </c>
      <c r="X17" s="63">
        <v>-22555</v>
      </c>
      <c r="Y17" s="63">
        <v>1584</v>
      </c>
      <c r="Z17" s="63">
        <v>198839</v>
      </c>
      <c r="AA17" s="63">
        <v>104462</v>
      </c>
      <c r="AB17" s="1"/>
      <c r="AC17" s="63">
        <f t="shared" si="0"/>
        <v>282330</v>
      </c>
      <c r="AD17" s="1"/>
      <c r="AE17" s="1"/>
    </row>
    <row r="18" spans="1:31" outlineLevel="1" x14ac:dyDescent="0.2">
      <c r="B18" s="25" t="s">
        <v>33</v>
      </c>
      <c r="C18" s="23"/>
      <c r="D18" s="23"/>
      <c r="E18" s="23"/>
      <c r="F18" s="23"/>
      <c r="G18" s="23"/>
      <c r="H18" s="23"/>
      <c r="I18" s="23"/>
      <c r="J18" s="23"/>
      <c r="K18" s="23"/>
      <c r="L18" s="23"/>
      <c r="M18" s="23">
        <v>454625</v>
      </c>
      <c r="N18" s="23">
        <v>548022</v>
      </c>
      <c r="O18" s="64">
        <v>563855</v>
      </c>
      <c r="P18" s="64">
        <v>559933</v>
      </c>
      <c r="Q18" s="64">
        <v>538125</v>
      </c>
      <c r="R18" s="62"/>
      <c r="S18" s="62"/>
      <c r="T18" s="64">
        <v>569925</v>
      </c>
      <c r="U18" s="64">
        <v>568042</v>
      </c>
      <c r="V18" s="64">
        <v>551036</v>
      </c>
      <c r="W18" s="64">
        <v>550948</v>
      </c>
      <c r="X18" s="64">
        <v>548451</v>
      </c>
      <c r="Y18" s="64">
        <v>536169</v>
      </c>
      <c r="Z18" s="64">
        <v>532255</v>
      </c>
      <c r="AA18" s="64">
        <v>535962</v>
      </c>
      <c r="AC18" s="64">
        <f>AVERAGE(X18:AA18)</f>
        <v>538209.25</v>
      </c>
    </row>
    <row r="19" spans="1:31" outlineLevel="1" x14ac:dyDescent="0.2">
      <c r="B19" s="25" t="s">
        <v>34</v>
      </c>
      <c r="C19" s="27">
        <f t="shared" ref="C19:Q19" si="12">C18*C$80</f>
        <v>0</v>
      </c>
      <c r="D19" s="27">
        <f t="shared" si="12"/>
        <v>0</v>
      </c>
      <c r="E19" s="27">
        <f t="shared" si="12"/>
        <v>0</v>
      </c>
      <c r="F19" s="27">
        <f t="shared" si="12"/>
        <v>0</v>
      </c>
      <c r="G19" s="27">
        <f t="shared" si="12"/>
        <v>0</v>
      </c>
      <c r="H19" s="27">
        <f t="shared" si="12"/>
        <v>0</v>
      </c>
      <c r="I19" s="27">
        <f t="shared" si="12"/>
        <v>0</v>
      </c>
      <c r="J19" s="27">
        <f t="shared" si="12"/>
        <v>0</v>
      </c>
      <c r="K19" s="27">
        <f t="shared" si="12"/>
        <v>0</v>
      </c>
      <c r="L19" s="27">
        <f t="shared" si="12"/>
        <v>0</v>
      </c>
      <c r="M19" s="27">
        <f t="shared" si="12"/>
        <v>454625</v>
      </c>
      <c r="N19" s="27">
        <f t="shared" si="12"/>
        <v>548022</v>
      </c>
      <c r="O19" s="27">
        <f t="shared" si="12"/>
        <v>563855</v>
      </c>
      <c r="P19" s="27">
        <f t="shared" si="12"/>
        <v>559933</v>
      </c>
      <c r="Q19" s="27">
        <f t="shared" si="12"/>
        <v>538125</v>
      </c>
      <c r="T19" s="27">
        <f t="shared" ref="T19:AA19" si="13">T18*T$80</f>
        <v>569925</v>
      </c>
      <c r="U19" s="27">
        <f t="shared" si="13"/>
        <v>568042</v>
      </c>
      <c r="V19" s="27">
        <f t="shared" si="13"/>
        <v>551036</v>
      </c>
      <c r="W19" s="27">
        <f t="shared" si="13"/>
        <v>550948</v>
      </c>
      <c r="X19" s="27">
        <f t="shared" si="13"/>
        <v>548451</v>
      </c>
      <c r="Y19" s="27">
        <f t="shared" si="13"/>
        <v>536169</v>
      </c>
      <c r="Z19" s="27">
        <f t="shared" si="13"/>
        <v>532255</v>
      </c>
      <c r="AA19" s="27">
        <f t="shared" si="13"/>
        <v>535962</v>
      </c>
      <c r="AC19" s="27">
        <f>AC18*AC$80</f>
        <v>538209.25</v>
      </c>
    </row>
    <row r="20" spans="1:31" outlineLevel="1" x14ac:dyDescent="0.2">
      <c r="B20" s="25" t="s">
        <v>35</v>
      </c>
      <c r="C20" s="23"/>
      <c r="D20" s="23"/>
      <c r="E20" s="23"/>
      <c r="F20" s="23"/>
      <c r="G20" s="23"/>
      <c r="H20" s="23"/>
      <c r="I20" s="23"/>
      <c r="J20" s="23"/>
      <c r="K20" s="23"/>
      <c r="L20" s="23"/>
      <c r="M20" s="23">
        <v>454625</v>
      </c>
      <c r="N20" s="23">
        <v>548022</v>
      </c>
      <c r="O20" s="64">
        <v>653855</v>
      </c>
      <c r="P20" s="64">
        <v>559933</v>
      </c>
      <c r="Q20" s="64">
        <v>544860</v>
      </c>
      <c r="T20" s="64">
        <v>569925</v>
      </c>
      <c r="U20" s="64">
        <v>568042</v>
      </c>
      <c r="V20" s="64">
        <v>551036</v>
      </c>
      <c r="W20" s="64">
        <v>555373</v>
      </c>
      <c r="X20" s="64">
        <v>548451</v>
      </c>
      <c r="Y20" s="64">
        <v>542865</v>
      </c>
      <c r="Z20" s="64">
        <v>539018</v>
      </c>
      <c r="AA20" s="64">
        <v>545284</v>
      </c>
      <c r="AC20" s="64">
        <f>AVERAGE(X20:AA20)</f>
        <v>543904.5</v>
      </c>
    </row>
    <row r="21" spans="1:31" outlineLevel="1" x14ac:dyDescent="0.2">
      <c r="B21" s="25" t="s">
        <v>36</v>
      </c>
      <c r="C21" s="27">
        <f t="shared" ref="C21:Q21" si="14">C20*C$80</f>
        <v>0</v>
      </c>
      <c r="D21" s="27">
        <f t="shared" si="14"/>
        <v>0</v>
      </c>
      <c r="E21" s="27">
        <f t="shared" si="14"/>
        <v>0</v>
      </c>
      <c r="F21" s="27">
        <f t="shared" si="14"/>
        <v>0</v>
      </c>
      <c r="G21" s="27">
        <f t="shared" si="14"/>
        <v>0</v>
      </c>
      <c r="H21" s="27">
        <f t="shared" si="14"/>
        <v>0</v>
      </c>
      <c r="I21" s="27">
        <f t="shared" si="14"/>
        <v>0</v>
      </c>
      <c r="J21" s="27">
        <f t="shared" si="14"/>
        <v>0</v>
      </c>
      <c r="K21" s="27">
        <f t="shared" si="14"/>
        <v>0</v>
      </c>
      <c r="L21" s="27">
        <f t="shared" si="14"/>
        <v>0</v>
      </c>
      <c r="M21" s="27">
        <f t="shared" si="14"/>
        <v>454625</v>
      </c>
      <c r="N21" s="27">
        <f t="shared" si="14"/>
        <v>548022</v>
      </c>
      <c r="O21" s="27">
        <f t="shared" si="14"/>
        <v>653855</v>
      </c>
      <c r="P21" s="27">
        <f t="shared" si="14"/>
        <v>559933</v>
      </c>
      <c r="Q21" s="27">
        <f t="shared" si="14"/>
        <v>544860</v>
      </c>
      <c r="T21" s="27">
        <f t="shared" ref="T21:AA21" si="15">T20*T$80</f>
        <v>569925</v>
      </c>
      <c r="U21" s="27">
        <f t="shared" si="15"/>
        <v>568042</v>
      </c>
      <c r="V21" s="27">
        <f t="shared" si="15"/>
        <v>551036</v>
      </c>
      <c r="W21" s="27">
        <f t="shared" si="15"/>
        <v>555373</v>
      </c>
      <c r="X21" s="27">
        <f t="shared" si="15"/>
        <v>548451</v>
      </c>
      <c r="Y21" s="27">
        <f t="shared" si="15"/>
        <v>542865</v>
      </c>
      <c r="Z21" s="27">
        <f t="shared" si="15"/>
        <v>539018</v>
      </c>
      <c r="AA21" s="27">
        <f t="shared" si="15"/>
        <v>545284</v>
      </c>
      <c r="AC21" s="27">
        <f>AC20*AC$80</f>
        <v>543904.5</v>
      </c>
    </row>
    <row r="22" spans="1:31" outlineLevel="1" x14ac:dyDescent="0.2">
      <c r="B22" s="25" t="s">
        <v>37</v>
      </c>
      <c r="C22" s="28"/>
      <c r="D22" s="28"/>
      <c r="E22" s="28"/>
      <c r="F22" s="28"/>
      <c r="G22" s="28"/>
      <c r="H22" s="28"/>
      <c r="I22" s="28"/>
      <c r="J22" s="28"/>
      <c r="K22" s="28"/>
      <c r="L22" s="28"/>
      <c r="M22" s="65">
        <v>-1.1599999999999999</v>
      </c>
      <c r="N22" s="65">
        <v>-0.6</v>
      </c>
      <c r="O22" s="65">
        <v>-0.16</v>
      </c>
      <c r="P22" s="65">
        <v>-0.13</v>
      </c>
      <c r="Q22" s="28">
        <v>0.52</v>
      </c>
      <c r="T22" s="69">
        <v>-0.05</v>
      </c>
      <c r="U22" s="65">
        <v>-0.15</v>
      </c>
      <c r="V22" s="65">
        <v>-0.02</v>
      </c>
      <c r="W22" s="28">
        <v>0.09</v>
      </c>
      <c r="X22" s="65">
        <v>-0.04</v>
      </c>
      <c r="Y22" s="28">
        <v>0</v>
      </c>
      <c r="Z22" s="28">
        <v>0.37</v>
      </c>
      <c r="AA22" s="28">
        <v>0.19</v>
      </c>
      <c r="AC22" s="28">
        <f>SUM(X22:AA22)</f>
        <v>0.52</v>
      </c>
    </row>
    <row r="23" spans="1:31" outlineLevel="1" x14ac:dyDescent="0.2">
      <c r="B23" s="25" t="s">
        <v>38</v>
      </c>
      <c r="C23" s="29"/>
      <c r="D23" s="29"/>
      <c r="E23" s="29"/>
      <c r="F23" s="29"/>
      <c r="G23" s="29"/>
      <c r="H23" s="29"/>
      <c r="I23" s="29"/>
      <c r="J23" s="29"/>
      <c r="K23" s="29"/>
      <c r="L23" s="29"/>
      <c r="M23" s="67">
        <f t="shared" ref="M23:Q23" si="16">M22/M$80</f>
        <v>-1.1599999999999999</v>
      </c>
      <c r="N23" s="67">
        <f t="shared" si="16"/>
        <v>-0.6</v>
      </c>
      <c r="O23" s="67">
        <f t="shared" si="16"/>
        <v>-0.16</v>
      </c>
      <c r="P23" s="67">
        <f t="shared" si="16"/>
        <v>-0.13</v>
      </c>
      <c r="Q23" s="67">
        <f t="shared" si="16"/>
        <v>0.52</v>
      </c>
      <c r="T23" s="67">
        <f t="shared" ref="T23:AA23" si="17">T22/T$80</f>
        <v>-0.05</v>
      </c>
      <c r="U23" s="67">
        <f t="shared" si="17"/>
        <v>-0.15</v>
      </c>
      <c r="V23" s="67">
        <f t="shared" si="17"/>
        <v>-0.02</v>
      </c>
      <c r="W23" s="67">
        <f t="shared" si="17"/>
        <v>0.09</v>
      </c>
      <c r="X23" s="67">
        <f t="shared" si="17"/>
        <v>-0.04</v>
      </c>
      <c r="Y23" s="67">
        <f t="shared" si="17"/>
        <v>0</v>
      </c>
      <c r="Z23" s="67">
        <f t="shared" si="17"/>
        <v>0.37</v>
      </c>
      <c r="AA23" s="67">
        <f t="shared" si="17"/>
        <v>0.19</v>
      </c>
      <c r="AC23" s="67">
        <f>AC22/AC$80</f>
        <v>0.52</v>
      </c>
    </row>
    <row r="24" spans="1:31" outlineLevel="1" x14ac:dyDescent="0.2">
      <c r="B24" s="25" t="s">
        <v>39</v>
      </c>
      <c r="C24" s="28"/>
      <c r="D24" s="28"/>
      <c r="E24" s="28"/>
      <c r="F24" s="28"/>
      <c r="G24" s="28"/>
      <c r="H24" s="28"/>
      <c r="I24" s="28"/>
      <c r="J24" s="28"/>
      <c r="K24" s="28"/>
      <c r="L24" s="28"/>
      <c r="M24" s="65">
        <v>-1.1599999999999999</v>
      </c>
      <c r="N24" s="65">
        <v>-0.6</v>
      </c>
      <c r="O24" s="65">
        <v>-0.16</v>
      </c>
      <c r="P24" s="65">
        <v>-0.13</v>
      </c>
      <c r="Q24" s="28">
        <v>0.52</v>
      </c>
      <c r="T24" s="69">
        <v>-0.05</v>
      </c>
      <c r="U24" s="65">
        <v>-0.15</v>
      </c>
      <c r="V24" s="65">
        <v>-0.02</v>
      </c>
      <c r="W24" s="28">
        <v>0.09</v>
      </c>
      <c r="X24" s="65">
        <v>-0.04</v>
      </c>
      <c r="Y24" s="28">
        <v>0</v>
      </c>
      <c r="Z24" s="28">
        <v>0.37</v>
      </c>
      <c r="AA24" s="28">
        <v>0.19</v>
      </c>
      <c r="AC24" s="28">
        <f>SUM(X24:AA24)</f>
        <v>0.52</v>
      </c>
    </row>
    <row r="25" spans="1:31" s="32" customFormat="1" ht="17" outlineLevel="1" thickBot="1" x14ac:dyDescent="0.25">
      <c r="A25" s="1"/>
      <c r="B25" s="30" t="s">
        <v>40</v>
      </c>
      <c r="C25" s="31"/>
      <c r="D25" s="31"/>
      <c r="E25" s="31"/>
      <c r="F25" s="31"/>
      <c r="G25" s="31"/>
      <c r="H25" s="31"/>
      <c r="I25" s="31"/>
      <c r="J25" s="31"/>
      <c r="K25" s="31"/>
      <c r="L25" s="31"/>
      <c r="M25" s="68">
        <f t="shared" ref="M25:Q25" si="18">M24/M$80</f>
        <v>-1.1599999999999999</v>
      </c>
      <c r="N25" s="68">
        <f t="shared" si="18"/>
        <v>-0.6</v>
      </c>
      <c r="O25" s="68">
        <f t="shared" si="18"/>
        <v>-0.16</v>
      </c>
      <c r="P25" s="68">
        <f t="shared" si="18"/>
        <v>-0.13</v>
      </c>
      <c r="Q25" s="68">
        <f t="shared" si="18"/>
        <v>0.52</v>
      </c>
      <c r="T25" s="68">
        <f t="shared" ref="T25:AA25" si="19">T24/T$80</f>
        <v>-0.05</v>
      </c>
      <c r="U25" s="68">
        <f t="shared" si="19"/>
        <v>-0.15</v>
      </c>
      <c r="V25" s="68">
        <f t="shared" si="19"/>
        <v>-0.02</v>
      </c>
      <c r="W25" s="68">
        <f t="shared" si="19"/>
        <v>0.09</v>
      </c>
      <c r="X25" s="68">
        <f t="shared" si="19"/>
        <v>-0.04</v>
      </c>
      <c r="Y25" s="68">
        <f t="shared" si="19"/>
        <v>0</v>
      </c>
      <c r="Z25" s="68">
        <f t="shared" si="19"/>
        <v>0.37</v>
      </c>
      <c r="AA25" s="68">
        <f t="shared" si="19"/>
        <v>0.19</v>
      </c>
      <c r="AB25" s="1"/>
      <c r="AC25" s="68">
        <f>AC24/AC$80</f>
        <v>0.52</v>
      </c>
      <c r="AD25" s="1"/>
      <c r="AE25" s="1"/>
    </row>
    <row r="26" spans="1:31" s="32" customFormat="1" ht="17" thickBot="1" x14ac:dyDescent="0.25">
      <c r="A26" s="1"/>
      <c r="B26" s="33"/>
      <c r="J26" s="33"/>
      <c r="K26" s="33"/>
      <c r="L26" s="33"/>
      <c r="M26" s="33"/>
      <c r="N26" s="33"/>
      <c r="O26" s="33"/>
      <c r="P26" s="33"/>
      <c r="R26" s="1"/>
      <c r="S26" s="1"/>
      <c r="AB26" s="1"/>
      <c r="AD26" s="1"/>
      <c r="AE26" s="1"/>
    </row>
    <row r="27" spans="1:31" s="17" customFormat="1" ht="17" thickBot="1" x14ac:dyDescent="0.25">
      <c r="A27" s="13"/>
      <c r="B27" s="16" t="s">
        <v>41</v>
      </c>
      <c r="R27" s="1"/>
      <c r="S27" s="1"/>
      <c r="AB27" s="1"/>
      <c r="AD27" s="1"/>
      <c r="AE27" s="1"/>
    </row>
    <row r="28" spans="1:31" outlineLevel="1" x14ac:dyDescent="0.2">
      <c r="B28" s="22" t="s">
        <v>42</v>
      </c>
      <c r="C28" s="23"/>
      <c r="D28" s="23"/>
      <c r="E28" s="23"/>
      <c r="F28" s="23"/>
      <c r="G28" s="23"/>
      <c r="H28" s="23"/>
      <c r="I28" s="23"/>
      <c r="J28" s="23"/>
      <c r="K28" s="23"/>
      <c r="L28" s="23"/>
      <c r="M28" s="23">
        <f>1768723+96417</f>
        <v>1865140</v>
      </c>
      <c r="N28" s="23">
        <f>1402119+354774</f>
        <v>1756893</v>
      </c>
      <c r="O28" s="23">
        <f>1061678+818145</f>
        <v>1879823</v>
      </c>
      <c r="P28" s="23">
        <f>879196+750322</f>
        <v>1629518</v>
      </c>
      <c r="Q28" s="23">
        <f>871157+601329</f>
        <v>1472486</v>
      </c>
      <c r="T28" s="23">
        <f>1146618+788920</f>
        <v>1935538</v>
      </c>
      <c r="U28" s="23">
        <f>939313+804061</f>
        <v>1743374</v>
      </c>
      <c r="V28" s="23">
        <f>773630+795411</f>
        <v>1569041</v>
      </c>
      <c r="W28" s="23">
        <f>879196+750322</f>
        <v>1629518</v>
      </c>
      <c r="X28" s="23">
        <f>700641+854392</f>
        <v>1555033</v>
      </c>
      <c r="Y28" s="23">
        <f>628617+818870</f>
        <v>1447487</v>
      </c>
      <c r="Z28" s="23">
        <f>743660+654526</f>
        <v>1398186</v>
      </c>
      <c r="AA28" s="23">
        <f>871157+601329</f>
        <v>1472486</v>
      </c>
      <c r="AC28" s="23">
        <f>AA28</f>
        <v>1472486</v>
      </c>
    </row>
    <row r="29" spans="1:31" outlineLevel="1" x14ac:dyDescent="0.2">
      <c r="B29" s="22" t="s">
        <v>43</v>
      </c>
      <c r="C29" s="23"/>
      <c r="D29" s="23"/>
      <c r="E29" s="23"/>
      <c r="F29" s="23"/>
      <c r="G29" s="23"/>
      <c r="H29" s="23"/>
      <c r="I29" s="23"/>
      <c r="J29" s="23"/>
      <c r="K29" s="23"/>
      <c r="L29" s="23"/>
      <c r="M29" s="23">
        <f>251988+74831</f>
        <v>326819</v>
      </c>
      <c r="N29" s="23">
        <f>374217+69260</f>
        <v>443477</v>
      </c>
      <c r="O29" s="23">
        <f>436296+84197</f>
        <v>520493</v>
      </c>
      <c r="P29" s="23">
        <f>451131+88735</f>
        <v>539866</v>
      </c>
      <c r="Q29" s="23">
        <f>488265+92440</f>
        <v>580705</v>
      </c>
      <c r="T29" s="23">
        <f>270621+88146</f>
        <v>358767</v>
      </c>
      <c r="U29" s="23">
        <f>267706+101107</f>
        <v>368813</v>
      </c>
      <c r="V29" s="23">
        <f>336137+109918</f>
        <v>446055</v>
      </c>
      <c r="W29" s="23">
        <f>451131+88735</f>
        <v>539866</v>
      </c>
      <c r="X29" s="23">
        <f>266619+103150</f>
        <v>369769</v>
      </c>
      <c r="Y29" s="23">
        <f>269810+117418</f>
        <v>387228</v>
      </c>
      <c r="Z29" s="23">
        <f>366757+129335</f>
        <v>496092</v>
      </c>
      <c r="AA29" s="23">
        <f>488265+92440</f>
        <v>580705</v>
      </c>
      <c r="AC29" s="23">
        <f t="shared" ref="AC29:AC45" si="20">AA29</f>
        <v>580705</v>
      </c>
    </row>
    <row r="30" spans="1:31" outlineLevel="1" x14ac:dyDescent="0.2">
      <c r="B30" s="22" t="s">
        <v>188</v>
      </c>
      <c r="C30" s="23"/>
      <c r="D30" s="23"/>
      <c r="E30" s="23"/>
      <c r="F30" s="23"/>
      <c r="G30" s="23"/>
      <c r="H30" s="23"/>
      <c r="I30" s="23"/>
      <c r="J30" s="23"/>
      <c r="K30" s="23"/>
      <c r="L30" s="23"/>
      <c r="M30" s="23">
        <v>0</v>
      </c>
      <c r="N30" s="23">
        <v>0</v>
      </c>
      <c r="O30" s="23">
        <v>0</v>
      </c>
      <c r="P30" s="23">
        <v>0</v>
      </c>
      <c r="Q30" s="23">
        <v>0</v>
      </c>
      <c r="T30" s="23">
        <v>0</v>
      </c>
      <c r="U30" s="23">
        <v>0</v>
      </c>
      <c r="V30" s="23">
        <v>0</v>
      </c>
      <c r="W30" s="23">
        <v>0</v>
      </c>
      <c r="X30" s="23">
        <v>0</v>
      </c>
      <c r="Y30" s="23">
        <v>0</v>
      </c>
      <c r="Z30" s="23">
        <v>0</v>
      </c>
      <c r="AA30" s="23">
        <v>0</v>
      </c>
      <c r="AC30" s="23">
        <f>AA30</f>
        <v>0</v>
      </c>
    </row>
    <row r="31" spans="1:31" s="36" customFormat="1" outlineLevel="1" x14ac:dyDescent="0.2">
      <c r="A31" s="18"/>
      <c r="B31" s="34" t="s">
        <v>44</v>
      </c>
      <c r="C31" s="35"/>
      <c r="D31" s="35"/>
      <c r="E31" s="35"/>
      <c r="F31" s="35"/>
      <c r="G31" s="35"/>
      <c r="H31" s="35"/>
      <c r="I31" s="35"/>
      <c r="J31" s="35"/>
      <c r="K31" s="35"/>
      <c r="L31" s="35"/>
      <c r="M31" s="35">
        <v>2277301</v>
      </c>
      <c r="N31" s="35">
        <v>2344407</v>
      </c>
      <c r="O31" s="35">
        <v>2580412</v>
      </c>
      <c r="P31" s="35">
        <v>2338559</v>
      </c>
      <c r="Q31" s="35">
        <v>2243945</v>
      </c>
      <c r="R31" s="1"/>
      <c r="S31" s="1"/>
      <c r="T31" s="35">
        <v>2469198</v>
      </c>
      <c r="U31" s="35">
        <v>2274334</v>
      </c>
      <c r="V31" s="35">
        <v>2176478</v>
      </c>
      <c r="W31" s="35">
        <v>2338559</v>
      </c>
      <c r="X31" s="35">
        <v>2109669</v>
      </c>
      <c r="Y31" s="35">
        <v>2030736</v>
      </c>
      <c r="Z31" s="35">
        <v>2093343</v>
      </c>
      <c r="AA31" s="35">
        <v>2243945</v>
      </c>
      <c r="AB31" s="1"/>
      <c r="AC31" s="35">
        <f t="shared" si="20"/>
        <v>2243945</v>
      </c>
      <c r="AD31" s="1"/>
      <c r="AE31" s="1"/>
    </row>
    <row r="32" spans="1:31" outlineLevel="1" x14ac:dyDescent="0.2">
      <c r="B32" s="22" t="s">
        <v>45</v>
      </c>
      <c r="C32" s="23"/>
      <c r="D32" s="23"/>
      <c r="E32" s="23"/>
      <c r="F32" s="23"/>
      <c r="G32" s="23"/>
      <c r="H32" s="23"/>
      <c r="I32" s="23"/>
      <c r="J32" s="23"/>
      <c r="K32" s="23"/>
      <c r="L32" s="23"/>
      <c r="M32" s="23">
        <v>17176</v>
      </c>
      <c r="N32" s="23">
        <v>29045</v>
      </c>
      <c r="O32" s="23">
        <v>23982</v>
      </c>
      <c r="P32" s="23">
        <v>32740</v>
      </c>
      <c r="Q32" s="23">
        <v>46014</v>
      </c>
      <c r="T32" s="23">
        <v>22741</v>
      </c>
      <c r="U32" s="23">
        <v>22040</v>
      </c>
      <c r="V32" s="23">
        <v>25132</v>
      </c>
      <c r="W32" s="23">
        <v>32740</v>
      </c>
      <c r="X32" s="23">
        <v>41964</v>
      </c>
      <c r="Y32" s="23">
        <v>41545</v>
      </c>
      <c r="Z32" s="23">
        <v>44604</v>
      </c>
      <c r="AA32" s="23">
        <v>46014</v>
      </c>
      <c r="AC32" s="23">
        <f t="shared" si="20"/>
        <v>46014</v>
      </c>
    </row>
    <row r="33" spans="1:31" outlineLevel="1" x14ac:dyDescent="0.2">
      <c r="B33" s="22" t="s">
        <v>46</v>
      </c>
      <c r="C33" s="23"/>
      <c r="D33" s="23"/>
      <c r="E33" s="23"/>
      <c r="F33" s="23"/>
      <c r="G33" s="23"/>
      <c r="H33" s="23"/>
      <c r="I33" s="23"/>
      <c r="J33" s="23"/>
      <c r="K33" s="23"/>
      <c r="L33" s="23"/>
      <c r="M33" s="23">
        <v>53564</v>
      </c>
      <c r="N33" s="23">
        <v>88010</v>
      </c>
      <c r="O33" s="23">
        <v>89026</v>
      </c>
      <c r="P33" s="23">
        <v>87304</v>
      </c>
      <c r="Q33" s="23">
        <v>125310</v>
      </c>
      <c r="T33" s="23">
        <v>88384</v>
      </c>
      <c r="U33" s="23">
        <v>89530</v>
      </c>
      <c r="V33" s="23">
        <v>89864</v>
      </c>
      <c r="W33" s="23">
        <v>87304</v>
      </c>
      <c r="X33" s="23">
        <v>121371</v>
      </c>
      <c r="Y33" s="23">
        <v>120800</v>
      </c>
      <c r="Z33" s="23">
        <v>120625</v>
      </c>
      <c r="AA33" s="23">
        <v>125310</v>
      </c>
      <c r="AC33" s="23">
        <f t="shared" si="20"/>
        <v>125310</v>
      </c>
    </row>
    <row r="34" spans="1:31" s="36" customFormat="1" outlineLevel="1" x14ac:dyDescent="0.2">
      <c r="A34" s="18"/>
      <c r="B34" s="34" t="s">
        <v>47</v>
      </c>
      <c r="C34" s="37"/>
      <c r="D34" s="37"/>
      <c r="E34" s="37"/>
      <c r="F34" s="37"/>
      <c r="G34" s="37"/>
      <c r="H34" s="37"/>
      <c r="I34" s="37"/>
      <c r="J34" s="37"/>
      <c r="K34" s="37"/>
      <c r="L34" s="37"/>
      <c r="M34" s="37">
        <f t="shared" ref="M34:O34" si="21">M35-M31</f>
        <v>295149</v>
      </c>
      <c r="N34" s="37">
        <f t="shared" si="21"/>
        <v>390799</v>
      </c>
      <c r="O34" s="37">
        <f t="shared" si="21"/>
        <v>374346</v>
      </c>
      <c r="P34" s="37">
        <f>P35-P31</f>
        <v>526711</v>
      </c>
      <c r="Q34" s="37">
        <f>Q35-Q31</f>
        <v>935255</v>
      </c>
      <c r="R34" s="1"/>
      <c r="S34" s="1"/>
      <c r="T34" s="37">
        <f t="shared" ref="T34:AA34" si="22">T35-T31</f>
        <v>375778</v>
      </c>
      <c r="U34" s="37">
        <f t="shared" si="22"/>
        <v>426999</v>
      </c>
      <c r="V34" s="37">
        <f t="shared" si="22"/>
        <v>486813</v>
      </c>
      <c r="W34" s="37">
        <f t="shared" si="22"/>
        <v>526711</v>
      </c>
      <c r="X34" s="37">
        <f t="shared" si="22"/>
        <v>534773</v>
      </c>
      <c r="Y34" s="37">
        <f t="shared" si="22"/>
        <v>561581</v>
      </c>
      <c r="Z34" s="37">
        <f t="shared" si="22"/>
        <v>802633</v>
      </c>
      <c r="AA34" s="37">
        <f t="shared" si="22"/>
        <v>935255</v>
      </c>
      <c r="AB34" s="1"/>
      <c r="AC34" s="37">
        <f t="shared" si="20"/>
        <v>935255</v>
      </c>
      <c r="AD34" s="1"/>
      <c r="AE34" s="1"/>
    </row>
    <row r="35" spans="1:31" s="21" customFormat="1" outlineLevel="1" x14ac:dyDescent="0.2">
      <c r="A35" s="18"/>
      <c r="B35" s="19" t="s">
        <v>48</v>
      </c>
      <c r="C35" s="20"/>
      <c r="D35" s="20"/>
      <c r="E35" s="20"/>
      <c r="F35" s="20"/>
      <c r="G35" s="20"/>
      <c r="H35" s="20"/>
      <c r="I35" s="20"/>
      <c r="J35" s="20"/>
      <c r="K35" s="20"/>
      <c r="L35" s="20"/>
      <c r="M35" s="20">
        <v>2572450</v>
      </c>
      <c r="N35" s="20">
        <v>2735206</v>
      </c>
      <c r="O35" s="20">
        <v>2954758</v>
      </c>
      <c r="P35" s="20">
        <v>2865270</v>
      </c>
      <c r="Q35" s="20">
        <v>3179200</v>
      </c>
      <c r="R35" s="1"/>
      <c r="S35" s="1"/>
      <c r="T35" s="20">
        <v>2844976</v>
      </c>
      <c r="U35" s="20">
        <v>2701333</v>
      </c>
      <c r="V35" s="20">
        <v>2663291</v>
      </c>
      <c r="W35" s="20">
        <v>2865270</v>
      </c>
      <c r="X35" s="20">
        <v>2644442</v>
      </c>
      <c r="Y35" s="20">
        <v>2592317</v>
      </c>
      <c r="Z35" s="20">
        <v>2895976</v>
      </c>
      <c r="AA35" s="20">
        <v>3179200</v>
      </c>
      <c r="AB35" s="1"/>
      <c r="AC35" s="20">
        <f t="shared" si="20"/>
        <v>3179200</v>
      </c>
      <c r="AD35" s="1"/>
      <c r="AE35" s="1"/>
    </row>
    <row r="36" spans="1:31" outlineLevel="1" x14ac:dyDescent="0.2">
      <c r="B36" s="22" t="s">
        <v>49</v>
      </c>
      <c r="C36" s="23"/>
      <c r="D36" s="23"/>
      <c r="E36" s="23"/>
      <c r="F36" s="23"/>
      <c r="G36" s="23"/>
      <c r="H36" s="23"/>
      <c r="I36" s="23"/>
      <c r="J36" s="23"/>
      <c r="K36" s="23"/>
      <c r="L36" s="23"/>
      <c r="M36" s="23">
        <v>11515</v>
      </c>
      <c r="N36" s="23">
        <v>8891</v>
      </c>
      <c r="O36" s="23">
        <v>3447</v>
      </c>
      <c r="P36" s="23">
        <v>33178</v>
      </c>
      <c r="Q36" s="23">
        <v>10161</v>
      </c>
      <c r="T36" s="23">
        <v>6864</v>
      </c>
      <c r="U36" s="23">
        <v>9910</v>
      </c>
      <c r="V36" s="23">
        <v>18426</v>
      </c>
      <c r="W36" s="23">
        <v>33178</v>
      </c>
      <c r="X36" s="23">
        <v>16885</v>
      </c>
      <c r="Y36" s="23">
        <v>19743</v>
      </c>
      <c r="Z36" s="23">
        <v>14280</v>
      </c>
      <c r="AA36" s="23">
        <v>10161</v>
      </c>
      <c r="AC36" s="23">
        <f t="shared" si="20"/>
        <v>10161</v>
      </c>
    </row>
    <row r="37" spans="1:31" s="36" customFormat="1" outlineLevel="1" x14ac:dyDescent="0.2">
      <c r="A37" s="18"/>
      <c r="B37" s="34" t="s">
        <v>51</v>
      </c>
      <c r="C37" s="35"/>
      <c r="D37" s="35"/>
      <c r="E37" s="35"/>
      <c r="F37" s="35"/>
      <c r="G37" s="35"/>
      <c r="H37" s="35"/>
      <c r="I37" s="35"/>
      <c r="J37" s="35"/>
      <c r="K37" s="35"/>
      <c r="L37" s="35"/>
      <c r="M37" s="35">
        <v>527501</v>
      </c>
      <c r="N37" s="35">
        <v>626452</v>
      </c>
      <c r="O37" s="35">
        <v>711691</v>
      </c>
      <c r="P37" s="35">
        <v>798920</v>
      </c>
      <c r="Q37" s="35">
        <v>905423</v>
      </c>
      <c r="R37" s="62"/>
      <c r="S37" s="62"/>
      <c r="T37" s="35">
        <v>597536</v>
      </c>
      <c r="U37" s="35">
        <v>632503</v>
      </c>
      <c r="V37" s="35">
        <v>695473</v>
      </c>
      <c r="W37" s="35">
        <v>798920</v>
      </c>
      <c r="X37" s="35">
        <v>715867</v>
      </c>
      <c r="Y37" s="35">
        <v>738417</v>
      </c>
      <c r="Z37" s="35">
        <v>788700</v>
      </c>
      <c r="AA37" s="35">
        <v>905423</v>
      </c>
      <c r="AB37" s="1"/>
      <c r="AC37" s="35">
        <f t="shared" si="20"/>
        <v>905423</v>
      </c>
      <c r="AD37" s="1"/>
      <c r="AE37" s="1"/>
    </row>
    <row r="38" spans="1:31" outlineLevel="1" x14ac:dyDescent="0.2">
      <c r="B38" s="22" t="s">
        <v>50</v>
      </c>
      <c r="C38" s="23"/>
      <c r="D38" s="23"/>
      <c r="E38" s="23"/>
      <c r="F38" s="23"/>
      <c r="G38" s="23"/>
      <c r="H38" s="23"/>
      <c r="I38" s="23"/>
      <c r="J38" s="23"/>
      <c r="K38" s="23"/>
      <c r="L38" s="23"/>
      <c r="M38" s="23">
        <v>49843</v>
      </c>
      <c r="N38" s="23">
        <v>56442</v>
      </c>
      <c r="O38" s="23">
        <v>58713</v>
      </c>
      <c r="P38" s="23">
        <v>74230</v>
      </c>
      <c r="Q38" s="23">
        <v>70940</v>
      </c>
      <c r="T38" s="23">
        <v>62772</v>
      </c>
      <c r="U38" s="23">
        <v>78166</v>
      </c>
      <c r="V38" s="23">
        <v>76798</v>
      </c>
      <c r="W38" s="23">
        <v>74230</v>
      </c>
      <c r="X38" s="23">
        <v>73433</v>
      </c>
      <c r="Y38" s="23">
        <v>72623</v>
      </c>
      <c r="Z38" s="23">
        <v>72016</v>
      </c>
      <c r="AA38" s="23">
        <v>70940</v>
      </c>
      <c r="AC38" s="23">
        <f t="shared" si="20"/>
        <v>70940</v>
      </c>
    </row>
    <row r="39" spans="1:31" s="36" customFormat="1" outlineLevel="1" x14ac:dyDescent="0.2">
      <c r="A39" s="18"/>
      <c r="B39" s="34" t="s">
        <v>52</v>
      </c>
      <c r="C39" s="37"/>
      <c r="D39" s="37"/>
      <c r="E39" s="37"/>
      <c r="F39" s="37"/>
      <c r="G39" s="37"/>
      <c r="H39" s="37"/>
      <c r="I39" s="37"/>
      <c r="J39" s="37"/>
      <c r="K39" s="37"/>
      <c r="L39" s="37"/>
      <c r="M39" s="37">
        <f t="shared" ref="M39:O39" si="23">M40-M37</f>
        <v>123032</v>
      </c>
      <c r="N39" s="37">
        <f t="shared" si="23"/>
        <v>188596</v>
      </c>
      <c r="O39" s="37">
        <f t="shared" si="23"/>
        <v>226953</v>
      </c>
      <c r="P39" s="37">
        <f>P40-P37</f>
        <v>220588</v>
      </c>
      <c r="Q39" s="37">
        <f>Q40-Q37</f>
        <v>191190</v>
      </c>
      <c r="R39" s="1"/>
      <c r="S39" s="1"/>
      <c r="T39" s="37">
        <f t="shared" ref="T39:AA39" si="24">T40-T37</f>
        <v>220436</v>
      </c>
      <c r="U39" s="37">
        <f t="shared" si="24"/>
        <v>235249</v>
      </c>
      <c r="V39" s="37">
        <f t="shared" si="24"/>
        <v>235973</v>
      </c>
      <c r="W39" s="37">
        <f t="shared" si="24"/>
        <v>220588</v>
      </c>
      <c r="X39" s="37">
        <f t="shared" si="24"/>
        <v>230114</v>
      </c>
      <c r="Y39" s="37">
        <f t="shared" si="24"/>
        <v>188197</v>
      </c>
      <c r="Z39" s="37">
        <f t="shared" si="24"/>
        <v>182659</v>
      </c>
      <c r="AA39" s="37">
        <f t="shared" si="24"/>
        <v>191190</v>
      </c>
      <c r="AB39" s="1"/>
      <c r="AC39" s="37">
        <f t="shared" si="20"/>
        <v>191190</v>
      </c>
      <c r="AD39" s="1"/>
      <c r="AE39" s="1"/>
    </row>
    <row r="40" spans="1:31" s="21" customFormat="1" outlineLevel="1" x14ac:dyDescent="0.2">
      <c r="A40" s="18"/>
      <c r="B40" s="19" t="s">
        <v>53</v>
      </c>
      <c r="C40" s="20"/>
      <c r="D40" s="20"/>
      <c r="E40" s="20"/>
      <c r="F40" s="20"/>
      <c r="G40" s="20"/>
      <c r="H40" s="20"/>
      <c r="I40" s="20"/>
      <c r="J40" s="20"/>
      <c r="K40" s="20"/>
      <c r="L40" s="20"/>
      <c r="M40" s="20">
        <v>650533</v>
      </c>
      <c r="N40" s="20">
        <v>815048</v>
      </c>
      <c r="O40" s="20">
        <v>938644</v>
      </c>
      <c r="P40" s="20">
        <v>1019508</v>
      </c>
      <c r="Q40" s="20">
        <v>1096613</v>
      </c>
      <c r="R40" s="1"/>
      <c r="S40" s="1"/>
      <c r="T40" s="20">
        <v>817972</v>
      </c>
      <c r="U40" s="20">
        <v>867752</v>
      </c>
      <c r="V40" s="20">
        <v>931446</v>
      </c>
      <c r="W40" s="20">
        <v>1019508</v>
      </c>
      <c r="X40" s="20">
        <v>945981</v>
      </c>
      <c r="Y40" s="20">
        <v>926614</v>
      </c>
      <c r="Z40" s="20">
        <v>971359</v>
      </c>
      <c r="AA40" s="20">
        <v>1096613</v>
      </c>
      <c r="AB40" s="1"/>
      <c r="AC40" s="20">
        <f t="shared" si="20"/>
        <v>1096613</v>
      </c>
      <c r="AD40" s="1"/>
      <c r="AE40" s="1"/>
    </row>
    <row r="41" spans="1:31" outlineLevel="1" x14ac:dyDescent="0.2">
      <c r="B41" s="22" t="s">
        <v>56</v>
      </c>
      <c r="C41" s="23"/>
      <c r="D41" s="23"/>
      <c r="E41" s="23"/>
      <c r="F41" s="23"/>
      <c r="G41" s="23"/>
      <c r="H41" s="23"/>
      <c r="I41" s="23"/>
      <c r="J41" s="23"/>
      <c r="K41" s="23"/>
      <c r="L41" s="23"/>
      <c r="M41" s="64">
        <v>0</v>
      </c>
      <c r="N41" s="64">
        <v>0</v>
      </c>
      <c r="O41" s="64">
        <v>-102615</v>
      </c>
      <c r="P41" s="64">
        <v>-494779</v>
      </c>
      <c r="Q41" s="64">
        <v>-833905</v>
      </c>
      <c r="T41" s="64">
        <v>-124620</v>
      </c>
      <c r="U41" s="64">
        <v>-322047</v>
      </c>
      <c r="V41" s="64">
        <v>-486985</v>
      </c>
      <c r="W41" s="64">
        <v>-494779</v>
      </c>
      <c r="X41" s="64">
        <v>-724224</v>
      </c>
      <c r="Y41" s="64">
        <v>-824842</v>
      </c>
      <c r="Z41" s="64">
        <v>-824329</v>
      </c>
      <c r="AA41" s="64">
        <v>-833905</v>
      </c>
      <c r="AC41" s="64">
        <f t="shared" si="20"/>
        <v>-833905</v>
      </c>
    </row>
    <row r="42" spans="1:31" outlineLevel="1" x14ac:dyDescent="0.2">
      <c r="B42" s="22" t="s">
        <v>54</v>
      </c>
      <c r="C42" s="23"/>
      <c r="D42" s="23"/>
      <c r="E42" s="23"/>
      <c r="F42" s="23"/>
      <c r="G42" s="23"/>
      <c r="H42" s="23"/>
      <c r="I42" s="23"/>
      <c r="J42" s="23"/>
      <c r="K42" s="23"/>
      <c r="L42" s="23"/>
      <c r="M42" s="23">
        <v>3406959</v>
      </c>
      <c r="N42" s="23">
        <v>3736838</v>
      </c>
      <c r="O42" s="23">
        <v>4024079</v>
      </c>
      <c r="P42" s="64">
        <v>4333300</v>
      </c>
      <c r="Q42" s="64">
        <v>4585430</v>
      </c>
      <c r="T42" s="64">
        <v>4089795</v>
      </c>
      <c r="U42" s="64">
        <v>4176531</v>
      </c>
      <c r="V42" s="64">
        <v>4149569</v>
      </c>
      <c r="W42" s="64">
        <v>4333300</v>
      </c>
      <c r="X42" s="64">
        <v>4403586</v>
      </c>
      <c r="Y42" s="64">
        <v>4474638</v>
      </c>
      <c r="Z42" s="64">
        <v>4531257</v>
      </c>
      <c r="AA42" s="64">
        <v>4585430</v>
      </c>
      <c r="AC42" s="64">
        <f t="shared" si="20"/>
        <v>4585430</v>
      </c>
    </row>
    <row r="43" spans="1:31" outlineLevel="1" x14ac:dyDescent="0.2">
      <c r="B43" s="22" t="s">
        <v>55</v>
      </c>
      <c r="C43" s="23"/>
      <c r="D43" s="23"/>
      <c r="E43" s="23"/>
      <c r="F43" s="23"/>
      <c r="G43" s="23"/>
      <c r="H43" s="23"/>
      <c r="I43" s="23"/>
      <c r="J43" s="23"/>
      <c r="K43" s="23"/>
      <c r="L43" s="23"/>
      <c r="M43" s="64">
        <v>-1495946</v>
      </c>
      <c r="N43" s="64">
        <v>-1824298</v>
      </c>
      <c r="O43" s="64">
        <v>-1914181</v>
      </c>
      <c r="P43" s="64">
        <v>-1987875</v>
      </c>
      <c r="Q43" s="64">
        <v>-1705545</v>
      </c>
      <c r="T43" s="64">
        <v>-1942917</v>
      </c>
      <c r="U43" s="64">
        <v>-2029014</v>
      </c>
      <c r="V43" s="64">
        <v>-2039669</v>
      </c>
      <c r="W43" s="64">
        <v>-1987875</v>
      </c>
      <c r="X43" s="64">
        <v>-2010430</v>
      </c>
      <c r="Y43" s="64">
        <v>-2008846</v>
      </c>
      <c r="Z43" s="64">
        <v>-1810007</v>
      </c>
      <c r="AA43" s="64">
        <v>-1705545</v>
      </c>
      <c r="AC43" s="64">
        <f t="shared" si="20"/>
        <v>-1705545</v>
      </c>
    </row>
    <row r="44" spans="1:31" s="36" customFormat="1" outlineLevel="1" x14ac:dyDescent="0.2">
      <c r="A44" s="18"/>
      <c r="B44" s="34" t="s">
        <v>57</v>
      </c>
      <c r="C44" s="35"/>
      <c r="D44" s="35"/>
      <c r="E44" s="35"/>
      <c r="F44" s="35"/>
      <c r="G44" s="35"/>
      <c r="H44" s="35"/>
      <c r="I44" s="35"/>
      <c r="J44" s="35"/>
      <c r="K44" s="35"/>
      <c r="L44" s="35"/>
      <c r="M44" s="35">
        <v>1921917</v>
      </c>
      <c r="N44" s="35">
        <v>1920158</v>
      </c>
      <c r="O44" s="35">
        <v>2016114</v>
      </c>
      <c r="P44" s="35">
        <v>1845762</v>
      </c>
      <c r="Q44" s="35">
        <v>2082587</v>
      </c>
      <c r="R44" s="1"/>
      <c r="S44" s="1"/>
      <c r="T44" s="35">
        <v>2027004</v>
      </c>
      <c r="U44" s="35">
        <v>1833581</v>
      </c>
      <c r="V44" s="35">
        <v>1731845</v>
      </c>
      <c r="W44" s="35">
        <v>1845762</v>
      </c>
      <c r="X44" s="35">
        <v>1698461</v>
      </c>
      <c r="Y44" s="35">
        <v>1665703</v>
      </c>
      <c r="Z44" s="35">
        <v>1924617</v>
      </c>
      <c r="AA44" s="35">
        <v>2082587</v>
      </c>
      <c r="AB44" s="1"/>
      <c r="AC44" s="35">
        <f t="shared" si="20"/>
        <v>2082587</v>
      </c>
      <c r="AD44" s="1"/>
      <c r="AE44" s="1"/>
    </row>
    <row r="45" spans="1:31" s="40" customFormat="1" ht="17" outlineLevel="1" thickBot="1" x14ac:dyDescent="0.25">
      <c r="A45" s="18"/>
      <c r="B45" s="38" t="s">
        <v>58</v>
      </c>
      <c r="C45" s="39"/>
      <c r="D45" s="39"/>
      <c r="E45" s="39"/>
      <c r="F45" s="39"/>
      <c r="G45" s="39"/>
      <c r="H45" s="39"/>
      <c r="I45" s="39"/>
      <c r="J45" s="39"/>
      <c r="K45" s="39"/>
      <c r="L45" s="39"/>
      <c r="M45" s="39">
        <v>2572450</v>
      </c>
      <c r="N45" s="39">
        <v>2735206</v>
      </c>
      <c r="O45" s="39">
        <v>2954758</v>
      </c>
      <c r="P45" s="39">
        <v>2865270</v>
      </c>
      <c r="Q45" s="39">
        <v>3179200</v>
      </c>
      <c r="R45" s="1"/>
      <c r="S45" s="1"/>
      <c r="T45" s="39">
        <v>2844976</v>
      </c>
      <c r="U45" s="39">
        <v>2701333</v>
      </c>
      <c r="V45" s="39">
        <v>2663291</v>
      </c>
      <c r="W45" s="39">
        <v>2865270</v>
      </c>
      <c r="X45" s="39">
        <v>2644442</v>
      </c>
      <c r="Y45" s="39">
        <v>2592317</v>
      </c>
      <c r="Z45" s="39">
        <v>2895976</v>
      </c>
      <c r="AA45" s="39">
        <v>3179200</v>
      </c>
      <c r="AB45" s="1"/>
      <c r="AC45" s="39">
        <f t="shared" si="20"/>
        <v>3179200</v>
      </c>
      <c r="AD45" s="1"/>
      <c r="AE45" s="1"/>
    </row>
    <row r="46" spans="1:31" x14ac:dyDescent="0.2">
      <c r="B46" s="1"/>
    </row>
    <row r="47" spans="1:31" s="17" customFormat="1" ht="17" thickBot="1" x14ac:dyDescent="0.25">
      <c r="A47" s="13"/>
      <c r="B47" s="16" t="s">
        <v>59</v>
      </c>
      <c r="R47" s="1"/>
      <c r="S47" s="1"/>
      <c r="AB47" s="1"/>
      <c r="AD47" s="1"/>
      <c r="AE47" s="1"/>
    </row>
    <row r="48" spans="1:31" outlineLevel="1" x14ac:dyDescent="0.2">
      <c r="B48" s="22" t="s">
        <v>60</v>
      </c>
      <c r="C48" s="64"/>
      <c r="D48" s="64"/>
      <c r="E48" s="64"/>
      <c r="F48" s="64"/>
      <c r="G48" s="64"/>
      <c r="H48" s="64"/>
      <c r="I48" s="64"/>
      <c r="J48" s="64"/>
      <c r="K48" s="64"/>
      <c r="L48" s="64"/>
      <c r="M48" s="64">
        <v>14705</v>
      </c>
      <c r="N48" s="64">
        <v>18723</v>
      </c>
      <c r="O48" s="64">
        <v>22597</v>
      </c>
      <c r="P48" s="64">
        <v>17232</v>
      </c>
      <c r="Q48" s="64">
        <v>16969</v>
      </c>
      <c r="T48" s="64">
        <v>4902</v>
      </c>
      <c r="U48" s="64">
        <v>4581</v>
      </c>
      <c r="V48" s="64">
        <v>4534</v>
      </c>
      <c r="W48" s="64"/>
      <c r="X48" s="64">
        <v>3253</v>
      </c>
      <c r="Y48" s="64">
        <v>4230</v>
      </c>
      <c r="Z48" s="64">
        <v>4513</v>
      </c>
      <c r="AA48" s="64">
        <v>4973</v>
      </c>
      <c r="AC48" s="64">
        <f>SUM(X48:AA48)</f>
        <v>16969</v>
      </c>
    </row>
    <row r="49" spans="1:31" outlineLevel="1" x14ac:dyDescent="0.2">
      <c r="B49" s="25" t="s">
        <v>61</v>
      </c>
      <c r="C49" s="64"/>
      <c r="D49" s="64"/>
      <c r="E49" s="64"/>
      <c r="F49" s="64"/>
      <c r="G49" s="64"/>
      <c r="H49" s="64"/>
      <c r="I49" s="64"/>
      <c r="J49" s="64"/>
      <c r="K49" s="64"/>
      <c r="L49" s="64"/>
      <c r="M49" s="64">
        <v>515583</v>
      </c>
      <c r="N49" s="64">
        <v>369840</v>
      </c>
      <c r="O49" s="64">
        <v>371955</v>
      </c>
      <c r="P49" s="64">
        <v>358151</v>
      </c>
      <c r="Q49" s="64">
        <v>290676</v>
      </c>
      <c r="T49" s="64">
        <v>88727</v>
      </c>
      <c r="U49" s="64">
        <v>94305</v>
      </c>
      <c r="V49" s="64">
        <v>87488</v>
      </c>
      <c r="W49" s="64"/>
      <c r="X49" s="64">
        <v>76361</v>
      </c>
      <c r="Y49" s="64">
        <v>78006</v>
      </c>
      <c r="Z49" s="64">
        <v>71475</v>
      </c>
      <c r="AA49" s="64">
        <v>64834</v>
      </c>
      <c r="AC49" s="64">
        <f t="shared" ref="AC49:AC52" si="25">SUM(X49:AA49)</f>
        <v>290676</v>
      </c>
    </row>
    <row r="50" spans="1:31" outlineLevel="1" x14ac:dyDescent="0.2">
      <c r="B50" s="25" t="s">
        <v>120</v>
      </c>
      <c r="C50" s="64"/>
      <c r="D50" s="64"/>
      <c r="E50" s="64"/>
      <c r="F50" s="64"/>
      <c r="G50" s="64"/>
      <c r="H50" s="64"/>
      <c r="I50" s="64"/>
      <c r="J50" s="64"/>
      <c r="K50" s="64"/>
      <c r="L50" s="64"/>
      <c r="M50" s="64">
        <v>-86387</v>
      </c>
      <c r="N50" s="64">
        <v>-123783</v>
      </c>
      <c r="O50" s="64">
        <v>-64217</v>
      </c>
      <c r="P50" s="64">
        <v>-22173</v>
      </c>
      <c r="Q50" s="64">
        <v>-25802</v>
      </c>
      <c r="T50" s="64">
        <v>162444</v>
      </c>
      <c r="U50" s="64">
        <v>3337</v>
      </c>
      <c r="V50" s="64">
        <v>-67719</v>
      </c>
      <c r="W50" s="64"/>
      <c r="X50" s="64">
        <v>197443</v>
      </c>
      <c r="Y50" s="64">
        <v>-5039</v>
      </c>
      <c r="Z50" s="64">
        <v>-98947</v>
      </c>
      <c r="AA50" s="64">
        <v>-119259</v>
      </c>
      <c r="AC50" s="64">
        <f t="shared" si="25"/>
        <v>-25802</v>
      </c>
    </row>
    <row r="51" spans="1:31" outlineLevel="1" x14ac:dyDescent="0.2">
      <c r="B51" s="25" t="s">
        <v>121</v>
      </c>
      <c r="C51" s="64"/>
      <c r="D51" s="64"/>
      <c r="E51" s="64"/>
      <c r="F51" s="64"/>
      <c r="G51" s="64"/>
      <c r="H51" s="64"/>
      <c r="I51" s="64"/>
      <c r="J51" s="64"/>
      <c r="K51" s="64"/>
      <c r="L51" s="64"/>
      <c r="M51" s="64">
        <v>3507</v>
      </c>
      <c r="N51" s="64">
        <v>-1571</v>
      </c>
      <c r="O51" s="64">
        <v>-5052</v>
      </c>
      <c r="P51" s="64">
        <v>27856</v>
      </c>
      <c r="Q51" s="64">
        <v>-21675</v>
      </c>
      <c r="T51" s="64">
        <v>3936</v>
      </c>
      <c r="U51" s="64">
        <v>2838</v>
      </c>
      <c r="V51" s="64">
        <v>8180</v>
      </c>
      <c r="W51" s="64"/>
      <c r="X51" s="64">
        <v>-15025</v>
      </c>
      <c r="Y51" s="64">
        <v>3319</v>
      </c>
      <c r="Z51" s="64">
        <v>-5695</v>
      </c>
      <c r="AA51" s="64">
        <v>-4274</v>
      </c>
      <c r="AC51" s="64">
        <f t="shared" si="25"/>
        <v>-21675</v>
      </c>
    </row>
    <row r="52" spans="1:31" outlineLevel="1" x14ac:dyDescent="0.2">
      <c r="B52" s="25" t="s">
        <v>122</v>
      </c>
      <c r="C52" s="64"/>
      <c r="D52" s="64"/>
      <c r="E52" s="64"/>
      <c r="F52" s="64"/>
      <c r="G52" s="64"/>
      <c r="H52" s="64"/>
      <c r="I52" s="64"/>
      <c r="J52" s="64"/>
      <c r="K52" s="64"/>
      <c r="L52" s="64"/>
      <c r="M52" s="64">
        <f>-43660-130186-15360+45729+24038-9064+105481</f>
        <v>-23022</v>
      </c>
      <c r="N52" s="64">
        <f>-185-118909-59810-14954+15086-3307+160746</f>
        <v>-21333</v>
      </c>
      <c r="O52" s="64">
        <f>-14694-118833+4222+11804-4039-13590+137471</f>
        <v>2341</v>
      </c>
      <c r="P52" s="64">
        <f>-3991-89157+7065+9235-23428-15527+68348</f>
        <v>-47455</v>
      </c>
      <c r="Q52" s="64">
        <f>3208-116202-3933+46697+2583-11652-22431</f>
        <v>-101730</v>
      </c>
      <c r="T52" s="64">
        <f>-7645-12437-803-4195-96403-3912-24683</f>
        <v>-150078</v>
      </c>
      <c r="U52" s="64">
        <v>11084</v>
      </c>
      <c r="V52" s="64">
        <v>7517</v>
      </c>
      <c r="W52" s="64"/>
      <c r="X52" s="64">
        <f>-9460-13954-13074+12352-72534-2146-60261</f>
        <v>-159077</v>
      </c>
      <c r="Y52" s="64">
        <v>-55572</v>
      </c>
      <c r="Z52" s="64">
        <v>9189</v>
      </c>
      <c r="AA52" s="64">
        <v>103730</v>
      </c>
      <c r="AC52" s="64">
        <f t="shared" si="25"/>
        <v>-101730</v>
      </c>
    </row>
    <row r="53" spans="1:31" s="21" customFormat="1" outlineLevel="1" x14ac:dyDescent="0.2">
      <c r="A53" s="18"/>
      <c r="B53" s="19" t="s">
        <v>62</v>
      </c>
      <c r="C53" s="63"/>
      <c r="D53" s="63"/>
      <c r="E53" s="63"/>
      <c r="F53" s="63"/>
      <c r="G53" s="63"/>
      <c r="H53" s="63"/>
      <c r="I53" s="63"/>
      <c r="J53" s="63"/>
      <c r="K53" s="63"/>
      <c r="L53" s="63"/>
      <c r="M53" s="63">
        <v>-54963</v>
      </c>
      <c r="N53" s="63">
        <v>-9981</v>
      </c>
      <c r="O53" s="63">
        <v>299082</v>
      </c>
      <c r="P53" s="63">
        <v>320565</v>
      </c>
      <c r="Q53" s="63">
        <v>371208</v>
      </c>
      <c r="R53" s="1"/>
      <c r="S53" s="1"/>
      <c r="T53" s="63">
        <v>100037</v>
      </c>
      <c r="U53" s="63">
        <v>46376</v>
      </c>
      <c r="V53" s="63">
        <v>28070</v>
      </c>
      <c r="W53" s="63"/>
      <c r="X53" s="63">
        <v>119002</v>
      </c>
      <c r="Y53" s="63">
        <v>41587</v>
      </c>
      <c r="Z53" s="63">
        <v>28271</v>
      </c>
      <c r="AA53" s="63">
        <v>182348</v>
      </c>
      <c r="AB53" s="1"/>
      <c r="AC53" s="63">
        <f>SUM(X53:AA53)</f>
        <v>371208</v>
      </c>
      <c r="AD53" s="1"/>
      <c r="AE53" s="1"/>
    </row>
    <row r="54" spans="1:31" outlineLevel="1" x14ac:dyDescent="0.2">
      <c r="B54" s="22" t="s">
        <v>63</v>
      </c>
      <c r="C54" s="64"/>
      <c r="D54" s="64"/>
      <c r="E54" s="64"/>
      <c r="F54" s="64"/>
      <c r="G54" s="64"/>
      <c r="H54" s="64"/>
      <c r="I54" s="64"/>
      <c r="J54" s="64"/>
      <c r="K54" s="64"/>
      <c r="L54" s="64"/>
      <c r="M54" s="64">
        <v>-8879</v>
      </c>
      <c r="N54" s="64">
        <v>-23815</v>
      </c>
      <c r="O54" s="64">
        <v>-7342</v>
      </c>
      <c r="P54" s="64">
        <v>-14923</v>
      </c>
      <c r="Q54" s="64">
        <v>-19048</v>
      </c>
      <c r="T54" s="64">
        <v>-1238</v>
      </c>
      <c r="U54" s="64">
        <v>-1418</v>
      </c>
      <c r="V54" s="64">
        <v>-4875</v>
      </c>
      <c r="W54" s="64"/>
      <c r="X54" s="64">
        <v>-12832</v>
      </c>
      <c r="Y54" s="64">
        <v>0</v>
      </c>
      <c r="Z54" s="64">
        <v>-3164</v>
      </c>
      <c r="AA54" s="64">
        <v>-3052</v>
      </c>
      <c r="AC54" s="64">
        <f>SUM(X54:AA54)</f>
        <v>-19048</v>
      </c>
    </row>
    <row r="55" spans="1:31" outlineLevel="1" x14ac:dyDescent="0.2">
      <c r="B55" s="22" t="s">
        <v>123</v>
      </c>
      <c r="C55" s="64"/>
      <c r="D55" s="64"/>
      <c r="E55" s="64"/>
      <c r="F55" s="64"/>
      <c r="G55" s="64"/>
      <c r="H55" s="64"/>
      <c r="I55" s="64"/>
      <c r="J55" s="64"/>
      <c r="K55" s="64"/>
      <c r="L55" s="64"/>
      <c r="M55" s="64">
        <v>-2950</v>
      </c>
      <c r="N55" s="64">
        <v>0</v>
      </c>
      <c r="O55" s="64">
        <v>0</v>
      </c>
      <c r="P55" s="64">
        <v>0</v>
      </c>
      <c r="Q55" s="64">
        <v>0</v>
      </c>
      <c r="T55" s="64">
        <v>0</v>
      </c>
      <c r="U55" s="64">
        <v>0</v>
      </c>
      <c r="V55" s="64">
        <v>0</v>
      </c>
      <c r="W55" s="64"/>
      <c r="X55" s="64">
        <v>0</v>
      </c>
      <c r="Y55" s="64">
        <v>0</v>
      </c>
      <c r="Z55" s="64">
        <v>0</v>
      </c>
      <c r="AA55" s="64">
        <v>0</v>
      </c>
      <c r="AC55" s="64">
        <f t="shared" ref="AC55:AC59" si="26">SUM(X55:AA55)</f>
        <v>0</v>
      </c>
    </row>
    <row r="56" spans="1:31" s="21" customFormat="1" outlineLevel="1" x14ac:dyDescent="0.2">
      <c r="A56" s="18"/>
      <c r="B56" s="19" t="s">
        <v>64</v>
      </c>
      <c r="C56" s="63"/>
      <c r="D56" s="63"/>
      <c r="E56" s="63"/>
      <c r="F56" s="63"/>
      <c r="G56" s="63"/>
      <c r="H56" s="63"/>
      <c r="I56" s="63"/>
      <c r="J56" s="63"/>
      <c r="K56" s="63"/>
      <c r="L56" s="63"/>
      <c r="M56" s="63">
        <v>-35442</v>
      </c>
      <c r="N56" s="63">
        <v>-289143</v>
      </c>
      <c r="O56" s="63">
        <v>-439569</v>
      </c>
      <c r="P56" s="63">
        <v>-45503</v>
      </c>
      <c r="Q56" s="63">
        <v>-22466</v>
      </c>
      <c r="R56" s="1"/>
      <c r="S56" s="1"/>
      <c r="T56" s="63">
        <v>35766</v>
      </c>
      <c r="U56" s="63">
        <v>-41659</v>
      </c>
      <c r="V56" s="63">
        <v>-22914</v>
      </c>
      <c r="W56" s="63"/>
      <c r="X56" s="63">
        <v>-79923</v>
      </c>
      <c r="Y56" s="63">
        <v>-655</v>
      </c>
      <c r="Z56" s="63">
        <v>100764</v>
      </c>
      <c r="AA56" s="63">
        <v>-42652</v>
      </c>
      <c r="AB56" s="1"/>
      <c r="AC56" s="63">
        <f t="shared" si="26"/>
        <v>-22466</v>
      </c>
      <c r="AD56" s="1"/>
      <c r="AE56" s="1"/>
    </row>
    <row r="57" spans="1:31" outlineLevel="1" x14ac:dyDescent="0.2">
      <c r="B57" s="22" t="s">
        <v>65</v>
      </c>
      <c r="C57" s="64"/>
      <c r="D57" s="64"/>
      <c r="E57" s="64"/>
      <c r="F57" s="64"/>
      <c r="G57" s="64"/>
      <c r="H57" s="64"/>
      <c r="I57" s="64"/>
      <c r="J57" s="64"/>
      <c r="K57" s="64"/>
      <c r="L57" s="64"/>
      <c r="M57" s="64">
        <v>0</v>
      </c>
      <c r="N57" s="64">
        <v>0</v>
      </c>
      <c r="O57" s="64">
        <v>-102615</v>
      </c>
      <c r="P57" s="64">
        <v>-390751</v>
      </c>
      <c r="Q57" s="64">
        <v>-329101</v>
      </c>
      <c r="T57" s="64">
        <v>-22005</v>
      </c>
      <c r="U57" s="64">
        <v>-196747</v>
      </c>
      <c r="V57" s="64">
        <v>-162651</v>
      </c>
      <c r="W57" s="64"/>
      <c r="X57" s="64">
        <v>-227525</v>
      </c>
      <c r="Y57" s="64">
        <v>-101576</v>
      </c>
      <c r="Z57" s="64">
        <v>0</v>
      </c>
      <c r="AA57" s="64">
        <v>0</v>
      </c>
      <c r="AC57" s="64">
        <f t="shared" si="26"/>
        <v>-329101</v>
      </c>
    </row>
    <row r="58" spans="1:31" outlineLevel="1" x14ac:dyDescent="0.2">
      <c r="B58" s="22" t="s">
        <v>358</v>
      </c>
      <c r="C58" s="64"/>
      <c r="D58" s="64"/>
      <c r="E58" s="64"/>
      <c r="F58" s="64"/>
      <c r="G58" s="64"/>
      <c r="H58" s="64"/>
      <c r="I58" s="64"/>
      <c r="J58" s="64"/>
      <c r="K58" s="64"/>
      <c r="L58" s="64"/>
      <c r="M58" s="64">
        <v>0</v>
      </c>
      <c r="N58" s="64">
        <v>0</v>
      </c>
      <c r="O58" s="64">
        <v>0</v>
      </c>
      <c r="P58" s="64">
        <v>0</v>
      </c>
      <c r="Q58" s="64">
        <v>0</v>
      </c>
      <c r="T58" s="64">
        <v>0</v>
      </c>
      <c r="U58" s="64">
        <v>0</v>
      </c>
      <c r="V58" s="64">
        <v>0</v>
      </c>
      <c r="W58" s="64">
        <v>0</v>
      </c>
      <c r="X58" s="64">
        <v>0</v>
      </c>
      <c r="Y58" s="64">
        <v>0</v>
      </c>
      <c r="Z58" s="64">
        <v>0</v>
      </c>
      <c r="AA58" s="64">
        <v>0</v>
      </c>
      <c r="AC58" s="64">
        <f>SUM(X58:AA58)</f>
        <v>0</v>
      </c>
    </row>
    <row r="59" spans="1:31" s="21" customFormat="1" ht="17" outlineLevel="1" thickBot="1" x14ac:dyDescent="0.25">
      <c r="A59" s="18"/>
      <c r="B59" s="38" t="s">
        <v>66</v>
      </c>
      <c r="C59" s="74"/>
      <c r="D59" s="74"/>
      <c r="E59" s="74"/>
      <c r="F59" s="74"/>
      <c r="G59" s="74"/>
      <c r="H59" s="74"/>
      <c r="I59" s="74"/>
      <c r="J59" s="74"/>
      <c r="K59" s="74"/>
      <c r="L59" s="74"/>
      <c r="M59" s="74">
        <v>1469673</v>
      </c>
      <c r="N59" s="74">
        <v>-60669</v>
      </c>
      <c r="O59" s="74">
        <v>-196895</v>
      </c>
      <c r="P59" s="74">
        <v>-450515</v>
      </c>
      <c r="Q59" s="74">
        <v>-372375</v>
      </c>
      <c r="R59" s="1"/>
      <c r="S59" s="1"/>
      <c r="T59" s="74">
        <v>-45736</v>
      </c>
      <c r="U59" s="74">
        <v>-215151</v>
      </c>
      <c r="V59" s="74">
        <v>-172643</v>
      </c>
      <c r="W59" s="74"/>
      <c r="X59" s="74">
        <v>-235204</v>
      </c>
      <c r="Y59" s="74">
        <v>-111602</v>
      </c>
      <c r="Z59" s="74">
        <v>-11167</v>
      </c>
      <c r="AA59" s="74">
        <v>-14402</v>
      </c>
      <c r="AB59" s="1"/>
      <c r="AC59" s="74">
        <f t="shared" si="26"/>
        <v>-372375</v>
      </c>
      <c r="AD59" s="1"/>
      <c r="AE59" s="1"/>
    </row>
    <row r="60" spans="1:31" x14ac:dyDescent="0.2">
      <c r="B60" s="1"/>
    </row>
    <row r="61" spans="1:31" s="17" customFormat="1" ht="17" thickBot="1" x14ac:dyDescent="0.25">
      <c r="A61" s="13"/>
      <c r="B61" s="16" t="s">
        <v>67</v>
      </c>
      <c r="R61" s="1"/>
      <c r="S61" s="1"/>
      <c r="AB61" s="1"/>
      <c r="AD61" s="1"/>
      <c r="AE61" s="1"/>
    </row>
    <row r="62" spans="1:31" hidden="1" outlineLevel="2" x14ac:dyDescent="0.2">
      <c r="B62" s="22" t="s">
        <v>68</v>
      </c>
      <c r="C62" s="66">
        <f t="shared" ref="C62:Q62" si="27">C5-C6-C11+C13+C14+C16</f>
        <v>0</v>
      </c>
      <c r="D62" s="66">
        <f t="shared" si="27"/>
        <v>0</v>
      </c>
      <c r="E62" s="66">
        <f t="shared" si="27"/>
        <v>0</v>
      </c>
      <c r="F62" s="66">
        <f t="shared" si="27"/>
        <v>0</v>
      </c>
      <c r="G62" s="66">
        <f t="shared" si="27"/>
        <v>0</v>
      </c>
      <c r="H62" s="66">
        <f t="shared" si="27"/>
        <v>0</v>
      </c>
      <c r="I62" s="66">
        <f t="shared" si="27"/>
        <v>0</v>
      </c>
      <c r="J62" s="66">
        <f t="shared" si="27"/>
        <v>0</v>
      </c>
      <c r="K62" s="66">
        <f t="shared" si="27"/>
        <v>0</v>
      </c>
      <c r="L62" s="66">
        <f t="shared" si="27"/>
        <v>0</v>
      </c>
      <c r="M62" s="66">
        <f t="shared" si="27"/>
        <v>-525586</v>
      </c>
      <c r="N62" s="66">
        <f t="shared" si="27"/>
        <v>-328352</v>
      </c>
      <c r="O62" s="66">
        <f t="shared" si="27"/>
        <v>-89883</v>
      </c>
      <c r="P62" s="66">
        <f t="shared" si="27"/>
        <v>-73694</v>
      </c>
      <c r="Q62" s="66">
        <f t="shared" si="27"/>
        <v>282330</v>
      </c>
      <c r="T62" s="66">
        <f t="shared" ref="T62:AA62" si="28">T5-T6-T11+T13+T14+T16</f>
        <v>-28736</v>
      </c>
      <c r="U62" s="66">
        <f t="shared" si="28"/>
        <v>-86097</v>
      </c>
      <c r="V62" s="66">
        <f t="shared" si="28"/>
        <v>-10655</v>
      </c>
      <c r="W62" s="66">
        <f t="shared" si="28"/>
        <v>51794</v>
      </c>
      <c r="X62" s="66">
        <f t="shared" si="28"/>
        <v>-22555</v>
      </c>
      <c r="Y62" s="66">
        <f t="shared" si="28"/>
        <v>1584</v>
      </c>
      <c r="Z62" s="66">
        <f t="shared" si="28"/>
        <v>198839</v>
      </c>
      <c r="AA62" s="66">
        <f t="shared" si="28"/>
        <v>104462</v>
      </c>
      <c r="AC62" s="66">
        <f>AC5-AC6-AC11+AC13+AC14+AC16</f>
        <v>282330</v>
      </c>
    </row>
    <row r="63" spans="1:31" s="43" customFormat="1" outlineLevel="1" collapsed="1" x14ac:dyDescent="0.2">
      <c r="A63" s="18"/>
      <c r="B63" s="19" t="s">
        <v>69</v>
      </c>
      <c r="C63" s="42">
        <f t="shared" ref="C63:Q63" si="29">C17-C62</f>
        <v>0</v>
      </c>
      <c r="D63" s="42">
        <f t="shared" si="29"/>
        <v>0</v>
      </c>
      <c r="E63" s="42">
        <f t="shared" si="29"/>
        <v>0</v>
      </c>
      <c r="F63" s="42">
        <f t="shared" si="29"/>
        <v>0</v>
      </c>
      <c r="G63" s="42">
        <f t="shared" si="29"/>
        <v>0</v>
      </c>
      <c r="H63" s="42">
        <f t="shared" si="29"/>
        <v>0</v>
      </c>
      <c r="I63" s="42">
        <f t="shared" si="29"/>
        <v>0</v>
      </c>
      <c r="J63" s="42">
        <f t="shared" si="29"/>
        <v>0</v>
      </c>
      <c r="K63" s="42">
        <f t="shared" si="29"/>
        <v>0</v>
      </c>
      <c r="L63" s="42">
        <f t="shared" si="29"/>
        <v>0</v>
      </c>
      <c r="M63" s="42">
        <f t="shared" si="29"/>
        <v>0</v>
      </c>
      <c r="N63" s="42">
        <f t="shared" si="29"/>
        <v>0</v>
      </c>
      <c r="O63" s="42">
        <f t="shared" si="29"/>
        <v>0</v>
      </c>
      <c r="P63" s="42">
        <f t="shared" si="29"/>
        <v>0</v>
      </c>
      <c r="Q63" s="42">
        <f t="shared" si="29"/>
        <v>0</v>
      </c>
      <c r="R63" s="1"/>
      <c r="S63" s="1"/>
      <c r="T63" s="42">
        <f t="shared" ref="T63:AA63" si="30">T17-T62</f>
        <v>0</v>
      </c>
      <c r="U63" s="42">
        <f t="shared" si="30"/>
        <v>0</v>
      </c>
      <c r="V63" s="42">
        <f t="shared" si="30"/>
        <v>0</v>
      </c>
      <c r="W63" s="42">
        <f t="shared" si="30"/>
        <v>0</v>
      </c>
      <c r="X63" s="42">
        <f t="shared" si="30"/>
        <v>0</v>
      </c>
      <c r="Y63" s="42">
        <f t="shared" si="30"/>
        <v>0</v>
      </c>
      <c r="Z63" s="42">
        <f t="shared" si="30"/>
        <v>0</v>
      </c>
      <c r="AA63" s="42">
        <f t="shared" si="30"/>
        <v>0</v>
      </c>
      <c r="AB63" s="18"/>
      <c r="AC63" s="42">
        <f>AC17-AC62</f>
        <v>0</v>
      </c>
      <c r="AD63" s="1"/>
      <c r="AE63" s="1"/>
    </row>
    <row r="64" spans="1:31" s="43" customFormat="1" outlineLevel="1" x14ac:dyDescent="0.2">
      <c r="A64" s="18"/>
      <c r="B64" s="19" t="s">
        <v>70</v>
      </c>
      <c r="C64" s="44">
        <f t="shared" ref="C64:Q64" si="31">C35-(C40+C44)</f>
        <v>0</v>
      </c>
      <c r="D64" s="44">
        <f t="shared" si="31"/>
        <v>0</v>
      </c>
      <c r="E64" s="44">
        <f t="shared" si="31"/>
        <v>0</v>
      </c>
      <c r="F64" s="44">
        <f t="shared" si="31"/>
        <v>0</v>
      </c>
      <c r="G64" s="44">
        <f t="shared" si="31"/>
        <v>0</v>
      </c>
      <c r="H64" s="44">
        <f t="shared" si="31"/>
        <v>0</v>
      </c>
      <c r="I64" s="44">
        <f t="shared" si="31"/>
        <v>0</v>
      </c>
      <c r="J64" s="44">
        <f t="shared" si="31"/>
        <v>0</v>
      </c>
      <c r="K64" s="44">
        <f t="shared" si="31"/>
        <v>0</v>
      </c>
      <c r="L64" s="44">
        <f t="shared" si="31"/>
        <v>0</v>
      </c>
      <c r="M64" s="44">
        <f t="shared" si="31"/>
        <v>0</v>
      </c>
      <c r="N64" s="44">
        <f t="shared" si="31"/>
        <v>0</v>
      </c>
      <c r="O64" s="44">
        <f t="shared" si="31"/>
        <v>0</v>
      </c>
      <c r="P64" s="44">
        <f t="shared" si="31"/>
        <v>0</v>
      </c>
      <c r="Q64" s="44">
        <f t="shared" si="31"/>
        <v>0</v>
      </c>
      <c r="R64" s="1"/>
      <c r="S64" s="1"/>
      <c r="T64" s="44">
        <f t="shared" ref="T64:AA64" si="32">T35-(T40+T44)</f>
        <v>0</v>
      </c>
      <c r="U64" s="44">
        <f t="shared" si="32"/>
        <v>0</v>
      </c>
      <c r="V64" s="44">
        <f t="shared" si="32"/>
        <v>0</v>
      </c>
      <c r="W64" s="44">
        <f t="shared" si="32"/>
        <v>0</v>
      </c>
      <c r="X64" s="44">
        <f t="shared" si="32"/>
        <v>0</v>
      </c>
      <c r="Y64" s="44">
        <f t="shared" si="32"/>
        <v>0</v>
      </c>
      <c r="Z64" s="44">
        <f t="shared" si="32"/>
        <v>0</v>
      </c>
      <c r="AA64" s="44">
        <f t="shared" si="32"/>
        <v>0</v>
      </c>
      <c r="AB64" s="18"/>
      <c r="AC64" s="44">
        <f>AC35-(AC40+AC44)</f>
        <v>0</v>
      </c>
      <c r="AD64" s="1"/>
      <c r="AE64" s="1"/>
    </row>
    <row r="65" spans="1:31" hidden="1" outlineLevel="2" x14ac:dyDescent="0.2">
      <c r="B65" s="22" t="s">
        <v>71</v>
      </c>
      <c r="C65" s="26">
        <f t="shared" ref="C65:Q65" si="33">SUM(C48:C52)</f>
        <v>0</v>
      </c>
      <c r="D65" s="26">
        <f t="shared" si="33"/>
        <v>0</v>
      </c>
      <c r="E65" s="26">
        <f t="shared" si="33"/>
        <v>0</v>
      </c>
      <c r="F65" s="26">
        <f t="shared" si="33"/>
        <v>0</v>
      </c>
      <c r="G65" s="26">
        <f t="shared" si="33"/>
        <v>0</v>
      </c>
      <c r="H65" s="26">
        <f t="shared" si="33"/>
        <v>0</v>
      </c>
      <c r="I65" s="26">
        <f t="shared" si="33"/>
        <v>0</v>
      </c>
      <c r="J65" s="26">
        <f t="shared" si="33"/>
        <v>0</v>
      </c>
      <c r="K65" s="26">
        <f t="shared" si="33"/>
        <v>0</v>
      </c>
      <c r="L65" s="26">
        <f t="shared" si="33"/>
        <v>0</v>
      </c>
      <c r="M65" s="26">
        <f t="shared" si="33"/>
        <v>424386</v>
      </c>
      <c r="N65" s="26">
        <f t="shared" si="33"/>
        <v>241876</v>
      </c>
      <c r="O65" s="26">
        <f t="shared" si="33"/>
        <v>327624</v>
      </c>
      <c r="P65" s="26">
        <f t="shared" si="33"/>
        <v>333611</v>
      </c>
      <c r="Q65" s="26">
        <f t="shared" si="33"/>
        <v>158438</v>
      </c>
      <c r="T65" s="26">
        <f t="shared" ref="T65:AA65" si="34">SUM(T48:T52)</f>
        <v>109931</v>
      </c>
      <c r="U65" s="26">
        <f t="shared" si="34"/>
        <v>116145</v>
      </c>
      <c r="V65" s="26">
        <f t="shared" si="34"/>
        <v>40000</v>
      </c>
      <c r="W65" s="26">
        <f t="shared" si="34"/>
        <v>0</v>
      </c>
      <c r="X65" s="26">
        <f t="shared" si="34"/>
        <v>102955</v>
      </c>
      <c r="Y65" s="26">
        <f t="shared" si="34"/>
        <v>24944</v>
      </c>
      <c r="Z65" s="26">
        <f t="shared" si="34"/>
        <v>-19465</v>
      </c>
      <c r="AA65" s="26">
        <f t="shared" si="34"/>
        <v>50004</v>
      </c>
    </row>
    <row r="66" spans="1:31" hidden="1" outlineLevel="2" x14ac:dyDescent="0.2">
      <c r="B66" s="22" t="s">
        <v>72</v>
      </c>
      <c r="C66" s="26" t="e">
        <f>C53+C56+C59+#REF!+#REF!</f>
        <v>#REF!</v>
      </c>
      <c r="D66" s="26" t="e">
        <f>D53+D56+D59+#REF!+#REF!</f>
        <v>#REF!</v>
      </c>
      <c r="E66" s="26" t="e">
        <f>E53+E56+E59+#REF!+#REF!</f>
        <v>#REF!</v>
      </c>
      <c r="F66" s="26" t="e">
        <f>F53+F56+F59+#REF!+#REF!</f>
        <v>#REF!</v>
      </c>
      <c r="G66" s="26" t="e">
        <f>G53+G56+G59+#REF!+#REF!</f>
        <v>#REF!</v>
      </c>
      <c r="H66" s="26" t="e">
        <f>H53+H56+H59+#REF!+#REF!</f>
        <v>#REF!</v>
      </c>
      <c r="I66" s="26" t="e">
        <f>I53+I56+I59+#REF!+#REF!</f>
        <v>#REF!</v>
      </c>
      <c r="J66" s="26" t="e">
        <f>J53+J56+J59+#REF!+#REF!</f>
        <v>#REF!</v>
      </c>
      <c r="K66" s="26" t="e">
        <f>K53+K56+K59+#REF!+#REF!</f>
        <v>#REF!</v>
      </c>
      <c r="L66" s="26" t="e">
        <f>L53+L56+L59+#REF!+#REF!</f>
        <v>#REF!</v>
      </c>
      <c r="M66" s="26" t="e">
        <f>M53+M56+M59+#REF!+#REF!</f>
        <v>#REF!</v>
      </c>
      <c r="N66" s="26" t="e">
        <f>N53+N56+N59+#REF!+#REF!</f>
        <v>#REF!</v>
      </c>
      <c r="O66" s="26" t="e">
        <f>O53+O56+O59+#REF!+#REF!</f>
        <v>#REF!</v>
      </c>
      <c r="P66" s="26" t="e">
        <f>P53+P56+P59+#REF!+#REF!</f>
        <v>#REF!</v>
      </c>
      <c r="Q66" s="26" t="e">
        <f>Q53+Q56+Q59+#REF!+#REF!</f>
        <v>#REF!</v>
      </c>
      <c r="T66" s="26" t="e">
        <f>T53+T56+T59+#REF!+#REF!</f>
        <v>#REF!</v>
      </c>
      <c r="U66" s="26" t="e">
        <f>U53+U56+U59+#REF!+#REF!</f>
        <v>#REF!</v>
      </c>
      <c r="V66" s="26" t="e">
        <f>V53+V56+V59+#REF!+#REF!</f>
        <v>#REF!</v>
      </c>
      <c r="W66" s="26" t="e">
        <f>W53+W56+W59+#REF!+#REF!</f>
        <v>#REF!</v>
      </c>
      <c r="X66" s="26" t="e">
        <f>X53+X56+X59+#REF!+#REF!</f>
        <v>#REF!</v>
      </c>
      <c r="Y66" s="26" t="e">
        <f>Y53+Y56+Y59+#REF!+#REF!</f>
        <v>#REF!</v>
      </c>
      <c r="Z66" s="26" t="e">
        <f>Z53+Z56+Z59+#REF!+#REF!</f>
        <v>#REF!</v>
      </c>
      <c r="AA66" s="26" t="e">
        <f>AA53+AA56+AA59+#REF!+#REF!</f>
        <v>#REF!</v>
      </c>
    </row>
    <row r="67" spans="1:31" x14ac:dyDescent="0.2">
      <c r="B67" s="41"/>
      <c r="J67" s="41"/>
      <c r="K67" s="41"/>
      <c r="L67" s="41"/>
      <c r="M67" s="41"/>
      <c r="N67" s="41"/>
      <c r="O67" s="41"/>
      <c r="P67" s="41"/>
    </row>
    <row r="68" spans="1:31" s="17" customFormat="1" ht="17" thickBot="1" x14ac:dyDescent="0.25">
      <c r="A68" s="13"/>
      <c r="B68" s="16" t="s">
        <v>73</v>
      </c>
      <c r="R68" s="1"/>
      <c r="S68" s="1"/>
      <c r="AB68" s="1"/>
      <c r="AD68" s="1"/>
      <c r="AE68" s="1"/>
    </row>
    <row r="69" spans="1:31" outlineLevel="1" x14ac:dyDescent="0.2">
      <c r="B69" s="22" t="s">
        <v>74</v>
      </c>
      <c r="C69" s="45"/>
      <c r="D69" s="45"/>
      <c r="E69" s="45"/>
      <c r="F69" s="45"/>
      <c r="G69" s="45"/>
      <c r="H69" s="45"/>
      <c r="I69" s="45"/>
      <c r="J69" s="23"/>
      <c r="K69" s="23"/>
      <c r="L69" s="23"/>
      <c r="M69" s="23">
        <f>459635+82453</f>
        <v>542088</v>
      </c>
      <c r="N69" s="23">
        <f>474970+82453</f>
        <v>557423</v>
      </c>
      <c r="O69" s="23">
        <f>486560+82453</f>
        <v>569013</v>
      </c>
      <c r="P69" s="23">
        <f>474040+77453</f>
        <v>551493</v>
      </c>
      <c r="Q69" s="23">
        <f>459231+64691</f>
        <v>523922</v>
      </c>
      <c r="T69" s="23">
        <f>490325+82453</f>
        <v>572778</v>
      </c>
      <c r="U69" s="23">
        <f>467505+82453</f>
        <v>549958</v>
      </c>
      <c r="V69" s="23">
        <f>467146+82453</f>
        <v>549599</v>
      </c>
      <c r="W69" s="23">
        <f>474040+77453</f>
        <v>551493</v>
      </c>
      <c r="X69" s="23">
        <f>457586+77453</f>
        <v>535039</v>
      </c>
      <c r="Y69" s="23">
        <f>453569+77453</f>
        <v>531022</v>
      </c>
      <c r="Z69" s="23">
        <f>460444+74306</f>
        <v>534750</v>
      </c>
      <c r="AA69" s="23">
        <f t="shared" ref="AA69" si="35">459231+64691</f>
        <v>523922</v>
      </c>
      <c r="AC69" s="26">
        <f>AA69</f>
        <v>523922</v>
      </c>
    </row>
    <row r="70" spans="1:31" outlineLevel="1" x14ac:dyDescent="0.2">
      <c r="B70" s="22" t="s">
        <v>75</v>
      </c>
      <c r="C70" s="27"/>
      <c r="D70" s="27"/>
      <c r="E70" s="27"/>
      <c r="F70" s="27"/>
      <c r="G70" s="27"/>
      <c r="H70" s="27"/>
      <c r="I70" s="27"/>
      <c r="J70" s="27"/>
      <c r="K70" s="27"/>
      <c r="L70" s="27"/>
      <c r="M70" s="27">
        <f t="shared" ref="M70:Q70" si="36">M69*M80</f>
        <v>542088</v>
      </c>
      <c r="N70" s="27">
        <f t="shared" si="36"/>
        <v>557423</v>
      </c>
      <c r="O70" s="27">
        <f t="shared" si="36"/>
        <v>569013</v>
      </c>
      <c r="P70" s="27">
        <f t="shared" si="36"/>
        <v>551493</v>
      </c>
      <c r="Q70" s="27">
        <f t="shared" si="36"/>
        <v>523922</v>
      </c>
      <c r="T70" s="27">
        <f t="shared" ref="T70" si="37">T69*T80</f>
        <v>572778</v>
      </c>
      <c r="U70" s="27">
        <f t="shared" ref="U70" si="38">U69*U80</f>
        <v>549958</v>
      </c>
      <c r="V70" s="27">
        <f t="shared" ref="V70" si="39">V69*V80</f>
        <v>549599</v>
      </c>
      <c r="W70" s="27">
        <f t="shared" ref="W70" si="40">W69*W80</f>
        <v>551493</v>
      </c>
      <c r="X70" s="27">
        <f t="shared" ref="X70" si="41">X69*X80</f>
        <v>535039</v>
      </c>
      <c r="Y70" s="27">
        <f t="shared" ref="Y70" si="42">Y69*Y80</f>
        <v>531022</v>
      </c>
      <c r="Z70" s="27">
        <f t="shared" ref="Z70" si="43">Z69*Z80</f>
        <v>534750</v>
      </c>
      <c r="AA70" s="27">
        <f t="shared" ref="AA70" si="44">AA69*AA80</f>
        <v>523922</v>
      </c>
      <c r="AC70" s="26">
        <f>AA70</f>
        <v>523922</v>
      </c>
    </row>
    <row r="71" spans="1:31" outlineLevel="1" x14ac:dyDescent="0.2">
      <c r="B71" s="22" t="s">
        <v>306</v>
      </c>
      <c r="C71" s="27"/>
      <c r="D71" s="27"/>
      <c r="E71" s="27"/>
      <c r="F71" s="27"/>
      <c r="G71" s="27"/>
      <c r="H71" s="27"/>
      <c r="I71" s="27"/>
      <c r="J71" s="27"/>
      <c r="K71" s="27"/>
      <c r="L71" s="27"/>
      <c r="M71" s="23">
        <v>0</v>
      </c>
      <c r="N71" s="23">
        <v>0</v>
      </c>
      <c r="O71" s="23">
        <v>0</v>
      </c>
      <c r="P71" s="23">
        <v>0</v>
      </c>
      <c r="Q71" s="23">
        <v>6735</v>
      </c>
      <c r="T71" s="23">
        <v>0</v>
      </c>
      <c r="U71" s="23">
        <v>0</v>
      </c>
      <c r="V71" s="23">
        <v>0</v>
      </c>
      <c r="W71" s="23">
        <v>0</v>
      </c>
      <c r="X71" s="23">
        <v>0</v>
      </c>
      <c r="Y71" s="23">
        <v>6696</v>
      </c>
      <c r="Z71" s="23">
        <v>6763</v>
      </c>
      <c r="AA71" s="23">
        <v>6735</v>
      </c>
      <c r="AC71" s="23">
        <f>AA71</f>
        <v>6735</v>
      </c>
    </row>
    <row r="72" spans="1:31" outlineLevel="1" x14ac:dyDescent="0.2">
      <c r="B72" s="22" t="s">
        <v>307</v>
      </c>
      <c r="C72" s="27"/>
      <c r="D72" s="27"/>
      <c r="E72" s="27"/>
      <c r="F72" s="27"/>
      <c r="G72" s="27"/>
      <c r="H72" s="27"/>
      <c r="I72" s="27"/>
      <c r="J72" s="27"/>
      <c r="K72" s="27"/>
      <c r="L72" s="27"/>
      <c r="M72" s="27">
        <f t="shared" ref="M72:P72" si="45">M71*M80</f>
        <v>0</v>
      </c>
      <c r="N72" s="27">
        <f t="shared" si="45"/>
        <v>0</v>
      </c>
      <c r="O72" s="27">
        <f t="shared" si="45"/>
        <v>0</v>
      </c>
      <c r="P72" s="27">
        <f t="shared" si="45"/>
        <v>0</v>
      </c>
      <c r="Q72" s="27">
        <f>Q71*Q80</f>
        <v>6735</v>
      </c>
      <c r="T72" s="27">
        <f t="shared" ref="T72:AA72" si="46">T71*T80</f>
        <v>0</v>
      </c>
      <c r="U72" s="27">
        <f t="shared" si="46"/>
        <v>0</v>
      </c>
      <c r="V72" s="27">
        <f t="shared" si="46"/>
        <v>0</v>
      </c>
      <c r="W72" s="27">
        <f t="shared" si="46"/>
        <v>0</v>
      </c>
      <c r="X72" s="27">
        <f t="shared" si="46"/>
        <v>0</v>
      </c>
      <c r="Y72" s="27">
        <f t="shared" si="46"/>
        <v>6696</v>
      </c>
      <c r="Z72" s="27">
        <f t="shared" si="46"/>
        <v>6763</v>
      </c>
      <c r="AA72" s="27">
        <f t="shared" si="46"/>
        <v>6735</v>
      </c>
      <c r="AC72" s="26">
        <f>AA72</f>
        <v>6735</v>
      </c>
    </row>
    <row r="73" spans="1:31" outlineLevel="1" x14ac:dyDescent="0.2">
      <c r="B73" s="22" t="s">
        <v>308</v>
      </c>
      <c r="C73" s="27"/>
      <c r="D73" s="27"/>
      <c r="E73" s="27"/>
      <c r="F73" s="27"/>
      <c r="G73" s="27"/>
      <c r="H73" s="27"/>
      <c r="I73" s="27"/>
      <c r="J73" s="27"/>
      <c r="K73" s="27"/>
      <c r="L73" s="27"/>
      <c r="M73" s="27">
        <f t="shared" ref="M73:P73" si="47">M70+M72</f>
        <v>542088</v>
      </c>
      <c r="N73" s="27">
        <f t="shared" si="47"/>
        <v>557423</v>
      </c>
      <c r="O73" s="27">
        <f t="shared" si="47"/>
        <v>569013</v>
      </c>
      <c r="P73" s="27">
        <f t="shared" si="47"/>
        <v>551493</v>
      </c>
      <c r="Q73" s="27">
        <f>Q70+Q72</f>
        <v>530657</v>
      </c>
      <c r="T73" s="27">
        <f t="shared" ref="T73:AA73" si="48">T70+T72</f>
        <v>572778</v>
      </c>
      <c r="U73" s="27">
        <f t="shared" si="48"/>
        <v>549958</v>
      </c>
      <c r="V73" s="27">
        <f t="shared" si="48"/>
        <v>549599</v>
      </c>
      <c r="W73" s="27">
        <f t="shared" si="48"/>
        <v>551493</v>
      </c>
      <c r="X73" s="27">
        <f t="shared" si="48"/>
        <v>535039</v>
      </c>
      <c r="Y73" s="27">
        <f t="shared" si="48"/>
        <v>537718</v>
      </c>
      <c r="Z73" s="27">
        <f t="shared" si="48"/>
        <v>541513</v>
      </c>
      <c r="AA73" s="27">
        <f t="shared" si="48"/>
        <v>530657</v>
      </c>
      <c r="AC73" s="26">
        <f>AA73</f>
        <v>530657</v>
      </c>
    </row>
    <row r="74" spans="1:31" outlineLevel="1" x14ac:dyDescent="0.2">
      <c r="B74" s="22" t="s">
        <v>349</v>
      </c>
      <c r="C74" s="27"/>
      <c r="D74" s="27"/>
      <c r="E74" s="27"/>
      <c r="F74" s="27"/>
      <c r="G74" s="27"/>
      <c r="H74" s="27"/>
      <c r="I74" s="27"/>
      <c r="J74" s="27"/>
      <c r="K74" s="27"/>
      <c r="L74" s="27"/>
      <c r="M74" s="23">
        <f>91239+82453</f>
        <v>173692</v>
      </c>
      <c r="N74" s="23">
        <f>91503+82453</f>
        <v>173956</v>
      </c>
      <c r="O74" s="23">
        <f>45636+82453</f>
        <v>128089</v>
      </c>
      <c r="P74" s="23">
        <f>46600+77453</f>
        <v>124053</v>
      </c>
      <c r="Q74" s="23">
        <f>52118+64691</f>
        <v>116809</v>
      </c>
      <c r="T74" s="71"/>
      <c r="U74" s="71"/>
      <c r="V74" s="71"/>
      <c r="W74" s="71"/>
      <c r="X74" s="71"/>
      <c r="Y74" s="71"/>
      <c r="Z74" s="71"/>
      <c r="AA74" s="71"/>
      <c r="AC74" s="26">
        <f>Q74</f>
        <v>116809</v>
      </c>
    </row>
    <row r="75" spans="1:31" outlineLevel="1" x14ac:dyDescent="0.2">
      <c r="B75" s="22" t="s">
        <v>350</v>
      </c>
      <c r="C75" s="27"/>
      <c r="D75" s="27"/>
      <c r="E75" s="27"/>
      <c r="F75" s="27"/>
      <c r="G75" s="27"/>
      <c r="H75" s="27"/>
      <c r="I75" s="27"/>
      <c r="J75" s="27"/>
      <c r="K75" s="27"/>
      <c r="L75" s="27"/>
      <c r="M75" s="27">
        <f t="shared" ref="M75:P75" si="49">M74*M80</f>
        <v>173692</v>
      </c>
      <c r="N75" s="27">
        <f t="shared" si="49"/>
        <v>173956</v>
      </c>
      <c r="O75" s="27">
        <f t="shared" si="49"/>
        <v>128089</v>
      </c>
      <c r="P75" s="27">
        <f t="shared" si="49"/>
        <v>124053</v>
      </c>
      <c r="Q75" s="27">
        <f>Q74*Q80</f>
        <v>116809</v>
      </c>
      <c r="T75" s="71"/>
      <c r="U75" s="71"/>
      <c r="V75" s="71"/>
      <c r="W75" s="71"/>
      <c r="X75" s="71"/>
      <c r="Y75" s="71"/>
      <c r="Z75" s="71"/>
      <c r="AA75" s="71"/>
      <c r="AC75" s="26">
        <f>Q75</f>
        <v>116809</v>
      </c>
    </row>
    <row r="76" spans="1:31" outlineLevel="1" x14ac:dyDescent="0.2">
      <c r="B76" s="25" t="s">
        <v>76</v>
      </c>
      <c r="C76" s="46"/>
      <c r="D76" s="46"/>
      <c r="E76" s="46"/>
      <c r="F76" s="46"/>
      <c r="G76" s="46"/>
      <c r="H76" s="46"/>
      <c r="I76" s="46"/>
      <c r="J76" s="46"/>
      <c r="K76" s="46"/>
      <c r="L76" s="46"/>
      <c r="M76" s="46">
        <v>0</v>
      </c>
      <c r="N76" s="46">
        <v>0</v>
      </c>
      <c r="O76" s="46">
        <v>0</v>
      </c>
      <c r="P76" s="46">
        <v>0</v>
      </c>
      <c r="Q76" s="46">
        <v>0</v>
      </c>
      <c r="T76" s="46">
        <v>0</v>
      </c>
      <c r="U76" s="46">
        <v>0</v>
      </c>
      <c r="V76" s="46">
        <v>0</v>
      </c>
      <c r="W76" s="46">
        <v>0</v>
      </c>
      <c r="X76" s="46">
        <v>0</v>
      </c>
      <c r="Y76" s="46">
        <v>0</v>
      </c>
      <c r="Z76" s="46">
        <v>0</v>
      </c>
      <c r="AA76" s="46">
        <v>0</v>
      </c>
      <c r="AC76" s="75">
        <f>SUM(X76:AA76)</f>
        <v>0</v>
      </c>
    </row>
    <row r="77" spans="1:31" outlineLevel="1" x14ac:dyDescent="0.2">
      <c r="B77" s="25" t="s">
        <v>77</v>
      </c>
      <c r="C77" s="41"/>
      <c r="D77" s="47"/>
      <c r="E77" s="47"/>
      <c r="F77" s="47"/>
      <c r="G77" s="47"/>
      <c r="H77" s="47"/>
      <c r="I77" s="47"/>
      <c r="J77" s="47"/>
      <c r="K77" s="47"/>
      <c r="L77" s="47"/>
      <c r="M77" s="47">
        <f t="shared" ref="M77:Q77" si="50">M76/M80</f>
        <v>0</v>
      </c>
      <c r="N77" s="47">
        <f t="shared" si="50"/>
        <v>0</v>
      </c>
      <c r="O77" s="47">
        <f t="shared" si="50"/>
        <v>0</v>
      </c>
      <c r="P77" s="47">
        <f t="shared" si="50"/>
        <v>0</v>
      </c>
      <c r="Q77" s="47">
        <f t="shared" si="50"/>
        <v>0</v>
      </c>
      <c r="T77" s="47">
        <f t="shared" ref="T77" si="51">T76/T80</f>
        <v>0</v>
      </c>
      <c r="U77" s="47">
        <f t="shared" ref="U77" si="52">U76/U80</f>
        <v>0</v>
      </c>
      <c r="V77" s="47">
        <f t="shared" ref="V77" si="53">V76/V80</f>
        <v>0</v>
      </c>
      <c r="W77" s="47">
        <f t="shared" ref="W77" si="54">W76/W80</f>
        <v>0</v>
      </c>
      <c r="X77" s="47">
        <f t="shared" ref="X77" si="55">X76/X80</f>
        <v>0</v>
      </c>
      <c r="Y77" s="47">
        <f t="shared" ref="Y77" si="56">Y76/Y80</f>
        <v>0</v>
      </c>
      <c r="Z77" s="47">
        <f t="shared" ref="Z77" si="57">Z76/Z80</f>
        <v>0</v>
      </c>
      <c r="AA77" s="47">
        <f t="shared" ref="AA77" si="58">AA76/AA80</f>
        <v>0</v>
      </c>
      <c r="AC77" s="75">
        <f>SUM(X77:AA77)</f>
        <v>0</v>
      </c>
    </row>
    <row r="78" spans="1:31" outlineLevel="1" x14ac:dyDescent="0.2">
      <c r="B78" s="22" t="s">
        <v>78</v>
      </c>
      <c r="C78" s="48">
        <f t="shared" ref="C78:O78" si="59">IF(AND(C15&gt;0,C16&lt;0),-(C16)/C15,0)</f>
        <v>0</v>
      </c>
      <c r="D78" s="48">
        <f t="shared" si="59"/>
        <v>0</v>
      </c>
      <c r="E78" s="48">
        <f t="shared" si="59"/>
        <v>0</v>
      </c>
      <c r="F78" s="48">
        <f t="shared" si="59"/>
        <v>0</v>
      </c>
      <c r="G78" s="48">
        <f t="shared" si="59"/>
        <v>0</v>
      </c>
      <c r="H78" s="48">
        <f t="shared" si="59"/>
        <v>0</v>
      </c>
      <c r="I78" s="48">
        <f t="shared" si="59"/>
        <v>0</v>
      </c>
      <c r="J78" s="48">
        <f t="shared" si="59"/>
        <v>0</v>
      </c>
      <c r="K78" s="48">
        <f t="shared" si="59"/>
        <v>0</v>
      </c>
      <c r="L78" s="48">
        <f t="shared" si="59"/>
        <v>0</v>
      </c>
      <c r="M78" s="48">
        <f t="shared" si="59"/>
        <v>0</v>
      </c>
      <c r="N78" s="48">
        <f t="shared" si="59"/>
        <v>0</v>
      </c>
      <c r="O78" s="48">
        <f t="shared" si="59"/>
        <v>0</v>
      </c>
      <c r="P78" s="48">
        <f>IF(AND(P15&gt;0,P16&lt;0),-(P16)/P15,0)</f>
        <v>0</v>
      </c>
      <c r="Q78" s="48">
        <f>IF(AND(Q15&gt;0,Q16&lt;0),-(Q16)/Q15,0)</f>
        <v>0</v>
      </c>
      <c r="T78" s="48">
        <f t="shared" ref="T78:AA78" si="60">IF(AND(T15&gt;0,T16&lt;0),-(T16)/T15,0)</f>
        <v>0</v>
      </c>
      <c r="U78" s="48">
        <f t="shared" si="60"/>
        <v>0</v>
      </c>
      <c r="V78" s="48">
        <f t="shared" si="60"/>
        <v>0</v>
      </c>
      <c r="W78" s="48">
        <f t="shared" si="60"/>
        <v>5.1808728763913299E-2</v>
      </c>
      <c r="X78" s="48">
        <f t="shared" si="60"/>
        <v>0</v>
      </c>
      <c r="Y78" s="48">
        <f t="shared" si="60"/>
        <v>0.52389540126239853</v>
      </c>
      <c r="Z78" s="48">
        <f t="shared" si="60"/>
        <v>0</v>
      </c>
      <c r="AA78" s="48">
        <f t="shared" si="60"/>
        <v>0</v>
      </c>
      <c r="AC78" s="85">
        <v>0</v>
      </c>
    </row>
    <row r="79" spans="1:31" outlineLevel="1" x14ac:dyDescent="0.2">
      <c r="B79" s="22" t="s">
        <v>79</v>
      </c>
      <c r="C79" s="23"/>
      <c r="D79" s="23"/>
      <c r="E79" s="23"/>
      <c r="F79" s="23"/>
      <c r="G79" s="23"/>
      <c r="H79" s="23"/>
      <c r="I79" s="23"/>
      <c r="J79" s="23"/>
      <c r="K79" s="23"/>
      <c r="L79" s="23"/>
      <c r="M79" s="23">
        <v>4013</v>
      </c>
      <c r="N79" s="23">
        <v>3833</v>
      </c>
      <c r="O79" s="23">
        <v>4035</v>
      </c>
      <c r="P79" s="23">
        <v>3868</v>
      </c>
      <c r="Q79" s="23">
        <v>3981</v>
      </c>
      <c r="T79" s="71"/>
      <c r="U79" s="71"/>
      <c r="V79" s="71"/>
      <c r="W79" s="71"/>
      <c r="X79" s="71"/>
      <c r="Y79" s="71"/>
      <c r="Z79" s="71"/>
      <c r="AA79" s="71"/>
      <c r="AC79" s="71"/>
    </row>
    <row r="80" spans="1:31" outlineLevel="1" x14ac:dyDescent="0.2">
      <c r="B80" s="22" t="s">
        <v>80</v>
      </c>
      <c r="C80" s="23"/>
      <c r="D80" s="23"/>
      <c r="E80" s="23"/>
      <c r="F80" s="23"/>
      <c r="G80" s="23"/>
      <c r="H80" s="23"/>
      <c r="I80" s="23"/>
      <c r="J80" s="23"/>
      <c r="K80" s="23"/>
      <c r="L80" s="23"/>
      <c r="M80" s="23">
        <v>1</v>
      </c>
      <c r="N80" s="23">
        <v>1</v>
      </c>
      <c r="O80" s="23">
        <v>1</v>
      </c>
      <c r="P80" s="23">
        <v>1</v>
      </c>
      <c r="Q80" s="23">
        <v>1</v>
      </c>
      <c r="T80" s="23">
        <v>1</v>
      </c>
      <c r="U80" s="23">
        <v>1</v>
      </c>
      <c r="V80" s="23">
        <v>1</v>
      </c>
      <c r="W80" s="23">
        <v>1</v>
      </c>
      <c r="X80" s="23">
        <v>1</v>
      </c>
      <c r="Y80" s="23">
        <v>1</v>
      </c>
      <c r="Z80" s="23">
        <v>1</v>
      </c>
      <c r="AA80" s="23">
        <v>1</v>
      </c>
      <c r="AC80" s="23">
        <v>1</v>
      </c>
    </row>
    <row r="81" spans="1:31" outlineLevel="1" x14ac:dyDescent="0.2"/>
    <row r="82" spans="1:31" x14ac:dyDescent="0.2">
      <c r="B82" s="1"/>
    </row>
    <row r="83" spans="1:31" s="17" customFormat="1" ht="17" thickBot="1" x14ac:dyDescent="0.25">
      <c r="A83" s="13"/>
      <c r="B83" s="16" t="s">
        <v>81</v>
      </c>
      <c r="R83" s="1"/>
      <c r="S83" s="1"/>
      <c r="AB83" s="1"/>
      <c r="AD83" s="1"/>
      <c r="AE83" s="1"/>
    </row>
    <row r="84" spans="1:31" s="43" customFormat="1" outlineLevel="1" x14ac:dyDescent="0.2">
      <c r="A84" s="18"/>
      <c r="B84" s="19" t="s">
        <v>20</v>
      </c>
      <c r="C84" s="49"/>
      <c r="D84" s="50"/>
      <c r="E84" s="50"/>
      <c r="F84" s="50"/>
      <c r="G84" s="50"/>
      <c r="H84" s="50"/>
      <c r="I84" s="50"/>
      <c r="J84" s="50"/>
      <c r="K84" s="50"/>
      <c r="L84" s="50"/>
      <c r="M84" s="50">
        <f t="shared" ref="M84:Q84" si="61">IF(L5=0,
IF(M5=0,0,IF(M5&gt;0,1,-1)),
(M5-L5)/ABS(L5)
)</f>
        <v>1</v>
      </c>
      <c r="N84" s="50">
        <f t="shared" si="61"/>
        <v>0.18641482451146088</v>
      </c>
      <c r="O84" s="50">
        <f t="shared" si="61"/>
        <v>0.23568437370404344</v>
      </c>
      <c r="P84" s="50">
        <f t="shared" si="61"/>
        <v>9.2955127852289474E-2</v>
      </c>
      <c r="Q84" s="50">
        <f t="shared" si="61"/>
        <v>0.12653882310808692</v>
      </c>
      <c r="R84" s="1"/>
      <c r="S84" s="1"/>
      <c r="T84" s="50">
        <f t="shared" ref="T84:AA91" si="62">IF(S5=0,
IF(T5=0,0,IF(T5&gt;0,1,-1)),
(T5-S5)/ABS(S5)
)</f>
        <v>1</v>
      </c>
      <c r="U84" s="50">
        <f t="shared" si="62"/>
        <v>-5.6276707488839554E-2</v>
      </c>
      <c r="V84" s="50">
        <f t="shared" si="62"/>
        <v>0.12142177307408941</v>
      </c>
      <c r="W84" s="50">
        <f t="shared" si="62"/>
        <v>0.1945366315807282</v>
      </c>
      <c r="X84" s="50">
        <f t="shared" si="62"/>
        <v>-0.15820283916288599</v>
      </c>
      <c r="Y84" s="50">
        <f t="shared" si="62"/>
        <v>1.4311992462649737E-2</v>
      </c>
      <c r="Z84" s="50">
        <f t="shared" si="62"/>
        <v>0.13652523443029016</v>
      </c>
      <c r="AA84" s="50">
        <f t="shared" si="62"/>
        <v>0.17025489342346264</v>
      </c>
      <c r="AB84" s="1"/>
      <c r="AC84" s="70"/>
      <c r="AD84" s="1"/>
      <c r="AE84" s="1"/>
    </row>
    <row r="85" spans="1:31" outlineLevel="1" x14ac:dyDescent="0.2">
      <c r="B85" s="22" t="s">
        <v>21</v>
      </c>
      <c r="C85" s="51"/>
      <c r="D85" s="52"/>
      <c r="E85" s="52"/>
      <c r="F85" s="52"/>
      <c r="G85" s="52"/>
      <c r="H85" s="52"/>
      <c r="I85" s="52"/>
      <c r="J85" s="52"/>
      <c r="K85" s="52"/>
      <c r="L85" s="52"/>
      <c r="M85" s="52">
        <f t="shared" ref="M85:Q85" si="63">IF(L6=0,
IF(M6=0,0,IF(M6&gt;0,1,-1)),
(M6-L6)/ABS(L6)
)</f>
        <v>1</v>
      </c>
      <c r="N85" s="52">
        <f t="shared" si="63"/>
        <v>6.6223322358291689E-2</v>
      </c>
      <c r="O85" s="52">
        <f t="shared" si="63"/>
        <v>8.8158355132712404E-2</v>
      </c>
      <c r="P85" s="52">
        <f t="shared" si="63"/>
        <v>0.26039688858945303</v>
      </c>
      <c r="Q85" s="52">
        <f t="shared" si="63"/>
        <v>9.7358893991301598E-2</v>
      </c>
      <c r="T85" s="52">
        <f t="shared" si="62"/>
        <v>1</v>
      </c>
      <c r="U85" s="52">
        <f t="shared" si="62"/>
        <v>0.14450971531857207</v>
      </c>
      <c r="V85" s="52">
        <f t="shared" si="62"/>
        <v>6.9962097283638664E-3</v>
      </c>
      <c r="W85" s="52">
        <f t="shared" si="62"/>
        <v>1.2091651898436397E-2</v>
      </c>
      <c r="X85" s="52">
        <f t="shared" si="62"/>
        <v>-1.0490594105432795E-2</v>
      </c>
      <c r="Y85" s="52">
        <f t="shared" si="62"/>
        <v>8.1901749220915487E-3</v>
      </c>
      <c r="Z85" s="52">
        <f t="shared" si="62"/>
        <v>6.8841255048151598E-2</v>
      </c>
      <c r="AA85" s="52">
        <f t="shared" si="62"/>
        <v>7.4449223972562928E-2</v>
      </c>
      <c r="AC85" s="71"/>
    </row>
    <row r="86" spans="1:31" s="43" customFormat="1" outlineLevel="1" x14ac:dyDescent="0.2">
      <c r="A86" s="18"/>
      <c r="B86" s="19" t="s">
        <v>22</v>
      </c>
      <c r="C86" s="49"/>
      <c r="D86" s="50"/>
      <c r="E86" s="50"/>
      <c r="F86" s="50"/>
      <c r="G86" s="50"/>
      <c r="H86" s="50"/>
      <c r="I86" s="50"/>
      <c r="J86" s="50"/>
      <c r="K86" s="50"/>
      <c r="L86" s="50"/>
      <c r="M86" s="50">
        <f t="shared" ref="M86:Q86" si="64">IF(L7=0,
IF(M7=0,0,IF(M7&gt;0,1,-1)),
(M7-L7)/ABS(L7)
)</f>
        <v>1</v>
      </c>
      <c r="N86" s="50">
        <f t="shared" si="64"/>
        <v>0.21447253464273469</v>
      </c>
      <c r="O86" s="50">
        <f t="shared" si="64"/>
        <v>0.26591920594629664</v>
      </c>
      <c r="P86" s="50">
        <f t="shared" si="64"/>
        <v>6.3457381571517466E-2</v>
      </c>
      <c r="Q86" s="50">
        <f t="shared" si="64"/>
        <v>0.13263133686529885</v>
      </c>
      <c r="R86" s="1"/>
      <c r="S86" s="1"/>
      <c r="T86" s="50">
        <f t="shared" si="62"/>
        <v>1</v>
      </c>
      <c r="U86" s="50">
        <f t="shared" si="62"/>
        <v>-9.5980156333210623E-2</v>
      </c>
      <c r="V86" s="50">
        <f t="shared" si="62"/>
        <v>0.15006740915578434</v>
      </c>
      <c r="W86" s="50">
        <f t="shared" si="62"/>
        <v>0.23452851593385815</v>
      </c>
      <c r="X86" s="50">
        <f t="shared" si="62"/>
        <v>-0.18474737686292855</v>
      </c>
      <c r="Y86" s="50">
        <f t="shared" si="62"/>
        <v>1.5647255325907633E-2</v>
      </c>
      <c r="Z86" s="50">
        <f t="shared" si="62"/>
        <v>0.15117976243324321</v>
      </c>
      <c r="AA86" s="50">
        <f t="shared" si="62"/>
        <v>0.18951449163163414</v>
      </c>
      <c r="AB86" s="1"/>
      <c r="AC86" s="70"/>
      <c r="AD86" s="1"/>
      <c r="AE86" s="1"/>
    </row>
    <row r="87" spans="1:31" outlineLevel="1" x14ac:dyDescent="0.2">
      <c r="B87" s="22" t="s">
        <v>24</v>
      </c>
      <c r="C87" s="51"/>
      <c r="D87" s="52"/>
      <c r="E87" s="52"/>
      <c r="F87" s="52"/>
      <c r="G87" s="52"/>
      <c r="H87" s="52"/>
      <c r="I87" s="52"/>
      <c r="J87" s="52"/>
      <c r="K87" s="52"/>
      <c r="L87" s="52"/>
      <c r="M87" s="52">
        <f t="shared" ref="M87:Q87" si="65">IF(L8=0,
IF(M8=0,0,IF(M8&gt;0,1,-1)),
(M8-L8)/ABS(L8)
)</f>
        <v>1</v>
      </c>
      <c r="N87" s="52">
        <f t="shared" si="65"/>
        <v>5.5555396298026891E-3</v>
      </c>
      <c r="O87" s="52">
        <f t="shared" si="65"/>
        <v>1.6494716046285551E-2</v>
      </c>
      <c r="P87" s="52">
        <f t="shared" si="65"/>
        <v>3.55657453760184E-2</v>
      </c>
      <c r="Q87" s="52">
        <f t="shared" si="65"/>
        <v>-7.4698067551080383E-2</v>
      </c>
      <c r="T87" s="52">
        <f t="shared" si="62"/>
        <v>1</v>
      </c>
      <c r="U87" s="52">
        <f t="shared" si="62"/>
        <v>7.8778054724407257E-2</v>
      </c>
      <c r="V87" s="52">
        <f t="shared" si="62"/>
        <v>-3.6751916842484432E-2</v>
      </c>
      <c r="W87" s="52">
        <f t="shared" si="62"/>
        <v>-5.5302690343398082E-2</v>
      </c>
      <c r="X87" s="52">
        <f t="shared" si="62"/>
        <v>-9.7123888800922889E-2</v>
      </c>
      <c r="Y87" s="52">
        <f t="shared" si="62"/>
        <v>4.1600641358879129E-2</v>
      </c>
      <c r="Z87" s="52">
        <f t="shared" si="62"/>
        <v>7.746703306615034E-2</v>
      </c>
      <c r="AA87" s="52">
        <f t="shared" si="62"/>
        <v>-5.6198586943176365E-3</v>
      </c>
      <c r="AC87" s="71"/>
    </row>
    <row r="88" spans="1:31" outlineLevel="1" x14ac:dyDescent="0.2">
      <c r="B88" s="22" t="s">
        <v>23</v>
      </c>
      <c r="C88" s="51"/>
      <c r="D88" s="52"/>
      <c r="E88" s="52"/>
      <c r="F88" s="52"/>
      <c r="G88" s="52"/>
      <c r="H88" s="52"/>
      <c r="I88" s="52"/>
      <c r="J88" s="52"/>
      <c r="K88" s="52"/>
      <c r="L88" s="52"/>
      <c r="M88" s="52">
        <f t="shared" ref="M88:Q91" si="66">IF(L9=0,
IF(M9=0,0,IF(M9&gt;0,1,-1)),
(M9-L9)/ABS(L9)
)</f>
        <v>1</v>
      </c>
      <c r="N88" s="52">
        <f t="shared" si="66"/>
        <v>3.2867413439746689E-2</v>
      </c>
      <c r="O88" s="52">
        <f t="shared" si="66"/>
        <v>0.16220822397200349</v>
      </c>
      <c r="P88" s="52">
        <f t="shared" si="66"/>
        <v>0.14628381125019196</v>
      </c>
      <c r="Q88" s="52">
        <f t="shared" si="66"/>
        <v>1.1889188351432428E-2</v>
      </c>
      <c r="T88" s="52">
        <f t="shared" si="62"/>
        <v>1</v>
      </c>
      <c r="U88" s="52">
        <f t="shared" si="62"/>
        <v>0.14987792483908274</v>
      </c>
      <c r="V88" s="52">
        <f t="shared" si="62"/>
        <v>-1.4801946501681347E-2</v>
      </c>
      <c r="W88" s="52">
        <f t="shared" si="62"/>
        <v>2.7780069295495792E-2</v>
      </c>
      <c r="X88" s="52">
        <f t="shared" si="62"/>
        <v>-4.8469950837764626E-2</v>
      </c>
      <c r="Y88" s="52">
        <f t="shared" si="62"/>
        <v>3.6925737302164724E-2</v>
      </c>
      <c r="Z88" s="52">
        <f t="shared" si="62"/>
        <v>-1.4968324503513285E-2</v>
      </c>
      <c r="AA88" s="52">
        <f t="shared" si="62"/>
        <v>-1.7652706232127925E-2</v>
      </c>
      <c r="AC88" s="71"/>
    </row>
    <row r="89" spans="1:31" outlineLevel="1" x14ac:dyDescent="0.2">
      <c r="B89" s="25" t="s">
        <v>25</v>
      </c>
      <c r="C89" s="51"/>
      <c r="D89" s="52"/>
      <c r="E89" s="52"/>
      <c r="F89" s="52"/>
      <c r="G89" s="52"/>
      <c r="H89" s="52"/>
      <c r="I89" s="52"/>
      <c r="J89" s="52"/>
      <c r="K89" s="52"/>
      <c r="L89" s="52"/>
      <c r="M89" s="52">
        <f t="shared" si="66"/>
        <v>1</v>
      </c>
      <c r="N89" s="52">
        <f t="shared" si="66"/>
        <v>-4.1945510038361382E-2</v>
      </c>
      <c r="O89" s="52">
        <f t="shared" si="66"/>
        <v>-3.2851088703784892E-2</v>
      </c>
      <c r="P89" s="52">
        <f t="shared" si="66"/>
        <v>-2.383470689052267E-2</v>
      </c>
      <c r="Q89" s="52">
        <f t="shared" si="66"/>
        <v>-5.2296166569371472E-2</v>
      </c>
      <c r="T89" s="52">
        <f t="shared" si="62"/>
        <v>1</v>
      </c>
      <c r="U89" s="52">
        <f t="shared" si="62"/>
        <v>1.4170996693434106E-4</v>
      </c>
      <c r="V89" s="52">
        <f t="shared" si="62"/>
        <v>-0.21141705631385885</v>
      </c>
      <c r="W89" s="52">
        <f t="shared" si="62"/>
        <v>-2.1820722699141544E-2</v>
      </c>
      <c r="X89" s="52">
        <f t="shared" si="62"/>
        <v>0.11596628365001939</v>
      </c>
      <c r="Y89" s="52">
        <f t="shared" si="62"/>
        <v>-3.2736516761462352E-2</v>
      </c>
      <c r="Z89" s="52">
        <f t="shared" si="62"/>
        <v>5.407551664807427E-3</v>
      </c>
      <c r="AA89" s="52">
        <f t="shared" si="62"/>
        <v>7.014574518100611E-3</v>
      </c>
      <c r="AC89" s="71"/>
    </row>
    <row r="90" spans="1:31" outlineLevel="1" x14ac:dyDescent="0.2">
      <c r="B90" s="25" t="s">
        <v>26</v>
      </c>
      <c r="C90" s="51"/>
      <c r="D90" s="52"/>
      <c r="E90" s="52"/>
      <c r="F90" s="52"/>
      <c r="G90" s="52"/>
      <c r="H90" s="52"/>
      <c r="I90" s="52"/>
      <c r="J90" s="52"/>
      <c r="K90" s="52"/>
      <c r="L90" s="52"/>
      <c r="M90" s="52">
        <f t="shared" si="66"/>
        <v>1</v>
      </c>
      <c r="N90" s="52">
        <f t="shared" si="66"/>
        <v>2.0280479935964979E-3</v>
      </c>
      <c r="O90" s="52">
        <f t="shared" si="66"/>
        <v>4.080083924770931E-2</v>
      </c>
      <c r="P90" s="52">
        <f t="shared" si="66"/>
        <v>5.3586588433573397E-2</v>
      </c>
      <c r="Q90" s="52">
        <f t="shared" si="66"/>
        <v>-4.6430846560335276E-2</v>
      </c>
      <c r="T90" s="52">
        <f t="shared" si="62"/>
        <v>1</v>
      </c>
      <c r="U90" s="52">
        <f t="shared" si="62"/>
        <v>8.2095173301908575E-2</v>
      </c>
      <c r="V90" s="52">
        <f t="shared" si="62"/>
        <v>-6.1827428834462586E-2</v>
      </c>
      <c r="W90" s="52">
        <f t="shared" si="62"/>
        <v>-2.6180688937155576E-2</v>
      </c>
      <c r="X90" s="52">
        <f t="shared" si="62"/>
        <v>-5.0150075421731902E-2</v>
      </c>
      <c r="Y90" s="52">
        <f t="shared" si="62"/>
        <v>2.7019946374106908E-2</v>
      </c>
      <c r="Z90" s="52">
        <f t="shared" si="62"/>
        <v>3.6837116142259228E-2</v>
      </c>
      <c r="AA90" s="52">
        <f t="shared" si="62"/>
        <v>-7.119642802903745E-3</v>
      </c>
      <c r="AC90" s="71"/>
    </row>
    <row r="91" spans="1:31" s="43" customFormat="1" outlineLevel="1" x14ac:dyDescent="0.2">
      <c r="A91" s="18"/>
      <c r="B91" s="19" t="s">
        <v>27</v>
      </c>
      <c r="C91" s="49"/>
      <c r="D91" s="50"/>
      <c r="E91" s="50"/>
      <c r="F91" s="50"/>
      <c r="G91" s="50"/>
      <c r="H91" s="50"/>
      <c r="I91" s="50"/>
      <c r="J91" s="50"/>
      <c r="K91" s="50"/>
      <c r="L91" s="50"/>
      <c r="M91" s="50">
        <f t="shared" si="66"/>
        <v>-1</v>
      </c>
      <c r="N91" s="50">
        <f t="shared" si="66"/>
        <v>0.3047494141085067</v>
      </c>
      <c r="O91" s="50">
        <f t="shared" si="66"/>
        <v>0.52705127726590162</v>
      </c>
      <c r="P91" s="50">
        <f t="shared" si="66"/>
        <v>1.3058523555123847E-2</v>
      </c>
      <c r="Q91" s="50">
        <f t="shared" si="66"/>
        <v>1.3491440557547871</v>
      </c>
      <c r="R91" s="1"/>
      <c r="S91" s="1"/>
      <c r="T91" s="50">
        <f t="shared" si="62"/>
        <v>-1</v>
      </c>
      <c r="U91" s="50">
        <f t="shared" si="62"/>
        <v>-1.0893358940665117</v>
      </c>
      <c r="V91" s="50">
        <f t="shared" si="62"/>
        <v>0.58041200205130195</v>
      </c>
      <c r="W91" s="50">
        <f t="shared" si="62"/>
        <v>1.7750438151462042</v>
      </c>
      <c r="X91" s="50">
        <f t="shared" si="62"/>
        <v>-1.4883215805290249</v>
      </c>
      <c r="Y91" s="50">
        <f t="shared" si="62"/>
        <v>-0.22989276139410186</v>
      </c>
      <c r="Z91" s="50">
        <f t="shared" si="62"/>
        <v>1.6475600693584345</v>
      </c>
      <c r="AA91" s="50">
        <f t="shared" si="62"/>
        <v>5.1422997475327064</v>
      </c>
      <c r="AB91" s="1"/>
      <c r="AC91" s="70"/>
      <c r="AD91" s="1"/>
      <c r="AE91" s="1"/>
    </row>
    <row r="92" spans="1:31" s="55" customFormat="1" outlineLevel="1" x14ac:dyDescent="0.2">
      <c r="A92" s="18"/>
      <c r="B92" s="53" t="s">
        <v>30</v>
      </c>
      <c r="C92" s="49"/>
      <c r="D92" s="54"/>
      <c r="E92" s="54"/>
      <c r="F92" s="54"/>
      <c r="G92" s="54"/>
      <c r="H92" s="54"/>
      <c r="I92" s="54"/>
      <c r="J92" s="54"/>
      <c r="K92" s="54"/>
      <c r="L92" s="54"/>
      <c r="M92" s="54">
        <f t="shared" ref="M92:Q92" si="67">IF(L15=0,
IF(M15=0,0,IF(M15&gt;0,1,-1)),
(M15-L15)/ABS(L15)
)</f>
        <v>-1</v>
      </c>
      <c r="N92" s="54">
        <f t="shared" si="67"/>
        <v>0.37840758060064633</v>
      </c>
      <c r="O92" s="54">
        <f t="shared" si="67"/>
        <v>0.76125846687722987</v>
      </c>
      <c r="P92" s="54">
        <f t="shared" si="67"/>
        <v>-3.0139154520873179E-2</v>
      </c>
      <c r="Q92" s="54">
        <f t="shared" si="67"/>
        <v>2.2884507042253519</v>
      </c>
      <c r="R92" s="1"/>
      <c r="S92" s="1"/>
      <c r="T92" s="54">
        <f t="shared" ref="T92:AA92" si="68">IF(S15=0,
IF(T15=0,0,IF(T15&gt;0,1,-1)),
(T15-S15)/ABS(S15)
)</f>
        <v>-1</v>
      </c>
      <c r="U92" s="54">
        <f t="shared" si="68"/>
        <v>-2.2965619490302935</v>
      </c>
      <c r="V92" s="54">
        <f t="shared" si="68"/>
        <v>0.69005336153350594</v>
      </c>
      <c r="W92" s="54">
        <f t="shared" si="68"/>
        <v>3.1422016549668617</v>
      </c>
      <c r="X92" s="54">
        <f t="shared" si="68"/>
        <v>-1.3611599297012302</v>
      </c>
      <c r="Y92" s="54">
        <f t="shared" si="68"/>
        <v>1.1686435523114356</v>
      </c>
      <c r="Z92" s="54">
        <f t="shared" si="68"/>
        <v>6.3916441238352872</v>
      </c>
      <c r="AA92" s="54">
        <f t="shared" si="68"/>
        <v>2.7588240078074171</v>
      </c>
      <c r="AB92" s="1"/>
      <c r="AC92" s="70"/>
      <c r="AD92" s="1"/>
      <c r="AE92" s="1"/>
    </row>
    <row r="93" spans="1:31" s="55" customFormat="1" outlineLevel="1" x14ac:dyDescent="0.2">
      <c r="A93" s="18"/>
      <c r="B93" s="53" t="s">
        <v>32</v>
      </c>
      <c r="C93" s="49"/>
      <c r="D93" s="54"/>
      <c r="E93" s="54"/>
      <c r="F93" s="54"/>
      <c r="G93" s="54"/>
      <c r="H93" s="54"/>
      <c r="I93" s="54"/>
      <c r="J93" s="54"/>
      <c r="K93" s="54"/>
      <c r="L93" s="54"/>
      <c r="M93" s="54">
        <f t="shared" ref="M93:Q93" si="69">IF(L17=0,
IF(M17=0,0,IF(M17&gt;0,1,-1)),
(M17-L17)/ABS(L17)
)</f>
        <v>-1</v>
      </c>
      <c r="N93" s="54">
        <f t="shared" si="69"/>
        <v>0.37526494236908897</v>
      </c>
      <c r="O93" s="54">
        <f t="shared" si="69"/>
        <v>0.72626023292076791</v>
      </c>
      <c r="P93" s="54">
        <f t="shared" si="69"/>
        <v>0.18011192327803924</v>
      </c>
      <c r="Q93" s="54">
        <f t="shared" si="69"/>
        <v>4.8311124379189625</v>
      </c>
      <c r="R93" s="1"/>
      <c r="S93" s="1"/>
      <c r="T93" s="54">
        <f t="shared" ref="T93:AA93" si="70">IF(S17=0,
IF(T17=0,0,IF(T17&gt;0,1,-1)),
(T17-S17)/ABS(S17)
)</f>
        <v>-1</v>
      </c>
      <c r="U93" s="54">
        <f t="shared" si="70"/>
        <v>-1.996137249443207</v>
      </c>
      <c r="V93" s="54">
        <f t="shared" si="70"/>
        <v>0.87624423615224689</v>
      </c>
      <c r="W93" s="54">
        <f t="shared" si="70"/>
        <v>5.86100422336931</v>
      </c>
      <c r="X93" s="54">
        <f t="shared" si="70"/>
        <v>-1.435475151561957</v>
      </c>
      <c r="Y93" s="54">
        <f t="shared" si="70"/>
        <v>1.0702283307470628</v>
      </c>
      <c r="Z93" s="54">
        <f t="shared" si="70"/>
        <v>124.52967171717172</v>
      </c>
      <c r="AA93" s="54">
        <f t="shared" si="70"/>
        <v>-0.47464028686525278</v>
      </c>
      <c r="AB93" s="1"/>
      <c r="AC93" s="70"/>
      <c r="AD93" s="1"/>
      <c r="AE93" s="1"/>
    </row>
    <row r="94" spans="1:31" x14ac:dyDescent="0.2">
      <c r="B94" s="1"/>
    </row>
    <row r="95" spans="1:31" s="17" customFormat="1" ht="17" thickBot="1" x14ac:dyDescent="0.25">
      <c r="A95" s="13"/>
      <c r="B95" s="16" t="s">
        <v>82</v>
      </c>
      <c r="R95" s="1"/>
      <c r="S95" s="1"/>
      <c r="AB95" s="1"/>
      <c r="AD95" s="1"/>
      <c r="AE95" s="1"/>
    </row>
    <row r="96" spans="1:31" outlineLevel="1" x14ac:dyDescent="0.2">
      <c r="B96" s="22" t="s">
        <v>83</v>
      </c>
      <c r="C96" s="52"/>
      <c r="D96" s="52"/>
      <c r="E96" s="52"/>
      <c r="F96" s="52"/>
      <c r="G96" s="52"/>
      <c r="H96" s="52"/>
      <c r="I96" s="52"/>
      <c r="J96" s="52"/>
      <c r="K96" s="52"/>
      <c r="L96" s="52"/>
      <c r="M96" s="52">
        <f t="shared" ref="M96:Q96" si="71">M7/M5</f>
        <v>0.81073956684882742</v>
      </c>
      <c r="N96" s="52">
        <f t="shared" si="71"/>
        <v>0.82991287393217905</v>
      </c>
      <c r="O96" s="52">
        <f t="shared" si="71"/>
        <v>0.85021925398601916</v>
      </c>
      <c r="P96" s="52">
        <f t="shared" si="71"/>
        <v>0.82727270183763457</v>
      </c>
      <c r="Q96" s="52">
        <f t="shared" si="71"/>
        <v>0.83174673345867178</v>
      </c>
      <c r="T96" s="52">
        <f t="shared" ref="T96:AA96" si="72">T7/T5</f>
        <v>0.83490594189405332</v>
      </c>
      <c r="U96" s="52">
        <f t="shared" si="72"/>
        <v>0.79978055544137128</v>
      </c>
      <c r="V96" s="52">
        <f t="shared" si="72"/>
        <v>0.82021017727186851</v>
      </c>
      <c r="W96" s="52">
        <f t="shared" si="72"/>
        <v>0.84766998862257636</v>
      </c>
      <c r="X96" s="52">
        <f t="shared" si="72"/>
        <v>0.82094026201265202</v>
      </c>
      <c r="Y96" s="52">
        <f t="shared" si="72"/>
        <v>0.82202096602972397</v>
      </c>
      <c r="Z96" s="52">
        <f t="shared" si="72"/>
        <v>0.83262022850165285</v>
      </c>
      <c r="AA96" s="52">
        <f t="shared" si="72"/>
        <v>0.84632316719565504</v>
      </c>
      <c r="AC96" s="52">
        <f t="shared" ref="AC96" si="73">AC7/AC5</f>
        <v>0.83174673345867178</v>
      </c>
    </row>
    <row r="97" spans="1:31" outlineLevel="1" x14ac:dyDescent="0.2">
      <c r="B97" s="22" t="s">
        <v>84</v>
      </c>
      <c r="C97" s="52"/>
      <c r="D97" s="52"/>
      <c r="E97" s="52"/>
      <c r="F97" s="52"/>
      <c r="G97" s="52"/>
      <c r="H97" s="52"/>
      <c r="I97" s="52"/>
      <c r="J97" s="52"/>
      <c r="K97" s="52"/>
      <c r="L97" s="52"/>
      <c r="M97" s="52">
        <f t="shared" ref="M97:Q97" si="74">M12/M5</f>
        <v>-0.56144004160259653</v>
      </c>
      <c r="N97" s="52">
        <f t="shared" si="74"/>
        <v>-0.32900930585377974</v>
      </c>
      <c r="O97" s="52">
        <f t="shared" si="74"/>
        <v>-0.12592579001767487</v>
      </c>
      <c r="P97" s="52">
        <f t="shared" si="74"/>
        <v>-0.11371133357208407</v>
      </c>
      <c r="Q97" s="52">
        <f t="shared" si="74"/>
        <v>3.5242137575966802E-2</v>
      </c>
      <c r="T97" s="52">
        <f t="shared" ref="T97:AA97" si="75">T12/T5</f>
        <v>-0.14760736708921196</v>
      </c>
      <c r="U97" s="52">
        <f t="shared" si="75"/>
        <v>-0.32679215691234548</v>
      </c>
      <c r="V97" s="52">
        <f t="shared" si="75"/>
        <v>-0.12227162888795527</v>
      </c>
      <c r="W97" s="52">
        <f t="shared" si="75"/>
        <v>7.9332744791642082E-2</v>
      </c>
      <c r="X97" s="52">
        <f t="shared" si="75"/>
        <v>-4.602045852214097E-2</v>
      </c>
      <c r="Y97" s="52">
        <f t="shared" si="75"/>
        <v>-5.5801596779900917E-2</v>
      </c>
      <c r="Z97" s="52">
        <f t="shared" si="75"/>
        <v>3.1794178242964828E-2</v>
      </c>
      <c r="AA97" s="52">
        <f t="shared" si="75"/>
        <v>0.16687763844633313</v>
      </c>
      <c r="AC97" s="52">
        <f t="shared" ref="AC97" si="76">AC12/AC5</f>
        <v>3.5242137575966802E-2</v>
      </c>
    </row>
    <row r="98" spans="1:31" s="58" customFormat="1" outlineLevel="1" x14ac:dyDescent="0.2">
      <c r="A98" s="1"/>
      <c r="B98" s="56" t="s">
        <v>85</v>
      </c>
      <c r="C98" s="57"/>
      <c r="D98" s="57"/>
      <c r="E98" s="57"/>
      <c r="F98" s="57"/>
      <c r="G98" s="57"/>
      <c r="H98" s="57"/>
      <c r="I98" s="57"/>
      <c r="J98" s="57"/>
      <c r="K98" s="57"/>
      <c r="L98" s="57"/>
      <c r="M98" s="57">
        <f t="shared" ref="M98:Q98" si="77">M17/M5</f>
        <v>-0.58905555829519018</v>
      </c>
      <c r="N98" s="57">
        <f t="shared" si="77"/>
        <v>-0.31018127096556619</v>
      </c>
      <c r="O98" s="57">
        <f t="shared" si="77"/>
        <v>-6.8714107480322181E-2</v>
      </c>
      <c r="P98" s="57">
        <f t="shared" si="77"/>
        <v>-5.1546377330617545E-2</v>
      </c>
      <c r="Q98" s="57">
        <f t="shared" si="77"/>
        <v>0.17529796867199976</v>
      </c>
      <c r="R98" s="1"/>
      <c r="S98" s="1"/>
      <c r="T98" s="57">
        <f t="shared" ref="T98:AA98" si="78">T17/T5</f>
        <v>-8.5750435675236936E-2</v>
      </c>
      <c r="U98" s="57">
        <f t="shared" si="78"/>
        <v>-0.27224089573853844</v>
      </c>
      <c r="V98" s="57">
        <f t="shared" si="78"/>
        <v>-3.0043450922450959E-2</v>
      </c>
      <c r="W98" s="57">
        <f t="shared" si="78"/>
        <v>0.12225773405154303</v>
      </c>
      <c r="X98" s="57">
        <f t="shared" si="78"/>
        <v>-6.3245883619722734E-2</v>
      </c>
      <c r="Y98" s="57">
        <f t="shared" si="78"/>
        <v>4.3789808917197451E-3</v>
      </c>
      <c r="Z98" s="57">
        <f t="shared" si="78"/>
        <v>0.48366021020984495</v>
      </c>
      <c r="AA98" s="57">
        <f t="shared" si="78"/>
        <v>0.2171284142612766</v>
      </c>
      <c r="AB98" s="1"/>
      <c r="AC98" s="57">
        <f t="shared" ref="AC98" si="79">AC17/AC5</f>
        <v>0.17529796867199976</v>
      </c>
      <c r="AD98" s="1"/>
      <c r="AE98" s="1"/>
    </row>
    <row r="99" spans="1:31" x14ac:dyDescent="0.2">
      <c r="B99" s="1"/>
    </row>
    <row r="100" spans="1:31" s="17" customFormat="1" ht="17" thickBot="1" x14ac:dyDescent="0.25">
      <c r="A100" s="13"/>
      <c r="B100" s="16" t="s">
        <v>86</v>
      </c>
      <c r="R100" s="1"/>
      <c r="S100" s="1"/>
      <c r="AB100" s="1"/>
      <c r="AD100" s="1"/>
      <c r="AE100" s="1"/>
    </row>
    <row r="101" spans="1:31" outlineLevel="1" x14ac:dyDescent="0.2">
      <c r="B101" s="22" t="s">
        <v>125</v>
      </c>
      <c r="C101" s="64"/>
      <c r="D101" s="64"/>
      <c r="E101" s="64"/>
      <c r="F101" s="64"/>
      <c r="G101" s="64"/>
      <c r="H101" s="64"/>
      <c r="I101" s="64"/>
      <c r="J101" s="64"/>
      <c r="K101" s="64"/>
      <c r="L101" s="64"/>
      <c r="M101" s="64">
        <v>481427</v>
      </c>
      <c r="N101" s="64">
        <v>497836</v>
      </c>
      <c r="O101" s="64">
        <v>621392</v>
      </c>
      <c r="P101" s="64">
        <v>587152</v>
      </c>
      <c r="Q101" s="64">
        <v>606394</v>
      </c>
      <c r="T101" s="64">
        <v>140128</v>
      </c>
      <c r="U101" s="64">
        <v>112251</v>
      </c>
      <c r="V101" s="64">
        <v>137174</v>
      </c>
      <c r="W101" s="64">
        <v>197609</v>
      </c>
      <c r="X101" s="64">
        <v>128286</v>
      </c>
      <c r="Y101" s="64">
        <v>112161</v>
      </c>
      <c r="Z101" s="64">
        <v>150043</v>
      </c>
      <c r="AA101" s="64">
        <v>215904</v>
      </c>
      <c r="AC101" s="64">
        <f>SUM(X101:AA101)</f>
        <v>606394</v>
      </c>
    </row>
    <row r="102" spans="1:31" outlineLevel="1" x14ac:dyDescent="0.2">
      <c r="B102" s="22" t="s">
        <v>126</v>
      </c>
      <c r="C102" s="64"/>
      <c r="D102" s="64"/>
      <c r="E102" s="64"/>
      <c r="F102" s="64"/>
      <c r="G102" s="64"/>
      <c r="H102" s="64"/>
      <c r="I102" s="64"/>
      <c r="J102" s="64"/>
      <c r="K102" s="64"/>
      <c r="L102" s="64"/>
      <c r="M102" s="64">
        <v>369867</v>
      </c>
      <c r="N102" s="64">
        <v>508823</v>
      </c>
      <c r="O102" s="64">
        <v>649918</v>
      </c>
      <c r="P102" s="64">
        <v>801947</v>
      </c>
      <c r="Q102" s="64">
        <v>954472</v>
      </c>
      <c r="T102" s="64">
        <v>185131</v>
      </c>
      <c r="U102" s="64">
        <v>194673</v>
      </c>
      <c r="V102" s="64">
        <v>206922</v>
      </c>
      <c r="W102" s="64">
        <v>215221</v>
      </c>
      <c r="X102" s="64">
        <v>217303</v>
      </c>
      <c r="Y102" s="64">
        <v>238363</v>
      </c>
      <c r="Z102" s="64">
        <v>247573</v>
      </c>
      <c r="AA102" s="64">
        <v>251233</v>
      </c>
      <c r="AC102" s="64">
        <f t="shared" ref="AC102:AC107" si="80">SUM(X102:AA102)</f>
        <v>954472</v>
      </c>
    </row>
    <row r="103" spans="1:31" outlineLevel="1" x14ac:dyDescent="0.2">
      <c r="B103" s="22" t="s">
        <v>127</v>
      </c>
      <c r="C103" s="64"/>
      <c r="D103" s="64"/>
      <c r="E103" s="64"/>
      <c r="F103" s="64"/>
      <c r="G103" s="64"/>
      <c r="H103" s="64"/>
      <c r="I103" s="64"/>
      <c r="J103" s="64"/>
      <c r="K103" s="64"/>
      <c r="L103" s="64"/>
      <c r="M103" s="64">
        <v>40958</v>
      </c>
      <c r="N103" s="64">
        <v>51922</v>
      </c>
      <c r="O103" s="64">
        <v>36762</v>
      </c>
      <c r="P103" s="64">
        <v>40555</v>
      </c>
      <c r="Q103" s="64">
        <v>49706</v>
      </c>
      <c r="T103" s="64">
        <v>9853</v>
      </c>
      <c r="U103" s="64">
        <v>9329</v>
      </c>
      <c r="V103" s="64">
        <v>10557</v>
      </c>
      <c r="W103" s="64">
        <v>10816</v>
      </c>
      <c r="X103" s="64">
        <v>11035</v>
      </c>
      <c r="Y103" s="64">
        <v>11204</v>
      </c>
      <c r="Z103" s="64">
        <v>13497</v>
      </c>
      <c r="AA103" s="64">
        <v>13970</v>
      </c>
      <c r="AC103" s="64">
        <f t="shared" si="80"/>
        <v>49706</v>
      </c>
    </row>
    <row r="104" spans="1:31" outlineLevel="1" x14ac:dyDescent="0.2">
      <c r="C104" s="23"/>
      <c r="D104" s="23"/>
      <c r="E104" s="23"/>
      <c r="F104" s="23"/>
      <c r="G104" s="23"/>
      <c r="H104" s="23"/>
      <c r="I104" s="23"/>
      <c r="J104" s="23"/>
      <c r="K104" s="23"/>
      <c r="L104" s="23"/>
      <c r="M104" s="23"/>
      <c r="AC104" s="64"/>
    </row>
    <row r="105" spans="1:31" outlineLevel="1" x14ac:dyDescent="0.2">
      <c r="B105" s="22" t="s">
        <v>128</v>
      </c>
      <c r="C105" s="64"/>
      <c r="D105" s="64"/>
      <c r="E105" s="64"/>
      <c r="F105" s="64"/>
      <c r="G105" s="64"/>
      <c r="H105" s="64"/>
      <c r="I105" s="64"/>
      <c r="J105" s="64"/>
      <c r="K105" s="64"/>
      <c r="L105" s="64"/>
      <c r="M105" s="64">
        <v>11888</v>
      </c>
      <c r="N105" s="64">
        <v>10421</v>
      </c>
      <c r="O105" s="64">
        <v>10469</v>
      </c>
      <c r="P105" s="64">
        <v>8565</v>
      </c>
      <c r="Q105" s="64">
        <v>5334</v>
      </c>
      <c r="T105" s="64">
        <v>2601</v>
      </c>
      <c r="U105" s="64">
        <v>2393</v>
      </c>
      <c r="V105" s="64">
        <v>2340</v>
      </c>
      <c r="W105" s="64">
        <v>1231</v>
      </c>
      <c r="X105" s="64">
        <v>1268</v>
      </c>
      <c r="Y105" s="64">
        <v>1200</v>
      </c>
      <c r="Z105" s="64">
        <v>1311</v>
      </c>
      <c r="AA105" s="64">
        <v>1555</v>
      </c>
      <c r="AC105" s="64">
        <f t="shared" si="80"/>
        <v>5334</v>
      </c>
    </row>
    <row r="106" spans="1:31" outlineLevel="1" x14ac:dyDescent="0.2">
      <c r="B106" s="22" t="s">
        <v>129</v>
      </c>
      <c r="C106" s="64"/>
      <c r="D106" s="64"/>
      <c r="E106" s="64"/>
      <c r="F106" s="64"/>
      <c r="G106" s="64"/>
      <c r="H106" s="64"/>
      <c r="I106" s="64"/>
      <c r="J106" s="64"/>
      <c r="K106" s="64"/>
      <c r="L106" s="64"/>
      <c r="M106" s="64">
        <v>60565</v>
      </c>
      <c r="N106" s="64">
        <v>87366</v>
      </c>
      <c r="O106" s="64">
        <v>111922</v>
      </c>
      <c r="P106" s="64">
        <v>167630</v>
      </c>
      <c r="Q106" s="64">
        <v>157588</v>
      </c>
      <c r="T106" s="64">
        <v>36754</v>
      </c>
      <c r="U106" s="64">
        <v>43529</v>
      </c>
      <c r="V106" s="64">
        <v>43487</v>
      </c>
      <c r="W106" s="64">
        <v>43860</v>
      </c>
      <c r="X106" s="64">
        <v>38468</v>
      </c>
      <c r="Y106" s="64">
        <v>38229</v>
      </c>
      <c r="Z106" s="64">
        <v>40121</v>
      </c>
      <c r="AA106" s="64">
        <v>40770</v>
      </c>
      <c r="AC106" s="64">
        <f t="shared" si="80"/>
        <v>157588</v>
      </c>
    </row>
    <row r="107" spans="1:31" outlineLevel="1" x14ac:dyDescent="0.2">
      <c r="B107" s="22" t="s">
        <v>130</v>
      </c>
      <c r="C107" s="64"/>
      <c r="D107" s="64"/>
      <c r="E107" s="64"/>
      <c r="F107" s="64"/>
      <c r="G107" s="64"/>
      <c r="H107" s="64"/>
      <c r="I107" s="64"/>
      <c r="J107" s="64"/>
      <c r="K107" s="64"/>
      <c r="L107" s="64"/>
      <c r="M107" s="64">
        <v>96415</v>
      </c>
      <c r="N107" s="64">
        <v>82264</v>
      </c>
      <c r="O107" s="64">
        <v>73533</v>
      </c>
      <c r="P107" s="64">
        <v>70747</v>
      </c>
      <c r="Q107" s="64">
        <v>108062</v>
      </c>
      <c r="T107" s="64">
        <v>15970</v>
      </c>
      <c r="U107" s="64">
        <v>17398</v>
      </c>
      <c r="V107" s="64">
        <v>17936</v>
      </c>
      <c r="W107" s="64">
        <v>19443</v>
      </c>
      <c r="X107" s="64">
        <v>24121</v>
      </c>
      <c r="Y107" s="64">
        <v>24951</v>
      </c>
      <c r="Z107" s="64">
        <v>27380</v>
      </c>
      <c r="AA107" s="64">
        <v>31610</v>
      </c>
      <c r="AC107" s="64">
        <f t="shared" si="80"/>
        <v>108062</v>
      </c>
    </row>
    <row r="108" spans="1:31" outlineLevel="1" x14ac:dyDescent="0.2">
      <c r="C108" s="23"/>
      <c r="D108" s="23"/>
      <c r="E108" s="23"/>
      <c r="F108" s="23"/>
      <c r="G108" s="23"/>
      <c r="H108" s="23"/>
      <c r="I108" s="23"/>
      <c r="J108" s="23"/>
      <c r="K108" s="23"/>
      <c r="L108" s="23"/>
      <c r="M108" s="23"/>
    </row>
    <row r="109" spans="1:31" x14ac:dyDescent="0.2">
      <c r="B109" s="1"/>
    </row>
    <row r="110" spans="1:31" s="17" customFormat="1" ht="17" thickBot="1" x14ac:dyDescent="0.25">
      <c r="A110" s="13"/>
      <c r="B110" s="16" t="s">
        <v>140</v>
      </c>
      <c r="R110" s="1"/>
      <c r="S110" s="1"/>
      <c r="AB110" s="1"/>
      <c r="AD110" s="1"/>
      <c r="AE110" s="1"/>
    </row>
    <row r="111" spans="1:31" outlineLevel="1" x14ac:dyDescent="0.2">
      <c r="B111" s="22" t="s">
        <v>78</v>
      </c>
      <c r="C111" s="84">
        <f>IF(AND(C78&gt;=0,C12&gt;=0),C78,0)</f>
        <v>0</v>
      </c>
      <c r="D111" s="84">
        <f t="shared" ref="D111:Q111" si="81">IF(AND(D78&gt;=0,D12&gt;=0),D78,0)</f>
        <v>0</v>
      </c>
      <c r="E111" s="84">
        <f t="shared" si="81"/>
        <v>0</v>
      </c>
      <c r="F111" s="84">
        <f t="shared" si="81"/>
        <v>0</v>
      </c>
      <c r="G111" s="84">
        <f t="shared" si="81"/>
        <v>0</v>
      </c>
      <c r="H111" s="84">
        <f t="shared" si="81"/>
        <v>0</v>
      </c>
      <c r="I111" s="84">
        <f t="shared" si="81"/>
        <v>0</v>
      </c>
      <c r="J111" s="84">
        <f t="shared" si="81"/>
        <v>0</v>
      </c>
      <c r="K111" s="84">
        <f t="shared" si="81"/>
        <v>0</v>
      </c>
      <c r="L111" s="84">
        <f t="shared" si="81"/>
        <v>0</v>
      </c>
      <c r="M111" s="84">
        <f t="shared" si="81"/>
        <v>0</v>
      </c>
      <c r="N111" s="84">
        <f t="shared" si="81"/>
        <v>0</v>
      </c>
      <c r="O111" s="84">
        <f t="shared" si="81"/>
        <v>0</v>
      </c>
      <c r="P111" s="84">
        <f t="shared" si="81"/>
        <v>0</v>
      </c>
      <c r="Q111" s="84">
        <f t="shared" si="81"/>
        <v>0</v>
      </c>
      <c r="T111" s="84">
        <f t="shared" ref="T111:AA111" si="82">IF(AND(T78&gt;=0,T12&gt;=0),T78,0)</f>
        <v>0</v>
      </c>
      <c r="U111" s="84">
        <f t="shared" si="82"/>
        <v>0</v>
      </c>
      <c r="V111" s="84">
        <f t="shared" si="82"/>
        <v>0</v>
      </c>
      <c r="W111" s="84">
        <f t="shared" si="82"/>
        <v>5.1808728763913299E-2</v>
      </c>
      <c r="X111" s="84">
        <f t="shared" si="82"/>
        <v>0</v>
      </c>
      <c r="Y111" s="84">
        <f t="shared" si="82"/>
        <v>0</v>
      </c>
      <c r="Z111" s="84">
        <f t="shared" si="82"/>
        <v>0</v>
      </c>
      <c r="AA111" s="84">
        <f t="shared" si="82"/>
        <v>0</v>
      </c>
      <c r="AC111" s="84">
        <f>Q111</f>
        <v>0</v>
      </c>
    </row>
    <row r="112" spans="1:31" outlineLevel="1" x14ac:dyDescent="0.2">
      <c r="B112" s="22" t="s">
        <v>232</v>
      </c>
      <c r="C112" s="27"/>
      <c r="D112" s="27"/>
      <c r="E112" s="27"/>
      <c r="F112" s="27"/>
      <c r="G112" s="27"/>
      <c r="H112" s="27"/>
      <c r="I112" s="27"/>
      <c r="J112" s="27"/>
      <c r="K112" s="27"/>
      <c r="L112" s="27"/>
      <c r="M112" s="27">
        <f>M28</f>
        <v>1865140</v>
      </c>
      <c r="N112" s="27">
        <f t="shared" ref="N112:Q112" si="83">N28</f>
        <v>1756893</v>
      </c>
      <c r="O112" s="27">
        <f t="shared" si="83"/>
        <v>1879823</v>
      </c>
      <c r="P112" s="27">
        <f t="shared" si="83"/>
        <v>1629518</v>
      </c>
      <c r="Q112" s="27">
        <f t="shared" si="83"/>
        <v>1472486</v>
      </c>
      <c r="T112" s="27">
        <f t="shared" ref="T112:AA112" si="84">T28</f>
        <v>1935538</v>
      </c>
      <c r="U112" s="27">
        <f t="shared" si="84"/>
        <v>1743374</v>
      </c>
      <c r="V112" s="27">
        <f t="shared" si="84"/>
        <v>1569041</v>
      </c>
      <c r="W112" s="27">
        <f t="shared" si="84"/>
        <v>1629518</v>
      </c>
      <c r="X112" s="27">
        <f t="shared" si="84"/>
        <v>1555033</v>
      </c>
      <c r="Y112" s="27">
        <f t="shared" si="84"/>
        <v>1447487</v>
      </c>
      <c r="Z112" s="27">
        <f t="shared" si="84"/>
        <v>1398186</v>
      </c>
      <c r="AA112" s="27">
        <f t="shared" si="84"/>
        <v>1472486</v>
      </c>
      <c r="AC112" s="27">
        <f>AA112</f>
        <v>1472486</v>
      </c>
    </row>
    <row r="113" spans="1:31" outlineLevel="1" x14ac:dyDescent="0.2">
      <c r="B113" s="22" t="s">
        <v>223</v>
      </c>
      <c r="C113" s="27">
        <v>0</v>
      </c>
      <c r="D113" s="27">
        <v>0</v>
      </c>
      <c r="E113" s="27">
        <v>0</v>
      </c>
      <c r="F113" s="27">
        <v>0</v>
      </c>
      <c r="G113" s="27">
        <v>0</v>
      </c>
      <c r="H113" s="27">
        <v>0</v>
      </c>
      <c r="I113" s="27">
        <v>0</v>
      </c>
      <c r="J113" s="27">
        <v>0</v>
      </c>
      <c r="K113" s="27">
        <v>0</v>
      </c>
      <c r="L113" s="27">
        <v>0</v>
      </c>
      <c r="M113" s="27">
        <v>0</v>
      </c>
      <c r="N113" s="27">
        <v>0</v>
      </c>
      <c r="O113" s="27">
        <v>0</v>
      </c>
      <c r="P113" s="27">
        <v>0</v>
      </c>
      <c r="Q113" s="27">
        <v>0</v>
      </c>
      <c r="T113" s="27">
        <v>0</v>
      </c>
      <c r="U113" s="27">
        <v>0</v>
      </c>
      <c r="V113" s="27">
        <v>0</v>
      </c>
      <c r="W113" s="27">
        <v>0</v>
      </c>
      <c r="X113" s="27">
        <v>0</v>
      </c>
      <c r="Y113" s="27">
        <v>0</v>
      </c>
      <c r="Z113" s="27">
        <v>0</v>
      </c>
      <c r="AA113" s="27">
        <v>0</v>
      </c>
      <c r="AC113" s="27">
        <f>AA113</f>
        <v>0</v>
      </c>
    </row>
    <row r="114" spans="1:31" outlineLevel="1" x14ac:dyDescent="0.2">
      <c r="B114" s="22" t="s">
        <v>216</v>
      </c>
      <c r="C114" s="27"/>
      <c r="D114" s="27"/>
      <c r="E114" s="27"/>
      <c r="F114" s="27"/>
      <c r="G114" s="27"/>
      <c r="H114" s="27"/>
      <c r="I114" s="27"/>
      <c r="J114" s="27"/>
      <c r="K114" s="27"/>
      <c r="L114" s="27"/>
      <c r="M114" s="151">
        <f>M12*(1-M111)</f>
        <v>-500946</v>
      </c>
      <c r="N114" s="151">
        <f t="shared" ref="N114:Q114" si="85">N12*(1-N111)</f>
        <v>-348283</v>
      </c>
      <c r="O114" s="151">
        <f t="shared" si="85"/>
        <v>-164720</v>
      </c>
      <c r="P114" s="151">
        <f t="shared" si="85"/>
        <v>-162569</v>
      </c>
      <c r="Q114" s="27">
        <f t="shared" si="85"/>
        <v>56760</v>
      </c>
      <c r="T114" s="70"/>
      <c r="U114" s="70"/>
      <c r="V114" s="70"/>
      <c r="W114" s="70"/>
      <c r="X114" s="70"/>
      <c r="Y114" s="70"/>
      <c r="Z114" s="70"/>
      <c r="AA114" s="70"/>
      <c r="AC114" s="27">
        <f t="shared" ref="AC114" si="86">AC12*(1-AC111)</f>
        <v>56760</v>
      </c>
    </row>
    <row r="115" spans="1:31" outlineLevel="1" x14ac:dyDescent="0.2">
      <c r="C115" s="59"/>
      <c r="D115" s="59"/>
      <c r="E115" s="59"/>
      <c r="F115" s="59"/>
      <c r="G115" s="59"/>
      <c r="H115" s="59"/>
      <c r="I115" s="59"/>
      <c r="J115" s="59"/>
      <c r="K115" s="59"/>
    </row>
    <row r="116" spans="1:31" x14ac:dyDescent="0.2">
      <c r="B116" s="1"/>
    </row>
    <row r="117" spans="1:31" s="17" customFormat="1" ht="17" thickBot="1" x14ac:dyDescent="0.25">
      <c r="A117" s="13"/>
      <c r="B117" s="16" t="s">
        <v>87</v>
      </c>
      <c r="R117" s="1"/>
      <c r="S117" s="1"/>
      <c r="AB117" s="1"/>
      <c r="AD117" s="1"/>
      <c r="AE117" s="1"/>
    </row>
    <row r="118" spans="1:31" x14ac:dyDescent="0.2">
      <c r="B118" s="22" t="s">
        <v>88</v>
      </c>
      <c r="C118" s="28"/>
      <c r="D118" s="28"/>
      <c r="E118" s="28"/>
      <c r="F118" s="28"/>
      <c r="G118" s="28"/>
      <c r="H118" s="28"/>
      <c r="I118" s="28"/>
      <c r="J118" s="28"/>
      <c r="K118" s="28"/>
      <c r="L118" s="28"/>
      <c r="M118" s="65">
        <v>33.43</v>
      </c>
      <c r="N118" s="65">
        <v>14.57</v>
      </c>
      <c r="O118" s="65">
        <v>23.85</v>
      </c>
      <c r="P118" s="65">
        <v>14.58</v>
      </c>
      <c r="Q118" s="65">
        <v>12.59</v>
      </c>
      <c r="T118" s="71"/>
      <c r="U118" s="71"/>
      <c r="V118" s="71"/>
      <c r="W118" s="71"/>
      <c r="X118" s="71"/>
      <c r="Y118" s="71"/>
      <c r="Z118" s="71"/>
      <c r="AA118" s="71"/>
      <c r="AC118" s="65">
        <f ca="1">Overview!C5</f>
        <v>10.93</v>
      </c>
    </row>
    <row r="120" spans="1:31" x14ac:dyDescent="0.2">
      <c r="B120" s="1"/>
    </row>
    <row r="121" spans="1:31" s="17" customFormat="1" ht="17" thickBot="1" x14ac:dyDescent="0.25">
      <c r="A121" s="13"/>
      <c r="B121" s="16" t="s">
        <v>124</v>
      </c>
      <c r="R121" s="1"/>
      <c r="S121" s="1"/>
      <c r="AB121" s="1"/>
      <c r="AD121" s="1"/>
      <c r="AE121" s="1"/>
    </row>
    <row r="122" spans="1:31" outlineLevel="1" x14ac:dyDescent="0.2">
      <c r="B122" s="22" t="s">
        <v>89</v>
      </c>
      <c r="C122" s="26"/>
      <c r="D122" s="26"/>
      <c r="E122" s="26"/>
      <c r="F122" s="26"/>
      <c r="G122" s="26"/>
      <c r="H122" s="26"/>
      <c r="I122" s="26"/>
      <c r="J122" s="26"/>
      <c r="K122" s="26"/>
      <c r="L122" s="26"/>
      <c r="M122" s="26">
        <f>M5*Overview!$C$19/M79</f>
        <v>222340.39372040867</v>
      </c>
      <c r="N122" s="26">
        <f>N5*Overview!$C$19/N79</f>
        <v>276175.58048525959</v>
      </c>
      <c r="O122" s="26">
        <f>O5*Overview!$C$19/O79</f>
        <v>324181.41263940523</v>
      </c>
      <c r="P122" s="26">
        <f>P5*Overview!$C$19/P79</f>
        <v>369613.2368148914</v>
      </c>
      <c r="Q122" s="26">
        <f>Q5*Overview!$C$19/Q79</f>
        <v>404564.68224064307</v>
      </c>
      <c r="T122" s="71"/>
      <c r="U122" s="71"/>
      <c r="V122" s="71"/>
      <c r="W122" s="71"/>
      <c r="X122" s="71"/>
      <c r="Y122" s="71"/>
      <c r="Z122" s="71"/>
      <c r="AA122" s="71"/>
      <c r="AC122" s="71"/>
    </row>
    <row r="123" spans="1:31" outlineLevel="1" x14ac:dyDescent="0.2">
      <c r="B123" s="22" t="s">
        <v>90</v>
      </c>
      <c r="C123" s="66"/>
      <c r="D123" s="66"/>
      <c r="E123" s="66"/>
      <c r="F123" s="66"/>
      <c r="G123" s="66"/>
      <c r="H123" s="66"/>
      <c r="I123" s="66"/>
      <c r="J123" s="66"/>
      <c r="K123" s="66"/>
      <c r="L123" s="66"/>
      <c r="M123" s="66">
        <f>M17*Overview!$C$19/M79</f>
        <v>-130970.84475454772</v>
      </c>
      <c r="N123" s="66">
        <f>N17*Overview!$C$19/N79</f>
        <v>-85664.492564570828</v>
      </c>
      <c r="O123" s="66">
        <f>O17*Overview!$C$19/O79</f>
        <v>-22275.836431226766</v>
      </c>
      <c r="P123" s="66">
        <f>P17*Overview!$C$19/P79</f>
        <v>-19052.223371251293</v>
      </c>
      <c r="Q123" s="66">
        <f>Q17*Overview!$C$19/Q79</f>
        <v>70919.366993217787</v>
      </c>
      <c r="T123" s="71"/>
      <c r="U123" s="71"/>
      <c r="V123" s="71"/>
      <c r="W123" s="71"/>
      <c r="X123" s="71"/>
      <c r="Y123" s="71"/>
      <c r="Z123" s="71"/>
      <c r="AA123" s="71"/>
      <c r="AC123" s="71"/>
    </row>
    <row r="124" spans="1:31" outlineLevel="1" x14ac:dyDescent="0.2">
      <c r="B124" s="22" t="s">
        <v>91</v>
      </c>
      <c r="C124" s="49"/>
      <c r="D124" s="52"/>
      <c r="E124" s="52"/>
      <c r="F124" s="52"/>
      <c r="G124" s="52"/>
      <c r="H124" s="52"/>
      <c r="I124" s="52"/>
      <c r="J124" s="52"/>
      <c r="K124" s="52"/>
      <c r="L124" s="52"/>
      <c r="M124" s="52" t="e">
        <f>(M79-L79)/L79</f>
        <v>#DIV/0!</v>
      </c>
      <c r="N124" s="52">
        <f>(N79-M79)/M79</f>
        <v>-4.4854223772738601E-2</v>
      </c>
      <c r="O124" s="52">
        <f>(O79-N79)/N79</f>
        <v>5.2700234803026352E-2</v>
      </c>
      <c r="P124" s="52">
        <f>(P79-O79)/O79</f>
        <v>-4.1387856257744736E-2</v>
      </c>
      <c r="Q124" s="52">
        <f>(Q79-P79)/P79</f>
        <v>2.9214064115822131E-2</v>
      </c>
      <c r="T124" s="71"/>
      <c r="U124" s="71"/>
      <c r="V124" s="71"/>
      <c r="W124" s="71"/>
      <c r="X124" s="71"/>
      <c r="Y124" s="71"/>
      <c r="Z124" s="71"/>
      <c r="AA124" s="71"/>
      <c r="AC124" s="71"/>
    </row>
    <row r="125" spans="1:31" x14ac:dyDescent="0.2">
      <c r="B125" s="22" t="s">
        <v>92</v>
      </c>
      <c r="C125" s="49"/>
      <c r="D125" s="60"/>
      <c r="E125" s="60"/>
      <c r="F125" s="60"/>
      <c r="G125" s="60"/>
      <c r="H125" s="60"/>
      <c r="I125" s="60"/>
      <c r="J125" s="60"/>
      <c r="K125" s="60"/>
      <c r="L125" s="60"/>
      <c r="M125" s="60" t="e">
        <f t="shared" ref="M125" si="87">(M122-L122)/L122</f>
        <v>#DIV/0!</v>
      </c>
      <c r="N125" s="60">
        <f t="shared" ref="N125" si="88">(N122-M122)/M122</f>
        <v>0.24212958277184782</v>
      </c>
      <c r="O125" s="60">
        <f t="shared" ref="O125" si="89">(O122-N122)/N122</f>
        <v>0.17382359464872338</v>
      </c>
      <c r="P125" s="60">
        <f t="shared" ref="P125" si="90">(P122-O122)/O122</f>
        <v>0.14014321119027598</v>
      </c>
      <c r="Q125" s="60">
        <f t="shared" ref="Q125" si="91">(Q122-P122)/P122</f>
        <v>9.4562212454679911E-2</v>
      </c>
      <c r="T125" s="71"/>
      <c r="U125" s="71"/>
      <c r="V125" s="71"/>
      <c r="W125" s="71"/>
      <c r="X125" s="71"/>
      <c r="Y125" s="71"/>
      <c r="Z125" s="71"/>
      <c r="AA125" s="71"/>
      <c r="AC125" s="71"/>
    </row>
    <row r="126" spans="1:31" x14ac:dyDescent="0.2">
      <c r="B126" s="22" t="s">
        <v>93</v>
      </c>
      <c r="C126" s="49"/>
      <c r="D126" s="52"/>
      <c r="E126" s="52"/>
      <c r="F126" s="52"/>
      <c r="G126" s="52"/>
      <c r="H126" s="52"/>
      <c r="I126" s="52"/>
      <c r="J126" s="52"/>
      <c r="K126" s="52"/>
      <c r="L126" s="52"/>
      <c r="M126" s="52">
        <f>IF(L123=0,
IF(M123=0,0,IF(M123&gt;0,1,-1)),
(M123-L123)/ABS(L123)
)</f>
        <v>-1</v>
      </c>
      <c r="N126" s="52">
        <f t="shared" ref="N126:Q126" si="92">IF(M123=0,
IF(N123=0,0,IF(N123&gt;0,1,-1)),
(N123-M123)/ABS(M123)
)</f>
        <v>0.34592700592933845</v>
      </c>
      <c r="O126" s="52">
        <f t="shared" si="92"/>
        <v>0.73996418160726229</v>
      </c>
      <c r="P126" s="52">
        <f t="shared" si="92"/>
        <v>0.14471344633580355</v>
      </c>
      <c r="Q126" s="52">
        <f t="shared" si="92"/>
        <v>4.7223669705778812</v>
      </c>
      <c r="T126" s="71"/>
      <c r="U126" s="71"/>
      <c r="V126" s="71"/>
      <c r="W126" s="71"/>
      <c r="X126" s="71"/>
      <c r="Y126" s="71"/>
      <c r="Z126" s="71"/>
      <c r="AA126" s="71"/>
      <c r="AC126" s="71"/>
    </row>
    <row r="128" spans="1:31" x14ac:dyDescent="0.2">
      <c r="B128" s="1"/>
    </row>
    <row r="129" spans="1:31" ht="17" thickBot="1" x14ac:dyDescent="0.25">
      <c r="B129" s="16" t="s">
        <v>137</v>
      </c>
      <c r="C129" s="17"/>
      <c r="D129" s="17"/>
      <c r="E129" s="17"/>
      <c r="F129" s="17"/>
      <c r="G129" s="17"/>
      <c r="H129" s="17"/>
      <c r="I129" s="17"/>
      <c r="J129" s="17"/>
      <c r="K129" s="17"/>
      <c r="L129" s="17"/>
      <c r="M129" s="17"/>
      <c r="N129" s="17"/>
      <c r="O129" s="17"/>
      <c r="P129" s="17"/>
      <c r="Q129" s="17"/>
      <c r="T129" s="17"/>
      <c r="U129" s="17"/>
      <c r="V129" s="17"/>
      <c r="W129" s="17"/>
      <c r="X129" s="17"/>
      <c r="Y129" s="17"/>
      <c r="Z129" s="17"/>
      <c r="AA129" s="17"/>
      <c r="AC129" s="17"/>
    </row>
    <row r="130" spans="1:31" x14ac:dyDescent="0.2">
      <c r="B130" s="22" t="s">
        <v>131</v>
      </c>
      <c r="M130" s="77">
        <f t="shared" ref="M130:P130" si="93">M17/M5</f>
        <v>-0.58905555829519018</v>
      </c>
      <c r="N130" s="77">
        <f t="shared" si="93"/>
        <v>-0.31018127096556619</v>
      </c>
      <c r="O130" s="77">
        <f t="shared" si="93"/>
        <v>-6.8714107480322181E-2</v>
      </c>
      <c r="P130" s="77">
        <f t="shared" si="93"/>
        <v>-5.1546377330617545E-2</v>
      </c>
      <c r="Q130" s="77">
        <f>Q17/Q5</f>
        <v>0.17529796867199976</v>
      </c>
      <c r="T130" s="80"/>
      <c r="U130" s="80"/>
      <c r="V130" s="80"/>
      <c r="W130" s="80"/>
      <c r="X130" s="80"/>
      <c r="Y130" s="80"/>
      <c r="Z130" s="80"/>
      <c r="AA130" s="80"/>
      <c r="AC130" s="77">
        <f>AC17/AC5</f>
        <v>0.17529796867199976</v>
      </c>
    </row>
    <row r="131" spans="1:31" x14ac:dyDescent="0.2">
      <c r="B131" s="22" t="s">
        <v>132</v>
      </c>
      <c r="M131" s="78">
        <f t="shared" ref="M131:P131" si="94">M5/M35</f>
        <v>0.346849112713561</v>
      </c>
      <c r="N131" s="78">
        <f t="shared" si="94"/>
        <v>0.38702057541552631</v>
      </c>
      <c r="O131" s="78">
        <f t="shared" si="94"/>
        <v>0.44270021436611728</v>
      </c>
      <c r="P131" s="78">
        <f t="shared" si="94"/>
        <v>0.49896309946357587</v>
      </c>
      <c r="Q131" s="78">
        <f>Q5/Q35</f>
        <v>0.50659662808253647</v>
      </c>
      <c r="T131" s="81"/>
      <c r="U131" s="81"/>
      <c r="V131" s="81"/>
      <c r="W131" s="81"/>
      <c r="X131" s="81"/>
      <c r="Y131" s="81"/>
      <c r="Z131" s="81"/>
      <c r="AA131" s="81"/>
      <c r="AC131" s="78">
        <f>AC5/AC35</f>
        <v>0.50659662808253647</v>
      </c>
    </row>
    <row r="132" spans="1:31" x14ac:dyDescent="0.2">
      <c r="B132" s="34" t="s">
        <v>133</v>
      </c>
      <c r="M132" s="79">
        <f t="shared" ref="M132:P132" si="95">M130*M131</f>
        <v>-0.20431339773367801</v>
      </c>
      <c r="N132" s="79">
        <f t="shared" si="95"/>
        <v>-0.12004653397221271</v>
      </c>
      <c r="O132" s="79">
        <f t="shared" si="95"/>
        <v>-3.0419750111515053E-2</v>
      </c>
      <c r="P132" s="79">
        <f t="shared" si="95"/>
        <v>-2.5719740199003933E-2</v>
      </c>
      <c r="Q132" s="79">
        <f>Q130*Q131</f>
        <v>8.8805359838953199E-2</v>
      </c>
      <c r="T132" s="82"/>
      <c r="U132" s="82"/>
      <c r="V132" s="82"/>
      <c r="W132" s="82"/>
      <c r="X132" s="82"/>
      <c r="Y132" s="82"/>
      <c r="Z132" s="82"/>
      <c r="AA132" s="82"/>
      <c r="AC132" s="79">
        <f>AC130*AC131</f>
        <v>8.8805359838953199E-2</v>
      </c>
    </row>
    <row r="133" spans="1:31" x14ac:dyDescent="0.2">
      <c r="B133" s="22" t="s">
        <v>134</v>
      </c>
      <c r="M133" s="78">
        <f t="shared" ref="M133:P133" si="96">M35/M44</f>
        <v>1.3384813183920012</v>
      </c>
      <c r="N133" s="78">
        <f t="shared" si="96"/>
        <v>1.4244692363857558</v>
      </c>
      <c r="O133" s="78">
        <f t="shared" si="96"/>
        <v>1.4655708952965953</v>
      </c>
      <c r="P133" s="78">
        <f t="shared" si="96"/>
        <v>1.5523507364438103</v>
      </c>
      <c r="Q133" s="78">
        <f>Q35/Q44</f>
        <v>1.526562875884657</v>
      </c>
      <c r="T133" s="83"/>
      <c r="U133" s="83"/>
      <c r="V133" s="83"/>
      <c r="W133" s="83"/>
      <c r="X133" s="83"/>
      <c r="Y133" s="83"/>
      <c r="Z133" s="83"/>
      <c r="AA133" s="83"/>
      <c r="AC133" s="78">
        <f>AC35/AC44</f>
        <v>1.526562875884657</v>
      </c>
    </row>
    <row r="134" spans="1:31" x14ac:dyDescent="0.2">
      <c r="B134" s="34" t="s">
        <v>135</v>
      </c>
      <c r="M134" s="79">
        <f t="shared" ref="M134:P134" si="97">M132*M133</f>
        <v>-0.27346966596372269</v>
      </c>
      <c r="N134" s="79">
        <f t="shared" si="97"/>
        <v>-0.17100259457815453</v>
      </c>
      <c r="O134" s="79">
        <f t="shared" si="97"/>
        <v>-4.4582300405631825E-2</v>
      </c>
      <c r="P134" s="79">
        <f t="shared" si="97"/>
        <v>-3.9926057639067224E-2</v>
      </c>
      <c r="Q134" s="79">
        <f>Q132*Q133</f>
        <v>0.13556696550972422</v>
      </c>
      <c r="T134" s="82"/>
      <c r="U134" s="82"/>
      <c r="V134" s="82"/>
      <c r="W134" s="82"/>
      <c r="X134" s="82"/>
      <c r="Y134" s="82"/>
      <c r="Z134" s="82"/>
      <c r="AA134" s="82"/>
      <c r="AC134" s="79">
        <f>AC132*AC133</f>
        <v>0.13556696550972422</v>
      </c>
    </row>
    <row r="136" spans="1:31" x14ac:dyDescent="0.2">
      <c r="B136" s="1"/>
    </row>
    <row r="137" spans="1:31" s="17" customFormat="1" ht="17" thickBot="1" x14ac:dyDescent="0.25">
      <c r="A137" s="13"/>
      <c r="B137" s="16" t="s">
        <v>141</v>
      </c>
      <c r="R137" s="1"/>
      <c r="S137" s="1"/>
      <c r="AB137" s="1"/>
      <c r="AD137" s="1"/>
      <c r="AE137" s="1"/>
    </row>
    <row r="138" spans="1:31" outlineLevel="1" x14ac:dyDescent="0.2">
      <c r="B138" s="22" t="s">
        <v>142</v>
      </c>
      <c r="C138" s="64"/>
      <c r="D138" s="64"/>
      <c r="E138" s="64"/>
      <c r="F138" s="64"/>
      <c r="G138" s="64"/>
      <c r="H138" s="64"/>
      <c r="I138" s="64"/>
      <c r="J138" s="64"/>
      <c r="K138" s="64"/>
      <c r="L138" s="64"/>
      <c r="M138" s="64">
        <v>925276</v>
      </c>
      <c r="N138" s="64">
        <v>1203845</v>
      </c>
      <c r="O138" s="64">
        <v>1463698</v>
      </c>
      <c r="P138" s="64">
        <v>1666136</v>
      </c>
      <c r="Q138" s="64">
        <v>1852567</v>
      </c>
      <c r="T138" s="64">
        <v>1507730</v>
      </c>
      <c r="U138" s="64">
        <v>1550605</v>
      </c>
      <c r="V138" s="64">
        <v>1606561</v>
      </c>
      <c r="W138" s="64">
        <v>1666136</v>
      </c>
      <c r="X138" s="64">
        <v>1692683</v>
      </c>
      <c r="Y138" s="64">
        <v>1723401</v>
      </c>
      <c r="Z138" s="64">
        <v>1782384</v>
      </c>
      <c r="AA138" s="64">
        <v>1852567</v>
      </c>
      <c r="AC138" s="64">
        <f>AA138</f>
        <v>1852567</v>
      </c>
    </row>
    <row r="139" spans="1:31" outlineLevel="1" x14ac:dyDescent="0.2">
      <c r="B139" s="22" t="s">
        <v>143</v>
      </c>
      <c r="C139" s="64"/>
      <c r="D139" s="64"/>
      <c r="E139" s="64"/>
      <c r="F139" s="64"/>
      <c r="G139" s="64"/>
      <c r="H139" s="64"/>
      <c r="I139" s="64"/>
      <c r="J139" s="64"/>
      <c r="K139" s="64"/>
      <c r="L139" s="64"/>
      <c r="M139" s="64">
        <v>344793</v>
      </c>
      <c r="N139" s="64">
        <v>278569</v>
      </c>
      <c r="O139" s="64">
        <v>259853</v>
      </c>
      <c r="P139" s="64">
        <v>202438</v>
      </c>
      <c r="Q139" s="64">
        <v>186431</v>
      </c>
      <c r="T139" s="64">
        <v>44000</v>
      </c>
      <c r="U139" s="64">
        <v>43000</v>
      </c>
      <c r="V139" s="64">
        <v>56000</v>
      </c>
      <c r="W139" s="64">
        <v>60000</v>
      </c>
      <c r="X139" s="64">
        <v>27000</v>
      </c>
      <c r="Y139" s="64">
        <v>31000</v>
      </c>
      <c r="Z139" s="64">
        <v>59000</v>
      </c>
      <c r="AA139" s="64">
        <v>70000</v>
      </c>
      <c r="AC139" s="87">
        <f>SUM(X139:AA139)</f>
        <v>187000</v>
      </c>
    </row>
    <row r="140" spans="1:31" outlineLevel="1" x14ac:dyDescent="0.2">
      <c r="B140" s="22" t="s">
        <v>144</v>
      </c>
      <c r="C140" s="59"/>
      <c r="D140" s="59"/>
      <c r="E140" s="59"/>
      <c r="F140" s="59"/>
      <c r="G140" s="59"/>
      <c r="H140" s="59"/>
      <c r="I140" s="59"/>
      <c r="J140" s="59"/>
      <c r="K140" s="59"/>
      <c r="L140" s="86"/>
      <c r="M140" s="86">
        <v>1.45</v>
      </c>
      <c r="N140" s="86">
        <v>1.23</v>
      </c>
      <c r="O140" s="86">
        <v>1.19</v>
      </c>
      <c r="P140" s="86">
        <v>1.1000000000000001</v>
      </c>
      <c r="Q140" s="86">
        <v>1.07</v>
      </c>
      <c r="T140" s="86">
        <v>1.18</v>
      </c>
      <c r="U140" s="86">
        <v>1.1499999999999999</v>
      </c>
      <c r="V140" s="86">
        <v>1.1299999999999999</v>
      </c>
      <c r="W140" s="86">
        <v>1.1000000000000001</v>
      </c>
      <c r="X140" s="86">
        <v>1.08</v>
      </c>
      <c r="Y140" s="86">
        <v>1.08</v>
      </c>
      <c r="Z140" s="86">
        <v>1.07</v>
      </c>
      <c r="AA140" s="86">
        <v>1.07</v>
      </c>
      <c r="AC140" s="86">
        <f>AA140</f>
        <v>1.07</v>
      </c>
    </row>
    <row r="141" spans="1:31" x14ac:dyDescent="0.2">
      <c r="B141" s="22" t="s">
        <v>145</v>
      </c>
      <c r="M141" s="64">
        <v>158</v>
      </c>
      <c r="N141" s="64">
        <v>229</v>
      </c>
      <c r="O141" s="64">
        <v>288</v>
      </c>
      <c r="P141" s="64">
        <v>317</v>
      </c>
      <c r="Q141" s="64">
        <v>357</v>
      </c>
      <c r="T141" s="64">
        <v>288</v>
      </c>
      <c r="U141" s="64">
        <v>293</v>
      </c>
      <c r="V141" s="64">
        <v>302</v>
      </c>
      <c r="W141" s="64">
        <v>317</v>
      </c>
      <c r="X141" s="64">
        <v>316</v>
      </c>
      <c r="Y141" s="64">
        <v>320</v>
      </c>
      <c r="Z141" s="64">
        <v>333</v>
      </c>
      <c r="AA141" s="64">
        <v>357</v>
      </c>
      <c r="AC141" s="64">
        <f>AA141</f>
        <v>357</v>
      </c>
    </row>
    <row r="142" spans="1:31" x14ac:dyDescent="0.2">
      <c r="B142" s="22" t="s">
        <v>146</v>
      </c>
      <c r="M142" s="64">
        <v>1493</v>
      </c>
      <c r="N142" s="64">
        <v>1785</v>
      </c>
      <c r="O142" s="64">
        <v>2054</v>
      </c>
      <c r="P142" s="64">
        <v>2292</v>
      </c>
      <c r="Q142" s="64">
        <v>2565</v>
      </c>
      <c r="T142" s="64">
        <v>2092</v>
      </c>
      <c r="U142" s="64">
        <v>2163</v>
      </c>
      <c r="V142" s="64">
        <v>2235</v>
      </c>
      <c r="W142" s="64">
        <v>2292</v>
      </c>
      <c r="X142" s="64">
        <v>2365</v>
      </c>
      <c r="Y142" s="64">
        <v>2432</v>
      </c>
      <c r="Z142" s="64">
        <v>2506</v>
      </c>
      <c r="AA142" s="64">
        <v>2565</v>
      </c>
      <c r="AC142" s="64">
        <f>AA142</f>
        <v>2565</v>
      </c>
    </row>
    <row r="144" spans="1:31" x14ac:dyDescent="0.2">
      <c r="B144" s="1"/>
    </row>
    <row r="145" spans="2:29" ht="17" thickBot="1" x14ac:dyDescent="0.25">
      <c r="B145" s="16" t="s">
        <v>297</v>
      </c>
      <c r="C145" s="201"/>
      <c r="D145" s="201"/>
      <c r="E145" s="201"/>
      <c r="F145" s="201"/>
      <c r="G145" s="201"/>
      <c r="H145" s="201"/>
      <c r="I145" s="201"/>
      <c r="J145" s="201"/>
      <c r="K145" s="201"/>
      <c r="L145" s="201"/>
      <c r="M145" s="201"/>
      <c r="N145" s="201"/>
      <c r="O145" s="201"/>
      <c r="P145" s="201"/>
      <c r="Q145" s="201"/>
      <c r="T145" s="201"/>
      <c r="U145" s="201"/>
      <c r="V145" s="201"/>
      <c r="W145" s="201"/>
      <c r="X145" s="201"/>
      <c r="Y145" s="201"/>
      <c r="Z145" s="201"/>
      <c r="AA145" s="201"/>
      <c r="AC145" s="201"/>
    </row>
    <row r="146" spans="2:29" x14ac:dyDescent="0.2">
      <c r="B146" s="22" t="s">
        <v>298</v>
      </c>
      <c r="C146" s="51"/>
      <c r="D146" s="51"/>
      <c r="E146" s="51"/>
      <c r="F146" s="51"/>
      <c r="G146" s="51"/>
      <c r="H146" s="51"/>
      <c r="I146" s="51"/>
      <c r="J146" s="51"/>
      <c r="K146" s="51"/>
      <c r="L146" s="51"/>
      <c r="M146" s="51"/>
      <c r="N146" s="51"/>
      <c r="O146" s="51"/>
      <c r="P146" s="51"/>
      <c r="Q146" s="51"/>
      <c r="T146" s="23">
        <v>300000</v>
      </c>
      <c r="U146" s="23">
        <v>345000</v>
      </c>
      <c r="V146" s="23">
        <v>422000</v>
      </c>
      <c r="W146" s="23">
        <v>330000</v>
      </c>
      <c r="X146" s="23">
        <v>345000</v>
      </c>
      <c r="Y146" s="23">
        <v>390000</v>
      </c>
      <c r="Z146" s="23">
        <v>462000</v>
      </c>
      <c r="AA146" s="23">
        <v>395000</v>
      </c>
      <c r="AC146" s="51"/>
    </row>
    <row r="147" spans="2:29" x14ac:dyDescent="0.2">
      <c r="B147" s="22" t="s">
        <v>299</v>
      </c>
      <c r="C147" s="51"/>
      <c r="D147" s="51"/>
      <c r="E147" s="51"/>
      <c r="F147" s="51"/>
      <c r="G147" s="51"/>
      <c r="H147" s="51"/>
      <c r="I147" s="51"/>
      <c r="J147" s="51"/>
      <c r="K147" s="51"/>
      <c r="L147" s="51"/>
      <c r="M147" s="51"/>
      <c r="N147" s="51"/>
      <c r="O147" s="51"/>
      <c r="P147" s="51"/>
      <c r="Q147" s="51"/>
      <c r="T147" s="23">
        <v>305000</v>
      </c>
      <c r="U147" s="23">
        <v>350000</v>
      </c>
      <c r="V147" s="23">
        <v>427000</v>
      </c>
      <c r="W147" s="23">
        <v>335000</v>
      </c>
      <c r="X147" s="23">
        <v>350000</v>
      </c>
      <c r="Y147" s="23">
        <v>395000</v>
      </c>
      <c r="Z147" s="23">
        <v>467000</v>
      </c>
      <c r="AA147" s="23">
        <v>400000</v>
      </c>
      <c r="AC147" s="51"/>
    </row>
    <row r="148" spans="2:29" x14ac:dyDescent="0.2">
      <c r="B148" s="22" t="s">
        <v>300</v>
      </c>
      <c r="C148" s="51"/>
      <c r="D148" s="51"/>
      <c r="E148" s="51"/>
      <c r="F148" s="51"/>
      <c r="G148" s="51"/>
      <c r="H148" s="51"/>
      <c r="I148" s="51"/>
      <c r="J148" s="51"/>
      <c r="K148" s="51"/>
      <c r="L148" s="51"/>
      <c r="M148" s="51"/>
      <c r="N148" s="51"/>
      <c r="O148" s="51"/>
      <c r="P148" s="51"/>
      <c r="Q148" s="51"/>
      <c r="T148" s="27">
        <f t="shared" ref="T148:AA148" si="98">U5</f>
        <v>316253</v>
      </c>
      <c r="U148" s="27">
        <f t="shared" si="98"/>
        <v>354653</v>
      </c>
      <c r="V148" s="27">
        <f t="shared" si="98"/>
        <v>423646</v>
      </c>
      <c r="W148" s="27">
        <f t="shared" si="98"/>
        <v>356624</v>
      </c>
      <c r="X148" s="27">
        <f t="shared" si="98"/>
        <v>361728</v>
      </c>
      <c r="Y148" s="27">
        <f t="shared" si="98"/>
        <v>411113</v>
      </c>
      <c r="Z148" s="27">
        <f t="shared" si="98"/>
        <v>481107</v>
      </c>
      <c r="AA148" s="27">
        <f t="shared" si="98"/>
        <v>0</v>
      </c>
      <c r="AC148" s="51"/>
    </row>
    <row r="149" spans="2:29" x14ac:dyDescent="0.2">
      <c r="B149" s="22" t="s">
        <v>241</v>
      </c>
      <c r="C149" s="51"/>
      <c r="D149" s="51"/>
      <c r="E149" s="51"/>
      <c r="F149" s="51"/>
      <c r="G149" s="51"/>
      <c r="H149" s="51"/>
      <c r="I149" s="51"/>
      <c r="J149" s="51"/>
      <c r="K149" s="51"/>
      <c r="L149" s="51"/>
      <c r="M149" s="51"/>
      <c r="N149" s="51"/>
      <c r="O149" s="51"/>
      <c r="P149" s="51"/>
      <c r="Q149" s="51"/>
      <c r="T149" s="202" t="str">
        <f t="shared" ref="T149:AA149" si="99">IF(U5&gt;T147, "BEAT", IF(U5&lt;T146, "MISSED", "MET"))</f>
        <v>BEAT</v>
      </c>
      <c r="U149" s="202" t="str">
        <f t="shared" si="99"/>
        <v>BEAT</v>
      </c>
      <c r="V149" s="202" t="str">
        <f t="shared" si="99"/>
        <v>MET</v>
      </c>
      <c r="W149" s="202" t="str">
        <f t="shared" si="99"/>
        <v>BEAT</v>
      </c>
      <c r="X149" s="202" t="str">
        <f t="shared" si="99"/>
        <v>BEAT</v>
      </c>
      <c r="Y149" s="202" t="str">
        <f t="shared" si="99"/>
        <v>BEAT</v>
      </c>
      <c r="Z149" s="202" t="str">
        <f t="shared" si="99"/>
        <v>BEAT</v>
      </c>
      <c r="AA149" s="202" t="str">
        <f t="shared" si="99"/>
        <v>MISSED</v>
      </c>
      <c r="AC149" s="51"/>
    </row>
    <row r="150" spans="2:29" x14ac:dyDescent="0.2">
      <c r="B150" s="22" t="s">
        <v>301</v>
      </c>
      <c r="C150" s="51"/>
      <c r="D150" s="51"/>
      <c r="E150" s="51"/>
      <c r="F150" s="51"/>
      <c r="G150" s="51"/>
      <c r="H150" s="51"/>
      <c r="I150" s="51"/>
      <c r="J150" s="51"/>
      <c r="K150" s="51"/>
      <c r="L150" s="51"/>
      <c r="M150" s="51"/>
      <c r="N150" s="51"/>
      <c r="O150" s="51"/>
      <c r="P150" s="51"/>
      <c r="Q150" s="51"/>
      <c r="T150" s="23">
        <v>1543000</v>
      </c>
      <c r="U150" s="23">
        <v>1600000</v>
      </c>
      <c r="V150" s="23">
        <v>1669000</v>
      </c>
      <c r="W150" s="23">
        <v>1686000</v>
      </c>
      <c r="X150" s="23">
        <v>1715000</v>
      </c>
      <c r="Y150" s="23">
        <v>1771000</v>
      </c>
      <c r="Z150" s="23">
        <v>1844000</v>
      </c>
      <c r="AA150" s="23">
        <v>1894000</v>
      </c>
      <c r="AC150" s="51"/>
    </row>
    <row r="151" spans="2:29" x14ac:dyDescent="0.2">
      <c r="B151" s="22" t="s">
        <v>302</v>
      </c>
      <c r="C151" s="51"/>
      <c r="D151" s="51"/>
      <c r="E151" s="51"/>
      <c r="F151" s="51"/>
      <c r="G151" s="51"/>
      <c r="H151" s="51"/>
      <c r="I151" s="51"/>
      <c r="J151" s="51"/>
      <c r="K151" s="51"/>
      <c r="L151" s="51"/>
      <c r="M151" s="51"/>
      <c r="N151" s="51"/>
      <c r="O151" s="51"/>
      <c r="P151" s="51"/>
      <c r="Q151" s="51"/>
      <c r="T151" s="23">
        <v>1548000</v>
      </c>
      <c r="U151" s="23">
        <v>1605000</v>
      </c>
      <c r="V151" s="23">
        <v>1674000</v>
      </c>
      <c r="W151" s="23">
        <v>1691000</v>
      </c>
      <c r="X151" s="23">
        <v>1720000</v>
      </c>
      <c r="Y151" s="23">
        <v>1776000</v>
      </c>
      <c r="Z151" s="23">
        <v>1849000</v>
      </c>
      <c r="AA151" s="23">
        <v>1899000</v>
      </c>
      <c r="AC151" s="51"/>
    </row>
    <row r="152" spans="2:29" x14ac:dyDescent="0.2">
      <c r="B152" s="22" t="s">
        <v>303</v>
      </c>
      <c r="C152" s="51"/>
      <c r="D152" s="51"/>
      <c r="E152" s="51"/>
      <c r="F152" s="51"/>
      <c r="G152" s="51"/>
      <c r="H152" s="51"/>
      <c r="I152" s="51"/>
      <c r="J152" s="51"/>
      <c r="K152" s="51"/>
      <c r="L152" s="51"/>
      <c r="M152" s="51"/>
      <c r="N152" s="51"/>
      <c r="O152" s="51"/>
      <c r="P152" s="51"/>
      <c r="Q152" s="51"/>
      <c r="T152" s="27">
        <f>U138</f>
        <v>1550605</v>
      </c>
      <c r="U152" s="27">
        <f t="shared" ref="U152:AA152" si="100">V138</f>
        <v>1606561</v>
      </c>
      <c r="V152" s="27">
        <f t="shared" si="100"/>
        <v>1666136</v>
      </c>
      <c r="W152" s="27">
        <f t="shared" si="100"/>
        <v>1692683</v>
      </c>
      <c r="X152" s="27">
        <f t="shared" si="100"/>
        <v>1723401</v>
      </c>
      <c r="Y152" s="27">
        <f t="shared" si="100"/>
        <v>1782384</v>
      </c>
      <c r="Z152" s="27">
        <f t="shared" si="100"/>
        <v>1852567</v>
      </c>
      <c r="AA152" s="27">
        <f t="shared" si="100"/>
        <v>0</v>
      </c>
      <c r="AC152" s="51"/>
    </row>
    <row r="153" spans="2:29" x14ac:dyDescent="0.2">
      <c r="B153" s="22" t="s">
        <v>241</v>
      </c>
      <c r="C153" s="51"/>
      <c r="D153" s="51"/>
      <c r="E153" s="51"/>
      <c r="F153" s="51"/>
      <c r="G153" s="51"/>
      <c r="H153" s="51"/>
      <c r="I153" s="51"/>
      <c r="J153" s="51"/>
      <c r="K153" s="51"/>
      <c r="L153" s="51"/>
      <c r="M153" s="51"/>
      <c r="N153" s="51"/>
      <c r="O153" s="51"/>
      <c r="P153" s="51"/>
      <c r="Q153" s="51"/>
      <c r="T153" s="202" t="str">
        <f>IF(U138&gt;T151, "BEAT", IF(U138&lt;T150, "MISSED", "MET"))</f>
        <v>BEAT</v>
      </c>
      <c r="U153" s="202" t="str">
        <f t="shared" ref="U153:AA153" si="101">IF(V138&gt;U151, "BEAT", IF(V138&lt;U150, "MISSED", "MET"))</f>
        <v>BEAT</v>
      </c>
      <c r="V153" s="202" t="str">
        <f t="shared" si="101"/>
        <v>MISSED</v>
      </c>
      <c r="W153" s="202" t="str">
        <f t="shared" si="101"/>
        <v>BEAT</v>
      </c>
      <c r="X153" s="202" t="str">
        <f t="shared" si="101"/>
        <v>BEAT</v>
      </c>
      <c r="Y153" s="202" t="str">
        <f t="shared" si="101"/>
        <v>BEAT</v>
      </c>
      <c r="Z153" s="202" t="str">
        <f t="shared" si="101"/>
        <v>BEAT</v>
      </c>
      <c r="AA153" s="202" t="str">
        <f t="shared" si="101"/>
        <v>MISSED</v>
      </c>
      <c r="AC153" s="51"/>
    </row>
    <row r="155" spans="2:29" x14ac:dyDescent="0.2">
      <c r="B155" s="1"/>
    </row>
    <row r="156" spans="2:29" ht="17" thickBot="1" x14ac:dyDescent="0.25">
      <c r="B156" s="16" t="s">
        <v>320</v>
      </c>
      <c r="C156" s="201"/>
      <c r="D156" s="201"/>
      <c r="E156" s="201"/>
      <c r="F156" s="201"/>
      <c r="G156" s="201"/>
      <c r="H156" s="201"/>
      <c r="I156" s="201"/>
      <c r="J156" s="201"/>
      <c r="K156" s="201"/>
      <c r="L156" s="201"/>
      <c r="M156" s="201"/>
      <c r="N156" s="201"/>
      <c r="O156" s="201"/>
      <c r="P156" s="201"/>
      <c r="Q156" s="201"/>
      <c r="T156" s="201"/>
      <c r="U156" s="201"/>
      <c r="V156" s="201"/>
      <c r="W156" s="201"/>
      <c r="X156" s="201"/>
      <c r="Y156" s="201"/>
      <c r="Z156" s="201"/>
      <c r="AA156" s="201"/>
      <c r="AC156" s="201"/>
    </row>
    <row r="157" spans="2:29" x14ac:dyDescent="0.2">
      <c r="B157" s="22" t="s">
        <v>136</v>
      </c>
      <c r="C157" s="84"/>
      <c r="D157" s="84"/>
      <c r="E157" s="84"/>
      <c r="F157" s="84"/>
      <c r="G157" s="84"/>
      <c r="H157" s="84"/>
      <c r="I157" s="84"/>
      <c r="J157" s="84"/>
      <c r="K157" s="84"/>
      <c r="L157" s="84"/>
      <c r="M157" s="84">
        <f t="shared" ref="M157:Q157" si="102">M114/(M113+M44-M112)</f>
        <v>-8.8230445426845385</v>
      </c>
      <c r="N157" s="84">
        <f t="shared" si="102"/>
        <v>-2.1332373748200779</v>
      </c>
      <c r="O157" s="84">
        <f t="shared" si="102"/>
        <v>-1.2085904425090432</v>
      </c>
      <c r="P157" s="84">
        <f t="shared" si="102"/>
        <v>-0.75178502062484975</v>
      </c>
      <c r="Q157" s="84">
        <f t="shared" si="102"/>
        <v>9.3033776374731397E-2</v>
      </c>
      <c r="T157" s="51"/>
      <c r="U157" s="51"/>
      <c r="V157" s="51"/>
      <c r="W157" s="51"/>
      <c r="X157" s="51"/>
      <c r="Y157" s="51"/>
      <c r="Z157" s="51"/>
      <c r="AA157" s="51"/>
      <c r="AC157" s="84">
        <f>AC114/(AC113+AC44-AC112)</f>
        <v>9.3033776374731397E-2</v>
      </c>
    </row>
    <row r="158" spans="2:29" x14ac:dyDescent="0.2">
      <c r="B158" s="22" t="s">
        <v>192</v>
      </c>
      <c r="M158" s="143">
        <f>M29/M5*365</f>
        <v>133.69421979440784</v>
      </c>
      <c r="N158" s="143">
        <f t="shared" ref="N158:Q158" si="103">N29/N5*365</f>
        <v>152.91140215061483</v>
      </c>
      <c r="O158" s="143">
        <f t="shared" si="103"/>
        <v>145.23661159324561</v>
      </c>
      <c r="P158" s="143">
        <f t="shared" si="103"/>
        <v>137.8303503480538</v>
      </c>
      <c r="Q158" s="143">
        <f t="shared" si="103"/>
        <v>131.6037563052133</v>
      </c>
      <c r="T158" s="143">
        <f>T29/T5*90</f>
        <v>96.352950655303303</v>
      </c>
      <c r="U158" s="143">
        <f t="shared" ref="U158:AA158" si="104">U29/U5*90</f>
        <v>104.95764467056439</v>
      </c>
      <c r="V158" s="143">
        <f t="shared" si="104"/>
        <v>113.19501033404484</v>
      </c>
      <c r="W158" s="143">
        <f t="shared" si="104"/>
        <v>114.68995340449337</v>
      </c>
      <c r="X158" s="143">
        <f t="shared" si="104"/>
        <v>93.317359459823237</v>
      </c>
      <c r="Y158" s="143">
        <f t="shared" si="104"/>
        <v>96.344546178343947</v>
      </c>
      <c r="Z158" s="143">
        <f t="shared" si="104"/>
        <v>108.60342533561332</v>
      </c>
      <c r="AA158" s="143">
        <f t="shared" si="104"/>
        <v>108.63165574394054</v>
      </c>
      <c r="AC158" s="143">
        <f t="shared" ref="AC158" si="105">AC29/AC5*365</f>
        <v>131.6037563052133</v>
      </c>
    </row>
    <row r="159" spans="2:29" x14ac:dyDescent="0.2">
      <c r="B159" s="22" t="s">
        <v>193</v>
      </c>
      <c r="M159" s="143">
        <f>M30/M6*365</f>
        <v>0</v>
      </c>
      <c r="N159" s="143">
        <f t="shared" ref="N159:Q159" si="106">N30/N6*365</f>
        <v>0</v>
      </c>
      <c r="O159" s="143">
        <f t="shared" si="106"/>
        <v>0</v>
      </c>
      <c r="P159" s="143">
        <f t="shared" si="106"/>
        <v>0</v>
      </c>
      <c r="Q159" s="143">
        <f t="shared" si="106"/>
        <v>0</v>
      </c>
      <c r="T159" s="143">
        <f t="shared" ref="T159:AC159" si="107">T30/T6*365</f>
        <v>0</v>
      </c>
      <c r="U159" s="143">
        <f t="shared" si="107"/>
        <v>0</v>
      </c>
      <c r="V159" s="143">
        <f t="shared" si="107"/>
        <v>0</v>
      </c>
      <c r="W159" s="143">
        <f t="shared" si="107"/>
        <v>0</v>
      </c>
      <c r="X159" s="143">
        <f t="shared" si="107"/>
        <v>0</v>
      </c>
      <c r="Y159" s="143">
        <f t="shared" si="107"/>
        <v>0</v>
      </c>
      <c r="Z159" s="143">
        <f t="shared" si="107"/>
        <v>0</v>
      </c>
      <c r="AA159" s="143">
        <f t="shared" si="107"/>
        <v>0</v>
      </c>
      <c r="AC159" s="143">
        <f t="shared" si="107"/>
        <v>0</v>
      </c>
    </row>
    <row r="160" spans="2:29" x14ac:dyDescent="0.2">
      <c r="B160" s="22" t="s">
        <v>194</v>
      </c>
      <c r="M160" s="143">
        <f>M36/M6*365</f>
        <v>24.889114574697395</v>
      </c>
      <c r="N160" s="143">
        <f t="shared" ref="N160:Q160" si="108">N36/N6*365</f>
        <v>18.023865460341792</v>
      </c>
      <c r="O160" s="143">
        <f t="shared" si="108"/>
        <v>6.4216481901145333</v>
      </c>
      <c r="P160" s="143">
        <f t="shared" si="108"/>
        <v>49.039734026613537</v>
      </c>
      <c r="Q160" s="143">
        <f t="shared" si="108"/>
        <v>13.686287751306349</v>
      </c>
      <c r="T160" s="143">
        <f>T36/T6*90</f>
        <v>11.166018978761862</v>
      </c>
      <c r="U160" s="143">
        <f t="shared" ref="U160:AA160" si="109">U36/U6*90</f>
        <v>14.085596967782692</v>
      </c>
      <c r="V160" s="143">
        <f t="shared" si="109"/>
        <v>26.007872904348915</v>
      </c>
      <c r="W160" s="143">
        <f t="shared" si="109"/>
        <v>46.270493073418663</v>
      </c>
      <c r="X160" s="143">
        <f t="shared" si="109"/>
        <v>23.797704245423365</v>
      </c>
      <c r="Y160" s="143">
        <f t="shared" si="109"/>
        <v>27.599720410065238</v>
      </c>
      <c r="Z160" s="143">
        <f t="shared" si="109"/>
        <v>18.67697494623031</v>
      </c>
      <c r="AA160" s="143">
        <f t="shared" si="109"/>
        <v>12.368837492391966</v>
      </c>
      <c r="AC160" s="143">
        <f t="shared" ref="AC160" si="110">AC36/AC6*365</f>
        <v>13.686287751306349</v>
      </c>
    </row>
    <row r="161" spans="2:29" x14ac:dyDescent="0.2">
      <c r="B161" s="22" t="s">
        <v>195</v>
      </c>
      <c r="M161" s="143">
        <f>M158+M159-M160</f>
        <v>108.80510521971044</v>
      </c>
      <c r="N161" s="143">
        <f t="shared" ref="N161:Q161" si="111">N158+N159-N160</f>
        <v>134.88753669027304</v>
      </c>
      <c r="O161" s="143">
        <f t="shared" si="111"/>
        <v>138.81496340313109</v>
      </c>
      <c r="P161" s="143">
        <f t="shared" si="111"/>
        <v>88.790616321440268</v>
      </c>
      <c r="Q161" s="143">
        <f t="shared" si="111"/>
        <v>117.91746855390694</v>
      </c>
      <c r="T161" s="143">
        <f t="shared" ref="T161" si="112">T158+T159-T160</f>
        <v>85.186931676541434</v>
      </c>
      <c r="U161" s="143">
        <f t="shared" ref="U161" si="113">U158+U159-U160</f>
        <v>90.8720477027817</v>
      </c>
      <c r="V161" s="143">
        <f t="shared" ref="V161" si="114">V158+V159-V160</f>
        <v>87.187137429695923</v>
      </c>
      <c r="W161" s="143">
        <f t="shared" ref="W161" si="115">W158+W159-W160</f>
        <v>68.419460331074703</v>
      </c>
      <c r="X161" s="143">
        <f t="shared" ref="X161" si="116">X158+X159-X160</f>
        <v>69.519655214399876</v>
      </c>
      <c r="Y161" s="143">
        <f t="shared" ref="Y161" si="117">Y158+Y159-Y160</f>
        <v>68.744825768278702</v>
      </c>
      <c r="Z161" s="143">
        <f t="shared" ref="Z161" si="118">Z158+Z159-Z160</f>
        <v>89.926450389383007</v>
      </c>
      <c r="AA161" s="143">
        <f t="shared" ref="AA161" si="119">AA158+AA159-AA160</f>
        <v>96.26281825154858</v>
      </c>
      <c r="AC161" s="143">
        <f t="shared" ref="AC161" si="120">AC158+AC159-AC160</f>
        <v>117.91746855390694</v>
      </c>
    </row>
    <row r="162" spans="2:29" x14ac:dyDescent="0.2">
      <c r="B162" s="22" t="s">
        <v>323</v>
      </c>
      <c r="M162" s="143">
        <f>M113/M44</f>
        <v>0</v>
      </c>
      <c r="N162" s="143">
        <f t="shared" ref="N162:Q162" si="121">N113/N44</f>
        <v>0</v>
      </c>
      <c r="O162" s="143">
        <f t="shared" si="121"/>
        <v>0</v>
      </c>
      <c r="P162" s="143">
        <f t="shared" si="121"/>
        <v>0</v>
      </c>
      <c r="Q162" s="143">
        <f t="shared" si="121"/>
        <v>0</v>
      </c>
      <c r="T162" s="143">
        <f t="shared" ref="T162:AC162" si="122">T113/T44</f>
        <v>0</v>
      </c>
      <c r="U162" s="143">
        <f t="shared" si="122"/>
        <v>0</v>
      </c>
      <c r="V162" s="143">
        <f t="shared" si="122"/>
        <v>0</v>
      </c>
      <c r="W162" s="143">
        <f t="shared" si="122"/>
        <v>0</v>
      </c>
      <c r="X162" s="143">
        <f t="shared" si="122"/>
        <v>0</v>
      </c>
      <c r="Y162" s="143">
        <f t="shared" si="122"/>
        <v>0</v>
      </c>
      <c r="Z162" s="143">
        <f t="shared" si="122"/>
        <v>0</v>
      </c>
      <c r="AA162" s="143">
        <f t="shared" si="122"/>
        <v>0</v>
      </c>
      <c r="AC162" s="143">
        <f t="shared" si="122"/>
        <v>0</v>
      </c>
    </row>
    <row r="163" spans="2:29" x14ac:dyDescent="0.2">
      <c r="B163" s="22" t="s">
        <v>327</v>
      </c>
      <c r="M163" s="210">
        <f>(M113-M112)/M44</f>
        <v>-0.97045814153264687</v>
      </c>
      <c r="N163" s="210">
        <f t="shared" ref="N163:Q163" si="123">(N113-N112)/N44</f>
        <v>-0.91497314283512088</v>
      </c>
      <c r="O163" s="210">
        <f t="shared" si="123"/>
        <v>-0.93239915996813671</v>
      </c>
      <c r="P163" s="210">
        <f t="shared" si="123"/>
        <v>-0.88284296675302665</v>
      </c>
      <c r="Q163" s="210">
        <f t="shared" si="123"/>
        <v>-0.70704657236408375</v>
      </c>
      <c r="T163" s="210">
        <f t="shared" ref="T163:AC163" si="124">(T113-T112)/T44</f>
        <v>-0.95487626072765519</v>
      </c>
      <c r="U163" s="210">
        <f t="shared" si="124"/>
        <v>-0.95080282790888426</v>
      </c>
      <c r="V163" s="210">
        <f t="shared" si="124"/>
        <v>-0.90599389668243979</v>
      </c>
      <c r="W163" s="210">
        <f t="shared" si="124"/>
        <v>-0.88284296675302665</v>
      </c>
      <c r="X163" s="210">
        <f t="shared" si="124"/>
        <v>-0.91555413989488132</v>
      </c>
      <c r="Y163" s="210">
        <f t="shared" si="124"/>
        <v>-0.86899465270819587</v>
      </c>
      <c r="Z163" s="210">
        <f t="shared" si="124"/>
        <v>-0.72647492981720518</v>
      </c>
      <c r="AA163" s="210">
        <f t="shared" si="124"/>
        <v>-0.70704657236408375</v>
      </c>
      <c r="AC163" s="210">
        <f t="shared" si="124"/>
        <v>-0.70704657236408375</v>
      </c>
    </row>
    <row r="164" spans="2:29" x14ac:dyDescent="0.2">
      <c r="B164" s="22" t="s">
        <v>324</v>
      </c>
      <c r="M164" s="143">
        <f>(M112+M29)/M37</f>
        <v>4.1553646343798398</v>
      </c>
      <c r="N164" s="143">
        <f t="shared" ref="N164:Q164" si="125">(N112+N29)/N37</f>
        <v>3.5124319181677128</v>
      </c>
      <c r="O164" s="143">
        <f t="shared" si="125"/>
        <v>3.3726940484002186</v>
      </c>
      <c r="P164" s="143">
        <f t="shared" si="125"/>
        <v>2.715395784308817</v>
      </c>
      <c r="Q164" s="143">
        <f t="shared" si="125"/>
        <v>2.2676594254840001</v>
      </c>
      <c r="T164" s="143">
        <f t="shared" ref="T164:AC164" si="126">(T112+T29)/T37</f>
        <v>3.8396096636855352</v>
      </c>
      <c r="U164" s="143">
        <f t="shared" si="126"/>
        <v>3.3394102478565317</v>
      </c>
      <c r="V164" s="143">
        <f t="shared" si="126"/>
        <v>2.8974467736346341</v>
      </c>
      <c r="W164" s="143">
        <f t="shared" si="126"/>
        <v>2.715395784308817</v>
      </c>
      <c r="X164" s="143">
        <f t="shared" si="126"/>
        <v>2.6887704000882846</v>
      </c>
      <c r="Y164" s="143">
        <f t="shared" si="126"/>
        <v>2.4846597518746183</v>
      </c>
      <c r="Z164" s="143">
        <f t="shared" si="126"/>
        <v>2.4017725370863445</v>
      </c>
      <c r="AA164" s="143">
        <f t="shared" si="126"/>
        <v>2.2676594254840001</v>
      </c>
      <c r="AC164" s="143">
        <f t="shared" si="126"/>
        <v>2.2676594254840001</v>
      </c>
    </row>
    <row r="165" spans="2:29" x14ac:dyDescent="0.2">
      <c r="B165" s="22" t="s">
        <v>325</v>
      </c>
      <c r="M165" s="143">
        <f>M31/M37</f>
        <v>4.3171501096680389</v>
      </c>
      <c r="N165" s="143">
        <f t="shared" ref="N165:Q165" si="127">N31/N37</f>
        <v>3.7423569563190795</v>
      </c>
      <c r="O165" s="143">
        <f t="shared" si="127"/>
        <v>3.6257476910625539</v>
      </c>
      <c r="P165" s="143">
        <f t="shared" si="127"/>
        <v>2.9271504030441093</v>
      </c>
      <c r="Q165" s="143">
        <f t="shared" si="127"/>
        <v>2.4783388537733191</v>
      </c>
      <c r="T165" s="143">
        <f t="shared" ref="T165:AC165" si="128">T31/T37</f>
        <v>4.1322999785786969</v>
      </c>
      <c r="U165" s="143">
        <f t="shared" si="128"/>
        <v>3.5957679252114221</v>
      </c>
      <c r="V165" s="143">
        <f t="shared" si="128"/>
        <v>3.129493165083332</v>
      </c>
      <c r="W165" s="143">
        <f t="shared" si="128"/>
        <v>2.9271504030441093</v>
      </c>
      <c r="X165" s="143">
        <f t="shared" si="128"/>
        <v>2.9470125037192663</v>
      </c>
      <c r="Y165" s="143">
        <f t="shared" si="128"/>
        <v>2.7501208666647705</v>
      </c>
      <c r="Z165" s="143">
        <f t="shared" si="128"/>
        <v>2.6541688855077976</v>
      </c>
      <c r="AA165" s="143">
        <f t="shared" si="128"/>
        <v>2.4783388537733191</v>
      </c>
      <c r="AC165" s="143">
        <f t="shared" si="128"/>
        <v>2.4783388537733191</v>
      </c>
    </row>
    <row r="166" spans="2:29" x14ac:dyDescent="0.2">
      <c r="B166" s="22" t="s">
        <v>331</v>
      </c>
      <c r="M166" s="212" t="str">
        <f>IF(M13&gt;=0,"N/A",IF(M12&lt;=0,"N/A",M12/-M13))</f>
        <v>N/A</v>
      </c>
      <c r="N166" s="212" t="str">
        <f t="shared" ref="N166:Q166" si="129">IF(N13&gt;=0,"N/A",IF(N12&lt;=0,"N/A",N12/-N13))</f>
        <v>N/A</v>
      </c>
      <c r="O166" s="212" t="str">
        <f t="shared" si="129"/>
        <v>N/A</v>
      </c>
      <c r="P166" s="212" t="str">
        <f t="shared" si="129"/>
        <v>N/A</v>
      </c>
      <c r="Q166" s="212" t="str">
        <f t="shared" si="129"/>
        <v>N/A</v>
      </c>
      <c r="T166" s="212" t="str">
        <f t="shared" ref="T166:AC166" si="130">IF(T13&gt;=0,"N/A",IF(T12&lt;=0,"N/A",T12/-T13))</f>
        <v>N/A</v>
      </c>
      <c r="U166" s="212" t="str">
        <f t="shared" si="130"/>
        <v>N/A</v>
      </c>
      <c r="V166" s="212" t="str">
        <f t="shared" si="130"/>
        <v>N/A</v>
      </c>
      <c r="W166" s="212" t="str">
        <f t="shared" si="130"/>
        <v>N/A</v>
      </c>
      <c r="X166" s="212" t="str">
        <f t="shared" si="130"/>
        <v>N/A</v>
      </c>
      <c r="Y166" s="212" t="str">
        <f t="shared" si="130"/>
        <v>N/A</v>
      </c>
      <c r="Z166" s="212" t="str">
        <f t="shared" si="130"/>
        <v>N/A</v>
      </c>
      <c r="AA166" s="212" t="str">
        <f t="shared" si="130"/>
        <v>N/A</v>
      </c>
      <c r="AC166" s="212" t="str">
        <f t="shared" si="130"/>
        <v>N/A</v>
      </c>
    </row>
    <row r="167" spans="2:29" x14ac:dyDescent="0.2">
      <c r="B167" s="22" t="s">
        <v>309</v>
      </c>
      <c r="M167" s="75">
        <f ca="1">Overview!$C$5/Statement!M25</f>
        <v>-9.4224137931034484</v>
      </c>
      <c r="N167" s="75">
        <f ca="1">Overview!$C$5/Statement!N25</f>
        <v>-18.216666666666669</v>
      </c>
      <c r="O167" s="75">
        <f ca="1">Overview!$C$5/Statement!O25</f>
        <v>-68.3125</v>
      </c>
      <c r="P167" s="75">
        <f ca="1">Overview!$C$5/Statement!P25</f>
        <v>-84.076923076923066</v>
      </c>
      <c r="Q167" s="75">
        <f ca="1">Overview!$C$5/Statement!Q25</f>
        <v>21.019230769230766</v>
      </c>
      <c r="T167" s="51"/>
      <c r="U167" s="51"/>
      <c r="V167" s="51"/>
      <c r="W167" s="51"/>
      <c r="X167" s="51"/>
      <c r="Y167" s="51"/>
      <c r="Z167" s="51"/>
      <c r="AA167" s="51"/>
      <c r="AC167" s="75">
        <f ca="1">Overview!$C$5/Statement!AC25</f>
        <v>21.019230769230766</v>
      </c>
    </row>
    <row r="168" spans="2:29" x14ac:dyDescent="0.2">
      <c r="B168" s="22" t="s">
        <v>256</v>
      </c>
      <c r="M168" s="75">
        <f ca="1">Overview!$C$5/(Statement!M5/Statement!M21)</f>
        <v>5.5691119212957778</v>
      </c>
      <c r="N168" s="75">
        <f ca="1">Overview!$C$5/(Statement!N5/Statement!N21)</f>
        <v>5.6584054125286585</v>
      </c>
      <c r="O168" s="75">
        <f ca="1">Overview!$C$5/(Statement!O5/Statement!O21)</f>
        <v>5.4634875985419766</v>
      </c>
      <c r="P168" s="75">
        <f ca="1">Overview!$C$5/(Statement!P5/Statement!P21)</f>
        <v>4.2807734474673769</v>
      </c>
      <c r="Q168" s="75">
        <f ca="1">Overview!$C$5/(Statement!Q5/Statement!Q21)</f>
        <v>3.6976427008541064</v>
      </c>
      <c r="T168" s="51"/>
      <c r="U168" s="51"/>
      <c r="V168" s="51"/>
      <c r="W168" s="51"/>
      <c r="X168" s="51"/>
      <c r="Y168" s="51"/>
      <c r="Z168" s="51"/>
      <c r="AA168" s="51"/>
      <c r="AC168" s="75">
        <f ca="1">Overview!$C$5/(Statement!AC5/Statement!AC21)</f>
        <v>3.6911582872420481</v>
      </c>
    </row>
    <row r="169" spans="2:29" x14ac:dyDescent="0.2">
      <c r="B169" s="22" t="s">
        <v>310</v>
      </c>
      <c r="M169" s="75">
        <f ca="1">Overview!$C$5/(Statement!M44/Statement!M70)</f>
        <v>3.0828708211644935</v>
      </c>
      <c r="N169" s="75">
        <f ca="1">Overview!$C$5/(Statement!N44/Statement!N70)</f>
        <v>3.1729854470309213</v>
      </c>
      <c r="O169" s="75">
        <f ca="1">Overview!$C$5/(Statement!O44/Statement!O70)</f>
        <v>3.0848017969221977</v>
      </c>
      <c r="P169" s="75">
        <f ca="1">Overview!$C$5/(Statement!P44/Statement!P70)</f>
        <v>3.265761506629782</v>
      </c>
      <c r="Q169" s="75">
        <f ca="1">Overview!$C$5/(Statement!Q44/Statement!Q70)</f>
        <v>2.7496894295412391</v>
      </c>
      <c r="T169" s="51"/>
      <c r="U169" s="51"/>
      <c r="V169" s="51"/>
      <c r="W169" s="51"/>
      <c r="X169" s="51"/>
      <c r="Y169" s="51"/>
      <c r="Z169" s="51"/>
      <c r="AA169" s="51"/>
      <c r="AC169" s="75">
        <f ca="1">Overview!$C$5/(Statement!AC44/Statement!AC70)</f>
        <v>2.7496894295412391</v>
      </c>
    </row>
    <row r="170" spans="2:29" x14ac:dyDescent="0.2">
      <c r="B170" s="22" t="s">
        <v>311</v>
      </c>
      <c r="M170" s="169">
        <f>Statement!M118*Statement!M73</f>
        <v>18122001.84</v>
      </c>
      <c r="N170" s="169">
        <f>Statement!N118*Statement!N73</f>
        <v>8121653.1100000003</v>
      </c>
      <c r="O170" s="169">
        <f>Statement!O118*Statement!O73</f>
        <v>13570960.050000001</v>
      </c>
      <c r="P170" s="169">
        <f>Statement!P118*Statement!P73</f>
        <v>8040767.9400000004</v>
      </c>
      <c r="Q170" s="169">
        <f>Statement!Q118*Statement!Q73</f>
        <v>6680971.6299999999</v>
      </c>
      <c r="T170" s="51"/>
      <c r="U170" s="51"/>
      <c r="V170" s="51"/>
      <c r="W170" s="51"/>
      <c r="X170" s="51"/>
      <c r="Y170" s="51"/>
      <c r="Z170" s="51"/>
      <c r="AA170" s="51"/>
      <c r="AC170" s="169">
        <f ca="1">Statement!AC118*Statement!AC73</f>
        <v>5800081.0099999998</v>
      </c>
    </row>
    <row r="171" spans="2:29" x14ac:dyDescent="0.2">
      <c r="B171" s="22" t="s">
        <v>243</v>
      </c>
      <c r="M171" s="169">
        <f>M170+M113-M112</f>
        <v>16256861.84</v>
      </c>
      <c r="N171" s="169">
        <f t="shared" ref="N171:Q171" si="131">N170+N113-N112</f>
        <v>6364760.1100000003</v>
      </c>
      <c r="O171" s="169">
        <f t="shared" si="131"/>
        <v>11691137.050000001</v>
      </c>
      <c r="P171" s="169">
        <f t="shared" si="131"/>
        <v>6411249.9400000004</v>
      </c>
      <c r="Q171" s="169">
        <f t="shared" si="131"/>
        <v>5208485.63</v>
      </c>
      <c r="T171" s="51"/>
      <c r="U171" s="51"/>
      <c r="V171" s="51"/>
      <c r="W171" s="51"/>
      <c r="X171" s="51"/>
      <c r="Y171" s="51"/>
      <c r="Z171" s="51"/>
      <c r="AA171" s="51"/>
      <c r="AC171" s="169">
        <f t="shared" ref="AC171" ca="1" si="132">AC170+AC113-AC112</f>
        <v>4327595.01</v>
      </c>
    </row>
    <row r="172" spans="2:29" x14ac:dyDescent="0.2">
      <c r="B172" s="22" t="s">
        <v>332</v>
      </c>
      <c r="M172" s="214">
        <f>M171/M5</f>
        <v>18.220034071092023</v>
      </c>
      <c r="N172" s="214">
        <f t="shared" ref="N172:Q172" si="133">N171/N5</f>
        <v>6.012539531693843</v>
      </c>
      <c r="O172" s="214">
        <f t="shared" si="133"/>
        <v>8.9376861900568176</v>
      </c>
      <c r="P172" s="214">
        <f t="shared" si="133"/>
        <v>4.4844452542695352</v>
      </c>
      <c r="Q172" s="214">
        <f t="shared" si="133"/>
        <v>3.2339352913126516</v>
      </c>
      <c r="T172" s="51"/>
      <c r="U172" s="51"/>
      <c r="V172" s="51"/>
      <c r="W172" s="51"/>
      <c r="X172" s="51"/>
      <c r="Y172" s="51"/>
      <c r="Z172" s="51"/>
      <c r="AA172" s="51"/>
      <c r="AC172" s="214">
        <f t="shared" ref="AC172" ca="1" si="134">AC171/AC5</f>
        <v>2.6869925777922377</v>
      </c>
    </row>
    <row r="173" spans="2:29" x14ac:dyDescent="0.2">
      <c r="B173" s="22" t="s">
        <v>259</v>
      </c>
      <c r="M173" s="214">
        <f>M171/M12</f>
        <v>-32.452323883212962</v>
      </c>
      <c r="N173" s="214">
        <f t="shared" ref="N173:Q173" si="135">N171/N12</f>
        <v>-18.274679240732393</v>
      </c>
      <c r="O173" s="214">
        <f t="shared" si="135"/>
        <v>-70.97581987615348</v>
      </c>
      <c r="P173" s="214">
        <f t="shared" si="135"/>
        <v>-39.437100185152154</v>
      </c>
      <c r="Q173" s="214">
        <f t="shared" si="135"/>
        <v>91.763312720225514</v>
      </c>
      <c r="T173" s="51"/>
      <c r="U173" s="51"/>
      <c r="V173" s="51"/>
      <c r="W173" s="51"/>
      <c r="X173" s="51"/>
      <c r="Y173" s="51"/>
      <c r="Z173" s="51"/>
      <c r="AA173" s="51"/>
      <c r="AC173" s="214">
        <f t="shared" ref="AC173" ca="1" si="136">AC171/AC12</f>
        <v>76.243745771670191</v>
      </c>
    </row>
    <row r="174" spans="2:29" x14ac:dyDescent="0.2">
      <c r="B174" s="22" t="s">
        <v>333</v>
      </c>
      <c r="M174" s="66">
        <f>M53-M49+M54</f>
        <v>-579425</v>
      </c>
      <c r="N174" s="66">
        <f t="shared" ref="N174:Q174" si="137">N53-N49+N54</f>
        <v>-403636</v>
      </c>
      <c r="O174" s="66">
        <f t="shared" si="137"/>
        <v>-80215</v>
      </c>
      <c r="P174" s="66">
        <f t="shared" si="137"/>
        <v>-52509</v>
      </c>
      <c r="Q174" s="66">
        <f t="shared" si="137"/>
        <v>61484</v>
      </c>
      <c r="T174" s="51"/>
      <c r="U174" s="51"/>
      <c r="V174" s="51"/>
      <c r="W174" s="51"/>
      <c r="X174" s="51"/>
      <c r="Y174" s="51"/>
      <c r="Z174" s="51"/>
      <c r="AA174" s="51"/>
      <c r="AC174" s="66">
        <f t="shared" ref="AC174" si="138">AC53-AC49+AC54</f>
        <v>61484</v>
      </c>
    </row>
    <row r="175" spans="2:29" x14ac:dyDescent="0.2">
      <c r="B175" s="22" t="s">
        <v>334</v>
      </c>
      <c r="M175" s="66">
        <f>M114+M48+M54+M50+M51+M52</f>
        <v>-601022</v>
      </c>
      <c r="N175" s="66">
        <f t="shared" ref="N175:Q175" si="139">N114+N48+N54+N50+N51+N52</f>
        <v>-500062</v>
      </c>
      <c r="O175" s="66">
        <f t="shared" si="139"/>
        <v>-216393</v>
      </c>
      <c r="P175" s="66">
        <f t="shared" si="139"/>
        <v>-202032</v>
      </c>
      <c r="Q175" s="66">
        <f t="shared" si="139"/>
        <v>-94526</v>
      </c>
      <c r="T175" s="51"/>
      <c r="U175" s="51"/>
      <c r="V175" s="51"/>
      <c r="W175" s="51"/>
      <c r="X175" s="51"/>
      <c r="Y175" s="51"/>
      <c r="Z175" s="51"/>
      <c r="AA175" s="51"/>
      <c r="AC175" s="66">
        <f t="shared" ref="AC175" si="140">AC114+AC48+AC54+AC50+AC51+AC52</f>
        <v>-94526</v>
      </c>
    </row>
    <row r="176" spans="2:29" x14ac:dyDescent="0.2">
      <c r="B176" s="22" t="s">
        <v>335</v>
      </c>
      <c r="M176" s="75">
        <f>M170/M174</f>
        <v>-31.275836976312725</v>
      </c>
      <c r="N176" s="75">
        <f t="shared" ref="N176:Q176" si="141">N170/N174</f>
        <v>-20.121230787144853</v>
      </c>
      <c r="O176" s="75">
        <f t="shared" si="141"/>
        <v>-169.18232313158387</v>
      </c>
      <c r="P176" s="75">
        <f t="shared" si="141"/>
        <v>-153.13123350282808</v>
      </c>
      <c r="Q176" s="75">
        <f t="shared" si="141"/>
        <v>108.6619548175135</v>
      </c>
      <c r="T176" s="51"/>
      <c r="U176" s="51"/>
      <c r="V176" s="51"/>
      <c r="W176" s="51"/>
      <c r="X176" s="51"/>
      <c r="Y176" s="51"/>
      <c r="Z176" s="51"/>
      <c r="AA176" s="51"/>
      <c r="AC176" s="75">
        <f t="shared" ref="AC176:AC177" ca="1" si="142">AC170/AC174</f>
        <v>94.33480271290091</v>
      </c>
    </row>
    <row r="177" spans="2:29" x14ac:dyDescent="0.2">
      <c r="B177" s="22" t="s">
        <v>336</v>
      </c>
      <c r="M177" s="75">
        <f>M171/M175</f>
        <v>-27.048696786473705</v>
      </c>
      <c r="N177" s="75">
        <f t="shared" ref="N177:Q177" si="143">N171/N175</f>
        <v>-12.727941955197556</v>
      </c>
      <c r="O177" s="75">
        <f t="shared" si="143"/>
        <v>-54.027334756669582</v>
      </c>
      <c r="P177" s="75">
        <f t="shared" si="143"/>
        <v>-31.733833947097491</v>
      </c>
      <c r="Q177" s="75">
        <f t="shared" si="143"/>
        <v>-55.101089964665803</v>
      </c>
      <c r="T177" s="51"/>
      <c r="U177" s="51"/>
      <c r="V177" s="51"/>
      <c r="W177" s="51"/>
      <c r="X177" s="51"/>
      <c r="Y177" s="51"/>
      <c r="Z177" s="51"/>
      <c r="AA177" s="51"/>
      <c r="AC177" s="75">
        <f t="shared" ca="1" si="142"/>
        <v>-45.782060068129404</v>
      </c>
    </row>
    <row r="178" spans="2:29" x14ac:dyDescent="0.2">
      <c r="B178" s="22" t="s">
        <v>337</v>
      </c>
      <c r="M178" s="77">
        <f>M174/M170</f>
        <v>-3.1973564792442379E-2</v>
      </c>
      <c r="N178" s="77">
        <f t="shared" ref="N178:Q178" si="144">N174/N170</f>
        <v>-4.9698749076467263E-2</v>
      </c>
      <c r="O178" s="77">
        <f t="shared" si="144"/>
        <v>-5.9107830031523813E-3</v>
      </c>
      <c r="P178" s="77">
        <f t="shared" si="144"/>
        <v>-6.5303464037043202E-3</v>
      </c>
      <c r="Q178" s="77">
        <f t="shared" si="144"/>
        <v>9.2028530287292954E-3</v>
      </c>
      <c r="T178" s="51"/>
      <c r="U178" s="51"/>
      <c r="V178" s="51"/>
      <c r="W178" s="51"/>
      <c r="X178" s="51"/>
      <c r="Y178" s="51"/>
      <c r="Z178" s="51"/>
      <c r="AA178" s="51"/>
      <c r="AC178" s="77">
        <f t="shared" ref="AC178" ca="1" si="145">AC174/AC170</f>
        <v>1.0600541594849208E-2</v>
      </c>
    </row>
    <row r="179" spans="2:29" x14ac:dyDescent="0.2">
      <c r="B179" s="22" t="s">
        <v>338</v>
      </c>
      <c r="M179" s="77">
        <f>M25/M118</f>
        <v>-3.4699371821717021E-2</v>
      </c>
      <c r="N179" s="77">
        <f t="shared" ref="N179:Q179" si="146">N25/N118</f>
        <v>-4.1180507892930679E-2</v>
      </c>
      <c r="O179" s="77">
        <f t="shared" si="146"/>
        <v>-6.7085953878406705E-3</v>
      </c>
      <c r="P179" s="77">
        <f t="shared" si="146"/>
        <v>-8.9163237311385458E-3</v>
      </c>
      <c r="Q179" s="77">
        <f t="shared" si="146"/>
        <v>4.1302621127879274E-2</v>
      </c>
      <c r="T179" s="51"/>
      <c r="U179" s="51"/>
      <c r="V179" s="51"/>
      <c r="W179" s="51"/>
      <c r="X179" s="51"/>
      <c r="Y179" s="51"/>
      <c r="Z179" s="51"/>
      <c r="AA179" s="51"/>
      <c r="AC179" s="77">
        <f t="shared" ref="AC179" ca="1" si="147">AC25/AC118</f>
        <v>4.7575480329368716E-2</v>
      </c>
    </row>
    <row r="180" spans="2:29" x14ac:dyDescent="0.2">
      <c r="B180" s="22" t="s">
        <v>339</v>
      </c>
      <c r="M180" s="183">
        <f>M77/M118</f>
        <v>0</v>
      </c>
      <c r="N180" s="183">
        <f t="shared" ref="N180:Q180" si="148">N77/N118</f>
        <v>0</v>
      </c>
      <c r="O180" s="183">
        <f t="shared" si="148"/>
        <v>0</v>
      </c>
      <c r="P180" s="183">
        <f t="shared" si="148"/>
        <v>0</v>
      </c>
      <c r="Q180" s="183">
        <f t="shared" si="148"/>
        <v>0</v>
      </c>
      <c r="T180" s="51"/>
      <c r="U180" s="51"/>
      <c r="V180" s="51"/>
      <c r="W180" s="51"/>
      <c r="X180" s="51"/>
      <c r="Y180" s="51"/>
      <c r="Z180" s="51"/>
      <c r="AA180" s="51"/>
      <c r="AC180" s="183">
        <f t="shared" ref="AC180" ca="1" si="149">AC77/AC118</f>
        <v>0</v>
      </c>
    </row>
    <row r="181" spans="2:29" x14ac:dyDescent="0.2">
      <c r="B181" s="22" t="s">
        <v>366</v>
      </c>
      <c r="M181" s="183">
        <f>-M57/M170</f>
        <v>0</v>
      </c>
      <c r="N181" s="183">
        <f t="shared" ref="N181:Q181" si="150">-N57/N170</f>
        <v>0</v>
      </c>
      <c r="O181" s="183">
        <f t="shared" si="150"/>
        <v>7.5613663014209515E-3</v>
      </c>
      <c r="P181" s="183">
        <f t="shared" si="150"/>
        <v>4.8596228981581578E-2</v>
      </c>
      <c r="Q181" s="183">
        <f t="shared" si="150"/>
        <v>4.9259451802222368E-2</v>
      </c>
      <c r="T181" s="51"/>
      <c r="U181" s="51"/>
      <c r="V181" s="51"/>
      <c r="W181" s="51"/>
      <c r="X181" s="51"/>
      <c r="Y181" s="51"/>
      <c r="Z181" s="51"/>
      <c r="AA181" s="51"/>
      <c r="AC181" s="183">
        <f t="shared" ref="AC181" ca="1" si="151">-AC57/AC170</f>
        <v>5.674075921225797E-2</v>
      </c>
    </row>
    <row r="182" spans="2:29" x14ac:dyDescent="0.2">
      <c r="B182" s="22" t="s">
        <v>368</v>
      </c>
      <c r="M182" s="183">
        <f>-(M57+M58)/M170</f>
        <v>0</v>
      </c>
      <c r="N182" s="183">
        <f t="shared" ref="N182:Q182" si="152">-(N57+N58)/N170</f>
        <v>0</v>
      </c>
      <c r="O182" s="183">
        <f t="shared" si="152"/>
        <v>7.5613663014209515E-3</v>
      </c>
      <c r="P182" s="183">
        <f t="shared" si="152"/>
        <v>4.8596228981581578E-2</v>
      </c>
      <c r="Q182" s="183">
        <f t="shared" si="152"/>
        <v>4.9259451802222368E-2</v>
      </c>
      <c r="T182" s="51"/>
      <c r="U182" s="51"/>
      <c r="V182" s="51"/>
      <c r="W182" s="51"/>
      <c r="X182" s="51"/>
      <c r="Y182" s="51"/>
      <c r="Z182" s="51"/>
      <c r="AA182" s="51"/>
      <c r="AC182" s="183">
        <f t="shared" ref="AC182" ca="1" si="153">-(AC57+AC58)/AC170</f>
        <v>5.674075921225797E-2</v>
      </c>
    </row>
    <row r="183" spans="2:29" x14ac:dyDescent="0.2">
      <c r="B183" s="22" t="s">
        <v>340</v>
      </c>
      <c r="M183" s="75">
        <f>M175/M5</f>
        <v>-0.67360117993571322</v>
      </c>
      <c r="N183" s="75">
        <f t="shared" ref="N183:Q183" si="154">N175/N5</f>
        <v>-0.47238898109828159</v>
      </c>
      <c r="O183" s="75">
        <f t="shared" si="154"/>
        <v>-0.16542896721281397</v>
      </c>
      <c r="P183" s="75">
        <f t="shared" si="154"/>
        <v>-0.14131432280591805</v>
      </c>
      <c r="Q183" s="75">
        <f t="shared" si="154"/>
        <v>-5.8690949550842808E-2</v>
      </c>
      <c r="T183" s="51"/>
      <c r="U183" s="51"/>
      <c r="V183" s="51"/>
      <c r="W183" s="51"/>
      <c r="X183" s="51"/>
      <c r="Y183" s="51"/>
      <c r="Z183" s="51"/>
      <c r="AA183" s="51"/>
      <c r="AC183" s="75">
        <f t="shared" ref="AC183" si="155">AC175/AC5</f>
        <v>-5.8690949550842808E-2</v>
      </c>
    </row>
    <row r="184" spans="2:29" x14ac:dyDescent="0.2">
      <c r="B184" s="22" t="s">
        <v>343</v>
      </c>
      <c r="M184" s="183">
        <f>M58/M17</f>
        <v>0</v>
      </c>
      <c r="N184" s="183">
        <f t="shared" ref="N184:Q184" si="156">N58/N17</f>
        <v>0</v>
      </c>
      <c r="O184" s="183">
        <f t="shared" si="156"/>
        <v>0</v>
      </c>
      <c r="P184" s="183">
        <f t="shared" si="156"/>
        <v>0</v>
      </c>
      <c r="Q184" s="183">
        <f t="shared" si="156"/>
        <v>0</v>
      </c>
      <c r="T184" s="51"/>
      <c r="U184" s="51"/>
      <c r="V184" s="51"/>
      <c r="W184" s="51"/>
      <c r="X184" s="51"/>
      <c r="Y184" s="51"/>
      <c r="Z184" s="51"/>
      <c r="AA184" s="51"/>
      <c r="AC184" s="183">
        <f t="shared" ref="AC184" si="157">AC58/AC17</f>
        <v>0</v>
      </c>
    </row>
    <row r="185" spans="2:29" x14ac:dyDescent="0.2">
      <c r="B185" s="22" t="s">
        <v>345</v>
      </c>
      <c r="M185" s="183">
        <f>-M57/M17</f>
        <v>0</v>
      </c>
      <c r="N185" s="183">
        <f t="shared" ref="N185:Q185" si="158">-N57/N17</f>
        <v>0</v>
      </c>
      <c r="O185" s="183">
        <f t="shared" si="158"/>
        <v>-1.1416508127232068</v>
      </c>
      <c r="P185" s="183">
        <f t="shared" si="158"/>
        <v>-5.3023448313295516</v>
      </c>
      <c r="Q185" s="183">
        <f t="shared" si="158"/>
        <v>1.1656607516027344</v>
      </c>
      <c r="T185" s="51"/>
      <c r="U185" s="51"/>
      <c r="V185" s="51"/>
      <c r="W185" s="51"/>
      <c r="X185" s="51"/>
      <c r="Y185" s="51"/>
      <c r="Z185" s="51"/>
      <c r="AA185" s="51"/>
      <c r="AC185" s="183">
        <f t="shared" ref="AC185" si="159">-AC57/AC17</f>
        <v>1.1656607516027344</v>
      </c>
    </row>
    <row r="186" spans="2:29" x14ac:dyDescent="0.2">
      <c r="B186" s="22" t="s">
        <v>357</v>
      </c>
      <c r="M186" s="183">
        <f>(M58-M57)/M17</f>
        <v>0</v>
      </c>
      <c r="N186" s="183">
        <f t="shared" ref="N186:Q186" si="160">(N58-N57)/N17</f>
        <v>0</v>
      </c>
      <c r="O186" s="183">
        <f t="shared" si="160"/>
        <v>-1.1416508127232068</v>
      </c>
      <c r="P186" s="183">
        <f t="shared" si="160"/>
        <v>-5.3023448313295516</v>
      </c>
      <c r="Q186" s="183">
        <f t="shared" si="160"/>
        <v>1.1656607516027344</v>
      </c>
      <c r="T186" s="51"/>
      <c r="U186" s="51"/>
      <c r="V186" s="51"/>
      <c r="W186" s="51"/>
      <c r="X186" s="51"/>
      <c r="Y186" s="51"/>
      <c r="Z186" s="51"/>
      <c r="AA186" s="51"/>
      <c r="AC186" s="183">
        <f t="shared" ref="AC186" si="161">(AC58-AC57)/AC17</f>
        <v>1.1656607516027344</v>
      </c>
    </row>
    <row r="187" spans="2:29" x14ac:dyDescent="0.2">
      <c r="B187" s="22" t="s">
        <v>348</v>
      </c>
      <c r="M187" s="183">
        <f>IF(M77=0,0,M25/M77)</f>
        <v>0</v>
      </c>
      <c r="N187" s="183">
        <f t="shared" ref="N187:Q187" si="162">IF(N77=0,0,N25/N77)</f>
        <v>0</v>
      </c>
      <c r="O187" s="183">
        <f t="shared" si="162"/>
        <v>0</v>
      </c>
      <c r="P187" s="183">
        <f t="shared" si="162"/>
        <v>0</v>
      </c>
      <c r="Q187" s="183">
        <f t="shared" si="162"/>
        <v>0</v>
      </c>
      <c r="T187" s="183">
        <f t="shared" ref="T187:AC187" si="163">IF(T77=0,0,T25/T77)</f>
        <v>0</v>
      </c>
      <c r="U187" s="183">
        <f t="shared" si="163"/>
        <v>0</v>
      </c>
      <c r="V187" s="183">
        <f t="shared" si="163"/>
        <v>0</v>
      </c>
      <c r="W187" s="183">
        <f t="shared" si="163"/>
        <v>0</v>
      </c>
      <c r="X187" s="183">
        <f t="shared" si="163"/>
        <v>0</v>
      </c>
      <c r="Y187" s="183">
        <f t="shared" si="163"/>
        <v>0</v>
      </c>
      <c r="Z187" s="183">
        <f t="shared" si="163"/>
        <v>0</v>
      </c>
      <c r="AA187" s="183">
        <f t="shared" si="163"/>
        <v>0</v>
      </c>
      <c r="AC187" s="183">
        <f t="shared" si="163"/>
        <v>0</v>
      </c>
    </row>
    <row r="188" spans="2:29" x14ac:dyDescent="0.2">
      <c r="B188" s="22" t="s">
        <v>351</v>
      </c>
      <c r="M188" s="183">
        <f>M75/M73</f>
        <v>0.32041292188722126</v>
      </c>
      <c r="N188" s="183">
        <f t="shared" ref="N188:Q188" si="164">N75/N73</f>
        <v>0.31207180184527727</v>
      </c>
      <c r="O188" s="183">
        <f t="shared" si="164"/>
        <v>0.22510733498180183</v>
      </c>
      <c r="P188" s="183">
        <f t="shared" si="164"/>
        <v>0.22494029842627195</v>
      </c>
      <c r="Q188" s="183">
        <f t="shared" si="164"/>
        <v>0.22012147206199109</v>
      </c>
      <c r="T188" s="51"/>
      <c r="U188" s="51"/>
      <c r="V188" s="51"/>
      <c r="W188" s="51"/>
      <c r="X188" s="51"/>
      <c r="Y188" s="51"/>
      <c r="Z188" s="51"/>
      <c r="AA188" s="51"/>
      <c r="AC188" s="183">
        <f t="shared" ref="AC188" si="165">AC75/AC73</f>
        <v>0.22012147206199109</v>
      </c>
    </row>
    <row r="189" spans="2:29" x14ac:dyDescent="0.2">
      <c r="B189" s="22" t="s">
        <v>352</v>
      </c>
      <c r="M189" s="75">
        <f>M112/M70</f>
        <v>3.4406590811823912</v>
      </c>
      <c r="N189" s="75">
        <f t="shared" ref="N189:Q189" si="166">N112/N70</f>
        <v>3.1518128961309455</v>
      </c>
      <c r="O189" s="75">
        <f t="shared" si="166"/>
        <v>3.3036556282545391</v>
      </c>
      <c r="P189" s="75">
        <f t="shared" si="166"/>
        <v>2.9547392260645196</v>
      </c>
      <c r="Q189" s="75">
        <f t="shared" si="166"/>
        <v>2.8105061440443424</v>
      </c>
      <c r="T189" s="75">
        <f t="shared" ref="T189:AC189" si="167">T112/T70</f>
        <v>3.3792114920614966</v>
      </c>
      <c r="U189" s="75">
        <f t="shared" si="167"/>
        <v>3.1700129828095962</v>
      </c>
      <c r="V189" s="75">
        <f t="shared" si="167"/>
        <v>2.8548832876333474</v>
      </c>
      <c r="W189" s="75">
        <f t="shared" si="167"/>
        <v>2.9547392260645196</v>
      </c>
      <c r="X189" s="75">
        <f t="shared" si="167"/>
        <v>2.90639187049916</v>
      </c>
      <c r="Y189" s="75">
        <f t="shared" si="167"/>
        <v>2.7258512829976911</v>
      </c>
      <c r="Z189" s="75">
        <f t="shared" si="167"/>
        <v>2.6146535764375876</v>
      </c>
      <c r="AA189" s="75">
        <f t="shared" si="167"/>
        <v>2.8105061440443424</v>
      </c>
      <c r="AC189" s="75">
        <f t="shared" si="167"/>
        <v>2.8105061440443424</v>
      </c>
    </row>
    <row r="190" spans="2:29" x14ac:dyDescent="0.2">
      <c r="B190" s="22" t="s">
        <v>354</v>
      </c>
      <c r="M190" s="183">
        <f>M49/M53</f>
        <v>-9.3805469133780903</v>
      </c>
      <c r="N190" s="183">
        <f t="shared" ref="N190:Q190" si="168">N49/N53</f>
        <v>-37.054403366396151</v>
      </c>
      <c r="O190" s="183">
        <f t="shared" si="168"/>
        <v>1.243655586093446</v>
      </c>
      <c r="P190" s="183">
        <f t="shared" si="168"/>
        <v>1.1172492318250589</v>
      </c>
      <c r="Q190" s="183">
        <f t="shared" si="168"/>
        <v>0.78305424452059225</v>
      </c>
      <c r="T190" s="183">
        <f t="shared" ref="T190:AC190" si="169">T49/T53</f>
        <v>0.88694183152233674</v>
      </c>
      <c r="U190" s="183">
        <f t="shared" si="169"/>
        <v>2.0334871485250994</v>
      </c>
      <c r="V190" s="183">
        <f t="shared" si="169"/>
        <v>3.1167794798717492</v>
      </c>
      <c r="W190" s="183" t="e">
        <f t="shared" si="169"/>
        <v>#DIV/0!</v>
      </c>
      <c r="X190" s="183">
        <f t="shared" si="169"/>
        <v>0.6416782911211576</v>
      </c>
      <c r="Y190" s="183">
        <f t="shared" si="169"/>
        <v>1.8757303965181427</v>
      </c>
      <c r="Z190" s="183">
        <f t="shared" si="169"/>
        <v>2.5282091188850764</v>
      </c>
      <c r="AA190" s="183">
        <f t="shared" si="169"/>
        <v>0.35555092460569898</v>
      </c>
      <c r="AC190" s="183">
        <f t="shared" si="169"/>
        <v>0.78305424452059225</v>
      </c>
    </row>
    <row r="191" spans="2:29" x14ac:dyDescent="0.2">
      <c r="B191" s="22" t="s">
        <v>355</v>
      </c>
      <c r="M191" s="183">
        <f>M49/M5</f>
        <v>0.57784459995606618</v>
      </c>
      <c r="N191" s="183">
        <f t="shared" ref="N191:Q191" si="170">N49/N5</f>
        <v>0.3493733592422309</v>
      </c>
      <c r="O191" s="183">
        <f t="shared" si="170"/>
        <v>0.28435361356255617</v>
      </c>
      <c r="P191" s="183">
        <f t="shared" si="170"/>
        <v>0.25051410681111086</v>
      </c>
      <c r="Q191" s="183">
        <f t="shared" si="170"/>
        <v>0.18047997854178516</v>
      </c>
      <c r="T191" s="183">
        <f t="shared" ref="T191:AC191" si="171">T49/T5</f>
        <v>0.26476819690133446</v>
      </c>
      <c r="U191" s="183">
        <f t="shared" si="171"/>
        <v>0.29819479973312507</v>
      </c>
      <c r="V191" s="183">
        <f t="shared" si="171"/>
        <v>0.24668619749445234</v>
      </c>
      <c r="W191" s="183">
        <f t="shared" si="171"/>
        <v>0</v>
      </c>
      <c r="X191" s="183">
        <f t="shared" si="171"/>
        <v>0.21412187626183318</v>
      </c>
      <c r="Y191" s="183">
        <f t="shared" si="171"/>
        <v>0.21564822186836519</v>
      </c>
      <c r="Z191" s="183">
        <f t="shared" si="171"/>
        <v>0.17385730930425455</v>
      </c>
      <c r="AA191" s="183">
        <f t="shared" si="171"/>
        <v>0.13476004298420102</v>
      </c>
      <c r="AC191" s="183">
        <f t="shared" si="171"/>
        <v>0.18047997854178516</v>
      </c>
    </row>
    <row r="192" spans="2:29" x14ac:dyDescent="0.2">
      <c r="B192" s="22" t="s">
        <v>360</v>
      </c>
      <c r="M192" s="75">
        <f>(M112-M113)/M70</f>
        <v>3.4406590811823912</v>
      </c>
      <c r="N192" s="75">
        <f t="shared" ref="N192:Q192" si="172">(N112-N113)/N70</f>
        <v>3.1518128961309455</v>
      </c>
      <c r="O192" s="75">
        <f t="shared" si="172"/>
        <v>3.3036556282545391</v>
      </c>
      <c r="P192" s="75">
        <f t="shared" si="172"/>
        <v>2.9547392260645196</v>
      </c>
      <c r="Q192" s="75">
        <f t="shared" si="172"/>
        <v>2.8105061440443424</v>
      </c>
      <c r="T192" s="75">
        <f t="shared" ref="T192:AC192" si="173">(T112-T113)/T70</f>
        <v>3.3792114920614966</v>
      </c>
      <c r="U192" s="75">
        <f t="shared" si="173"/>
        <v>3.1700129828095962</v>
      </c>
      <c r="V192" s="75">
        <f t="shared" si="173"/>
        <v>2.8548832876333474</v>
      </c>
      <c r="W192" s="75">
        <f t="shared" si="173"/>
        <v>2.9547392260645196</v>
      </c>
      <c r="X192" s="75">
        <f t="shared" si="173"/>
        <v>2.90639187049916</v>
      </c>
      <c r="Y192" s="75">
        <f t="shared" si="173"/>
        <v>2.7258512829976911</v>
      </c>
      <c r="Z192" s="75">
        <f t="shared" si="173"/>
        <v>2.6146535764375876</v>
      </c>
      <c r="AA192" s="75">
        <f t="shared" si="173"/>
        <v>2.8105061440443424</v>
      </c>
      <c r="AC192" s="75">
        <f t="shared" si="173"/>
        <v>2.8105061440443424</v>
      </c>
    </row>
    <row r="193" spans="2:29" x14ac:dyDescent="0.2">
      <c r="B193" s="22" t="s">
        <v>365</v>
      </c>
      <c r="M193" s="183">
        <f>(M112-M113)/M170</f>
        <v>0.10292130066354745</v>
      </c>
      <c r="N193" s="183">
        <f t="shared" ref="N193:Q193" si="174">(N112-N113)/N170</f>
        <v>0.21632209307693517</v>
      </c>
      <c r="O193" s="183">
        <f t="shared" si="174"/>
        <v>0.1385180556920142</v>
      </c>
      <c r="P193" s="183">
        <f t="shared" si="174"/>
        <v>0.20265701138988473</v>
      </c>
      <c r="Q193" s="183">
        <f t="shared" si="174"/>
        <v>0.22039997795949329</v>
      </c>
      <c r="T193" s="51"/>
      <c r="U193" s="51"/>
      <c r="V193" s="51"/>
      <c r="W193" s="51"/>
      <c r="X193" s="51"/>
      <c r="Y193" s="51"/>
      <c r="Z193" s="51"/>
      <c r="AA193" s="51"/>
      <c r="AC193" s="183">
        <f t="shared" ref="AC193" ca="1" si="175">(AC112-AC113)/AC170</f>
        <v>0.25387335064135597</v>
      </c>
    </row>
  </sheetData>
  <pageMargins left="0.7" right="0.7" top="0.75" bottom="0.75" header="0.3" footer="0.3"/>
  <ignoredErrors>
    <ignoredError sqref="AC5:AC17 AC18 AC22 AC76 AC101:AC107 AC58" formulaRange="1"/>
    <ignoredError sqref="AC19:AC20 AC23:AC24 AC139" formula="1" formulaRange="1"/>
    <ignoredError sqref="M126" evalError="1"/>
    <ignoredError sqref="M133:Q133 AC13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304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3"/>
  <sheetViews>
    <sheetView topLeftCell="A32" zoomScale="173" workbookViewId="0">
      <selection activeCell="C42" sqref="C4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8" t="s">
        <v>347</v>
      </c>
    </row>
    <row r="4" spans="2:7" x14ac:dyDescent="0.2">
      <c r="B4" s="215" t="s">
        <v>305</v>
      </c>
      <c r="C4" s="215"/>
      <c r="E4" s="215" t="s">
        <v>312</v>
      </c>
      <c r="F4" s="215"/>
      <c r="G4" s="215"/>
    </row>
    <row r="5" spans="2:7" x14ac:dyDescent="0.2">
      <c r="B5" s="22" t="s">
        <v>1</v>
      </c>
      <c r="C5" s="203">
        <f ca="1">Overview!C5</f>
        <v>10.93</v>
      </c>
      <c r="E5" s="14"/>
      <c r="F5" s="157" t="s">
        <v>313</v>
      </c>
      <c r="G5" s="157" t="s">
        <v>314</v>
      </c>
    </row>
    <row r="6" spans="2:7" x14ac:dyDescent="0.2">
      <c r="B6" s="22" t="s">
        <v>311</v>
      </c>
      <c r="C6" s="204">
        <f ca="1">Statement!AC170</f>
        <v>5800081.0099999998</v>
      </c>
      <c r="E6" s="22" t="s">
        <v>20</v>
      </c>
      <c r="F6" s="209">
        <f>IF(Statement!M5&lt;=0,"N/A",_xlfn.RRI(4,Statement!M5,Statement!Q5))</f>
        <v>0.15910599918172563</v>
      </c>
      <c r="G6" s="209" t="str">
        <f>IF(Statement!H5&lt;=0,"N/A",_xlfn.RRI(9,Statement!H5,Statement!Q5))</f>
        <v>N/A</v>
      </c>
    </row>
    <row r="7" spans="2:7" x14ac:dyDescent="0.2">
      <c r="B7" s="22" t="s">
        <v>243</v>
      </c>
      <c r="C7" s="204">
        <f ca="1">Statement!AC171</f>
        <v>4327595.01</v>
      </c>
      <c r="E7" s="22" t="s">
        <v>32</v>
      </c>
      <c r="F7" s="209" t="str">
        <f>IF(Statement!M17&lt;=0,"N/A",_xlfn.RRI(4,Statement!M17,Statement!Q17))</f>
        <v>N/A</v>
      </c>
      <c r="G7" s="209" t="str">
        <f>IF(Statement!H17&lt;=0,"N/A",_xlfn.RRI(9,Statement!H17,Statement!Q17))</f>
        <v>N/A</v>
      </c>
    </row>
    <row r="8" spans="2:7" x14ac:dyDescent="0.2">
      <c r="B8" s="22" t="s">
        <v>309</v>
      </c>
      <c r="C8" s="205">
        <f ca="1">Statement!AC167</f>
        <v>21.019230769230766</v>
      </c>
      <c r="E8" s="22" t="s">
        <v>315</v>
      </c>
      <c r="F8" s="209" t="str">
        <f>IF(Statement!M25&lt;=0,"N/A",_xlfn.RRI(4,Statement!M25,Statement!Q25))</f>
        <v>N/A</v>
      </c>
      <c r="G8" s="209" t="str">
        <f>IF(Statement!H25&lt;=0,"N/A",_xlfn.RRI(9,Statement!H25,Statement!Q25))</f>
        <v>N/A</v>
      </c>
    </row>
    <row r="9" spans="2:7" x14ac:dyDescent="0.2">
      <c r="B9" s="22" t="s">
        <v>256</v>
      </c>
      <c r="C9" s="205">
        <f ca="1">Statement!AC168</f>
        <v>3.6911582872420481</v>
      </c>
      <c r="E9" s="22" t="s">
        <v>316</v>
      </c>
      <c r="F9" s="209" t="str">
        <f>IF(Statement!M77&lt;=0,"N/A",_xlfn.RRI(4,Statement!M77,Statement!Q77))</f>
        <v>N/A</v>
      </c>
      <c r="G9" s="209" t="str">
        <f>IF(Statement!H77&lt;=0,"N/A",_xlfn.RRI(9,Statement!H77,Statement!Q77))</f>
        <v>N/A</v>
      </c>
    </row>
    <row r="10" spans="2:7" x14ac:dyDescent="0.2">
      <c r="B10" s="22" t="s">
        <v>310</v>
      </c>
      <c r="C10" s="205">
        <f ca="1">Statement!AC169</f>
        <v>2.7496894295412391</v>
      </c>
      <c r="E10" s="22" t="s">
        <v>1</v>
      </c>
      <c r="F10" s="209">
        <f>IF(Statement!M118&lt;=0,"N/A",_xlfn.RRI(4,Statement!M118,Statement!Q118))</f>
        <v>-0.21662025481427405</v>
      </c>
      <c r="G10" s="209" t="str">
        <f>IF(Statement!H118&lt;=0,"N/A",_xlfn.RRI(9,Statement!H118,Statement!Q118))</f>
        <v>N/A</v>
      </c>
    </row>
    <row r="11" spans="2:7" x14ac:dyDescent="0.2">
      <c r="B11" s="22" t="s">
        <v>332</v>
      </c>
      <c r="C11" s="205">
        <f ca="1">Statement!AC172</f>
        <v>2.6869925777922377</v>
      </c>
    </row>
    <row r="12" spans="2:7" x14ac:dyDescent="0.2">
      <c r="B12" s="22" t="s">
        <v>259</v>
      </c>
      <c r="C12" s="205">
        <f ca="1">Statement!AC173</f>
        <v>76.243745771670191</v>
      </c>
    </row>
    <row r="15" spans="2:7" x14ac:dyDescent="0.2">
      <c r="B15" s="215" t="s">
        <v>82</v>
      </c>
      <c r="C15" s="215"/>
      <c r="E15" s="215" t="s">
        <v>318</v>
      </c>
      <c r="F15" s="215"/>
    </row>
    <row r="16" spans="2:7" x14ac:dyDescent="0.2">
      <c r="B16" s="22" t="s">
        <v>83</v>
      </c>
      <c r="C16" s="206">
        <f>Statement!AC96</f>
        <v>0.83174673345867178</v>
      </c>
      <c r="E16" s="22" t="s">
        <v>32</v>
      </c>
      <c r="F16" s="204">
        <f>Statement!AC17</f>
        <v>282330</v>
      </c>
    </row>
    <row r="17" spans="2:6" x14ac:dyDescent="0.2">
      <c r="B17" s="22" t="s">
        <v>84</v>
      </c>
      <c r="C17" s="206">
        <f>Statement!AC97</f>
        <v>3.5242137575966802E-2</v>
      </c>
      <c r="E17" s="22" t="s">
        <v>319</v>
      </c>
      <c r="F17" s="204">
        <f>Statement!AC53</f>
        <v>371208</v>
      </c>
    </row>
    <row r="18" spans="2:6" x14ac:dyDescent="0.2">
      <c r="B18" s="22" t="s">
        <v>85</v>
      </c>
      <c r="C18" s="206">
        <f>Statement!AC98</f>
        <v>0.17529796867199976</v>
      </c>
      <c r="E18" s="22" t="s">
        <v>326</v>
      </c>
      <c r="F18" s="208">
        <f>F16-F17</f>
        <v>-88878</v>
      </c>
    </row>
    <row r="21" spans="2:6" x14ac:dyDescent="0.2">
      <c r="B21" s="215" t="s">
        <v>317</v>
      </c>
      <c r="C21" s="215"/>
      <c r="E21" s="215" t="s">
        <v>321</v>
      </c>
      <c r="F21" s="215"/>
    </row>
    <row r="22" spans="2:6" x14ac:dyDescent="0.2">
      <c r="B22" s="22" t="s">
        <v>131</v>
      </c>
      <c r="C22" s="206">
        <f>Statement!AC130</f>
        <v>0.17529796867199976</v>
      </c>
      <c r="E22" s="22" t="s">
        <v>133</v>
      </c>
      <c r="F22" s="206">
        <f>C24</f>
        <v>8.8805359838953199E-2</v>
      </c>
    </row>
    <row r="23" spans="2:6" x14ac:dyDescent="0.2">
      <c r="B23" s="22" t="s">
        <v>132</v>
      </c>
      <c r="C23" s="205">
        <f>Statement!AC131</f>
        <v>0.50659662808253647</v>
      </c>
      <c r="E23" s="22" t="s">
        <v>135</v>
      </c>
      <c r="F23" s="206">
        <f>C26</f>
        <v>0.13556696550972422</v>
      </c>
    </row>
    <row r="24" spans="2:6" x14ac:dyDescent="0.2">
      <c r="B24" s="34" t="s">
        <v>133</v>
      </c>
      <c r="C24" s="207">
        <f>Statement!AC132</f>
        <v>8.8805359838953199E-2</v>
      </c>
      <c r="E24" s="22" t="s">
        <v>136</v>
      </c>
      <c r="F24" s="206">
        <f>Statement!AC157</f>
        <v>9.3033776374731397E-2</v>
      </c>
    </row>
    <row r="25" spans="2:6" x14ac:dyDescent="0.2">
      <c r="B25" s="22" t="s">
        <v>134</v>
      </c>
      <c r="C25" s="205">
        <f>Statement!AC133</f>
        <v>1.526562875884657</v>
      </c>
    </row>
    <row r="26" spans="2:6" x14ac:dyDescent="0.2">
      <c r="B26" s="34" t="s">
        <v>135</v>
      </c>
      <c r="C26" s="207">
        <f>Statement!AC134</f>
        <v>0.13556696550972422</v>
      </c>
    </row>
    <row r="29" spans="2:6" x14ac:dyDescent="0.2">
      <c r="B29" s="215" t="s">
        <v>322</v>
      </c>
      <c r="C29" s="215"/>
      <c r="E29" s="215" t="s">
        <v>328</v>
      </c>
      <c r="F29" s="215"/>
    </row>
    <row r="30" spans="2:6" x14ac:dyDescent="0.2">
      <c r="B30" s="22" t="s">
        <v>192</v>
      </c>
      <c r="C30" s="205">
        <f>Statement!AC158</f>
        <v>131.6037563052133</v>
      </c>
      <c r="E30" s="22" t="s">
        <v>329</v>
      </c>
      <c r="F30" s="211">
        <f>Statement!AC162</f>
        <v>0</v>
      </c>
    </row>
    <row r="31" spans="2:6" x14ac:dyDescent="0.2">
      <c r="B31" s="22" t="s">
        <v>193</v>
      </c>
      <c r="C31" s="205">
        <f>Statement!AC159</f>
        <v>0</v>
      </c>
      <c r="E31" s="22" t="s">
        <v>330</v>
      </c>
      <c r="F31" s="211">
        <f>Statement!AC163</f>
        <v>-0.70704657236408375</v>
      </c>
    </row>
    <row r="32" spans="2:6" x14ac:dyDescent="0.2">
      <c r="B32" s="22" t="s">
        <v>194</v>
      </c>
      <c r="C32" s="205">
        <f>Statement!AC160</f>
        <v>13.686287751306349</v>
      </c>
      <c r="E32" s="22" t="s">
        <v>325</v>
      </c>
      <c r="F32" s="211">
        <f>Statement!AC165</f>
        <v>2.4783388537733191</v>
      </c>
    </row>
    <row r="33" spans="2:6" x14ac:dyDescent="0.2">
      <c r="B33" s="22" t="s">
        <v>195</v>
      </c>
      <c r="C33" s="205">
        <f>Statement!AC161</f>
        <v>117.91746855390694</v>
      </c>
      <c r="E33" s="22" t="s">
        <v>324</v>
      </c>
      <c r="F33" s="211">
        <f>Statement!AC164</f>
        <v>2.2676594254840001</v>
      </c>
    </row>
    <row r="34" spans="2:6" x14ac:dyDescent="0.2">
      <c r="E34" s="22" t="s">
        <v>331</v>
      </c>
      <c r="F34" s="213" t="str">
        <f>Statement!AC166</f>
        <v>N/A</v>
      </c>
    </row>
    <row r="37" spans="2:6" x14ac:dyDescent="0.2">
      <c r="B37" s="215" t="s">
        <v>341</v>
      </c>
      <c r="C37" s="215"/>
      <c r="E37" s="215" t="s">
        <v>344</v>
      </c>
      <c r="F37" s="215"/>
    </row>
    <row r="38" spans="2:6" x14ac:dyDescent="0.2">
      <c r="B38" s="22" t="s">
        <v>338</v>
      </c>
      <c r="C38" s="206">
        <f ca="1">Statement!AC179</f>
        <v>4.7575480329368716E-2</v>
      </c>
      <c r="E38" s="22" t="s">
        <v>343</v>
      </c>
      <c r="F38" s="206">
        <f>Statement!AC184</f>
        <v>0</v>
      </c>
    </row>
    <row r="39" spans="2:6" x14ac:dyDescent="0.2">
      <c r="B39" s="22" t="s">
        <v>342</v>
      </c>
      <c r="C39" s="206">
        <f ca="1">Statement!AC178</f>
        <v>1.0600541594849208E-2</v>
      </c>
      <c r="E39" s="22" t="s">
        <v>345</v>
      </c>
      <c r="F39" s="206">
        <f>Statement!AC185</f>
        <v>1.1656607516027344</v>
      </c>
    </row>
    <row r="40" spans="2:6" x14ac:dyDescent="0.2">
      <c r="B40" s="22" t="s">
        <v>339</v>
      </c>
      <c r="C40" s="206">
        <f ca="1">Statement!AC180</f>
        <v>0</v>
      </c>
      <c r="E40" s="22" t="s">
        <v>346</v>
      </c>
      <c r="F40" s="206">
        <f>Statement!AC186</f>
        <v>1.1656607516027344</v>
      </c>
    </row>
    <row r="41" spans="2:6" x14ac:dyDescent="0.2">
      <c r="B41" s="22" t="s">
        <v>366</v>
      </c>
      <c r="C41" s="206">
        <f ca="1">Statement!AC181</f>
        <v>5.674075921225797E-2</v>
      </c>
    </row>
    <row r="42" spans="2:6" x14ac:dyDescent="0.2">
      <c r="B42" s="22" t="s">
        <v>368</v>
      </c>
      <c r="C42" s="206">
        <f ca="1">Statement!AC182</f>
        <v>5.674075921225797E-2</v>
      </c>
    </row>
    <row r="45" spans="2:6" x14ac:dyDescent="0.2">
      <c r="B45" s="215" t="s">
        <v>353</v>
      </c>
      <c r="C45" s="215"/>
      <c r="E45" s="215" t="s">
        <v>359</v>
      </c>
      <c r="F45" s="215"/>
    </row>
    <row r="46" spans="2:6" x14ac:dyDescent="0.2">
      <c r="B46" s="22" t="s">
        <v>351</v>
      </c>
      <c r="C46" s="206">
        <f>Statement!AC188</f>
        <v>0.22012147206199109</v>
      </c>
      <c r="E46" s="22" t="s">
        <v>352</v>
      </c>
      <c r="F46" s="205">
        <f>Statement!AC189</f>
        <v>2.8105061440443424</v>
      </c>
    </row>
    <row r="47" spans="2:6" x14ac:dyDescent="0.2">
      <c r="E47" s="22" t="s">
        <v>360</v>
      </c>
      <c r="F47" s="205">
        <f>Statement!AC192</f>
        <v>2.8105061440443424</v>
      </c>
    </row>
    <row r="48" spans="2:6" x14ac:dyDescent="0.2">
      <c r="E48" s="22" t="s">
        <v>365</v>
      </c>
      <c r="F48" s="206">
        <f ca="1">Statement!AC193</f>
        <v>0.25387335064135597</v>
      </c>
    </row>
    <row r="51" spans="2:3" x14ac:dyDescent="0.2">
      <c r="B51" s="215" t="s">
        <v>356</v>
      </c>
      <c r="C51" s="215"/>
    </row>
    <row r="52" spans="2:3" x14ac:dyDescent="0.2">
      <c r="B52" s="22" t="s">
        <v>354</v>
      </c>
      <c r="C52" s="206">
        <f>Statement!AC190</f>
        <v>0.78305424452059225</v>
      </c>
    </row>
    <row r="53" spans="2:3" x14ac:dyDescent="0.2">
      <c r="B53" s="22" t="s">
        <v>355</v>
      </c>
      <c r="C53" s="206">
        <f>Statement!AC191</f>
        <v>0.18047997854178516</v>
      </c>
    </row>
  </sheetData>
  <mergeCells count="13">
    <mergeCell ref="B51:C51"/>
    <mergeCell ref="B4:C4"/>
    <mergeCell ref="E4:G4"/>
    <mergeCell ref="B15:C15"/>
    <mergeCell ref="B21:C21"/>
    <mergeCell ref="E15:F15"/>
    <mergeCell ref="E21:F21"/>
    <mergeCell ref="B37:C37"/>
    <mergeCell ref="E37:F37"/>
    <mergeCell ref="B45:C45"/>
    <mergeCell ref="E45:F45"/>
    <mergeCell ref="B29:C29"/>
    <mergeCell ref="E29:F29"/>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147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B1" sqref="B1"/>
    </sheetView>
  </sheetViews>
  <sheetFormatPr baseColWidth="10" defaultRowHeight="16" x14ac:dyDescent="0.2"/>
  <cols>
    <col min="1" max="1" width="2" style="89"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9" customFormat="1" ht="18" customHeight="1" x14ac:dyDescent="0.2">
      <c r="A1" s="4"/>
      <c r="B1" s="88" t="s">
        <v>148</v>
      </c>
      <c r="O1" s="90"/>
    </row>
    <row r="2" spans="1:31" x14ac:dyDescent="0.2">
      <c r="A2" s="4"/>
      <c r="C2" s="215" t="s">
        <v>149</v>
      </c>
      <c r="D2" s="215"/>
      <c r="E2" s="215"/>
      <c r="F2" s="215"/>
      <c r="G2" s="222"/>
      <c r="H2" s="223" t="s">
        <v>150</v>
      </c>
      <c r="I2" s="215"/>
      <c r="J2" s="215"/>
      <c r="K2" s="215"/>
      <c r="L2" s="215"/>
      <c r="O2" s="5"/>
      <c r="S2" s="215" t="s">
        <v>149</v>
      </c>
      <c r="T2" s="215"/>
      <c r="U2" s="215"/>
      <c r="V2" s="215"/>
      <c r="W2" s="215"/>
      <c r="X2" s="215"/>
      <c r="Y2" s="215"/>
      <c r="Z2" s="215"/>
      <c r="AA2" s="215" t="s">
        <v>150</v>
      </c>
      <c r="AB2" s="215"/>
      <c r="AC2" s="215"/>
      <c r="AE2" s="91" t="s">
        <v>151</v>
      </c>
    </row>
    <row r="3" spans="1:31" ht="10" customHeight="1" x14ac:dyDescent="0.2">
      <c r="O3" s="5"/>
    </row>
    <row r="4" spans="1:31" ht="16" customHeight="1" x14ac:dyDescent="0.2">
      <c r="A4" s="92"/>
      <c r="B4" s="62"/>
      <c r="C4" s="219" t="s">
        <v>152</v>
      </c>
      <c r="D4" s="219"/>
      <c r="E4" s="219"/>
      <c r="F4" s="219"/>
      <c r="G4" s="219"/>
      <c r="H4" s="219"/>
      <c r="I4" s="219"/>
      <c r="J4" s="219"/>
      <c r="K4" s="219"/>
      <c r="L4" s="219"/>
      <c r="O4" s="5"/>
      <c r="S4" s="220" t="s">
        <v>152</v>
      </c>
      <c r="T4" s="221"/>
      <c r="U4" s="221"/>
      <c r="V4" s="221"/>
      <c r="W4" s="221"/>
      <c r="X4" s="221"/>
      <c r="Y4" s="221"/>
      <c r="Z4" s="221"/>
      <c r="AA4" s="221"/>
      <c r="AB4" s="221"/>
      <c r="AC4" s="221"/>
      <c r="AE4" s="93"/>
    </row>
    <row r="5" spans="1:31" x14ac:dyDescent="0.2">
      <c r="B5" s="18" t="s">
        <v>153</v>
      </c>
      <c r="C5" s="14">
        <f>Statement!M3</f>
        <v>2022</v>
      </c>
      <c r="D5" s="14">
        <f>Statement!N3</f>
        <v>2023</v>
      </c>
      <c r="E5" s="14">
        <f>Statement!O3</f>
        <v>2024</v>
      </c>
      <c r="F5" s="14">
        <f>Statement!P3</f>
        <v>2025</v>
      </c>
      <c r="G5" s="14">
        <f>Statement!Q3</f>
        <v>2026</v>
      </c>
      <c r="H5" s="14">
        <f>G5+1</f>
        <v>2027</v>
      </c>
      <c r="I5" s="14">
        <f t="shared" ref="I5:L5" si="0">H5+1</f>
        <v>2028</v>
      </c>
      <c r="J5" s="14">
        <f t="shared" si="0"/>
        <v>2029</v>
      </c>
      <c r="K5" s="14">
        <f t="shared" si="0"/>
        <v>2030</v>
      </c>
      <c r="L5" s="14">
        <f t="shared" si="0"/>
        <v>2031</v>
      </c>
      <c r="O5" s="5"/>
      <c r="R5" s="18" t="str">
        <f>B5</f>
        <v>Revenues (thousand)</v>
      </c>
      <c r="S5" s="14" t="str">
        <f>Statement!T3</f>
        <v>Q1 2025</v>
      </c>
      <c r="T5" s="14" t="str">
        <f>Statement!U3</f>
        <v>Q2 2025</v>
      </c>
      <c r="U5" s="14" t="str">
        <f>Statement!V3</f>
        <v>Q3 2025</v>
      </c>
      <c r="V5" s="14" t="str">
        <f>Statement!W3</f>
        <v>Q4 2025</v>
      </c>
      <c r="W5" s="14" t="str">
        <f>Statement!X3</f>
        <v>Q1 2026</v>
      </c>
      <c r="X5" s="14" t="str">
        <f>Statement!Y3</f>
        <v>Q2 2026</v>
      </c>
      <c r="Y5" s="14" t="str">
        <f>Statement!Z3</f>
        <v>Q3 2026</v>
      </c>
      <c r="Z5" s="14" t="str">
        <f>Statement!AA3</f>
        <v>Q4 2026</v>
      </c>
      <c r="AA5" s="14" t="s">
        <v>154</v>
      </c>
      <c r="AB5" s="14" t="s">
        <v>155</v>
      </c>
      <c r="AC5" s="14" t="s">
        <v>156</v>
      </c>
      <c r="AE5" s="10" t="s">
        <v>154</v>
      </c>
    </row>
    <row r="6" spans="1:31" x14ac:dyDescent="0.2">
      <c r="B6" s="1" t="str">
        <f>Statement!B101</f>
        <v>Licenses</v>
      </c>
      <c r="C6" s="94">
        <f>Statement!M101</f>
        <v>481427</v>
      </c>
      <c r="D6" s="94">
        <f>Statement!N101</f>
        <v>497836</v>
      </c>
      <c r="E6" s="94">
        <f>Statement!O101</f>
        <v>621392</v>
      </c>
      <c r="F6" s="94">
        <f>Statement!P101</f>
        <v>587152</v>
      </c>
      <c r="G6" s="95">
        <f>Statement!Q101</f>
        <v>606394</v>
      </c>
      <c r="H6" s="66">
        <f>H9*H29</f>
        <v>610767.5</v>
      </c>
      <c r="I6" s="66">
        <f t="shared" ref="I6:L6" si="1">I9*I29</f>
        <v>634068.79799999995</v>
      </c>
      <c r="J6" s="66">
        <f t="shared" si="1"/>
        <v>648834.17322</v>
      </c>
      <c r="K6" s="66">
        <f t="shared" si="1"/>
        <v>669086.74052999995</v>
      </c>
      <c r="L6" s="66">
        <f t="shared" si="1"/>
        <v>664840.00571940001</v>
      </c>
      <c r="N6" s="96" t="s">
        <v>175</v>
      </c>
      <c r="O6" s="5"/>
      <c r="Q6" s="96" t="s">
        <v>175</v>
      </c>
      <c r="R6" s="1" t="str">
        <f>B6</f>
        <v>Licenses</v>
      </c>
      <c r="S6" s="94">
        <f>Statement!T101</f>
        <v>140128</v>
      </c>
      <c r="T6" s="94">
        <f>Statement!U101</f>
        <v>112251</v>
      </c>
      <c r="U6" s="94">
        <f>Statement!V101</f>
        <v>137174</v>
      </c>
      <c r="V6" s="94">
        <f>Statement!W101</f>
        <v>197609</v>
      </c>
      <c r="W6" s="94">
        <f>Statement!X101</f>
        <v>128286</v>
      </c>
      <c r="X6" s="94">
        <f>Statement!Y101</f>
        <v>112161</v>
      </c>
      <c r="Y6" s="94">
        <f>Statement!Z101</f>
        <v>150043</v>
      </c>
      <c r="Z6" s="95">
        <f>Statement!AA101</f>
        <v>215904</v>
      </c>
      <c r="AA6" s="66">
        <f>AA9*AA29</f>
        <v>159264</v>
      </c>
      <c r="AB6" s="66"/>
      <c r="AC6" s="66"/>
      <c r="AE6" s="66">
        <f>SUM(X6:AA6)</f>
        <v>637372</v>
      </c>
    </row>
    <row r="7" spans="1:31" x14ac:dyDescent="0.2">
      <c r="B7" s="1" t="str">
        <f>Statement!B102</f>
        <v>Subscription services</v>
      </c>
      <c r="C7" s="94">
        <f>Statement!M102</f>
        <v>369867</v>
      </c>
      <c r="D7" s="94">
        <f>Statement!N102</f>
        <v>508823</v>
      </c>
      <c r="E7" s="94">
        <f>Statement!O102</f>
        <v>649918</v>
      </c>
      <c r="F7" s="94">
        <f>Statement!P102</f>
        <v>801947</v>
      </c>
      <c r="G7" s="95">
        <f>Statement!Q102</f>
        <v>954472</v>
      </c>
      <c r="H7" s="66">
        <f>H9-H6-H8</f>
        <v>1081931</v>
      </c>
      <c r="I7" s="66">
        <f t="shared" ref="I7:L7" si="2">I9-I6-I8</f>
        <v>1231630.6046</v>
      </c>
      <c r="J7" s="66">
        <f t="shared" si="2"/>
        <v>1385574.911844</v>
      </c>
      <c r="K7" s="66">
        <f t="shared" si="2"/>
        <v>1503214.8770574001</v>
      </c>
      <c r="L7" s="66">
        <f t="shared" si="2"/>
        <v>1650227.8713392247</v>
      </c>
      <c r="N7" s="96" t="s">
        <v>176</v>
      </c>
      <c r="O7" s="5"/>
      <c r="Q7" s="96" t="s">
        <v>176</v>
      </c>
      <c r="R7" s="1" t="str">
        <f t="shared" ref="R7:R8" si="3">B7</f>
        <v>Subscription services</v>
      </c>
      <c r="S7" s="94">
        <f>Statement!T102</f>
        <v>185131</v>
      </c>
      <c r="T7" s="94">
        <f>Statement!U102</f>
        <v>194673</v>
      </c>
      <c r="U7" s="94">
        <f>Statement!V102</f>
        <v>206922</v>
      </c>
      <c r="V7" s="94">
        <f>Statement!W102</f>
        <v>215221</v>
      </c>
      <c r="W7" s="94">
        <f>Statement!X102</f>
        <v>217303</v>
      </c>
      <c r="X7" s="94">
        <f>Statement!Y102</f>
        <v>238363</v>
      </c>
      <c r="Y7" s="94">
        <f>Statement!Z102</f>
        <v>247573</v>
      </c>
      <c r="Z7" s="95">
        <f>Statement!AA102</f>
        <v>251233</v>
      </c>
      <c r="AA7" s="66">
        <f>AA9-AA6-AA8</f>
        <v>226951.2</v>
      </c>
      <c r="AB7" s="66"/>
      <c r="AC7" s="66"/>
      <c r="AE7" s="66">
        <f t="shared" ref="AE7:AE8" si="4">SUM(X7:AA7)</f>
        <v>964120.2</v>
      </c>
    </row>
    <row r="8" spans="1:31" x14ac:dyDescent="0.2">
      <c r="B8" s="1" t="str">
        <f>Statement!B103</f>
        <v>Professional services</v>
      </c>
      <c r="C8" s="94">
        <f>Statement!M103</f>
        <v>40958</v>
      </c>
      <c r="D8" s="94">
        <f>Statement!N103</f>
        <v>51922</v>
      </c>
      <c r="E8" s="94">
        <f>Statement!O103</f>
        <v>36762</v>
      </c>
      <c r="F8" s="94">
        <f>Statement!P103</f>
        <v>40555</v>
      </c>
      <c r="G8" s="95">
        <f>Statement!Q103</f>
        <v>49706</v>
      </c>
      <c r="H8" s="66">
        <f>H9*H28</f>
        <v>52351.5</v>
      </c>
      <c r="I8" s="66">
        <f t="shared" ref="I8:L8" si="5">I9*I28</f>
        <v>55721.197399999997</v>
      </c>
      <c r="J8" s="66">
        <f t="shared" si="5"/>
        <v>58604.376936000001</v>
      </c>
      <c r="K8" s="66">
        <f t="shared" si="5"/>
        <v>57987.517512599996</v>
      </c>
      <c r="L8" s="66">
        <f t="shared" si="5"/>
        <v>59360.714796374996</v>
      </c>
      <c r="N8" s="96" t="s">
        <v>173</v>
      </c>
      <c r="O8" s="5"/>
      <c r="Q8" s="96" t="s">
        <v>173</v>
      </c>
      <c r="R8" s="1" t="str">
        <f t="shared" si="3"/>
        <v>Professional services</v>
      </c>
      <c r="S8" s="94">
        <f>Statement!T103</f>
        <v>9853</v>
      </c>
      <c r="T8" s="94">
        <f>Statement!U103</f>
        <v>9329</v>
      </c>
      <c r="U8" s="94">
        <f>Statement!V103</f>
        <v>10557</v>
      </c>
      <c r="V8" s="94">
        <f>Statement!W103</f>
        <v>10816</v>
      </c>
      <c r="W8" s="94">
        <f>Statement!X103</f>
        <v>11035</v>
      </c>
      <c r="X8" s="94">
        <f>Statement!Y103</f>
        <v>11204</v>
      </c>
      <c r="Y8" s="94">
        <f>Statement!Z103</f>
        <v>13497</v>
      </c>
      <c r="Z8" s="95">
        <f>Statement!AA103</f>
        <v>13970</v>
      </c>
      <c r="AA8" s="66">
        <f>AA9*AA28</f>
        <v>11944.8</v>
      </c>
      <c r="AB8" s="66"/>
      <c r="AC8" s="66"/>
      <c r="AE8" s="66">
        <f t="shared" si="4"/>
        <v>50615.8</v>
      </c>
    </row>
    <row r="9" spans="1:31" x14ac:dyDescent="0.2">
      <c r="B9" s="18" t="s">
        <v>157</v>
      </c>
      <c r="C9" s="98">
        <f>Statement!M5</f>
        <v>892252</v>
      </c>
      <c r="D9" s="98">
        <f>Statement!N5</f>
        <v>1058581</v>
      </c>
      <c r="E9" s="98">
        <f>Statement!O5</f>
        <v>1308072</v>
      </c>
      <c r="F9" s="98">
        <f>Statement!P5</f>
        <v>1429664</v>
      </c>
      <c r="G9" s="99">
        <f>Statement!Q5</f>
        <v>1610572</v>
      </c>
      <c r="H9" s="100">
        <f>H21*H27</f>
        <v>1745050</v>
      </c>
      <c r="I9" s="100">
        <f t="shared" ref="I9:L9" si="6">I21*I27</f>
        <v>1921420.5999999999</v>
      </c>
      <c r="J9" s="100">
        <f t="shared" si="6"/>
        <v>2093013.4620000001</v>
      </c>
      <c r="K9" s="100">
        <f t="shared" si="6"/>
        <v>2230289.1351000001</v>
      </c>
      <c r="L9" s="100">
        <f t="shared" si="6"/>
        <v>2374428.5918549998</v>
      </c>
      <c r="N9" s="1" t="s">
        <v>165</v>
      </c>
      <c r="O9" s="5"/>
      <c r="Q9" s="1" t="s">
        <v>165</v>
      </c>
      <c r="R9" s="18" t="s">
        <v>157</v>
      </c>
      <c r="S9" s="98">
        <f>Statement!T5</f>
        <v>335112</v>
      </c>
      <c r="T9" s="98">
        <f>Statement!U5</f>
        <v>316253</v>
      </c>
      <c r="U9" s="98">
        <f>Statement!V5</f>
        <v>354653</v>
      </c>
      <c r="V9" s="98">
        <f>Statement!W5</f>
        <v>423646</v>
      </c>
      <c r="W9" s="98">
        <f>Statement!X5</f>
        <v>356624</v>
      </c>
      <c r="X9" s="98">
        <f>Statement!Y5</f>
        <v>361728</v>
      </c>
      <c r="Y9" s="98">
        <f>Statement!Z5</f>
        <v>411113</v>
      </c>
      <c r="Z9" s="99">
        <f>Statement!AA5</f>
        <v>481107</v>
      </c>
      <c r="AA9" s="100">
        <f>AA21*AA27</f>
        <v>398160</v>
      </c>
      <c r="AB9" s="100"/>
      <c r="AC9" s="100"/>
      <c r="AE9" s="100">
        <f>SUM(X9:AA9)</f>
        <v>1652108</v>
      </c>
    </row>
    <row r="10" spans="1:31" x14ac:dyDescent="0.2">
      <c r="O10" s="5"/>
      <c r="Q10" s="97"/>
    </row>
    <row r="11" spans="1:31" x14ac:dyDescent="0.2">
      <c r="C11" s="219" t="s">
        <v>158</v>
      </c>
      <c r="D11" s="219"/>
      <c r="E11" s="219"/>
      <c r="F11" s="219"/>
      <c r="G11" s="219"/>
      <c r="H11" s="219"/>
      <c r="I11" s="219"/>
      <c r="J11" s="219"/>
      <c r="K11" s="219"/>
      <c r="L11" s="219"/>
      <c r="O11" s="5"/>
      <c r="Q11" s="97"/>
      <c r="S11" s="220" t="s">
        <v>158</v>
      </c>
      <c r="T11" s="221"/>
      <c r="U11" s="221"/>
      <c r="V11" s="221"/>
      <c r="W11" s="221"/>
      <c r="X11" s="221"/>
      <c r="Y11" s="221"/>
      <c r="Z11" s="221"/>
      <c r="AA11" s="221"/>
      <c r="AB11" s="221"/>
      <c r="AC11" s="221"/>
    </row>
    <row r="12" spans="1:31" x14ac:dyDescent="0.2">
      <c r="B12" s="18" t="s">
        <v>159</v>
      </c>
      <c r="C12" s="14">
        <f t="shared" ref="C12:L12" si="7">C5</f>
        <v>2022</v>
      </c>
      <c r="D12" s="14">
        <f t="shared" si="7"/>
        <v>2023</v>
      </c>
      <c r="E12" s="14">
        <f t="shared" si="7"/>
        <v>2024</v>
      </c>
      <c r="F12" s="14">
        <f t="shared" si="7"/>
        <v>2025</v>
      </c>
      <c r="G12" s="14">
        <f t="shared" si="7"/>
        <v>2026</v>
      </c>
      <c r="H12" s="14">
        <f t="shared" si="7"/>
        <v>2027</v>
      </c>
      <c r="I12" s="14">
        <f t="shared" si="7"/>
        <v>2028</v>
      </c>
      <c r="J12" s="14">
        <f t="shared" si="7"/>
        <v>2029</v>
      </c>
      <c r="K12" s="14">
        <f t="shared" si="7"/>
        <v>2030</v>
      </c>
      <c r="L12" s="14">
        <f t="shared" si="7"/>
        <v>2031</v>
      </c>
      <c r="O12" s="5"/>
      <c r="Q12" s="97"/>
      <c r="R12" s="18" t="s">
        <v>159</v>
      </c>
      <c r="S12" s="14" t="str">
        <f t="shared" ref="S12:AC12" si="8">S5</f>
        <v>Q1 2025</v>
      </c>
      <c r="T12" s="14" t="str">
        <f t="shared" si="8"/>
        <v>Q2 2025</v>
      </c>
      <c r="U12" s="14" t="str">
        <f t="shared" si="8"/>
        <v>Q3 2025</v>
      </c>
      <c r="V12" s="14" t="str">
        <f t="shared" si="8"/>
        <v>Q4 2025</v>
      </c>
      <c r="W12" s="14" t="str">
        <f t="shared" si="8"/>
        <v>Q1 2026</v>
      </c>
      <c r="X12" s="14" t="str">
        <f t="shared" si="8"/>
        <v>Q2 2026</v>
      </c>
      <c r="Y12" s="14" t="str">
        <f t="shared" si="8"/>
        <v>Q3 2026</v>
      </c>
      <c r="Z12" s="14" t="str">
        <f t="shared" si="8"/>
        <v>Q4 2026</v>
      </c>
      <c r="AA12" s="14" t="str">
        <f t="shared" si="8"/>
        <v>FQ1</v>
      </c>
      <c r="AB12" s="14" t="str">
        <f t="shared" si="8"/>
        <v>FQ2</v>
      </c>
      <c r="AC12" s="14" t="str">
        <f t="shared" si="8"/>
        <v>FQ3</v>
      </c>
    </row>
    <row r="13" spans="1:31" x14ac:dyDescent="0.2">
      <c r="B13" s="1" t="str">
        <f>B6</f>
        <v>Licenses</v>
      </c>
      <c r="C13" s="49"/>
      <c r="D13" s="101">
        <f t="shared" ref="D13:L13" si="9">D6/C6-1</f>
        <v>3.4084087514825612E-2</v>
      </c>
      <c r="E13" s="101">
        <f t="shared" si="9"/>
        <v>0.24818614965570984</v>
      </c>
      <c r="F13" s="101">
        <f t="shared" si="9"/>
        <v>-5.5102093364575055E-2</v>
      </c>
      <c r="G13" s="102">
        <f t="shared" si="9"/>
        <v>3.2771752459329173E-2</v>
      </c>
      <c r="H13" s="101">
        <f t="shared" si="9"/>
        <v>7.21230750963886E-3</v>
      </c>
      <c r="I13" s="101">
        <f t="shared" si="9"/>
        <v>3.8150847908573926E-2</v>
      </c>
      <c r="J13" s="101">
        <f t="shared" si="9"/>
        <v>2.328670842434355E-2</v>
      </c>
      <c r="K13" s="101">
        <f t="shared" si="9"/>
        <v>3.1213780262977719E-2</v>
      </c>
      <c r="L13" s="101">
        <f t="shared" si="9"/>
        <v>-6.3470616787831835E-3</v>
      </c>
      <c r="O13" s="5"/>
      <c r="Q13" s="97"/>
      <c r="R13" s="1" t="str">
        <f>R6</f>
        <v>Licenses</v>
      </c>
      <c r="S13" s="49"/>
      <c r="T13" s="101">
        <f t="shared" ref="T13:AA16" si="10">T6/S6-1</f>
        <v>-0.1989395409910939</v>
      </c>
      <c r="U13" s="101">
        <f t="shared" si="10"/>
        <v>0.22202920241245061</v>
      </c>
      <c r="V13" s="101">
        <f t="shared" si="10"/>
        <v>0.44057182848061593</v>
      </c>
      <c r="W13" s="101">
        <f t="shared" si="10"/>
        <v>-0.35080892064632685</v>
      </c>
      <c r="X13" s="101">
        <f t="shared" si="10"/>
        <v>-0.12569571114540945</v>
      </c>
      <c r="Y13" s="101">
        <f t="shared" si="10"/>
        <v>0.33774663207353717</v>
      </c>
      <c r="Z13" s="102">
        <f t="shared" si="10"/>
        <v>0.4389475017161748</v>
      </c>
      <c r="AA13" s="101">
        <f t="shared" si="10"/>
        <v>-0.26233881725211206</v>
      </c>
      <c r="AB13" s="101"/>
      <c r="AC13" s="101"/>
    </row>
    <row r="14" spans="1:31" x14ac:dyDescent="0.2">
      <c r="B14" s="1" t="str">
        <f>B7</f>
        <v>Subscription services</v>
      </c>
      <c r="C14" s="49"/>
      <c r="D14" s="101">
        <f t="shared" ref="D14:L14" si="11">D7/C7-1</f>
        <v>0.3756918027290892</v>
      </c>
      <c r="E14" s="101">
        <f t="shared" si="11"/>
        <v>0.27729682030883041</v>
      </c>
      <c r="F14" s="101">
        <f t="shared" si="11"/>
        <v>0.2339202791736803</v>
      </c>
      <c r="G14" s="102">
        <f t="shared" si="11"/>
        <v>0.19019336689332333</v>
      </c>
      <c r="H14" s="101">
        <f t="shared" si="11"/>
        <v>0.13353875231541634</v>
      </c>
      <c r="I14" s="101">
        <f t="shared" si="11"/>
        <v>0.13836335644324826</v>
      </c>
      <c r="J14" s="101">
        <f t="shared" si="11"/>
        <v>0.12499227176479333</v>
      </c>
      <c r="K14" s="101">
        <f t="shared" si="11"/>
        <v>8.4903359759046282E-2</v>
      </c>
      <c r="L14" s="101">
        <f t="shared" si="11"/>
        <v>9.7799054896002824E-2</v>
      </c>
      <c r="O14" s="5"/>
      <c r="Q14" s="97"/>
      <c r="R14" s="1" t="str">
        <f>R7</f>
        <v>Subscription services</v>
      </c>
      <c r="S14" s="49"/>
      <c r="T14" s="101">
        <f t="shared" si="10"/>
        <v>5.1541881154425706E-2</v>
      </c>
      <c r="U14" s="101">
        <f t="shared" si="10"/>
        <v>6.2920898121465285E-2</v>
      </c>
      <c r="V14" s="101">
        <f t="shared" si="10"/>
        <v>4.0106900184610605E-2</v>
      </c>
      <c r="W14" s="101">
        <f t="shared" si="10"/>
        <v>9.6737771871704403E-3</v>
      </c>
      <c r="X14" s="101">
        <f t="shared" si="10"/>
        <v>9.6915367022084364E-2</v>
      </c>
      <c r="Y14" s="101">
        <f t="shared" si="10"/>
        <v>3.8638547089942632E-2</v>
      </c>
      <c r="Z14" s="102">
        <f t="shared" si="10"/>
        <v>1.4783518396594086E-2</v>
      </c>
      <c r="AA14" s="101">
        <f t="shared" si="10"/>
        <v>-9.6650519637149546E-2</v>
      </c>
      <c r="AB14" s="101"/>
      <c r="AC14" s="101"/>
    </row>
    <row r="15" spans="1:31" x14ac:dyDescent="0.2">
      <c r="B15" s="1" t="str">
        <f>B8</f>
        <v>Professional services</v>
      </c>
      <c r="C15" s="49"/>
      <c r="D15" s="101">
        <f t="shared" ref="D15:L15" si="12">D8/C8-1</f>
        <v>0.26768885199472625</v>
      </c>
      <c r="E15" s="101">
        <f t="shared" si="12"/>
        <v>-0.29197642617772812</v>
      </c>
      <c r="F15" s="101">
        <f t="shared" si="12"/>
        <v>0.10317719384146673</v>
      </c>
      <c r="G15" s="102">
        <f t="shared" si="12"/>
        <v>0.22564418690666987</v>
      </c>
      <c r="H15" s="101">
        <f t="shared" si="12"/>
        <v>5.3222950951595349E-2</v>
      </c>
      <c r="I15" s="101">
        <f t="shared" si="12"/>
        <v>6.4366778411315773E-2</v>
      </c>
      <c r="J15" s="101">
        <f t="shared" si="12"/>
        <v>5.1742957268179568E-2</v>
      </c>
      <c r="K15" s="101">
        <f t="shared" si="12"/>
        <v>-1.0525825128618882E-2</v>
      </c>
      <c r="L15" s="101">
        <f t="shared" si="12"/>
        <v>2.3680911732022691E-2</v>
      </c>
      <c r="O15" s="5"/>
      <c r="Q15" s="97"/>
      <c r="R15" s="1" t="str">
        <f>R8</f>
        <v>Professional services</v>
      </c>
      <c r="S15" s="49"/>
      <c r="T15" s="101">
        <f t="shared" si="10"/>
        <v>-5.3181772049122111E-2</v>
      </c>
      <c r="U15" s="101">
        <f t="shared" si="10"/>
        <v>0.13163254368099464</v>
      </c>
      <c r="V15" s="101">
        <f t="shared" si="10"/>
        <v>2.4533484891541057E-2</v>
      </c>
      <c r="W15" s="101">
        <f t="shared" si="10"/>
        <v>2.0247781065088732E-2</v>
      </c>
      <c r="X15" s="101">
        <f t="shared" si="10"/>
        <v>1.531490711372907E-2</v>
      </c>
      <c r="Y15" s="101">
        <f t="shared" si="10"/>
        <v>0.20465905033916454</v>
      </c>
      <c r="Z15" s="102">
        <f t="shared" si="10"/>
        <v>3.5044824775876116E-2</v>
      </c>
      <c r="AA15" s="101">
        <f t="shared" si="10"/>
        <v>-0.14496778811739441</v>
      </c>
      <c r="AB15" s="101"/>
      <c r="AC15" s="101"/>
    </row>
    <row r="16" spans="1:31" x14ac:dyDescent="0.2">
      <c r="B16" s="18" t="str">
        <f>B9</f>
        <v>Total</v>
      </c>
      <c r="C16" s="49"/>
      <c r="D16" s="111">
        <f t="shared" ref="D16:L16" si="13">D9/C9-1</f>
        <v>0.18641482451146096</v>
      </c>
      <c r="E16" s="111">
        <f t="shared" si="13"/>
        <v>0.23568437370404349</v>
      </c>
      <c r="F16" s="111">
        <f t="shared" si="13"/>
        <v>9.2955127852289543E-2</v>
      </c>
      <c r="G16" s="112">
        <f t="shared" si="13"/>
        <v>0.12653882310808684</v>
      </c>
      <c r="H16" s="111">
        <f t="shared" si="13"/>
        <v>8.3497043286484551E-2</v>
      </c>
      <c r="I16" s="111">
        <f t="shared" si="13"/>
        <v>0.10106908111515422</v>
      </c>
      <c r="J16" s="111">
        <f t="shared" si="13"/>
        <v>8.930520574204337E-2</v>
      </c>
      <c r="K16" s="111">
        <f t="shared" si="13"/>
        <v>6.5587572938410554E-2</v>
      </c>
      <c r="L16" s="111">
        <f t="shared" si="13"/>
        <v>6.4628148201303359E-2</v>
      </c>
      <c r="O16" s="5"/>
      <c r="Q16" s="97"/>
      <c r="R16" s="18" t="str">
        <f>R9</f>
        <v>Total</v>
      </c>
      <c r="S16" s="49"/>
      <c r="T16" s="111">
        <f t="shared" si="10"/>
        <v>-5.6276707488839506E-2</v>
      </c>
      <c r="U16" s="111">
        <f t="shared" si="10"/>
        <v>0.12142177307408941</v>
      </c>
      <c r="V16" s="111">
        <f t="shared" si="10"/>
        <v>0.1945366315807282</v>
      </c>
      <c r="W16" s="111">
        <f t="shared" si="10"/>
        <v>-0.15820283916288602</v>
      </c>
      <c r="X16" s="111">
        <f t="shared" si="10"/>
        <v>1.4311992462649803E-2</v>
      </c>
      <c r="Y16" s="111">
        <f t="shared" si="10"/>
        <v>0.13652523443029008</v>
      </c>
      <c r="Z16" s="112">
        <f t="shared" si="10"/>
        <v>0.17025489342346267</v>
      </c>
      <c r="AA16" s="111">
        <f t="shared" si="10"/>
        <v>-0.17240863259108685</v>
      </c>
      <c r="AB16" s="111"/>
      <c r="AC16" s="111"/>
    </row>
    <row r="17" spans="2:31" x14ac:dyDescent="0.2">
      <c r="O17" s="5"/>
      <c r="Q17" s="97"/>
    </row>
    <row r="18" spans="2:31" x14ac:dyDescent="0.2">
      <c r="O18" s="5"/>
      <c r="Q18" s="97"/>
    </row>
    <row r="19" spans="2:31" x14ac:dyDescent="0.2">
      <c r="C19" s="219" t="s">
        <v>160</v>
      </c>
      <c r="D19" s="219"/>
      <c r="E19" s="219"/>
      <c r="F19" s="219"/>
      <c r="G19" s="219"/>
      <c r="H19" s="219"/>
      <c r="I19" s="219"/>
      <c r="J19" s="219"/>
      <c r="K19" s="219"/>
      <c r="L19" s="219"/>
      <c r="O19" s="5"/>
      <c r="Q19" s="97"/>
      <c r="S19" s="220" t="s">
        <v>160</v>
      </c>
      <c r="T19" s="221"/>
      <c r="U19" s="221"/>
      <c r="V19" s="221"/>
      <c r="W19" s="221"/>
      <c r="X19" s="221"/>
      <c r="Y19" s="221"/>
      <c r="Z19" s="221"/>
      <c r="AA19" s="221"/>
      <c r="AB19" s="221"/>
      <c r="AC19" s="221"/>
      <c r="AE19" s="93">
        <f>AE4</f>
        <v>0</v>
      </c>
    </row>
    <row r="20" spans="2:31" x14ac:dyDescent="0.2">
      <c r="B20" s="18" t="s">
        <v>161</v>
      </c>
      <c r="C20" s="14">
        <f t="shared" ref="C20:L20" si="14">C5</f>
        <v>2022</v>
      </c>
      <c r="D20" s="14">
        <f t="shared" si="14"/>
        <v>2023</v>
      </c>
      <c r="E20" s="14">
        <f t="shared" si="14"/>
        <v>2024</v>
      </c>
      <c r="F20" s="14">
        <f t="shared" si="14"/>
        <v>2025</v>
      </c>
      <c r="G20" s="14">
        <f t="shared" si="14"/>
        <v>2026</v>
      </c>
      <c r="H20" s="14">
        <f t="shared" si="14"/>
        <v>2027</v>
      </c>
      <c r="I20" s="14">
        <f t="shared" si="14"/>
        <v>2028</v>
      </c>
      <c r="J20" s="14">
        <f t="shared" si="14"/>
        <v>2029</v>
      </c>
      <c r="K20" s="14">
        <f t="shared" si="14"/>
        <v>2030</v>
      </c>
      <c r="L20" s="14">
        <f t="shared" si="14"/>
        <v>2031</v>
      </c>
      <c r="O20" s="5"/>
      <c r="Q20" s="97"/>
      <c r="R20" s="18" t="s">
        <v>161</v>
      </c>
      <c r="S20" s="14" t="str">
        <f t="shared" ref="S20:AC20" si="15">S5</f>
        <v>Q1 2025</v>
      </c>
      <c r="T20" s="14" t="str">
        <f t="shared" si="15"/>
        <v>Q2 2025</v>
      </c>
      <c r="U20" s="14" t="str">
        <f t="shared" si="15"/>
        <v>Q3 2025</v>
      </c>
      <c r="V20" s="14" t="str">
        <f t="shared" si="15"/>
        <v>Q4 2025</v>
      </c>
      <c r="W20" s="14" t="str">
        <f t="shared" si="15"/>
        <v>Q1 2026</v>
      </c>
      <c r="X20" s="14" t="str">
        <f t="shared" si="15"/>
        <v>Q2 2026</v>
      </c>
      <c r="Y20" s="14" t="str">
        <f t="shared" si="15"/>
        <v>Q3 2026</v>
      </c>
      <c r="Z20" s="14" t="str">
        <f t="shared" si="15"/>
        <v>Q4 2026</v>
      </c>
      <c r="AA20" s="14" t="str">
        <f t="shared" si="15"/>
        <v>FQ1</v>
      </c>
      <c r="AB20" s="14" t="str">
        <f t="shared" si="15"/>
        <v>FQ2</v>
      </c>
      <c r="AC20" s="14" t="str">
        <f t="shared" si="15"/>
        <v>FQ3</v>
      </c>
      <c r="AE20" s="10" t="str">
        <f>AE5</f>
        <v>FQ1</v>
      </c>
    </row>
    <row r="21" spans="2:31" x14ac:dyDescent="0.2">
      <c r="B21" s="1" t="s">
        <v>142</v>
      </c>
      <c r="C21" s="119">
        <f>Statement!M138</f>
        <v>925276</v>
      </c>
      <c r="D21" s="104">
        <f>Statement!N138</f>
        <v>1203845</v>
      </c>
      <c r="E21" s="104">
        <f>Statement!O138</f>
        <v>1463698</v>
      </c>
      <c r="F21" s="104">
        <f>Statement!P138</f>
        <v>1666136</v>
      </c>
      <c r="G21" s="105">
        <f>Statement!Q138</f>
        <v>1852567</v>
      </c>
      <c r="H21" s="113">
        <v>2053000</v>
      </c>
      <c r="I21" s="26">
        <f>(H21*I22)+I24</f>
        <v>2234210</v>
      </c>
      <c r="J21" s="26">
        <f t="shared" ref="J21:L21" si="16">(I21*J22)+J24</f>
        <v>2405762.6</v>
      </c>
      <c r="K21" s="26">
        <f t="shared" si="16"/>
        <v>2563550.73</v>
      </c>
      <c r="L21" s="26">
        <f t="shared" si="16"/>
        <v>2729228.2664999999</v>
      </c>
      <c r="N21" s="96" t="s">
        <v>169</v>
      </c>
      <c r="O21" s="5"/>
      <c r="Q21" s="96" t="s">
        <v>169</v>
      </c>
      <c r="R21" s="1" t="s">
        <v>142</v>
      </c>
      <c r="S21" s="104">
        <f>Statement!T138</f>
        <v>1507730</v>
      </c>
      <c r="T21" s="104">
        <f>Statement!U138</f>
        <v>1550605</v>
      </c>
      <c r="U21" s="104">
        <f>Statement!V138</f>
        <v>1606561</v>
      </c>
      <c r="V21" s="104">
        <f>Statement!W138</f>
        <v>1666136</v>
      </c>
      <c r="W21" s="104">
        <f>Statement!X138</f>
        <v>1692683</v>
      </c>
      <c r="X21" s="104">
        <f>Statement!Y138</f>
        <v>1723401</v>
      </c>
      <c r="Y21" s="104">
        <f>Statement!Z138</f>
        <v>1782384</v>
      </c>
      <c r="Z21" s="106">
        <f>Statement!AA138</f>
        <v>1852567</v>
      </c>
      <c r="AA21" s="115">
        <v>1896000</v>
      </c>
      <c r="AB21" s="115"/>
      <c r="AC21" s="115"/>
      <c r="AE21" s="26">
        <f>AA21</f>
        <v>1896000</v>
      </c>
    </row>
    <row r="22" spans="2:31" x14ac:dyDescent="0.2">
      <c r="B22" s="1" t="s">
        <v>144</v>
      </c>
      <c r="C22" s="120">
        <f>Statement!M140</f>
        <v>1.45</v>
      </c>
      <c r="D22" s="120">
        <f>Statement!N140</f>
        <v>1.23</v>
      </c>
      <c r="E22" s="120">
        <f>Statement!O140</f>
        <v>1.19</v>
      </c>
      <c r="F22" s="120">
        <f>Statement!P140</f>
        <v>1.1000000000000001</v>
      </c>
      <c r="G22" s="121">
        <f>Statement!Q140</f>
        <v>1.07</v>
      </c>
      <c r="H22" s="122">
        <v>1.07</v>
      </c>
      <c r="I22" s="122">
        <v>1.07</v>
      </c>
      <c r="J22" s="122">
        <v>1.06</v>
      </c>
      <c r="K22" s="122">
        <v>1.05</v>
      </c>
      <c r="L22" s="122">
        <v>1.05</v>
      </c>
      <c r="N22" s="96"/>
      <c r="O22" s="5"/>
      <c r="Q22" s="96"/>
      <c r="R22" s="1" t="s">
        <v>144</v>
      </c>
      <c r="S22" s="120">
        <f>Statement!T140</f>
        <v>1.18</v>
      </c>
      <c r="T22" s="120">
        <f>Statement!U140</f>
        <v>1.1499999999999999</v>
      </c>
      <c r="U22" s="120">
        <f>Statement!V140</f>
        <v>1.1299999999999999</v>
      </c>
      <c r="V22" s="120">
        <f>Statement!W140</f>
        <v>1.1000000000000001</v>
      </c>
      <c r="W22" s="120">
        <f>Statement!X140</f>
        <v>1.08</v>
      </c>
      <c r="X22" s="120">
        <f>Statement!Y140</f>
        <v>1.08</v>
      </c>
      <c r="Y22" s="120">
        <f>Statement!Z140</f>
        <v>1.07</v>
      </c>
      <c r="Z22" s="123">
        <f>Statement!AA140</f>
        <v>1.07</v>
      </c>
      <c r="AA22" s="122">
        <v>1.07</v>
      </c>
      <c r="AB22" s="103"/>
      <c r="AC22" s="103"/>
      <c r="AE22" s="128">
        <f>AA22</f>
        <v>1.07</v>
      </c>
    </row>
    <row r="23" spans="2:31" x14ac:dyDescent="0.2">
      <c r="B23" s="1" t="s">
        <v>143</v>
      </c>
      <c r="C23" s="107">
        <f>Statement!M139</f>
        <v>344793</v>
      </c>
      <c r="D23" s="107">
        <f>Statement!N139</f>
        <v>278569</v>
      </c>
      <c r="E23" s="107">
        <f>Statement!O139</f>
        <v>259853</v>
      </c>
      <c r="F23" s="107">
        <f>Statement!P139</f>
        <v>202438</v>
      </c>
      <c r="G23" s="108">
        <f>Statement!Q139</f>
        <v>186431</v>
      </c>
      <c r="H23" s="26">
        <f>H21-G21</f>
        <v>200433</v>
      </c>
      <c r="I23" s="26">
        <f>I21-H21</f>
        <v>181210</v>
      </c>
      <c r="J23" s="26">
        <f>J21-I21</f>
        <v>171552.60000000009</v>
      </c>
      <c r="K23" s="26">
        <f>K21-J21</f>
        <v>157788.12999999989</v>
      </c>
      <c r="L23" s="26">
        <f>L21-K21</f>
        <v>165677.53649999993</v>
      </c>
      <c r="N23" s="96" t="s">
        <v>170</v>
      </c>
      <c r="O23" s="5"/>
      <c r="Q23" s="96" t="s">
        <v>170</v>
      </c>
      <c r="R23" s="1" t="s">
        <v>143</v>
      </c>
      <c r="S23" s="107">
        <f>Statement!T139</f>
        <v>44000</v>
      </c>
      <c r="T23" s="107">
        <f>Statement!U139</f>
        <v>43000</v>
      </c>
      <c r="U23" s="107">
        <f>Statement!V139</f>
        <v>56000</v>
      </c>
      <c r="V23" s="107">
        <f>Statement!W139</f>
        <v>60000</v>
      </c>
      <c r="W23" s="107">
        <f>Statement!X139</f>
        <v>27000</v>
      </c>
      <c r="X23" s="107">
        <f>Statement!Y139</f>
        <v>31000</v>
      </c>
      <c r="Y23" s="107">
        <f>Statement!Z139</f>
        <v>59000</v>
      </c>
      <c r="Z23" s="109">
        <f>Statement!AA139</f>
        <v>70000</v>
      </c>
      <c r="AA23" s="26">
        <f>AA21-Z21</f>
        <v>43433</v>
      </c>
      <c r="AB23" s="26"/>
      <c r="AC23" s="26"/>
      <c r="AE23" s="26">
        <f>SUM(X23:AA23)</f>
        <v>203433</v>
      </c>
    </row>
    <row r="24" spans="2:31" x14ac:dyDescent="0.2">
      <c r="B24" s="1" t="s">
        <v>166</v>
      </c>
      <c r="C24" s="49"/>
      <c r="D24" s="49"/>
      <c r="E24" s="49"/>
      <c r="F24" s="49"/>
      <c r="G24" s="114"/>
      <c r="H24" s="66">
        <f>H25*H26</f>
        <v>37500</v>
      </c>
      <c r="I24" s="66">
        <f t="shared" ref="I24:L24" si="17">I25*I26</f>
        <v>37500</v>
      </c>
      <c r="J24" s="66">
        <f t="shared" si="17"/>
        <v>37500</v>
      </c>
      <c r="K24" s="66">
        <f t="shared" si="17"/>
        <v>37500</v>
      </c>
      <c r="L24" s="66">
        <f t="shared" si="17"/>
        <v>37500</v>
      </c>
      <c r="N24" s="96" t="s">
        <v>171</v>
      </c>
      <c r="O24" s="5"/>
      <c r="Q24" s="96" t="s">
        <v>171</v>
      </c>
      <c r="R24" s="1" t="s">
        <v>166</v>
      </c>
      <c r="S24" s="49"/>
      <c r="T24" s="49"/>
      <c r="U24" s="49"/>
      <c r="V24" s="49"/>
      <c r="W24" s="49"/>
      <c r="X24" s="49"/>
      <c r="Y24" s="49"/>
      <c r="Z24" s="114"/>
      <c r="AA24" s="26">
        <f>AA25*AA26</f>
        <v>11250</v>
      </c>
      <c r="AB24" s="26"/>
      <c r="AC24" s="26"/>
      <c r="AE24" s="49"/>
    </row>
    <row r="25" spans="2:31" x14ac:dyDescent="0.2">
      <c r="B25" s="1" t="s">
        <v>167</v>
      </c>
      <c r="C25" s="49"/>
      <c r="D25" s="104">
        <f>Statement!N142-Statement!M142</f>
        <v>292</v>
      </c>
      <c r="E25" s="104">
        <f>Statement!O142-Statement!N142</f>
        <v>269</v>
      </c>
      <c r="F25" s="104">
        <f>Statement!P142-Statement!O142</f>
        <v>238</v>
      </c>
      <c r="G25" s="105">
        <f>Statement!Q142-Statement!P142</f>
        <v>273</v>
      </c>
      <c r="H25" s="115">
        <v>250</v>
      </c>
      <c r="I25" s="115">
        <v>250</v>
      </c>
      <c r="J25" s="115">
        <v>250</v>
      </c>
      <c r="K25" s="115">
        <v>250</v>
      </c>
      <c r="L25" s="115">
        <v>250</v>
      </c>
      <c r="N25" s="96"/>
      <c r="O25" s="5"/>
      <c r="R25" s="1" t="s">
        <v>167</v>
      </c>
      <c r="S25" s="49"/>
      <c r="T25" s="124">
        <f>Statement!U142-Statement!T142</f>
        <v>71</v>
      </c>
      <c r="U25" s="124">
        <f>Statement!V142-Statement!U142</f>
        <v>72</v>
      </c>
      <c r="V25" s="124">
        <f>Statement!W142-Statement!V142</f>
        <v>57</v>
      </c>
      <c r="W25" s="124">
        <f>Statement!X142-Statement!W142</f>
        <v>73</v>
      </c>
      <c r="X25" s="124">
        <f>Statement!Y142-Statement!X142</f>
        <v>67</v>
      </c>
      <c r="Y25" s="124">
        <f>Statement!Z142-Statement!Y142</f>
        <v>74</v>
      </c>
      <c r="Z25" s="125">
        <f>Statement!AA142-Statement!Z142</f>
        <v>59</v>
      </c>
      <c r="AA25" s="110">
        <v>75</v>
      </c>
      <c r="AB25" s="110"/>
      <c r="AC25" s="110"/>
      <c r="AE25" s="124">
        <f>SUM(X25:AA25)</f>
        <v>275</v>
      </c>
    </row>
    <row r="26" spans="2:31" x14ac:dyDescent="0.2">
      <c r="B26" s="1" t="s">
        <v>168</v>
      </c>
      <c r="C26" s="49"/>
      <c r="D26" s="49"/>
      <c r="E26" s="49"/>
      <c r="F26" s="49"/>
      <c r="G26" s="114"/>
      <c r="H26" s="115">
        <v>150</v>
      </c>
      <c r="I26" s="115">
        <v>150</v>
      </c>
      <c r="J26" s="115">
        <v>150</v>
      </c>
      <c r="K26" s="115">
        <v>150</v>
      </c>
      <c r="L26" s="115">
        <v>150</v>
      </c>
      <c r="N26" s="96"/>
      <c r="O26" s="5"/>
      <c r="R26" s="1" t="s">
        <v>168</v>
      </c>
      <c r="S26" s="49"/>
      <c r="T26" s="49"/>
      <c r="U26" s="49"/>
      <c r="V26" s="49"/>
      <c r="W26" s="49"/>
      <c r="X26" s="49"/>
      <c r="Y26" s="49"/>
      <c r="Z26" s="114"/>
      <c r="AA26" s="115">
        <v>150</v>
      </c>
      <c r="AB26" s="115"/>
      <c r="AC26" s="115"/>
      <c r="AE26" s="49"/>
    </row>
    <row r="27" spans="2:31" x14ac:dyDescent="0.2">
      <c r="B27" s="1" t="s">
        <v>164</v>
      </c>
      <c r="C27" s="116">
        <f>C9/C21</f>
        <v>0.96430902779278826</v>
      </c>
      <c r="D27" s="116">
        <f t="shared" ref="D27:G27" si="18">D9/D21</f>
        <v>0.87933330287537015</v>
      </c>
      <c r="E27" s="116">
        <f t="shared" si="18"/>
        <v>0.89367615450728222</v>
      </c>
      <c r="F27" s="116">
        <f t="shared" si="18"/>
        <v>0.85807161000062415</v>
      </c>
      <c r="G27" s="117">
        <f t="shared" si="18"/>
        <v>0.86937314547867905</v>
      </c>
      <c r="H27" s="118">
        <v>0.85</v>
      </c>
      <c r="I27" s="118">
        <v>0.86</v>
      </c>
      <c r="J27" s="118">
        <v>0.87</v>
      </c>
      <c r="K27" s="118">
        <v>0.87</v>
      </c>
      <c r="L27" s="118">
        <v>0.87</v>
      </c>
      <c r="N27" s="96"/>
      <c r="O27" s="5"/>
      <c r="R27" s="1" t="s">
        <v>164</v>
      </c>
      <c r="S27" s="126">
        <f>S9/S21</f>
        <v>0.22226260670013862</v>
      </c>
      <c r="T27" s="126">
        <f t="shared" ref="T27:Z27" si="19">T9/T21</f>
        <v>0.20395458546825271</v>
      </c>
      <c r="U27" s="126">
        <f t="shared" si="19"/>
        <v>0.22075290013886806</v>
      </c>
      <c r="V27" s="126">
        <f t="shared" si="19"/>
        <v>0.25426855910922036</v>
      </c>
      <c r="W27" s="126">
        <f t="shared" si="19"/>
        <v>0.2106856393075372</v>
      </c>
      <c r="X27" s="126">
        <f t="shared" si="19"/>
        <v>0.2098919520181316</v>
      </c>
      <c r="Y27" s="126">
        <f t="shared" si="19"/>
        <v>0.23065343943841507</v>
      </c>
      <c r="Z27" s="127">
        <f t="shared" si="19"/>
        <v>0.25969749002330278</v>
      </c>
      <c r="AA27" s="118">
        <v>0.21</v>
      </c>
      <c r="AB27" s="110"/>
      <c r="AC27" s="110"/>
      <c r="AE27" s="49"/>
    </row>
    <row r="28" spans="2:31" x14ac:dyDescent="0.2">
      <c r="B28" s="1" t="s">
        <v>172</v>
      </c>
      <c r="C28" s="101">
        <f>C8/C9</f>
        <v>4.5904071943800633E-2</v>
      </c>
      <c r="D28" s="101">
        <f t="shared" ref="D28:G28" si="20">D8/D9</f>
        <v>4.904867931693465E-2</v>
      </c>
      <c r="E28" s="101">
        <f t="shared" si="20"/>
        <v>2.8103957580316679E-2</v>
      </c>
      <c r="F28" s="101">
        <f t="shared" si="20"/>
        <v>2.8366805067484388E-2</v>
      </c>
      <c r="G28" s="102">
        <f t="shared" si="20"/>
        <v>3.0862327173203061E-2</v>
      </c>
      <c r="H28" s="103">
        <v>0.03</v>
      </c>
      <c r="I28" s="103">
        <v>2.9000000000000001E-2</v>
      </c>
      <c r="J28" s="103">
        <v>2.8000000000000001E-2</v>
      </c>
      <c r="K28" s="103">
        <v>2.5999999999999999E-2</v>
      </c>
      <c r="L28" s="103">
        <v>2.5000000000000001E-2</v>
      </c>
      <c r="N28" s="96"/>
      <c r="O28" s="5"/>
      <c r="R28" s="1" t="s">
        <v>172</v>
      </c>
      <c r="S28" s="101">
        <f>S8/S9</f>
        <v>2.9402110339229869E-2</v>
      </c>
      <c r="T28" s="101">
        <f t="shared" ref="T28:Z28" si="21">T8/T9</f>
        <v>2.9498534401254693E-2</v>
      </c>
      <c r="U28" s="101">
        <f t="shared" si="21"/>
        <v>2.9767124485060043E-2</v>
      </c>
      <c r="V28" s="101">
        <f t="shared" si="21"/>
        <v>2.5530749729727176E-2</v>
      </c>
      <c r="W28" s="101">
        <f t="shared" si="21"/>
        <v>3.0942953923460002E-2</v>
      </c>
      <c r="X28" s="101">
        <f t="shared" si="21"/>
        <v>3.0973549186128803E-2</v>
      </c>
      <c r="Y28" s="101">
        <f t="shared" si="21"/>
        <v>3.2830389698209492E-2</v>
      </c>
      <c r="Z28" s="102">
        <f t="shared" si="21"/>
        <v>2.9037199625031439E-2</v>
      </c>
      <c r="AA28" s="103">
        <v>0.03</v>
      </c>
      <c r="AB28" s="103"/>
      <c r="AC28" s="103"/>
      <c r="AE28" s="49"/>
    </row>
    <row r="29" spans="2:31" x14ac:dyDescent="0.2">
      <c r="B29" s="1" t="s">
        <v>174</v>
      </c>
      <c r="C29" s="101">
        <f>C6/C9</f>
        <v>0.53956393485248566</v>
      </c>
      <c r="D29" s="101">
        <f t="shared" ref="D29:G29" si="22">D6/D9</f>
        <v>0.47028616610349139</v>
      </c>
      <c r="E29" s="101">
        <f t="shared" si="22"/>
        <v>0.4750441871701252</v>
      </c>
      <c r="F29" s="101">
        <f t="shared" si="22"/>
        <v>0.41069230252702732</v>
      </c>
      <c r="G29" s="102">
        <f t="shared" si="22"/>
        <v>0.37650847028260764</v>
      </c>
      <c r="H29" s="103">
        <v>0.35</v>
      </c>
      <c r="I29" s="103">
        <v>0.33</v>
      </c>
      <c r="J29" s="103">
        <v>0.31</v>
      </c>
      <c r="K29" s="103">
        <v>0.3</v>
      </c>
      <c r="L29" s="103">
        <v>0.28000000000000003</v>
      </c>
      <c r="N29" s="96"/>
      <c r="O29" s="5"/>
      <c r="R29" s="1" t="s">
        <v>174</v>
      </c>
      <c r="S29" s="101">
        <f>S6/S9</f>
        <v>0.41815273699539257</v>
      </c>
      <c r="T29" s="101">
        <f t="shared" ref="T29:Z29" si="23">T6/T9</f>
        <v>0.35494050649321901</v>
      </c>
      <c r="U29" s="101">
        <f t="shared" si="23"/>
        <v>0.38678370125164596</v>
      </c>
      <c r="V29" s="101">
        <f t="shared" si="23"/>
        <v>0.46644840267581894</v>
      </c>
      <c r="W29" s="101">
        <f t="shared" si="23"/>
        <v>0.35972340616447573</v>
      </c>
      <c r="X29" s="101">
        <f t="shared" si="23"/>
        <v>0.31006999734607221</v>
      </c>
      <c r="Y29" s="101">
        <f t="shared" si="23"/>
        <v>0.36496778258045842</v>
      </c>
      <c r="Z29" s="102">
        <f t="shared" si="23"/>
        <v>0.44876503563656317</v>
      </c>
      <c r="AA29" s="103">
        <v>0.4</v>
      </c>
      <c r="AB29" s="103"/>
      <c r="AC29" s="103"/>
      <c r="AE29" s="49"/>
    </row>
    <row r="30" spans="2:31" x14ac:dyDescent="0.2">
      <c r="O30" s="5"/>
    </row>
    <row r="31" spans="2:31" x14ac:dyDescent="0.2">
      <c r="O31" s="5"/>
    </row>
    <row r="32" spans="2:31" x14ac:dyDescent="0.2">
      <c r="C32" s="219" t="s">
        <v>162</v>
      </c>
      <c r="D32" s="219"/>
      <c r="E32" s="219"/>
      <c r="F32" s="219"/>
      <c r="G32" s="219"/>
      <c r="H32" s="219"/>
      <c r="I32" s="219"/>
      <c r="J32" s="219"/>
      <c r="K32" s="219"/>
      <c r="L32" s="219"/>
      <c r="O32" s="5"/>
      <c r="S32" s="220" t="s">
        <v>162</v>
      </c>
      <c r="T32" s="221"/>
      <c r="U32" s="221"/>
      <c r="V32" s="221"/>
      <c r="W32" s="221"/>
      <c r="X32" s="221"/>
      <c r="Y32" s="221"/>
      <c r="Z32" s="221"/>
      <c r="AA32" s="221"/>
      <c r="AB32" s="221"/>
      <c r="AC32" s="221"/>
    </row>
    <row r="33" spans="2:29" x14ac:dyDescent="0.2">
      <c r="B33" s="18" t="s">
        <v>163</v>
      </c>
      <c r="C33" s="14">
        <f t="shared" ref="C33:L33" si="24">C5</f>
        <v>2022</v>
      </c>
      <c r="D33" s="14">
        <f t="shared" si="24"/>
        <v>2023</v>
      </c>
      <c r="E33" s="14">
        <f t="shared" si="24"/>
        <v>2024</v>
      </c>
      <c r="F33" s="14">
        <f t="shared" si="24"/>
        <v>2025</v>
      </c>
      <c r="G33" s="14">
        <f t="shared" si="24"/>
        <v>2026</v>
      </c>
      <c r="H33" s="14">
        <f t="shared" si="24"/>
        <v>2027</v>
      </c>
      <c r="I33" s="14">
        <f t="shared" si="24"/>
        <v>2028</v>
      </c>
      <c r="J33" s="14">
        <f t="shared" si="24"/>
        <v>2029</v>
      </c>
      <c r="K33" s="14">
        <f t="shared" si="24"/>
        <v>2030</v>
      </c>
      <c r="L33" s="14">
        <f t="shared" si="24"/>
        <v>2031</v>
      </c>
      <c r="O33" s="5"/>
      <c r="R33" s="18" t="s">
        <v>163</v>
      </c>
      <c r="S33" s="14" t="str">
        <f t="shared" ref="S33:AC33" si="25">S5</f>
        <v>Q1 2025</v>
      </c>
      <c r="T33" s="14" t="str">
        <f t="shared" si="25"/>
        <v>Q2 2025</v>
      </c>
      <c r="U33" s="14" t="str">
        <f t="shared" si="25"/>
        <v>Q3 2025</v>
      </c>
      <c r="V33" s="14" t="str">
        <f t="shared" si="25"/>
        <v>Q4 2025</v>
      </c>
      <c r="W33" s="14" t="str">
        <f t="shared" si="25"/>
        <v>Q1 2026</v>
      </c>
      <c r="X33" s="14" t="str">
        <f t="shared" si="25"/>
        <v>Q2 2026</v>
      </c>
      <c r="Y33" s="14" t="str">
        <f t="shared" si="25"/>
        <v>Q3 2026</v>
      </c>
      <c r="Z33" s="14" t="str">
        <f t="shared" si="25"/>
        <v>Q4 2026</v>
      </c>
      <c r="AA33" s="14" t="str">
        <f t="shared" si="25"/>
        <v>FQ1</v>
      </c>
      <c r="AB33" s="14" t="str">
        <f t="shared" si="25"/>
        <v>FQ2</v>
      </c>
      <c r="AC33" s="14" t="str">
        <f t="shared" si="25"/>
        <v>FQ3</v>
      </c>
    </row>
    <row r="34" spans="2:29" x14ac:dyDescent="0.2">
      <c r="B34" s="1" t="s">
        <v>142</v>
      </c>
      <c r="C34" s="49"/>
      <c r="D34" s="101">
        <f>D21/C21-1</f>
        <v>0.30106584413731685</v>
      </c>
      <c r="E34" s="101">
        <f t="shared" ref="E34:L34" si="26">E21/D21-1</f>
        <v>0.21585253915578839</v>
      </c>
      <c r="F34" s="101">
        <f t="shared" si="26"/>
        <v>0.13830585271005358</v>
      </c>
      <c r="G34" s="102">
        <f t="shared" si="26"/>
        <v>0.11189422712191566</v>
      </c>
      <c r="H34" s="101">
        <f t="shared" si="26"/>
        <v>0.10819203839861125</v>
      </c>
      <c r="I34" s="101">
        <f t="shared" si="26"/>
        <v>8.826595226497802E-2</v>
      </c>
      <c r="J34" s="101">
        <f t="shared" si="26"/>
        <v>7.6784456250755362E-2</v>
      </c>
      <c r="K34" s="101">
        <f t="shared" si="26"/>
        <v>6.5587572938410332E-2</v>
      </c>
      <c r="L34" s="101">
        <f t="shared" si="26"/>
        <v>6.4628148201303581E-2</v>
      </c>
      <c r="O34" s="5"/>
      <c r="R34" s="1" t="str">
        <f>B34</f>
        <v>ARR</v>
      </c>
      <c r="S34" s="49"/>
      <c r="T34" s="101">
        <f>T21/S21-1</f>
        <v>2.8436789080273028E-2</v>
      </c>
      <c r="U34" s="101">
        <f t="shared" ref="U34:AA34" si="27">U21/T21-1</f>
        <v>3.6086559762157355E-2</v>
      </c>
      <c r="V34" s="101">
        <f t="shared" si="27"/>
        <v>3.708231433478093E-2</v>
      </c>
      <c r="W34" s="101">
        <f t="shared" si="27"/>
        <v>1.5933273154172367E-2</v>
      </c>
      <c r="X34" s="101">
        <f t="shared" si="27"/>
        <v>1.8147520829357999E-2</v>
      </c>
      <c r="Y34" s="101">
        <f t="shared" si="27"/>
        <v>3.4224768350488377E-2</v>
      </c>
      <c r="Z34" s="102">
        <f t="shared" si="27"/>
        <v>3.9375914505516141E-2</v>
      </c>
      <c r="AA34" s="101">
        <f t="shared" si="27"/>
        <v>2.3444766100227499E-2</v>
      </c>
    </row>
    <row r="35" spans="2:29" x14ac:dyDescent="0.2">
      <c r="B35" s="1" t="s">
        <v>143</v>
      </c>
      <c r="C35" s="49"/>
      <c r="D35" s="101">
        <f>D23/C23-1</f>
        <v>-0.19206886450711003</v>
      </c>
      <c r="E35" s="101">
        <f t="shared" ref="E35:L35" si="28">E23/D23-1</f>
        <v>-6.7186226751720368E-2</v>
      </c>
      <c r="F35" s="101">
        <f t="shared" si="28"/>
        <v>-0.22095184585130823</v>
      </c>
      <c r="G35" s="102">
        <f t="shared" si="28"/>
        <v>-7.9071123010502009E-2</v>
      </c>
      <c r="H35" s="101">
        <f t="shared" si="28"/>
        <v>7.510553502368178E-2</v>
      </c>
      <c r="I35" s="101">
        <f t="shared" si="28"/>
        <v>-9.5907360564378097E-2</v>
      </c>
      <c r="J35" s="101">
        <f t="shared" si="28"/>
        <v>-5.3293968324043428E-2</v>
      </c>
      <c r="K35" s="101">
        <f t="shared" si="28"/>
        <v>-8.023469186710197E-2</v>
      </c>
      <c r="L35" s="101">
        <f t="shared" si="28"/>
        <v>5.0000000000000266E-2</v>
      </c>
      <c r="O35" s="5"/>
      <c r="R35" s="1" t="str">
        <f>B35</f>
        <v>New ARR</v>
      </c>
      <c r="S35" s="49"/>
      <c r="T35" s="101">
        <f>T23/S23-1</f>
        <v>-2.2727272727272707E-2</v>
      </c>
      <c r="U35" s="101">
        <f t="shared" ref="U35:AA35" si="29">U23/T23-1</f>
        <v>0.30232558139534893</v>
      </c>
      <c r="V35" s="101">
        <f t="shared" si="29"/>
        <v>7.1428571428571397E-2</v>
      </c>
      <c r="W35" s="101">
        <f t="shared" si="29"/>
        <v>-0.55000000000000004</v>
      </c>
      <c r="X35" s="101">
        <f t="shared" si="29"/>
        <v>0.14814814814814814</v>
      </c>
      <c r="Y35" s="101">
        <f t="shared" si="29"/>
        <v>0.90322580645161299</v>
      </c>
      <c r="Z35" s="102">
        <f t="shared" si="29"/>
        <v>0.18644067796610164</v>
      </c>
      <c r="AA35" s="101">
        <f t="shared" si="29"/>
        <v>-0.37952857142857144</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19" zoomScale="178" zoomScaleNormal="100" workbookViewId="0">
      <selection activeCell="H5" sqref="H5"/>
    </sheetView>
  </sheetViews>
  <sheetFormatPr baseColWidth="10" defaultRowHeight="16" x14ac:dyDescent="0.2"/>
  <cols>
    <col min="1" max="1" width="2" style="8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9" customFormat="1" ht="18" customHeight="1" x14ac:dyDescent="0.2">
      <c r="A1" s="4"/>
      <c r="B1" s="88" t="s">
        <v>177</v>
      </c>
    </row>
    <row r="2" spans="1:28" x14ac:dyDescent="0.2">
      <c r="A2" s="4"/>
      <c r="C2" s="215" t="s">
        <v>149</v>
      </c>
      <c r="D2" s="215"/>
      <c r="E2" s="215"/>
      <c r="F2" s="215"/>
      <c r="G2" s="222"/>
      <c r="H2" s="223" t="s">
        <v>150</v>
      </c>
      <c r="I2" s="215"/>
      <c r="J2" s="215"/>
      <c r="K2" s="215"/>
      <c r="L2" s="215"/>
      <c r="P2" s="215" t="s">
        <v>149</v>
      </c>
      <c r="Q2" s="215"/>
      <c r="R2" s="215"/>
      <c r="S2" s="215"/>
      <c r="T2" s="215"/>
      <c r="U2" s="215"/>
      <c r="V2" s="215"/>
      <c r="W2" s="215"/>
      <c r="X2" s="215" t="s">
        <v>150</v>
      </c>
      <c r="Y2" s="215"/>
      <c r="Z2" s="215"/>
      <c r="AB2" s="91" t="s">
        <v>151</v>
      </c>
    </row>
    <row r="3" spans="1:28" ht="10" customHeight="1" x14ac:dyDescent="0.2"/>
    <row r="4" spans="1:28" ht="16" customHeight="1" x14ac:dyDescent="0.2">
      <c r="A4" s="92"/>
      <c r="B4" s="62"/>
      <c r="C4" s="219" t="s">
        <v>152</v>
      </c>
      <c r="D4" s="219"/>
      <c r="E4" s="219"/>
      <c r="F4" s="219"/>
      <c r="G4" s="219"/>
      <c r="H4" s="219"/>
      <c r="I4" s="219"/>
      <c r="J4" s="219"/>
      <c r="K4" s="219"/>
      <c r="L4" s="219"/>
      <c r="P4" s="221" t="s">
        <v>152</v>
      </c>
      <c r="Q4" s="221"/>
      <c r="R4" s="221"/>
      <c r="S4" s="221"/>
      <c r="T4" s="221"/>
      <c r="U4" s="221"/>
      <c r="V4" s="221"/>
      <c r="W4" s="221"/>
      <c r="X4" s="221"/>
      <c r="Y4" s="221"/>
      <c r="Z4" s="221"/>
      <c r="AB4" s="93"/>
    </row>
    <row r="5" spans="1:28" x14ac:dyDescent="0.2">
      <c r="B5" s="18" t="str">
        <f>Revenue!B5</f>
        <v>Revenues (thousand)</v>
      </c>
      <c r="C5" s="14">
        <f>Revenue!C5</f>
        <v>2022</v>
      </c>
      <c r="D5" s="14">
        <f>Revenue!D5</f>
        <v>2023</v>
      </c>
      <c r="E5" s="14">
        <f>Revenue!E5</f>
        <v>2024</v>
      </c>
      <c r="F5" s="14">
        <f>Revenue!F5</f>
        <v>2025</v>
      </c>
      <c r="G5" s="14">
        <f>Revenue!G5</f>
        <v>2026</v>
      </c>
      <c r="H5" s="14">
        <f>G5+1</f>
        <v>2027</v>
      </c>
      <c r="I5" s="14">
        <f t="shared" ref="I5:L5" si="0">H5+1</f>
        <v>2028</v>
      </c>
      <c r="J5" s="14">
        <f t="shared" si="0"/>
        <v>2029</v>
      </c>
      <c r="K5" s="14">
        <f t="shared" si="0"/>
        <v>2030</v>
      </c>
      <c r="L5" s="14">
        <f t="shared" si="0"/>
        <v>2031</v>
      </c>
      <c r="O5" s="18" t="s">
        <v>153</v>
      </c>
      <c r="P5" s="14" t="str">
        <f>Revenue!S5</f>
        <v>Q1 2025</v>
      </c>
      <c r="Q5" s="14" t="str">
        <f>Revenue!T5</f>
        <v>Q2 2025</v>
      </c>
      <c r="R5" s="14" t="str">
        <f>Revenue!U5</f>
        <v>Q3 2025</v>
      </c>
      <c r="S5" s="14" t="str">
        <f>Revenue!V5</f>
        <v>Q4 2025</v>
      </c>
      <c r="T5" s="14" t="str">
        <f>Revenue!W5</f>
        <v>Q1 2026</v>
      </c>
      <c r="U5" s="14" t="str">
        <f>Revenue!X5</f>
        <v>Q2 2026</v>
      </c>
      <c r="V5" s="14" t="str">
        <f>Revenue!Y5</f>
        <v>Q3 2026</v>
      </c>
      <c r="W5" s="14" t="str">
        <f>Revenue!Z5</f>
        <v>Q4 2026</v>
      </c>
      <c r="X5" s="14" t="s">
        <v>154</v>
      </c>
      <c r="Y5" s="14" t="s">
        <v>155</v>
      </c>
      <c r="Z5" s="14" t="s">
        <v>156</v>
      </c>
      <c r="AB5" s="93" t="str">
        <f>Revenue!AE5</f>
        <v>FQ1</v>
      </c>
    </row>
    <row r="6" spans="1:28" x14ac:dyDescent="0.2">
      <c r="B6" s="18" t="s">
        <v>20</v>
      </c>
      <c r="C6" s="98">
        <f>Revenue!C9</f>
        <v>892252</v>
      </c>
      <c r="D6" s="98">
        <f>Revenue!D9</f>
        <v>1058581</v>
      </c>
      <c r="E6" s="98">
        <f>Revenue!E9</f>
        <v>1308072</v>
      </c>
      <c r="F6" s="98">
        <f>Revenue!F9</f>
        <v>1429664</v>
      </c>
      <c r="G6" s="99">
        <f>Revenue!G9</f>
        <v>1610572</v>
      </c>
      <c r="H6" s="98">
        <f>Revenue!H9</f>
        <v>1745050</v>
      </c>
      <c r="I6" s="98">
        <f>Revenue!I9</f>
        <v>1921420.5999999999</v>
      </c>
      <c r="J6" s="98">
        <f>Revenue!J9</f>
        <v>2093013.4620000001</v>
      </c>
      <c r="K6" s="98">
        <f>Revenue!K9</f>
        <v>2230289.1351000001</v>
      </c>
      <c r="L6" s="98">
        <f>Revenue!L9</f>
        <v>2374428.5918549998</v>
      </c>
      <c r="N6" s="97"/>
      <c r="O6" s="18" t="s">
        <v>20</v>
      </c>
      <c r="P6" s="98">
        <f>Revenue!S9</f>
        <v>335112</v>
      </c>
      <c r="Q6" s="98">
        <f>Revenue!T9</f>
        <v>316253</v>
      </c>
      <c r="R6" s="98">
        <f>Revenue!U9</f>
        <v>354653</v>
      </c>
      <c r="S6" s="98">
        <f>Revenue!V9</f>
        <v>423646</v>
      </c>
      <c r="T6" s="98">
        <f>Revenue!W9</f>
        <v>356624</v>
      </c>
      <c r="U6" s="98">
        <f>Revenue!X9</f>
        <v>361728</v>
      </c>
      <c r="V6" s="98">
        <f>Revenue!Y9</f>
        <v>411113</v>
      </c>
      <c r="W6" s="99">
        <f>Revenue!Z9</f>
        <v>481107</v>
      </c>
      <c r="X6" s="98">
        <f>Revenue!AA9</f>
        <v>398160</v>
      </c>
      <c r="Y6" s="100"/>
      <c r="Z6" s="100"/>
      <c r="AB6" s="98">
        <f>Revenue!AE9</f>
        <v>1652108</v>
      </c>
    </row>
    <row r="7" spans="1:28" x14ac:dyDescent="0.2">
      <c r="N7" s="97"/>
    </row>
    <row r="8" spans="1:28" x14ac:dyDescent="0.2">
      <c r="N8" s="97"/>
    </row>
    <row r="9" spans="1:28" x14ac:dyDescent="0.2">
      <c r="C9" s="219" t="s">
        <v>178</v>
      </c>
      <c r="D9" s="219"/>
      <c r="E9" s="219"/>
      <c r="F9" s="219"/>
      <c r="G9" s="219"/>
      <c r="H9" s="219"/>
      <c r="I9" s="219"/>
      <c r="J9" s="219"/>
      <c r="K9" s="219"/>
      <c r="L9" s="219"/>
      <c r="N9" s="97"/>
      <c r="P9" s="221" t="s">
        <v>179</v>
      </c>
      <c r="Q9" s="221"/>
      <c r="R9" s="221"/>
      <c r="S9" s="221"/>
      <c r="T9" s="221"/>
      <c r="U9" s="221"/>
      <c r="V9" s="221"/>
      <c r="W9" s="221"/>
      <c r="X9" s="221"/>
      <c r="Y9" s="221"/>
      <c r="Z9" s="221"/>
      <c r="AB9" s="93">
        <f>AB4</f>
        <v>0</v>
      </c>
    </row>
    <row r="10" spans="1:28" x14ac:dyDescent="0.2">
      <c r="B10" s="18" t="s">
        <v>183</v>
      </c>
      <c r="C10" s="14">
        <f t="shared" ref="C10:L10" si="1">C5</f>
        <v>2022</v>
      </c>
      <c r="D10" s="14">
        <f t="shared" si="1"/>
        <v>2023</v>
      </c>
      <c r="E10" s="14">
        <f t="shared" si="1"/>
        <v>2024</v>
      </c>
      <c r="F10" s="14">
        <f t="shared" si="1"/>
        <v>2025</v>
      </c>
      <c r="G10" s="14">
        <f t="shared" si="1"/>
        <v>2026</v>
      </c>
      <c r="H10" s="14">
        <f t="shared" si="1"/>
        <v>2027</v>
      </c>
      <c r="I10" s="14">
        <f t="shared" si="1"/>
        <v>2028</v>
      </c>
      <c r="J10" s="14">
        <f t="shared" si="1"/>
        <v>2029</v>
      </c>
      <c r="K10" s="14">
        <f t="shared" si="1"/>
        <v>2030</v>
      </c>
      <c r="L10" s="14">
        <f t="shared" si="1"/>
        <v>2031</v>
      </c>
      <c r="N10" s="97"/>
      <c r="O10" s="18" t="s">
        <v>180</v>
      </c>
      <c r="P10" s="14" t="str">
        <f t="shared" ref="P10:Z10" si="2">P5</f>
        <v>Q1 2025</v>
      </c>
      <c r="Q10" s="14" t="str">
        <f t="shared" si="2"/>
        <v>Q2 2025</v>
      </c>
      <c r="R10" s="14" t="str">
        <f t="shared" si="2"/>
        <v>Q3 2025</v>
      </c>
      <c r="S10" s="14" t="str">
        <f t="shared" si="2"/>
        <v>Q4 2025</v>
      </c>
      <c r="T10" s="14" t="str">
        <f t="shared" si="2"/>
        <v>Q1 2026</v>
      </c>
      <c r="U10" s="14" t="str">
        <f t="shared" si="2"/>
        <v>Q2 2026</v>
      </c>
      <c r="V10" s="14" t="str">
        <f t="shared" si="2"/>
        <v>Q3 2026</v>
      </c>
      <c r="W10" s="14" t="str">
        <f t="shared" si="2"/>
        <v>Q4 2026</v>
      </c>
      <c r="X10" s="14" t="str">
        <f t="shared" si="2"/>
        <v>FQ1</v>
      </c>
      <c r="Y10" s="14" t="str">
        <f t="shared" si="2"/>
        <v>FQ2</v>
      </c>
      <c r="Z10" s="14" t="str">
        <f t="shared" si="2"/>
        <v>FQ3</v>
      </c>
      <c r="AB10" s="10" t="str">
        <f>AB5</f>
        <v>FQ1</v>
      </c>
    </row>
    <row r="11" spans="1:28" x14ac:dyDescent="0.2">
      <c r="B11" s="41" t="str">
        <f>Statement!B105</f>
        <v>Licenses COGS</v>
      </c>
      <c r="C11" s="132">
        <f>Statement!M105</f>
        <v>11888</v>
      </c>
      <c r="D11" s="132">
        <f>Statement!N105</f>
        <v>10421</v>
      </c>
      <c r="E11" s="132">
        <f>Statement!O105</f>
        <v>10469</v>
      </c>
      <c r="F11" s="132">
        <f>Statement!P105</f>
        <v>8565</v>
      </c>
      <c r="G11" s="133">
        <f>Statement!Q105</f>
        <v>5334</v>
      </c>
      <c r="H11" s="27">
        <f>H6*H23</f>
        <v>5235.1500000000005</v>
      </c>
      <c r="I11" s="27">
        <f t="shared" ref="I11:L11" si="3">I6*I23</f>
        <v>5764.2617999999993</v>
      </c>
      <c r="J11" s="27">
        <f t="shared" si="3"/>
        <v>4186.0269239999998</v>
      </c>
      <c r="K11" s="27">
        <f t="shared" si="3"/>
        <v>4460.5782702000006</v>
      </c>
      <c r="L11" s="27">
        <f t="shared" si="3"/>
        <v>4748.8571837099998</v>
      </c>
      <c r="N11" s="97"/>
      <c r="O11" s="41" t="str">
        <f>B11</f>
        <v>Licenses COGS</v>
      </c>
      <c r="P11" s="132">
        <f>Statement!T105</f>
        <v>2601</v>
      </c>
      <c r="Q11" s="132">
        <f>Statement!U105</f>
        <v>2393</v>
      </c>
      <c r="R11" s="132">
        <f>Statement!V105</f>
        <v>2340</v>
      </c>
      <c r="S11" s="132">
        <f>Statement!W105</f>
        <v>1231</v>
      </c>
      <c r="T11" s="132">
        <f>Statement!X105</f>
        <v>1268</v>
      </c>
      <c r="U11" s="132">
        <f>Statement!Y105</f>
        <v>1200</v>
      </c>
      <c r="V11" s="132">
        <f>Statement!Z105</f>
        <v>1311</v>
      </c>
      <c r="W11" s="133">
        <f>Statement!AA105</f>
        <v>1555</v>
      </c>
      <c r="X11" s="27">
        <f>X23*X$6</f>
        <v>1194.48</v>
      </c>
      <c r="Y11" s="27"/>
      <c r="Z11" s="27"/>
      <c r="AB11" s="26">
        <f>SUM(U11:X11)</f>
        <v>5260.48</v>
      </c>
    </row>
    <row r="12" spans="1:28" x14ac:dyDescent="0.2">
      <c r="B12" s="41" t="str">
        <f>Statement!B106</f>
        <v>Subscription services COGS</v>
      </c>
      <c r="C12" s="132">
        <f>Statement!M106</f>
        <v>60565</v>
      </c>
      <c r="D12" s="132">
        <f>Statement!N106</f>
        <v>87366</v>
      </c>
      <c r="E12" s="132">
        <f>Statement!O106</f>
        <v>111922</v>
      </c>
      <c r="F12" s="132">
        <f>Statement!P106</f>
        <v>167630</v>
      </c>
      <c r="G12" s="133">
        <f>Statement!Q106</f>
        <v>157588</v>
      </c>
      <c r="H12" s="27">
        <f>H6*H24</f>
        <v>174505</v>
      </c>
      <c r="I12" s="27">
        <f t="shared" ref="I12:L12" si="4">I6*I24</f>
        <v>192142.06</v>
      </c>
      <c r="J12" s="27">
        <f t="shared" si="4"/>
        <v>188371.21158</v>
      </c>
      <c r="K12" s="27">
        <f t="shared" si="4"/>
        <v>200726.02215899999</v>
      </c>
      <c r="L12" s="27">
        <f t="shared" si="4"/>
        <v>189954.28734839999</v>
      </c>
      <c r="N12" s="97"/>
      <c r="O12" s="41" t="str">
        <f t="shared" ref="O12:O18" si="5">B12</f>
        <v>Subscription services COGS</v>
      </c>
      <c r="P12" s="132">
        <f>Statement!T106</f>
        <v>36754</v>
      </c>
      <c r="Q12" s="132">
        <f>Statement!U106</f>
        <v>43529</v>
      </c>
      <c r="R12" s="132">
        <f>Statement!V106</f>
        <v>43487</v>
      </c>
      <c r="S12" s="132">
        <f>Statement!W106</f>
        <v>43860</v>
      </c>
      <c r="T12" s="132">
        <f>Statement!X106</f>
        <v>38468</v>
      </c>
      <c r="U12" s="132">
        <f>Statement!Y106</f>
        <v>38229</v>
      </c>
      <c r="V12" s="132">
        <f>Statement!Z106</f>
        <v>40121</v>
      </c>
      <c r="W12" s="133">
        <f>Statement!AA106</f>
        <v>40770</v>
      </c>
      <c r="X12" s="27">
        <f>X24*X$6</f>
        <v>34639.919999999998</v>
      </c>
      <c r="Y12" s="27"/>
      <c r="Z12" s="27"/>
      <c r="AB12" s="26">
        <f>SUM(U12:X12)</f>
        <v>153759.91999999998</v>
      </c>
    </row>
    <row r="13" spans="1:28" x14ac:dyDescent="0.2">
      <c r="B13" s="41" t="str">
        <f>Statement!B107</f>
        <v>Professional services COGS</v>
      </c>
      <c r="C13" s="132">
        <f>Statement!M107</f>
        <v>96415</v>
      </c>
      <c r="D13" s="132">
        <f>Statement!N107</f>
        <v>82264</v>
      </c>
      <c r="E13" s="132">
        <f>Statement!O107</f>
        <v>73533</v>
      </c>
      <c r="F13" s="132">
        <f>Statement!P107</f>
        <v>70747</v>
      </c>
      <c r="G13" s="133">
        <f>Statement!Q107</f>
        <v>108062</v>
      </c>
      <c r="H13" s="27">
        <f>H6*H25</f>
        <v>95977.75</v>
      </c>
      <c r="I13" s="27">
        <f t="shared" ref="I13:L13" si="6">I6*I25</f>
        <v>105678.13299999999</v>
      </c>
      <c r="J13" s="27">
        <f t="shared" si="6"/>
        <v>104650.67310000001</v>
      </c>
      <c r="K13" s="27">
        <f t="shared" si="6"/>
        <v>111514.45675500001</v>
      </c>
      <c r="L13" s="27">
        <f t="shared" si="6"/>
        <v>106849.28663347499</v>
      </c>
      <c r="N13" s="97"/>
      <c r="O13" s="41" t="str">
        <f t="shared" si="5"/>
        <v>Professional services COGS</v>
      </c>
      <c r="P13" s="132">
        <f>Statement!T107</f>
        <v>15970</v>
      </c>
      <c r="Q13" s="132">
        <f>Statement!U107</f>
        <v>17398</v>
      </c>
      <c r="R13" s="132">
        <f>Statement!V107</f>
        <v>17936</v>
      </c>
      <c r="S13" s="132">
        <f>Statement!W107</f>
        <v>19443</v>
      </c>
      <c r="T13" s="132">
        <f>Statement!X107</f>
        <v>24121</v>
      </c>
      <c r="U13" s="132">
        <f>Statement!Y107</f>
        <v>24951</v>
      </c>
      <c r="V13" s="132">
        <f>Statement!Z107</f>
        <v>27380</v>
      </c>
      <c r="W13" s="133">
        <f>Statement!AA107</f>
        <v>31610</v>
      </c>
      <c r="X13" s="27">
        <f>X25*X$6</f>
        <v>26676.720000000001</v>
      </c>
      <c r="Y13" s="27"/>
      <c r="Z13" s="27"/>
      <c r="AB13" s="26">
        <f>SUM(U13:X13)</f>
        <v>110617.72</v>
      </c>
    </row>
    <row r="14" spans="1:28" x14ac:dyDescent="0.2">
      <c r="B14" s="18" t="s">
        <v>21</v>
      </c>
      <c r="C14" s="129">
        <f>Statement!M6</f>
        <v>168868</v>
      </c>
      <c r="D14" s="129">
        <f>Statement!N6</f>
        <v>180051</v>
      </c>
      <c r="E14" s="129">
        <f>Statement!O6</f>
        <v>195924</v>
      </c>
      <c r="F14" s="129">
        <f>Statement!P6</f>
        <v>246942</v>
      </c>
      <c r="G14" s="130">
        <f>Statement!Q6</f>
        <v>270984</v>
      </c>
      <c r="H14" s="131">
        <f>SUM(H11:H13)</f>
        <v>275717.90000000002</v>
      </c>
      <c r="I14" s="131">
        <f t="shared" ref="I14:L14" si="7">SUM(I11:I13)</f>
        <v>303584.45480000001</v>
      </c>
      <c r="J14" s="131">
        <f t="shared" si="7"/>
        <v>297207.91160400002</v>
      </c>
      <c r="K14" s="131">
        <f t="shared" si="7"/>
        <v>316701.05718419998</v>
      </c>
      <c r="L14" s="131">
        <f t="shared" si="7"/>
        <v>301552.43116558495</v>
      </c>
      <c r="N14" s="97"/>
      <c r="O14" s="18" t="str">
        <f t="shared" si="5"/>
        <v>COGS</v>
      </c>
      <c r="P14" s="129">
        <f>Statement!T6</f>
        <v>55325</v>
      </c>
      <c r="Q14" s="129">
        <f>Statement!U6</f>
        <v>63320</v>
      </c>
      <c r="R14" s="129">
        <f>Statement!V6</f>
        <v>63763</v>
      </c>
      <c r="S14" s="129">
        <f>Statement!W6</f>
        <v>64534</v>
      </c>
      <c r="T14" s="129">
        <f>Statement!X6</f>
        <v>63857</v>
      </c>
      <c r="U14" s="129">
        <f>Statement!Y6</f>
        <v>64380</v>
      </c>
      <c r="V14" s="129">
        <f>Statement!Z6</f>
        <v>68812</v>
      </c>
      <c r="W14" s="130">
        <f>Statement!AA6</f>
        <v>73935</v>
      </c>
      <c r="X14" s="131">
        <f>SUM(X11:X13)</f>
        <v>62511.12</v>
      </c>
      <c r="Y14" s="131"/>
      <c r="Z14" s="131"/>
      <c r="AB14" s="131">
        <f>SUM(AB11:AB13)</f>
        <v>269638.12</v>
      </c>
    </row>
    <row r="15" spans="1:28" x14ac:dyDescent="0.2">
      <c r="B15" s="1" t="str">
        <f>Statement!B8</f>
        <v>Sales and marketing</v>
      </c>
      <c r="C15" s="104">
        <f>Statement!M8</f>
        <v>697682</v>
      </c>
      <c r="D15" s="104">
        <f>Statement!N8</f>
        <v>701558</v>
      </c>
      <c r="E15" s="104">
        <f>Statement!O8</f>
        <v>713130</v>
      </c>
      <c r="F15" s="104">
        <f>Statement!P8</f>
        <v>738493</v>
      </c>
      <c r="G15" s="105">
        <f>Statement!Q8</f>
        <v>683329</v>
      </c>
      <c r="H15" s="26">
        <f>H6*H27</f>
        <v>698020</v>
      </c>
      <c r="I15" s="26">
        <f t="shared" ref="I15:L15" si="8">I6*I27</f>
        <v>768568.24</v>
      </c>
      <c r="J15" s="26">
        <f t="shared" si="8"/>
        <v>795345.11556000006</v>
      </c>
      <c r="K15" s="26">
        <f t="shared" si="8"/>
        <v>847509.87133800006</v>
      </c>
      <c r="L15" s="26">
        <f t="shared" si="8"/>
        <v>854794.29306779988</v>
      </c>
      <c r="N15" s="97"/>
      <c r="O15" s="41" t="str">
        <f t="shared" si="5"/>
        <v>Sales and marketing</v>
      </c>
      <c r="P15" s="104">
        <f>Statement!T8</f>
        <v>180139</v>
      </c>
      <c r="Q15" s="104">
        <f>Statement!U8</f>
        <v>194330</v>
      </c>
      <c r="R15" s="104">
        <f>Statement!V8</f>
        <v>187188</v>
      </c>
      <c r="S15" s="104">
        <f>Statement!W8</f>
        <v>176836</v>
      </c>
      <c r="T15" s="104">
        <f>Statement!X8</f>
        <v>159661</v>
      </c>
      <c r="U15" s="104">
        <f>Statement!Y8</f>
        <v>166303</v>
      </c>
      <c r="V15" s="104">
        <f>Statement!Z8</f>
        <v>179186</v>
      </c>
      <c r="W15" s="105">
        <f>Statement!AA8</f>
        <v>178179</v>
      </c>
      <c r="X15" s="27">
        <f>X27*X$6</f>
        <v>159264</v>
      </c>
      <c r="Y15" s="26"/>
      <c r="Z15" s="26"/>
      <c r="AB15" s="26">
        <f t="shared" ref="AB15:AB18" si="9">SUM(U15:X15)</f>
        <v>682932</v>
      </c>
    </row>
    <row r="16" spans="1:28" x14ac:dyDescent="0.2">
      <c r="B16" s="1" t="str">
        <f>Statement!B9</f>
        <v>R&amp;D</v>
      </c>
      <c r="C16" s="104">
        <f>Statement!M9</f>
        <v>276657</v>
      </c>
      <c r="D16" s="104">
        <f>Statement!N9</f>
        <v>285750</v>
      </c>
      <c r="E16" s="104">
        <f>Statement!O9</f>
        <v>332101</v>
      </c>
      <c r="F16" s="104">
        <f>Statement!P9</f>
        <v>380682</v>
      </c>
      <c r="G16" s="105">
        <f>Statement!Q9</f>
        <v>385208</v>
      </c>
      <c r="H16" s="26">
        <f>H6*H28</f>
        <v>436262.5</v>
      </c>
      <c r="I16" s="26">
        <f t="shared" ref="I16:L16" si="10">I6*I28</f>
        <v>480355.14999999997</v>
      </c>
      <c r="J16" s="26">
        <f t="shared" si="10"/>
        <v>512788.29819</v>
      </c>
      <c r="K16" s="26">
        <f t="shared" si="10"/>
        <v>535269.39242399996</v>
      </c>
      <c r="L16" s="26">
        <f t="shared" si="10"/>
        <v>569862.86204519996</v>
      </c>
      <c r="M16" s="96"/>
      <c r="N16" s="96"/>
      <c r="O16" s="41" t="str">
        <f t="shared" si="5"/>
        <v>R&amp;D</v>
      </c>
      <c r="P16" s="104">
        <f>Statement!T9</f>
        <v>85603</v>
      </c>
      <c r="Q16" s="104">
        <f>Statement!U9</f>
        <v>98433</v>
      </c>
      <c r="R16" s="104">
        <f>Statement!V9</f>
        <v>96976</v>
      </c>
      <c r="S16" s="104">
        <f>Statement!W9</f>
        <v>99670</v>
      </c>
      <c r="T16" s="104">
        <f>Statement!X9</f>
        <v>94839</v>
      </c>
      <c r="U16" s="104">
        <f>Statement!Y9</f>
        <v>98341</v>
      </c>
      <c r="V16" s="104">
        <f>Statement!Z9</f>
        <v>96869</v>
      </c>
      <c r="W16" s="105">
        <f>Statement!AA9</f>
        <v>95159</v>
      </c>
      <c r="X16" s="27">
        <f>X28*X$6</f>
        <v>95558.399999999994</v>
      </c>
      <c r="Y16" s="26"/>
      <c r="Z16" s="26"/>
      <c r="AB16" s="26">
        <f t="shared" si="9"/>
        <v>385927.4</v>
      </c>
    </row>
    <row r="17" spans="2:28" x14ac:dyDescent="0.2">
      <c r="B17" s="1" t="str">
        <f>Statement!B10</f>
        <v>General and administrative</v>
      </c>
      <c r="C17" s="104">
        <f>Statement!M10</f>
        <v>249991</v>
      </c>
      <c r="D17" s="104">
        <f>Statement!N10</f>
        <v>239505</v>
      </c>
      <c r="E17" s="104">
        <f>Statement!O10</f>
        <v>231637</v>
      </c>
      <c r="F17" s="104">
        <f>Statement!P10</f>
        <v>226116</v>
      </c>
      <c r="G17" s="105">
        <f>Statement!Q10</f>
        <v>214291</v>
      </c>
      <c r="H17" s="26">
        <f>H6*H29</f>
        <v>209406</v>
      </c>
      <c r="I17" s="26">
        <f t="shared" ref="I17:L17" si="11">I6*I29</f>
        <v>230570.47199999998</v>
      </c>
      <c r="J17" s="26">
        <f t="shared" si="11"/>
        <v>230231.48082</v>
      </c>
      <c r="K17" s="26">
        <f t="shared" si="11"/>
        <v>245331.80486100001</v>
      </c>
      <c r="L17" s="26">
        <f t="shared" si="11"/>
        <v>237442.85918549998</v>
      </c>
      <c r="M17" s="96"/>
      <c r="N17" s="96"/>
      <c r="O17" s="41" t="str">
        <f t="shared" si="5"/>
        <v>General and administrative</v>
      </c>
      <c r="P17" s="104">
        <f>Statement!T10</f>
        <v>63510</v>
      </c>
      <c r="Q17" s="104">
        <f>Statement!U10</f>
        <v>63519</v>
      </c>
      <c r="R17" s="104">
        <f>Statement!V10</f>
        <v>50090</v>
      </c>
      <c r="S17" s="104">
        <f>Statement!W10</f>
        <v>48997</v>
      </c>
      <c r="T17" s="104">
        <f>Statement!X10</f>
        <v>54679</v>
      </c>
      <c r="U17" s="104">
        <f>Statement!Y10</f>
        <v>52889</v>
      </c>
      <c r="V17" s="104">
        <f>Statement!Z10</f>
        <v>53175</v>
      </c>
      <c r="W17" s="105">
        <f>Statement!AA10</f>
        <v>53548</v>
      </c>
      <c r="X17" s="27">
        <f>X29*X$6</f>
        <v>55742.400000000009</v>
      </c>
      <c r="Y17" s="26"/>
      <c r="Z17" s="26"/>
      <c r="AB17" s="26">
        <f t="shared" si="9"/>
        <v>215354.40000000002</v>
      </c>
    </row>
    <row r="18" spans="2:28" x14ac:dyDescent="0.2">
      <c r="B18" s="18" t="s">
        <v>26</v>
      </c>
      <c r="C18" s="129">
        <f>Statement!M11</f>
        <v>1224330</v>
      </c>
      <c r="D18" s="129">
        <f>Statement!N11</f>
        <v>1226813</v>
      </c>
      <c r="E18" s="129">
        <f>Statement!O11</f>
        <v>1276868</v>
      </c>
      <c r="F18" s="129">
        <f>Statement!P11</f>
        <v>1345291</v>
      </c>
      <c r="G18" s="130">
        <f>Statement!Q11</f>
        <v>1282828</v>
      </c>
      <c r="H18" s="131">
        <f>SUM(H15:H17)</f>
        <v>1343688.5</v>
      </c>
      <c r="I18" s="131">
        <f>SUM(I15:I17)</f>
        <v>1479493.862</v>
      </c>
      <c r="J18" s="131">
        <f>SUM(J15:J17)</f>
        <v>1538364.89457</v>
      </c>
      <c r="K18" s="131">
        <f>SUM(K15:K17)</f>
        <v>1628111.0686230001</v>
      </c>
      <c r="L18" s="131">
        <f>SUM(L15:L17)</f>
        <v>1662100.0142985</v>
      </c>
      <c r="M18" s="96"/>
      <c r="N18" s="96"/>
      <c r="O18" s="18" t="str">
        <f t="shared" si="5"/>
        <v>OpEx</v>
      </c>
      <c r="P18" s="129">
        <f>Statement!T11</f>
        <v>329252</v>
      </c>
      <c r="Q18" s="129">
        <f>Statement!U11</f>
        <v>356282</v>
      </c>
      <c r="R18" s="129">
        <f>Statement!V11</f>
        <v>334254</v>
      </c>
      <c r="S18" s="129">
        <f>Statement!W11</f>
        <v>325503</v>
      </c>
      <c r="T18" s="129">
        <f>Statement!X11</f>
        <v>309179</v>
      </c>
      <c r="U18" s="129">
        <f>Statement!Y11</f>
        <v>317533</v>
      </c>
      <c r="V18" s="129">
        <f>Statement!Z11</f>
        <v>329230</v>
      </c>
      <c r="W18" s="130">
        <f>Statement!AA11</f>
        <v>326886</v>
      </c>
      <c r="X18" s="131">
        <f>SUM(X15:X17)</f>
        <v>310564.8</v>
      </c>
      <c r="Y18" s="131"/>
      <c r="Z18" s="131"/>
      <c r="AB18" s="26">
        <f t="shared" si="9"/>
        <v>1284213.8</v>
      </c>
    </row>
    <row r="21" spans="2:28" x14ac:dyDescent="0.2">
      <c r="C21" s="219" t="s">
        <v>181</v>
      </c>
      <c r="D21" s="219"/>
      <c r="E21" s="219"/>
      <c r="F21" s="219"/>
      <c r="G21" s="219"/>
      <c r="H21" s="219"/>
      <c r="I21" s="219"/>
      <c r="J21" s="219"/>
      <c r="K21" s="219"/>
      <c r="L21" s="219"/>
      <c r="P21" s="221" t="s">
        <v>181</v>
      </c>
      <c r="Q21" s="221"/>
      <c r="R21" s="221"/>
      <c r="S21" s="221"/>
      <c r="T21" s="221"/>
      <c r="U21" s="221"/>
      <c r="V21" s="221"/>
      <c r="W21" s="221"/>
      <c r="X21" s="221"/>
      <c r="Y21" s="221"/>
      <c r="Z21" s="221"/>
    </row>
    <row r="22" spans="2:28" x14ac:dyDescent="0.2">
      <c r="B22" s="18" t="s">
        <v>182</v>
      </c>
      <c r="C22" s="14">
        <f t="shared" ref="C22:L22" si="12">C5</f>
        <v>2022</v>
      </c>
      <c r="D22" s="14">
        <f t="shared" si="12"/>
        <v>2023</v>
      </c>
      <c r="E22" s="14">
        <f t="shared" si="12"/>
        <v>2024</v>
      </c>
      <c r="F22" s="14">
        <f t="shared" si="12"/>
        <v>2025</v>
      </c>
      <c r="G22" s="14">
        <f t="shared" si="12"/>
        <v>2026</v>
      </c>
      <c r="H22" s="14">
        <f t="shared" si="12"/>
        <v>2027</v>
      </c>
      <c r="I22" s="14">
        <f t="shared" si="12"/>
        <v>2028</v>
      </c>
      <c r="J22" s="14">
        <f t="shared" si="12"/>
        <v>2029</v>
      </c>
      <c r="K22" s="14">
        <f t="shared" si="12"/>
        <v>2030</v>
      </c>
      <c r="L22" s="14">
        <f t="shared" si="12"/>
        <v>2031</v>
      </c>
      <c r="O22" s="18" t="s">
        <v>182</v>
      </c>
      <c r="P22" s="14" t="str">
        <f t="shared" ref="P22:Z22" si="13">P5</f>
        <v>Q1 2025</v>
      </c>
      <c r="Q22" s="14" t="str">
        <f t="shared" si="13"/>
        <v>Q2 2025</v>
      </c>
      <c r="R22" s="14" t="str">
        <f t="shared" si="13"/>
        <v>Q3 2025</v>
      </c>
      <c r="S22" s="14" t="str">
        <f t="shared" si="13"/>
        <v>Q4 2025</v>
      </c>
      <c r="T22" s="14" t="str">
        <f t="shared" si="13"/>
        <v>Q1 2026</v>
      </c>
      <c r="U22" s="14" t="str">
        <f t="shared" si="13"/>
        <v>Q2 2026</v>
      </c>
      <c r="V22" s="14" t="str">
        <f t="shared" si="13"/>
        <v>Q3 2026</v>
      </c>
      <c r="W22" s="14" t="str">
        <f t="shared" si="13"/>
        <v>Q4 2026</v>
      </c>
      <c r="X22" s="14" t="str">
        <f t="shared" si="13"/>
        <v>FQ1</v>
      </c>
      <c r="Y22" s="14" t="str">
        <f t="shared" si="13"/>
        <v>FQ2</v>
      </c>
      <c r="Z22" s="14" t="str">
        <f t="shared" si="13"/>
        <v>FQ3</v>
      </c>
    </row>
    <row r="23" spans="2:28" x14ac:dyDescent="0.2">
      <c r="B23" s="1" t="str">
        <f>B11</f>
        <v>Licenses COGS</v>
      </c>
      <c r="C23" s="101">
        <f>C11/C$6</f>
        <v>1.3323590196491574E-2</v>
      </c>
      <c r="D23" s="101">
        <f>D11/D$6</f>
        <v>9.8443104495546403E-3</v>
      </c>
      <c r="E23" s="101">
        <f>E11/E$6</f>
        <v>8.0033820768275754E-3</v>
      </c>
      <c r="F23" s="101">
        <f>F11/F$6</f>
        <v>5.9909181458020905E-3</v>
      </c>
      <c r="G23" s="102">
        <f>G11/G$6</f>
        <v>3.3118668398556539E-3</v>
      </c>
      <c r="H23" s="103">
        <v>3.0000000000000001E-3</v>
      </c>
      <c r="I23" s="103">
        <v>3.0000000000000001E-3</v>
      </c>
      <c r="J23" s="103">
        <v>2E-3</v>
      </c>
      <c r="K23" s="103">
        <v>2E-3</v>
      </c>
      <c r="L23" s="103">
        <v>2E-3</v>
      </c>
      <c r="O23" s="1" t="str">
        <f>O11</f>
        <v>Licenses COGS</v>
      </c>
      <c r="P23" s="101">
        <f t="shared" ref="P23:W23" si="14">P11/P$6</f>
        <v>7.7615841867793457E-3</v>
      </c>
      <c r="Q23" s="101">
        <f t="shared" si="14"/>
        <v>7.5667266397472909E-3</v>
      </c>
      <c r="R23" s="101">
        <f t="shared" si="14"/>
        <v>6.5979986070891826E-3</v>
      </c>
      <c r="S23" s="101">
        <f t="shared" si="14"/>
        <v>2.9057278954598888E-3</v>
      </c>
      <c r="T23" s="101">
        <f t="shared" si="14"/>
        <v>3.5555655255955854E-3</v>
      </c>
      <c r="U23" s="101">
        <f t="shared" si="14"/>
        <v>3.3174097664543526E-3</v>
      </c>
      <c r="V23" s="101">
        <f t="shared" si="14"/>
        <v>3.1889042671966101E-3</v>
      </c>
      <c r="W23" s="102">
        <f t="shared" si="14"/>
        <v>3.2321292352844584E-3</v>
      </c>
      <c r="X23" s="103">
        <v>3.0000000000000001E-3</v>
      </c>
      <c r="Y23" s="103"/>
      <c r="Z23" s="103"/>
    </row>
    <row r="24" spans="2:28" x14ac:dyDescent="0.2">
      <c r="B24" s="1" t="str">
        <f t="shared" ref="B24:B26" si="15">B12</f>
        <v>Subscription services COGS</v>
      </c>
      <c r="C24" s="101">
        <f>C12/C$6</f>
        <v>6.7878805539242276E-2</v>
      </c>
      <c r="D24" s="101">
        <f t="shared" ref="D24:G24" si="16">D12/D$6</f>
        <v>8.2531237571806026E-2</v>
      </c>
      <c r="E24" s="101">
        <f t="shared" si="16"/>
        <v>8.5562568421310145E-2</v>
      </c>
      <c r="F24" s="101">
        <f t="shared" si="16"/>
        <v>0.11725132618573315</v>
      </c>
      <c r="G24" s="102">
        <f t="shared" si="16"/>
        <v>9.7845982669511208E-2</v>
      </c>
      <c r="H24" s="103">
        <v>0.1</v>
      </c>
      <c r="I24" s="103">
        <v>0.1</v>
      </c>
      <c r="J24" s="103">
        <v>0.09</v>
      </c>
      <c r="K24" s="103">
        <v>0.09</v>
      </c>
      <c r="L24" s="103">
        <v>0.08</v>
      </c>
      <c r="O24" s="1" t="str">
        <f t="shared" ref="O24:O30" si="17">O12</f>
        <v>Subscription services COGS</v>
      </c>
      <c r="P24" s="101">
        <f>P12/P$6</f>
        <v>0.10967676478311729</v>
      </c>
      <c r="Q24" s="101">
        <f t="shared" ref="Q24:W24" si="18">Q12/Q$6</f>
        <v>0.13763980104536558</v>
      </c>
      <c r="R24" s="101">
        <f t="shared" si="18"/>
        <v>0.12261844676345611</v>
      </c>
      <c r="S24" s="101">
        <f t="shared" si="18"/>
        <v>0.1035298338707317</v>
      </c>
      <c r="T24" s="101">
        <f t="shared" si="18"/>
        <v>0.10786710933644399</v>
      </c>
      <c r="U24" s="101">
        <f t="shared" si="18"/>
        <v>0.10568438163481954</v>
      </c>
      <c r="V24" s="101">
        <f t="shared" si="18"/>
        <v>9.7591173229744616E-2</v>
      </c>
      <c r="W24" s="102">
        <f t="shared" si="18"/>
        <v>8.4742063615786095E-2</v>
      </c>
      <c r="X24" s="103">
        <v>8.6999999999999994E-2</v>
      </c>
      <c r="Y24" s="103"/>
      <c r="Z24" s="103"/>
    </row>
    <row r="25" spans="2:28" x14ac:dyDescent="0.2">
      <c r="B25" s="1" t="str">
        <f t="shared" si="15"/>
        <v>Professional services COGS</v>
      </c>
      <c r="C25" s="101">
        <f>C13/C$6</f>
        <v>0.10805803741543869</v>
      </c>
      <c r="D25" s="101">
        <f t="shared" ref="D25:G25" si="19">D13/D$6</f>
        <v>7.7711578046460311E-2</v>
      </c>
      <c r="E25" s="101">
        <f t="shared" si="19"/>
        <v>5.6214795515843165E-2</v>
      </c>
      <c r="F25" s="101">
        <f t="shared" si="19"/>
        <v>4.9485053830830183E-2</v>
      </c>
      <c r="G25" s="102">
        <f t="shared" si="19"/>
        <v>6.7095417031961313E-2</v>
      </c>
      <c r="H25" s="103">
        <v>5.5E-2</v>
      </c>
      <c r="I25" s="103">
        <v>5.5E-2</v>
      </c>
      <c r="J25" s="103">
        <v>0.05</v>
      </c>
      <c r="K25" s="103">
        <v>0.05</v>
      </c>
      <c r="L25" s="103">
        <v>4.4999999999999998E-2</v>
      </c>
      <c r="O25" s="1" t="str">
        <f t="shared" si="17"/>
        <v>Professional services COGS</v>
      </c>
      <c r="P25" s="101">
        <f>P13/P$6</f>
        <v>4.7655709136050037E-2</v>
      </c>
      <c r="Q25" s="101">
        <f t="shared" ref="Q25:X30" si="20">Q13/Q$6</f>
        <v>5.5012916873515824E-2</v>
      </c>
      <c r="R25" s="101">
        <f t="shared" si="20"/>
        <v>5.0573377357586151E-2</v>
      </c>
      <c r="S25" s="101">
        <f t="shared" si="20"/>
        <v>4.589444961123202E-2</v>
      </c>
      <c r="T25" s="101">
        <f t="shared" si="20"/>
        <v>6.7637063125308441E-2</v>
      </c>
      <c r="U25" s="101">
        <f t="shared" si="20"/>
        <v>6.8977242569002117E-2</v>
      </c>
      <c r="V25" s="101">
        <f t="shared" si="20"/>
        <v>6.6599694001405946E-2</v>
      </c>
      <c r="W25" s="102">
        <f t="shared" si="20"/>
        <v>6.5702639953274425E-2</v>
      </c>
      <c r="X25" s="103">
        <v>6.7000000000000004E-2</v>
      </c>
      <c r="Y25" s="103"/>
      <c r="Z25" s="103"/>
    </row>
    <row r="26" spans="2:28" x14ac:dyDescent="0.2">
      <c r="B26" s="18" t="str">
        <f t="shared" si="15"/>
        <v>COGS</v>
      </c>
      <c r="C26" s="111">
        <f>C14/C$6</f>
        <v>0.18926043315117255</v>
      </c>
      <c r="D26" s="111">
        <f t="shared" ref="D26:L26" si="21">D14/D$6</f>
        <v>0.17008712606782098</v>
      </c>
      <c r="E26" s="111">
        <f t="shared" si="21"/>
        <v>0.14978074601398089</v>
      </c>
      <c r="F26" s="111">
        <f t="shared" si="21"/>
        <v>0.17272729816236543</v>
      </c>
      <c r="G26" s="112">
        <f t="shared" si="21"/>
        <v>0.16825326654132816</v>
      </c>
      <c r="H26" s="111">
        <f t="shared" si="21"/>
        <v>0.158</v>
      </c>
      <c r="I26" s="111">
        <f t="shared" si="21"/>
        <v>0.158</v>
      </c>
      <c r="J26" s="111">
        <f t="shared" si="21"/>
        <v>0.14200000000000002</v>
      </c>
      <c r="K26" s="111">
        <f t="shared" si="21"/>
        <v>0.14199999999999999</v>
      </c>
      <c r="L26" s="111">
        <f t="shared" si="21"/>
        <v>0.127</v>
      </c>
      <c r="O26" s="18" t="str">
        <f t="shared" si="17"/>
        <v>COGS</v>
      </c>
      <c r="P26" s="111">
        <f>P14/P$6</f>
        <v>0.16509405810594666</v>
      </c>
      <c r="Q26" s="111">
        <f t="shared" ref="Q26:V26" si="22">Q14/Q$6</f>
        <v>0.2002194445586287</v>
      </c>
      <c r="R26" s="111">
        <f t="shared" si="22"/>
        <v>0.17978982272813143</v>
      </c>
      <c r="S26" s="111">
        <f t="shared" si="22"/>
        <v>0.15233001137742361</v>
      </c>
      <c r="T26" s="111">
        <f t="shared" si="22"/>
        <v>0.17905973798734801</v>
      </c>
      <c r="U26" s="111">
        <f t="shared" si="22"/>
        <v>0.17797903397027601</v>
      </c>
      <c r="V26" s="111">
        <f t="shared" si="22"/>
        <v>0.16737977149834718</v>
      </c>
      <c r="W26" s="112">
        <f t="shared" si="20"/>
        <v>0.15367683280434499</v>
      </c>
      <c r="X26" s="111">
        <f t="shared" si="20"/>
        <v>0.157</v>
      </c>
      <c r="Y26" s="18"/>
      <c r="Z26" s="18"/>
    </row>
    <row r="27" spans="2:28" x14ac:dyDescent="0.2">
      <c r="B27" s="1" t="str">
        <f>B15</f>
        <v>Sales and marketing</v>
      </c>
      <c r="C27" s="101">
        <f t="shared" ref="C27:G27" si="23">C15/C$6</f>
        <v>0.78193380345462937</v>
      </c>
      <c r="D27" s="101">
        <f t="shared" si="23"/>
        <v>0.66273435854223717</v>
      </c>
      <c r="E27" s="101">
        <f t="shared" si="23"/>
        <v>0.54517641230757941</v>
      </c>
      <c r="F27" s="101">
        <f t="shared" si="23"/>
        <v>0.51655004252747494</v>
      </c>
      <c r="G27" s="102">
        <f t="shared" si="23"/>
        <v>0.42427721331303414</v>
      </c>
      <c r="H27" s="103">
        <v>0.4</v>
      </c>
      <c r="I27" s="103">
        <v>0.4</v>
      </c>
      <c r="J27" s="103">
        <v>0.38</v>
      </c>
      <c r="K27" s="103">
        <v>0.38</v>
      </c>
      <c r="L27" s="103">
        <v>0.36</v>
      </c>
      <c r="O27" s="1" t="str">
        <f t="shared" si="17"/>
        <v>Sales and marketing</v>
      </c>
      <c r="P27" s="101">
        <f>P15/P$6</f>
        <v>0.53754864045453465</v>
      </c>
      <c r="Q27" s="101">
        <f t="shared" ref="Q27:V27" si="24">Q15/Q$6</f>
        <v>0.61447638441374464</v>
      </c>
      <c r="R27" s="101">
        <f t="shared" si="24"/>
        <v>0.52780605267684189</v>
      </c>
      <c r="S27" s="101">
        <f t="shared" si="24"/>
        <v>0.41741453949759943</v>
      </c>
      <c r="T27" s="101">
        <f t="shared" si="24"/>
        <v>0.44770122033289966</v>
      </c>
      <c r="U27" s="101">
        <f t="shared" si="24"/>
        <v>0.45974599699221513</v>
      </c>
      <c r="V27" s="101">
        <f t="shared" si="24"/>
        <v>0.43585583525697313</v>
      </c>
      <c r="W27" s="102">
        <f t="shared" si="20"/>
        <v>0.37035212541077139</v>
      </c>
      <c r="X27" s="103">
        <v>0.4</v>
      </c>
      <c r="Y27" s="103"/>
      <c r="Z27" s="103"/>
    </row>
    <row r="28" spans="2:28" x14ac:dyDescent="0.2">
      <c r="B28" s="1" t="str">
        <f t="shared" ref="B28:B30" si="25">B16</f>
        <v>R&amp;D</v>
      </c>
      <c r="C28" s="101">
        <f t="shared" ref="C28:G28" si="26">C16/C$6</f>
        <v>0.31006599032560306</v>
      </c>
      <c r="D28" s="101">
        <f t="shared" si="26"/>
        <v>0.26993683053068213</v>
      </c>
      <c r="E28" s="101">
        <f t="shared" si="26"/>
        <v>0.25388587172571542</v>
      </c>
      <c r="F28" s="101">
        <f t="shared" si="26"/>
        <v>0.26627375383306845</v>
      </c>
      <c r="G28" s="102">
        <f t="shared" si="26"/>
        <v>0.23917465347714972</v>
      </c>
      <c r="H28" s="103">
        <v>0.25</v>
      </c>
      <c r="I28" s="103">
        <v>0.25</v>
      </c>
      <c r="J28" s="103">
        <v>0.245</v>
      </c>
      <c r="K28" s="103">
        <v>0.24</v>
      </c>
      <c r="L28" s="103">
        <v>0.24</v>
      </c>
      <c r="O28" s="1" t="str">
        <f t="shared" si="17"/>
        <v>R&amp;D</v>
      </c>
      <c r="P28" s="101">
        <f t="shared" ref="P28:V30" si="27">P16/P$6</f>
        <v>0.25544594046169639</v>
      </c>
      <c r="Q28" s="101">
        <f t="shared" si="27"/>
        <v>0.31124764033858965</v>
      </c>
      <c r="R28" s="101">
        <f t="shared" si="27"/>
        <v>0.27343910808593186</v>
      </c>
      <c r="S28" s="101">
        <f t="shared" si="27"/>
        <v>0.23526718061777993</v>
      </c>
      <c r="T28" s="101">
        <f t="shared" si="27"/>
        <v>0.26593555116873796</v>
      </c>
      <c r="U28" s="101">
        <f t="shared" si="27"/>
        <v>0.27186449486907288</v>
      </c>
      <c r="V28" s="101">
        <f t="shared" si="27"/>
        <v>0.23562621469036493</v>
      </c>
      <c r="W28" s="102">
        <f t="shared" si="20"/>
        <v>0.19779175942150082</v>
      </c>
      <c r="X28" s="103">
        <v>0.24</v>
      </c>
      <c r="Y28" s="103"/>
      <c r="Z28" s="103"/>
    </row>
    <row r="29" spans="2:28" x14ac:dyDescent="0.2">
      <c r="B29" s="1" t="str">
        <f t="shared" si="25"/>
        <v>General and administrative</v>
      </c>
      <c r="C29" s="101">
        <f t="shared" ref="C29:G29" si="28">C17/C$6</f>
        <v>0.28017981467119157</v>
      </c>
      <c r="D29" s="101">
        <f t="shared" si="28"/>
        <v>0.22625099071303945</v>
      </c>
      <c r="E29" s="101">
        <f t="shared" si="28"/>
        <v>0.17708275997039918</v>
      </c>
      <c r="F29" s="101">
        <f t="shared" si="28"/>
        <v>0.1581602390491752</v>
      </c>
      <c r="G29" s="102">
        <f t="shared" si="28"/>
        <v>0.13305272909252117</v>
      </c>
      <c r="H29" s="103">
        <v>0.12</v>
      </c>
      <c r="I29" s="103">
        <v>0.12</v>
      </c>
      <c r="J29" s="103">
        <v>0.11</v>
      </c>
      <c r="K29" s="103">
        <v>0.11</v>
      </c>
      <c r="L29" s="103">
        <v>0.1</v>
      </c>
      <c r="O29" s="1" t="str">
        <f t="shared" si="17"/>
        <v>General and administrative</v>
      </c>
      <c r="P29" s="101">
        <f t="shared" si="27"/>
        <v>0.18951872806703429</v>
      </c>
      <c r="Q29" s="101">
        <f t="shared" si="27"/>
        <v>0.20084868760138244</v>
      </c>
      <c r="R29" s="101">
        <f t="shared" si="27"/>
        <v>0.14123664539705008</v>
      </c>
      <c r="S29" s="101">
        <f t="shared" si="27"/>
        <v>0.11565552371555497</v>
      </c>
      <c r="T29" s="101">
        <f t="shared" si="27"/>
        <v>0.15332394903315535</v>
      </c>
      <c r="U29" s="101">
        <f t="shared" si="27"/>
        <v>0.14621207094833688</v>
      </c>
      <c r="V29" s="101">
        <f t="shared" si="27"/>
        <v>0.12934400031134993</v>
      </c>
      <c r="W29" s="102">
        <f t="shared" si="20"/>
        <v>0.11130164391704964</v>
      </c>
      <c r="X29" s="103">
        <v>0.14000000000000001</v>
      </c>
      <c r="Y29" s="103"/>
      <c r="Z29" s="103"/>
    </row>
    <row r="30" spans="2:28" x14ac:dyDescent="0.2">
      <c r="B30" s="18" t="str">
        <f t="shared" si="25"/>
        <v>OpEx</v>
      </c>
      <c r="C30" s="111">
        <f>C18/C$6</f>
        <v>1.3721796084514239</v>
      </c>
      <c r="D30" s="111">
        <f t="shared" ref="D30:L30" si="29">D18/D$6</f>
        <v>1.1589221797859588</v>
      </c>
      <c r="E30" s="111">
        <f t="shared" si="29"/>
        <v>0.97614504400369395</v>
      </c>
      <c r="F30" s="111">
        <f t="shared" si="29"/>
        <v>0.94098403540971864</v>
      </c>
      <c r="G30" s="112">
        <f t="shared" si="29"/>
        <v>0.79650459588270506</v>
      </c>
      <c r="H30" s="111">
        <f t="shared" si="29"/>
        <v>0.77</v>
      </c>
      <c r="I30" s="111">
        <f t="shared" si="29"/>
        <v>0.77</v>
      </c>
      <c r="J30" s="111">
        <f t="shared" si="29"/>
        <v>0.73499999999999999</v>
      </c>
      <c r="K30" s="111">
        <f t="shared" si="29"/>
        <v>0.73</v>
      </c>
      <c r="L30" s="111">
        <f t="shared" si="29"/>
        <v>0.70000000000000007</v>
      </c>
      <c r="O30" s="18" t="str">
        <f t="shared" si="17"/>
        <v>OpEx</v>
      </c>
      <c r="P30" s="111">
        <f t="shared" si="27"/>
        <v>0.98251330898326528</v>
      </c>
      <c r="Q30" s="111">
        <f t="shared" si="27"/>
        <v>1.1265727123537168</v>
      </c>
      <c r="R30" s="111">
        <f t="shared" si="27"/>
        <v>0.9424818061598238</v>
      </c>
      <c r="S30" s="111">
        <f t="shared" si="27"/>
        <v>0.76833724383093427</v>
      </c>
      <c r="T30" s="111">
        <f t="shared" si="27"/>
        <v>0.86696072053479289</v>
      </c>
      <c r="U30" s="111">
        <f t="shared" si="27"/>
        <v>0.8778225628096249</v>
      </c>
      <c r="V30" s="111">
        <f t="shared" si="27"/>
        <v>0.80082605025868803</v>
      </c>
      <c r="W30" s="112">
        <f t="shared" si="20"/>
        <v>0.67944552874932185</v>
      </c>
      <c r="X30" s="111">
        <f t="shared" si="20"/>
        <v>0.77999999999999992</v>
      </c>
      <c r="Y30" s="18"/>
      <c r="Z30" s="18"/>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21" zoomScale="189" zoomScaleNormal="100" workbookViewId="0">
      <selection activeCell="C15" sqref="C15"/>
    </sheetView>
  </sheetViews>
  <sheetFormatPr baseColWidth="10" defaultRowHeight="16" x14ac:dyDescent="0.2"/>
  <cols>
    <col min="1" max="1" width="2" style="8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9" customFormat="1" ht="18" customHeight="1" x14ac:dyDescent="0.2">
      <c r="A1" s="4"/>
      <c r="B1" s="88" t="s">
        <v>184</v>
      </c>
    </row>
    <row r="2" spans="1:28" s="89" customFormat="1" ht="18" customHeight="1" x14ac:dyDescent="0.2">
      <c r="A2" s="4"/>
      <c r="B2" s="88"/>
    </row>
    <row r="3" spans="1:28" x14ac:dyDescent="0.2">
      <c r="A3" s="4"/>
      <c r="C3" s="215" t="s">
        <v>149</v>
      </c>
      <c r="D3" s="215"/>
      <c r="E3" s="215"/>
      <c r="F3" s="215"/>
      <c r="G3" s="222"/>
      <c r="H3" s="223" t="s">
        <v>150</v>
      </c>
      <c r="I3" s="215"/>
      <c r="J3" s="215"/>
      <c r="K3" s="215"/>
      <c r="L3" s="215"/>
      <c r="P3" s="224"/>
      <c r="Q3" s="224"/>
      <c r="R3" s="224"/>
      <c r="S3" s="224"/>
      <c r="T3" s="224"/>
      <c r="U3" s="224"/>
      <c r="V3" s="224"/>
      <c r="W3" s="224"/>
      <c r="X3" s="224"/>
      <c r="Y3" s="224"/>
      <c r="Z3" s="224"/>
      <c r="AB3" s="134"/>
    </row>
    <row r="4" spans="1:28" ht="10" customHeight="1" x14ac:dyDescent="0.2"/>
    <row r="5" spans="1:28" ht="16" customHeight="1" x14ac:dyDescent="0.2">
      <c r="A5" s="92"/>
      <c r="B5" s="62"/>
      <c r="C5" s="219" t="s">
        <v>152</v>
      </c>
      <c r="D5" s="219"/>
      <c r="E5" s="219"/>
      <c r="F5" s="219"/>
      <c r="G5" s="219"/>
      <c r="H5" s="219"/>
      <c r="I5" s="219"/>
      <c r="J5" s="219"/>
      <c r="K5" s="219"/>
      <c r="L5" s="219"/>
      <c r="P5" s="224"/>
      <c r="Q5" s="224"/>
      <c r="R5" s="224"/>
      <c r="S5" s="224"/>
      <c r="T5" s="224"/>
      <c r="U5" s="224"/>
      <c r="V5" s="224"/>
      <c r="W5" s="224"/>
      <c r="X5" s="224"/>
      <c r="Y5" s="224"/>
      <c r="Z5" s="224"/>
      <c r="AB5" s="135"/>
    </row>
    <row r="6" spans="1:28" x14ac:dyDescent="0.2">
      <c r="B6" s="18" t="s">
        <v>153</v>
      </c>
      <c r="C6" s="14">
        <f>Revenue!C5</f>
        <v>2022</v>
      </c>
      <c r="D6" s="14">
        <f>Revenue!D5</f>
        <v>2023</v>
      </c>
      <c r="E6" s="14">
        <f>Revenue!E5</f>
        <v>2024</v>
      </c>
      <c r="F6" s="14">
        <f>Revenue!F5</f>
        <v>2025</v>
      </c>
      <c r="G6" s="14">
        <f>Revenue!G5</f>
        <v>2026</v>
      </c>
      <c r="H6" s="14">
        <f>G6+1</f>
        <v>2027</v>
      </c>
      <c r="I6" s="14">
        <f t="shared" ref="I6:L6" si="0">H6+1</f>
        <v>2028</v>
      </c>
      <c r="J6" s="14">
        <f t="shared" si="0"/>
        <v>2029</v>
      </c>
      <c r="K6" s="14">
        <f t="shared" si="0"/>
        <v>2030</v>
      </c>
      <c r="L6" s="14">
        <f t="shared" si="0"/>
        <v>2031</v>
      </c>
      <c r="O6" s="18"/>
      <c r="P6" s="136"/>
      <c r="Q6" s="136"/>
      <c r="R6" s="136"/>
      <c r="S6" s="136"/>
      <c r="T6" s="136"/>
      <c r="U6" s="136"/>
      <c r="V6" s="136"/>
      <c r="W6" s="136"/>
      <c r="X6" s="136"/>
      <c r="Y6" s="136"/>
      <c r="Z6" s="136"/>
      <c r="AB6" s="135"/>
    </row>
    <row r="7" spans="1:28" x14ac:dyDescent="0.2">
      <c r="B7" s="18" t="s">
        <v>20</v>
      </c>
      <c r="C7" s="98">
        <f>Revenue!C9</f>
        <v>892252</v>
      </c>
      <c r="D7" s="98">
        <f>Revenue!D9</f>
        <v>1058581</v>
      </c>
      <c r="E7" s="98">
        <f>Revenue!E9</f>
        <v>1308072</v>
      </c>
      <c r="F7" s="98">
        <f>Revenue!F9</f>
        <v>1429664</v>
      </c>
      <c r="G7" s="99">
        <f>Revenue!G9</f>
        <v>1610572</v>
      </c>
      <c r="H7" s="98">
        <f>Revenue!H9</f>
        <v>1745050</v>
      </c>
      <c r="I7" s="98">
        <f>Revenue!I9</f>
        <v>1921420.5999999999</v>
      </c>
      <c r="J7" s="98">
        <f>Revenue!J9</f>
        <v>2093013.4620000001</v>
      </c>
      <c r="K7" s="98">
        <f>Revenue!K9</f>
        <v>2230289.1351000001</v>
      </c>
      <c r="L7" s="98">
        <f>Revenue!L9</f>
        <v>2374428.5918549998</v>
      </c>
      <c r="N7" s="97"/>
      <c r="O7" s="18"/>
      <c r="P7" s="98"/>
      <c r="Q7" s="98"/>
      <c r="R7" s="98"/>
      <c r="S7" s="98"/>
      <c r="T7" s="98"/>
      <c r="U7" s="98"/>
      <c r="V7" s="98"/>
      <c r="W7" s="98"/>
      <c r="X7" s="100"/>
      <c r="Y7" s="100"/>
      <c r="Z7" s="100"/>
      <c r="AB7" s="100"/>
    </row>
    <row r="8" spans="1:28" x14ac:dyDescent="0.2">
      <c r="B8" s="41" t="s">
        <v>21</v>
      </c>
      <c r="C8" s="137">
        <f>'COGS &amp; OpEx'!C14</f>
        <v>168868</v>
      </c>
      <c r="D8" s="137">
        <f>'COGS &amp; OpEx'!D14</f>
        <v>180051</v>
      </c>
      <c r="E8" s="137">
        <f>'COGS &amp; OpEx'!E14</f>
        <v>195924</v>
      </c>
      <c r="F8" s="137">
        <f>'COGS &amp; OpEx'!F14</f>
        <v>246942</v>
      </c>
      <c r="G8" s="138">
        <f>'COGS &amp; OpEx'!G14</f>
        <v>270984</v>
      </c>
      <c r="H8" s="137">
        <f>'COGS &amp; OpEx'!H14</f>
        <v>275717.90000000002</v>
      </c>
      <c r="I8" s="137">
        <f>'COGS &amp; OpEx'!I14</f>
        <v>303584.45480000001</v>
      </c>
      <c r="J8" s="137">
        <f>'COGS &amp; OpEx'!J14</f>
        <v>297207.91160400002</v>
      </c>
      <c r="K8" s="137">
        <f>'COGS &amp; OpEx'!K14</f>
        <v>316701.05718419998</v>
      </c>
      <c r="L8" s="137">
        <f>'COGS &amp; OpEx'!L14</f>
        <v>301552.43116558495</v>
      </c>
      <c r="N8" s="97"/>
      <c r="O8" s="18"/>
      <c r="P8" s="98"/>
      <c r="Q8" s="98"/>
      <c r="R8" s="98"/>
      <c r="S8" s="98"/>
      <c r="T8" s="98"/>
      <c r="U8" s="98"/>
      <c r="V8" s="98"/>
      <c r="W8" s="98"/>
      <c r="X8" s="100"/>
      <c r="Y8" s="100"/>
      <c r="Z8" s="100"/>
      <c r="AB8" s="100"/>
    </row>
    <row r="9" spans="1:28" x14ac:dyDescent="0.2">
      <c r="N9" s="97"/>
    </row>
    <row r="10" spans="1:28" x14ac:dyDescent="0.2">
      <c r="N10" s="97"/>
    </row>
    <row r="11" spans="1:28" x14ac:dyDescent="0.2">
      <c r="C11" s="219" t="s">
        <v>185</v>
      </c>
      <c r="D11" s="219"/>
      <c r="E11" s="219"/>
      <c r="F11" s="219"/>
      <c r="G11" s="219"/>
      <c r="H11" s="219"/>
      <c r="I11" s="219"/>
      <c r="J11" s="219"/>
      <c r="K11" s="219"/>
      <c r="L11" s="219"/>
      <c r="N11" s="97"/>
      <c r="P11" s="224"/>
      <c r="Q11" s="224"/>
      <c r="R11" s="224"/>
      <c r="S11" s="224"/>
      <c r="T11" s="224"/>
      <c r="U11" s="224"/>
      <c r="V11" s="224"/>
      <c r="W11" s="224"/>
      <c r="X11" s="224"/>
      <c r="Y11" s="224"/>
      <c r="Z11" s="224"/>
      <c r="AB11" s="135"/>
    </row>
    <row r="12" spans="1:28" x14ac:dyDescent="0.2">
      <c r="B12" s="18" t="s">
        <v>186</v>
      </c>
      <c r="C12" s="14">
        <f t="shared" ref="C12:L12" si="1">C6</f>
        <v>2022</v>
      </c>
      <c r="D12" s="14">
        <f t="shared" si="1"/>
        <v>2023</v>
      </c>
      <c r="E12" s="14">
        <f t="shared" si="1"/>
        <v>2024</v>
      </c>
      <c r="F12" s="14">
        <f t="shared" si="1"/>
        <v>2025</v>
      </c>
      <c r="G12" s="14">
        <f t="shared" si="1"/>
        <v>2026</v>
      </c>
      <c r="H12" s="14">
        <f t="shared" si="1"/>
        <v>2027</v>
      </c>
      <c r="I12" s="14">
        <f t="shared" si="1"/>
        <v>2028</v>
      </c>
      <c r="J12" s="14">
        <f t="shared" si="1"/>
        <v>2029</v>
      </c>
      <c r="K12" s="14">
        <f t="shared" si="1"/>
        <v>2030</v>
      </c>
      <c r="L12" s="14">
        <f t="shared" si="1"/>
        <v>2031</v>
      </c>
      <c r="N12" s="97"/>
      <c r="O12" s="18"/>
      <c r="P12" s="136"/>
      <c r="Q12" s="136"/>
      <c r="R12" s="136"/>
      <c r="S12" s="136"/>
      <c r="T12" s="136"/>
      <c r="U12" s="136"/>
      <c r="V12" s="136"/>
      <c r="W12" s="136"/>
      <c r="X12" s="136"/>
      <c r="Y12" s="136"/>
      <c r="Z12" s="136"/>
      <c r="AB12" s="135"/>
    </row>
    <row r="13" spans="1:28" x14ac:dyDescent="0.2">
      <c r="B13" s="41" t="s">
        <v>187</v>
      </c>
      <c r="C13" s="139">
        <f>Statement!M29</f>
        <v>326819</v>
      </c>
      <c r="D13" s="139">
        <f>Statement!N29</f>
        <v>443477</v>
      </c>
      <c r="E13" s="139">
        <f>Statement!O29</f>
        <v>520493</v>
      </c>
      <c r="F13" s="139">
        <f>Statement!P29</f>
        <v>539866</v>
      </c>
      <c r="G13" s="140">
        <f>Statement!Q29</f>
        <v>580705</v>
      </c>
      <c r="H13" s="27">
        <f>H20*H7/365</f>
        <v>621524.65753424657</v>
      </c>
      <c r="I13" s="27">
        <f>I20*I7/365</f>
        <v>684341.58356164373</v>
      </c>
      <c r="J13" s="27">
        <f>J20*J7/365</f>
        <v>745456.84947945201</v>
      </c>
      <c r="K13" s="27">
        <f>K20*K7/365</f>
        <v>794349.55496712332</v>
      </c>
      <c r="L13" s="27">
        <f>L20*L7/365</f>
        <v>845686.89572917798</v>
      </c>
      <c r="N13" s="97"/>
      <c r="O13" s="18"/>
      <c r="P13" s="141"/>
      <c r="Q13" s="141"/>
      <c r="R13" s="141"/>
      <c r="S13" s="141"/>
      <c r="T13" s="141"/>
      <c r="U13" s="141"/>
      <c r="V13" s="141"/>
      <c r="W13" s="141"/>
      <c r="X13" s="131"/>
      <c r="Y13" s="131"/>
      <c r="Z13" s="131"/>
      <c r="AB13" s="26"/>
    </row>
    <row r="14" spans="1:28" x14ac:dyDescent="0.2">
      <c r="B14" s="41" t="s">
        <v>188</v>
      </c>
      <c r="C14" s="139">
        <v>0</v>
      </c>
      <c r="D14" s="139">
        <v>0</v>
      </c>
      <c r="E14" s="139">
        <v>0</v>
      </c>
      <c r="F14" s="139">
        <v>0</v>
      </c>
      <c r="G14" s="140">
        <v>0</v>
      </c>
      <c r="H14" s="27">
        <v>0</v>
      </c>
      <c r="I14" s="27">
        <v>0</v>
      </c>
      <c r="J14" s="27">
        <v>0</v>
      </c>
      <c r="K14" s="27">
        <v>0</v>
      </c>
      <c r="L14" s="27">
        <v>0</v>
      </c>
      <c r="N14" s="97"/>
      <c r="O14" s="18"/>
      <c r="P14" s="141"/>
      <c r="Q14" s="141"/>
      <c r="R14" s="141"/>
      <c r="S14" s="141"/>
      <c r="T14" s="141"/>
      <c r="U14" s="141"/>
      <c r="V14" s="141"/>
      <c r="W14" s="141"/>
      <c r="X14" s="131"/>
      <c r="Y14" s="131"/>
      <c r="Z14" s="131"/>
      <c r="AB14" s="26"/>
    </row>
    <row r="15" spans="1:28" x14ac:dyDescent="0.2">
      <c r="B15" s="1" t="s">
        <v>189</v>
      </c>
      <c r="C15" s="139">
        <f>Statement!M36</f>
        <v>11515</v>
      </c>
      <c r="D15" s="139">
        <f>Statement!N36</f>
        <v>8891</v>
      </c>
      <c r="E15" s="139">
        <f>Statement!O36</f>
        <v>3447</v>
      </c>
      <c r="F15" s="139">
        <f>Statement!P36</f>
        <v>33178</v>
      </c>
      <c r="G15" s="140">
        <f>Statement!Q36</f>
        <v>10161</v>
      </c>
      <c r="H15" s="26">
        <f>H22*H8/365</f>
        <v>17374.004657534246</v>
      </c>
      <c r="I15" s="26">
        <f>I22*I8/365</f>
        <v>19129.979343561645</v>
      </c>
      <c r="J15" s="26">
        <f>J22*J8/365</f>
        <v>18728.16977230685</v>
      </c>
      <c r="K15" s="26">
        <f>K22*K8/365</f>
        <v>19956.504973250958</v>
      </c>
      <c r="L15" s="26">
        <f>L22*L8/365</f>
        <v>19001.934018653297</v>
      </c>
      <c r="N15" s="97"/>
      <c r="P15" s="142"/>
      <c r="Q15" s="142"/>
      <c r="R15" s="142"/>
      <c r="S15" s="142"/>
      <c r="T15" s="142"/>
      <c r="U15" s="142"/>
      <c r="V15" s="142"/>
      <c r="W15" s="142"/>
      <c r="X15" s="27"/>
      <c r="Y15" s="26"/>
      <c r="Z15" s="26"/>
      <c r="AB15" s="26"/>
    </row>
    <row r="16" spans="1:28" x14ac:dyDescent="0.2">
      <c r="D16" s="26"/>
    </row>
    <row r="18" spans="2:12" x14ac:dyDescent="0.2">
      <c r="C18" s="219" t="s">
        <v>190</v>
      </c>
      <c r="D18" s="219"/>
      <c r="E18" s="219"/>
      <c r="F18" s="219"/>
      <c r="G18" s="219"/>
      <c r="H18" s="219"/>
      <c r="I18" s="219"/>
      <c r="J18" s="219"/>
      <c r="K18" s="219"/>
      <c r="L18" s="219"/>
    </row>
    <row r="19" spans="2:12" x14ac:dyDescent="0.2">
      <c r="B19" s="18" t="s">
        <v>191</v>
      </c>
      <c r="C19" s="14">
        <f t="shared" ref="C19:L19" si="2">C6</f>
        <v>2022</v>
      </c>
      <c r="D19" s="14">
        <f t="shared" si="2"/>
        <v>2023</v>
      </c>
      <c r="E19" s="14">
        <f t="shared" si="2"/>
        <v>2024</v>
      </c>
      <c r="F19" s="14">
        <f t="shared" si="2"/>
        <v>2025</v>
      </c>
      <c r="G19" s="14">
        <f t="shared" si="2"/>
        <v>2026</v>
      </c>
      <c r="H19" s="14">
        <f t="shared" si="2"/>
        <v>2027</v>
      </c>
      <c r="I19" s="14">
        <f t="shared" si="2"/>
        <v>2028</v>
      </c>
      <c r="J19" s="14">
        <f t="shared" si="2"/>
        <v>2029</v>
      </c>
      <c r="K19" s="14">
        <f t="shared" si="2"/>
        <v>2030</v>
      </c>
      <c r="L19" s="14">
        <f t="shared" si="2"/>
        <v>2031</v>
      </c>
    </row>
    <row r="20" spans="2:12" x14ac:dyDescent="0.2">
      <c r="B20" s="1" t="s">
        <v>192</v>
      </c>
      <c r="C20" s="143">
        <f>C13/C7*365</f>
        <v>133.69421979440784</v>
      </c>
      <c r="D20" s="143">
        <f>D13/D7*365</f>
        <v>152.91140215061483</v>
      </c>
      <c r="E20" s="143">
        <f>E13/E7*365</f>
        <v>145.23661159324561</v>
      </c>
      <c r="F20" s="143">
        <f>F13/F7*365</f>
        <v>137.8303503480538</v>
      </c>
      <c r="G20" s="144">
        <f>G13/G7*365</f>
        <v>131.6037563052133</v>
      </c>
      <c r="H20" s="110">
        <v>130</v>
      </c>
      <c r="I20" s="110">
        <v>130</v>
      </c>
      <c r="J20" s="110">
        <v>130</v>
      </c>
      <c r="K20" s="110">
        <v>130</v>
      </c>
      <c r="L20" s="110">
        <v>130</v>
      </c>
    </row>
    <row r="21" spans="2:12" x14ac:dyDescent="0.2">
      <c r="B21" s="1" t="s">
        <v>193</v>
      </c>
      <c r="C21" s="143">
        <f>C14/C8*365</f>
        <v>0</v>
      </c>
      <c r="D21" s="143">
        <f t="shared" ref="D21:G21" si="3">D14/D8*365</f>
        <v>0</v>
      </c>
      <c r="E21" s="143">
        <f t="shared" si="3"/>
        <v>0</v>
      </c>
      <c r="F21" s="143">
        <f t="shared" si="3"/>
        <v>0</v>
      </c>
      <c r="G21" s="144">
        <f t="shared" si="3"/>
        <v>0</v>
      </c>
      <c r="H21" s="110">
        <v>0</v>
      </c>
      <c r="I21" s="110">
        <v>0</v>
      </c>
      <c r="J21" s="110">
        <v>0</v>
      </c>
      <c r="K21" s="110">
        <v>0</v>
      </c>
      <c r="L21" s="110">
        <v>0</v>
      </c>
    </row>
    <row r="22" spans="2:12" x14ac:dyDescent="0.2">
      <c r="B22" s="1" t="s">
        <v>194</v>
      </c>
      <c r="C22" s="143">
        <f>C15/C8*365</f>
        <v>24.889114574697395</v>
      </c>
      <c r="D22" s="143">
        <f>D15/D8*365</f>
        <v>18.023865460341792</v>
      </c>
      <c r="E22" s="143">
        <f>E15/E8*365</f>
        <v>6.4216481901145333</v>
      </c>
      <c r="F22" s="143">
        <f>F15/F8*365</f>
        <v>49.039734026613537</v>
      </c>
      <c r="G22" s="144">
        <f>G15/G8*365</f>
        <v>13.686287751306349</v>
      </c>
      <c r="H22" s="110">
        <v>23</v>
      </c>
      <c r="I22" s="110">
        <v>23</v>
      </c>
      <c r="J22" s="110">
        <v>23</v>
      </c>
      <c r="K22" s="110">
        <v>23</v>
      </c>
      <c r="L22" s="110">
        <v>23</v>
      </c>
    </row>
    <row r="23" spans="2:12" x14ac:dyDescent="0.2">
      <c r="B23" s="1" t="s">
        <v>195</v>
      </c>
      <c r="C23" s="143">
        <f>C20+C21-C22</f>
        <v>108.80510521971044</v>
      </c>
      <c r="D23" s="143">
        <f t="shared" ref="D23:L23" si="4">D20+D21-D22</f>
        <v>134.88753669027304</v>
      </c>
      <c r="E23" s="143">
        <f t="shared" si="4"/>
        <v>138.81496340313109</v>
      </c>
      <c r="F23" s="143">
        <f t="shared" si="4"/>
        <v>88.790616321440268</v>
      </c>
      <c r="G23" s="144">
        <f t="shared" si="4"/>
        <v>117.91746855390694</v>
      </c>
      <c r="H23" s="143">
        <f t="shared" si="4"/>
        <v>107</v>
      </c>
      <c r="I23" s="143">
        <f t="shared" si="4"/>
        <v>107</v>
      </c>
      <c r="J23" s="143">
        <f t="shared" si="4"/>
        <v>107</v>
      </c>
      <c r="K23" s="143">
        <f t="shared" si="4"/>
        <v>107</v>
      </c>
      <c r="L23" s="143">
        <f t="shared" si="4"/>
        <v>107</v>
      </c>
    </row>
    <row r="25" spans="2:12" x14ac:dyDescent="0.2">
      <c r="B25" s="224"/>
      <c r="C25" s="224"/>
    </row>
    <row r="26" spans="2:12" x14ac:dyDescent="0.2">
      <c r="B26" s="134"/>
      <c r="C26" s="219" t="s">
        <v>196</v>
      </c>
      <c r="D26" s="219"/>
      <c r="E26" s="219"/>
      <c r="F26" s="219"/>
      <c r="G26" s="219"/>
      <c r="H26" s="219"/>
      <c r="I26" s="219"/>
      <c r="J26" s="219"/>
      <c r="K26" s="219"/>
      <c r="L26" s="219"/>
    </row>
    <row r="27" spans="2:12" x14ac:dyDescent="0.2">
      <c r="B27" s="18" t="s">
        <v>186</v>
      </c>
      <c r="C27" s="14">
        <f t="shared" ref="C27:L27" si="5">C6</f>
        <v>2022</v>
      </c>
      <c r="D27" s="14">
        <f t="shared" si="5"/>
        <v>2023</v>
      </c>
      <c r="E27" s="14">
        <f t="shared" si="5"/>
        <v>2024</v>
      </c>
      <c r="F27" s="14">
        <f t="shared" si="5"/>
        <v>2025</v>
      </c>
      <c r="G27" s="14">
        <f t="shared" si="5"/>
        <v>2026</v>
      </c>
      <c r="H27" s="14">
        <f t="shared" si="5"/>
        <v>2027</v>
      </c>
      <c r="I27" s="14">
        <f t="shared" si="5"/>
        <v>2028</v>
      </c>
      <c r="J27" s="14">
        <f t="shared" si="5"/>
        <v>2029</v>
      </c>
      <c r="K27" s="14">
        <f t="shared" si="5"/>
        <v>2030</v>
      </c>
      <c r="L27" s="14">
        <f t="shared" si="5"/>
        <v>2031</v>
      </c>
    </row>
    <row r="28" spans="2:12" x14ac:dyDescent="0.2">
      <c r="B28" s="1" t="s">
        <v>197</v>
      </c>
      <c r="C28" s="139">
        <f>Statement!M50</f>
        <v>-86387</v>
      </c>
      <c r="D28" s="139">
        <f>Statement!N50</f>
        <v>-123783</v>
      </c>
      <c r="E28" s="139">
        <f>Statement!O50</f>
        <v>-64217</v>
      </c>
      <c r="F28" s="139">
        <f>Statement!P50</f>
        <v>-22173</v>
      </c>
      <c r="G28" s="140">
        <f>Statement!Q50</f>
        <v>-25802</v>
      </c>
      <c r="H28" s="151">
        <f>-(H13-G13)</f>
        <v>-40819.657534246566</v>
      </c>
      <c r="I28" s="151">
        <f t="shared" ref="I28:L29" si="6">-(I13-H13)</f>
        <v>-62816.926027397159</v>
      </c>
      <c r="J28" s="151">
        <f t="shared" si="6"/>
        <v>-61115.265917808283</v>
      </c>
      <c r="K28" s="151">
        <f t="shared" si="6"/>
        <v>-48892.705487671308</v>
      </c>
      <c r="L28" s="151">
        <f t="shared" si="6"/>
        <v>-51337.340762054664</v>
      </c>
    </row>
    <row r="29" spans="2:12" x14ac:dyDescent="0.2">
      <c r="B29" s="1" t="s">
        <v>198</v>
      </c>
      <c r="C29" s="139">
        <v>0</v>
      </c>
      <c r="D29" s="139">
        <v>0</v>
      </c>
      <c r="E29" s="139">
        <v>0</v>
      </c>
      <c r="F29" s="139">
        <v>0</v>
      </c>
      <c r="G29" s="140">
        <v>0</v>
      </c>
      <c r="H29" s="27">
        <f>-(H14-G14)</f>
        <v>0</v>
      </c>
      <c r="I29" s="27">
        <f t="shared" si="6"/>
        <v>0</v>
      </c>
      <c r="J29" s="27">
        <f t="shared" si="6"/>
        <v>0</v>
      </c>
      <c r="K29" s="27">
        <f t="shared" si="6"/>
        <v>0</v>
      </c>
      <c r="L29" s="27">
        <f t="shared" si="6"/>
        <v>0</v>
      </c>
    </row>
    <row r="30" spans="2:12" x14ac:dyDescent="0.2">
      <c r="B30" s="1" t="s">
        <v>199</v>
      </c>
      <c r="C30" s="139">
        <f>Statement!M51</f>
        <v>3507</v>
      </c>
      <c r="D30" s="139">
        <f>Statement!N51</f>
        <v>-1571</v>
      </c>
      <c r="E30" s="139">
        <f>Statement!O51</f>
        <v>-5052</v>
      </c>
      <c r="F30" s="139">
        <f>Statement!P51</f>
        <v>27856</v>
      </c>
      <c r="G30" s="140">
        <f>Statement!Q51</f>
        <v>-21675</v>
      </c>
      <c r="H30" s="66">
        <f>H15-G15</f>
        <v>7213.0046575342458</v>
      </c>
      <c r="I30" s="66">
        <f t="shared" ref="I30:L30" si="7">I15-H15</f>
        <v>1755.974686027399</v>
      </c>
      <c r="J30" s="66">
        <f t="shared" si="7"/>
        <v>-401.80957125479472</v>
      </c>
      <c r="K30" s="66">
        <f t="shared" si="7"/>
        <v>1228.3352009441078</v>
      </c>
      <c r="L30" s="66">
        <f t="shared" si="7"/>
        <v>-954.5709545976606</v>
      </c>
    </row>
    <row r="31" spans="2:12" x14ac:dyDescent="0.2">
      <c r="B31" s="134"/>
      <c r="C31" s="134"/>
    </row>
    <row r="32" spans="2:12" x14ac:dyDescent="0.2">
      <c r="B32" s="134"/>
      <c r="C32" s="134"/>
    </row>
    <row r="33" spans="2:12" x14ac:dyDescent="0.2">
      <c r="B33" s="134"/>
      <c r="C33" s="219" t="s">
        <v>200</v>
      </c>
      <c r="D33" s="219"/>
      <c r="E33" s="219"/>
      <c r="F33" s="219"/>
      <c r="G33" s="219"/>
      <c r="H33" s="219"/>
      <c r="I33" s="219"/>
      <c r="J33" s="219"/>
      <c r="K33" s="219"/>
      <c r="L33" s="219"/>
    </row>
    <row r="34" spans="2:12" x14ac:dyDescent="0.2">
      <c r="B34" s="18" t="s">
        <v>186</v>
      </c>
      <c r="C34" s="14">
        <f t="shared" ref="C34:L34" si="8">C6</f>
        <v>2022</v>
      </c>
      <c r="D34" s="14">
        <f t="shared" si="8"/>
        <v>2023</v>
      </c>
      <c r="E34" s="14">
        <f t="shared" si="8"/>
        <v>2024</v>
      </c>
      <c r="F34" s="14">
        <f t="shared" si="8"/>
        <v>2025</v>
      </c>
      <c r="G34" s="14">
        <f t="shared" si="8"/>
        <v>2026</v>
      </c>
      <c r="H34" s="14">
        <f t="shared" si="8"/>
        <v>2027</v>
      </c>
      <c r="I34" s="14">
        <f t="shared" si="8"/>
        <v>2028</v>
      </c>
      <c r="J34" s="14">
        <f t="shared" si="8"/>
        <v>2029</v>
      </c>
      <c r="K34" s="14">
        <f t="shared" si="8"/>
        <v>2030</v>
      </c>
      <c r="L34" s="14">
        <f t="shared" si="8"/>
        <v>2031</v>
      </c>
    </row>
    <row r="35" spans="2:12" x14ac:dyDescent="0.2">
      <c r="B35" s="1" t="s">
        <v>201</v>
      </c>
      <c r="C35" s="139">
        <f>Statement!M50+Statement!M51+Statement!M52</f>
        <v>-105902</v>
      </c>
      <c r="D35" s="139">
        <f>Statement!N50+Statement!N51+Statement!N52</f>
        <v>-146687</v>
      </c>
      <c r="E35" s="139">
        <f>Statement!O50+Statement!O51+Statement!O52</f>
        <v>-66928</v>
      </c>
      <c r="F35" s="139">
        <f>Statement!P50+Statement!P51+Statement!P52</f>
        <v>-41772</v>
      </c>
      <c r="G35" s="140">
        <f>Statement!Q50+Statement!Q51+Statement!Q52</f>
        <v>-149207</v>
      </c>
      <c r="H35" s="27">
        <f>H36+H28+H29+H30</f>
        <v>-85958.152876712324</v>
      </c>
      <c r="I35" s="27">
        <f t="shared" ref="I35:L35" si="9">I36+I28+I29+I30</f>
        <v>-118703.56934136974</v>
      </c>
      <c r="J35" s="27">
        <f t="shared" si="9"/>
        <v>-124307.47934906307</v>
      </c>
      <c r="K35" s="27">
        <f t="shared" si="9"/>
        <v>-114573.0443397272</v>
      </c>
      <c r="L35" s="27">
        <f t="shared" si="9"/>
        <v>-123524.76947230232</v>
      </c>
    </row>
    <row r="36" spans="2:12" x14ac:dyDescent="0.2">
      <c r="B36" s="1" t="s">
        <v>202</v>
      </c>
      <c r="C36" s="145">
        <f>C35-C28-C29-C30</f>
        <v>-23022</v>
      </c>
      <c r="D36" s="145">
        <f t="shared" ref="D36:G36" si="10">D35-D28-D29-D30</f>
        <v>-21333</v>
      </c>
      <c r="E36" s="145">
        <f t="shared" si="10"/>
        <v>2341</v>
      </c>
      <c r="F36" s="145">
        <f t="shared" si="10"/>
        <v>-47455</v>
      </c>
      <c r="G36" s="146">
        <f t="shared" si="10"/>
        <v>-101730</v>
      </c>
      <c r="H36" s="26">
        <f>H7*H37</f>
        <v>-52351.5</v>
      </c>
      <c r="I36" s="26">
        <f>I7*I37</f>
        <v>-57642.617999999995</v>
      </c>
      <c r="J36" s="26">
        <f>J7*J37</f>
        <v>-62790.403859999999</v>
      </c>
      <c r="K36" s="26">
        <f>K7*K37</f>
        <v>-66908.674052999995</v>
      </c>
      <c r="L36" s="26">
        <f>L7*L37</f>
        <v>-71232.857755649995</v>
      </c>
    </row>
    <row r="37" spans="2:12" x14ac:dyDescent="0.2">
      <c r="B37" s="147" t="s">
        <v>182</v>
      </c>
      <c r="C37" s="148">
        <f>C36/C7</f>
        <v>-2.5802127650036089E-2</v>
      </c>
      <c r="D37" s="148">
        <f>D36/D7</f>
        <v>-2.0152449363818169E-2</v>
      </c>
      <c r="E37" s="148">
        <f>E36/E7</f>
        <v>1.7896568384614914E-3</v>
      </c>
      <c r="F37" s="148">
        <f>F36/F7</f>
        <v>-3.3193113906484321E-2</v>
      </c>
      <c r="G37" s="149">
        <f>G36/G7</f>
        <v>-6.3163894566650849E-2</v>
      </c>
      <c r="H37" s="103">
        <v>-0.03</v>
      </c>
      <c r="I37" s="103">
        <v>-0.03</v>
      </c>
      <c r="J37" s="103">
        <v>-0.03</v>
      </c>
      <c r="K37" s="103">
        <v>-0.03</v>
      </c>
      <c r="L37" s="103">
        <v>-0.03</v>
      </c>
    </row>
    <row r="38" spans="2:12" x14ac:dyDescent="0.2">
      <c r="C38" s="66"/>
    </row>
    <row r="39" spans="2:12" x14ac:dyDescent="0.2">
      <c r="C39" s="150"/>
    </row>
    <row r="40" spans="2:12" x14ac:dyDescent="0.2">
      <c r="C40" s="219" t="s">
        <v>203</v>
      </c>
      <c r="D40" s="219"/>
      <c r="E40" s="219"/>
      <c r="F40" s="219"/>
      <c r="G40" s="219"/>
      <c r="H40" s="219"/>
      <c r="I40" s="219"/>
      <c r="J40" s="219"/>
      <c r="K40" s="219"/>
      <c r="L40" s="219"/>
    </row>
    <row r="41" spans="2:12" x14ac:dyDescent="0.2">
      <c r="B41" s="18" t="s">
        <v>186</v>
      </c>
      <c r="C41" s="14">
        <f t="shared" ref="C41:L41" si="11">C6</f>
        <v>2022</v>
      </c>
      <c r="D41" s="14">
        <f t="shared" si="11"/>
        <v>2023</v>
      </c>
      <c r="E41" s="14">
        <f t="shared" si="11"/>
        <v>2024</v>
      </c>
      <c r="F41" s="14">
        <f t="shared" si="11"/>
        <v>2025</v>
      </c>
      <c r="G41" s="14">
        <f t="shared" si="11"/>
        <v>2026</v>
      </c>
      <c r="H41" s="14">
        <f t="shared" si="11"/>
        <v>2027</v>
      </c>
      <c r="I41" s="14">
        <f t="shared" si="11"/>
        <v>2028</v>
      </c>
      <c r="J41" s="14">
        <f t="shared" si="11"/>
        <v>2029</v>
      </c>
      <c r="K41" s="14">
        <f t="shared" si="11"/>
        <v>2030</v>
      </c>
      <c r="L41" s="14">
        <f t="shared" si="11"/>
        <v>2031</v>
      </c>
    </row>
    <row r="42" spans="2:12" x14ac:dyDescent="0.2">
      <c r="B42" s="1" t="s">
        <v>60</v>
      </c>
      <c r="C42" s="139">
        <f>Statement!M48</f>
        <v>14705</v>
      </c>
      <c r="D42" s="139">
        <f>Statement!N48</f>
        <v>18723</v>
      </c>
      <c r="E42" s="139">
        <f>Statement!O48</f>
        <v>22597</v>
      </c>
      <c r="F42" s="139">
        <f>Statement!P48</f>
        <v>17232</v>
      </c>
      <c r="G42" s="140">
        <f>Statement!Q48</f>
        <v>16969</v>
      </c>
      <c r="H42" s="27">
        <f>H7*H43</f>
        <v>17450.5</v>
      </c>
      <c r="I42" s="27">
        <f>I7*I43</f>
        <v>19214.205999999998</v>
      </c>
      <c r="J42" s="27">
        <f>J7*J43</f>
        <v>20930.134620000001</v>
      </c>
      <c r="K42" s="27">
        <f>K7*K43</f>
        <v>22302.891351000002</v>
      </c>
      <c r="L42" s="27">
        <f>L7*L43</f>
        <v>23744.285918549998</v>
      </c>
    </row>
    <row r="43" spans="2:12" x14ac:dyDescent="0.2">
      <c r="B43" s="147" t="s">
        <v>204</v>
      </c>
      <c r="C43" s="148">
        <f>C42/C7</f>
        <v>1.6480770006679728E-2</v>
      </c>
      <c r="D43" s="148">
        <f>D42/D7</f>
        <v>1.76868846125143E-2</v>
      </c>
      <c r="E43" s="148">
        <f>E42/E7</f>
        <v>1.7275042963995867E-2</v>
      </c>
      <c r="F43" s="148">
        <f>F42/F7</f>
        <v>1.2053181726615484E-2</v>
      </c>
      <c r="G43" s="149">
        <f>G42/G7</f>
        <v>1.0536008324992612E-2</v>
      </c>
      <c r="H43" s="103">
        <v>0.01</v>
      </c>
      <c r="I43" s="103">
        <v>0.01</v>
      </c>
      <c r="J43" s="103">
        <v>0.01</v>
      </c>
      <c r="K43" s="103">
        <v>0.01</v>
      </c>
      <c r="L43" s="103">
        <v>0.01</v>
      </c>
    </row>
    <row r="44" spans="2:12" x14ac:dyDescent="0.2">
      <c r="B44" s="147" t="s">
        <v>205</v>
      </c>
      <c r="C44" s="148">
        <f>C42/C45</f>
        <v>1.6561549724068025</v>
      </c>
      <c r="D44" s="148">
        <f t="shared" ref="D44:L44" si="12">D42/D45</f>
        <v>0.78618517740919591</v>
      </c>
      <c r="E44" s="148">
        <f t="shared" si="12"/>
        <v>3.0777717243257969</v>
      </c>
      <c r="F44" s="148">
        <f t="shared" si="12"/>
        <v>1.1547276016886685</v>
      </c>
      <c r="G44" s="149">
        <f t="shared" si="12"/>
        <v>0.89085468290634184</v>
      </c>
      <c r="H44" s="148">
        <f t="shared" si="12"/>
        <v>0.90909090909090917</v>
      </c>
      <c r="I44" s="148">
        <f t="shared" si="12"/>
        <v>0.90909090909090917</v>
      </c>
      <c r="J44" s="148">
        <f t="shared" si="12"/>
        <v>0.90909090909090917</v>
      </c>
      <c r="K44" s="148">
        <f t="shared" si="12"/>
        <v>0.90909090909090928</v>
      </c>
      <c r="L44" s="148">
        <f t="shared" si="12"/>
        <v>0.90909090909090917</v>
      </c>
    </row>
    <row r="45" spans="2:12" x14ac:dyDescent="0.2">
      <c r="B45" s="1" t="s">
        <v>63</v>
      </c>
      <c r="C45" s="139">
        <f>-Statement!M54</f>
        <v>8879</v>
      </c>
      <c r="D45" s="139">
        <f>-Statement!N54</f>
        <v>23815</v>
      </c>
      <c r="E45" s="139">
        <f>-Statement!O54</f>
        <v>7342</v>
      </c>
      <c r="F45" s="139">
        <f>-Statement!P54</f>
        <v>14923</v>
      </c>
      <c r="G45" s="140">
        <f>-Statement!Q54</f>
        <v>19048</v>
      </c>
      <c r="H45" s="27">
        <f>H7*H46</f>
        <v>19195.55</v>
      </c>
      <c r="I45" s="27">
        <f>I7*I46</f>
        <v>21135.626599999996</v>
      </c>
      <c r="J45" s="27">
        <f>J7*J46</f>
        <v>23023.148082</v>
      </c>
      <c r="K45" s="27">
        <f>K7*K46</f>
        <v>24533.180486099998</v>
      </c>
      <c r="L45" s="27">
        <f>L7*L46</f>
        <v>26118.714510404996</v>
      </c>
    </row>
    <row r="46" spans="2:12" x14ac:dyDescent="0.2">
      <c r="B46" s="147" t="s">
        <v>204</v>
      </c>
      <c r="C46" s="148">
        <f>C45/C7</f>
        <v>9.951224541945549E-3</v>
      </c>
      <c r="D46" s="148">
        <f>D45/D7</f>
        <v>2.2497097529617479E-2</v>
      </c>
      <c r="E46" s="148">
        <f>E45/E7</f>
        <v>5.6128408833764501E-3</v>
      </c>
      <c r="F46" s="148">
        <f>F45/F7</f>
        <v>1.0438116928173332E-2</v>
      </c>
      <c r="G46" s="149">
        <f>G45/G7</f>
        <v>1.1826854061786744E-2</v>
      </c>
      <c r="H46" s="103">
        <v>1.0999999999999999E-2</v>
      </c>
      <c r="I46" s="103">
        <v>1.0999999999999999E-2</v>
      </c>
      <c r="J46" s="103">
        <v>1.0999999999999999E-2</v>
      </c>
      <c r="K46" s="103">
        <v>1.0999999999999999E-2</v>
      </c>
      <c r="L46" s="103">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28"/>
  <sheetViews>
    <sheetView topLeftCell="A16" zoomScale="183" workbookViewId="0">
      <selection activeCell="C22" sqref="C22"/>
    </sheetView>
  </sheetViews>
  <sheetFormatPr baseColWidth="10" defaultRowHeight="16" x14ac:dyDescent="0.2"/>
  <cols>
    <col min="1" max="1" width="2" style="8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9" customFormat="1" ht="18" customHeight="1" x14ac:dyDescent="0.2">
      <c r="A1" s="4"/>
      <c r="B1" s="88" t="s">
        <v>206</v>
      </c>
    </row>
    <row r="2" spans="1:31" x14ac:dyDescent="0.2">
      <c r="A2" s="4"/>
      <c r="C2" s="215" t="s">
        <v>149</v>
      </c>
      <c r="D2" s="215"/>
      <c r="E2" s="215"/>
      <c r="F2" s="215"/>
      <c r="G2" s="222"/>
      <c r="H2" s="223" t="s">
        <v>150</v>
      </c>
      <c r="I2" s="215"/>
      <c r="J2" s="215"/>
      <c r="K2" s="215"/>
      <c r="L2" s="215"/>
      <c r="S2" s="224"/>
      <c r="T2" s="224"/>
      <c r="U2" s="224"/>
      <c r="V2" s="224"/>
      <c r="W2" s="224"/>
      <c r="X2" s="224"/>
      <c r="Y2" s="224"/>
      <c r="Z2" s="224"/>
      <c r="AA2" s="224"/>
      <c r="AB2" s="224"/>
      <c r="AC2" s="224"/>
      <c r="AE2" s="134"/>
    </row>
    <row r="3" spans="1:31" ht="10" customHeight="1" x14ac:dyDescent="0.2"/>
    <row r="4" spans="1:31" ht="16" customHeight="1" x14ac:dyDescent="0.2">
      <c r="A4" s="92"/>
      <c r="B4" s="62"/>
      <c r="C4" s="219" t="s">
        <v>19</v>
      </c>
      <c r="D4" s="219"/>
      <c r="E4" s="219"/>
      <c r="F4" s="219"/>
      <c r="G4" s="219"/>
      <c r="H4" s="219"/>
      <c r="I4" s="219"/>
      <c r="J4" s="219"/>
      <c r="K4" s="219"/>
      <c r="L4" s="219"/>
      <c r="S4" s="224"/>
      <c r="T4" s="224"/>
      <c r="U4" s="224"/>
      <c r="V4" s="224"/>
      <c r="W4" s="224"/>
      <c r="X4" s="224"/>
      <c r="Y4" s="224"/>
      <c r="Z4" s="224"/>
      <c r="AA4" s="224"/>
      <c r="AB4" s="224"/>
      <c r="AC4" s="224"/>
      <c r="AE4" s="135"/>
    </row>
    <row r="5" spans="1:31" x14ac:dyDescent="0.2">
      <c r="B5" s="18" t="s">
        <v>186</v>
      </c>
      <c r="C5" s="14">
        <f>Revenue!C5</f>
        <v>2022</v>
      </c>
      <c r="D5" s="14">
        <f>Revenue!D5</f>
        <v>2023</v>
      </c>
      <c r="E5" s="14">
        <f>Revenue!E5</f>
        <v>2024</v>
      </c>
      <c r="F5" s="14">
        <f>Revenue!F5</f>
        <v>2025</v>
      </c>
      <c r="G5" s="14">
        <f>Revenue!G5</f>
        <v>2026</v>
      </c>
      <c r="H5" s="14">
        <f>G5+1</f>
        <v>2027</v>
      </c>
      <c r="I5" s="14">
        <f t="shared" ref="I5:L5" si="0">H5+1</f>
        <v>2028</v>
      </c>
      <c r="J5" s="14">
        <f t="shared" si="0"/>
        <v>2029</v>
      </c>
      <c r="K5" s="14">
        <f t="shared" si="0"/>
        <v>2030</v>
      </c>
      <c r="L5" s="14">
        <f t="shared" si="0"/>
        <v>2031</v>
      </c>
      <c r="R5" s="18"/>
      <c r="S5" s="136"/>
      <c r="T5" s="136"/>
      <c r="U5" s="136"/>
      <c r="V5" s="136"/>
      <c r="W5" s="136"/>
      <c r="X5" s="136"/>
      <c r="Y5" s="136"/>
      <c r="Z5" s="136"/>
      <c r="AA5" s="136"/>
      <c r="AB5" s="136"/>
      <c r="AC5" s="136"/>
      <c r="AE5" s="135"/>
    </row>
    <row r="6" spans="1:31" x14ac:dyDescent="0.2">
      <c r="B6" s="18" t="s">
        <v>20</v>
      </c>
      <c r="C6" s="98">
        <f>Revenue!C9</f>
        <v>892252</v>
      </c>
      <c r="D6" s="98">
        <f>Revenue!D9</f>
        <v>1058581</v>
      </c>
      <c r="E6" s="98">
        <f>Revenue!E9</f>
        <v>1308072</v>
      </c>
      <c r="F6" s="98">
        <f>Revenue!F9</f>
        <v>1429664</v>
      </c>
      <c r="G6" s="99">
        <f>Revenue!G9</f>
        <v>1610572</v>
      </c>
      <c r="H6" s="98">
        <f>Revenue!H9</f>
        <v>1745050</v>
      </c>
      <c r="I6" s="98">
        <f>Revenue!I9</f>
        <v>1921420.5999999999</v>
      </c>
      <c r="J6" s="98">
        <f>Revenue!J9</f>
        <v>2093013.4620000001</v>
      </c>
      <c r="K6" s="98">
        <f>Revenue!K9</f>
        <v>2230289.1351000001</v>
      </c>
      <c r="L6" s="98">
        <f>Revenue!L9</f>
        <v>2374428.5918549998</v>
      </c>
      <c r="N6" s="96" t="s">
        <v>207</v>
      </c>
      <c r="Q6" s="96"/>
      <c r="S6" s="94"/>
      <c r="T6" s="94"/>
      <c r="U6" s="94"/>
      <c r="V6" s="94"/>
      <c r="W6" s="94"/>
      <c r="X6" s="94"/>
      <c r="Y6" s="94"/>
      <c r="Z6" s="94"/>
      <c r="AA6" s="66"/>
      <c r="AB6" s="66"/>
      <c r="AC6" s="66"/>
      <c r="AE6" s="66"/>
    </row>
    <row r="7" spans="1:31" x14ac:dyDescent="0.2">
      <c r="B7" s="1" t="s">
        <v>21</v>
      </c>
      <c r="C7" s="94">
        <f>'COGS &amp; OpEx'!C14</f>
        <v>168868</v>
      </c>
      <c r="D7" s="94">
        <f>'COGS &amp; OpEx'!D14</f>
        <v>180051</v>
      </c>
      <c r="E7" s="94">
        <f>'COGS &amp; OpEx'!E14</f>
        <v>195924</v>
      </c>
      <c r="F7" s="94">
        <f>'COGS &amp; OpEx'!F14</f>
        <v>246942</v>
      </c>
      <c r="G7" s="95">
        <f>'COGS &amp; OpEx'!G14</f>
        <v>270984</v>
      </c>
      <c r="H7" s="137">
        <f>'COGS &amp; OpEx'!H14</f>
        <v>275717.90000000002</v>
      </c>
      <c r="I7" s="137">
        <f>'COGS &amp; OpEx'!I14</f>
        <v>303584.45480000001</v>
      </c>
      <c r="J7" s="137">
        <f>'COGS &amp; OpEx'!J14</f>
        <v>297207.91160400002</v>
      </c>
      <c r="K7" s="137">
        <f>'COGS &amp; OpEx'!K14</f>
        <v>316701.05718419998</v>
      </c>
      <c r="L7" s="137">
        <f>'COGS &amp; OpEx'!L14</f>
        <v>301552.43116558495</v>
      </c>
      <c r="N7" s="96" t="s">
        <v>208</v>
      </c>
      <c r="Q7" s="96"/>
      <c r="S7" s="94"/>
      <c r="T7" s="94"/>
      <c r="U7" s="94"/>
      <c r="V7" s="94"/>
      <c r="W7" s="94"/>
      <c r="X7" s="94"/>
      <c r="Y7" s="94"/>
      <c r="Z7" s="94"/>
      <c r="AA7" s="66"/>
      <c r="AB7" s="66"/>
      <c r="AC7" s="66"/>
      <c r="AE7" s="66"/>
    </row>
    <row r="8" spans="1:31" x14ac:dyDescent="0.2">
      <c r="B8" s="18" t="s">
        <v>209</v>
      </c>
      <c r="C8" s="100">
        <f>C6-C7</f>
        <v>723384</v>
      </c>
      <c r="D8" s="100">
        <f t="shared" ref="D8:L8" si="1">D6-D7</f>
        <v>878530</v>
      </c>
      <c r="E8" s="100">
        <f t="shared" si="1"/>
        <v>1112148</v>
      </c>
      <c r="F8" s="100">
        <f t="shared" si="1"/>
        <v>1182722</v>
      </c>
      <c r="G8" s="152">
        <f t="shared" si="1"/>
        <v>1339588</v>
      </c>
      <c r="H8" s="100">
        <f t="shared" si="1"/>
        <v>1469332.1</v>
      </c>
      <c r="I8" s="100">
        <f t="shared" si="1"/>
        <v>1617836.1451999999</v>
      </c>
      <c r="J8" s="100">
        <f t="shared" si="1"/>
        <v>1795805.550396</v>
      </c>
      <c r="K8" s="100">
        <f t="shared" si="1"/>
        <v>1913588.0779158</v>
      </c>
      <c r="L8" s="100">
        <f t="shared" si="1"/>
        <v>2072876.1606894149</v>
      </c>
      <c r="N8" s="96"/>
      <c r="Q8" s="96"/>
      <c r="S8" s="94"/>
      <c r="T8" s="94"/>
      <c r="U8" s="94"/>
      <c r="V8" s="94"/>
      <c r="W8" s="94"/>
      <c r="X8" s="94"/>
      <c r="Y8" s="94"/>
      <c r="Z8" s="94"/>
      <c r="AA8" s="66"/>
      <c r="AB8" s="66"/>
      <c r="AC8" s="66"/>
      <c r="AE8" s="66"/>
    </row>
    <row r="9" spans="1:31" x14ac:dyDescent="0.2">
      <c r="B9" s="1" t="s">
        <v>26</v>
      </c>
      <c r="C9" s="94">
        <f>'COGS &amp; OpEx'!C18</f>
        <v>1224330</v>
      </c>
      <c r="D9" s="94">
        <f>'COGS &amp; OpEx'!D18</f>
        <v>1226813</v>
      </c>
      <c r="E9" s="94">
        <f>'COGS &amp; OpEx'!E18</f>
        <v>1276868</v>
      </c>
      <c r="F9" s="94">
        <f>'COGS &amp; OpEx'!F18</f>
        <v>1345291</v>
      </c>
      <c r="G9" s="95">
        <f>'COGS &amp; OpEx'!G18</f>
        <v>1282828</v>
      </c>
      <c r="H9" s="137">
        <f>'COGS &amp; OpEx'!H18</f>
        <v>1343688.5</v>
      </c>
      <c r="I9" s="137">
        <f>'COGS &amp; OpEx'!I18</f>
        <v>1479493.862</v>
      </c>
      <c r="J9" s="137">
        <f>'COGS &amp; OpEx'!J18</f>
        <v>1538364.89457</v>
      </c>
      <c r="K9" s="137">
        <f>'COGS &amp; OpEx'!K18</f>
        <v>1628111.0686230001</v>
      </c>
      <c r="L9" s="137">
        <f>'COGS &amp; OpEx'!L18</f>
        <v>1662100.0142985</v>
      </c>
      <c r="N9" s="153" t="s">
        <v>208</v>
      </c>
      <c r="Q9" s="96"/>
      <c r="S9" s="94"/>
      <c r="T9" s="94"/>
      <c r="U9" s="94"/>
      <c r="V9" s="94"/>
      <c r="W9" s="94"/>
      <c r="X9" s="94"/>
      <c r="Y9" s="94"/>
      <c r="Z9" s="94"/>
      <c r="AA9" s="66"/>
      <c r="AB9" s="66"/>
      <c r="AC9" s="66"/>
      <c r="AE9" s="66"/>
    </row>
    <row r="10" spans="1:31" x14ac:dyDescent="0.2">
      <c r="B10" s="18" t="s">
        <v>210</v>
      </c>
      <c r="C10" s="100">
        <f t="shared" ref="C10:L10" si="2">C8-C9</f>
        <v>-500946</v>
      </c>
      <c r="D10" s="100">
        <f t="shared" si="2"/>
        <v>-348283</v>
      </c>
      <c r="E10" s="100">
        <f t="shared" si="2"/>
        <v>-164720</v>
      </c>
      <c r="F10" s="100">
        <f t="shared" si="2"/>
        <v>-162569</v>
      </c>
      <c r="G10" s="152">
        <f t="shared" si="2"/>
        <v>56760</v>
      </c>
      <c r="H10" s="100">
        <f t="shared" si="2"/>
        <v>125643.60000000009</v>
      </c>
      <c r="I10" s="100">
        <f t="shared" si="2"/>
        <v>138342.28319999995</v>
      </c>
      <c r="J10" s="100">
        <f t="shared" si="2"/>
        <v>257440.65582600003</v>
      </c>
      <c r="K10" s="100">
        <f t="shared" si="2"/>
        <v>285477.00929279998</v>
      </c>
      <c r="L10" s="100">
        <f t="shared" si="2"/>
        <v>410776.14639091492</v>
      </c>
      <c r="N10" s="96"/>
      <c r="Q10" s="96"/>
      <c r="S10" s="94"/>
      <c r="T10" s="94"/>
      <c r="U10" s="94"/>
      <c r="V10" s="94"/>
      <c r="W10" s="94"/>
      <c r="X10" s="94"/>
      <c r="Y10" s="94"/>
      <c r="Z10" s="94"/>
      <c r="AA10" s="66"/>
      <c r="AB10" s="66"/>
      <c r="AC10" s="66"/>
      <c r="AE10" s="66"/>
    </row>
    <row r="13" spans="1:31" x14ac:dyDescent="0.2">
      <c r="C13" s="219" t="s">
        <v>211</v>
      </c>
      <c r="D13" s="219"/>
      <c r="E13" s="219"/>
      <c r="F13" s="219"/>
      <c r="G13" s="219"/>
      <c r="H13" s="219"/>
      <c r="I13" s="219"/>
      <c r="J13" s="219"/>
      <c r="K13" s="219"/>
      <c r="L13" s="219"/>
    </row>
    <row r="14" spans="1:31" x14ac:dyDescent="0.2">
      <c r="C14" s="14">
        <f t="shared" ref="C14:L14" si="3">C5</f>
        <v>2022</v>
      </c>
      <c r="D14" s="14">
        <f t="shared" si="3"/>
        <v>2023</v>
      </c>
      <c r="E14" s="14">
        <f t="shared" si="3"/>
        <v>2024</v>
      </c>
      <c r="F14" s="14">
        <f t="shared" si="3"/>
        <v>2025</v>
      </c>
      <c r="G14" s="14">
        <f t="shared" si="3"/>
        <v>2026</v>
      </c>
      <c r="H14" s="14">
        <f t="shared" si="3"/>
        <v>2027</v>
      </c>
      <c r="I14" s="14">
        <f t="shared" si="3"/>
        <v>2028</v>
      </c>
      <c r="J14" s="14">
        <f t="shared" si="3"/>
        <v>2029</v>
      </c>
      <c r="K14" s="14">
        <f t="shared" si="3"/>
        <v>2030</v>
      </c>
      <c r="L14" s="14">
        <f t="shared" si="3"/>
        <v>2031</v>
      </c>
    </row>
    <row r="15" spans="1:31" x14ac:dyDescent="0.2">
      <c r="B15" s="1" t="s">
        <v>78</v>
      </c>
      <c r="C15" s="154">
        <f>-Statement!M78</f>
        <v>0</v>
      </c>
      <c r="D15" s="154">
        <f>-Statement!N78</f>
        <v>0</v>
      </c>
      <c r="E15" s="154">
        <f>-Statement!O78</f>
        <v>0</v>
      </c>
      <c r="F15" s="154">
        <f>-Statement!P78</f>
        <v>0</v>
      </c>
      <c r="G15" s="155">
        <f>-Statement!Q78</f>
        <v>0</v>
      </c>
      <c r="H15" s="154">
        <f>Overview!$C$26</f>
        <v>0.21</v>
      </c>
      <c r="I15" s="154">
        <f>Overview!$C$26</f>
        <v>0.21</v>
      </c>
      <c r="J15" s="154">
        <f>Overview!$C$26</f>
        <v>0.21</v>
      </c>
      <c r="K15" s="154">
        <f>Overview!$C$26</f>
        <v>0.21</v>
      </c>
      <c r="L15" s="154">
        <f>Overview!$C$26</f>
        <v>0.21</v>
      </c>
      <c r="N15" s="1" t="s">
        <v>217</v>
      </c>
    </row>
    <row r="18" spans="2:14" x14ac:dyDescent="0.2">
      <c r="C18" s="219" t="s">
        <v>212</v>
      </c>
      <c r="D18" s="219"/>
      <c r="E18" s="219"/>
      <c r="F18" s="219"/>
      <c r="G18" s="219"/>
      <c r="H18" s="219"/>
      <c r="I18" s="219"/>
      <c r="J18" s="219"/>
      <c r="K18" s="219"/>
      <c r="L18" s="219"/>
    </row>
    <row r="19" spans="2:14" x14ac:dyDescent="0.2">
      <c r="B19" s="18" t="s">
        <v>186</v>
      </c>
      <c r="C19" s="14">
        <f t="shared" ref="C19:L19" si="4">C5</f>
        <v>2022</v>
      </c>
      <c r="D19" s="14">
        <f t="shared" si="4"/>
        <v>2023</v>
      </c>
      <c r="E19" s="14">
        <f t="shared" si="4"/>
        <v>2024</v>
      </c>
      <c r="F19" s="14">
        <f t="shared" si="4"/>
        <v>2025</v>
      </c>
      <c r="G19" s="14">
        <f t="shared" si="4"/>
        <v>2026</v>
      </c>
      <c r="H19" s="14">
        <f t="shared" si="4"/>
        <v>2027</v>
      </c>
      <c r="I19" s="14">
        <f t="shared" si="4"/>
        <v>2028</v>
      </c>
      <c r="J19" s="14">
        <f t="shared" si="4"/>
        <v>2029</v>
      </c>
      <c r="K19" s="14">
        <f t="shared" si="4"/>
        <v>2030</v>
      </c>
      <c r="L19" s="14">
        <f t="shared" si="4"/>
        <v>2031</v>
      </c>
    </row>
    <row r="20" spans="2:14" x14ac:dyDescent="0.2">
      <c r="B20" s="1" t="s">
        <v>60</v>
      </c>
      <c r="C20" s="94">
        <f>'WC &amp; Investments'!C42</f>
        <v>14705</v>
      </c>
      <c r="D20" s="94">
        <f>'WC &amp; Investments'!D42</f>
        <v>18723</v>
      </c>
      <c r="E20" s="94">
        <f>'WC &amp; Investments'!E42</f>
        <v>22597</v>
      </c>
      <c r="F20" s="94">
        <f>'WC &amp; Investments'!F42</f>
        <v>17232</v>
      </c>
      <c r="G20" s="95">
        <f>'WC &amp; Investments'!G42</f>
        <v>16969</v>
      </c>
      <c r="H20" s="94">
        <f>'WC &amp; Investments'!H42</f>
        <v>17450.5</v>
      </c>
      <c r="I20" s="94">
        <f>'WC &amp; Investments'!I42</f>
        <v>19214.205999999998</v>
      </c>
      <c r="J20" s="94">
        <f>'WC &amp; Investments'!J42</f>
        <v>20930.134620000001</v>
      </c>
      <c r="K20" s="94">
        <f>'WC &amp; Investments'!K42</f>
        <v>22302.891351000002</v>
      </c>
      <c r="L20" s="94">
        <f>'WC &amp; Investments'!L42</f>
        <v>23744.285918549998</v>
      </c>
      <c r="N20" s="1" t="s">
        <v>213</v>
      </c>
    </row>
    <row r="21" spans="2:14" x14ac:dyDescent="0.2">
      <c r="B21" s="1" t="s">
        <v>63</v>
      </c>
      <c r="C21" s="94">
        <f>'WC &amp; Investments'!C45</f>
        <v>8879</v>
      </c>
      <c r="D21" s="94">
        <f>'WC &amp; Investments'!D45</f>
        <v>23815</v>
      </c>
      <c r="E21" s="94">
        <f>'WC &amp; Investments'!E45</f>
        <v>7342</v>
      </c>
      <c r="F21" s="94">
        <f>'WC &amp; Investments'!F45</f>
        <v>14923</v>
      </c>
      <c r="G21" s="95">
        <f>'WC &amp; Investments'!G45</f>
        <v>19048</v>
      </c>
      <c r="H21" s="94">
        <f>'WC &amp; Investments'!H45</f>
        <v>19195.55</v>
      </c>
      <c r="I21" s="94">
        <f>'WC &amp; Investments'!I45</f>
        <v>21135.626599999996</v>
      </c>
      <c r="J21" s="94">
        <f>'WC &amp; Investments'!J45</f>
        <v>23023.148082</v>
      </c>
      <c r="K21" s="94">
        <f>'WC &amp; Investments'!K45</f>
        <v>24533.180486099998</v>
      </c>
      <c r="L21" s="94">
        <f>'WC &amp; Investments'!L45</f>
        <v>26118.714510404996</v>
      </c>
      <c r="N21" s="1" t="s">
        <v>213</v>
      </c>
    </row>
    <row r="22" spans="2:14" x14ac:dyDescent="0.2">
      <c r="B22" s="1" t="s">
        <v>214</v>
      </c>
      <c r="C22" s="94">
        <f>'WC &amp; Investments'!C35</f>
        <v>-105902</v>
      </c>
      <c r="D22" s="94">
        <f>'WC &amp; Investments'!D35</f>
        <v>-146687</v>
      </c>
      <c r="E22" s="94">
        <f>'WC &amp; Investments'!E35</f>
        <v>-66928</v>
      </c>
      <c r="F22" s="94">
        <f>'WC &amp; Investments'!F35</f>
        <v>-41772</v>
      </c>
      <c r="G22" s="95">
        <f>'WC &amp; Investments'!G35</f>
        <v>-149207</v>
      </c>
      <c r="H22" s="94">
        <f>'WC &amp; Investments'!H35</f>
        <v>-85958.152876712324</v>
      </c>
      <c r="I22" s="94">
        <f>'WC &amp; Investments'!I35</f>
        <v>-118703.56934136974</v>
      </c>
      <c r="J22" s="94">
        <f>'WC &amp; Investments'!J35</f>
        <v>-124307.47934906307</v>
      </c>
      <c r="K22" s="94">
        <f>'WC &amp; Investments'!K35</f>
        <v>-114573.0443397272</v>
      </c>
      <c r="L22" s="94">
        <f>'WC &amp; Investments'!L35</f>
        <v>-123524.76947230232</v>
      </c>
      <c r="N22" s="1" t="s">
        <v>213</v>
      </c>
    </row>
    <row r="25" spans="2:14" x14ac:dyDescent="0.2">
      <c r="C25" s="219" t="s">
        <v>215</v>
      </c>
      <c r="D25" s="219"/>
      <c r="E25" s="219"/>
      <c r="F25" s="219"/>
      <c r="G25" s="219"/>
      <c r="H25" s="219"/>
      <c r="I25" s="219"/>
      <c r="J25" s="219"/>
      <c r="K25" s="219"/>
      <c r="L25" s="219"/>
    </row>
    <row r="26" spans="2:14" x14ac:dyDescent="0.2">
      <c r="B26" s="18" t="s">
        <v>186</v>
      </c>
      <c r="C26" s="14">
        <f t="shared" ref="C26:L26" si="5">C5</f>
        <v>2022</v>
      </c>
      <c r="D26" s="14">
        <f t="shared" si="5"/>
        <v>2023</v>
      </c>
      <c r="E26" s="14">
        <f t="shared" si="5"/>
        <v>2024</v>
      </c>
      <c r="F26" s="14">
        <f t="shared" si="5"/>
        <v>2025</v>
      </c>
      <c r="G26" s="14">
        <f t="shared" si="5"/>
        <v>2026</v>
      </c>
      <c r="H26" s="14">
        <f t="shared" si="5"/>
        <v>2027</v>
      </c>
      <c r="I26" s="14">
        <f t="shared" si="5"/>
        <v>2028</v>
      </c>
      <c r="J26" s="14">
        <f t="shared" si="5"/>
        <v>2029</v>
      </c>
      <c r="K26" s="14">
        <f t="shared" si="5"/>
        <v>2030</v>
      </c>
      <c r="L26" s="14">
        <f t="shared" si="5"/>
        <v>2031</v>
      </c>
    </row>
    <row r="27" spans="2:14" x14ac:dyDescent="0.2">
      <c r="B27" s="1" t="s">
        <v>216</v>
      </c>
      <c r="C27" s="151">
        <f>C10*(1-C15)</f>
        <v>-500946</v>
      </c>
      <c r="D27" s="151">
        <f t="shared" ref="D27:L27" si="6">D10*(1-D15)</f>
        <v>-348283</v>
      </c>
      <c r="E27" s="151">
        <f t="shared" si="6"/>
        <v>-164720</v>
      </c>
      <c r="F27" s="151">
        <f t="shared" si="6"/>
        <v>-162569</v>
      </c>
      <c r="G27" s="156">
        <f t="shared" si="6"/>
        <v>56760</v>
      </c>
      <c r="H27" s="151">
        <f t="shared" si="6"/>
        <v>99258.444000000076</v>
      </c>
      <c r="I27" s="151">
        <f t="shared" si="6"/>
        <v>109290.40372799996</v>
      </c>
      <c r="J27" s="151">
        <f t="shared" si="6"/>
        <v>203378.11810254003</v>
      </c>
      <c r="K27" s="151">
        <f t="shared" si="6"/>
        <v>225526.837341312</v>
      </c>
      <c r="L27" s="151">
        <f t="shared" si="6"/>
        <v>324513.15564882278</v>
      </c>
    </row>
    <row r="28" spans="2:14" x14ac:dyDescent="0.2">
      <c r="B28" s="18" t="s">
        <v>215</v>
      </c>
      <c r="C28" s="100">
        <f>C27+C20-C21+C22</f>
        <v>-601022</v>
      </c>
      <c r="D28" s="100">
        <f t="shared" ref="D28:L28" si="7">D27+D20-D21+D22</f>
        <v>-500062</v>
      </c>
      <c r="E28" s="100">
        <f t="shared" si="7"/>
        <v>-216393</v>
      </c>
      <c r="F28" s="100">
        <f t="shared" si="7"/>
        <v>-202032</v>
      </c>
      <c r="G28" s="152">
        <f t="shared" si="7"/>
        <v>-94526</v>
      </c>
      <c r="H28" s="100">
        <f t="shared" si="7"/>
        <v>11555.241123287749</v>
      </c>
      <c r="I28" s="100">
        <f t="shared" si="7"/>
        <v>-11334.586213369781</v>
      </c>
      <c r="J28" s="100">
        <f t="shared" si="7"/>
        <v>76977.625291476957</v>
      </c>
      <c r="K28" s="100">
        <f t="shared" si="7"/>
        <v>108723.5038664848</v>
      </c>
      <c r="L28" s="100">
        <f t="shared" si="7"/>
        <v>198613.95758466548</v>
      </c>
    </row>
  </sheetData>
  <mergeCells count="9">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218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zoomScale="187" zoomScaleNormal="100" workbookViewId="0">
      <selection activeCell="C11" sqref="C11"/>
    </sheetView>
  </sheetViews>
  <sheetFormatPr baseColWidth="10" defaultRowHeight="16" x14ac:dyDescent="0.2"/>
  <cols>
    <col min="1" max="1" width="2" style="8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9" customFormat="1" ht="18" customHeight="1" x14ac:dyDescent="0.2">
      <c r="A1" s="4"/>
      <c r="B1" s="88" t="s">
        <v>219</v>
      </c>
    </row>
    <row r="2" spans="1:3" s="89" customFormat="1" ht="18" customHeight="1" x14ac:dyDescent="0.2">
      <c r="A2" s="4"/>
      <c r="B2" s="88"/>
    </row>
    <row r="3" spans="1:3" ht="17" customHeight="1" x14ac:dyDescent="0.2"/>
    <row r="4" spans="1:3" ht="17" customHeight="1" x14ac:dyDescent="0.2">
      <c r="B4" s="215" t="s">
        <v>220</v>
      </c>
      <c r="C4" s="215"/>
    </row>
    <row r="5" spans="1:3" ht="17" customHeight="1" x14ac:dyDescent="0.2">
      <c r="B5" s="1" t="s">
        <v>221</v>
      </c>
      <c r="C5" s="162">
        <f>Statement!AC73</f>
        <v>530657</v>
      </c>
    </row>
    <row r="6" spans="1:3" ht="17" customHeight="1" x14ac:dyDescent="0.2">
      <c r="B6" s="1" t="s">
        <v>1</v>
      </c>
      <c r="C6" s="158">
        <f ca="1">Overview!C5</f>
        <v>10.93</v>
      </c>
    </row>
    <row r="7" spans="1:3" ht="17" customHeight="1" x14ac:dyDescent="0.2">
      <c r="B7" s="1" t="s">
        <v>222</v>
      </c>
      <c r="C7" s="159">
        <f ca="1">C5*C6</f>
        <v>5800081.0099999998</v>
      </c>
    </row>
    <row r="8" spans="1:3" ht="17" customHeight="1" x14ac:dyDescent="0.2">
      <c r="B8" s="1" t="s">
        <v>223</v>
      </c>
      <c r="C8" s="137">
        <f>Statement!AC113</f>
        <v>0</v>
      </c>
    </row>
    <row r="9" spans="1:3" ht="17" customHeight="1" x14ac:dyDescent="0.2">
      <c r="B9" s="1" t="s">
        <v>224</v>
      </c>
      <c r="C9" s="160">
        <f>[1]Sheet1!$C$10/1000</f>
        <v>4.5859999999999998E-2</v>
      </c>
    </row>
    <row r="10" spans="1:3" ht="17" customHeight="1" x14ac:dyDescent="0.2">
      <c r="B10" s="1" t="s">
        <v>9</v>
      </c>
      <c r="C10" s="158">
        <f ca="1">Overview!C13</f>
        <v>0.92749999999999999</v>
      </c>
    </row>
    <row r="11" spans="1:3" ht="17" customHeight="1" x14ac:dyDescent="0.2">
      <c r="B11" s="1" t="s">
        <v>225</v>
      </c>
      <c r="C11" s="161">
        <f>[2]Sheet1!$C$12</f>
        <v>0.05</v>
      </c>
    </row>
    <row r="12" spans="1:3" ht="17" customHeight="1" x14ac:dyDescent="0.2">
      <c r="B12" s="1" t="s">
        <v>78</v>
      </c>
      <c r="C12" s="161">
        <f>Overview!C26</f>
        <v>0.21</v>
      </c>
    </row>
    <row r="13" spans="1:3" ht="17" customHeight="1" x14ac:dyDescent="0.2">
      <c r="B13" s="1" t="s">
        <v>226</v>
      </c>
      <c r="C13" s="161">
        <f>Overview!C27</f>
        <v>0</v>
      </c>
    </row>
    <row r="14" spans="1:3" ht="17" customHeight="1" x14ac:dyDescent="0.2"/>
    <row r="15" spans="1:3" ht="17" customHeight="1" x14ac:dyDescent="0.2">
      <c r="B15" s="215" t="s">
        <v>227</v>
      </c>
      <c r="C15" s="215"/>
    </row>
    <row r="16" spans="1:3" ht="17" customHeight="1" x14ac:dyDescent="0.2">
      <c r="B16" s="1" t="s">
        <v>228</v>
      </c>
      <c r="C16" s="48">
        <f ca="1">C8/(C8+C7)</f>
        <v>0</v>
      </c>
    </row>
    <row r="17" spans="2:3" ht="17" customHeight="1" x14ac:dyDescent="0.2">
      <c r="B17" s="1" t="s">
        <v>229</v>
      </c>
      <c r="C17" s="48">
        <f ca="1">C7/(C8+C7)</f>
        <v>1</v>
      </c>
    </row>
    <row r="18" spans="2:3" ht="17" customHeight="1" x14ac:dyDescent="0.2">
      <c r="B18" s="1" t="s">
        <v>230</v>
      </c>
      <c r="C18" s="48">
        <f>C13*(1-C12)</f>
        <v>0</v>
      </c>
    </row>
    <row r="19" spans="2:3" ht="17" customHeight="1" x14ac:dyDescent="0.2">
      <c r="B19" s="1" t="s">
        <v>231</v>
      </c>
      <c r="C19" s="48">
        <f ca="1">C9+C10*C11</f>
        <v>9.2234999999999998E-2</v>
      </c>
    </row>
    <row r="20" spans="2:3" ht="17" customHeight="1" x14ac:dyDescent="0.2">
      <c r="B20" s="1" t="s">
        <v>219</v>
      </c>
      <c r="C20" s="48">
        <f ca="1">(C17*C19)+(C16*C18)</f>
        <v>9.2234999999999998E-2</v>
      </c>
    </row>
    <row r="21" spans="2:3" ht="17" customHeight="1" x14ac:dyDescent="0.2">
      <c r="B21" s="1" t="s">
        <v>296</v>
      </c>
      <c r="C21" s="161">
        <v>0</v>
      </c>
    </row>
  </sheetData>
  <mergeCells count="2">
    <mergeCell ref="B4:C4"/>
    <mergeCell ref="B15:C15"/>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24" sqref="C24"/>
    </sheetView>
  </sheetViews>
  <sheetFormatPr baseColWidth="10" defaultRowHeight="16" x14ac:dyDescent="0.2"/>
  <cols>
    <col min="1" max="1" width="2" style="8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9" customFormat="1" ht="18" customHeight="1" x14ac:dyDescent="0.2">
      <c r="A1" s="4"/>
      <c r="B1" s="88" t="s">
        <v>233</v>
      </c>
    </row>
    <row r="2" spans="1:28" s="89" customFormat="1" ht="18" customHeight="1" x14ac:dyDescent="0.2">
      <c r="A2" s="4"/>
      <c r="B2" s="88"/>
    </row>
    <row r="3" spans="1:28" x14ac:dyDescent="0.2">
      <c r="A3" s="4"/>
      <c r="C3" s="215" t="s">
        <v>149</v>
      </c>
      <c r="D3" s="215"/>
      <c r="E3" s="215"/>
      <c r="F3" s="215"/>
      <c r="G3" s="222"/>
      <c r="H3" s="223" t="s">
        <v>150</v>
      </c>
      <c r="I3" s="215"/>
      <c r="J3" s="215"/>
      <c r="K3" s="215"/>
      <c r="L3" s="215"/>
      <c r="P3" s="224"/>
      <c r="Q3" s="224"/>
      <c r="R3" s="224"/>
      <c r="S3" s="224"/>
      <c r="T3" s="224"/>
      <c r="U3" s="224"/>
      <c r="V3" s="224"/>
      <c r="W3" s="224"/>
      <c r="X3" s="224"/>
      <c r="Y3" s="224"/>
      <c r="Z3" s="224"/>
      <c r="AB3" s="134"/>
    </row>
    <row r="4" spans="1:28" ht="10" customHeight="1" x14ac:dyDescent="0.2"/>
    <row r="5" spans="1:28" ht="16" customHeight="1" x14ac:dyDescent="0.2">
      <c r="A5" s="92"/>
      <c r="B5" s="62"/>
      <c r="C5" s="219" t="s">
        <v>234</v>
      </c>
      <c r="D5" s="219"/>
      <c r="E5" s="219"/>
      <c r="F5" s="219"/>
      <c r="G5" s="219"/>
      <c r="H5" s="219"/>
      <c r="I5" s="219"/>
      <c r="J5" s="219"/>
      <c r="K5" s="219"/>
      <c r="L5" s="219"/>
      <c r="P5" s="224"/>
      <c r="Q5" s="224"/>
      <c r="R5" s="224"/>
      <c r="S5" s="224"/>
      <c r="T5" s="224"/>
      <c r="U5" s="224"/>
      <c r="V5" s="224"/>
      <c r="W5" s="224"/>
      <c r="X5" s="224"/>
      <c r="Y5" s="224"/>
      <c r="Z5" s="224"/>
      <c r="AB5" s="135"/>
    </row>
    <row r="6" spans="1:28" x14ac:dyDescent="0.2">
      <c r="B6" s="18" t="s">
        <v>186</v>
      </c>
      <c r="C6" s="14">
        <f>Revenue!C20</f>
        <v>2022</v>
      </c>
      <c r="D6" s="14">
        <f>Revenue!D20</f>
        <v>2023</v>
      </c>
      <c r="E6" s="14">
        <f>Revenue!E20</f>
        <v>2024</v>
      </c>
      <c r="F6" s="14">
        <f>Revenue!F20</f>
        <v>2025</v>
      </c>
      <c r="G6" s="14">
        <f>Revenue!G20</f>
        <v>2026</v>
      </c>
      <c r="H6" s="14">
        <f>Revenue!H20</f>
        <v>2027</v>
      </c>
      <c r="I6" s="14">
        <f>Revenue!I20</f>
        <v>2028</v>
      </c>
      <c r="J6" s="14">
        <f>Revenue!J20</f>
        <v>2029</v>
      </c>
      <c r="K6" s="14">
        <f>Revenue!K20</f>
        <v>2030</v>
      </c>
      <c r="L6" s="14">
        <f>Revenue!L20</f>
        <v>2031</v>
      </c>
      <c r="O6" s="18"/>
      <c r="P6" s="136"/>
      <c r="Q6" s="136"/>
      <c r="R6" s="136"/>
      <c r="S6" s="136"/>
      <c r="T6" s="136"/>
      <c r="U6" s="136"/>
      <c r="V6" s="136"/>
      <c r="W6" s="136"/>
      <c r="X6" s="136"/>
      <c r="Y6" s="136"/>
      <c r="Z6" s="136"/>
      <c r="AB6" s="135"/>
    </row>
    <row r="7" spans="1:28" x14ac:dyDescent="0.2">
      <c r="B7" s="41" t="s">
        <v>215</v>
      </c>
      <c r="C7" s="137">
        <f>'FCF &amp; Other'!C28</f>
        <v>-601022</v>
      </c>
      <c r="D7" s="137">
        <f>'FCF &amp; Other'!D28</f>
        <v>-500062</v>
      </c>
      <c r="E7" s="137">
        <f>'FCF &amp; Other'!E28</f>
        <v>-216393</v>
      </c>
      <c r="F7" s="137">
        <f>'FCF &amp; Other'!F28</f>
        <v>-202032</v>
      </c>
      <c r="G7" s="138">
        <f>'FCF &amp; Other'!G28</f>
        <v>-94526</v>
      </c>
      <c r="H7" s="137">
        <f>'FCF &amp; Other'!H28</f>
        <v>11555.241123287749</v>
      </c>
      <c r="I7" s="137">
        <f>'FCF &amp; Other'!I28</f>
        <v>-11334.586213369781</v>
      </c>
      <c r="J7" s="137">
        <f>'FCF &amp; Other'!J28</f>
        <v>76977.625291476957</v>
      </c>
      <c r="K7" s="137">
        <f>'FCF &amp; Other'!K28</f>
        <v>108723.5038664848</v>
      </c>
      <c r="L7" s="137">
        <f>'FCF &amp; Other'!L28</f>
        <v>198613.95758466548</v>
      </c>
      <c r="N7" s="97"/>
      <c r="O7" s="18"/>
      <c r="P7" s="98"/>
      <c r="Q7" s="98"/>
      <c r="R7" s="98"/>
      <c r="S7" s="98"/>
      <c r="T7" s="98"/>
      <c r="U7" s="98"/>
      <c r="V7" s="98"/>
      <c r="W7" s="98"/>
      <c r="X7" s="100"/>
      <c r="Y7" s="100"/>
      <c r="Z7" s="100"/>
      <c r="AB7" s="100"/>
    </row>
    <row r="8" spans="1:28" x14ac:dyDescent="0.2">
      <c r="B8" s="41" t="s">
        <v>235</v>
      </c>
      <c r="C8" s="151">
        <v>0</v>
      </c>
      <c r="D8" s="151">
        <v>0</v>
      </c>
      <c r="E8" s="151">
        <v>0</v>
      </c>
      <c r="F8" s="151">
        <v>0</v>
      </c>
      <c r="G8" s="156">
        <v>0</v>
      </c>
      <c r="H8" s="151">
        <v>0</v>
      </c>
      <c r="I8" s="151">
        <v>0</v>
      </c>
      <c r="J8" s="151">
        <v>0</v>
      </c>
      <c r="K8" s="151">
        <v>0</v>
      </c>
      <c r="L8" s="151">
        <f ca="1">L7*(1+C14)/(C15-C14)</f>
        <v>2804544.0124089266</v>
      </c>
      <c r="N8" s="97"/>
      <c r="O8" s="18"/>
      <c r="P8" s="98"/>
      <c r="Q8" s="98"/>
      <c r="R8" s="98"/>
      <c r="S8" s="98"/>
      <c r="T8" s="98"/>
      <c r="U8" s="98"/>
      <c r="V8" s="98"/>
      <c r="W8" s="98"/>
      <c r="X8" s="100"/>
      <c r="Y8" s="100"/>
      <c r="Z8" s="100"/>
      <c r="AB8" s="100"/>
    </row>
    <row r="9" spans="1:28" x14ac:dyDescent="0.2">
      <c r="B9" s="1" t="s">
        <v>236</v>
      </c>
      <c r="C9" s="163"/>
      <c r="D9" s="163"/>
      <c r="E9" s="163"/>
      <c r="F9" s="163"/>
      <c r="G9" s="164"/>
      <c r="H9" s="165">
        <v>1</v>
      </c>
      <c r="I9" s="165">
        <v>2</v>
      </c>
      <c r="J9" s="165">
        <v>3</v>
      </c>
      <c r="K9" s="165">
        <v>4</v>
      </c>
      <c r="L9" s="165">
        <v>5</v>
      </c>
      <c r="N9" s="97"/>
    </row>
    <row r="10" spans="1:28" x14ac:dyDescent="0.2">
      <c r="B10" s="1" t="s">
        <v>237</v>
      </c>
      <c r="C10" s="163"/>
      <c r="D10" s="163"/>
      <c r="E10" s="163"/>
      <c r="F10" s="163"/>
      <c r="G10" s="164"/>
      <c r="H10" s="151">
        <f ca="1">H7/(1+$C$15)^H9</f>
        <v>10579.445928108647</v>
      </c>
      <c r="I10" s="151">
        <f t="shared" ref="I10:L10" ca="1" si="0">I7/(1+$C$15)^I9</f>
        <v>-9501.0913105701929</v>
      </c>
      <c r="J10" s="151">
        <f t="shared" ca="1" si="0"/>
        <v>59076.701917230355</v>
      </c>
      <c r="K10" s="151">
        <f t="shared" ca="1" si="0"/>
        <v>76393.970670620081</v>
      </c>
      <c r="L10" s="151">
        <f t="shared" ca="1" si="0"/>
        <v>127770.12499027459</v>
      </c>
      <c r="N10" s="97"/>
    </row>
    <row r="11" spans="1:28" x14ac:dyDescent="0.2">
      <c r="B11" s="1" t="s">
        <v>238</v>
      </c>
      <c r="C11" s="163"/>
      <c r="D11" s="163"/>
      <c r="E11" s="163"/>
      <c r="F11" s="163"/>
      <c r="G11" s="164"/>
      <c r="H11" s="163"/>
      <c r="I11" s="163"/>
      <c r="J11" s="163"/>
      <c r="K11" s="163"/>
      <c r="L11" s="151">
        <f ca="1">L8/(1+C15)^L9</f>
        <v>1804188.1011985892</v>
      </c>
    </row>
    <row r="13" spans="1:28" x14ac:dyDescent="0.2">
      <c r="B13" s="215" t="s">
        <v>239</v>
      </c>
      <c r="C13" s="215"/>
    </row>
    <row r="14" spans="1:28" x14ac:dyDescent="0.2">
      <c r="B14" s="1" t="s">
        <v>240</v>
      </c>
      <c r="C14" s="166">
        <v>0.02</v>
      </c>
    </row>
    <row r="15" spans="1:28" x14ac:dyDescent="0.2">
      <c r="B15" s="1" t="s">
        <v>219</v>
      </c>
      <c r="C15" s="84">
        <f ca="1">IF(WACC!C21&gt;0,WACC!C21,WACC!C20)</f>
        <v>9.2234999999999998E-2</v>
      </c>
    </row>
    <row r="18" spans="2:3" x14ac:dyDescent="0.2">
      <c r="B18" s="215" t="s">
        <v>241</v>
      </c>
      <c r="C18" s="215"/>
    </row>
    <row r="19" spans="2:3" x14ac:dyDescent="0.2">
      <c r="B19" s="1" t="s">
        <v>242</v>
      </c>
      <c r="C19" s="66">
        <f ca="1">SUM(H10:L10)</f>
        <v>264319.15219566348</v>
      </c>
    </row>
    <row r="20" spans="2:3" x14ac:dyDescent="0.2">
      <c r="B20" s="1" t="s">
        <v>238</v>
      </c>
      <c r="C20" s="66">
        <f ca="1">L11</f>
        <v>1804188.1011985892</v>
      </c>
    </row>
    <row r="21" spans="2:3" x14ac:dyDescent="0.2">
      <c r="B21" s="18" t="s">
        <v>243</v>
      </c>
      <c r="C21" s="100">
        <f ca="1">C19+C20</f>
        <v>2068507.2533942526</v>
      </c>
    </row>
    <row r="22" spans="2:3" x14ac:dyDescent="0.2">
      <c r="B22" s="1" t="s">
        <v>244</v>
      </c>
      <c r="C22" s="26">
        <f>Statement!AC112</f>
        <v>1472486</v>
      </c>
    </row>
    <row r="23" spans="2:3" x14ac:dyDescent="0.2">
      <c r="B23" s="1" t="s">
        <v>245</v>
      </c>
      <c r="C23" s="26">
        <f>Statement!AC113</f>
        <v>0</v>
      </c>
    </row>
    <row r="24" spans="2:3" x14ac:dyDescent="0.2">
      <c r="B24" s="18" t="s">
        <v>246</v>
      </c>
      <c r="C24" s="100">
        <f ca="1">C21+C22-C23</f>
        <v>3540993.2533942526</v>
      </c>
    </row>
    <row r="25" spans="2:3" x14ac:dyDescent="0.2">
      <c r="B25" s="1" t="s">
        <v>74</v>
      </c>
      <c r="C25" s="66">
        <f>Statement!AC73</f>
        <v>530657</v>
      </c>
    </row>
    <row r="26" spans="2:3" x14ac:dyDescent="0.2">
      <c r="B26" s="167" t="s">
        <v>247</v>
      </c>
      <c r="C26" s="168">
        <f ca="1">C24/C25</f>
        <v>6.6728475331414696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21" zoomScale="192" zoomScaleNormal="100" workbookViewId="0">
      <selection activeCell="G29" sqref="G29"/>
    </sheetView>
  </sheetViews>
  <sheetFormatPr baseColWidth="10" defaultRowHeight="16" x14ac:dyDescent="0.2"/>
  <cols>
    <col min="1" max="1" width="2" style="8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9" customFormat="1" ht="18" customHeight="1" x14ac:dyDescent="0.2">
      <c r="A1" s="4"/>
      <c r="B1" s="88" t="s">
        <v>248</v>
      </c>
    </row>
    <row r="2" spans="1:14" x14ac:dyDescent="0.2">
      <c r="A2" s="4"/>
      <c r="C2" s="215" t="s">
        <v>149</v>
      </c>
      <c r="D2" s="215"/>
      <c r="E2" s="215"/>
      <c r="F2" s="215"/>
      <c r="G2" s="222"/>
      <c r="H2" s="223" t="s">
        <v>150</v>
      </c>
      <c r="I2" s="215"/>
      <c r="J2" s="215"/>
      <c r="K2" s="215"/>
      <c r="L2" s="215"/>
    </row>
    <row r="3" spans="1:14" ht="10" customHeight="1" x14ac:dyDescent="0.2"/>
    <row r="4" spans="1:14" ht="16" customHeight="1" x14ac:dyDescent="0.2">
      <c r="A4" s="92"/>
      <c r="B4" s="62"/>
      <c r="C4" s="219" t="s">
        <v>249</v>
      </c>
      <c r="D4" s="219"/>
      <c r="E4" s="219"/>
      <c r="F4" s="219"/>
      <c r="G4" s="219"/>
      <c r="H4" s="219"/>
      <c r="I4" s="219"/>
      <c r="J4" s="219"/>
      <c r="K4" s="219"/>
      <c r="L4" s="219"/>
    </row>
    <row r="5" spans="1:14" x14ac:dyDescent="0.2">
      <c r="B5" s="18" t="s">
        <v>153</v>
      </c>
      <c r="C5" s="14">
        <f>Revenue!C20</f>
        <v>2022</v>
      </c>
      <c r="D5" s="14">
        <f>Revenue!D20</f>
        <v>2023</v>
      </c>
      <c r="E5" s="14">
        <f>Revenue!E20</f>
        <v>2024</v>
      </c>
      <c r="F5" s="14">
        <f>Revenue!F20</f>
        <v>2025</v>
      </c>
      <c r="G5" s="14">
        <f>Revenue!G20</f>
        <v>2026</v>
      </c>
      <c r="H5" s="14">
        <f>Revenue!H20</f>
        <v>2027</v>
      </c>
      <c r="I5" s="14">
        <f>Revenue!I20</f>
        <v>2028</v>
      </c>
      <c r="J5" s="14">
        <f>Revenue!J20</f>
        <v>2029</v>
      </c>
      <c r="K5" s="14">
        <f>Revenue!K20</f>
        <v>2030</v>
      </c>
      <c r="L5" s="14">
        <f>Revenue!L20</f>
        <v>2031</v>
      </c>
    </row>
    <row r="6" spans="1:14" x14ac:dyDescent="0.2">
      <c r="B6" s="18" t="s">
        <v>20</v>
      </c>
      <c r="C6" s="98">
        <f>Revenue!C9</f>
        <v>892252</v>
      </c>
      <c r="D6" s="98">
        <f>Revenue!D9</f>
        <v>1058581</v>
      </c>
      <c r="E6" s="98">
        <f>Revenue!E9</f>
        <v>1308072</v>
      </c>
      <c r="F6" s="98">
        <f>Revenue!F9</f>
        <v>1429664</v>
      </c>
      <c r="G6" s="99">
        <f>Revenue!G9</f>
        <v>1610572</v>
      </c>
      <c r="H6" s="98">
        <f>Revenue!H9</f>
        <v>1745050</v>
      </c>
      <c r="I6" s="98">
        <f>Revenue!I9</f>
        <v>1921420.5999999999</v>
      </c>
      <c r="J6" s="98">
        <f>Revenue!J9</f>
        <v>2093013.4620000001</v>
      </c>
      <c r="K6" s="98">
        <f>Revenue!K9</f>
        <v>2230289.1351000001</v>
      </c>
      <c r="L6" s="98">
        <f>Revenue!L9</f>
        <v>2374428.5918549998</v>
      </c>
      <c r="N6" s="97"/>
    </row>
    <row r="7" spans="1:14" x14ac:dyDescent="0.2">
      <c r="B7" s="18" t="s">
        <v>210</v>
      </c>
      <c r="C7" s="98">
        <f>'FCF &amp; Other'!C10</f>
        <v>-500946</v>
      </c>
      <c r="D7" s="98">
        <f>'FCF &amp; Other'!D10</f>
        <v>-348283</v>
      </c>
      <c r="E7" s="98">
        <f>'FCF &amp; Other'!E10</f>
        <v>-164720</v>
      </c>
      <c r="F7" s="98">
        <f>'FCF &amp; Other'!F10</f>
        <v>-162569</v>
      </c>
      <c r="G7" s="99">
        <f>'FCF &amp; Other'!G10</f>
        <v>56760</v>
      </c>
      <c r="H7" s="98">
        <f>'FCF &amp; Other'!H10</f>
        <v>125643.60000000009</v>
      </c>
      <c r="I7" s="98">
        <f>'FCF &amp; Other'!I10</f>
        <v>138342.28319999995</v>
      </c>
      <c r="J7" s="98">
        <f>'FCF &amp; Other'!J10</f>
        <v>257440.65582600003</v>
      </c>
      <c r="K7" s="98">
        <f>'FCF &amp; Other'!K10</f>
        <v>285477.00929279998</v>
      </c>
      <c r="L7" s="98">
        <f>'FCF &amp; Other'!L10</f>
        <v>410776.14639091492</v>
      </c>
      <c r="N7" s="97"/>
    </row>
    <row r="8" spans="1:14" x14ac:dyDescent="0.2">
      <c r="B8" s="18" t="s">
        <v>215</v>
      </c>
      <c r="C8" s="98">
        <f>'FCF &amp; Other'!C28</f>
        <v>-601022</v>
      </c>
      <c r="D8" s="98">
        <f>'FCF &amp; Other'!D28</f>
        <v>-500062</v>
      </c>
      <c r="E8" s="98">
        <f>'FCF &amp; Other'!E28</f>
        <v>-216393</v>
      </c>
      <c r="F8" s="98">
        <f>'FCF &amp; Other'!F28</f>
        <v>-202032</v>
      </c>
      <c r="G8" s="99">
        <f>'FCF &amp; Other'!G28</f>
        <v>-94526</v>
      </c>
      <c r="H8" s="98">
        <f>'FCF &amp; Other'!H28</f>
        <v>11555.241123287749</v>
      </c>
      <c r="I8" s="98">
        <f>'FCF &amp; Other'!I28</f>
        <v>-11334.586213369781</v>
      </c>
      <c r="J8" s="98">
        <f>'FCF &amp; Other'!J28</f>
        <v>76977.625291476957</v>
      </c>
      <c r="K8" s="98">
        <f>'FCF &amp; Other'!K28</f>
        <v>108723.5038664848</v>
      </c>
      <c r="L8" s="98">
        <f>'FCF &amp; Other'!L28</f>
        <v>198613.95758466548</v>
      </c>
      <c r="N8" s="97"/>
    </row>
    <row r="9" spans="1:14" x14ac:dyDescent="0.2">
      <c r="N9" s="97"/>
    </row>
    <row r="10" spans="1:14" x14ac:dyDescent="0.2">
      <c r="C10" s="219" t="s">
        <v>158</v>
      </c>
      <c r="D10" s="219"/>
      <c r="E10" s="219"/>
      <c r="F10" s="219"/>
      <c r="G10" s="219"/>
      <c r="H10" s="219"/>
      <c r="I10" s="219"/>
      <c r="J10" s="219"/>
      <c r="K10" s="219"/>
      <c r="L10" s="219"/>
      <c r="N10" s="97"/>
    </row>
    <row r="11" spans="1:14" x14ac:dyDescent="0.2">
      <c r="B11" s="18" t="s">
        <v>250</v>
      </c>
      <c r="C11" s="14">
        <f>C5</f>
        <v>2022</v>
      </c>
      <c r="D11" s="14">
        <f t="shared" ref="D11:L11" si="0">D5</f>
        <v>2023</v>
      </c>
      <c r="E11" s="14">
        <f t="shared" si="0"/>
        <v>2024</v>
      </c>
      <c r="F11" s="14">
        <f t="shared" si="0"/>
        <v>2025</v>
      </c>
      <c r="G11" s="14">
        <f t="shared" si="0"/>
        <v>2026</v>
      </c>
      <c r="H11" s="14">
        <f t="shared" si="0"/>
        <v>2027</v>
      </c>
      <c r="I11" s="14">
        <f t="shared" si="0"/>
        <v>2028</v>
      </c>
      <c r="J11" s="14">
        <f t="shared" si="0"/>
        <v>2029</v>
      </c>
      <c r="K11" s="14">
        <f t="shared" si="0"/>
        <v>2030</v>
      </c>
      <c r="L11" s="14">
        <f t="shared" si="0"/>
        <v>2031</v>
      </c>
      <c r="N11" s="97"/>
    </row>
    <row r="12" spans="1:14" x14ac:dyDescent="0.2">
      <c r="B12" s="1" t="s">
        <v>20</v>
      </c>
      <c r="C12" s="163"/>
      <c r="D12" s="101">
        <f>(D6-C6)/C6</f>
        <v>0.18641482451146088</v>
      </c>
      <c r="E12" s="101">
        <f t="shared" ref="E12:L14" si="1">(E6-D6)/D6</f>
        <v>0.23568437370404344</v>
      </c>
      <c r="F12" s="101">
        <f t="shared" si="1"/>
        <v>9.2955127852289474E-2</v>
      </c>
      <c r="G12" s="102">
        <f t="shared" si="1"/>
        <v>0.12653882310808692</v>
      </c>
      <c r="H12" s="101">
        <f t="shared" si="1"/>
        <v>8.3497043286484551E-2</v>
      </c>
      <c r="I12" s="101">
        <f t="shared" si="1"/>
        <v>0.10106908111515421</v>
      </c>
      <c r="J12" s="101">
        <f t="shared" si="1"/>
        <v>8.9305205742043259E-2</v>
      </c>
      <c r="K12" s="101">
        <f t="shared" si="1"/>
        <v>6.5587572938410471E-2</v>
      </c>
      <c r="L12" s="101">
        <f t="shared" si="1"/>
        <v>6.4628148201303456E-2</v>
      </c>
      <c r="N12" s="97"/>
    </row>
    <row r="13" spans="1:14" x14ac:dyDescent="0.2">
      <c r="B13" s="1" t="s">
        <v>210</v>
      </c>
      <c r="C13" s="163"/>
      <c r="D13" s="101">
        <f t="shared" ref="D13:D14" si="2">(D7-C7)/C7</f>
        <v>-0.3047494141085067</v>
      </c>
      <c r="E13" s="101">
        <f t="shared" si="1"/>
        <v>-0.52705127726590162</v>
      </c>
      <c r="F13" s="101">
        <f t="shared" si="1"/>
        <v>-1.3058523555123847E-2</v>
      </c>
      <c r="G13" s="102">
        <f t="shared" si="1"/>
        <v>-1.3491440557547871</v>
      </c>
      <c r="H13" s="101">
        <f t="shared" si="1"/>
        <v>1.2135940803382681</v>
      </c>
      <c r="I13" s="101">
        <f t="shared" si="1"/>
        <v>0.10106908111515306</v>
      </c>
      <c r="J13" s="101">
        <f t="shared" si="1"/>
        <v>0.86089639314265798</v>
      </c>
      <c r="K13" s="101">
        <f t="shared" si="1"/>
        <v>0.10890414094403669</v>
      </c>
      <c r="L13" s="101">
        <f t="shared" si="1"/>
        <v>0.43891148155332421</v>
      </c>
      <c r="N13" s="97"/>
    </row>
    <row r="14" spans="1:14" x14ac:dyDescent="0.2">
      <c r="B14" s="1" t="s">
        <v>215</v>
      </c>
      <c r="C14" s="163"/>
      <c r="D14" s="101">
        <f t="shared" si="2"/>
        <v>-0.16798053981385042</v>
      </c>
      <c r="E14" s="101">
        <f t="shared" si="1"/>
        <v>-0.5672676588103075</v>
      </c>
      <c r="F14" s="101">
        <f t="shared" si="1"/>
        <v>-6.6365363020060728E-2</v>
      </c>
      <c r="G14" s="102">
        <f t="shared" si="1"/>
        <v>-0.53212362398035951</v>
      </c>
      <c r="H14" s="101">
        <f t="shared" si="1"/>
        <v>-1.1222440505605626</v>
      </c>
      <c r="I14" s="101">
        <f t="shared" si="1"/>
        <v>-1.9809043439627345</v>
      </c>
      <c r="J14" s="101">
        <f t="shared" si="1"/>
        <v>-7.7913926315790452</v>
      </c>
      <c r="K14" s="101">
        <f t="shared" si="1"/>
        <v>0.41240397394439726</v>
      </c>
      <c r="L14" s="101">
        <f t="shared" si="1"/>
        <v>0.82678032367838716</v>
      </c>
      <c r="N14" s="97"/>
    </row>
    <row r="15" spans="1:14" x14ac:dyDescent="0.2">
      <c r="N15" s="97"/>
    </row>
    <row r="16" spans="1:14" x14ac:dyDescent="0.2">
      <c r="C16" s="219" t="s">
        <v>251</v>
      </c>
      <c r="D16" s="219"/>
      <c r="E16" s="219"/>
      <c r="F16" s="219"/>
      <c r="G16" s="219"/>
      <c r="H16" s="219"/>
      <c r="I16" s="219"/>
      <c r="J16" s="219"/>
      <c r="K16" s="219"/>
      <c r="L16" s="219"/>
      <c r="N16" s="97"/>
    </row>
    <row r="17" spans="2:14" x14ac:dyDescent="0.2">
      <c r="C17" s="14">
        <f t="shared" ref="C17:L17" si="3">C5</f>
        <v>2022</v>
      </c>
      <c r="D17" s="14">
        <f t="shared" si="3"/>
        <v>2023</v>
      </c>
      <c r="E17" s="14">
        <f t="shared" si="3"/>
        <v>2024</v>
      </c>
      <c r="F17" s="14">
        <f t="shared" si="3"/>
        <v>2025</v>
      </c>
      <c r="G17" s="14">
        <f t="shared" si="3"/>
        <v>2026</v>
      </c>
      <c r="H17" s="14">
        <f t="shared" si="3"/>
        <v>2027</v>
      </c>
      <c r="I17" s="14">
        <f t="shared" si="3"/>
        <v>2028</v>
      </c>
      <c r="J17" s="14">
        <f t="shared" si="3"/>
        <v>2029</v>
      </c>
      <c r="K17" s="14">
        <f t="shared" si="3"/>
        <v>2030</v>
      </c>
      <c r="L17" s="14">
        <f t="shared" si="3"/>
        <v>2031</v>
      </c>
      <c r="N17" s="97"/>
    </row>
    <row r="18" spans="2:14" x14ac:dyDescent="0.2">
      <c r="B18" s="1" t="s">
        <v>252</v>
      </c>
      <c r="C18" s="107">
        <f>Statement!M21</f>
        <v>454625</v>
      </c>
      <c r="D18" s="107">
        <f>Statement!N21</f>
        <v>548022</v>
      </c>
      <c r="E18" s="107">
        <f>Statement!O21</f>
        <v>653855</v>
      </c>
      <c r="F18" s="107">
        <f>Statement!P21</f>
        <v>559933</v>
      </c>
      <c r="G18" s="108">
        <f>Statement!Q21</f>
        <v>544860</v>
      </c>
      <c r="H18" s="169">
        <f>G18*(1+H19)</f>
        <v>528514.19999999995</v>
      </c>
      <c r="I18" s="169">
        <f t="shared" ref="I18:L18" si="4">H18*(1+I19)</f>
        <v>512658.77399999992</v>
      </c>
      <c r="J18" s="169">
        <f t="shared" si="4"/>
        <v>502405.59851999988</v>
      </c>
      <c r="K18" s="169">
        <f t="shared" si="4"/>
        <v>492357.48654959985</v>
      </c>
      <c r="L18" s="169">
        <f t="shared" si="4"/>
        <v>482510.33681860787</v>
      </c>
      <c r="N18" s="97"/>
    </row>
    <row r="19" spans="2:14" x14ac:dyDescent="0.2">
      <c r="B19" s="1" t="s">
        <v>253</v>
      </c>
      <c r="C19" s="163"/>
      <c r="D19" s="170">
        <f>D18/C18-1</f>
        <v>0.20543744844652179</v>
      </c>
      <c r="E19" s="170">
        <f t="shared" ref="E19:G19" si="5">E18/D18-1</f>
        <v>0.19311815948994759</v>
      </c>
      <c r="F19" s="170">
        <f t="shared" si="5"/>
        <v>-0.14364346835307518</v>
      </c>
      <c r="G19" s="171">
        <f t="shared" si="5"/>
        <v>-2.6919292129594097E-2</v>
      </c>
      <c r="H19" s="172">
        <v>-0.03</v>
      </c>
      <c r="I19" s="103">
        <v>-0.03</v>
      </c>
      <c r="J19" s="103">
        <v>-0.02</v>
      </c>
      <c r="K19" s="103">
        <v>-0.02</v>
      </c>
      <c r="L19" s="103">
        <v>-0.02</v>
      </c>
      <c r="N19" s="97"/>
    </row>
    <row r="20" spans="2:14" x14ac:dyDescent="0.2">
      <c r="N20" s="97"/>
    </row>
    <row r="21" spans="2:14" x14ac:dyDescent="0.2">
      <c r="C21" s="219" t="s">
        <v>254</v>
      </c>
      <c r="D21" s="219"/>
      <c r="E21" s="219"/>
      <c r="F21" s="219"/>
      <c r="G21" s="219"/>
      <c r="H21" s="219"/>
      <c r="I21" s="219"/>
      <c r="J21" s="219"/>
      <c r="K21" s="219"/>
      <c r="L21" s="219"/>
      <c r="N21" s="97"/>
    </row>
    <row r="22" spans="2:14" x14ac:dyDescent="0.2">
      <c r="C22" s="14">
        <f>C5</f>
        <v>2022</v>
      </c>
      <c r="D22" s="14">
        <f t="shared" ref="D22:L22" si="6">D5</f>
        <v>2023</v>
      </c>
      <c r="E22" s="14">
        <f t="shared" si="6"/>
        <v>2024</v>
      </c>
      <c r="F22" s="14">
        <f t="shared" si="6"/>
        <v>2025</v>
      </c>
      <c r="G22" s="14">
        <f t="shared" si="6"/>
        <v>2026</v>
      </c>
      <c r="H22" s="14">
        <f t="shared" si="6"/>
        <v>2027</v>
      </c>
      <c r="I22" s="14">
        <f t="shared" si="6"/>
        <v>2028</v>
      </c>
      <c r="J22" s="14">
        <f t="shared" si="6"/>
        <v>2029</v>
      </c>
      <c r="K22" s="14">
        <f t="shared" si="6"/>
        <v>2030</v>
      </c>
      <c r="L22" s="14">
        <f t="shared" si="6"/>
        <v>2031</v>
      </c>
      <c r="N22" s="97"/>
    </row>
    <row r="23" spans="2:14" x14ac:dyDescent="0.2">
      <c r="B23" s="1" t="s">
        <v>1</v>
      </c>
      <c r="C23" s="173">
        <f>Statement!M118</f>
        <v>33.43</v>
      </c>
      <c r="D23" s="173">
        <f>Statement!N118</f>
        <v>14.57</v>
      </c>
      <c r="E23" s="173">
        <f>Statement!O118</f>
        <v>23.85</v>
      </c>
      <c r="F23" s="173">
        <f>Statement!P118</f>
        <v>14.58</v>
      </c>
      <c r="G23" s="174">
        <f>Statement!Q118</f>
        <v>12.59</v>
      </c>
      <c r="H23" s="163"/>
      <c r="I23" s="163"/>
      <c r="J23" s="163"/>
      <c r="K23" s="163"/>
      <c r="L23" s="163"/>
      <c r="N23" s="97"/>
    </row>
    <row r="24" spans="2:14" x14ac:dyDescent="0.2">
      <c r="N24" s="97"/>
    </row>
    <row r="25" spans="2:14" x14ac:dyDescent="0.2">
      <c r="N25" s="97"/>
    </row>
    <row r="26" spans="2:14" x14ac:dyDescent="0.2">
      <c r="C26" s="219" t="s">
        <v>255</v>
      </c>
      <c r="D26" s="219"/>
      <c r="E26" s="219"/>
      <c r="F26" s="219"/>
      <c r="G26" s="219"/>
      <c r="H26" s="219"/>
      <c r="I26" s="219"/>
      <c r="J26" s="219"/>
      <c r="K26" s="219"/>
      <c r="L26" s="219"/>
      <c r="N26" s="97"/>
    </row>
    <row r="27" spans="2:14" x14ac:dyDescent="0.2">
      <c r="C27" s="14">
        <f>C5</f>
        <v>2022</v>
      </c>
      <c r="D27" s="14">
        <f t="shared" ref="D27:L27" si="7">D5</f>
        <v>2023</v>
      </c>
      <c r="E27" s="14">
        <f t="shared" si="7"/>
        <v>2024</v>
      </c>
      <c r="F27" s="14">
        <f t="shared" si="7"/>
        <v>2025</v>
      </c>
      <c r="G27" s="14">
        <f t="shared" si="7"/>
        <v>2026</v>
      </c>
      <c r="H27" s="14">
        <f t="shared" si="7"/>
        <v>2027</v>
      </c>
      <c r="I27" s="14">
        <f t="shared" si="7"/>
        <v>2028</v>
      </c>
      <c r="J27" s="14">
        <f t="shared" si="7"/>
        <v>2029</v>
      </c>
      <c r="K27" s="14">
        <f t="shared" si="7"/>
        <v>2030</v>
      </c>
      <c r="L27" s="14">
        <f t="shared" si="7"/>
        <v>2031</v>
      </c>
      <c r="N27" s="97"/>
    </row>
    <row r="28" spans="2:14" x14ac:dyDescent="0.2">
      <c r="B28" s="18" t="s">
        <v>256</v>
      </c>
      <c r="C28" s="175">
        <f>C23/(C6/C18)</f>
        <v>17.03343197885799</v>
      </c>
      <c r="D28" s="175">
        <f t="shared" ref="D28:G28" si="8">D23/(D6/D18)</f>
        <v>7.5428149003241138</v>
      </c>
      <c r="E28" s="175">
        <f t="shared" si="8"/>
        <v>11.921699837623619</v>
      </c>
      <c r="F28" s="175">
        <f t="shared" si="8"/>
        <v>5.7103089537122012</v>
      </c>
      <c r="G28" s="176">
        <f t="shared" si="8"/>
        <v>4.2592243004348767</v>
      </c>
      <c r="H28" s="163"/>
      <c r="I28" s="163"/>
      <c r="J28" s="163"/>
      <c r="K28" s="163"/>
      <c r="L28" s="163"/>
      <c r="N28" s="97"/>
    </row>
    <row r="29" spans="2:14" x14ac:dyDescent="0.2">
      <c r="B29" s="1" t="s">
        <v>257</v>
      </c>
      <c r="C29" s="169">
        <f>C23*C18</f>
        <v>15198113.75</v>
      </c>
      <c r="D29" s="169">
        <f t="shared" ref="D29:G29" si="9">D23*D18</f>
        <v>7984680.54</v>
      </c>
      <c r="E29" s="169">
        <f t="shared" si="9"/>
        <v>15594441.75</v>
      </c>
      <c r="F29" s="169">
        <f t="shared" si="9"/>
        <v>8163823.1399999997</v>
      </c>
      <c r="G29" s="177">
        <f t="shared" si="9"/>
        <v>6859787.4000000004</v>
      </c>
      <c r="H29" s="163"/>
      <c r="I29" s="163"/>
      <c r="J29" s="163"/>
      <c r="K29" s="163"/>
      <c r="L29" s="163"/>
      <c r="N29" s="97"/>
    </row>
    <row r="30" spans="2:14" x14ac:dyDescent="0.2">
      <c r="B30" s="1" t="s">
        <v>223</v>
      </c>
      <c r="C30" s="94">
        <f>Statement!M113</f>
        <v>0</v>
      </c>
      <c r="D30" s="178">
        <f>Statement!N113</f>
        <v>0</v>
      </c>
      <c r="E30" s="178">
        <f>Statement!O113</f>
        <v>0</v>
      </c>
      <c r="F30" s="178">
        <f>Statement!P113</f>
        <v>0</v>
      </c>
      <c r="G30" s="179">
        <f>Statement!Q113</f>
        <v>0</v>
      </c>
      <c r="H30" s="163"/>
      <c r="I30" s="163"/>
      <c r="J30" s="163"/>
      <c r="K30" s="163"/>
      <c r="L30" s="163"/>
      <c r="N30" s="97"/>
    </row>
    <row r="31" spans="2:14" x14ac:dyDescent="0.2">
      <c r="B31" s="1" t="s">
        <v>232</v>
      </c>
      <c r="C31" s="178">
        <f>Statement!M112</f>
        <v>1865140</v>
      </c>
      <c r="D31" s="178">
        <f>Statement!N112</f>
        <v>1756893</v>
      </c>
      <c r="E31" s="178">
        <f>Statement!O112</f>
        <v>1879823</v>
      </c>
      <c r="F31" s="178">
        <f>Statement!P112</f>
        <v>1629518</v>
      </c>
      <c r="G31" s="179">
        <f>Statement!Q112</f>
        <v>1472486</v>
      </c>
      <c r="H31" s="163"/>
      <c r="I31" s="163"/>
      <c r="J31" s="163"/>
      <c r="K31" s="163"/>
      <c r="L31" s="163"/>
      <c r="N31" s="97"/>
    </row>
    <row r="32" spans="2:14" x14ac:dyDescent="0.2">
      <c r="B32" s="1" t="s">
        <v>258</v>
      </c>
      <c r="C32" s="169">
        <f>C29+C30-C31</f>
        <v>13332973.75</v>
      </c>
      <c r="D32" s="169">
        <f t="shared" ref="D32:G32" si="10">D29+D30-D31</f>
        <v>6227787.54</v>
      </c>
      <c r="E32" s="169">
        <f t="shared" si="10"/>
        <v>13714618.75</v>
      </c>
      <c r="F32" s="169">
        <f t="shared" si="10"/>
        <v>6534305.1399999997</v>
      </c>
      <c r="G32" s="177">
        <f t="shared" si="10"/>
        <v>5387301.4000000004</v>
      </c>
      <c r="H32" s="163"/>
      <c r="I32" s="163"/>
      <c r="J32" s="163"/>
      <c r="K32" s="163"/>
      <c r="L32" s="163"/>
      <c r="N32" s="97"/>
    </row>
    <row r="33" spans="2:14" x14ac:dyDescent="0.2">
      <c r="B33" s="18" t="s">
        <v>259</v>
      </c>
      <c r="C33" s="175">
        <f>C32/C7</f>
        <v>-26.615590802202234</v>
      </c>
      <c r="D33" s="175">
        <f t="shared" ref="D33:G33" si="11">D32/D7</f>
        <v>-17.88139972378784</v>
      </c>
      <c r="E33" s="175">
        <f t="shared" si="11"/>
        <v>-83.260191537153958</v>
      </c>
      <c r="F33" s="175">
        <f t="shared" si="11"/>
        <v>-40.194041545436093</v>
      </c>
      <c r="G33" s="176">
        <f t="shared" si="11"/>
        <v>94.913696264975343</v>
      </c>
      <c r="H33" s="163"/>
      <c r="I33" s="163"/>
      <c r="J33" s="163"/>
      <c r="K33" s="163"/>
      <c r="L33" s="163"/>
      <c r="N33" s="97"/>
    </row>
    <row r="34" spans="2:14" x14ac:dyDescent="0.2">
      <c r="B34" s="18" t="s">
        <v>260</v>
      </c>
      <c r="C34" s="175">
        <f>C32/C8</f>
        <v>-22.183836448582582</v>
      </c>
      <c r="D34" s="175">
        <f t="shared" ref="D34:G34" si="12">D32/D8</f>
        <v>-12.454030780183258</v>
      </c>
      <c r="E34" s="175">
        <f t="shared" si="12"/>
        <v>-63.37829204271857</v>
      </c>
      <c r="F34" s="175">
        <f t="shared" si="12"/>
        <v>-32.342921616377602</v>
      </c>
      <c r="G34" s="176">
        <f t="shared" si="12"/>
        <v>-56.992799864587525</v>
      </c>
      <c r="H34" s="163"/>
      <c r="I34" s="163"/>
      <c r="J34" s="163"/>
      <c r="K34" s="163"/>
      <c r="L34" s="163"/>
      <c r="N34" s="97"/>
    </row>
    <row r="35" spans="2:14" x14ac:dyDescent="0.2">
      <c r="N35" s="97"/>
    </row>
    <row r="36" spans="2:14" x14ac:dyDescent="0.2">
      <c r="N36" s="97"/>
    </row>
    <row r="37" spans="2:14" x14ac:dyDescent="0.2">
      <c r="B37" s="215" t="s">
        <v>261</v>
      </c>
      <c r="C37" s="215"/>
      <c r="N37" s="97"/>
    </row>
    <row r="38" spans="2:14" x14ac:dyDescent="0.2">
      <c r="B38" s="1" t="s">
        <v>262</v>
      </c>
      <c r="C38" s="66">
        <f>L7</f>
        <v>410776.14639091492</v>
      </c>
    </row>
    <row r="39" spans="2:14" x14ac:dyDescent="0.2">
      <c r="B39" s="1" t="s">
        <v>219</v>
      </c>
      <c r="C39" s="180">
        <f ca="1">IF(WACC!C21&gt;0,WACC!C21,WACC!C20)</f>
        <v>9.2234999999999998E-2</v>
      </c>
    </row>
    <row r="40" spans="2:14" x14ac:dyDescent="0.2">
      <c r="B40" s="41" t="s">
        <v>263</v>
      </c>
      <c r="C40" s="118">
        <v>25</v>
      </c>
    </row>
    <row r="41" spans="2:14" x14ac:dyDescent="0.2">
      <c r="B41" s="1" t="s">
        <v>264</v>
      </c>
      <c r="C41" s="26">
        <f>L18</f>
        <v>482510.33681860787</v>
      </c>
    </row>
    <row r="42" spans="2:14" x14ac:dyDescent="0.2">
      <c r="B42" s="1" t="s">
        <v>258</v>
      </c>
      <c r="C42" s="26">
        <f>(C38*C40)-G30+G31</f>
        <v>11741889.659772873</v>
      </c>
    </row>
    <row r="43" spans="2:14" x14ac:dyDescent="0.2">
      <c r="B43" s="1" t="s">
        <v>247</v>
      </c>
      <c r="C43" s="26">
        <f>C42/C41</f>
        <v>24.335001271044376</v>
      </c>
    </row>
    <row r="44" spans="2:14" x14ac:dyDescent="0.2">
      <c r="B44" s="167" t="s">
        <v>265</v>
      </c>
      <c r="C44" s="168">
        <f ca="1">C43/(1+C48)^5</f>
        <v>15.654922704585852</v>
      </c>
    </row>
    <row r="46" spans="2:14" x14ac:dyDescent="0.2">
      <c r="B46" s="215" t="s">
        <v>266</v>
      </c>
      <c r="C46" s="215"/>
    </row>
    <row r="47" spans="2:14" x14ac:dyDescent="0.2">
      <c r="B47" s="1" t="s">
        <v>267</v>
      </c>
      <c r="C47" s="66">
        <f>L6</f>
        <v>2374428.5918549998</v>
      </c>
    </row>
    <row r="48" spans="2:14" x14ac:dyDescent="0.2">
      <c r="B48" s="1" t="s">
        <v>219</v>
      </c>
      <c r="C48" s="180">
        <f ca="1">IF(WACC!C21&gt;0,WACC!C21,WACC!C20)</f>
        <v>9.2234999999999998E-2</v>
      </c>
    </row>
    <row r="49" spans="2:3" x14ac:dyDescent="0.2">
      <c r="B49" s="41" t="s">
        <v>268</v>
      </c>
      <c r="C49" s="118">
        <v>5</v>
      </c>
    </row>
    <row r="50" spans="2:3" x14ac:dyDescent="0.2">
      <c r="B50" s="1" t="s">
        <v>264</v>
      </c>
      <c r="C50" s="26">
        <f>L18</f>
        <v>482510.33681860787</v>
      </c>
    </row>
    <row r="51" spans="2:3" x14ac:dyDescent="0.2">
      <c r="B51" s="1" t="s">
        <v>247</v>
      </c>
      <c r="C51" s="26">
        <f>(C47*C49)/C50</f>
        <v>24.604950512672943</v>
      </c>
    </row>
    <row r="52" spans="2:3" x14ac:dyDescent="0.2">
      <c r="B52" s="167" t="s">
        <v>265</v>
      </c>
      <c r="C52" s="168">
        <f ca="1">C51/(1+C48)^5</f>
        <v>15.828583452115183</v>
      </c>
    </row>
    <row r="54" spans="2:3" x14ac:dyDescent="0.2">
      <c r="B54" s="215" t="s">
        <v>269</v>
      </c>
      <c r="C54" s="215"/>
    </row>
    <row r="55" spans="2:3" x14ac:dyDescent="0.2">
      <c r="B55" s="1" t="s">
        <v>270</v>
      </c>
      <c r="C55" s="66">
        <f>L8</f>
        <v>198613.95758466548</v>
      </c>
    </row>
    <row r="56" spans="2:3" x14ac:dyDescent="0.2">
      <c r="B56" s="1" t="s">
        <v>219</v>
      </c>
      <c r="C56" s="180">
        <f ca="1">IF(WACC!C21&gt;0,WACC!C21,WACC!C20)</f>
        <v>9.2234999999999998E-2</v>
      </c>
    </row>
    <row r="57" spans="2:3" x14ac:dyDescent="0.2">
      <c r="B57" s="41" t="s">
        <v>271</v>
      </c>
      <c r="C57" s="118">
        <v>28</v>
      </c>
    </row>
    <row r="58" spans="2:3" x14ac:dyDescent="0.2">
      <c r="B58" s="1" t="s">
        <v>264</v>
      </c>
      <c r="C58" s="26">
        <f>L18</f>
        <v>482510.33681860787</v>
      </c>
    </row>
    <row r="59" spans="2:3" x14ac:dyDescent="0.2">
      <c r="B59" s="1" t="s">
        <v>258</v>
      </c>
      <c r="C59" s="26">
        <f>(C55*C57)-G30+G31</f>
        <v>7033676.8123706337</v>
      </c>
    </row>
    <row r="60" spans="2:3" x14ac:dyDescent="0.2">
      <c r="B60" s="1" t="s">
        <v>247</v>
      </c>
      <c r="C60" s="26">
        <f>C59/C58</f>
        <v>14.577256227807682</v>
      </c>
    </row>
    <row r="61" spans="2:3" x14ac:dyDescent="0.2">
      <c r="B61" s="167" t="s">
        <v>265</v>
      </c>
      <c r="C61" s="168">
        <f ca="1">C60/(1+C56)^5</f>
        <v>9.3776785523659907</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9" customFormat="1" ht="18" customHeight="1" x14ac:dyDescent="0.2">
      <c r="A1" s="4"/>
      <c r="B1" s="88" t="s">
        <v>272</v>
      </c>
    </row>
    <row r="2" spans="1:14" x14ac:dyDescent="0.2">
      <c r="N2" s="97"/>
    </row>
    <row r="3" spans="1:14" x14ac:dyDescent="0.2">
      <c r="N3" s="97"/>
    </row>
    <row r="4" spans="1:14" x14ac:dyDescent="0.2">
      <c r="B4" s="215" t="s">
        <v>273</v>
      </c>
      <c r="C4" s="215"/>
      <c r="N4" s="97"/>
    </row>
    <row r="5" spans="1:14" x14ac:dyDescent="0.2">
      <c r="B5" s="1" t="s">
        <v>274</v>
      </c>
      <c r="C5" s="181">
        <f ca="1">DCF!C26</f>
        <v>6.6728475331414696</v>
      </c>
    </row>
    <row r="6" spans="1:14" x14ac:dyDescent="0.2">
      <c r="B6" s="1" t="s">
        <v>275</v>
      </c>
      <c r="C6" s="181">
        <f ca="1">Multiples!C44</f>
        <v>15.654922704585852</v>
      </c>
    </row>
    <row r="7" spans="1:14" x14ac:dyDescent="0.2">
      <c r="B7" s="1" t="s">
        <v>276</v>
      </c>
      <c r="C7" s="181">
        <f ca="1">Multiples!C52</f>
        <v>15.828583452115183</v>
      </c>
    </row>
    <row r="8" spans="1:14" x14ac:dyDescent="0.2">
      <c r="B8" s="1" t="s">
        <v>277</v>
      </c>
      <c r="C8" s="181">
        <f ca="1">Multiples!C61</f>
        <v>9.3776785523659907</v>
      </c>
    </row>
    <row r="9" spans="1:14" x14ac:dyDescent="0.2">
      <c r="B9" s="167" t="s">
        <v>278</v>
      </c>
      <c r="C9" s="168">
        <f ca="1">AVERAGE(C5:C8)</f>
        <v>11.883508060552124</v>
      </c>
    </row>
    <row r="10" spans="1:14" x14ac:dyDescent="0.2">
      <c r="B10" s="1" t="s">
        <v>279</v>
      </c>
      <c r="C10" s="182">
        <f ca="1">Overview!C5</f>
        <v>10.93</v>
      </c>
    </row>
    <row r="11" spans="1:14" x14ac:dyDescent="0.2">
      <c r="B11" s="1" t="s">
        <v>280</v>
      </c>
      <c r="C11" s="183">
        <f ca="1">(C9-C10)/C10</f>
        <v>8.7237699959023279E-2</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C2" zoomScale="209" zoomScaleNormal="100" workbookViewId="0">
      <selection activeCell="G8" sqref="G8"/>
    </sheetView>
  </sheetViews>
  <sheetFormatPr baseColWidth="10" defaultRowHeight="16" x14ac:dyDescent="0.2"/>
  <cols>
    <col min="1" max="1" width="2" style="89"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9" customFormat="1" ht="18" customHeight="1" x14ac:dyDescent="0.2">
      <c r="A1" s="4"/>
      <c r="B1" s="88" t="s">
        <v>281</v>
      </c>
    </row>
    <row r="2" spans="1:28" s="89" customFormat="1" ht="18" customHeight="1" x14ac:dyDescent="0.2">
      <c r="A2" s="4"/>
      <c r="B2" s="88"/>
    </row>
    <row r="3" spans="1:28" x14ac:dyDescent="0.2">
      <c r="A3" s="4"/>
      <c r="C3" s="215" t="s">
        <v>149</v>
      </c>
      <c r="D3" s="215"/>
      <c r="E3" s="215"/>
      <c r="F3" s="215"/>
      <c r="G3" s="222"/>
      <c r="H3" s="223" t="s">
        <v>150</v>
      </c>
      <c r="I3" s="215"/>
      <c r="J3" s="215"/>
      <c r="K3" s="215"/>
      <c r="L3" s="215"/>
      <c r="P3" s="224"/>
      <c r="Q3" s="224"/>
      <c r="R3" s="224"/>
      <c r="S3" s="224"/>
      <c r="T3" s="224"/>
      <c r="U3" s="224"/>
      <c r="V3" s="224"/>
      <c r="W3" s="224"/>
      <c r="X3" s="224"/>
      <c r="Y3" s="224"/>
      <c r="Z3" s="224"/>
      <c r="AB3" s="134"/>
    </row>
    <row r="4" spans="1:28" ht="10" customHeight="1" x14ac:dyDescent="0.2"/>
    <row r="5" spans="1:28" ht="16" customHeight="1" x14ac:dyDescent="0.2">
      <c r="A5" s="92"/>
      <c r="B5" s="62"/>
      <c r="C5" s="219" t="s">
        <v>234</v>
      </c>
      <c r="D5" s="219"/>
      <c r="E5" s="219"/>
      <c r="F5" s="219"/>
      <c r="G5" s="219"/>
      <c r="H5" s="219"/>
      <c r="I5" s="219"/>
      <c r="J5" s="219"/>
      <c r="K5" s="219"/>
      <c r="L5" s="219"/>
      <c r="P5" s="224"/>
      <c r="Q5" s="224"/>
      <c r="R5" s="224"/>
      <c r="S5" s="224"/>
      <c r="T5" s="224"/>
      <c r="U5" s="224"/>
      <c r="V5" s="224"/>
      <c r="W5" s="224"/>
      <c r="X5" s="224"/>
      <c r="Y5" s="224"/>
      <c r="Z5" s="224"/>
      <c r="AB5" s="135"/>
    </row>
    <row r="6" spans="1:28" x14ac:dyDescent="0.2">
      <c r="B6" s="18" t="s">
        <v>186</v>
      </c>
      <c r="C6" s="14">
        <f>Revenue!C5</f>
        <v>2022</v>
      </c>
      <c r="D6" s="14">
        <f>Revenue!D5</f>
        <v>2023</v>
      </c>
      <c r="E6" s="14">
        <f>Revenue!E5</f>
        <v>2024</v>
      </c>
      <c r="F6" s="14">
        <f>Revenue!F5</f>
        <v>2025</v>
      </c>
      <c r="G6" s="14">
        <f>Revenue!G5</f>
        <v>2026</v>
      </c>
      <c r="H6" s="14">
        <f>Revenue!H5</f>
        <v>2027</v>
      </c>
      <c r="I6" s="14">
        <f>Revenue!I5</f>
        <v>2028</v>
      </c>
      <c r="J6" s="14">
        <f>Revenue!J5</f>
        <v>2029</v>
      </c>
      <c r="K6" s="14">
        <f>Revenue!K5</f>
        <v>2030</v>
      </c>
      <c r="L6" s="14">
        <f>Revenue!L5</f>
        <v>2031</v>
      </c>
      <c r="O6" s="18"/>
      <c r="P6" s="136"/>
      <c r="Q6" s="136"/>
      <c r="R6" s="136"/>
      <c r="S6" s="136"/>
      <c r="T6" s="136"/>
      <c r="U6" s="136"/>
      <c r="V6" s="136"/>
      <c r="W6" s="136"/>
      <c r="X6" s="136"/>
      <c r="Y6" s="136"/>
      <c r="Z6" s="136"/>
      <c r="AB6" s="135"/>
    </row>
    <row r="7" spans="1:28" x14ac:dyDescent="0.2">
      <c r="B7" s="41" t="s">
        <v>215</v>
      </c>
      <c r="C7" s="137">
        <f>'FCF &amp; Other'!C28</f>
        <v>-601022</v>
      </c>
      <c r="D7" s="137">
        <f>'FCF &amp; Other'!D28</f>
        <v>-500062</v>
      </c>
      <c r="E7" s="137">
        <f>'FCF &amp; Other'!E28</f>
        <v>-216393</v>
      </c>
      <c r="F7" s="137">
        <f>'FCF &amp; Other'!F28</f>
        <v>-202032</v>
      </c>
      <c r="G7" s="138">
        <v>8000</v>
      </c>
      <c r="H7" s="151">
        <f>G7*(1+$C$17)</f>
        <v>17600</v>
      </c>
      <c r="I7" s="151">
        <f t="shared" ref="I7:L7" si="0">H7*(1+$C$17)</f>
        <v>38720</v>
      </c>
      <c r="J7" s="151">
        <f t="shared" si="0"/>
        <v>85184</v>
      </c>
      <c r="K7" s="151">
        <f t="shared" si="0"/>
        <v>187404.80000000002</v>
      </c>
      <c r="L7" s="151">
        <f t="shared" si="0"/>
        <v>412290.56000000006</v>
      </c>
      <c r="N7" s="97"/>
      <c r="O7" s="18"/>
      <c r="P7" s="98"/>
      <c r="Q7" s="98"/>
      <c r="R7" s="98"/>
      <c r="S7" s="98"/>
      <c r="T7" s="98"/>
      <c r="U7" s="98"/>
      <c r="V7" s="98"/>
      <c r="W7" s="98"/>
      <c r="X7" s="100"/>
      <c r="Y7" s="100"/>
      <c r="Z7" s="100"/>
      <c r="AB7" s="100"/>
    </row>
    <row r="8" spans="1:28" x14ac:dyDescent="0.2">
      <c r="B8" s="41" t="s">
        <v>235</v>
      </c>
      <c r="C8" s="163"/>
      <c r="D8" s="163"/>
      <c r="E8" s="163"/>
      <c r="F8" s="163"/>
      <c r="G8" s="164"/>
      <c r="H8" s="163"/>
      <c r="I8" s="163"/>
      <c r="J8" s="163"/>
      <c r="K8" s="163"/>
      <c r="L8" s="151">
        <f ca="1">L7*(1+C20)/(C21-C20)</f>
        <v>5821781.2860801565</v>
      </c>
      <c r="N8" s="97"/>
      <c r="O8" s="18"/>
      <c r="P8" s="98"/>
      <c r="Q8" s="98"/>
      <c r="R8" s="98"/>
      <c r="S8" s="98"/>
      <c r="T8" s="98"/>
      <c r="U8" s="98"/>
      <c r="V8" s="98"/>
      <c r="W8" s="98"/>
      <c r="X8" s="100"/>
      <c r="Y8" s="100"/>
      <c r="Z8" s="100"/>
      <c r="AB8" s="100"/>
    </row>
    <row r="9" spans="1:28" x14ac:dyDescent="0.2">
      <c r="B9" s="1" t="s">
        <v>236</v>
      </c>
      <c r="C9" s="163"/>
      <c r="D9" s="163"/>
      <c r="E9" s="163"/>
      <c r="F9" s="163"/>
      <c r="G9" s="164"/>
      <c r="H9" s="165">
        <v>1</v>
      </c>
      <c r="I9" s="165">
        <v>2</v>
      </c>
      <c r="J9" s="165">
        <v>3</v>
      </c>
      <c r="K9" s="165">
        <v>4</v>
      </c>
      <c r="L9" s="165">
        <v>5</v>
      </c>
      <c r="N9" s="97"/>
    </row>
    <row r="10" spans="1:28" x14ac:dyDescent="0.2">
      <c r="B10" s="1" t="s">
        <v>237</v>
      </c>
      <c r="C10" s="163"/>
      <c r="D10" s="163"/>
      <c r="E10" s="163"/>
      <c r="F10" s="163"/>
      <c r="G10" s="164"/>
      <c r="H10" s="151">
        <f ca="1">H7/(1+$C$21)^H9</f>
        <v>16113.748414947331</v>
      </c>
      <c r="I10" s="151">
        <f t="shared" ref="I10:L10" ca="1" si="1">I7/(1+$C$21)^I9</f>
        <v>32456.610997527205</v>
      </c>
      <c r="J10" s="151">
        <f t="shared" ca="1" si="1"/>
        <v>65374.708001995765</v>
      </c>
      <c r="K10" s="151">
        <f t="shared" ca="1" si="1"/>
        <v>131678.94968060049</v>
      </c>
      <c r="L10" s="151">
        <f t="shared" ca="1" si="1"/>
        <v>265230.18333721318</v>
      </c>
      <c r="N10" s="97"/>
    </row>
    <row r="11" spans="1:28" x14ac:dyDescent="0.2">
      <c r="B11" s="1" t="s">
        <v>238</v>
      </c>
      <c r="C11" s="163"/>
      <c r="D11" s="163"/>
      <c r="E11" s="163"/>
      <c r="F11" s="163"/>
      <c r="G11" s="164"/>
      <c r="H11" s="163"/>
      <c r="I11" s="163"/>
      <c r="J11" s="163"/>
      <c r="K11" s="163"/>
      <c r="L11" s="151">
        <f ca="1">L8/(1+C21)^L9</f>
        <v>3745203.668636499</v>
      </c>
    </row>
    <row r="13" spans="1:28" ht="17" thickBot="1" x14ac:dyDescent="0.25"/>
    <row r="14" spans="1:28" x14ac:dyDescent="0.2">
      <c r="B14" s="225" t="s">
        <v>282</v>
      </c>
      <c r="C14" s="226"/>
    </row>
    <row r="15" spans="1:28" x14ac:dyDescent="0.2">
      <c r="B15" s="184" t="s">
        <v>283</v>
      </c>
      <c r="C15" s="185">
        <f ca="1">Overview!C5</f>
        <v>10.93</v>
      </c>
    </row>
    <row r="16" spans="1:28" x14ac:dyDescent="0.2">
      <c r="B16" s="184" t="s">
        <v>284</v>
      </c>
      <c r="C16" s="185">
        <f ca="1">C36</f>
        <v>10.933963202669066</v>
      </c>
    </row>
    <row r="17" spans="2:9" ht="17" thickBot="1" x14ac:dyDescent="0.25">
      <c r="B17" s="186" t="s">
        <v>285</v>
      </c>
      <c r="C17" s="187">
        <v>1.2</v>
      </c>
      <c r="E17" s="227" t="s">
        <v>286</v>
      </c>
      <c r="F17" s="227"/>
      <c r="G17" s="227"/>
      <c r="H17" s="227"/>
      <c r="I17" s="227"/>
    </row>
    <row r="18" spans="2:9" ht="17" thickBot="1" x14ac:dyDescent="0.25"/>
    <row r="19" spans="2:9" x14ac:dyDescent="0.2">
      <c r="B19" s="225" t="s">
        <v>239</v>
      </c>
      <c r="C19" s="226"/>
    </row>
    <row r="20" spans="2:9" x14ac:dyDescent="0.2">
      <c r="B20" s="188" t="s">
        <v>240</v>
      </c>
      <c r="C20" s="189">
        <v>0.02</v>
      </c>
    </row>
    <row r="21" spans="2:9" x14ac:dyDescent="0.2">
      <c r="B21" s="188" t="s">
        <v>219</v>
      </c>
      <c r="C21" s="190">
        <f ca="1">IF(WACC!C21&gt;0,WACC!C21,WACC!C20)</f>
        <v>9.2234999999999998E-2</v>
      </c>
    </row>
    <row r="22" spans="2:9" x14ac:dyDescent="0.2">
      <c r="B22" s="188" t="s">
        <v>74</v>
      </c>
      <c r="C22" s="191">
        <f>Statement!AC70</f>
        <v>523922</v>
      </c>
    </row>
    <row r="23" spans="2:9" x14ac:dyDescent="0.2">
      <c r="B23" s="188" t="s">
        <v>287</v>
      </c>
      <c r="C23" s="191">
        <f ca="1">C15*C22</f>
        <v>5726467.46</v>
      </c>
    </row>
    <row r="24" spans="2:9" x14ac:dyDescent="0.2">
      <c r="B24" s="188" t="s">
        <v>232</v>
      </c>
      <c r="C24" s="191">
        <f>Statement!AC112</f>
        <v>1472486</v>
      </c>
    </row>
    <row r="25" spans="2:9" x14ac:dyDescent="0.2">
      <c r="B25" s="188" t="s">
        <v>223</v>
      </c>
      <c r="C25" s="191">
        <f>Statement!AC113</f>
        <v>0</v>
      </c>
    </row>
    <row r="26" spans="2:9" ht="17" thickBot="1" x14ac:dyDescent="0.25">
      <c r="B26" s="186" t="s">
        <v>288</v>
      </c>
      <c r="C26" s="192">
        <f ca="1">C23+C25-C24</f>
        <v>4253981.46</v>
      </c>
    </row>
    <row r="27" spans="2:9" ht="17" thickBot="1" x14ac:dyDescent="0.25"/>
    <row r="28" spans="2:9" x14ac:dyDescent="0.2">
      <c r="B28" s="225" t="s">
        <v>241</v>
      </c>
      <c r="C28" s="226"/>
    </row>
    <row r="29" spans="2:9" x14ac:dyDescent="0.2">
      <c r="B29" s="188" t="s">
        <v>242</v>
      </c>
      <c r="C29" s="191">
        <f ca="1">SUM(H10:L10)</f>
        <v>510854.20043228398</v>
      </c>
    </row>
    <row r="30" spans="2:9" x14ac:dyDescent="0.2">
      <c r="B30" s="188" t="s">
        <v>238</v>
      </c>
      <c r="C30" s="191">
        <f ca="1">L11</f>
        <v>3745203.668636499</v>
      </c>
    </row>
    <row r="31" spans="2:9" x14ac:dyDescent="0.2">
      <c r="B31" s="193" t="s">
        <v>243</v>
      </c>
      <c r="C31" s="194">
        <f ca="1">C29+C30</f>
        <v>4256057.8690687828</v>
      </c>
    </row>
    <row r="32" spans="2:9" x14ac:dyDescent="0.2">
      <c r="B32" s="188" t="s">
        <v>244</v>
      </c>
      <c r="C32" s="195">
        <f>C24</f>
        <v>1472486</v>
      </c>
    </row>
    <row r="33" spans="2:12" x14ac:dyDescent="0.2">
      <c r="B33" s="188" t="s">
        <v>245</v>
      </c>
      <c r="C33" s="195">
        <f>C25</f>
        <v>0</v>
      </c>
    </row>
    <row r="34" spans="2:12" x14ac:dyDescent="0.2">
      <c r="B34" s="193" t="s">
        <v>246</v>
      </c>
      <c r="C34" s="194">
        <f ca="1">C31+C32-C33</f>
        <v>5728543.8690687828</v>
      </c>
    </row>
    <row r="35" spans="2:12" x14ac:dyDescent="0.2">
      <c r="B35" s="188" t="s">
        <v>74</v>
      </c>
      <c r="C35" s="191">
        <f>C22</f>
        <v>523922</v>
      </c>
    </row>
    <row r="36" spans="2:12" ht="17" thickBot="1" x14ac:dyDescent="0.25">
      <c r="B36" s="196" t="s">
        <v>247</v>
      </c>
      <c r="C36" s="197">
        <f ca="1">C34/C35</f>
        <v>10.933963202669066</v>
      </c>
    </row>
    <row r="39" spans="2:12" x14ac:dyDescent="0.2">
      <c r="C39" s="219" t="s">
        <v>289</v>
      </c>
      <c r="D39" s="219"/>
      <c r="E39" s="219"/>
      <c r="F39" s="219"/>
      <c r="G39" s="219"/>
      <c r="H39" s="219"/>
      <c r="I39" s="219"/>
      <c r="J39" s="219"/>
      <c r="K39" s="219"/>
      <c r="L39" s="219"/>
    </row>
    <row r="40" spans="2:12" x14ac:dyDescent="0.2">
      <c r="C40" s="14">
        <f>C6</f>
        <v>2022</v>
      </c>
      <c r="D40" s="14">
        <f t="shared" ref="D40:L41" si="2">D6</f>
        <v>2023</v>
      </c>
      <c r="E40" s="14">
        <f t="shared" si="2"/>
        <v>2024</v>
      </c>
      <c r="F40" s="14">
        <f t="shared" si="2"/>
        <v>2025</v>
      </c>
      <c r="G40" s="14">
        <f t="shared" si="2"/>
        <v>2026</v>
      </c>
      <c r="H40" s="14">
        <f t="shared" si="2"/>
        <v>2027</v>
      </c>
      <c r="I40" s="14">
        <f t="shared" si="2"/>
        <v>2028</v>
      </c>
      <c r="J40" s="14">
        <f t="shared" si="2"/>
        <v>2029</v>
      </c>
      <c r="K40" s="14">
        <f t="shared" si="2"/>
        <v>2030</v>
      </c>
      <c r="L40" s="14">
        <f t="shared" si="2"/>
        <v>2031</v>
      </c>
    </row>
    <row r="41" spans="2:12" x14ac:dyDescent="0.2">
      <c r="B41" s="41" t="s">
        <v>215</v>
      </c>
      <c r="C41" s="137">
        <f>C7</f>
        <v>-601022</v>
      </c>
      <c r="D41" s="137">
        <f t="shared" si="2"/>
        <v>-500062</v>
      </c>
      <c r="E41" s="137">
        <f t="shared" si="2"/>
        <v>-216393</v>
      </c>
      <c r="F41" s="137">
        <f t="shared" si="2"/>
        <v>-202032</v>
      </c>
      <c r="G41" s="138">
        <f t="shared" si="2"/>
        <v>8000</v>
      </c>
      <c r="H41" s="169">
        <f t="shared" si="2"/>
        <v>17600</v>
      </c>
      <c r="I41" s="169">
        <f t="shared" si="2"/>
        <v>38720</v>
      </c>
      <c r="J41" s="169">
        <f t="shared" si="2"/>
        <v>85184</v>
      </c>
      <c r="K41" s="169">
        <f t="shared" si="2"/>
        <v>187404.80000000002</v>
      </c>
      <c r="L41" s="169">
        <f t="shared" si="2"/>
        <v>412290.56000000006</v>
      </c>
    </row>
    <row r="42" spans="2:12" x14ac:dyDescent="0.2">
      <c r="B42" s="1" t="s">
        <v>210</v>
      </c>
      <c r="C42" s="137">
        <f>'FCF &amp; Other'!C10</f>
        <v>-500946</v>
      </c>
      <c r="D42" s="137">
        <f>'FCF &amp; Other'!D10</f>
        <v>-348283</v>
      </c>
      <c r="E42" s="137">
        <f>'FCF &amp; Other'!E10</f>
        <v>-164720</v>
      </c>
      <c r="F42" s="137">
        <f>'FCF &amp; Other'!F10</f>
        <v>-162569</v>
      </c>
      <c r="G42" s="138">
        <f>'FCF &amp; Other'!G10</f>
        <v>56760</v>
      </c>
      <c r="H42" s="169">
        <f>H41/H43</f>
        <v>15999.999999999998</v>
      </c>
      <c r="I42" s="169">
        <f t="shared" ref="I42:L42" si="3">I41/I43</f>
        <v>35200</v>
      </c>
      <c r="J42" s="169">
        <f t="shared" si="3"/>
        <v>77440</v>
      </c>
      <c r="K42" s="169">
        <f t="shared" si="3"/>
        <v>170368</v>
      </c>
      <c r="L42" s="169">
        <f t="shared" si="3"/>
        <v>374809.60000000003</v>
      </c>
    </row>
    <row r="43" spans="2:12" x14ac:dyDescent="0.2">
      <c r="B43" s="147" t="s">
        <v>290</v>
      </c>
      <c r="C43" s="101">
        <f>C41/C42</f>
        <v>1.1997740275398945</v>
      </c>
      <c r="D43" s="101">
        <f t="shared" ref="D43:G43" si="4">D41/D42</f>
        <v>1.4357921575270685</v>
      </c>
      <c r="E43" s="101">
        <f t="shared" si="4"/>
        <v>1.3137020398251578</v>
      </c>
      <c r="F43" s="101">
        <f t="shared" si="4"/>
        <v>1.2427461570164053</v>
      </c>
      <c r="G43" s="102">
        <f t="shared" si="4"/>
        <v>0.14094432699083861</v>
      </c>
      <c r="H43" s="198">
        <v>1.1000000000000001</v>
      </c>
      <c r="I43" s="198">
        <v>1.1000000000000001</v>
      </c>
      <c r="J43" s="198">
        <v>1.1000000000000001</v>
      </c>
      <c r="K43" s="198">
        <v>1.1000000000000001</v>
      </c>
      <c r="L43" s="198">
        <v>1.1000000000000001</v>
      </c>
    </row>
    <row r="44" spans="2:12" x14ac:dyDescent="0.2">
      <c r="B44" s="1" t="s">
        <v>20</v>
      </c>
      <c r="C44" s="137">
        <f>Revenue!C9</f>
        <v>892252</v>
      </c>
      <c r="D44" s="137">
        <f>Revenue!D9</f>
        <v>1058581</v>
      </c>
      <c r="E44" s="137">
        <f>Revenue!E9</f>
        <v>1308072</v>
      </c>
      <c r="F44" s="137">
        <f>Revenue!F9</f>
        <v>1429664</v>
      </c>
      <c r="G44" s="138">
        <f>Revenue!G9</f>
        <v>1610572</v>
      </c>
      <c r="H44" s="169">
        <f>H41/H45</f>
        <v>1760000</v>
      </c>
      <c r="I44" s="169">
        <f t="shared" ref="I44:L44" si="5">I41/I45</f>
        <v>1936000</v>
      </c>
      <c r="J44" s="169">
        <f t="shared" si="5"/>
        <v>2028190.476190476</v>
      </c>
      <c r="K44" s="169">
        <f t="shared" si="5"/>
        <v>2677211.4285714286</v>
      </c>
      <c r="L44" s="169">
        <f t="shared" si="5"/>
        <v>2748603.7333333339</v>
      </c>
    </row>
    <row r="45" spans="2:12" x14ac:dyDescent="0.2">
      <c r="B45" s="147" t="s">
        <v>291</v>
      </c>
      <c r="C45" s="101">
        <f>C41/C44</f>
        <v>-0.67360117993571322</v>
      </c>
      <c r="D45" s="101">
        <f t="shared" ref="D45:G45" si="6">D41/D44</f>
        <v>-0.47238898109828159</v>
      </c>
      <c r="E45" s="101">
        <f t="shared" si="6"/>
        <v>-0.16542896721281397</v>
      </c>
      <c r="F45" s="101">
        <f t="shared" si="6"/>
        <v>-0.14131432280591805</v>
      </c>
      <c r="G45" s="102">
        <f t="shared" si="6"/>
        <v>4.967179362363185E-3</v>
      </c>
      <c r="H45" s="198">
        <v>0.01</v>
      </c>
      <c r="I45" s="198">
        <v>0.02</v>
      </c>
      <c r="J45" s="198">
        <v>4.2000000000000003E-2</v>
      </c>
      <c r="K45" s="198">
        <v>7.0000000000000007E-2</v>
      </c>
      <c r="L45" s="198">
        <v>0.15</v>
      </c>
    </row>
    <row r="46" spans="2:12" x14ac:dyDescent="0.2">
      <c r="B46" s="147" t="s">
        <v>292</v>
      </c>
      <c r="C46" s="163"/>
      <c r="D46" s="101">
        <f>D41/C41-1</f>
        <v>-0.16798053981385042</v>
      </c>
      <c r="E46" s="101">
        <f t="shared" ref="E46:L47" si="7">E41/D41-1</f>
        <v>-0.5672676588103075</v>
      </c>
      <c r="F46" s="101">
        <f t="shared" si="7"/>
        <v>-6.6365363020060686E-2</v>
      </c>
      <c r="G46" s="102">
        <f t="shared" si="7"/>
        <v>-1.0395976874950503</v>
      </c>
      <c r="H46" s="199">
        <f t="shared" si="7"/>
        <v>1.2000000000000002</v>
      </c>
      <c r="I46" s="199">
        <f t="shared" si="7"/>
        <v>1.2000000000000002</v>
      </c>
      <c r="J46" s="199">
        <f t="shared" si="7"/>
        <v>1.2000000000000002</v>
      </c>
      <c r="K46" s="199">
        <f t="shared" si="7"/>
        <v>1.2000000000000002</v>
      </c>
      <c r="L46" s="199">
        <f t="shared" si="7"/>
        <v>1.2000000000000002</v>
      </c>
    </row>
    <row r="47" spans="2:12" x14ac:dyDescent="0.2">
      <c r="B47" s="147" t="s">
        <v>293</v>
      </c>
      <c r="C47" s="163"/>
      <c r="D47" s="101">
        <f>D42/C42-1</f>
        <v>-0.30474941410850676</v>
      </c>
      <c r="E47" s="101">
        <f t="shared" si="7"/>
        <v>-0.52705127726590151</v>
      </c>
      <c r="F47" s="101">
        <f t="shared" si="7"/>
        <v>-1.3058523555123824E-2</v>
      </c>
      <c r="G47" s="102">
        <f t="shared" si="7"/>
        <v>-1.3491440557547871</v>
      </c>
      <c r="H47" s="199">
        <f t="shared" si="7"/>
        <v>-0.71811134601832283</v>
      </c>
      <c r="I47" s="199">
        <f t="shared" si="7"/>
        <v>1.2000000000000002</v>
      </c>
      <c r="J47" s="199">
        <f t="shared" si="7"/>
        <v>1.2000000000000002</v>
      </c>
      <c r="K47" s="199">
        <f t="shared" si="7"/>
        <v>1.2000000000000002</v>
      </c>
      <c r="L47" s="199">
        <f t="shared" si="7"/>
        <v>1.2000000000000002</v>
      </c>
    </row>
    <row r="48" spans="2:12" x14ac:dyDescent="0.2">
      <c r="B48" s="147" t="s">
        <v>294</v>
      </c>
      <c r="C48" s="163"/>
      <c r="D48" s="101">
        <f>D44/C44-1</f>
        <v>0.18641482451146096</v>
      </c>
      <c r="E48" s="101">
        <f t="shared" ref="E48:L48" si="8">E44/D44-1</f>
        <v>0.23568437370404349</v>
      </c>
      <c r="F48" s="101">
        <f t="shared" si="8"/>
        <v>9.2955127852289543E-2</v>
      </c>
      <c r="G48" s="102">
        <f t="shared" si="8"/>
        <v>0.12653882310808684</v>
      </c>
      <c r="H48" s="199">
        <f t="shared" si="8"/>
        <v>9.2779459719900759E-2</v>
      </c>
      <c r="I48" s="199">
        <f t="shared" si="8"/>
        <v>0.10000000000000009</v>
      </c>
      <c r="J48" s="199">
        <f t="shared" si="8"/>
        <v>4.761904761904745E-2</v>
      </c>
      <c r="K48" s="199">
        <f t="shared" si="8"/>
        <v>0.32000000000000006</v>
      </c>
      <c r="L48" s="199">
        <f t="shared" si="8"/>
        <v>2.6666666666666838E-2</v>
      </c>
    </row>
    <row r="49" spans="2:12" x14ac:dyDescent="0.2">
      <c r="B49" s="147" t="s">
        <v>295</v>
      </c>
      <c r="C49" s="101">
        <f>C42/C44</f>
        <v>-0.56144004160259653</v>
      </c>
      <c r="D49" s="101">
        <f t="shared" ref="D49:L49" si="9">D42/D44</f>
        <v>-0.32900930585377974</v>
      </c>
      <c r="E49" s="101">
        <f t="shared" si="9"/>
        <v>-0.12592579001767487</v>
      </c>
      <c r="F49" s="101">
        <f t="shared" si="9"/>
        <v>-0.11371133357208407</v>
      </c>
      <c r="G49" s="102">
        <f t="shared" si="9"/>
        <v>3.5242137575966802E-2</v>
      </c>
      <c r="H49" s="199">
        <f t="shared" si="9"/>
        <v>9.0909090909090905E-3</v>
      </c>
      <c r="I49" s="199">
        <f t="shared" si="9"/>
        <v>1.8181818181818181E-2</v>
      </c>
      <c r="J49" s="199">
        <f t="shared" si="9"/>
        <v>3.8181818181818185E-2</v>
      </c>
      <c r="K49" s="199">
        <f t="shared" si="9"/>
        <v>6.363636363636363E-2</v>
      </c>
      <c r="L49" s="199">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vt:lpstr>
      <vt:lpstr>Analysis -&gt;</vt:lpstr>
      <vt:lpstr>Basic</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2026-05-24T20:15:40Z</dcterms:modified>
</cp:coreProperties>
</file>