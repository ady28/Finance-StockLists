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CA6BD3E-A04D-C748-89CE-9456D34D0E6F}"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2" l="1"/>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<sst xmlns="http://schemas.openxmlformats.org/spreadsheetml/2006/main" count="772" uniqueCount="419">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</sst>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0.98270000000000002</v>
    <v>-0.12</v>
    <v>-1.1685000000000001E-2</v>
    <v>0.02</v>
    <v>1.9689999999999998E-3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10.52</v>
    <v>Software &amp; IT Services</v>
    <v>Stock</v>
    <v>46195.970821087503</v>
    <v>0</v>
    <v>10</v>
    <v>5258921045</v>
    <v>UIPATH, INC.</v>
    <v>UIPATH, INC.</v>
    <v>10.175000000000001</v>
    <v>16.871700000000001</v>
    <v>10.27</v>
    <v>10.15</v>
    <v>10.18</v>
    <v>518120300</v>
    <v>PATH</v>
    <v>UIPATH, INC. (XNYS:PATH)</v>
    <v>51864958</v>
    <v>46136980</v>
    <v>2015</v>
  </rv>
  <rv s="2">
    <v>1</v>
  </rv>
  <rv s="0">
    <v>https://www.bing.com/financeapi/forcetrigger?t=a33knm&amp;q=10+Y+TSY+YLD+NDX&amp;form=skydnc</v>
    <v>Learn more on Bing</v>
  </rv>
  <rv s="3">
    <v>5</v>
    <v>10 Y TSY YLD NDX</v>
    <v>6</v>
    <v>7</v>
    <v>Finance</v>
    <v>8</v>
    <v>en-US</v>
    <v>a33knm</v>
    <v>268435456</v>
    <v>1</v>
    <v>Powered by Refinitiv</v>
    <v>46.87</v>
    <v>39.47</v>
    <v>0.57999999999999996</v>
    <v>1.3030999999999999E-2</v>
    <v>US</v>
    <v>45.15</v>
    <v>Index</v>
    <v>3</v>
    <v>44.81</v>
    <v>10 Y TSY YLD NDX</v>
    <v>44.95</v>
    <v>44.51</v>
    <v>45.09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30" zoomScale="160" zoomScaleNormal="160" workbookViewId="0">
      <selection activeCell="F5" sqref="F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0" t="s">
        <v>18</v>
      </c>
      <c r="C2" s="251"/>
      <c r="E2" s="250" t="s">
        <v>336</v>
      </c>
      <c r="F2" s="251"/>
      <c r="H2" s="250" t="s">
        <v>381</v>
      </c>
      <c r="I2" s="251"/>
    </row>
    <row r="3" spans="2:9" x14ac:dyDescent="0.2">
      <c r="B3" s="206" t="s">
        <v>11</v>
      </c>
      <c r="C3" s="238" t="e" vm="1">
        <v>#VALUE!</v>
      </c>
      <c r="D3" s="2"/>
      <c r="E3" s="206" t="s">
        <v>288</v>
      </c>
      <c r="F3" s="208">
        <f ca="1">Statement!AC153</f>
        <v>5301903.25</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3886157.25</v>
      </c>
      <c r="H4" s="206" t="str">
        <f>'AVG target price'!B6</f>
        <v>EV/EBIT price</v>
      </c>
      <c r="I4" s="232">
        <f>'AVG target price'!C6</f>
        <v>15.469508957927841</v>
      </c>
    </row>
    <row r="5" spans="2:9" x14ac:dyDescent="0.2">
      <c r="B5" s="206" t="s">
        <v>1</v>
      </c>
      <c r="C5" s="229" cm="1">
        <f t="array" aca="1" ref="C5" ca="1">_FV(C3,"Price",TRUE)</f>
        <v>10.15</v>
      </c>
      <c r="E5" s="206" t="s">
        <v>292</v>
      </c>
      <c r="F5" s="211">
        <f>Statement!AC26</f>
        <v>0.60000000000000009</v>
      </c>
      <c r="H5" s="206" t="str">
        <f>'AVG target price'!B7</f>
        <v>PS price</v>
      </c>
      <c r="I5" s="232">
        <f>'AVG target price'!C7</f>
        <v>13.993493556532998</v>
      </c>
    </row>
    <row r="6" spans="2:9" x14ac:dyDescent="0.2">
      <c r="B6" s="206" t="s">
        <v>2</v>
      </c>
      <c r="C6" s="229" cm="1">
        <f t="array" aca="1" ref="C6" ca="1">_FV(C3,"Price (Extended hours)",TRUE)</f>
        <v>10.18</v>
      </c>
      <c r="E6" s="206" t="s">
        <v>286</v>
      </c>
      <c r="F6" s="211">
        <f ca="1">Statement!AC150</f>
        <v>16.916666666666664</v>
      </c>
      <c r="H6" s="206" t="str">
        <f>'AVG target price'!B8</f>
        <v>EV/FCFF price</v>
      </c>
      <c r="I6" s="232">
        <f>'AVG target price'!C8</f>
        <v>10.334200177437685</v>
      </c>
    </row>
    <row r="7" spans="2:9" x14ac:dyDescent="0.2">
      <c r="B7" s="206" t="s">
        <v>3</v>
      </c>
      <c r="C7" s="6" cm="1">
        <f t="array" aca="1" ref="C7" ca="1">_FV(C3,"Change")</f>
        <v>-0.12</v>
      </c>
      <c r="E7" s="207" t="s">
        <v>242</v>
      </c>
      <c r="F7" s="212">
        <f ca="1">Statement!AC151</f>
        <v>3.269853699628662</v>
      </c>
      <c r="H7" s="205" t="str">
        <f>'AVG target price'!B9</f>
        <v>AVG price</v>
      </c>
      <c r="I7" s="233">
        <f>'AVG target price'!C9</f>
        <v>11.503690579122585</v>
      </c>
    </row>
    <row r="8" spans="2:9" x14ac:dyDescent="0.2">
      <c r="B8" s="206" t="s">
        <v>4</v>
      </c>
      <c r="C8" s="6" cm="1">
        <f t="array" aca="1" ref="C8" ca="1">_FV(C3,"Change (extended hours)",TRUE)</f>
        <v>0.02</v>
      </c>
      <c r="E8" s="206" t="s">
        <v>314</v>
      </c>
      <c r="F8" s="213">
        <f ca="1">Statement!AC161</f>
        <v>2.0296296429022916E-2</v>
      </c>
      <c r="H8" s="205" t="str">
        <f>'AVG target price'!B11</f>
        <v>Upside/Downside</v>
      </c>
      <c r="I8" s="234">
        <f ca="1">'AVG target price'!C11</f>
        <v>0.13336852996281623</v>
      </c>
    </row>
    <row r="9" spans="2:9" x14ac:dyDescent="0.2">
      <c r="B9" s="206" t="s">
        <v>5</v>
      </c>
      <c r="C9" s="73" cm="1">
        <f t="array" aca="1" ref="C9" ca="1">_FV(C3,"Change (%)",TRUE)</f>
        <v>-1.1685000000000001E-2</v>
      </c>
      <c r="E9" s="206" t="s">
        <v>337</v>
      </c>
      <c r="F9" s="213">
        <f ca="1">Statement!AC162</f>
        <v>5.9113300492610842E-2</v>
      </c>
    </row>
    <row r="10" spans="2:9" x14ac:dyDescent="0.2">
      <c r="B10" s="206" t="s">
        <v>6</v>
      </c>
      <c r="C10" s="73" cm="1">
        <f t="array" aca="1" ref="C10" ca="1">_FV(C3,"Change % (extended hours)",TRUE)</f>
        <v>1.9689999999999998E-3</v>
      </c>
      <c r="E10" s="206" t="s">
        <v>342</v>
      </c>
      <c r="F10" s="213">
        <f ca="1">Statement!AC164</f>
        <v>6.5141135874178774E-2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0.98270000000000002</v>
      </c>
      <c r="E13" s="206" t="s">
        <v>123</v>
      </c>
      <c r="F13" s="213">
        <f>Statement!AC125</f>
        <v>0.17205256008386913</v>
      </c>
    </row>
    <row r="14" spans="2:9" x14ac:dyDescent="0.2">
      <c r="B14" s="207" t="s">
        <v>10</v>
      </c>
      <c r="C14" s="231" cm="1">
        <f t="array" aca="1" ref="C14" ca="1">_FV(C3,"Volume average",TRUE)</f>
        <v>46136980</v>
      </c>
      <c r="E14" s="207" t="s">
        <v>124</v>
      </c>
      <c r="F14" s="214">
        <f>Statement!AC140</f>
        <v>0.2076253183886507</v>
      </c>
    </row>
    <row r="15" spans="2:9" x14ac:dyDescent="0.2">
      <c r="E15" s="206" t="s">
        <v>339</v>
      </c>
      <c r="F15" s="213">
        <f ca="1">Statement!AC176</f>
        <v>0.26702599674937488</v>
      </c>
    </row>
    <row r="16" spans="2:9" x14ac:dyDescent="0.2">
      <c r="E16" s="207" t="s">
        <v>344</v>
      </c>
      <c r="F16" s="212">
        <f>Statement!AC175</f>
        <v>2.732462108272006</v>
      </c>
    </row>
    <row r="17" spans="2:9" x14ac:dyDescent="0.2">
      <c r="B17" s="252" t="s">
        <v>103</v>
      </c>
      <c r="C17" s="252"/>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2" t="s">
        <v>126</v>
      </c>
      <c r="C25" s="252"/>
      <c r="E25" s="250" t="s">
        <v>401</v>
      </c>
      <c r="F25" s="251"/>
    </row>
    <row r="26" spans="2:9" x14ac:dyDescent="0.2">
      <c r="B26" s="205" t="s">
        <v>127</v>
      </c>
      <c r="C26" s="191">
        <v>0.21</v>
      </c>
      <c r="E26" s="206" t="e" vm="2">
        <v>#VALUE!</v>
      </c>
      <c r="F26" s="240" cm="1">
        <f t="array" aca="1" ref="F26" ca="1">_FV(E26,"Price")</f>
        <v>45.09</v>
      </c>
    </row>
    <row r="27" spans="2:9" x14ac:dyDescent="0.2">
      <c r="B27" s="205" t="s">
        <v>213</v>
      </c>
      <c r="C27" s="242">
        <v>0</v>
      </c>
      <c r="E27" s="207" t="s">
        <v>402</v>
      </c>
      <c r="F27" s="241">
        <f ca="1">F26/1000</f>
        <v>4.5090000000000005E-2</v>
      </c>
    </row>
    <row r="28" spans="2:9" x14ac:dyDescent="0.2">
      <c r="B28" s="205" t="s">
        <v>406</v>
      </c>
      <c r="C28" s="242">
        <v>0.1</v>
      </c>
    </row>
    <row r="29" spans="2:9" x14ac:dyDescent="0.2">
      <c r="B29" s="205" t="s">
        <v>407</v>
      </c>
      <c r="C29" s="242">
        <v>0.12</v>
      </c>
    </row>
    <row r="33" spans="2:8" x14ac:dyDescent="0.2">
      <c r="B33" s="249" t="s">
        <v>391</v>
      </c>
      <c r="C33" s="249"/>
      <c r="D33" s="249"/>
      <c r="E33" s="249"/>
      <c r="F33" s="249"/>
      <c r="G33" s="249"/>
      <c r="H33" s="249"/>
    </row>
    <row r="35" spans="2:8" x14ac:dyDescent="0.2">
      <c r="B35" s="16" t="s">
        <v>392</v>
      </c>
      <c r="C35" s="1" t="s">
        <v>397</v>
      </c>
    </row>
    <row r="36" spans="2:8" x14ac:dyDescent="0.2">
      <c r="B36" s="16" t="s">
        <v>393</v>
      </c>
      <c r="C36" s="1" t="s">
        <v>396</v>
      </c>
    </row>
    <row r="39" spans="2:8" ht="6" customHeight="1" x14ac:dyDescent="0.2">
      <c r="B39" s="249"/>
      <c r="C39" s="249"/>
      <c r="D39" s="249"/>
      <c r="E39" s="249"/>
      <c r="F39" s="249"/>
      <c r="G39" s="249"/>
      <c r="H39" s="249"/>
    </row>
    <row r="42" spans="2:8" x14ac:dyDescent="0.2">
      <c r="B42" s="249" t="s">
        <v>394</v>
      </c>
      <c r="C42" s="249"/>
      <c r="D42" s="249"/>
      <c r="E42" s="249"/>
      <c r="F42" s="249"/>
      <c r="G42" s="249"/>
      <c r="H42" s="249"/>
    </row>
    <row r="44" spans="2:8" x14ac:dyDescent="0.2">
      <c r="B44" s="41" t="s">
        <v>395</v>
      </c>
      <c r="C44" s="41" t="s">
        <v>382</v>
      </c>
      <c r="D44" s="41"/>
      <c r="E44" s="41" t="s">
        <v>383</v>
      </c>
    </row>
    <row r="49" spans="2:8" ht="5" customHeight="1" x14ac:dyDescent="0.2">
      <c r="B49" s="249"/>
      <c r="C49" s="249"/>
      <c r="D49" s="249"/>
      <c r="E49" s="249"/>
      <c r="F49" s="249"/>
      <c r="G49" s="249"/>
      <c r="H49" s="249"/>
    </row>
    <row r="52" spans="2:8" x14ac:dyDescent="0.2">
      <c r="B52" s="249" t="s">
        <v>128</v>
      </c>
      <c r="C52" s="249"/>
      <c r="D52" s="249"/>
      <c r="E52" s="249"/>
      <c r="F52" s="249"/>
      <c r="G52" s="249"/>
      <c r="H52" s="249"/>
    </row>
    <row r="54" spans="2:8" x14ac:dyDescent="0.2">
      <c r="B54" s="41" t="s">
        <v>395</v>
      </c>
      <c r="C54" s="41" t="s">
        <v>382</v>
      </c>
      <c r="D54" s="41"/>
      <c r="E54" s="41" t="s">
        <v>383</v>
      </c>
    </row>
    <row r="59" spans="2:8" ht="5" customHeight="1" x14ac:dyDescent="0.2">
      <c r="B59" s="249"/>
      <c r="C59" s="249"/>
      <c r="D59" s="249"/>
      <c r="E59" s="249"/>
      <c r="F59" s="249"/>
      <c r="G59" s="249"/>
      <c r="H59" s="249"/>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tabSelected="1" zoomScale="170" zoomScaleNormal="150" workbookViewId="0">
      <pane xSplit="2" ySplit="3" topLeftCell="I193"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10.15</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10.15</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16.916666666666664</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3.269853699628662</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2.7635443373892845</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5301903.25</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3886157.25</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2.3237980841101935</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38.416327266975749</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49.270072670501541</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-71.654047201991332</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2.0296296429022916E-2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5.9113300492610842E-2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6.5141135874178774E-2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6.5141135874178774E-2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0.26702599674937488</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49" t="s">
        <v>282</v>
      </c>
      <c r="C4" s="249"/>
      <c r="E4" s="249" t="s">
        <v>289</v>
      </c>
      <c r="F4" s="249"/>
      <c r="G4" s="249"/>
    </row>
    <row r="5" spans="2:7" x14ac:dyDescent="0.2">
      <c r="B5" s="20" t="s">
        <v>1</v>
      </c>
      <c r="C5" s="193">
        <f ca="1">Overview!C5</f>
        <v>10.15</v>
      </c>
      <c r="E5" s="12"/>
      <c r="F5" s="153" t="s">
        <v>290</v>
      </c>
      <c r="G5" s="153" t="s">
        <v>291</v>
      </c>
    </row>
    <row r="6" spans="2:7" x14ac:dyDescent="0.2">
      <c r="B6" s="20" t="s">
        <v>288</v>
      </c>
      <c r="C6" s="194">
        <f ca="1">Statement!AC153</f>
        <v>5301903.25</v>
      </c>
      <c r="E6" s="20" t="s">
        <v>20</v>
      </c>
      <c r="F6" s="199">
        <f>IF(Statement!M5&lt;=0,"N/A",_xlfn.RRI(4,Statement!M5,Statement!Q5))</f>
        <v>0.15910599918172563</v>
      </c>
      <c r="G6" s="199" t="str">
        <f>IF(Statement!H5&lt;=0,"N/A",_xlfn.RRI(9,Statement!H5,Statement!Q5))</f>
        <v>N/A</v>
      </c>
    </row>
    <row r="7" spans="2:7" x14ac:dyDescent="0.2">
      <c r="B7" s="20" t="s">
        <v>229</v>
      </c>
      <c r="C7" s="194">
        <f ca="1">Statement!AC154</f>
        <v>3886157.25</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16.916666666666664</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3.269853699628662</v>
      </c>
      <c r="E9" s="20" t="s">
        <v>293</v>
      </c>
      <c r="F9" s="199" t="str">
        <f>IF(Statement!M82&lt;=0,"N/A",_xlfn.RRI(4,Statement!M82,Statement!Q82))</f>
        <v>N/A</v>
      </c>
      <c r="G9" s="199" t="str">
        <f>IF(Statement!H82&lt;=0,"N/A",_xlfn.RRI(9,Statement!H82,Statement!Q82))</f>
        <v>N/A</v>
      </c>
    </row>
    <row r="10" spans="2:7" x14ac:dyDescent="0.2">
      <c r="B10" s="20" t="s">
        <v>287</v>
      </c>
      <c r="C10" s="195">
        <f ca="1">Statement!AC152</f>
        <v>2.7635443373892845</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2.3237980841101935</v>
      </c>
    </row>
    <row r="12" spans="2:7" x14ac:dyDescent="0.2">
      <c r="B12" s="20" t="s">
        <v>245</v>
      </c>
      <c r="C12" s="195">
        <f ca="1">Statement!AC156</f>
        <v>38.416327266975749</v>
      </c>
    </row>
    <row r="15" spans="2:7" x14ac:dyDescent="0.2">
      <c r="B15" s="249" t="s">
        <v>78</v>
      </c>
      <c r="C15" s="249"/>
      <c r="E15" s="249" t="s">
        <v>295</v>
      </c>
      <c r="F15" s="249"/>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49" t="s">
        <v>294</v>
      </c>
      <c r="C21" s="249"/>
      <c r="E21" s="249" t="s">
        <v>298</v>
      </c>
      <c r="F21" s="249"/>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49" t="s">
        <v>299</v>
      </c>
      <c r="C29" s="249"/>
      <c r="E29" s="249" t="s">
        <v>305</v>
      </c>
      <c r="F29" s="249"/>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49" t="s">
        <v>317</v>
      </c>
      <c r="C37" s="249"/>
      <c r="E37" s="249" t="s">
        <v>320</v>
      </c>
      <c r="F37" s="249"/>
    </row>
    <row r="38" spans="2:6" x14ac:dyDescent="0.2">
      <c r="B38" s="20" t="s">
        <v>315</v>
      </c>
      <c r="C38" s="196">
        <f ca="1">Statement!AC162</f>
        <v>5.9113300492610842E-2</v>
      </c>
      <c r="E38" s="20" t="s">
        <v>319</v>
      </c>
      <c r="F38" s="196">
        <f>Statement!AC168</f>
        <v>0</v>
      </c>
    </row>
    <row r="39" spans="2:6" x14ac:dyDescent="0.2">
      <c r="B39" s="54" t="s">
        <v>318</v>
      </c>
      <c r="C39" s="236">
        <f ca="1">Statement!AC161</f>
        <v>2.0296296429022916E-2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6.5141135874178774E-2</v>
      </c>
    </row>
    <row r="42" spans="2:6" x14ac:dyDescent="0.2">
      <c r="B42" s="20" t="s">
        <v>343</v>
      </c>
      <c r="C42" s="196">
        <f ca="1">Statement!AC165</f>
        <v>6.5141135874178774E-2</v>
      </c>
    </row>
    <row r="45" spans="2:6" x14ac:dyDescent="0.2">
      <c r="B45" s="249" t="s">
        <v>328</v>
      </c>
      <c r="C45" s="249"/>
      <c r="E45" s="249" t="s">
        <v>334</v>
      </c>
      <c r="F45" s="249"/>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0.26702599674937488</v>
      </c>
    </row>
    <row r="51" spans="2:6" x14ac:dyDescent="0.2">
      <c r="B51" s="249" t="s">
        <v>331</v>
      </c>
      <c r="C51" s="249"/>
      <c r="E51" s="249" t="s">
        <v>352</v>
      </c>
      <c r="F51" s="249"/>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10.15</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5301903.25</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3886157.25</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16.916666666666664</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3.269853699628662</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2.7635443373892845</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2.3237980841101935</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38.416327266975749</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5.9113300492610842E-2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2.0296296429022916E-2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6.5141135874178774E-2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6.5141135874178774E-2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0.26702599674937488</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365</v>
      </c>
      <c r="D3" s="254"/>
      <c r="F3" s="255" t="s">
        <v>366</v>
      </c>
      <c r="G3" s="254"/>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6">
        <f>Statement!AA89</f>
        <v>-0.13037640275448081</v>
      </c>
      <c r="D7" s="257"/>
      <c r="F7" s="256">
        <f>IF(F6=0,
IF(G6=0,0,IF(G6&gt;0,1,-1)),
(G6-F6)/ABS(F6)
)</f>
        <v>0.17317398716855847</v>
      </c>
      <c r="G7" s="257"/>
    </row>
    <row r="8" spans="2:7" x14ac:dyDescent="0.2">
      <c r="B8" s="228" t="s">
        <v>21</v>
      </c>
      <c r="C8" s="221">
        <f>Statement!Z6</f>
        <v>73935</v>
      </c>
      <c r="D8" s="219">
        <f>Statement!AA6</f>
        <v>76928</v>
      </c>
      <c r="F8" s="221">
        <f>Statement!W6</f>
        <v>63857</v>
      </c>
      <c r="G8" s="219">
        <f>Statement!AA6</f>
        <v>76928</v>
      </c>
    </row>
    <row r="9" spans="2:7" x14ac:dyDescent="0.2">
      <c r="B9" s="227" t="s">
        <v>367</v>
      </c>
      <c r="C9" s="256">
        <f>Statement!AA90</f>
        <v>4.0481504023804696E-2</v>
      </c>
      <c r="D9" s="257"/>
      <c r="F9" s="256">
        <f>IF(F8=0,
IF(G8=0,0,IF(G8&gt;0,1,-1)),
(G8-F8)/ABS(F8)
)</f>
        <v>0.20469173309112548</v>
      </c>
      <c r="G9" s="257"/>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6">
        <f>Statement!AA91</f>
        <v>-0.1614010786596328</v>
      </c>
      <c r="D11" s="257"/>
      <c r="F11" s="256">
        <f>IF(F10=0,
IF(G10=0,0,IF(G10&gt;0,1,-1)),
(G10-F10)/ABS(F10)
)</f>
        <v>0.16629948047423376</v>
      </c>
      <c r="G11" s="257"/>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6">
        <f>Statement!AA95</f>
        <v>-4.1051008608505718E-2</v>
      </c>
      <c r="D13" s="257"/>
      <c r="F13" s="256">
        <f>IF(F12=0,
IF(G12=0,0,IF(G12&gt;0,1,-1)),
(G12-F12)/ABS(F12)
)</f>
        <v>1.3868988514743887E-2</v>
      </c>
      <c r="G13" s="257"/>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6">
        <f>Statement!AA96</f>
        <v>-0.65140871384799337</v>
      </c>
      <c r="D15" s="257"/>
      <c r="F15" s="256">
        <f>IF(F14=0,
IF(G14=0,0,IF(G14&gt;0,1,-1)),
(G14-F14)/ABS(F14)
)</f>
        <v>2.7052766268583963</v>
      </c>
      <c r="G15" s="257"/>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6">
        <f>Statement!AA98</f>
        <v>-0.78437135034749483</v>
      </c>
      <c r="D17" s="257"/>
      <c r="F17" s="256">
        <f>IF(F16=0,
IF(G16=0,0,IF(G16&gt;0,1,-1)),
(G16-F16)/ABS(F16)
)</f>
        <v>1.9986699179782754</v>
      </c>
      <c r="G17" s="257"/>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6">
        <f>IF(C18=0,
IF(D18=0,0,IF(D18&gt;0,1,-1)),
(D18-C18)/ABS(C18)
)</f>
        <v>-3.2031015030699599E-2</v>
      </c>
      <c r="D19" s="257"/>
      <c r="F19" s="256">
        <f>IF(F18=0,
IF(G18=0,0,IF(G18&gt;0,1,-1)),
(G18-F18)/ABS(F18)
)</f>
        <v>-3.7620498458385526E-2</v>
      </c>
      <c r="G19" s="257"/>
    </row>
    <row r="20" spans="2:7" x14ac:dyDescent="0.2">
      <c r="B20" s="228" t="s">
        <v>39</v>
      </c>
      <c r="C20" s="222">
        <f>Statement!Z26</f>
        <v>0.19</v>
      </c>
      <c r="D20" s="223">
        <f>Statement!AA26</f>
        <v>0.04</v>
      </c>
      <c r="F20" s="222">
        <f>Statement!W26</f>
        <v>-0.04</v>
      </c>
      <c r="G20" s="223">
        <f>Statement!AA26</f>
        <v>0.04</v>
      </c>
    </row>
    <row r="21" spans="2:7" x14ac:dyDescent="0.2">
      <c r="B21" s="227" t="s">
        <v>367</v>
      </c>
      <c r="C21" s="256">
        <f>IF(C20=0,
IF(D20=0,0,IF(D20&gt;0,1,-1)),
(D20-C20)/ABS(C20)
)</f>
        <v>-0.78947368421052633</v>
      </c>
      <c r="D21" s="257"/>
      <c r="F21" s="256">
        <f>IF(F20=0,
IF(G20=0,0,IF(G20&gt;0,1,-1)),
(G20-F20)/ABS(F20)
)</f>
        <v>2</v>
      </c>
      <c r="G21" s="257"/>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6">
        <f>IF(C24=0,
IF(D24=0,0,IF(D24&gt;0,1,-1)),
(D24-C24)/ABS(C24)
)</f>
        <v>-0.30844727286201273</v>
      </c>
      <c r="D25" s="257"/>
      <c r="F25" s="256">
        <f>IF(F24=0,
IF(G24=0,0,IF(G24&gt;0,1,-1)),
(G24-F24)/ABS(F24)
)</f>
        <v>0.16387602700216702</v>
      </c>
      <c r="G25" s="257"/>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6">
        <f>IF(C26=0,
IF(D26=0,0,IF(D26&gt;0,1,-1)),
(D26-C26)/ABS(C26)
)</f>
        <v>6.6472159310281692E-3</v>
      </c>
      <c r="D27" s="257"/>
      <c r="F27" s="256">
        <f>IF(F26=0,
IF(G26=0,0,IF(G26&gt;0,1,-1)),
(G26-F26)/ABS(F26)
)</f>
        <v>0.16382654634312457</v>
      </c>
      <c r="G27" s="257"/>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6">
        <f>IF(C28=0,
IF(D28=0,0,IF(D28&gt;0,1,-1)),
(D28-C28)/ABS(C28)
)</f>
        <v>0.15748031496062992</v>
      </c>
      <c r="D29" s="257"/>
      <c r="F29" s="256">
        <f>IF(F28=0,
IF(G28=0,0,IF(G28&gt;0,1,-1)),
(G28-F28)/ABS(F28)
)</f>
        <v>0.46533756230176709</v>
      </c>
      <c r="G29" s="257"/>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6">
        <f>IF(C32=0,
IF(D32=0,0,IF(D32&gt;0,1,-1)),
(D32-C32)/ABS(C32)
)</f>
        <v>2.6257619832373135E-2</v>
      </c>
      <c r="D33" s="257"/>
      <c r="F33" s="256">
        <f>IF(F32=0,
IF(G32=0,0,IF(G32&gt;0,1,-1)),
(G32-F32)/ABS(F32)
)</f>
        <v>0.12319376989075922</v>
      </c>
      <c r="G33" s="257"/>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6">
        <f>IF(C34=0,
IF(D34=0,0,IF(D34&gt;0,1,-1)),
(D34-C34)/ABS(C34)
)</f>
        <v>2.3001949317738791E-2</v>
      </c>
      <c r="D35" s="257"/>
      <c r="F35" s="256">
        <f>IF(F34=0,
IF(G34=0,0,IF(G34&gt;0,1,-1)),
(G34-F34)/ABS(F34)
)</f>
        <v>0.10951374207188161</v>
      </c>
      <c r="G35" s="257"/>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9" t="s">
        <v>137</v>
      </c>
      <c r="D2" s="249"/>
      <c r="E2" s="249"/>
      <c r="F2" s="249"/>
      <c r="G2" s="261"/>
      <c r="H2" s="262" t="s">
        <v>138</v>
      </c>
      <c r="I2" s="249"/>
      <c r="J2" s="249"/>
      <c r="K2" s="249"/>
      <c r="L2" s="249"/>
      <c r="O2" s="5"/>
      <c r="S2" s="249" t="s">
        <v>137</v>
      </c>
      <c r="T2" s="249"/>
      <c r="U2" s="249"/>
      <c r="V2" s="249"/>
      <c r="W2" s="249"/>
      <c r="X2" s="249"/>
      <c r="Y2" s="249"/>
      <c r="Z2" s="249"/>
      <c r="AA2" s="249" t="s">
        <v>138</v>
      </c>
      <c r="AB2" s="249"/>
      <c r="AC2" s="249"/>
      <c r="AE2" s="87" t="s">
        <v>139</v>
      </c>
    </row>
    <row r="3" spans="1:31" ht="10" customHeight="1" x14ac:dyDescent="0.2">
      <c r="O3" s="5"/>
    </row>
    <row r="4" spans="1:31" ht="16" customHeight="1" x14ac:dyDescent="0.2">
      <c r="A4" s="88"/>
      <c r="B4" s="60"/>
      <c r="C4" s="258" t="s">
        <v>140</v>
      </c>
      <c r="D4" s="258"/>
      <c r="E4" s="258"/>
      <c r="F4" s="258"/>
      <c r="G4" s="258"/>
      <c r="H4" s="258"/>
      <c r="I4" s="258"/>
      <c r="J4" s="258"/>
      <c r="K4" s="258"/>
      <c r="L4" s="258"/>
      <c r="O4" s="5"/>
      <c r="S4" s="259" t="s">
        <v>140</v>
      </c>
      <c r="T4" s="260"/>
      <c r="U4" s="260"/>
      <c r="V4" s="260"/>
      <c r="W4" s="260"/>
      <c r="X4" s="260"/>
      <c r="Y4" s="260"/>
      <c r="Z4" s="260"/>
      <c r="AA4" s="260"/>
      <c r="AB4" s="260"/>
      <c r="AC4" s="260"/>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8" t="s">
        <v>146</v>
      </c>
      <c r="D11" s="258"/>
      <c r="E11" s="258"/>
      <c r="F11" s="258"/>
      <c r="G11" s="258"/>
      <c r="H11" s="258"/>
      <c r="I11" s="258"/>
      <c r="J11" s="258"/>
      <c r="K11" s="258"/>
      <c r="L11" s="258"/>
      <c r="O11" s="5"/>
      <c r="Q11" s="93"/>
      <c r="S11" s="259" t="s">
        <v>146</v>
      </c>
      <c r="T11" s="260"/>
      <c r="U11" s="260"/>
      <c r="V11" s="260"/>
      <c r="W11" s="260"/>
      <c r="X11" s="260"/>
      <c r="Y11" s="260"/>
      <c r="Z11" s="260"/>
      <c r="AA11" s="260"/>
      <c r="AB11" s="260"/>
      <c r="AC11" s="260"/>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8" t="s">
        <v>148</v>
      </c>
      <c r="D19" s="258"/>
      <c r="E19" s="258"/>
      <c r="F19" s="258"/>
      <c r="G19" s="258"/>
      <c r="H19" s="258"/>
      <c r="I19" s="258"/>
      <c r="J19" s="258"/>
      <c r="K19" s="258"/>
      <c r="L19" s="258"/>
      <c r="O19" s="5"/>
      <c r="Q19" s="93"/>
      <c r="S19" s="259" t="s">
        <v>148</v>
      </c>
      <c r="T19" s="260"/>
      <c r="U19" s="260"/>
      <c r="V19" s="260"/>
      <c r="W19" s="260"/>
      <c r="X19" s="260"/>
      <c r="Y19" s="260"/>
      <c r="Z19" s="260"/>
      <c r="AA19" s="260"/>
      <c r="AB19" s="260"/>
      <c r="AC19" s="260"/>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8" t="s">
        <v>150</v>
      </c>
      <c r="D32" s="258"/>
      <c r="E32" s="258"/>
      <c r="F32" s="258"/>
      <c r="G32" s="258"/>
      <c r="H32" s="258"/>
      <c r="I32" s="258"/>
      <c r="J32" s="258"/>
      <c r="K32" s="258"/>
      <c r="L32" s="258"/>
      <c r="O32" s="5"/>
      <c r="S32" s="259" t="s">
        <v>150</v>
      </c>
      <c r="T32" s="260"/>
      <c r="U32" s="260"/>
      <c r="V32" s="260"/>
      <c r="W32" s="260"/>
      <c r="X32" s="260"/>
      <c r="Y32" s="260"/>
      <c r="Z32" s="260"/>
      <c r="AA32" s="260"/>
      <c r="AB32" s="260"/>
      <c r="AC32" s="260"/>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9" t="s">
        <v>137</v>
      </c>
      <c r="D2" s="249"/>
      <c r="E2" s="249"/>
      <c r="F2" s="249"/>
      <c r="G2" s="261"/>
      <c r="H2" s="262" t="s">
        <v>138</v>
      </c>
      <c r="I2" s="249"/>
      <c r="J2" s="249"/>
      <c r="K2" s="249"/>
      <c r="L2" s="249"/>
      <c r="P2" s="249" t="s">
        <v>137</v>
      </c>
      <c r="Q2" s="249"/>
      <c r="R2" s="249"/>
      <c r="S2" s="249"/>
      <c r="T2" s="249"/>
      <c r="U2" s="249"/>
      <c r="V2" s="249"/>
      <c r="W2" s="249"/>
      <c r="X2" s="249" t="s">
        <v>138</v>
      </c>
      <c r="Y2" s="249"/>
      <c r="Z2" s="249"/>
      <c r="AB2" s="87" t="s">
        <v>139</v>
      </c>
    </row>
    <row r="3" spans="1:28" ht="10" customHeight="1" x14ac:dyDescent="0.2"/>
    <row r="4" spans="1:28" ht="16" customHeight="1" x14ac:dyDescent="0.2">
      <c r="A4" s="88"/>
      <c r="B4" s="60"/>
      <c r="C4" s="258" t="s">
        <v>140</v>
      </c>
      <c r="D4" s="258"/>
      <c r="E4" s="258"/>
      <c r="F4" s="258"/>
      <c r="G4" s="258"/>
      <c r="H4" s="258"/>
      <c r="I4" s="258"/>
      <c r="J4" s="258"/>
      <c r="K4" s="258"/>
      <c r="L4" s="258"/>
      <c r="P4" s="260" t="s">
        <v>140</v>
      </c>
      <c r="Q4" s="260"/>
      <c r="R4" s="260"/>
      <c r="S4" s="260"/>
      <c r="T4" s="260"/>
      <c r="U4" s="260"/>
      <c r="V4" s="260"/>
      <c r="W4" s="260"/>
      <c r="X4" s="260"/>
      <c r="Y4" s="260"/>
      <c r="Z4" s="260"/>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8" t="s">
        <v>166</v>
      </c>
      <c r="D9" s="258"/>
      <c r="E9" s="258"/>
      <c r="F9" s="258"/>
      <c r="G9" s="258"/>
      <c r="H9" s="258"/>
      <c r="I9" s="258"/>
      <c r="J9" s="258"/>
      <c r="K9" s="258"/>
      <c r="L9" s="258"/>
      <c r="N9" s="93"/>
      <c r="P9" s="260" t="s">
        <v>167</v>
      </c>
      <c r="Q9" s="260"/>
      <c r="R9" s="260"/>
      <c r="S9" s="260"/>
      <c r="T9" s="260"/>
      <c r="U9" s="260"/>
      <c r="V9" s="260"/>
      <c r="W9" s="260"/>
      <c r="X9" s="260"/>
      <c r="Y9" s="260"/>
      <c r="Z9" s="260"/>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8" t="s">
        <v>169</v>
      </c>
      <c r="D21" s="258"/>
      <c r="E21" s="258"/>
      <c r="F21" s="258"/>
      <c r="G21" s="258"/>
      <c r="H21" s="258"/>
      <c r="I21" s="258"/>
      <c r="J21" s="258"/>
      <c r="K21" s="258"/>
      <c r="L21" s="258"/>
      <c r="P21" s="260" t="s">
        <v>169</v>
      </c>
      <c r="Q21" s="260"/>
      <c r="R21" s="260"/>
      <c r="S21" s="260"/>
      <c r="T21" s="260"/>
      <c r="U21" s="260"/>
      <c r="V21" s="260"/>
      <c r="W21" s="260"/>
      <c r="X21" s="260"/>
      <c r="Y21" s="260"/>
      <c r="Z21" s="260"/>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140</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8" t="s">
        <v>173</v>
      </c>
      <c r="D11" s="258"/>
      <c r="E11" s="258"/>
      <c r="F11" s="258"/>
      <c r="G11" s="258"/>
      <c r="H11" s="258"/>
      <c r="I11" s="258"/>
      <c r="J11" s="258"/>
      <c r="K11" s="258"/>
      <c r="L11" s="258"/>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8" t="s">
        <v>178</v>
      </c>
      <c r="D18" s="258"/>
      <c r="E18" s="258"/>
      <c r="F18" s="258"/>
      <c r="G18" s="258"/>
      <c r="H18" s="258"/>
      <c r="I18" s="258"/>
      <c r="J18" s="258"/>
      <c r="K18" s="258"/>
      <c r="L18" s="258"/>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58" t="s">
        <v>184</v>
      </c>
      <c r="D26" s="258"/>
      <c r="E26" s="258"/>
      <c r="F26" s="258"/>
      <c r="G26" s="258"/>
      <c r="H26" s="258"/>
      <c r="I26" s="258"/>
      <c r="J26" s="258"/>
      <c r="K26" s="258"/>
      <c r="L26" s="258"/>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8" t="s">
        <v>188</v>
      </c>
      <c r="D33" s="258"/>
      <c r="E33" s="258"/>
      <c r="F33" s="258"/>
      <c r="G33" s="258"/>
      <c r="H33" s="258"/>
      <c r="I33" s="258"/>
      <c r="J33" s="258"/>
      <c r="K33" s="258"/>
      <c r="L33" s="258"/>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8" t="s">
        <v>191</v>
      </c>
      <c r="D40" s="258"/>
      <c r="E40" s="258"/>
      <c r="F40" s="258"/>
      <c r="G40" s="258"/>
      <c r="H40" s="258"/>
      <c r="I40" s="258"/>
      <c r="J40" s="258"/>
      <c r="K40" s="258"/>
      <c r="L40" s="258"/>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9" t="s">
        <v>137</v>
      </c>
      <c r="D2" s="249"/>
      <c r="E2" s="249"/>
      <c r="F2" s="249"/>
      <c r="G2" s="261"/>
      <c r="H2" s="262" t="s">
        <v>138</v>
      </c>
      <c r="I2" s="249"/>
      <c r="J2" s="249"/>
      <c r="K2" s="249"/>
      <c r="L2" s="249"/>
      <c r="S2" s="263"/>
      <c r="T2" s="263"/>
      <c r="U2" s="263"/>
      <c r="V2" s="263"/>
      <c r="W2" s="263"/>
      <c r="X2" s="263"/>
      <c r="Y2" s="263"/>
      <c r="Z2" s="263"/>
      <c r="AA2" s="263"/>
      <c r="AB2" s="263"/>
      <c r="AC2" s="263"/>
      <c r="AE2" s="130"/>
    </row>
    <row r="3" spans="1:31" ht="10" customHeight="1" x14ac:dyDescent="0.2"/>
    <row r="4" spans="1:31" ht="16" customHeight="1" x14ac:dyDescent="0.2">
      <c r="A4" s="88"/>
      <c r="B4" s="60"/>
      <c r="C4" s="258" t="s">
        <v>19</v>
      </c>
      <c r="D4" s="258"/>
      <c r="E4" s="258"/>
      <c r="F4" s="258"/>
      <c r="G4" s="258"/>
      <c r="H4" s="258"/>
      <c r="I4" s="258"/>
      <c r="J4" s="258"/>
      <c r="K4" s="258"/>
      <c r="L4" s="258"/>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8" t="s">
        <v>199</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58" t="s">
        <v>200</v>
      </c>
      <c r="D18" s="258"/>
      <c r="E18" s="258"/>
      <c r="F18" s="258"/>
      <c r="G18" s="258"/>
      <c r="H18" s="258"/>
      <c r="I18" s="258"/>
      <c r="J18" s="258"/>
      <c r="K18" s="258"/>
      <c r="L18" s="258"/>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8" t="s">
        <v>311</v>
      </c>
      <c r="D25" s="258"/>
      <c r="E25" s="258"/>
      <c r="F25" s="258"/>
      <c r="G25" s="258"/>
      <c r="H25" s="258"/>
      <c r="I25" s="258"/>
      <c r="J25" s="258"/>
      <c r="K25" s="258"/>
      <c r="L25" s="258"/>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8" t="s">
        <v>78</v>
      </c>
      <c r="D31" s="258"/>
      <c r="E31" s="258"/>
      <c r="F31" s="258"/>
      <c r="G31" s="258"/>
      <c r="H31" s="258"/>
      <c r="I31" s="258"/>
      <c r="J31" s="258"/>
      <c r="K31" s="258"/>
      <c r="L31" s="258"/>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49" t="s">
        <v>207</v>
      </c>
      <c r="C4" s="249"/>
    </row>
    <row r="5" spans="1:3" ht="17" customHeight="1" x14ac:dyDescent="0.2">
      <c r="B5" s="1" t="s">
        <v>208</v>
      </c>
      <c r="C5" s="157">
        <f>Statement!AC78</f>
        <v>522355</v>
      </c>
    </row>
    <row r="6" spans="1:3" ht="17" customHeight="1" x14ac:dyDescent="0.2">
      <c r="B6" s="1" t="s">
        <v>1</v>
      </c>
      <c r="C6" s="154">
        <f ca="1">Overview!C5</f>
        <v>10.15</v>
      </c>
    </row>
    <row r="7" spans="1:3" ht="17" customHeight="1" x14ac:dyDescent="0.2">
      <c r="B7" s="1" t="s">
        <v>209</v>
      </c>
      <c r="C7" s="155">
        <f ca="1">C5*C6</f>
        <v>5301903.25</v>
      </c>
    </row>
    <row r="8" spans="1:3" ht="17" customHeight="1" x14ac:dyDescent="0.2">
      <c r="B8" s="1" t="s">
        <v>210</v>
      </c>
      <c r="C8" s="133">
        <f>Statement!AC108</f>
        <v>0</v>
      </c>
    </row>
    <row r="9" spans="1:3" ht="17" customHeight="1" x14ac:dyDescent="0.2">
      <c r="B9" s="1" t="s">
        <v>211</v>
      </c>
      <c r="C9" s="156">
        <f ca="1">Overview!F27</f>
        <v>4.5090000000000005E-2</v>
      </c>
    </row>
    <row r="10" spans="1:3" ht="17" customHeight="1" x14ac:dyDescent="0.2">
      <c r="B10" s="1" t="s">
        <v>9</v>
      </c>
      <c r="C10" s="154">
        <f ca="1">Overview!C13</f>
        <v>0.98270000000000002</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49" t="s">
        <v>214</v>
      </c>
      <c r="C15" s="249"/>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8.9311500000000002E-2</v>
      </c>
    </row>
    <row r="20" spans="2:3" ht="17" customHeight="1" x14ac:dyDescent="0.2">
      <c r="B20" s="1" t="s">
        <v>206</v>
      </c>
      <c r="C20" s="46">
        <f ca="1">(C17*C19)+(C16*C18)</f>
        <v>8.9311500000000002E-2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6" sqref="C6:L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221</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49" t="s">
        <v>225</v>
      </c>
      <c r="C13" s="249"/>
    </row>
    <row r="14" spans="1:28" x14ac:dyDescent="0.2">
      <c r="B14" s="1" t="s">
        <v>226</v>
      </c>
      <c r="C14" s="161">
        <v>0.02</v>
      </c>
    </row>
    <row r="15" spans="1:28" x14ac:dyDescent="0.2">
      <c r="B15" s="1" t="s">
        <v>206</v>
      </c>
      <c r="C15" s="156">
        <f>IF(Overview!C28&gt;0,Overview!C28,WACC!C20)</f>
        <v>0.1</v>
      </c>
    </row>
    <row r="18" spans="2:3" x14ac:dyDescent="0.2">
      <c r="B18" s="249" t="s">
        <v>227</v>
      </c>
      <c r="C18" s="249"/>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zoomScale="192" zoomScaleNormal="100" workbookViewId="0">
      <selection activeCell="C5" sqref="C5:L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49" t="s">
        <v>137</v>
      </c>
      <c r="D2" s="249"/>
      <c r="E2" s="249"/>
      <c r="F2" s="249"/>
      <c r="G2" s="261"/>
      <c r="H2" s="262" t="s">
        <v>138</v>
      </c>
      <c r="I2" s="249"/>
      <c r="J2" s="249"/>
      <c r="K2" s="249"/>
      <c r="L2" s="249"/>
    </row>
    <row r="3" spans="1:14" ht="10" customHeight="1" x14ac:dyDescent="0.2"/>
    <row r="4" spans="1:14" ht="16" customHeight="1" x14ac:dyDescent="0.2">
      <c r="A4" s="88"/>
      <c r="B4" s="60"/>
      <c r="C4" s="258" t="s">
        <v>235</v>
      </c>
      <c r="D4" s="258"/>
      <c r="E4" s="258"/>
      <c r="F4" s="258"/>
      <c r="G4" s="258"/>
      <c r="H4" s="258"/>
      <c r="I4" s="258"/>
      <c r="J4" s="258"/>
      <c r="K4" s="258"/>
      <c r="L4" s="258"/>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8" t="s">
        <v>146</v>
      </c>
      <c r="D10" s="258"/>
      <c r="E10" s="258"/>
      <c r="F10" s="258"/>
      <c r="G10" s="258"/>
      <c r="H10" s="258"/>
      <c r="I10" s="258"/>
      <c r="J10" s="258"/>
      <c r="K10" s="258"/>
      <c r="L10" s="258"/>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8" t="s">
        <v>237</v>
      </c>
      <c r="D16" s="258"/>
      <c r="E16" s="258"/>
      <c r="F16" s="258"/>
      <c r="G16" s="258"/>
      <c r="H16" s="258"/>
      <c r="I16" s="258"/>
      <c r="J16" s="258"/>
      <c r="K16" s="258"/>
      <c r="L16" s="258"/>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8" t="s">
        <v>240</v>
      </c>
      <c r="D21" s="258"/>
      <c r="E21" s="258"/>
      <c r="F21" s="258"/>
      <c r="G21" s="258"/>
      <c r="H21" s="258"/>
      <c r="I21" s="258"/>
      <c r="J21" s="258"/>
      <c r="K21" s="258"/>
      <c r="L21" s="258"/>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8" t="s">
        <v>241</v>
      </c>
      <c r="D26" s="258"/>
      <c r="E26" s="258"/>
      <c r="F26" s="258"/>
      <c r="G26" s="258"/>
      <c r="H26" s="258"/>
      <c r="I26" s="258"/>
      <c r="J26" s="258"/>
      <c r="K26" s="258"/>
      <c r="L26" s="258"/>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9" t="s">
        <v>246</v>
      </c>
      <c r="C37" s="249"/>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C42/(1+C39)^5-G30+G31</f>
        <v>8080575.3517183978</v>
      </c>
    </row>
    <row r="44" spans="2:14" x14ac:dyDescent="0.2">
      <c r="B44" s="1" t="s">
        <v>70</v>
      </c>
      <c r="C44" s="90">
        <f>Statement!AC78</f>
        <v>522355</v>
      </c>
    </row>
    <row r="45" spans="2:14" x14ac:dyDescent="0.2">
      <c r="B45" s="162" t="s">
        <v>250</v>
      </c>
      <c r="C45" s="163">
        <f>C43/C44</f>
        <v>15.469508957927841</v>
      </c>
    </row>
    <row r="47" spans="2:14" x14ac:dyDescent="0.2">
      <c r="B47" s="249" t="s">
        <v>251</v>
      </c>
      <c r="C47" s="249"/>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49" t="s">
        <v>375</v>
      </c>
      <c r="C55" s="249"/>
    </row>
    <row r="56" spans="2:3" x14ac:dyDescent="0.2">
      <c r="B56" s="1" t="s">
        <v>254</v>
      </c>
      <c r="C56" s="64">
        <f>L8</f>
        <v>199093.66914172584</v>
      </c>
    </row>
    <row r="57" spans="2:3" x14ac:dyDescent="0.2">
      <c r="B57" s="1" t="s">
        <v>206</v>
      </c>
      <c r="C57" s="156">
        <f>IF(Overview!C28&gt;0,Overview!C28,WACC!C20)</f>
        <v>0.1</v>
      </c>
    </row>
    <row r="58" spans="2:3" x14ac:dyDescent="0.2">
      <c r="B58" s="39" t="s">
        <v>409</v>
      </c>
      <c r="C58" s="114">
        <v>30</v>
      </c>
    </row>
    <row r="59" spans="2:3" x14ac:dyDescent="0.2">
      <c r="B59" s="1" t="s">
        <v>244</v>
      </c>
      <c r="C59" s="24">
        <f>(C56*C58)</f>
        <v>5972810.0742517756</v>
      </c>
    </row>
    <row r="60" spans="2:3" x14ac:dyDescent="0.2">
      <c r="B60" s="1" t="s">
        <v>408</v>
      </c>
      <c r="C60" s="24">
        <f>C59/(1+C57)^5-G30+G31</f>
        <v>5398121.1336854622</v>
      </c>
    </row>
    <row r="61" spans="2:3" x14ac:dyDescent="0.2">
      <c r="B61" s="1" t="s">
        <v>70</v>
      </c>
      <c r="C61" s="90">
        <f>Statement!AC78</f>
        <v>522355</v>
      </c>
    </row>
    <row r="62" spans="2:3" x14ac:dyDescent="0.2">
      <c r="B62" s="162" t="s">
        <v>250</v>
      </c>
      <c r="C62" s="163">
        <f>C60/C61</f>
        <v>10.334200177437685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49" t="s">
        <v>256</v>
      </c>
      <c r="C4" s="249"/>
      <c r="N4" s="93"/>
    </row>
    <row r="5" spans="1:14" x14ac:dyDescent="0.2">
      <c r="B5" s="1" t="s">
        <v>257</v>
      </c>
      <c r="C5" s="154">
        <f>DCF!C26</f>
        <v>6.2175596245918179</v>
      </c>
    </row>
    <row r="6" spans="1:14" x14ac:dyDescent="0.2">
      <c r="B6" s="1" t="s">
        <v>258</v>
      </c>
      <c r="C6" s="154">
        <f>Multiples!C45</f>
        <v>15.469508957927841</v>
      </c>
    </row>
    <row r="7" spans="1:14" x14ac:dyDescent="0.2">
      <c r="B7" s="1" t="s">
        <v>259</v>
      </c>
      <c r="C7" s="154">
        <f>Multiples!C53</f>
        <v>13.993493556532998</v>
      </c>
    </row>
    <row r="8" spans="1:14" x14ac:dyDescent="0.2">
      <c r="B8" s="1" t="s">
        <v>376</v>
      </c>
      <c r="C8" s="154">
        <f>Multiples!C62</f>
        <v>10.334200177437685</v>
      </c>
    </row>
    <row r="9" spans="1:14" x14ac:dyDescent="0.2">
      <c r="B9" s="162" t="s">
        <v>260</v>
      </c>
      <c r="C9" s="163">
        <f>AVERAGE(C5:C8)</f>
        <v>11.503690579122585</v>
      </c>
    </row>
    <row r="10" spans="1:14" x14ac:dyDescent="0.2">
      <c r="B10" s="1" t="s">
        <v>261</v>
      </c>
      <c r="C10" s="154">
        <f ca="1">Overview!C5</f>
        <v>10.15</v>
      </c>
    </row>
    <row r="11" spans="1:14" x14ac:dyDescent="0.2">
      <c r="B11" s="1" t="s">
        <v>262</v>
      </c>
      <c r="C11" s="175">
        <f ca="1">(C9-C10)/C10</f>
        <v>0.13336852996281623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221</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10.15</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5258928.1500000004</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3843182.1500000004</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58" t="s">
        <v>270</v>
      </c>
      <c r="D39" s="258"/>
      <c r="E39" s="258"/>
      <c r="F39" s="258"/>
      <c r="G39" s="258"/>
      <c r="H39" s="258"/>
      <c r="I39" s="258"/>
      <c r="J39" s="258"/>
      <c r="K39" s="258"/>
      <c r="L39" s="25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2026-06-22T23:22:28Z</dcterms:modified>
</cp:coreProperties>
</file>