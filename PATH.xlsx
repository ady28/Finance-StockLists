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107F0D0-EAB1-9F4D-896C-21270164702F}"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31" i="3" l="1"/>
  <c r="AC134" i="3"/>
  <c r="AC133" i="3"/>
  <c r="AC132" i="3"/>
  <c r="AC130" i="3"/>
  <c r="AA71" i="3"/>
  <c r="Z71" i="3"/>
  <c r="Y71" i="3"/>
  <c r="X71" i="3"/>
  <c r="W71" i="3"/>
  <c r="V71" i="3"/>
  <c r="U71" i="3"/>
  <c r="T71" i="3"/>
  <c r="O71" i="3"/>
  <c r="N71" i="3"/>
  <c r="M71" i="3"/>
  <c r="L71" i="3"/>
  <c r="K71" i="3"/>
  <c r="J71" i="3"/>
  <c r="I71" i="3"/>
  <c r="H71" i="3"/>
  <c r="G71" i="3"/>
  <c r="F71" i="3"/>
  <c r="E71" i="3"/>
  <c r="D71" i="3"/>
  <c r="C71" i="3"/>
  <c r="P71" i="3"/>
  <c r="Q71" i="3"/>
  <c r="AA104" i="3"/>
  <c r="Z104" i="3"/>
  <c r="Y104" i="3"/>
  <c r="X104" i="3"/>
  <c r="W104" i="3"/>
  <c r="V104" i="3"/>
  <c r="U104" i="3"/>
  <c r="T104" i="3"/>
  <c r="O104" i="3"/>
  <c r="N104" i="3"/>
  <c r="M104" i="3"/>
  <c r="L104" i="3"/>
  <c r="K104" i="3"/>
  <c r="J104" i="3"/>
  <c r="I104" i="3"/>
  <c r="H104" i="3"/>
  <c r="G104" i="3"/>
  <c r="F104" i="3"/>
  <c r="E104" i="3"/>
  <c r="D104" i="3"/>
  <c r="C104" i="3"/>
  <c r="AC104" i="3"/>
  <c r="P124" i="3"/>
  <c r="O124" i="3"/>
  <c r="N124" i="3"/>
  <c r="M124" i="3"/>
  <c r="Q124" i="3"/>
  <c r="P122" i="3"/>
  <c r="O122" i="3"/>
  <c r="N122" i="3"/>
  <c r="M122" i="3"/>
  <c r="Q122" i="3"/>
  <c r="P121" i="3"/>
  <c r="O121" i="3"/>
  <c r="N121" i="3"/>
  <c r="M121" i="3"/>
  <c r="Q121" i="3"/>
  <c r="AC100" i="3"/>
  <c r="AC99" i="3"/>
  <c r="AC98" i="3"/>
  <c r="AC96" i="3"/>
  <c r="AC95" i="3"/>
  <c r="AC94" i="3"/>
  <c r="T67" i="3"/>
  <c r="U67" i="3"/>
  <c r="V67" i="3"/>
  <c r="X67" i="3"/>
  <c r="Y67" i="3"/>
  <c r="Z67" i="3"/>
  <c r="AA91" i="3"/>
  <c r="Z91" i="3"/>
  <c r="Y91" i="3"/>
  <c r="X91" i="3"/>
  <c r="W91" i="3"/>
  <c r="V91" i="3"/>
  <c r="U91" i="3"/>
  <c r="T91" i="3"/>
  <c r="AA90" i="3"/>
  <c r="Z90" i="3"/>
  <c r="Y90" i="3"/>
  <c r="X90" i="3"/>
  <c r="W90" i="3"/>
  <c r="V90" i="3"/>
  <c r="U90" i="3"/>
  <c r="T90" i="3"/>
  <c r="Q114" i="3"/>
  <c r="P114" i="3"/>
  <c r="O114" i="3"/>
  <c r="N114" i="3"/>
  <c r="M114" i="3"/>
  <c r="Q113" i="3"/>
  <c r="P113" i="3"/>
  <c r="O113" i="3"/>
  <c r="N113" i="3"/>
  <c r="M113" i="3"/>
  <c r="Q115" i="3"/>
  <c r="P115" i="3"/>
  <c r="O115" i="3"/>
  <c r="N115" i="3"/>
  <c r="M115" i="3"/>
  <c r="AC69" i="3"/>
  <c r="AA70" i="3"/>
  <c r="Z70" i="3"/>
  <c r="Y70" i="3"/>
  <c r="X70" i="3"/>
  <c r="W70" i="3"/>
  <c r="V70" i="3"/>
  <c r="U70" i="3"/>
  <c r="T70" i="3"/>
  <c r="W67" i="3"/>
  <c r="AA67" i="3"/>
  <c r="M67" i="3"/>
  <c r="N67" i="3"/>
  <c r="O67" i="3"/>
  <c r="P67" i="3"/>
  <c r="Q67" i="3"/>
  <c r="Q70" i="3"/>
  <c r="P70" i="3"/>
  <c r="O70" i="3"/>
  <c r="N70" i="3"/>
  <c r="M70" i="3"/>
  <c r="M51" i="3"/>
  <c r="N51" i="3"/>
  <c r="O51" i="3"/>
  <c r="P51" i="3"/>
  <c r="Q51" i="3"/>
  <c r="T29" i="3"/>
  <c r="T28" i="3"/>
  <c r="U29" i="3"/>
  <c r="U28" i="3"/>
  <c r="V29" i="3"/>
  <c r="V28" i="3"/>
  <c r="X29" i="3"/>
  <c r="X28" i="3"/>
  <c r="Y29" i="3"/>
  <c r="Y28" i="3"/>
  <c r="Z29" i="3"/>
  <c r="Z28" i="3"/>
  <c r="W29" i="3"/>
  <c r="W28" i="3"/>
  <c r="AA29" i="3"/>
  <c r="AA28" i="3"/>
  <c r="AC44" i="3"/>
  <c r="AC43" i="3"/>
  <c r="AC42" i="3"/>
  <c r="AC41" i="3"/>
  <c r="AC40" i="3"/>
  <c r="AC39" i="3"/>
  <c r="AC37" i="3"/>
  <c r="AC36" i="3"/>
  <c r="AC35" i="3"/>
  <c r="AC34" i="3"/>
  <c r="AC32" i="3"/>
  <c r="AC31" i="3"/>
  <c r="AC30" i="3"/>
  <c r="AC29" i="3"/>
  <c r="AC28" i="3"/>
  <c r="AA38" i="3"/>
  <c r="Z38" i="3"/>
  <c r="Y38" i="3"/>
  <c r="X38" i="3"/>
  <c r="W38" i="3"/>
  <c r="V38" i="3"/>
  <c r="U38" i="3"/>
  <c r="T38" i="3"/>
  <c r="AA33" i="3"/>
  <c r="Z33" i="3"/>
  <c r="Y33" i="3"/>
  <c r="X33" i="3"/>
  <c r="W33" i="3"/>
  <c r="V33" i="3"/>
  <c r="U33" i="3"/>
  <c r="T33" i="3"/>
  <c r="O38" i="3"/>
  <c r="N38" i="3"/>
  <c r="M38" i="3"/>
  <c r="M29" i="3"/>
  <c r="M28" i="3"/>
  <c r="M33" i="3"/>
  <c r="O33" i="3"/>
  <c r="N33" i="3"/>
  <c r="N29" i="3"/>
  <c r="O29" i="3"/>
  <c r="N28" i="3"/>
  <c r="O28" i="3"/>
  <c r="P38" i="3"/>
  <c r="Q38" i="3"/>
  <c r="P33" i="3"/>
  <c r="Q33" i="3"/>
  <c r="P29" i="3"/>
  <c r="Q29" i="3"/>
  <c r="P28" i="3"/>
  <c r="Q28" i="3"/>
  <c r="AA86" i="3"/>
  <c r="Z86" i="3"/>
  <c r="Y86" i="3"/>
  <c r="X86" i="3"/>
  <c r="W86" i="3"/>
  <c r="V86" i="3"/>
  <c r="U86" i="3"/>
  <c r="T86" i="3"/>
  <c r="AA85" i="3"/>
  <c r="Z85" i="3"/>
  <c r="Y85" i="3"/>
  <c r="X85" i="3"/>
  <c r="W85" i="3"/>
  <c r="V85" i="3"/>
  <c r="U85" i="3"/>
  <c r="T85" i="3"/>
  <c r="AA84" i="3"/>
  <c r="Z84" i="3"/>
  <c r="Y84" i="3"/>
  <c r="X84" i="3"/>
  <c r="W84" i="3"/>
  <c r="V84" i="3"/>
  <c r="U84" i="3"/>
  <c r="T84" i="3"/>
  <c r="AA82" i="3"/>
  <c r="Z82" i="3"/>
  <c r="Y82" i="3"/>
  <c r="X82" i="3"/>
  <c r="W82" i="3"/>
  <c r="V82" i="3"/>
  <c r="U82" i="3"/>
  <c r="T82" i="3"/>
  <c r="AA81" i="3"/>
  <c r="Z81" i="3"/>
  <c r="Y81" i="3"/>
  <c r="X81" i="3"/>
  <c r="W81" i="3"/>
  <c r="V81" i="3"/>
  <c r="U81" i="3"/>
  <c r="T81" i="3"/>
  <c r="AA80" i="3"/>
  <c r="Z80" i="3"/>
  <c r="Y80" i="3"/>
  <c r="X80" i="3"/>
  <c r="W80" i="3"/>
  <c r="V80" i="3"/>
  <c r="U80" i="3"/>
  <c r="T80" i="3"/>
  <c r="AA78" i="3"/>
  <c r="Z78" i="3"/>
  <c r="Y78" i="3"/>
  <c r="X78" i="3"/>
  <c r="W78" i="3"/>
  <c r="V78" i="3"/>
  <c r="U78" i="3"/>
  <c r="T78" i="3"/>
  <c r="AA77" i="3"/>
  <c r="Z77" i="3"/>
  <c r="Y77" i="3"/>
  <c r="X77" i="3"/>
  <c r="W77" i="3"/>
  <c r="V77" i="3"/>
  <c r="U77" i="3"/>
  <c r="T77" i="3"/>
  <c r="AA64" i="3"/>
  <c r="Z64" i="3"/>
  <c r="Y64" i="3"/>
  <c r="X64" i="3"/>
  <c r="W64" i="3"/>
  <c r="V64" i="3"/>
  <c r="U64" i="3"/>
  <c r="T64" i="3"/>
  <c r="AA63" i="3"/>
  <c r="Z63" i="3"/>
  <c r="Y63" i="3"/>
  <c r="X63" i="3"/>
  <c r="W63" i="3"/>
  <c r="V63" i="3"/>
  <c r="U63" i="3"/>
  <c r="T63" i="3"/>
  <c r="AA62" i="3"/>
  <c r="Z62" i="3"/>
  <c r="Y62" i="3"/>
  <c r="X62" i="3"/>
  <c r="W62" i="3"/>
  <c r="V62" i="3"/>
  <c r="U62" i="3"/>
  <c r="T62" i="3"/>
  <c r="AC24" i="3"/>
  <c r="AC22" i="3"/>
  <c r="AC20" i="3"/>
  <c r="AC18" i="3"/>
  <c r="AC17" i="3"/>
  <c r="AC16" i="3"/>
  <c r="AC15" i="3"/>
  <c r="AC14" i="3"/>
  <c r="AC13" i="3"/>
  <c r="AC12" i="3"/>
  <c r="AC10" i="3"/>
  <c r="AC9" i="3"/>
  <c r="AC8" i="3"/>
  <c r="AC6" i="3"/>
  <c r="AC5" i="3"/>
  <c r="X19" i="3"/>
  <c r="AA25" i="3"/>
  <c r="Z25" i="3"/>
  <c r="Y25" i="3"/>
  <c r="X25" i="3"/>
  <c r="W25" i="3"/>
  <c r="V25" i="3"/>
  <c r="U25" i="3"/>
  <c r="T25" i="3"/>
  <c r="AA23" i="3"/>
  <c r="Z23" i="3"/>
  <c r="Y23" i="3"/>
  <c r="X23" i="3"/>
  <c r="W23" i="3"/>
  <c r="V23" i="3"/>
  <c r="U23" i="3"/>
  <c r="T23" i="3"/>
  <c r="AA21" i="3"/>
  <c r="Z21" i="3"/>
  <c r="Y21" i="3"/>
  <c r="X21" i="3"/>
  <c r="W21" i="3"/>
  <c r="V21" i="3"/>
  <c r="U21" i="3"/>
  <c r="T21" i="3"/>
  <c r="AA19" i="3"/>
  <c r="Z19" i="3"/>
  <c r="Y19" i="3"/>
  <c r="W19" i="3"/>
  <c r="V19" i="3"/>
  <c r="U19" i="3"/>
  <c r="T19" i="3"/>
  <c r="AA11" i="3"/>
  <c r="Z11" i="3"/>
  <c r="Y11" i="3"/>
  <c r="X11" i="3"/>
  <c r="W11" i="3"/>
  <c r="V11" i="3"/>
  <c r="U11" i="3"/>
  <c r="T11" i="3"/>
  <c r="AA7" i="3"/>
  <c r="Z7" i="3"/>
  <c r="Y7" i="3"/>
  <c r="X7" i="3"/>
  <c r="W7" i="3"/>
  <c r="V7" i="3"/>
  <c r="U7" i="3"/>
  <c r="T7" i="3"/>
  <c r="Q91" i="3"/>
  <c r="P91" i="3"/>
  <c r="O91" i="3"/>
  <c r="N91" i="3"/>
  <c r="M91" i="3"/>
  <c r="Q90" i="3"/>
  <c r="P90" i="3"/>
  <c r="O90" i="3"/>
  <c r="N90" i="3"/>
  <c r="M90" i="3"/>
  <c r="Q86" i="3"/>
  <c r="P86" i="3"/>
  <c r="O86" i="3"/>
  <c r="N86" i="3"/>
  <c r="M86" i="3"/>
  <c r="Q85" i="3"/>
  <c r="P85" i="3"/>
  <c r="O85" i="3"/>
  <c r="N85" i="3"/>
  <c r="M85" i="3"/>
  <c r="Q64" i="3"/>
  <c r="Q63" i="3"/>
  <c r="Q62" i="3"/>
  <c r="Q84" i="3"/>
  <c r="P84" i="3"/>
  <c r="O84" i="3"/>
  <c r="N84" i="3"/>
  <c r="M84" i="3"/>
  <c r="Q82" i="3"/>
  <c r="P82" i="3"/>
  <c r="O82" i="3"/>
  <c r="N82" i="3"/>
  <c r="M82" i="3"/>
  <c r="Q81" i="3"/>
  <c r="P81" i="3"/>
  <c r="O81" i="3"/>
  <c r="N81" i="3"/>
  <c r="M81" i="3"/>
  <c r="Q80" i="3"/>
  <c r="P80" i="3"/>
  <c r="O80" i="3"/>
  <c r="N80" i="3"/>
  <c r="M80" i="3"/>
  <c r="Q78" i="3"/>
  <c r="P78" i="3"/>
  <c r="O78" i="3"/>
  <c r="N78" i="3"/>
  <c r="M78" i="3"/>
  <c r="Q77" i="3"/>
  <c r="P77" i="3"/>
  <c r="O77" i="3"/>
  <c r="N77" i="3"/>
  <c r="M77" i="3"/>
  <c r="M25" i="3"/>
  <c r="N25" i="3"/>
  <c r="O25" i="3"/>
  <c r="P25" i="3"/>
  <c r="Q25" i="3"/>
  <c r="Q23" i="3"/>
  <c r="P23" i="3"/>
  <c r="O23" i="3"/>
  <c r="N23" i="3"/>
  <c r="M23" i="3"/>
  <c r="Q21" i="3"/>
  <c r="P21" i="3"/>
  <c r="O21" i="3"/>
  <c r="N21" i="3"/>
  <c r="M21" i="3"/>
  <c r="Q19" i="3"/>
  <c r="P19" i="3"/>
  <c r="O19" i="3"/>
  <c r="N19" i="3"/>
  <c r="M19" i="3"/>
  <c r="Q11" i="3"/>
  <c r="Q7" i="3"/>
  <c r="P64" i="3"/>
  <c r="O64" i="3"/>
  <c r="N64" i="3"/>
  <c r="M64" i="3"/>
  <c r="L64" i="3"/>
  <c r="K64" i="3"/>
  <c r="J64" i="3"/>
  <c r="I64" i="3"/>
  <c r="H64" i="3"/>
  <c r="G64" i="3"/>
  <c r="F64" i="3"/>
  <c r="E64" i="3"/>
  <c r="D64" i="3"/>
  <c r="C64" i="3"/>
  <c r="P62" i="3"/>
  <c r="O62" i="3"/>
  <c r="N62" i="3"/>
  <c r="M62" i="3"/>
  <c r="L62" i="3"/>
  <c r="K62" i="3"/>
  <c r="J62" i="3"/>
  <c r="I62" i="3"/>
  <c r="H62" i="3"/>
  <c r="G62" i="3"/>
  <c r="F62" i="3"/>
  <c r="E62" i="3"/>
  <c r="D62" i="3"/>
  <c r="C62" i="3"/>
  <c r="L25" i="3"/>
  <c r="K25" i="3"/>
  <c r="J25" i="3"/>
  <c r="I25" i="3"/>
  <c r="H25" i="3"/>
  <c r="G25" i="3"/>
  <c r="F25" i="3"/>
  <c r="E25" i="3"/>
  <c r="D25" i="3"/>
  <c r="C25" i="3"/>
  <c r="L23" i="3"/>
  <c r="K23" i="3"/>
  <c r="J23" i="3"/>
  <c r="I23" i="3"/>
  <c r="H23" i="3"/>
  <c r="G23" i="3"/>
  <c r="F23" i="3"/>
  <c r="E23" i="3"/>
  <c r="D23" i="3"/>
  <c r="C23" i="3"/>
  <c r="L21" i="3"/>
  <c r="K21" i="3"/>
  <c r="J21" i="3"/>
  <c r="I21" i="3"/>
  <c r="H21" i="3"/>
  <c r="G21" i="3"/>
  <c r="F21" i="3"/>
  <c r="E21" i="3"/>
  <c r="D21" i="3"/>
  <c r="C21" i="3"/>
  <c r="L19" i="3"/>
  <c r="K19" i="3"/>
  <c r="J19" i="3"/>
  <c r="I19" i="3"/>
  <c r="H19" i="3"/>
  <c r="G19" i="3"/>
  <c r="F19" i="3"/>
  <c r="E19" i="3"/>
  <c r="D19" i="3"/>
  <c r="C19"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P104" i="3" l="1"/>
  <c r="Q104" i="3"/>
  <c r="AC124" i="3"/>
  <c r="P123" i="3"/>
  <c r="P125" i="3" s="1"/>
  <c r="O123" i="3"/>
  <c r="O125" i="3" s="1"/>
  <c r="N123" i="3"/>
  <c r="N125" i="3" s="1"/>
  <c r="M123" i="3"/>
  <c r="M125" i="3" s="1"/>
  <c r="Q123" i="3"/>
  <c r="Q125" i="3" s="1"/>
  <c r="AC122" i="3"/>
  <c r="AC121" i="3"/>
  <c r="AC123" i="3" s="1"/>
  <c r="AC125" i="3" s="1"/>
  <c r="Q117" i="3"/>
  <c r="P117" i="3"/>
  <c r="O117" i="3"/>
  <c r="N117" i="3"/>
  <c r="AC91" i="3"/>
  <c r="AC90" i="3"/>
  <c r="AA89" i="3"/>
  <c r="Z89" i="3"/>
  <c r="Y89" i="3"/>
  <c r="X89" i="3"/>
  <c r="W89" i="3"/>
  <c r="V89" i="3"/>
  <c r="U89" i="3"/>
  <c r="T89" i="3"/>
  <c r="AC70" i="3"/>
  <c r="AC67" i="3"/>
  <c r="M117" i="3"/>
  <c r="Q116" i="3"/>
  <c r="P116" i="3"/>
  <c r="O116" i="3"/>
  <c r="N116" i="3"/>
  <c r="M116" i="3"/>
  <c r="AA68" i="3"/>
  <c r="AC68" i="3" s="1"/>
  <c r="T68" i="3"/>
  <c r="Z68" i="3"/>
  <c r="W68" i="3"/>
  <c r="U68" i="3"/>
  <c r="Y68" i="3"/>
  <c r="X68" i="3"/>
  <c r="V68" i="3"/>
  <c r="M68" i="3"/>
  <c r="N68" i="3"/>
  <c r="O68" i="3"/>
  <c r="P68" i="3"/>
  <c r="Q68" i="3"/>
  <c r="AC62" i="3"/>
  <c r="AC38" i="3"/>
  <c r="AC33" i="3"/>
  <c r="AA79" i="3"/>
  <c r="Z79" i="3"/>
  <c r="Y79" i="3"/>
  <c r="X79" i="3"/>
  <c r="W79" i="3"/>
  <c r="V79" i="3"/>
  <c r="AA83" i="3"/>
  <c r="Z83" i="3"/>
  <c r="Y83" i="3"/>
  <c r="X83" i="3"/>
  <c r="W83" i="3"/>
  <c r="V83" i="3"/>
  <c r="U83" i="3"/>
  <c r="T83" i="3"/>
  <c r="U79" i="3"/>
  <c r="T79" i="3"/>
  <c r="AA60" i="3"/>
  <c r="Z60" i="3"/>
  <c r="Y60" i="3"/>
  <c r="X60" i="3"/>
  <c r="W60" i="3"/>
  <c r="V60" i="3"/>
  <c r="U60" i="3"/>
  <c r="T60" i="3"/>
  <c r="AC11" i="3"/>
  <c r="AC7" i="3"/>
  <c r="AC89" i="3" s="1"/>
  <c r="Q89" i="3"/>
  <c r="P89" i="3"/>
  <c r="O89" i="3"/>
  <c r="N89" i="3"/>
  <c r="M89" i="3"/>
  <c r="Q60" i="3"/>
  <c r="Q61" i="3" s="1"/>
  <c r="Q83" i="3"/>
  <c r="P83" i="3"/>
  <c r="O83" i="3"/>
  <c r="N83" i="3"/>
  <c r="M83" i="3"/>
  <c r="AC25" i="3"/>
  <c r="AC23" i="3"/>
  <c r="AC21" i="3"/>
  <c r="AC19" i="3"/>
  <c r="Q79" i="3"/>
  <c r="O79" i="3"/>
  <c r="M79" i="3"/>
  <c r="M60" i="3"/>
  <c r="K60" i="3"/>
  <c r="F60" i="3"/>
  <c r="C60" i="3"/>
  <c r="P60" i="3"/>
  <c r="P79" i="3"/>
  <c r="N79" i="3"/>
  <c r="N60" i="3"/>
  <c r="L60" i="3"/>
  <c r="J60" i="3"/>
  <c r="H60" i="3"/>
  <c r="G60" i="3"/>
  <c r="E60" i="3"/>
  <c r="D60" i="3"/>
  <c r="O60" i="3"/>
  <c r="I60" i="3"/>
  <c r="P63" i="3"/>
  <c r="O63" i="3"/>
  <c r="N63" i="3"/>
  <c r="M63" i="3"/>
  <c r="L63" i="3"/>
  <c r="K63" i="3"/>
  <c r="J63" i="3"/>
  <c r="I63" i="3"/>
  <c r="H63" i="3"/>
  <c r="G63" i="3"/>
  <c r="F63" i="3"/>
  <c r="E63" i="3"/>
  <c r="D63" i="3"/>
  <c r="C63" i="3"/>
  <c r="C8" i="1"/>
  <c r="C9" i="1"/>
  <c r="C10" i="1"/>
  <c r="C14" i="1"/>
  <c r="C13" i="1"/>
  <c r="C12" i="1"/>
  <c r="C11" i="1"/>
  <c r="C7" i="1"/>
  <c r="C6" i="1"/>
  <c r="C5" i="1"/>
  <c r="AC109" i="3" s="1"/>
  <c r="C4" i="1"/>
  <c r="AA61" i="3" l="1"/>
  <c r="Z61" i="3"/>
  <c r="Y61" i="3"/>
  <c r="X61" i="3"/>
  <c r="W61" i="3"/>
  <c r="V61" i="3"/>
  <c r="U61" i="3"/>
  <c r="T61" i="3"/>
  <c r="AC60" i="3"/>
  <c r="AC61" i="3" s="1"/>
  <c r="P61" i="3"/>
  <c r="M61" i="3"/>
  <c r="L61" i="3"/>
  <c r="O61" i="3"/>
  <c r="N61" i="3"/>
  <c r="K61" i="3"/>
  <c r="J61" i="3"/>
  <c r="I61" i="3"/>
  <c r="H61" i="3"/>
  <c r="G61" i="3"/>
  <c r="F61" i="3"/>
  <c r="E61" i="3"/>
  <c r="D61" i="3"/>
  <c r="C6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72"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0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13"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33"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34"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<sst xmlns="http://schemas.openxmlformats.org/spreadsheetml/2006/main" count="161" uniqueCount="147">
  <si>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</si>
  <si>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</si>
  <si>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</si>
  <si>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</si>
  <si>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</si>
  <si>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</si>
  <si>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</si>
  <si>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</si>
  <si>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</si>
  <si>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</si>
  <si>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</si>
  <si>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</si>
  <si>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</si>
  <si>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</si>
  <si>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</si>
  <si>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</si>
  <si>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</si>
  <si>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</si>
  <si>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</si>
  <si>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</si>
  <si>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</si>
  <si>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</si>
  <si>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</si>
  <si>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</si>
  <si>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</si>
  <si>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</si>
  <si>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</si>
  <si>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</si>
  <si>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</si>
  <si>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</si>
  <si>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</si>
  <si>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</si>
  <si>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</si>
  <si>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</si>
  <si>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</si>
  <si>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</si>
  <si>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</si>
  <si>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</si>
  <si>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</si>
  <si>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</si>
  <si>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</si>
  <si>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</si>
  <si>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</si>
  <si>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</si>
  <si>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</si>
  <si>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</si>
  <si>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</si>
  <si>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</si>
  <si>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</si>
  <si>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</si>
  <si>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Operating lease liabilities</t>
  </si>
  <si>
    <t>Current liabilities</t>
  </si>
  <si>
    <t>Long term liabilities</t>
  </si>
  <si>
    <t>Total liabilities</t>
  </si>
  <si>
    <t>Paid in capital</t>
  </si>
  <si>
    <t>Accumulated other income/loss</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</si>
  <si>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</si>
  <si>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</si>
  <si>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</si>
  <si>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</si>
  <si>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</si>
  <si>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</si>
  <si>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</si>
  <si>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</si>
  <si>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</si>
  <si>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</si>
  <si>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</si>
  <si>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</si>
  <si>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</si>
  <si>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</si>
  <si>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</si>
  <si>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Calculated Operating Cashflow</t>
  </si>
  <si>
    <t>Calculated End Cash</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</si>
  <si>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</si>
  <si>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</si>
  <si>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</si>
  <si>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</si>
  <si>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</si>
  <si>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</si>
  <si>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</si>
  <si>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</si>
  <si>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</si>
  <si>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</si>
  <si>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</si>
  <si>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</si>
  <si>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</si>
  <si>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</si>
  <si>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</si>
  <si>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</si>
  <si>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</si>
  <si>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</si>
  <si>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</si>
  <si>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</si>
  <si>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</si>
  <si>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</si>
  <si>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</si>
  <si>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</si>
  <si>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</si>
  <si>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</si>
  <si>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</si>
  <si>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Q1 2025</t>
  </si>
  <si>
    <t>Q4 2026</t>
  </si>
  <si>
    <t>Q4 2025</t>
  </si>
  <si>
    <t>31.10.2025</t>
  </si>
  <si>
    <t>Q3 2026</t>
  </si>
  <si>
    <t>31.10.2024</t>
  </si>
  <si>
    <t>Q3 2025</t>
  </si>
  <si>
    <t>31.07.2025</t>
  </si>
  <si>
    <t>Q2 2026</t>
  </si>
  <si>
    <t>31.07.2024</t>
  </si>
  <si>
    <t>Q2 2025</t>
  </si>
  <si>
    <t>30.04.2025</t>
  </si>
  <si>
    <t>Q1 2026</t>
  </si>
  <si>
    <t>30.04.2024</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</si>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</sst>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_(* \(#,##0\);_(* &quot;-&quot;_);_(@_)"/>
    <numFmt numFmtId="164" formatCode="_([$$-409]* #,##0.00_);_([$$-409]* \(#,##0.00\);_([$$-409]* &quot;-&quot;??_);_(@_)"/>
    <numFmt numFmtId="165" formatCode="0.00_);[Red]\(0.00\)"/>
    <numFmt numFmtId="166" formatCode="#,##0.0_);[Red]\(#,##0.0\)"/>
    <numFmt numFmtId="167" formatCode="0.00_);\(0.00\)"/>
    <numFmt numFmtId="168" formatCode="0.0%"/>
  </numFmts>
  <fonts count="1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sz val="12"/>
      <color rgb="FF000000"/>
      <name val="Aptos Narrow"/>
      <scheme val="minor"/>
    </font>
    <font>
      <sz val="10"/>
      <color rgb="FF000000"/>
      <name val="Tahoma"/>
      <family val="2"/>
    </font>
  </fonts>
  <fills count="14">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s>
  <borders count="12">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98">
    <xf numFmtId="0" fontId="0" fillId="0" borderId="0" xfId="0"/>
    <xf numFmtId="0" fontId="0" fillId="2" borderId="0" xfId="0" applyFill="1"/>
    <xf numFmtId="164" fontId="0" fillId="2" borderId="0" xfId="0" applyNumberFormat="1" applyFill="1"/>
    <xf numFmtId="39" fontId="0" fillId="2" borderId="0" xfId="0" applyNumberFormat="1" applyFill="1" applyAlignment="1">
      <alignment horizontal="left"/>
    </xf>
    <xf numFmtId="0" fontId="3" fillId="2" borderId="0" xfId="0" applyFont="1" applyFill="1" applyAlignment="1">
      <alignment vertical="top"/>
    </xf>
    <xf numFmtId="0" fontId="0" fillId="2" borderId="0" xfId="0" applyFill="1" applyAlignment="1">
      <alignment vertical="top"/>
    </xf>
    <xf numFmtId="0" fontId="0" fillId="2" borderId="3" xfId="0" applyFill="1" applyBorder="1"/>
    <xf numFmtId="0" fontId="0" fillId="2" borderId="4" xfId="0" applyFill="1" applyBorder="1"/>
    <xf numFmtId="39" fontId="0" fillId="2" borderId="4" xfId="0" applyNumberFormat="1" applyFill="1" applyBorder="1" applyAlignment="1">
      <alignment horizontal="left"/>
    </xf>
    <xf numFmtId="4" fontId="0" fillId="2" borderId="4" xfId="0" applyNumberFormat="1" applyFill="1" applyBorder="1" applyAlignment="1">
      <alignment horizontal="left"/>
    </xf>
    <xf numFmtId="0" fontId="0" fillId="2" borderId="5" xfId="0" applyFill="1" applyBorder="1"/>
    <xf numFmtId="3" fontId="0" fillId="2" borderId="6"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167" fontId="9" fillId="12" borderId="0" xfId="0" applyNumberFormat="1" applyFont="1" applyFill="1"/>
    <xf numFmtId="0" fontId="7" fillId="13" borderId="0" xfId="0" applyFont="1" applyFill="1"/>
    <xf numFmtId="0" fontId="0" fillId="13" borderId="0" xfId="0" applyFill="1"/>
    <xf numFmtId="0" fontId="0" fillId="2" borderId="10" xfId="0" applyFill="1" applyBorder="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7" fontId="12" fillId="2" borderId="0" xfId="0" applyNumberFormat="1" applyFont="1" applyFill="1"/>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9" fontId="0" fillId="3" borderId="0" xfId="1" applyFont="1" applyFill="1" applyBorder="1" applyAlignment="1">
      <alignment horizontal="left"/>
    </xf>
    <xf numFmtId="10" fontId="10" fillId="2" borderId="0" xfId="1" applyNumberFormat="1" applyFont="1" applyFill="1"/>
    <xf numFmtId="10" fontId="13" fillId="1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11" xfId="0" applyFont="1" applyFill="1" applyBorder="1" applyAlignment="1">
      <alignment horizontal="center"/>
    </xf>
    <xf numFmtId="9" fontId="11" fillId="2" borderId="0" xfId="1" applyFont="1" applyFill="1"/>
    <xf numFmtId="37" fontId="11" fillId="2" borderId="0" xfId="0" applyNumberFormat="1" applyFont="1" applyFill="1"/>
  </cellXfs>
  <cellStyles count="2">
    <cellStyle name="Normal" xfId="0" builtinId="0"/>
    <cellStyle name="Percent" xfId="1" builtinId="5"/>
  </cellStyles>
  <dxfs count="6">
    <dxf>
      <fill>
        <patternFill>
          <bgColor theme="9" tint="0.59996337778862885"/>
        </patternFill>
      </fill>
    </dxf>
    <dxf>
      <fill>
        <patternFill>
          <bgColor theme="0"/>
        </patternFill>
      </fill>
    </dxf>
    <dxf>
      <fill>
        <patternFill>
          <bgColor theme="5" tint="0.39994506668294322"/>
        </patternFill>
      </fill>
    </dxf>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https://www.bing.com/financeapi/forcetrigger?t=c1dbvh&amp;q=XNYS%3aPATH&amp;form=skydnc</v>
    <v>Learn more on Bing</v>
  </rv>
  <rv s="1">
    <v>0</v>
    <v>UIPATH, INC. (XNYS:PATH)</v>
    <v>2</v>
    <v>3</v>
    <v>Finance</v>
    <v>4</v>
    <v>en-US</v>
    <v>c1dbvh</v>
    <v>268435456</v>
    <v>1</v>
    <v>Powered by Refinitiv</v>
    <v>19.84</v>
    <v>9.2002000000000006</v>
    <v>0.91769999999999996</v>
    <v>0.2</v>
    <v>1.8956999999999998E-2</v>
    <v>-0.04</v>
    <v>-3.7140000000000003E-3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10.775</v>
    <v>Software &amp; IT Services</v>
    <v>Stock</v>
    <v>46162.865599698438</v>
    <v>0</v>
    <v>10.1</v>
    <v>5594766550</v>
    <v>UIPATH, INC.</v>
    <v>UIPATH, INC.</v>
    <v>10.375</v>
    <v>20.673100000000002</v>
    <v>10.55</v>
    <v>10.75</v>
    <v>10.73</v>
    <v>520443400</v>
    <v>PATH</v>
    <v>UIPATH, INC. (XNYS:PATH)</v>
    <v>33013430</v>
    <v>28621658</v>
    <v>2015</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72" dT="2026-02-17T21:45:28.65" personId="{A0F62302-F8D3-B346-B5DF-839B413AE710}" id="{22B2B3EF-EBF6-0D4F-BF74-BA371A77FD6F}">
    <text>Actual number</text>
  </threadedComment>
  <threadedComment ref="B10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13" dT="2026-04-29T20:34:03.37" personId="{A0F62302-F8D3-B346-B5DF-839B413AE710}" id="{209749E1-FB11-B44E-A5F8-63B5C609A92B}">
    <text>Actual number</text>
  </threadedComment>
  <threadedComment ref="B114" dT="2026-04-29T20:34:17.66" personId="{A0F62302-F8D3-B346-B5DF-839B413AE710}" id="{2CC87C03-C688-7A48-AFF8-37BA858A01DD}">
    <text>Actual number</text>
  </threadedComment>
  <threadedComment ref="B133" dT="2026-05-20T20:26:42.93" personId="{A0F62302-F8D3-B346-B5DF-839B413AE710}" id="{BD518828-4CC2-0B4C-8B09-D92EFD9BB7AB}">
    <text>Actual value</text>
  </threadedComment>
  <threadedComment ref="B134" dT="2026-05-20T20:26:51.62" personId="{A0F62302-F8D3-B346-B5DF-839B413AE710}" id="{9D8CB7E8-8C73-9749-8D8A-8250F244A2BB}">
    <text>Actual value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6"/>
  <sheetViews>
    <sheetView topLeftCell="A20" zoomScale="174" workbookViewId="0">
      <selection activeCell="C30" sqref="C30"/>
    </sheetView>
  </sheetViews>
  <sheetFormatPr baseColWidth="10" defaultRowHeight="16" x14ac:dyDescent="0.2"/>
  <cols>
    <col min="1" max="1" width="6.1640625" style="1" customWidth="1"/>
    <col min="2" max="2" width="22" style="1" customWidth="1"/>
    <col min="3" max="3" width="28.1640625" style="1" customWidth="1"/>
    <col min="4" max="16384" width="10.83203125" style="1"/>
  </cols>
  <sheetData>
    <row r="1" spans="2:5" ht="11" customHeight="1" x14ac:dyDescent="0.2"/>
    <row r="2" spans="2:5" x14ac:dyDescent="0.2">
      <c r="B2" s="92" t="s">
        <v>18</v>
      </c>
      <c r="C2" s="93"/>
    </row>
    <row r="3" spans="2:5" x14ac:dyDescent="0.2">
      <c r="B3" s="6" t="s">
        <v>11</v>
      </c>
      <c r="C3" s="7" t="e" vm="1">
        <v>#VALUE!</v>
      </c>
      <c r="D3" s="2"/>
    </row>
    <row r="4" spans="2:5" x14ac:dyDescent="0.2">
      <c r="B4" s="6" t="s">
        <v>0</v>
      </c>
      <c r="C4" s="7" t="str" cm="1">
        <f t="array" aca="1" ref="C4" ca="1">_FV(C3,"Ticker symbol",TRUE)</f>
        <v>PATH</v>
      </c>
    </row>
    <row r="5" spans="2:5" x14ac:dyDescent="0.2">
      <c r="B5" s="6" t="s">
        <v>1</v>
      </c>
      <c r="C5" s="8" cm="1">
        <f t="array" aca="1" ref="C5" ca="1">_FV(C3,"Price",TRUE)</f>
        <v>10.75</v>
      </c>
    </row>
    <row r="6" spans="2:5" x14ac:dyDescent="0.2">
      <c r="B6" s="6" t="s">
        <v>2</v>
      </c>
      <c r="C6" s="8" cm="1">
        <f t="array" aca="1" ref="C6" ca="1">_FV(C3,"Price (Extended hours)",TRUE)</f>
        <v>10.73</v>
      </c>
    </row>
    <row r="7" spans="2:5" x14ac:dyDescent="0.2">
      <c r="B7" s="6" t="s">
        <v>3</v>
      </c>
      <c r="C7" s="8" cm="1">
        <f t="array" aca="1" ref="C7" ca="1">_FV(C3,"Change")</f>
        <v>0.2</v>
      </c>
      <c r="E7" s="3"/>
    </row>
    <row r="8" spans="2:5" x14ac:dyDescent="0.2">
      <c r="B8" s="6" t="s">
        <v>4</v>
      </c>
      <c r="C8" s="8" cm="1">
        <f t="array" aca="1" ref="C8" ca="1">_FV(C3,"Change (extended hours)",TRUE)</f>
        <v>-0.04</v>
      </c>
      <c r="E8" s="3"/>
    </row>
    <row r="9" spans="2:5" x14ac:dyDescent="0.2">
      <c r="B9" s="6" t="s">
        <v>5</v>
      </c>
      <c r="C9" s="80" cm="1">
        <f t="array" aca="1" ref="C9" ca="1">_FV(C3,"Change (%)",TRUE)</f>
        <v>1.8956999999999998E-2</v>
      </c>
      <c r="E9" s="3"/>
    </row>
    <row r="10" spans="2:5" x14ac:dyDescent="0.2">
      <c r="B10" s="6" t="s">
        <v>6</v>
      </c>
      <c r="C10" s="80" cm="1">
        <f t="array" aca="1" ref="C10" ca="1">_FV(C3,"Change % (extended hours)",TRUE)</f>
        <v>-3.7140000000000003E-3</v>
      </c>
      <c r="E10" s="3"/>
    </row>
    <row r="11" spans="2:5" x14ac:dyDescent="0.2">
      <c r="B11" s="6" t="s">
        <v>7</v>
      </c>
      <c r="C11" s="9" cm="1">
        <f t="array" aca="1" ref="C11" ca="1">_FV(C3,"52 week high",TRUE)</f>
        <v>19.84</v>
      </c>
    </row>
    <row r="12" spans="2:5" x14ac:dyDescent="0.2">
      <c r="B12" s="6" t="s">
        <v>8</v>
      </c>
      <c r="C12" s="9" cm="1">
        <f t="array" aca="1" ref="C12" ca="1">_FV(C3,"52 week low",TRUE)</f>
        <v>9.2002000000000006</v>
      </c>
    </row>
    <row r="13" spans="2:5" x14ac:dyDescent="0.2">
      <c r="B13" s="6" t="s">
        <v>9</v>
      </c>
      <c r="C13" s="9" cm="1">
        <f t="array" aca="1" ref="C13" ca="1">_FV(C3,"Beta")</f>
        <v>0.91769999999999996</v>
      </c>
    </row>
    <row r="14" spans="2:5" x14ac:dyDescent="0.2">
      <c r="B14" s="10" t="s">
        <v>10</v>
      </c>
      <c r="C14" s="11" cm="1">
        <f t="array" aca="1" ref="C14" ca="1">_FV(C3,"Volume average",TRUE)</f>
        <v>28621658</v>
      </c>
    </row>
    <row r="17" spans="2:9" x14ac:dyDescent="0.2">
      <c r="B17" s="94" t="s">
        <v>114</v>
      </c>
      <c r="C17" s="94"/>
    </row>
    <row r="18" spans="2:9" x14ac:dyDescent="0.2">
      <c r="B18" s="75" t="s">
        <v>12</v>
      </c>
      <c r="C18" s="76" t="s">
        <v>14</v>
      </c>
      <c r="I18" s="55"/>
    </row>
    <row r="19" spans="2:9" x14ac:dyDescent="0.2">
      <c r="B19" s="75" t="s">
        <v>13</v>
      </c>
      <c r="C19" s="77">
        <v>1000</v>
      </c>
    </row>
    <row r="20" spans="2:9" x14ac:dyDescent="0.2">
      <c r="B20" s="75" t="s">
        <v>115</v>
      </c>
      <c r="C20" s="76" t="s">
        <v>116</v>
      </c>
    </row>
    <row r="21" spans="2:9" x14ac:dyDescent="0.2">
      <c r="B21" s="75" t="s">
        <v>117</v>
      </c>
      <c r="C21" s="76" t="s">
        <v>118</v>
      </c>
      <c r="I21" s="55"/>
    </row>
    <row r="22" spans="2:9" x14ac:dyDescent="0.2">
      <c r="B22" s="75" t="s">
        <v>119</v>
      </c>
      <c r="C22" s="76" t="s">
        <v>118</v>
      </c>
    </row>
    <row r="25" spans="2:9" x14ac:dyDescent="0.2">
      <c r="B25" s="94" t="s">
        <v>138</v>
      </c>
      <c r="C25" s="95"/>
    </row>
    <row r="26" spans="2:9" x14ac:dyDescent="0.2">
      <c r="B26" s="1" t="s">
        <v>139</v>
      </c>
      <c r="C26" s="89">
        <v>0.21</v>
      </c>
    </row>
  </sheetData>
  <mergeCells count="3">
    <mergeCell ref="B2:C2"/>
    <mergeCell ref="B17:C17"/>
    <mergeCell ref="B25:C25"/>
  </mergeCells>
  <conditionalFormatting sqref="C7:C10">
    <cfRule type="cellIs" dxfId="5" priority="4" operator="lessThan">
      <formula>0</formula>
    </cfRule>
    <cfRule type="cellIs" dxfId="4" priority="5" operator="equal">
      <formula>0</formula>
    </cfRule>
    <cfRule type="cellIs" dxfId="3" priority="6" operator="greaterThan">
      <formula>0</formula>
    </cfRule>
  </conditionalFormatting>
  <conditionalFormatting sqref="E7:E10">
    <cfRule type="cellIs" dxfId="2" priority="1" operator="lessThan">
      <formula>0</formula>
    </cfRule>
    <cfRule type="cellIs" dxfId="1" priority="2" operator="equal">
      <formula>0</formula>
    </cfRule>
    <cfRule type="cellIs" dxfId="0" priority="3"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134"/>
  <sheetViews>
    <sheetView tabSelected="1" zoomScale="170" zoomScaleNormal="150" workbookViewId="0">
      <pane xSplit="2" ySplit="3" topLeftCell="Y126" activePane="bottomRight" state="frozen"/>
      <selection pane="topRight" activeCell="C1" sqref="C1"/>
      <selection pane="bottomLeft" activeCell="A4" sqref="A4"/>
      <selection pane="bottomRight" activeCell="AC131" sqref="AC131"/>
    </sheetView>
  </sheetViews>
  <sheetFormatPr baseColWidth="10" defaultRowHeight="16" outlineLevelRow="2" outlineLevelCol="1" x14ac:dyDescent="0.2"/>
  <cols>
    <col min="1" max="1" width="3.6640625" style="1" customWidth="1"/>
    <col min="2" max="2" width="33.83203125" style="25" customWidth="1"/>
    <col min="3" max="8" width="12" style="1" customWidth="1" outlineLevel="1"/>
    <col min="9" max="9" width="10.83203125" style="1" customWidth="1" outlineLevel="1"/>
    <col min="10" max="10" width="12" style="1" customWidth="1" outlineLevel="1"/>
    <col min="11" max="11" width="10.83203125" style="1" customWidth="1" outlineLevel="1"/>
    <col min="12" max="12" width="10.83203125" style="1" customWidth="1"/>
    <col min="13" max="13" width="10.6640625" style="1" customWidth="1"/>
    <col min="14" max="14" width="10.83203125" style="1" customWidth="1"/>
    <col min="15" max="16" width="12" style="1" bestFit="1" customWidth="1"/>
    <col min="17" max="17" width="11.33203125" style="1" bestFit="1" customWidth="1"/>
    <col min="18" max="27" width="10.83203125" style="1"/>
    <col min="28" max="28" width="6.1640625" style="1" customWidth="1"/>
    <col min="29" max="16384" width="10.83203125" style="1"/>
  </cols>
  <sheetData>
    <row r="1" spans="1:31" x14ac:dyDescent="0.2">
      <c r="B1" s="1"/>
    </row>
    <row r="2" spans="1:31" s="15" customFormat="1" x14ac:dyDescent="0.2">
      <c r="A2" s="12"/>
      <c r="B2" s="13" t="s">
        <v>16</v>
      </c>
      <c r="C2" s="14"/>
      <c r="D2" s="14"/>
      <c r="E2" s="14"/>
      <c r="F2" s="14"/>
      <c r="G2" s="14"/>
      <c r="H2" s="14"/>
      <c r="I2" s="14"/>
      <c r="M2" s="15" t="s">
        <v>99</v>
      </c>
      <c r="N2" s="15" t="s">
        <v>98</v>
      </c>
      <c r="O2" s="15" t="s">
        <v>97</v>
      </c>
      <c r="P2" s="15" t="s">
        <v>96</v>
      </c>
      <c r="Q2" s="15" t="s">
        <v>95</v>
      </c>
      <c r="R2" s="12"/>
      <c r="S2" s="12"/>
      <c r="T2" s="15" t="s">
        <v>113</v>
      </c>
      <c r="U2" s="15" t="s">
        <v>109</v>
      </c>
      <c r="V2" s="15" t="s">
        <v>105</v>
      </c>
      <c r="W2" s="15" t="s">
        <v>96</v>
      </c>
      <c r="X2" s="15" t="s">
        <v>111</v>
      </c>
      <c r="Y2" s="15" t="s">
        <v>107</v>
      </c>
      <c r="Z2" s="15" t="s">
        <v>103</v>
      </c>
      <c r="AA2" s="15" t="s">
        <v>95</v>
      </c>
      <c r="AB2" s="12"/>
      <c r="AD2" s="12"/>
      <c r="AE2" s="12"/>
    </row>
    <row r="3" spans="1:31" s="18" customFormat="1" x14ac:dyDescent="0.2">
      <c r="A3" s="16"/>
      <c r="B3" s="17" t="s">
        <v>17</v>
      </c>
      <c r="M3" s="18">
        <v>2022</v>
      </c>
      <c r="N3" s="18">
        <v>2023</v>
      </c>
      <c r="O3" s="18">
        <v>2024</v>
      </c>
      <c r="P3" s="18">
        <v>2025</v>
      </c>
      <c r="Q3" s="18">
        <v>2026</v>
      </c>
      <c r="R3" s="16"/>
      <c r="S3" s="16"/>
      <c r="T3" s="18" t="s">
        <v>100</v>
      </c>
      <c r="U3" s="18" t="s">
        <v>110</v>
      </c>
      <c r="V3" s="18" t="s">
        <v>106</v>
      </c>
      <c r="W3" s="18" t="s">
        <v>102</v>
      </c>
      <c r="X3" s="18" t="s">
        <v>112</v>
      </c>
      <c r="Y3" s="18" t="s">
        <v>108</v>
      </c>
      <c r="Z3" s="18" t="s">
        <v>104</v>
      </c>
      <c r="AA3" s="18" t="s">
        <v>101</v>
      </c>
      <c r="AB3" s="16"/>
      <c r="AC3" s="64" t="s">
        <v>94</v>
      </c>
      <c r="AD3" s="16"/>
      <c r="AE3" s="16"/>
    </row>
    <row r="4" spans="1:31" s="20" customFormat="1" ht="17" thickBot="1" x14ac:dyDescent="0.25">
      <c r="A4" s="16"/>
      <c r="B4" s="19" t="s">
        <v>19</v>
      </c>
      <c r="R4" s="16"/>
      <c r="S4" s="16"/>
      <c r="AB4" s="16"/>
      <c r="AD4" s="16"/>
      <c r="AE4" s="16"/>
    </row>
    <row r="5" spans="1:31" s="24" customFormat="1" outlineLevel="1" x14ac:dyDescent="0.2">
      <c r="A5" s="21"/>
      <c r="B5" s="22" t="s">
        <v>20</v>
      </c>
      <c r="C5" s="23"/>
      <c r="D5" s="23"/>
      <c r="E5" s="23"/>
      <c r="F5" s="23"/>
      <c r="G5" s="23"/>
      <c r="H5" s="23"/>
      <c r="I5" s="23"/>
      <c r="J5" s="23"/>
      <c r="K5" s="23"/>
      <c r="L5" s="23"/>
      <c r="M5" s="23">
        <v>892252</v>
      </c>
      <c r="N5" s="23">
        <v>1058581</v>
      </c>
      <c r="O5" s="23">
        <v>1308072</v>
      </c>
      <c r="P5" s="23">
        <v>1429664</v>
      </c>
      <c r="Q5" s="23">
        <v>1610572</v>
      </c>
      <c r="R5" s="21"/>
      <c r="S5" s="21"/>
      <c r="T5" s="23">
        <v>335112</v>
      </c>
      <c r="U5" s="23">
        <v>316253</v>
      </c>
      <c r="V5" s="23">
        <v>354653</v>
      </c>
      <c r="W5" s="23">
        <v>423646</v>
      </c>
      <c r="X5" s="23">
        <v>356624</v>
      </c>
      <c r="Y5" s="23">
        <v>361728</v>
      </c>
      <c r="Z5" s="23">
        <v>411113</v>
      </c>
      <c r="AA5" s="23">
        <v>481107</v>
      </c>
      <c r="AB5" s="21"/>
      <c r="AC5" s="23">
        <f>SUM(X5:AA5)</f>
        <v>1610572</v>
      </c>
      <c r="AD5" s="21"/>
      <c r="AE5" s="21"/>
    </row>
    <row r="6" spans="1:31" outlineLevel="1" x14ac:dyDescent="0.2">
      <c r="B6" s="25" t="s">
        <v>21</v>
      </c>
      <c r="C6" s="26"/>
      <c r="D6" s="26"/>
      <c r="E6" s="26"/>
      <c r="F6" s="26"/>
      <c r="G6" s="26"/>
      <c r="H6" s="26"/>
      <c r="I6" s="26"/>
      <c r="J6" s="26"/>
      <c r="K6" s="26"/>
      <c r="L6" s="26"/>
      <c r="M6" s="26">
        <v>168868</v>
      </c>
      <c r="N6" s="26">
        <v>180051</v>
      </c>
      <c r="O6" s="26">
        <v>195924</v>
      </c>
      <c r="P6" s="26">
        <v>246942</v>
      </c>
      <c r="Q6" s="26">
        <v>270984</v>
      </c>
      <c r="T6" s="26">
        <v>55325</v>
      </c>
      <c r="U6" s="26">
        <v>63320</v>
      </c>
      <c r="V6" s="26">
        <v>63763</v>
      </c>
      <c r="W6" s="26">
        <v>64534</v>
      </c>
      <c r="X6" s="26">
        <v>63857</v>
      </c>
      <c r="Y6" s="26">
        <v>64380</v>
      </c>
      <c r="Z6" s="26">
        <v>68812</v>
      </c>
      <c r="AA6" s="26">
        <v>73935</v>
      </c>
      <c r="AC6" s="26">
        <f t="shared" ref="AC6:AC17" si="0">SUM(X6:AA6)</f>
        <v>270984</v>
      </c>
    </row>
    <row r="7" spans="1:31" s="24" customFormat="1" outlineLevel="1" x14ac:dyDescent="0.2">
      <c r="A7" s="21"/>
      <c r="B7" s="22" t="s">
        <v>22</v>
      </c>
      <c r="C7" s="27">
        <f t="shared" ref="C7:Q7" si="1">C5-C6</f>
        <v>0</v>
      </c>
      <c r="D7" s="27">
        <f t="shared" si="1"/>
        <v>0</v>
      </c>
      <c r="E7" s="27">
        <f t="shared" si="1"/>
        <v>0</v>
      </c>
      <c r="F7" s="27">
        <f t="shared" si="1"/>
        <v>0</v>
      </c>
      <c r="G7" s="27">
        <f t="shared" si="1"/>
        <v>0</v>
      </c>
      <c r="H7" s="27">
        <f t="shared" si="1"/>
        <v>0</v>
      </c>
      <c r="I7" s="27">
        <f t="shared" si="1"/>
        <v>0</v>
      </c>
      <c r="J7" s="27">
        <f t="shared" si="1"/>
        <v>0</v>
      </c>
      <c r="K7" s="27">
        <f t="shared" si="1"/>
        <v>0</v>
      </c>
      <c r="L7" s="27">
        <f t="shared" si="1"/>
        <v>0</v>
      </c>
      <c r="M7" s="27">
        <f t="shared" si="1"/>
        <v>723384</v>
      </c>
      <c r="N7" s="27">
        <f t="shared" si="1"/>
        <v>878530</v>
      </c>
      <c r="O7" s="27">
        <f t="shared" si="1"/>
        <v>1112148</v>
      </c>
      <c r="P7" s="27">
        <f t="shared" si="1"/>
        <v>1182722</v>
      </c>
      <c r="Q7" s="27">
        <f t="shared" si="1"/>
        <v>1339588</v>
      </c>
      <c r="R7" s="21"/>
      <c r="S7" s="21"/>
      <c r="T7" s="27">
        <f t="shared" ref="T7:AA7" si="2">T5-T6</f>
        <v>279787</v>
      </c>
      <c r="U7" s="27">
        <f t="shared" si="2"/>
        <v>252933</v>
      </c>
      <c r="V7" s="27">
        <f t="shared" si="2"/>
        <v>290890</v>
      </c>
      <c r="W7" s="27">
        <f t="shared" si="2"/>
        <v>359112</v>
      </c>
      <c r="X7" s="27">
        <f t="shared" si="2"/>
        <v>292767</v>
      </c>
      <c r="Y7" s="27">
        <f t="shared" si="2"/>
        <v>297348</v>
      </c>
      <c r="Z7" s="27">
        <f t="shared" si="2"/>
        <v>342301</v>
      </c>
      <c r="AA7" s="27">
        <f t="shared" si="2"/>
        <v>407172</v>
      </c>
      <c r="AB7" s="21"/>
      <c r="AC7" s="27">
        <f t="shared" si="0"/>
        <v>1339588</v>
      </c>
      <c r="AD7" s="21"/>
      <c r="AE7" s="21"/>
    </row>
    <row r="8" spans="1:31" outlineLevel="1" x14ac:dyDescent="0.2">
      <c r="B8" s="25" t="s">
        <v>24</v>
      </c>
      <c r="C8" s="26"/>
      <c r="D8" s="26"/>
      <c r="E8" s="26"/>
      <c r="F8" s="26"/>
      <c r="G8" s="26"/>
      <c r="H8" s="26"/>
      <c r="I8" s="26"/>
      <c r="J8" s="26"/>
      <c r="K8" s="26"/>
      <c r="L8" s="26"/>
      <c r="M8" s="26">
        <v>697682</v>
      </c>
      <c r="N8" s="26">
        <v>701558</v>
      </c>
      <c r="O8" s="26">
        <v>713130</v>
      </c>
      <c r="P8" s="26">
        <v>738493</v>
      </c>
      <c r="Q8" s="26">
        <v>683329</v>
      </c>
      <c r="T8" s="26">
        <v>180139</v>
      </c>
      <c r="U8" s="26">
        <v>194330</v>
      </c>
      <c r="V8" s="26">
        <v>187188</v>
      </c>
      <c r="W8" s="26">
        <v>176836</v>
      </c>
      <c r="X8" s="26">
        <v>159661</v>
      </c>
      <c r="Y8" s="26">
        <v>166303</v>
      </c>
      <c r="Z8" s="26">
        <v>179186</v>
      </c>
      <c r="AA8" s="26">
        <v>178179</v>
      </c>
      <c r="AC8" s="26">
        <f t="shared" si="0"/>
        <v>683329</v>
      </c>
    </row>
    <row r="9" spans="1:31" outlineLevel="1" x14ac:dyDescent="0.2">
      <c r="B9" s="25" t="s">
        <v>23</v>
      </c>
      <c r="C9" s="26"/>
      <c r="D9" s="26"/>
      <c r="E9" s="26"/>
      <c r="F9" s="26"/>
      <c r="G9" s="26"/>
      <c r="H9" s="26"/>
      <c r="I9" s="26"/>
      <c r="J9" s="26"/>
      <c r="K9" s="26"/>
      <c r="L9" s="26"/>
      <c r="M9" s="26">
        <v>276657</v>
      </c>
      <c r="N9" s="26">
        <v>285750</v>
      </c>
      <c r="O9" s="26">
        <v>332101</v>
      </c>
      <c r="P9" s="26">
        <v>380682</v>
      </c>
      <c r="Q9" s="26">
        <v>385208</v>
      </c>
      <c r="T9" s="26">
        <v>85603</v>
      </c>
      <c r="U9" s="26">
        <v>98433</v>
      </c>
      <c r="V9" s="26">
        <v>96976</v>
      </c>
      <c r="W9" s="26">
        <v>99670</v>
      </c>
      <c r="X9" s="26">
        <v>94839</v>
      </c>
      <c r="Y9" s="26">
        <v>98341</v>
      </c>
      <c r="Z9" s="26">
        <v>96869</v>
      </c>
      <c r="AA9" s="26">
        <v>95159</v>
      </c>
      <c r="AC9" s="26">
        <f t="shared" si="0"/>
        <v>385208</v>
      </c>
    </row>
    <row r="10" spans="1:31" outlineLevel="1" x14ac:dyDescent="0.2">
      <c r="B10" s="28" t="s">
        <v>25</v>
      </c>
      <c r="C10" s="26"/>
      <c r="D10" s="26"/>
      <c r="E10" s="26"/>
      <c r="F10" s="26"/>
      <c r="G10" s="26"/>
      <c r="H10" s="26"/>
      <c r="I10" s="26"/>
      <c r="J10" s="26"/>
      <c r="K10" s="26"/>
      <c r="L10" s="26"/>
      <c r="M10" s="26">
        <v>249991</v>
      </c>
      <c r="N10" s="26">
        <v>239505</v>
      </c>
      <c r="O10" s="26">
        <v>231637</v>
      </c>
      <c r="P10" s="26">
        <v>226116</v>
      </c>
      <c r="Q10" s="26">
        <v>214291</v>
      </c>
      <c r="T10" s="26">
        <v>63510</v>
      </c>
      <c r="U10" s="26">
        <v>63519</v>
      </c>
      <c r="V10" s="26">
        <v>50090</v>
      </c>
      <c r="W10" s="26">
        <v>48997</v>
      </c>
      <c r="X10" s="26">
        <v>54679</v>
      </c>
      <c r="Y10" s="26">
        <v>52889</v>
      </c>
      <c r="Z10" s="26">
        <v>53175</v>
      </c>
      <c r="AA10" s="26">
        <v>53548</v>
      </c>
      <c r="AC10" s="26">
        <f t="shared" si="0"/>
        <v>214291</v>
      </c>
    </row>
    <row r="11" spans="1:31" outlineLevel="1" x14ac:dyDescent="0.2">
      <c r="B11" s="28" t="s">
        <v>26</v>
      </c>
      <c r="C11" s="29">
        <f t="shared" ref="C11:Q11" si="3">SUM(C8:C10)</f>
        <v>0</v>
      </c>
      <c r="D11" s="29">
        <f t="shared" si="3"/>
        <v>0</v>
      </c>
      <c r="E11" s="29">
        <f t="shared" si="3"/>
        <v>0</v>
      </c>
      <c r="F11" s="29">
        <f t="shared" si="3"/>
        <v>0</v>
      </c>
      <c r="G11" s="29">
        <f t="shared" si="3"/>
        <v>0</v>
      </c>
      <c r="H11" s="29">
        <f t="shared" si="3"/>
        <v>0</v>
      </c>
      <c r="I11" s="29">
        <f t="shared" si="3"/>
        <v>0</v>
      </c>
      <c r="J11" s="29">
        <f t="shared" si="3"/>
        <v>0</v>
      </c>
      <c r="K11" s="29">
        <f t="shared" si="3"/>
        <v>0</v>
      </c>
      <c r="L11" s="29">
        <f t="shared" si="3"/>
        <v>0</v>
      </c>
      <c r="M11" s="29">
        <f t="shared" si="3"/>
        <v>1224330</v>
      </c>
      <c r="N11" s="29">
        <f t="shared" si="3"/>
        <v>1226813</v>
      </c>
      <c r="O11" s="29">
        <f t="shared" si="3"/>
        <v>1276868</v>
      </c>
      <c r="P11" s="29">
        <f t="shared" si="3"/>
        <v>1345291</v>
      </c>
      <c r="Q11" s="29">
        <f t="shared" si="3"/>
        <v>1282828</v>
      </c>
      <c r="T11" s="29">
        <f t="shared" ref="T11" si="4">SUM(T8:T10)</f>
        <v>329252</v>
      </c>
      <c r="U11" s="29">
        <f t="shared" ref="U11" si="5">SUM(U8:U10)</f>
        <v>356282</v>
      </c>
      <c r="V11" s="29">
        <f t="shared" ref="V11" si="6">SUM(V8:V10)</f>
        <v>334254</v>
      </c>
      <c r="W11" s="29">
        <f t="shared" ref="W11" si="7">SUM(W8:W10)</f>
        <v>325503</v>
      </c>
      <c r="X11" s="29">
        <f t="shared" ref="X11" si="8">SUM(X8:X10)</f>
        <v>309179</v>
      </c>
      <c r="Y11" s="29">
        <f t="shared" ref="Y11" si="9">SUM(Y8:Y10)</f>
        <v>317533</v>
      </c>
      <c r="Z11" s="29">
        <f t="shared" ref="Z11" si="10">SUM(Z8:Z10)</f>
        <v>329230</v>
      </c>
      <c r="AA11" s="29">
        <f t="shared" ref="AA11" si="11">SUM(AA8:AA10)</f>
        <v>326886</v>
      </c>
      <c r="AC11" s="29">
        <f t="shared" si="0"/>
        <v>1282828</v>
      </c>
    </row>
    <row r="12" spans="1:31" s="24" customFormat="1" outlineLevel="1" x14ac:dyDescent="0.2">
      <c r="A12" s="21"/>
      <c r="B12" s="22" t="s">
        <v>27</v>
      </c>
      <c r="C12" s="23"/>
      <c r="D12" s="23"/>
      <c r="E12" s="23"/>
      <c r="F12" s="23"/>
      <c r="G12" s="23"/>
      <c r="H12" s="23"/>
      <c r="I12" s="23"/>
      <c r="J12" s="23"/>
      <c r="K12" s="23"/>
      <c r="L12" s="23"/>
      <c r="M12" s="66">
        <v>-500946</v>
      </c>
      <c r="N12" s="66">
        <v>-348283</v>
      </c>
      <c r="O12" s="66">
        <v>-164720</v>
      </c>
      <c r="P12" s="66">
        <v>-162569</v>
      </c>
      <c r="Q12" s="23">
        <v>56760</v>
      </c>
      <c r="R12" s="21"/>
      <c r="S12" s="21"/>
      <c r="T12" s="66">
        <v>-49465</v>
      </c>
      <c r="U12" s="66">
        <v>-103349</v>
      </c>
      <c r="V12" s="66">
        <v>-43364</v>
      </c>
      <c r="W12" s="23">
        <v>33609</v>
      </c>
      <c r="X12" s="66">
        <v>-16412</v>
      </c>
      <c r="Y12" s="66">
        <v>-20185</v>
      </c>
      <c r="Z12" s="23">
        <v>13071</v>
      </c>
      <c r="AA12" s="23">
        <v>80286</v>
      </c>
      <c r="AB12" s="1"/>
      <c r="AC12" s="23">
        <f t="shared" si="0"/>
        <v>56760</v>
      </c>
      <c r="AD12" s="1"/>
      <c r="AE12" s="1"/>
    </row>
    <row r="13" spans="1:31" outlineLevel="1" x14ac:dyDescent="0.2">
      <c r="B13" s="28" t="s">
        <v>28</v>
      </c>
      <c r="C13" s="26"/>
      <c r="D13" s="26"/>
      <c r="E13" s="26"/>
      <c r="F13" s="26"/>
      <c r="G13" s="26"/>
      <c r="H13" s="26"/>
      <c r="I13" s="26"/>
      <c r="J13" s="26"/>
      <c r="K13" s="26"/>
      <c r="L13" s="26"/>
      <c r="M13" s="26">
        <v>3551</v>
      </c>
      <c r="N13" s="26">
        <v>27955</v>
      </c>
      <c r="O13" s="67">
        <v>57130</v>
      </c>
      <c r="P13" s="67">
        <v>49422</v>
      </c>
      <c r="Q13" s="67">
        <v>48023</v>
      </c>
      <c r="T13" s="67">
        <v>13830</v>
      </c>
      <c r="U13" s="67">
        <v>13370</v>
      </c>
      <c r="V13" s="67">
        <v>10055</v>
      </c>
      <c r="W13" s="67">
        <v>12167</v>
      </c>
      <c r="X13" s="67">
        <v>12648</v>
      </c>
      <c r="Y13" s="67">
        <v>12004</v>
      </c>
      <c r="Z13" s="67">
        <v>11701</v>
      </c>
      <c r="AA13" s="67">
        <v>11670</v>
      </c>
      <c r="AC13" s="67">
        <f t="shared" si="0"/>
        <v>48023</v>
      </c>
    </row>
    <row r="14" spans="1:31" outlineLevel="1" x14ac:dyDescent="0.2">
      <c r="B14" s="28" t="s">
        <v>29</v>
      </c>
      <c r="C14" s="26"/>
      <c r="D14" s="26"/>
      <c r="E14" s="26"/>
      <c r="F14" s="26"/>
      <c r="G14" s="26"/>
      <c r="H14" s="26"/>
      <c r="I14" s="26"/>
      <c r="J14" s="26"/>
      <c r="K14" s="26"/>
      <c r="L14" s="26"/>
      <c r="M14" s="67">
        <v>-13488</v>
      </c>
      <c r="N14" s="26">
        <v>2767</v>
      </c>
      <c r="O14" s="67">
        <v>31775</v>
      </c>
      <c r="P14" s="67">
        <v>35047</v>
      </c>
      <c r="Q14" s="67">
        <v>-4155</v>
      </c>
      <c r="T14" s="67">
        <v>10679</v>
      </c>
      <c r="U14" s="67">
        <v>7710</v>
      </c>
      <c r="V14" s="67">
        <v>7810</v>
      </c>
      <c r="W14" s="67">
        <v>8848</v>
      </c>
      <c r="X14" s="67">
        <v>-15964</v>
      </c>
      <c r="Y14" s="67">
        <v>11508</v>
      </c>
      <c r="Z14" s="67">
        <v>-180</v>
      </c>
      <c r="AA14" s="67">
        <v>481</v>
      </c>
      <c r="AC14" s="67">
        <f t="shared" si="0"/>
        <v>-4155</v>
      </c>
    </row>
    <row r="15" spans="1:31" s="24" customFormat="1" outlineLevel="1" x14ac:dyDescent="0.2">
      <c r="A15" s="21"/>
      <c r="B15" s="22" t="s">
        <v>30</v>
      </c>
      <c r="C15" s="23"/>
      <c r="D15" s="23"/>
      <c r="E15" s="23"/>
      <c r="F15" s="23"/>
      <c r="G15" s="23"/>
      <c r="H15" s="23"/>
      <c r="I15" s="23"/>
      <c r="J15" s="23"/>
      <c r="K15" s="23"/>
      <c r="L15" s="23"/>
      <c r="M15" s="66">
        <v>-510883</v>
      </c>
      <c r="N15" s="66">
        <v>-317561</v>
      </c>
      <c r="O15" s="66">
        <v>-75815</v>
      </c>
      <c r="P15" s="66">
        <v>-78100</v>
      </c>
      <c r="Q15" s="23">
        <v>100628</v>
      </c>
      <c r="R15" s="1"/>
      <c r="S15" s="1"/>
      <c r="T15" s="66">
        <v>-24956</v>
      </c>
      <c r="U15" s="66">
        <v>-82269</v>
      </c>
      <c r="V15" s="66">
        <v>-25499</v>
      </c>
      <c r="W15" s="23">
        <v>54624</v>
      </c>
      <c r="X15" s="66">
        <v>-19728</v>
      </c>
      <c r="Y15" s="23">
        <v>3327</v>
      </c>
      <c r="Z15" s="23">
        <v>24592</v>
      </c>
      <c r="AA15" s="23">
        <v>92437</v>
      </c>
      <c r="AB15" s="1"/>
      <c r="AC15" s="23">
        <f t="shared" si="0"/>
        <v>100628</v>
      </c>
      <c r="AD15" s="1"/>
      <c r="AE15" s="1"/>
    </row>
    <row r="16" spans="1:31" outlineLevel="1" x14ac:dyDescent="0.2">
      <c r="B16" s="28" t="s">
        <v>31</v>
      </c>
      <c r="C16" s="26"/>
      <c r="D16" s="26"/>
      <c r="E16" s="26"/>
      <c r="F16" s="26"/>
      <c r="G16" s="26"/>
      <c r="H16" s="26"/>
      <c r="I16" s="26"/>
      <c r="J16" s="26"/>
      <c r="K16" s="26"/>
      <c r="L16" s="26"/>
      <c r="M16" s="67">
        <v>-14703</v>
      </c>
      <c r="N16" s="67">
        <v>-10791</v>
      </c>
      <c r="O16" s="67">
        <v>-14068</v>
      </c>
      <c r="P16" s="67">
        <v>4406</v>
      </c>
      <c r="Q16" s="67">
        <v>181702</v>
      </c>
      <c r="T16" s="67">
        <v>-3780</v>
      </c>
      <c r="U16" s="67">
        <v>-3828</v>
      </c>
      <c r="V16" s="67">
        <v>14844</v>
      </c>
      <c r="W16" s="67">
        <v>-2830</v>
      </c>
      <c r="X16" s="67">
        <v>-2827</v>
      </c>
      <c r="Y16" s="67">
        <v>-1743</v>
      </c>
      <c r="Z16" s="67">
        <v>174247</v>
      </c>
      <c r="AA16" s="67">
        <v>12025</v>
      </c>
      <c r="AC16" s="67">
        <f t="shared" si="0"/>
        <v>181702</v>
      </c>
    </row>
    <row r="17" spans="1:31" s="24" customFormat="1" outlineLevel="1" x14ac:dyDescent="0.2">
      <c r="A17" s="21"/>
      <c r="B17" s="22" t="s">
        <v>32</v>
      </c>
      <c r="C17" s="23"/>
      <c r="D17" s="23"/>
      <c r="E17" s="23"/>
      <c r="F17" s="23"/>
      <c r="G17" s="23"/>
      <c r="H17" s="23"/>
      <c r="I17" s="23"/>
      <c r="J17" s="23"/>
      <c r="K17" s="23"/>
      <c r="L17" s="23"/>
      <c r="M17" s="66">
        <v>-525586</v>
      </c>
      <c r="N17" s="66">
        <v>-328352</v>
      </c>
      <c r="O17" s="66">
        <v>-89883</v>
      </c>
      <c r="P17" s="66">
        <v>-73694</v>
      </c>
      <c r="Q17" s="66">
        <v>282330</v>
      </c>
      <c r="R17" s="65"/>
      <c r="S17" s="65"/>
      <c r="T17" s="66">
        <v>-28736</v>
      </c>
      <c r="U17" s="66">
        <v>-86097</v>
      </c>
      <c r="V17" s="66">
        <v>-10655</v>
      </c>
      <c r="W17" s="66">
        <v>51794</v>
      </c>
      <c r="X17" s="66">
        <v>-22555</v>
      </c>
      <c r="Y17" s="66">
        <v>1584</v>
      </c>
      <c r="Z17" s="66">
        <v>198839</v>
      </c>
      <c r="AA17" s="66">
        <v>104462</v>
      </c>
      <c r="AB17" s="1"/>
      <c r="AC17" s="66">
        <f t="shared" si="0"/>
        <v>282330</v>
      </c>
      <c r="AD17" s="1"/>
      <c r="AE17" s="1"/>
    </row>
    <row r="18" spans="1:31" outlineLevel="1" x14ac:dyDescent="0.2">
      <c r="B18" s="28" t="s">
        <v>33</v>
      </c>
      <c r="C18" s="26"/>
      <c r="D18" s="26"/>
      <c r="E18" s="26"/>
      <c r="F18" s="26"/>
      <c r="G18" s="26"/>
      <c r="H18" s="26"/>
      <c r="I18" s="26"/>
      <c r="J18" s="26"/>
      <c r="K18" s="26"/>
      <c r="L18" s="26"/>
      <c r="M18" s="26">
        <v>454625</v>
      </c>
      <c r="N18" s="26">
        <v>548022</v>
      </c>
      <c r="O18" s="67">
        <v>563855</v>
      </c>
      <c r="P18" s="67">
        <v>559933</v>
      </c>
      <c r="Q18" s="67">
        <v>538125</v>
      </c>
      <c r="R18" s="65"/>
      <c r="S18" s="65"/>
      <c r="T18" s="67">
        <v>569925</v>
      </c>
      <c r="U18" s="67">
        <v>568042</v>
      </c>
      <c r="V18" s="67">
        <v>551036</v>
      </c>
      <c r="W18" s="67">
        <v>550948</v>
      </c>
      <c r="X18" s="67">
        <v>548451</v>
      </c>
      <c r="Y18" s="67">
        <v>536169</v>
      </c>
      <c r="Z18" s="67">
        <v>532255</v>
      </c>
      <c r="AA18" s="67">
        <v>535962</v>
      </c>
      <c r="AC18" s="67">
        <f>AVERAGE(X18:AA18)</f>
        <v>538209.25</v>
      </c>
    </row>
    <row r="19" spans="1:31" outlineLevel="1" x14ac:dyDescent="0.2">
      <c r="B19" s="28" t="s">
        <v>34</v>
      </c>
      <c r="C19" s="30">
        <f t="shared" ref="C19:Q19" si="12">C18*C$73</f>
        <v>0</v>
      </c>
      <c r="D19" s="30">
        <f t="shared" si="12"/>
        <v>0</v>
      </c>
      <c r="E19" s="30">
        <f t="shared" si="12"/>
        <v>0</v>
      </c>
      <c r="F19" s="30">
        <f t="shared" si="12"/>
        <v>0</v>
      </c>
      <c r="G19" s="30">
        <f t="shared" si="12"/>
        <v>0</v>
      </c>
      <c r="H19" s="30">
        <f t="shared" si="12"/>
        <v>0</v>
      </c>
      <c r="I19" s="30">
        <f t="shared" si="12"/>
        <v>0</v>
      </c>
      <c r="J19" s="30">
        <f t="shared" si="12"/>
        <v>0</v>
      </c>
      <c r="K19" s="30">
        <f t="shared" si="12"/>
        <v>0</v>
      </c>
      <c r="L19" s="30">
        <f t="shared" si="12"/>
        <v>0</v>
      </c>
      <c r="M19" s="30">
        <f t="shared" si="12"/>
        <v>454625</v>
      </c>
      <c r="N19" s="30">
        <f t="shared" si="12"/>
        <v>548022</v>
      </c>
      <c r="O19" s="30">
        <f t="shared" si="12"/>
        <v>563855</v>
      </c>
      <c r="P19" s="30">
        <f t="shared" si="12"/>
        <v>559933</v>
      </c>
      <c r="Q19" s="30">
        <f t="shared" si="12"/>
        <v>538125</v>
      </c>
      <c r="T19" s="30">
        <f t="shared" ref="T19:AA19" si="13">T18*T$73</f>
        <v>569925</v>
      </c>
      <c r="U19" s="30">
        <f t="shared" si="13"/>
        <v>568042</v>
      </c>
      <c r="V19" s="30">
        <f t="shared" si="13"/>
        <v>551036</v>
      </c>
      <c r="W19" s="30">
        <f t="shared" si="13"/>
        <v>550948</v>
      </c>
      <c r="X19" s="30">
        <f t="shared" si="13"/>
        <v>548451</v>
      </c>
      <c r="Y19" s="30">
        <f t="shared" si="13"/>
        <v>536169</v>
      </c>
      <c r="Z19" s="30">
        <f t="shared" si="13"/>
        <v>532255</v>
      </c>
      <c r="AA19" s="30">
        <f t="shared" si="13"/>
        <v>535962</v>
      </c>
      <c r="AC19" s="30">
        <f>AC18*AC$73</f>
        <v>538209.25</v>
      </c>
    </row>
    <row r="20" spans="1:31" outlineLevel="1" x14ac:dyDescent="0.2">
      <c r="B20" s="28" t="s">
        <v>35</v>
      </c>
      <c r="C20" s="26"/>
      <c r="D20" s="26"/>
      <c r="E20" s="26"/>
      <c r="F20" s="26"/>
      <c r="G20" s="26"/>
      <c r="H20" s="26"/>
      <c r="I20" s="26"/>
      <c r="J20" s="26"/>
      <c r="K20" s="26"/>
      <c r="L20" s="26"/>
      <c r="M20" s="26">
        <v>454625</v>
      </c>
      <c r="N20" s="26">
        <v>548022</v>
      </c>
      <c r="O20" s="67">
        <v>653855</v>
      </c>
      <c r="P20" s="67">
        <v>559933</v>
      </c>
      <c r="Q20" s="67">
        <v>544860</v>
      </c>
      <c r="T20" s="67">
        <v>569925</v>
      </c>
      <c r="U20" s="67">
        <v>568042</v>
      </c>
      <c r="V20" s="67">
        <v>551036</v>
      </c>
      <c r="W20" s="67">
        <v>555373</v>
      </c>
      <c r="X20" s="67">
        <v>548451</v>
      </c>
      <c r="Y20" s="67">
        <v>542865</v>
      </c>
      <c r="Z20" s="67">
        <v>539018</v>
      </c>
      <c r="AA20" s="67">
        <v>545284</v>
      </c>
      <c r="AC20" s="67">
        <f>AVERAGE(X20:AA20)</f>
        <v>543904.5</v>
      </c>
    </row>
    <row r="21" spans="1:31" outlineLevel="1" x14ac:dyDescent="0.2">
      <c r="B21" s="28" t="s">
        <v>36</v>
      </c>
      <c r="C21" s="30">
        <f t="shared" ref="C21:Q21" si="14">C20*C$73</f>
        <v>0</v>
      </c>
      <c r="D21" s="30">
        <f t="shared" si="14"/>
        <v>0</v>
      </c>
      <c r="E21" s="30">
        <f t="shared" si="14"/>
        <v>0</v>
      </c>
      <c r="F21" s="30">
        <f t="shared" si="14"/>
        <v>0</v>
      </c>
      <c r="G21" s="30">
        <f t="shared" si="14"/>
        <v>0</v>
      </c>
      <c r="H21" s="30">
        <f t="shared" si="14"/>
        <v>0</v>
      </c>
      <c r="I21" s="30">
        <f t="shared" si="14"/>
        <v>0</v>
      </c>
      <c r="J21" s="30">
        <f t="shared" si="14"/>
        <v>0</v>
      </c>
      <c r="K21" s="30">
        <f t="shared" si="14"/>
        <v>0</v>
      </c>
      <c r="L21" s="30">
        <f t="shared" si="14"/>
        <v>0</v>
      </c>
      <c r="M21" s="30">
        <f t="shared" si="14"/>
        <v>454625</v>
      </c>
      <c r="N21" s="30">
        <f t="shared" si="14"/>
        <v>548022</v>
      </c>
      <c r="O21" s="30">
        <f t="shared" si="14"/>
        <v>653855</v>
      </c>
      <c r="P21" s="30">
        <f t="shared" si="14"/>
        <v>559933</v>
      </c>
      <c r="Q21" s="30">
        <f t="shared" si="14"/>
        <v>544860</v>
      </c>
      <c r="T21" s="30">
        <f t="shared" ref="T21:AA21" si="15">T20*T$73</f>
        <v>569925</v>
      </c>
      <c r="U21" s="30">
        <f t="shared" si="15"/>
        <v>568042</v>
      </c>
      <c r="V21" s="30">
        <f t="shared" si="15"/>
        <v>551036</v>
      </c>
      <c r="W21" s="30">
        <f t="shared" si="15"/>
        <v>555373</v>
      </c>
      <c r="X21" s="30">
        <f t="shared" si="15"/>
        <v>548451</v>
      </c>
      <c r="Y21" s="30">
        <f t="shared" si="15"/>
        <v>542865</v>
      </c>
      <c r="Z21" s="30">
        <f t="shared" si="15"/>
        <v>539018</v>
      </c>
      <c r="AA21" s="30">
        <f t="shared" si="15"/>
        <v>545284</v>
      </c>
      <c r="AC21" s="30">
        <f>AC20*AC$73</f>
        <v>543904.5</v>
      </c>
    </row>
    <row r="22" spans="1:31" outlineLevel="1" x14ac:dyDescent="0.2">
      <c r="B22" s="28" t="s">
        <v>37</v>
      </c>
      <c r="C22" s="31"/>
      <c r="D22" s="31"/>
      <c r="E22" s="31"/>
      <c r="F22" s="31"/>
      <c r="G22" s="31"/>
      <c r="H22" s="31"/>
      <c r="I22" s="31"/>
      <c r="J22" s="31"/>
      <c r="K22" s="31"/>
      <c r="L22" s="31"/>
      <c r="M22" s="68">
        <v>-1.1599999999999999</v>
      </c>
      <c r="N22" s="68">
        <v>-0.6</v>
      </c>
      <c r="O22" s="68">
        <v>-0.16</v>
      </c>
      <c r="P22" s="68">
        <v>-0.13</v>
      </c>
      <c r="Q22" s="31">
        <v>0.52</v>
      </c>
      <c r="T22" s="72">
        <v>-0.05</v>
      </c>
      <c r="U22" s="68">
        <v>-0.15</v>
      </c>
      <c r="V22" s="68">
        <v>-0.02</v>
      </c>
      <c r="W22" s="31">
        <v>0.09</v>
      </c>
      <c r="X22" s="68">
        <v>-0.04</v>
      </c>
      <c r="Y22" s="31">
        <v>0</v>
      </c>
      <c r="Z22" s="31">
        <v>0.37</v>
      </c>
      <c r="AA22" s="31">
        <v>0.19</v>
      </c>
      <c r="AC22" s="31">
        <f>SUM(X22:AA22)</f>
        <v>0.52</v>
      </c>
    </row>
    <row r="23" spans="1:31" outlineLevel="1" x14ac:dyDescent="0.2">
      <c r="B23" s="28" t="s">
        <v>38</v>
      </c>
      <c r="C23" s="32" t="e">
        <f t="shared" ref="C23:Q23" si="16">C22/C$73</f>
        <v>#DIV/0!</v>
      </c>
      <c r="D23" s="32" t="e">
        <f t="shared" si="16"/>
        <v>#DIV/0!</v>
      </c>
      <c r="E23" s="32" t="e">
        <f t="shared" si="16"/>
        <v>#DIV/0!</v>
      </c>
      <c r="F23" s="32" t="e">
        <f t="shared" si="16"/>
        <v>#DIV/0!</v>
      </c>
      <c r="G23" s="32" t="e">
        <f t="shared" si="16"/>
        <v>#DIV/0!</v>
      </c>
      <c r="H23" s="32" t="e">
        <f t="shared" si="16"/>
        <v>#DIV/0!</v>
      </c>
      <c r="I23" s="32" t="e">
        <f t="shared" si="16"/>
        <v>#DIV/0!</v>
      </c>
      <c r="J23" s="32" t="e">
        <f t="shared" si="16"/>
        <v>#DIV/0!</v>
      </c>
      <c r="K23" s="32" t="e">
        <f t="shared" si="16"/>
        <v>#DIV/0!</v>
      </c>
      <c r="L23" s="32" t="e">
        <f t="shared" si="16"/>
        <v>#DIV/0!</v>
      </c>
      <c r="M23" s="70">
        <f t="shared" si="16"/>
        <v>-1.1599999999999999</v>
      </c>
      <c r="N23" s="70">
        <f t="shared" si="16"/>
        <v>-0.6</v>
      </c>
      <c r="O23" s="70">
        <f t="shared" si="16"/>
        <v>-0.16</v>
      </c>
      <c r="P23" s="70">
        <f t="shared" si="16"/>
        <v>-0.13</v>
      </c>
      <c r="Q23" s="70">
        <f t="shared" si="16"/>
        <v>0.52</v>
      </c>
      <c r="T23" s="70">
        <f t="shared" ref="T23:AA23" si="17">T22/T$73</f>
        <v>-0.05</v>
      </c>
      <c r="U23" s="70">
        <f t="shared" si="17"/>
        <v>-0.15</v>
      </c>
      <c r="V23" s="70">
        <f t="shared" si="17"/>
        <v>-0.02</v>
      </c>
      <c r="W23" s="70">
        <f t="shared" si="17"/>
        <v>0.09</v>
      </c>
      <c r="X23" s="70">
        <f t="shared" si="17"/>
        <v>-0.04</v>
      </c>
      <c r="Y23" s="70">
        <f t="shared" si="17"/>
        <v>0</v>
      </c>
      <c r="Z23" s="70">
        <f t="shared" si="17"/>
        <v>0.37</v>
      </c>
      <c r="AA23" s="70">
        <f t="shared" si="17"/>
        <v>0.19</v>
      </c>
      <c r="AC23" s="70">
        <f>AC22/AC$73</f>
        <v>0.52</v>
      </c>
    </row>
    <row r="24" spans="1:31" outlineLevel="1" x14ac:dyDescent="0.2">
      <c r="B24" s="28" t="s">
        <v>39</v>
      </c>
      <c r="C24" s="31"/>
      <c r="D24" s="31"/>
      <c r="E24" s="31"/>
      <c r="F24" s="31"/>
      <c r="G24" s="31"/>
      <c r="H24" s="31"/>
      <c r="I24" s="31"/>
      <c r="J24" s="31"/>
      <c r="K24" s="31"/>
      <c r="L24" s="31"/>
      <c r="M24" s="68">
        <v>-1.1599999999999999</v>
      </c>
      <c r="N24" s="68">
        <v>-0.6</v>
      </c>
      <c r="O24" s="68">
        <v>-0.16</v>
      </c>
      <c r="P24" s="68">
        <v>-0.13</v>
      </c>
      <c r="Q24" s="31">
        <v>0.52</v>
      </c>
      <c r="T24" s="72">
        <v>-0.05</v>
      </c>
      <c r="U24" s="68">
        <v>-0.15</v>
      </c>
      <c r="V24" s="68">
        <v>-0.02</v>
      </c>
      <c r="W24" s="31">
        <v>0.09</v>
      </c>
      <c r="X24" s="68">
        <v>-0.04</v>
      </c>
      <c r="Y24" s="31">
        <v>0</v>
      </c>
      <c r="Z24" s="31">
        <v>0.37</v>
      </c>
      <c r="AA24" s="31">
        <v>0.19</v>
      </c>
      <c r="AC24" s="31">
        <f>SUM(X24:AA24)</f>
        <v>0.52</v>
      </c>
    </row>
    <row r="25" spans="1:31" s="35" customFormat="1" ht="17" outlineLevel="1" thickBot="1" x14ac:dyDescent="0.25">
      <c r="A25" s="1"/>
      <c r="B25" s="33" t="s">
        <v>40</v>
      </c>
      <c r="C25" s="34" t="e">
        <f t="shared" ref="C25:Q25" si="18">C24/C$73</f>
        <v>#DIV/0!</v>
      </c>
      <c r="D25" s="34" t="e">
        <f t="shared" si="18"/>
        <v>#DIV/0!</v>
      </c>
      <c r="E25" s="34" t="e">
        <f t="shared" si="18"/>
        <v>#DIV/0!</v>
      </c>
      <c r="F25" s="34" t="e">
        <f t="shared" si="18"/>
        <v>#DIV/0!</v>
      </c>
      <c r="G25" s="34" t="e">
        <f t="shared" si="18"/>
        <v>#DIV/0!</v>
      </c>
      <c r="H25" s="34" t="e">
        <f t="shared" si="18"/>
        <v>#DIV/0!</v>
      </c>
      <c r="I25" s="34" t="e">
        <f t="shared" si="18"/>
        <v>#DIV/0!</v>
      </c>
      <c r="J25" s="34" t="e">
        <f t="shared" si="18"/>
        <v>#DIV/0!</v>
      </c>
      <c r="K25" s="34" t="e">
        <f t="shared" si="18"/>
        <v>#DIV/0!</v>
      </c>
      <c r="L25" s="34" t="e">
        <f t="shared" si="18"/>
        <v>#DIV/0!</v>
      </c>
      <c r="M25" s="71">
        <f t="shared" si="18"/>
        <v>-1.1599999999999999</v>
      </c>
      <c r="N25" s="71">
        <f t="shared" si="18"/>
        <v>-0.6</v>
      </c>
      <c r="O25" s="71">
        <f t="shared" si="18"/>
        <v>-0.16</v>
      </c>
      <c r="P25" s="71">
        <f t="shared" si="18"/>
        <v>-0.13</v>
      </c>
      <c r="Q25" s="71">
        <f t="shared" si="18"/>
        <v>0.52</v>
      </c>
      <c r="T25" s="71">
        <f t="shared" ref="T25:AA25" si="19">T24/T$73</f>
        <v>-0.05</v>
      </c>
      <c r="U25" s="71">
        <f t="shared" si="19"/>
        <v>-0.15</v>
      </c>
      <c r="V25" s="71">
        <f t="shared" si="19"/>
        <v>-0.02</v>
      </c>
      <c r="W25" s="71">
        <f t="shared" si="19"/>
        <v>0.09</v>
      </c>
      <c r="X25" s="71">
        <f t="shared" si="19"/>
        <v>-0.04</v>
      </c>
      <c r="Y25" s="71">
        <f t="shared" si="19"/>
        <v>0</v>
      </c>
      <c r="Z25" s="71">
        <f t="shared" si="19"/>
        <v>0.37</v>
      </c>
      <c r="AA25" s="71">
        <f t="shared" si="19"/>
        <v>0.19</v>
      </c>
      <c r="AB25" s="1"/>
      <c r="AC25" s="71">
        <f>AC24/AC$73</f>
        <v>0.52</v>
      </c>
      <c r="AD25" s="1"/>
      <c r="AE25" s="1"/>
    </row>
    <row r="26" spans="1:31" s="35" customFormat="1" ht="17" thickBot="1" x14ac:dyDescent="0.25">
      <c r="A26" s="1"/>
      <c r="B26" s="36"/>
      <c r="J26" s="36"/>
      <c r="K26" s="36"/>
      <c r="L26" s="36"/>
      <c r="M26" s="36"/>
      <c r="N26" s="36"/>
      <c r="O26" s="36"/>
      <c r="P26" s="36"/>
      <c r="R26" s="1"/>
      <c r="S26" s="1"/>
      <c r="AB26" s="1"/>
      <c r="AD26" s="1"/>
      <c r="AE26" s="1"/>
    </row>
    <row r="27" spans="1:31" s="20" customFormat="1" ht="17" thickBot="1" x14ac:dyDescent="0.25">
      <c r="A27" s="16"/>
      <c r="B27" s="19" t="s">
        <v>41</v>
      </c>
      <c r="R27" s="1"/>
      <c r="S27" s="1"/>
      <c r="AB27" s="1"/>
      <c r="AD27" s="1"/>
      <c r="AE27" s="1"/>
    </row>
    <row r="28" spans="1:31" outlineLevel="1" x14ac:dyDescent="0.2">
      <c r="B28" s="25" t="s">
        <v>42</v>
      </c>
      <c r="C28" s="26"/>
      <c r="D28" s="26"/>
      <c r="E28" s="26"/>
      <c r="F28" s="26"/>
      <c r="G28" s="26"/>
      <c r="H28" s="26"/>
      <c r="I28" s="26"/>
      <c r="J28" s="26"/>
      <c r="K28" s="26"/>
      <c r="L28" s="26"/>
      <c r="M28" s="26">
        <f>1768723+96417</f>
        <v>1865140</v>
      </c>
      <c r="N28" s="26">
        <f>1402119+354774</f>
        <v>1756893</v>
      </c>
      <c r="O28" s="26">
        <f>1061678+818145</f>
        <v>1879823</v>
      </c>
      <c r="P28" s="26">
        <f>879196+750322</f>
        <v>1629518</v>
      </c>
      <c r="Q28" s="26">
        <f>871157+601329</f>
        <v>1472486</v>
      </c>
      <c r="T28" s="26">
        <f>1146618+788920</f>
        <v>1935538</v>
      </c>
      <c r="U28" s="26">
        <f>939313+804061</f>
        <v>1743374</v>
      </c>
      <c r="V28" s="26">
        <f>773630+795411</f>
        <v>1569041</v>
      </c>
      <c r="W28" s="26">
        <f>879196+750322</f>
        <v>1629518</v>
      </c>
      <c r="X28" s="26">
        <f>700641+854392</f>
        <v>1555033</v>
      </c>
      <c r="Y28" s="26">
        <f>628617+818870</f>
        <v>1447487</v>
      </c>
      <c r="Z28" s="26">
        <f>743660+654526</f>
        <v>1398186</v>
      </c>
      <c r="AA28" s="26">
        <f>871157+601329</f>
        <v>1472486</v>
      </c>
      <c r="AC28" s="26">
        <f>AA28</f>
        <v>1472486</v>
      </c>
    </row>
    <row r="29" spans="1:31" outlineLevel="1" x14ac:dyDescent="0.2">
      <c r="B29" s="25" t="s">
        <v>43</v>
      </c>
      <c r="C29" s="26"/>
      <c r="D29" s="26"/>
      <c r="E29" s="26"/>
      <c r="F29" s="26"/>
      <c r="G29" s="26"/>
      <c r="H29" s="26"/>
      <c r="I29" s="26"/>
      <c r="J29" s="26"/>
      <c r="K29" s="26"/>
      <c r="L29" s="26"/>
      <c r="M29" s="26">
        <f>251988+74831</f>
        <v>326819</v>
      </c>
      <c r="N29" s="26">
        <f>374217+69260</f>
        <v>443477</v>
      </c>
      <c r="O29" s="26">
        <f>436296+84197</f>
        <v>520493</v>
      </c>
      <c r="P29" s="26">
        <f>451131+88735</f>
        <v>539866</v>
      </c>
      <c r="Q29" s="26">
        <f>488265+92440</f>
        <v>580705</v>
      </c>
      <c r="T29" s="26">
        <f>270621+88146</f>
        <v>358767</v>
      </c>
      <c r="U29" s="26">
        <f>267706+101107</f>
        <v>368813</v>
      </c>
      <c r="V29" s="26">
        <f>336137+109918</f>
        <v>446055</v>
      </c>
      <c r="W29" s="26">
        <f>451131+88735</f>
        <v>539866</v>
      </c>
      <c r="X29" s="26">
        <f>266619+103150</f>
        <v>369769</v>
      </c>
      <c r="Y29" s="26">
        <f>269810+117418</f>
        <v>387228</v>
      </c>
      <c r="Z29" s="26">
        <f>366757+129335</f>
        <v>496092</v>
      </c>
      <c r="AA29" s="26">
        <f>488265+92440</f>
        <v>580705</v>
      </c>
      <c r="AC29" s="26">
        <f t="shared" ref="AC29:AC44" si="20">AA29</f>
        <v>580705</v>
      </c>
    </row>
    <row r="30" spans="1:31" s="39" customFormat="1" outlineLevel="1" x14ac:dyDescent="0.2">
      <c r="A30" s="21"/>
      <c r="B30" s="37" t="s">
        <v>44</v>
      </c>
      <c r="C30" s="38"/>
      <c r="D30" s="38"/>
      <c r="E30" s="38"/>
      <c r="F30" s="38"/>
      <c r="G30" s="38"/>
      <c r="H30" s="38"/>
      <c r="I30" s="38"/>
      <c r="J30" s="38"/>
      <c r="K30" s="38"/>
      <c r="L30" s="38"/>
      <c r="M30" s="38">
        <v>2277301</v>
      </c>
      <c r="N30" s="38">
        <v>2344407</v>
      </c>
      <c r="O30" s="38">
        <v>2580412</v>
      </c>
      <c r="P30" s="38">
        <v>2338559</v>
      </c>
      <c r="Q30" s="38">
        <v>2243945</v>
      </c>
      <c r="R30" s="1"/>
      <c r="S30" s="1"/>
      <c r="T30" s="38">
        <v>2469198</v>
      </c>
      <c r="U30" s="38">
        <v>2274334</v>
      </c>
      <c r="V30" s="38">
        <v>2176478</v>
      </c>
      <c r="W30" s="38">
        <v>2338559</v>
      </c>
      <c r="X30" s="38">
        <v>2109669</v>
      </c>
      <c r="Y30" s="38">
        <v>2030736</v>
      </c>
      <c r="Z30" s="38">
        <v>2093343</v>
      </c>
      <c r="AA30" s="38">
        <v>2243945</v>
      </c>
      <c r="AB30" s="1"/>
      <c r="AC30" s="38">
        <f t="shared" si="20"/>
        <v>2243945</v>
      </c>
      <c r="AD30" s="1"/>
      <c r="AE30" s="1"/>
    </row>
    <row r="31" spans="1:31" outlineLevel="1" x14ac:dyDescent="0.2">
      <c r="B31" s="25" t="s">
        <v>45</v>
      </c>
      <c r="C31" s="26"/>
      <c r="D31" s="26"/>
      <c r="E31" s="26"/>
      <c r="F31" s="26"/>
      <c r="G31" s="26"/>
      <c r="H31" s="26"/>
      <c r="I31" s="26"/>
      <c r="J31" s="26"/>
      <c r="K31" s="26"/>
      <c r="L31" s="26"/>
      <c r="M31" s="26">
        <v>17176</v>
      </c>
      <c r="N31" s="26">
        <v>29045</v>
      </c>
      <c r="O31" s="26">
        <v>23982</v>
      </c>
      <c r="P31" s="26">
        <v>32740</v>
      </c>
      <c r="Q31" s="26">
        <v>46014</v>
      </c>
      <c r="T31" s="26">
        <v>22741</v>
      </c>
      <c r="U31" s="26">
        <v>22040</v>
      </c>
      <c r="V31" s="26">
        <v>25132</v>
      </c>
      <c r="W31" s="26">
        <v>32740</v>
      </c>
      <c r="X31" s="26">
        <v>41964</v>
      </c>
      <c r="Y31" s="26">
        <v>41545</v>
      </c>
      <c r="Z31" s="26">
        <v>44604</v>
      </c>
      <c r="AA31" s="26">
        <v>46014</v>
      </c>
      <c r="AC31" s="26">
        <f t="shared" si="20"/>
        <v>46014</v>
      </c>
    </row>
    <row r="32" spans="1:31" outlineLevel="1" x14ac:dyDescent="0.2">
      <c r="B32" s="25" t="s">
        <v>46</v>
      </c>
      <c r="C32" s="26"/>
      <c r="D32" s="26"/>
      <c r="E32" s="26"/>
      <c r="F32" s="26"/>
      <c r="G32" s="26"/>
      <c r="H32" s="26"/>
      <c r="I32" s="26"/>
      <c r="J32" s="26"/>
      <c r="K32" s="26"/>
      <c r="L32" s="26"/>
      <c r="M32" s="26">
        <v>53564</v>
      </c>
      <c r="N32" s="26">
        <v>88010</v>
      </c>
      <c r="O32" s="26">
        <v>89026</v>
      </c>
      <c r="P32" s="26">
        <v>87304</v>
      </c>
      <c r="Q32" s="26">
        <v>125310</v>
      </c>
      <c r="T32" s="26">
        <v>88384</v>
      </c>
      <c r="U32" s="26">
        <v>89530</v>
      </c>
      <c r="V32" s="26">
        <v>89864</v>
      </c>
      <c r="W32" s="26">
        <v>87304</v>
      </c>
      <c r="X32" s="26">
        <v>121371</v>
      </c>
      <c r="Y32" s="26">
        <v>120800</v>
      </c>
      <c r="Z32" s="26">
        <v>120625</v>
      </c>
      <c r="AA32" s="26">
        <v>125310</v>
      </c>
      <c r="AC32" s="26">
        <f t="shared" si="20"/>
        <v>125310</v>
      </c>
    </row>
    <row r="33" spans="1:31" s="39" customFormat="1" outlineLevel="1" x14ac:dyDescent="0.2">
      <c r="A33" s="21"/>
      <c r="B33" s="37" t="s">
        <v>47</v>
      </c>
      <c r="C33" s="40"/>
      <c r="D33" s="40"/>
      <c r="E33" s="40"/>
      <c r="F33" s="40"/>
      <c r="G33" s="40"/>
      <c r="H33" s="40"/>
      <c r="I33" s="40"/>
      <c r="J33" s="40"/>
      <c r="K33" s="40"/>
      <c r="L33" s="40"/>
      <c r="M33" s="40">
        <f t="shared" ref="M33:O33" si="21">M34-M30</f>
        <v>295149</v>
      </c>
      <c r="N33" s="40">
        <f t="shared" si="21"/>
        <v>390799</v>
      </c>
      <c r="O33" s="40">
        <f t="shared" si="21"/>
        <v>374346</v>
      </c>
      <c r="P33" s="40">
        <f>P34-P30</f>
        <v>526711</v>
      </c>
      <c r="Q33" s="40">
        <f>Q34-Q30</f>
        <v>935255</v>
      </c>
      <c r="R33" s="1"/>
      <c r="S33" s="1"/>
      <c r="T33" s="40">
        <f t="shared" ref="T33:AA33" si="22">T34-T30</f>
        <v>375778</v>
      </c>
      <c r="U33" s="40">
        <f t="shared" si="22"/>
        <v>426999</v>
      </c>
      <c r="V33" s="40">
        <f t="shared" si="22"/>
        <v>486813</v>
      </c>
      <c r="W33" s="40">
        <f t="shared" si="22"/>
        <v>526711</v>
      </c>
      <c r="X33" s="40">
        <f t="shared" si="22"/>
        <v>534773</v>
      </c>
      <c r="Y33" s="40">
        <f t="shared" si="22"/>
        <v>561581</v>
      </c>
      <c r="Z33" s="40">
        <f t="shared" si="22"/>
        <v>802633</v>
      </c>
      <c r="AA33" s="40">
        <f t="shared" si="22"/>
        <v>935255</v>
      </c>
      <c r="AB33" s="1"/>
      <c r="AC33" s="40">
        <f t="shared" si="20"/>
        <v>935255</v>
      </c>
      <c r="AD33" s="1"/>
      <c r="AE33" s="1"/>
    </row>
    <row r="34" spans="1:31" s="24" customFormat="1" outlineLevel="1" x14ac:dyDescent="0.2">
      <c r="A34" s="21"/>
      <c r="B34" s="22" t="s">
        <v>48</v>
      </c>
      <c r="C34" s="23"/>
      <c r="D34" s="23"/>
      <c r="E34" s="23"/>
      <c r="F34" s="23"/>
      <c r="G34" s="23"/>
      <c r="H34" s="23"/>
      <c r="I34" s="23"/>
      <c r="J34" s="23"/>
      <c r="K34" s="23"/>
      <c r="L34" s="23"/>
      <c r="M34" s="23">
        <v>2572450</v>
      </c>
      <c r="N34" s="23">
        <v>2735206</v>
      </c>
      <c r="O34" s="23">
        <v>2954758</v>
      </c>
      <c r="P34" s="23">
        <v>2865270</v>
      </c>
      <c r="Q34" s="23">
        <v>3179200</v>
      </c>
      <c r="R34" s="1"/>
      <c r="S34" s="1"/>
      <c r="T34" s="23">
        <v>2844976</v>
      </c>
      <c r="U34" s="23">
        <v>2701333</v>
      </c>
      <c r="V34" s="23">
        <v>2663291</v>
      </c>
      <c r="W34" s="23">
        <v>2865270</v>
      </c>
      <c r="X34" s="23">
        <v>2644442</v>
      </c>
      <c r="Y34" s="23">
        <v>2592317</v>
      </c>
      <c r="Z34" s="23">
        <v>2895976</v>
      </c>
      <c r="AA34" s="23">
        <v>3179200</v>
      </c>
      <c r="AB34" s="1"/>
      <c r="AC34" s="23">
        <f t="shared" si="20"/>
        <v>3179200</v>
      </c>
      <c r="AD34" s="1"/>
      <c r="AE34" s="1"/>
    </row>
    <row r="35" spans="1:31" outlineLevel="1" x14ac:dyDescent="0.2">
      <c r="B35" s="25" t="s">
        <v>49</v>
      </c>
      <c r="C35" s="26"/>
      <c r="D35" s="26"/>
      <c r="E35" s="26"/>
      <c r="F35" s="26"/>
      <c r="G35" s="26"/>
      <c r="H35" s="26"/>
      <c r="I35" s="26"/>
      <c r="J35" s="26"/>
      <c r="K35" s="26"/>
      <c r="L35" s="26"/>
      <c r="M35" s="26">
        <v>11515</v>
      </c>
      <c r="N35" s="26">
        <v>8891</v>
      </c>
      <c r="O35" s="26">
        <v>3447</v>
      </c>
      <c r="P35" s="26">
        <v>33178</v>
      </c>
      <c r="Q35" s="26">
        <v>10161</v>
      </c>
      <c r="T35" s="26">
        <v>6864</v>
      </c>
      <c r="U35" s="26">
        <v>9910</v>
      </c>
      <c r="V35" s="26">
        <v>18426</v>
      </c>
      <c r="W35" s="26">
        <v>33178</v>
      </c>
      <c r="X35" s="26">
        <v>16885</v>
      </c>
      <c r="Y35" s="26">
        <v>19743</v>
      </c>
      <c r="Z35" s="26">
        <v>14280</v>
      </c>
      <c r="AA35" s="26">
        <v>10161</v>
      </c>
      <c r="AC35" s="26">
        <f t="shared" si="20"/>
        <v>10161</v>
      </c>
    </row>
    <row r="36" spans="1:31" s="39" customFormat="1" outlineLevel="1" x14ac:dyDescent="0.2">
      <c r="A36" s="21"/>
      <c r="B36" s="37" t="s">
        <v>51</v>
      </c>
      <c r="C36" s="38"/>
      <c r="D36" s="38"/>
      <c r="E36" s="38"/>
      <c r="F36" s="38"/>
      <c r="G36" s="38"/>
      <c r="H36" s="38"/>
      <c r="I36" s="38"/>
      <c r="J36" s="38"/>
      <c r="K36" s="38"/>
      <c r="L36" s="38"/>
      <c r="M36" s="38">
        <v>527501</v>
      </c>
      <c r="N36" s="38">
        <v>626452</v>
      </c>
      <c r="O36" s="38">
        <v>711691</v>
      </c>
      <c r="P36" s="38">
        <v>798920</v>
      </c>
      <c r="Q36" s="38">
        <v>905423</v>
      </c>
      <c r="R36" s="65"/>
      <c r="S36" s="65"/>
      <c r="T36" s="38">
        <v>597536</v>
      </c>
      <c r="U36" s="38">
        <v>632503</v>
      </c>
      <c r="V36" s="38">
        <v>695473</v>
      </c>
      <c r="W36" s="38">
        <v>798920</v>
      </c>
      <c r="X36" s="38">
        <v>715867</v>
      </c>
      <c r="Y36" s="38">
        <v>738417</v>
      </c>
      <c r="Z36" s="38">
        <v>788700</v>
      </c>
      <c r="AA36" s="38">
        <v>905423</v>
      </c>
      <c r="AB36" s="1"/>
      <c r="AC36" s="38">
        <f t="shared" si="20"/>
        <v>905423</v>
      </c>
      <c r="AD36" s="1"/>
      <c r="AE36" s="1"/>
    </row>
    <row r="37" spans="1:31" outlineLevel="1" x14ac:dyDescent="0.2">
      <c r="B37" s="25" t="s">
        <v>50</v>
      </c>
      <c r="C37" s="26"/>
      <c r="D37" s="26"/>
      <c r="E37" s="26"/>
      <c r="F37" s="26"/>
      <c r="G37" s="26"/>
      <c r="H37" s="26"/>
      <c r="I37" s="26"/>
      <c r="J37" s="26"/>
      <c r="K37" s="26"/>
      <c r="L37" s="26"/>
      <c r="M37" s="26">
        <v>49843</v>
      </c>
      <c r="N37" s="26">
        <v>56442</v>
      </c>
      <c r="O37" s="26">
        <v>58713</v>
      </c>
      <c r="P37" s="26">
        <v>74230</v>
      </c>
      <c r="Q37" s="26">
        <v>70940</v>
      </c>
      <c r="T37" s="26">
        <v>62772</v>
      </c>
      <c r="U37" s="26">
        <v>78166</v>
      </c>
      <c r="V37" s="26">
        <v>76798</v>
      </c>
      <c r="W37" s="26">
        <v>74230</v>
      </c>
      <c r="X37" s="26">
        <v>73433</v>
      </c>
      <c r="Y37" s="26">
        <v>72623</v>
      </c>
      <c r="Z37" s="26">
        <v>72016</v>
      </c>
      <c r="AA37" s="26">
        <v>70940</v>
      </c>
      <c r="AC37" s="26">
        <f t="shared" si="20"/>
        <v>70940</v>
      </c>
    </row>
    <row r="38" spans="1:31" s="39" customFormat="1" outlineLevel="1" x14ac:dyDescent="0.2">
      <c r="A38" s="21"/>
      <c r="B38" s="37" t="s">
        <v>52</v>
      </c>
      <c r="C38" s="40"/>
      <c r="D38" s="40"/>
      <c r="E38" s="40"/>
      <c r="F38" s="40"/>
      <c r="G38" s="40"/>
      <c r="H38" s="40"/>
      <c r="I38" s="40"/>
      <c r="J38" s="40"/>
      <c r="K38" s="40"/>
      <c r="L38" s="40"/>
      <c r="M38" s="40">
        <f t="shared" ref="M38:O38" si="23">M39-M36</f>
        <v>123032</v>
      </c>
      <c r="N38" s="40">
        <f t="shared" si="23"/>
        <v>188596</v>
      </c>
      <c r="O38" s="40">
        <f t="shared" si="23"/>
        <v>226953</v>
      </c>
      <c r="P38" s="40">
        <f>P39-P36</f>
        <v>220588</v>
      </c>
      <c r="Q38" s="40">
        <f>Q39-Q36</f>
        <v>191190</v>
      </c>
      <c r="R38" s="1"/>
      <c r="S38" s="1"/>
      <c r="T38" s="40">
        <f t="shared" ref="T38:AA38" si="24">T39-T36</f>
        <v>220436</v>
      </c>
      <c r="U38" s="40">
        <f t="shared" si="24"/>
        <v>235249</v>
      </c>
      <c r="V38" s="40">
        <f t="shared" si="24"/>
        <v>235973</v>
      </c>
      <c r="W38" s="40">
        <f t="shared" si="24"/>
        <v>220588</v>
      </c>
      <c r="X38" s="40">
        <f t="shared" si="24"/>
        <v>230114</v>
      </c>
      <c r="Y38" s="40">
        <f t="shared" si="24"/>
        <v>188197</v>
      </c>
      <c r="Z38" s="40">
        <f t="shared" si="24"/>
        <v>182659</v>
      </c>
      <c r="AA38" s="40">
        <f t="shared" si="24"/>
        <v>191190</v>
      </c>
      <c r="AB38" s="1"/>
      <c r="AC38" s="40">
        <f t="shared" si="20"/>
        <v>191190</v>
      </c>
      <c r="AD38" s="1"/>
      <c r="AE38" s="1"/>
    </row>
    <row r="39" spans="1:31" s="24" customFormat="1" outlineLevel="1" x14ac:dyDescent="0.2">
      <c r="A39" s="21"/>
      <c r="B39" s="22" t="s">
        <v>53</v>
      </c>
      <c r="C39" s="23"/>
      <c r="D39" s="23"/>
      <c r="E39" s="23"/>
      <c r="F39" s="23"/>
      <c r="G39" s="23"/>
      <c r="H39" s="23"/>
      <c r="I39" s="23"/>
      <c r="J39" s="23"/>
      <c r="K39" s="23"/>
      <c r="L39" s="23"/>
      <c r="M39" s="23">
        <v>650533</v>
      </c>
      <c r="N39" s="23">
        <v>815048</v>
      </c>
      <c r="O39" s="23">
        <v>938644</v>
      </c>
      <c r="P39" s="23">
        <v>1019508</v>
      </c>
      <c r="Q39" s="23">
        <v>1096613</v>
      </c>
      <c r="R39" s="1"/>
      <c r="S39" s="1"/>
      <c r="T39" s="23">
        <v>817972</v>
      </c>
      <c r="U39" s="23">
        <v>867752</v>
      </c>
      <c r="V39" s="23">
        <v>931446</v>
      </c>
      <c r="W39" s="23">
        <v>1019508</v>
      </c>
      <c r="X39" s="23">
        <v>945981</v>
      </c>
      <c r="Y39" s="23">
        <v>926614</v>
      </c>
      <c r="Z39" s="23">
        <v>971359</v>
      </c>
      <c r="AA39" s="23">
        <v>1096613</v>
      </c>
      <c r="AB39" s="1"/>
      <c r="AC39" s="23">
        <f t="shared" si="20"/>
        <v>1096613</v>
      </c>
      <c r="AD39" s="1"/>
      <c r="AE39" s="1"/>
    </row>
    <row r="40" spans="1:31" outlineLevel="1" x14ac:dyDescent="0.2">
      <c r="B40" s="25" t="s">
        <v>56</v>
      </c>
      <c r="C40" s="26"/>
      <c r="D40" s="26"/>
      <c r="E40" s="26"/>
      <c r="F40" s="26"/>
      <c r="G40" s="26"/>
      <c r="H40" s="26"/>
      <c r="I40" s="26"/>
      <c r="J40" s="26"/>
      <c r="K40" s="26"/>
      <c r="L40" s="26"/>
      <c r="M40" s="67">
        <v>0</v>
      </c>
      <c r="N40" s="67">
        <v>0</v>
      </c>
      <c r="O40" s="67">
        <v>-102615</v>
      </c>
      <c r="P40" s="67">
        <v>-494779</v>
      </c>
      <c r="Q40" s="67">
        <v>-833905</v>
      </c>
      <c r="T40" s="67">
        <v>-124620</v>
      </c>
      <c r="U40" s="67">
        <v>-322047</v>
      </c>
      <c r="V40" s="67">
        <v>-486985</v>
      </c>
      <c r="W40" s="67">
        <v>-494779</v>
      </c>
      <c r="X40" s="67">
        <v>-724224</v>
      </c>
      <c r="Y40" s="67">
        <v>-824842</v>
      </c>
      <c r="Z40" s="67">
        <v>-824329</v>
      </c>
      <c r="AA40" s="67">
        <v>-833905</v>
      </c>
      <c r="AC40" s="67">
        <f t="shared" si="20"/>
        <v>-833905</v>
      </c>
    </row>
    <row r="41" spans="1:31" outlineLevel="1" x14ac:dyDescent="0.2">
      <c r="B41" s="25" t="s">
        <v>54</v>
      </c>
      <c r="C41" s="26"/>
      <c r="D41" s="26"/>
      <c r="E41" s="26"/>
      <c r="F41" s="26"/>
      <c r="G41" s="26"/>
      <c r="H41" s="26"/>
      <c r="I41" s="26"/>
      <c r="J41" s="26"/>
      <c r="K41" s="26"/>
      <c r="L41" s="26"/>
      <c r="M41" s="26">
        <v>3406959</v>
      </c>
      <c r="N41" s="26">
        <v>3736838</v>
      </c>
      <c r="O41" s="26">
        <v>4024079</v>
      </c>
      <c r="P41" s="67">
        <v>4333300</v>
      </c>
      <c r="Q41" s="67">
        <v>4585430</v>
      </c>
      <c r="T41" s="67">
        <v>4089795</v>
      </c>
      <c r="U41" s="67">
        <v>4176531</v>
      </c>
      <c r="V41" s="67">
        <v>4149569</v>
      </c>
      <c r="W41" s="67">
        <v>4333300</v>
      </c>
      <c r="X41" s="67">
        <v>4403586</v>
      </c>
      <c r="Y41" s="67">
        <v>4474638</v>
      </c>
      <c r="Z41" s="67">
        <v>4531257</v>
      </c>
      <c r="AA41" s="67">
        <v>4585430</v>
      </c>
      <c r="AC41" s="67">
        <f t="shared" si="20"/>
        <v>4585430</v>
      </c>
    </row>
    <row r="42" spans="1:31" outlineLevel="1" x14ac:dyDescent="0.2">
      <c r="B42" s="25" t="s">
        <v>55</v>
      </c>
      <c r="C42" s="26"/>
      <c r="D42" s="26"/>
      <c r="E42" s="26"/>
      <c r="F42" s="26"/>
      <c r="G42" s="26"/>
      <c r="H42" s="26"/>
      <c r="I42" s="26"/>
      <c r="J42" s="26"/>
      <c r="K42" s="26"/>
      <c r="L42" s="26"/>
      <c r="M42" s="67">
        <v>-1495946</v>
      </c>
      <c r="N42" s="67">
        <v>-1824298</v>
      </c>
      <c r="O42" s="67">
        <v>-1914181</v>
      </c>
      <c r="P42" s="67">
        <v>-1987875</v>
      </c>
      <c r="Q42" s="67">
        <v>-1705545</v>
      </c>
      <c r="T42" s="67">
        <v>-1942917</v>
      </c>
      <c r="U42" s="67">
        <v>-2029014</v>
      </c>
      <c r="V42" s="67">
        <v>-2039669</v>
      </c>
      <c r="W42" s="67">
        <v>-1987875</v>
      </c>
      <c r="X42" s="67">
        <v>-2010430</v>
      </c>
      <c r="Y42" s="67">
        <v>-2008846</v>
      </c>
      <c r="Z42" s="67">
        <v>-1810007</v>
      </c>
      <c r="AA42" s="67">
        <v>-1705545</v>
      </c>
      <c r="AC42" s="67">
        <f t="shared" si="20"/>
        <v>-1705545</v>
      </c>
    </row>
    <row r="43" spans="1:31" s="39" customFormat="1" outlineLevel="1" x14ac:dyDescent="0.2">
      <c r="A43" s="21"/>
      <c r="B43" s="37" t="s">
        <v>57</v>
      </c>
      <c r="C43" s="38"/>
      <c r="D43" s="38"/>
      <c r="E43" s="38"/>
      <c r="F43" s="38"/>
      <c r="G43" s="38"/>
      <c r="H43" s="38"/>
      <c r="I43" s="38"/>
      <c r="J43" s="38"/>
      <c r="K43" s="38"/>
      <c r="L43" s="38"/>
      <c r="M43" s="38">
        <v>1921917</v>
      </c>
      <c r="N43" s="38">
        <v>1920158</v>
      </c>
      <c r="O43" s="38">
        <v>2016114</v>
      </c>
      <c r="P43" s="38">
        <v>1845762</v>
      </c>
      <c r="Q43" s="38">
        <v>2082587</v>
      </c>
      <c r="R43" s="1"/>
      <c r="S43" s="1"/>
      <c r="T43" s="38">
        <v>2027004</v>
      </c>
      <c r="U43" s="38">
        <v>1833581</v>
      </c>
      <c r="V43" s="38">
        <v>1731845</v>
      </c>
      <c r="W43" s="38">
        <v>1845762</v>
      </c>
      <c r="X43" s="38">
        <v>1698461</v>
      </c>
      <c r="Y43" s="38">
        <v>1665703</v>
      </c>
      <c r="Z43" s="38">
        <v>1924617</v>
      </c>
      <c r="AA43" s="38">
        <v>2082587</v>
      </c>
      <c r="AB43" s="1"/>
      <c r="AC43" s="38">
        <f t="shared" si="20"/>
        <v>2082587</v>
      </c>
      <c r="AD43" s="1"/>
      <c r="AE43" s="1"/>
    </row>
    <row r="44" spans="1:31" s="43" customFormat="1" ht="17" outlineLevel="1" thickBot="1" x14ac:dyDescent="0.25">
      <c r="A44" s="21"/>
      <c r="B44" s="41" t="s">
        <v>58</v>
      </c>
      <c r="C44" s="42"/>
      <c r="D44" s="42"/>
      <c r="E44" s="42"/>
      <c r="F44" s="42"/>
      <c r="G44" s="42"/>
      <c r="H44" s="42"/>
      <c r="I44" s="42"/>
      <c r="J44" s="42"/>
      <c r="K44" s="42"/>
      <c r="L44" s="42"/>
      <c r="M44" s="42">
        <v>2572450</v>
      </c>
      <c r="N44" s="42">
        <v>2735206</v>
      </c>
      <c r="O44" s="42">
        <v>2954758</v>
      </c>
      <c r="P44" s="42">
        <v>2865270</v>
      </c>
      <c r="Q44" s="42">
        <v>3179200</v>
      </c>
      <c r="R44" s="1"/>
      <c r="S44" s="1"/>
      <c r="T44" s="42">
        <v>2844976</v>
      </c>
      <c r="U44" s="42">
        <v>2701333</v>
      </c>
      <c r="V44" s="42">
        <v>2663291</v>
      </c>
      <c r="W44" s="42">
        <v>2865270</v>
      </c>
      <c r="X44" s="42">
        <v>2644442</v>
      </c>
      <c r="Y44" s="42">
        <v>2592317</v>
      </c>
      <c r="Z44" s="42">
        <v>2895976</v>
      </c>
      <c r="AA44" s="42">
        <v>3179200</v>
      </c>
      <c r="AB44" s="1"/>
      <c r="AC44" s="42">
        <f t="shared" si="20"/>
        <v>3179200</v>
      </c>
      <c r="AD44" s="1"/>
      <c r="AE44" s="1"/>
    </row>
    <row r="45" spans="1:31" x14ac:dyDescent="0.2">
      <c r="B45" s="1"/>
    </row>
    <row r="46" spans="1:31" s="20" customFormat="1" ht="17" thickBot="1" x14ac:dyDescent="0.25">
      <c r="A46" s="16"/>
      <c r="B46" s="19" t="s">
        <v>59</v>
      </c>
      <c r="R46" s="1"/>
      <c r="S46" s="1"/>
      <c r="AB46" s="1"/>
      <c r="AD46" s="1"/>
      <c r="AE46" s="1"/>
    </row>
    <row r="47" spans="1:31" outlineLevel="1" x14ac:dyDescent="0.2">
      <c r="B47" s="25" t="s">
        <v>60</v>
      </c>
      <c r="C47" s="67"/>
      <c r="D47" s="67"/>
      <c r="E47" s="67"/>
      <c r="F47" s="67"/>
      <c r="G47" s="67"/>
      <c r="H47" s="67"/>
      <c r="I47" s="67"/>
      <c r="J47" s="67"/>
      <c r="K47" s="67"/>
      <c r="L47" s="67"/>
      <c r="M47" s="67">
        <v>14705</v>
      </c>
      <c r="N47" s="67">
        <v>18723</v>
      </c>
      <c r="O47" s="67">
        <v>22597</v>
      </c>
      <c r="P47" s="67">
        <v>17232</v>
      </c>
      <c r="Q47" s="67">
        <v>16969</v>
      </c>
    </row>
    <row r="48" spans="1:31" outlineLevel="1" x14ac:dyDescent="0.2">
      <c r="B48" s="28" t="s">
        <v>61</v>
      </c>
      <c r="C48" s="67"/>
      <c r="D48" s="67"/>
      <c r="E48" s="67"/>
      <c r="F48" s="67"/>
      <c r="G48" s="67"/>
      <c r="H48" s="67"/>
      <c r="I48" s="67"/>
      <c r="J48" s="67"/>
      <c r="K48" s="67"/>
      <c r="L48" s="67"/>
      <c r="M48" s="67">
        <v>515583</v>
      </c>
      <c r="N48" s="67">
        <v>369840</v>
      </c>
      <c r="O48" s="67">
        <v>371955</v>
      </c>
      <c r="P48" s="67">
        <v>358151</v>
      </c>
      <c r="Q48" s="67">
        <v>290676</v>
      </c>
    </row>
    <row r="49" spans="1:31" outlineLevel="1" x14ac:dyDescent="0.2">
      <c r="B49" s="28" t="s">
        <v>120</v>
      </c>
      <c r="C49" s="67"/>
      <c r="D49" s="67"/>
      <c r="E49" s="67"/>
      <c r="F49" s="67"/>
      <c r="G49" s="67"/>
      <c r="H49" s="67"/>
      <c r="I49" s="67"/>
      <c r="J49" s="67"/>
      <c r="K49" s="67"/>
      <c r="L49" s="67"/>
      <c r="M49" s="67">
        <v>-86387</v>
      </c>
      <c r="N49" s="67">
        <v>-123783</v>
      </c>
      <c r="O49" s="67">
        <v>-64217</v>
      </c>
      <c r="P49" s="67">
        <v>-22173</v>
      </c>
      <c r="Q49" s="67">
        <v>-25802</v>
      </c>
    </row>
    <row r="50" spans="1:31" outlineLevel="1" x14ac:dyDescent="0.2">
      <c r="B50" s="28" t="s">
        <v>121</v>
      </c>
      <c r="C50" s="67"/>
      <c r="D50" s="67"/>
      <c r="E50" s="67"/>
      <c r="F50" s="67"/>
      <c r="G50" s="67"/>
      <c r="H50" s="67"/>
      <c r="I50" s="67"/>
      <c r="J50" s="67"/>
      <c r="K50" s="67"/>
      <c r="L50" s="67"/>
      <c r="M50" s="67">
        <v>3507</v>
      </c>
      <c r="N50" s="67">
        <v>-1571</v>
      </c>
      <c r="O50" s="67">
        <v>-5052</v>
      </c>
      <c r="P50" s="67">
        <v>27856</v>
      </c>
      <c r="Q50" s="67">
        <v>-21675</v>
      </c>
    </row>
    <row r="51" spans="1:31" outlineLevel="1" x14ac:dyDescent="0.2">
      <c r="B51" s="28" t="s">
        <v>122</v>
      </c>
      <c r="C51" s="67"/>
      <c r="D51" s="67"/>
      <c r="E51" s="67"/>
      <c r="F51" s="67"/>
      <c r="G51" s="67"/>
      <c r="H51" s="67"/>
      <c r="I51" s="67"/>
      <c r="J51" s="67"/>
      <c r="K51" s="67"/>
      <c r="L51" s="67"/>
      <c r="M51" s="67">
        <f>-43660-130186-15360+45729+24038-9064+105481</f>
        <v>-23022</v>
      </c>
      <c r="N51" s="67">
        <f>-185-118909-59810-14954+15086-3307+160746</f>
        <v>-21333</v>
      </c>
      <c r="O51" s="67">
        <f>-14694-118833+4222+11804-4039-13590+137471</f>
        <v>2341</v>
      </c>
      <c r="P51" s="67">
        <f>-3991-89157+7065+9235-23428-15527+68348</f>
        <v>-47455</v>
      </c>
      <c r="Q51" s="67">
        <f>3208-116202-3933+46697+2583-11652-22431</f>
        <v>-101730</v>
      </c>
    </row>
    <row r="52" spans="1:31" s="24" customFormat="1" outlineLevel="1" x14ac:dyDescent="0.2">
      <c r="A52" s="21"/>
      <c r="B52" s="22" t="s">
        <v>62</v>
      </c>
      <c r="C52" s="66"/>
      <c r="D52" s="66"/>
      <c r="E52" s="66"/>
      <c r="F52" s="66"/>
      <c r="G52" s="66"/>
      <c r="H52" s="66"/>
      <c r="I52" s="66"/>
      <c r="J52" s="66"/>
      <c r="K52" s="66"/>
      <c r="L52" s="66"/>
      <c r="M52" s="66">
        <v>-54963</v>
      </c>
      <c r="N52" s="66">
        <v>-9981</v>
      </c>
      <c r="O52" s="66">
        <v>299082</v>
      </c>
      <c r="P52" s="66">
        <v>320565</v>
      </c>
      <c r="Q52" s="66">
        <v>371208</v>
      </c>
      <c r="R52" s="1"/>
      <c r="S52" s="1"/>
      <c r="AB52" s="1"/>
      <c r="AD52" s="1"/>
      <c r="AE52" s="1"/>
    </row>
    <row r="53" spans="1:31" outlineLevel="1" x14ac:dyDescent="0.2">
      <c r="B53" s="25" t="s">
        <v>63</v>
      </c>
      <c r="C53" s="67"/>
      <c r="D53" s="67"/>
      <c r="E53" s="67"/>
      <c r="F53" s="67"/>
      <c r="G53" s="67"/>
      <c r="H53" s="67"/>
      <c r="I53" s="67"/>
      <c r="J53" s="67"/>
      <c r="K53" s="67"/>
      <c r="L53" s="67"/>
      <c r="M53" s="67">
        <v>-8879</v>
      </c>
      <c r="N53" s="67">
        <v>-23815</v>
      </c>
      <c r="O53" s="67">
        <v>-7342</v>
      </c>
      <c r="P53" s="67">
        <v>-14923</v>
      </c>
      <c r="Q53" s="67">
        <v>-19048</v>
      </c>
    </row>
    <row r="54" spans="1:31" outlineLevel="1" x14ac:dyDescent="0.2">
      <c r="B54" s="25" t="s">
        <v>123</v>
      </c>
      <c r="C54" s="67"/>
      <c r="D54" s="67"/>
      <c r="E54" s="67"/>
      <c r="F54" s="67"/>
      <c r="G54" s="67"/>
      <c r="H54" s="67"/>
      <c r="I54" s="67"/>
      <c r="J54" s="67"/>
      <c r="K54" s="67"/>
      <c r="L54" s="67"/>
      <c r="M54" s="67">
        <v>-2950</v>
      </c>
      <c r="N54" s="67">
        <v>0</v>
      </c>
      <c r="O54" s="67">
        <v>0</v>
      </c>
      <c r="P54" s="67">
        <v>0</v>
      </c>
      <c r="Q54" s="67">
        <v>0</v>
      </c>
    </row>
    <row r="55" spans="1:31" s="24" customFormat="1" outlineLevel="1" x14ac:dyDescent="0.2">
      <c r="A55" s="21"/>
      <c r="B55" s="22" t="s">
        <v>64</v>
      </c>
      <c r="C55" s="66"/>
      <c r="D55" s="66"/>
      <c r="E55" s="66"/>
      <c r="F55" s="66"/>
      <c r="G55" s="66"/>
      <c r="H55" s="66"/>
      <c r="I55" s="66"/>
      <c r="J55" s="66"/>
      <c r="K55" s="66"/>
      <c r="L55" s="66"/>
      <c r="M55" s="66">
        <v>-35442</v>
      </c>
      <c r="N55" s="66">
        <v>-289143</v>
      </c>
      <c r="O55" s="66">
        <v>-439569</v>
      </c>
      <c r="P55" s="66">
        <v>-45503</v>
      </c>
      <c r="Q55" s="66">
        <v>-22466</v>
      </c>
      <c r="R55" s="1"/>
      <c r="S55" s="1"/>
      <c r="AB55" s="1"/>
      <c r="AD55" s="1"/>
      <c r="AE55" s="1"/>
    </row>
    <row r="56" spans="1:31" outlineLevel="1" x14ac:dyDescent="0.2">
      <c r="B56" s="25" t="s">
        <v>65</v>
      </c>
      <c r="C56" s="67"/>
      <c r="D56" s="67"/>
      <c r="E56" s="67"/>
      <c r="F56" s="67"/>
      <c r="G56" s="67"/>
      <c r="H56" s="67"/>
      <c r="I56" s="67"/>
      <c r="J56" s="67"/>
      <c r="K56" s="67"/>
      <c r="L56" s="67"/>
      <c r="M56" s="67">
        <v>0</v>
      </c>
      <c r="N56" s="67">
        <v>0</v>
      </c>
      <c r="O56" s="67">
        <v>-102615</v>
      </c>
      <c r="P56" s="67">
        <v>-390751</v>
      </c>
      <c r="Q56" s="67">
        <v>-329101</v>
      </c>
    </row>
    <row r="57" spans="1:31" s="24" customFormat="1" ht="17" outlineLevel="1" thickBot="1" x14ac:dyDescent="0.25">
      <c r="A57" s="21"/>
      <c r="B57" s="41" t="s">
        <v>66</v>
      </c>
      <c r="C57" s="78"/>
      <c r="D57" s="78"/>
      <c r="E57" s="78"/>
      <c r="F57" s="78"/>
      <c r="G57" s="78"/>
      <c r="H57" s="78"/>
      <c r="I57" s="78"/>
      <c r="J57" s="78"/>
      <c r="K57" s="78"/>
      <c r="L57" s="78"/>
      <c r="M57" s="78">
        <v>1469673</v>
      </c>
      <c r="N57" s="78">
        <v>-60669</v>
      </c>
      <c r="O57" s="78">
        <v>-196895</v>
      </c>
      <c r="P57" s="78">
        <v>-450515</v>
      </c>
      <c r="Q57" s="78">
        <v>-372375</v>
      </c>
      <c r="R57" s="1"/>
      <c r="S57" s="1"/>
      <c r="T57" s="78"/>
      <c r="U57" s="78"/>
      <c r="V57" s="78"/>
      <c r="W57" s="78"/>
      <c r="X57" s="78"/>
      <c r="Y57" s="78"/>
      <c r="Z57" s="78"/>
      <c r="AA57" s="78"/>
      <c r="AB57" s="1"/>
      <c r="AC57" s="78"/>
      <c r="AD57" s="1"/>
      <c r="AE57" s="1"/>
    </row>
    <row r="58" spans="1:31" x14ac:dyDescent="0.2">
      <c r="B58" s="1"/>
    </row>
    <row r="59" spans="1:31" s="20" customFormat="1" ht="17" thickBot="1" x14ac:dyDescent="0.25">
      <c r="A59" s="16"/>
      <c r="B59" s="19" t="s">
        <v>67</v>
      </c>
      <c r="R59" s="1"/>
      <c r="S59" s="1"/>
      <c r="AB59" s="1"/>
      <c r="AD59" s="1"/>
      <c r="AE59" s="1"/>
    </row>
    <row r="60" spans="1:31" hidden="1" outlineLevel="2" x14ac:dyDescent="0.2">
      <c r="B60" s="25" t="s">
        <v>68</v>
      </c>
      <c r="C60" s="69">
        <f t="shared" ref="C60:Q60" si="25">C5-C6-C11+C13+C14+C16</f>
        <v>0</v>
      </c>
      <c r="D60" s="69">
        <f t="shared" si="25"/>
        <v>0</v>
      </c>
      <c r="E60" s="69">
        <f t="shared" si="25"/>
        <v>0</v>
      </c>
      <c r="F60" s="69">
        <f t="shared" si="25"/>
        <v>0</v>
      </c>
      <c r="G60" s="69">
        <f t="shared" si="25"/>
        <v>0</v>
      </c>
      <c r="H60" s="69">
        <f t="shared" si="25"/>
        <v>0</v>
      </c>
      <c r="I60" s="69">
        <f t="shared" si="25"/>
        <v>0</v>
      </c>
      <c r="J60" s="69">
        <f t="shared" si="25"/>
        <v>0</v>
      </c>
      <c r="K60" s="69">
        <f t="shared" si="25"/>
        <v>0</v>
      </c>
      <c r="L60" s="69">
        <f t="shared" si="25"/>
        <v>0</v>
      </c>
      <c r="M60" s="69">
        <f t="shared" si="25"/>
        <v>-525586</v>
      </c>
      <c r="N60" s="69">
        <f t="shared" si="25"/>
        <v>-328352</v>
      </c>
      <c r="O60" s="69">
        <f t="shared" si="25"/>
        <v>-89883</v>
      </c>
      <c r="P60" s="69">
        <f t="shared" si="25"/>
        <v>-73694</v>
      </c>
      <c r="Q60" s="69">
        <f t="shared" si="25"/>
        <v>282330</v>
      </c>
      <c r="T60" s="69">
        <f t="shared" ref="T60:AA60" si="26">T5-T6-T11+T13+T14+T16</f>
        <v>-28736</v>
      </c>
      <c r="U60" s="69">
        <f t="shared" si="26"/>
        <v>-86097</v>
      </c>
      <c r="V60" s="69">
        <f t="shared" si="26"/>
        <v>-10655</v>
      </c>
      <c r="W60" s="69">
        <f t="shared" si="26"/>
        <v>51794</v>
      </c>
      <c r="X60" s="69">
        <f t="shared" si="26"/>
        <v>-22555</v>
      </c>
      <c r="Y60" s="69">
        <f t="shared" si="26"/>
        <v>1584</v>
      </c>
      <c r="Z60" s="69">
        <f t="shared" si="26"/>
        <v>198839</v>
      </c>
      <c r="AA60" s="69">
        <f t="shared" si="26"/>
        <v>104462</v>
      </c>
      <c r="AC60" s="69">
        <f>AC5-AC6-AC11+AC13+AC14+AC16</f>
        <v>282330</v>
      </c>
    </row>
    <row r="61" spans="1:31" s="46" customFormat="1" outlineLevel="1" collapsed="1" x14ac:dyDescent="0.2">
      <c r="A61" s="21"/>
      <c r="B61" s="22" t="s">
        <v>69</v>
      </c>
      <c r="C61" s="45">
        <f t="shared" ref="C61:Q61" si="27">C17-C60</f>
        <v>0</v>
      </c>
      <c r="D61" s="45">
        <f t="shared" si="27"/>
        <v>0</v>
      </c>
      <c r="E61" s="45">
        <f t="shared" si="27"/>
        <v>0</v>
      </c>
      <c r="F61" s="45">
        <f t="shared" si="27"/>
        <v>0</v>
      </c>
      <c r="G61" s="45">
        <f t="shared" si="27"/>
        <v>0</v>
      </c>
      <c r="H61" s="45">
        <f t="shared" si="27"/>
        <v>0</v>
      </c>
      <c r="I61" s="45">
        <f t="shared" si="27"/>
        <v>0</v>
      </c>
      <c r="J61" s="45">
        <f t="shared" si="27"/>
        <v>0</v>
      </c>
      <c r="K61" s="45">
        <f t="shared" si="27"/>
        <v>0</v>
      </c>
      <c r="L61" s="45">
        <f t="shared" si="27"/>
        <v>0</v>
      </c>
      <c r="M61" s="45">
        <f t="shared" si="27"/>
        <v>0</v>
      </c>
      <c r="N61" s="45">
        <f t="shared" si="27"/>
        <v>0</v>
      </c>
      <c r="O61" s="45">
        <f t="shared" si="27"/>
        <v>0</v>
      </c>
      <c r="P61" s="45">
        <f t="shared" si="27"/>
        <v>0</v>
      </c>
      <c r="Q61" s="45">
        <f t="shared" si="27"/>
        <v>0</v>
      </c>
      <c r="R61" s="1"/>
      <c r="S61" s="1"/>
      <c r="T61" s="45">
        <f t="shared" ref="T61:AA61" si="28">T17-T60</f>
        <v>0</v>
      </c>
      <c r="U61" s="45">
        <f t="shared" si="28"/>
        <v>0</v>
      </c>
      <c r="V61" s="45">
        <f t="shared" si="28"/>
        <v>0</v>
      </c>
      <c r="W61" s="45">
        <f t="shared" si="28"/>
        <v>0</v>
      </c>
      <c r="X61" s="45">
        <f t="shared" si="28"/>
        <v>0</v>
      </c>
      <c r="Y61" s="45">
        <f t="shared" si="28"/>
        <v>0</v>
      </c>
      <c r="Z61" s="45">
        <f t="shared" si="28"/>
        <v>0</v>
      </c>
      <c r="AA61" s="45">
        <f t="shared" si="28"/>
        <v>0</v>
      </c>
      <c r="AB61" s="21"/>
      <c r="AC61" s="45">
        <f>AC17-AC60</f>
        <v>0</v>
      </c>
      <c r="AD61" s="1"/>
      <c r="AE61" s="1"/>
    </row>
    <row r="62" spans="1:31" s="46" customFormat="1" outlineLevel="1" x14ac:dyDescent="0.2">
      <c r="A62" s="21"/>
      <c r="B62" s="22" t="s">
        <v>70</v>
      </c>
      <c r="C62" s="47">
        <f t="shared" ref="C62:Q62" si="29">C34-(C39+C43)</f>
        <v>0</v>
      </c>
      <c r="D62" s="47">
        <f t="shared" si="29"/>
        <v>0</v>
      </c>
      <c r="E62" s="47">
        <f t="shared" si="29"/>
        <v>0</v>
      </c>
      <c r="F62" s="47">
        <f t="shared" si="29"/>
        <v>0</v>
      </c>
      <c r="G62" s="47">
        <f t="shared" si="29"/>
        <v>0</v>
      </c>
      <c r="H62" s="47">
        <f t="shared" si="29"/>
        <v>0</v>
      </c>
      <c r="I62" s="47">
        <f t="shared" si="29"/>
        <v>0</v>
      </c>
      <c r="J62" s="47">
        <f t="shared" si="29"/>
        <v>0</v>
      </c>
      <c r="K62" s="47">
        <f t="shared" si="29"/>
        <v>0</v>
      </c>
      <c r="L62" s="47">
        <f t="shared" si="29"/>
        <v>0</v>
      </c>
      <c r="M62" s="47">
        <f t="shared" si="29"/>
        <v>0</v>
      </c>
      <c r="N62" s="47">
        <f t="shared" si="29"/>
        <v>0</v>
      </c>
      <c r="O62" s="47">
        <f t="shared" si="29"/>
        <v>0</v>
      </c>
      <c r="P62" s="47">
        <f t="shared" si="29"/>
        <v>0</v>
      </c>
      <c r="Q62" s="47">
        <f t="shared" si="29"/>
        <v>0</v>
      </c>
      <c r="R62" s="1"/>
      <c r="S62" s="1"/>
      <c r="T62" s="47">
        <f t="shared" ref="T62:AA62" si="30">T34-(T39+T43)</f>
        <v>0</v>
      </c>
      <c r="U62" s="47">
        <f t="shared" si="30"/>
        <v>0</v>
      </c>
      <c r="V62" s="47">
        <f t="shared" si="30"/>
        <v>0</v>
      </c>
      <c r="W62" s="47">
        <f t="shared" si="30"/>
        <v>0</v>
      </c>
      <c r="X62" s="47">
        <f t="shared" si="30"/>
        <v>0</v>
      </c>
      <c r="Y62" s="47">
        <f t="shared" si="30"/>
        <v>0</v>
      </c>
      <c r="Z62" s="47">
        <f t="shared" si="30"/>
        <v>0</v>
      </c>
      <c r="AA62" s="47">
        <f t="shared" si="30"/>
        <v>0</v>
      </c>
      <c r="AB62" s="21"/>
      <c r="AC62" s="47">
        <f>AC34-(AC39+AC43)</f>
        <v>0</v>
      </c>
      <c r="AD62" s="1"/>
      <c r="AE62" s="1"/>
    </row>
    <row r="63" spans="1:31" hidden="1" outlineLevel="2" x14ac:dyDescent="0.2">
      <c r="B63" s="25" t="s">
        <v>71</v>
      </c>
      <c r="C63" s="29">
        <f t="shared" ref="C63:Q63" si="31">SUM(C47:C51)</f>
        <v>0</v>
      </c>
      <c r="D63" s="29">
        <f t="shared" si="31"/>
        <v>0</v>
      </c>
      <c r="E63" s="29">
        <f t="shared" si="31"/>
        <v>0</v>
      </c>
      <c r="F63" s="29">
        <f t="shared" si="31"/>
        <v>0</v>
      </c>
      <c r="G63" s="29">
        <f t="shared" si="31"/>
        <v>0</v>
      </c>
      <c r="H63" s="29">
        <f t="shared" si="31"/>
        <v>0</v>
      </c>
      <c r="I63" s="29">
        <f t="shared" si="31"/>
        <v>0</v>
      </c>
      <c r="J63" s="29">
        <f t="shared" si="31"/>
        <v>0</v>
      </c>
      <c r="K63" s="29">
        <f t="shared" si="31"/>
        <v>0</v>
      </c>
      <c r="L63" s="29">
        <f t="shared" si="31"/>
        <v>0</v>
      </c>
      <c r="M63" s="29">
        <f t="shared" si="31"/>
        <v>424386</v>
      </c>
      <c r="N63" s="29">
        <f t="shared" si="31"/>
        <v>241876</v>
      </c>
      <c r="O63" s="29">
        <f t="shared" si="31"/>
        <v>327624</v>
      </c>
      <c r="P63" s="29">
        <f t="shared" si="31"/>
        <v>333611</v>
      </c>
      <c r="Q63" s="29">
        <f t="shared" si="31"/>
        <v>158438</v>
      </c>
      <c r="T63" s="29">
        <f t="shared" ref="T63:AA63" si="32">SUM(T47:T51)</f>
        <v>0</v>
      </c>
      <c r="U63" s="29">
        <f t="shared" si="32"/>
        <v>0</v>
      </c>
      <c r="V63" s="29">
        <f t="shared" si="32"/>
        <v>0</v>
      </c>
      <c r="W63" s="29">
        <f t="shared" si="32"/>
        <v>0</v>
      </c>
      <c r="X63" s="29">
        <f t="shared" si="32"/>
        <v>0</v>
      </c>
      <c r="Y63" s="29">
        <f t="shared" si="32"/>
        <v>0</v>
      </c>
      <c r="Z63" s="29">
        <f t="shared" si="32"/>
        <v>0</v>
      </c>
      <c r="AA63" s="29">
        <f t="shared" si="32"/>
        <v>0</v>
      </c>
    </row>
    <row r="64" spans="1:31" hidden="1" outlineLevel="2" x14ac:dyDescent="0.2">
      <c r="B64" s="25" t="s">
        <v>72</v>
      </c>
      <c r="C64" s="29" t="e">
        <f>C52+C55+C57+#REF!+#REF!</f>
        <v>#REF!</v>
      </c>
      <c r="D64" s="29" t="e">
        <f>D52+D55+D57+#REF!+#REF!</f>
        <v>#REF!</v>
      </c>
      <c r="E64" s="29" t="e">
        <f>E52+E55+E57+#REF!+#REF!</f>
        <v>#REF!</v>
      </c>
      <c r="F64" s="29" t="e">
        <f>F52+F55+F57+#REF!+#REF!</f>
        <v>#REF!</v>
      </c>
      <c r="G64" s="29" t="e">
        <f>G52+G55+G57+#REF!+#REF!</f>
        <v>#REF!</v>
      </c>
      <c r="H64" s="29" t="e">
        <f>H52+H55+H57+#REF!+#REF!</f>
        <v>#REF!</v>
      </c>
      <c r="I64" s="29" t="e">
        <f>I52+I55+I57+#REF!+#REF!</f>
        <v>#REF!</v>
      </c>
      <c r="J64" s="29" t="e">
        <f>J52+J55+J57+#REF!+#REF!</f>
        <v>#REF!</v>
      </c>
      <c r="K64" s="29" t="e">
        <f>K52+K55+K57+#REF!+#REF!</f>
        <v>#REF!</v>
      </c>
      <c r="L64" s="29" t="e">
        <f>L52+L55+L57+#REF!+#REF!</f>
        <v>#REF!</v>
      </c>
      <c r="M64" s="29" t="e">
        <f>M52+M55+M57+#REF!+#REF!</f>
        <v>#REF!</v>
      </c>
      <c r="N64" s="29" t="e">
        <f>N52+N55+N57+#REF!+#REF!</f>
        <v>#REF!</v>
      </c>
      <c r="O64" s="29" t="e">
        <f>O52+O55+O57+#REF!+#REF!</f>
        <v>#REF!</v>
      </c>
      <c r="P64" s="29" t="e">
        <f>P52+P55+P57+#REF!+#REF!</f>
        <v>#REF!</v>
      </c>
      <c r="Q64" s="29" t="e">
        <f>Q52+Q55+Q57+#REF!+#REF!</f>
        <v>#REF!</v>
      </c>
      <c r="T64" s="29" t="e">
        <f>T52+T55+T57+#REF!+#REF!</f>
        <v>#REF!</v>
      </c>
      <c r="U64" s="29" t="e">
        <f>U52+U55+U57+#REF!+#REF!</f>
        <v>#REF!</v>
      </c>
      <c r="V64" s="29" t="e">
        <f>V52+V55+V57+#REF!+#REF!</f>
        <v>#REF!</v>
      </c>
      <c r="W64" s="29" t="e">
        <f>W52+W55+W57+#REF!+#REF!</f>
        <v>#REF!</v>
      </c>
      <c r="X64" s="29" t="e">
        <f>X52+X55+X57+#REF!+#REF!</f>
        <v>#REF!</v>
      </c>
      <c r="Y64" s="29" t="e">
        <f>Y52+Y55+Y57+#REF!+#REF!</f>
        <v>#REF!</v>
      </c>
      <c r="Z64" s="29" t="e">
        <f>Z52+Z55+Z57+#REF!+#REF!</f>
        <v>#REF!</v>
      </c>
      <c r="AA64" s="29" t="e">
        <f>AA52+AA55+AA57+#REF!+#REF!</f>
        <v>#REF!</v>
      </c>
    </row>
    <row r="65" spans="1:31" x14ac:dyDescent="0.2">
      <c r="B65" s="44"/>
      <c r="J65" s="44"/>
      <c r="K65" s="44"/>
      <c r="L65" s="44"/>
      <c r="M65" s="44"/>
      <c r="N65" s="44"/>
      <c r="O65" s="44"/>
      <c r="P65" s="44"/>
    </row>
    <row r="66" spans="1:31" s="20" customFormat="1" ht="17" thickBot="1" x14ac:dyDescent="0.25">
      <c r="A66" s="16"/>
      <c r="B66" s="19" t="s">
        <v>73</v>
      </c>
      <c r="R66" s="1"/>
      <c r="S66" s="1"/>
      <c r="AB66" s="1"/>
      <c r="AD66" s="1"/>
      <c r="AE66" s="1"/>
    </row>
    <row r="67" spans="1:31" outlineLevel="1" x14ac:dyDescent="0.2">
      <c r="B67" s="25" t="s">
        <v>74</v>
      </c>
      <c r="C67" s="48"/>
      <c r="D67" s="48"/>
      <c r="E67" s="48"/>
      <c r="F67" s="48"/>
      <c r="G67" s="48"/>
      <c r="H67" s="48"/>
      <c r="I67" s="48"/>
      <c r="J67" s="26"/>
      <c r="K67" s="26"/>
      <c r="L67" s="26"/>
      <c r="M67" s="26">
        <f>459635+82453</f>
        <v>542088</v>
      </c>
      <c r="N67" s="26">
        <f>474970+82453</f>
        <v>557423</v>
      </c>
      <c r="O67" s="26">
        <f>486560+82453</f>
        <v>569013</v>
      </c>
      <c r="P67" s="26">
        <f>474040+77453</f>
        <v>551493</v>
      </c>
      <c r="Q67" s="26">
        <f>459231+64691</f>
        <v>523922</v>
      </c>
      <c r="T67" s="26">
        <f>490325+82453</f>
        <v>572778</v>
      </c>
      <c r="U67" s="26">
        <f>467505+82453</f>
        <v>549958</v>
      </c>
      <c r="V67" s="26">
        <f>467146+82453</f>
        <v>549599</v>
      </c>
      <c r="W67" s="26">
        <f>474040+77453</f>
        <v>551493</v>
      </c>
      <c r="X67" s="26">
        <f>457586+77453</f>
        <v>535039</v>
      </c>
      <c r="Y67" s="26">
        <f>453569+77453</f>
        <v>531022</v>
      </c>
      <c r="Z67" s="26">
        <f>460444+74306</f>
        <v>534750</v>
      </c>
      <c r="AA67" s="26">
        <f t="shared" ref="AA67" si="33">459231+64691</f>
        <v>523922</v>
      </c>
      <c r="AC67" s="29">
        <f>AA67</f>
        <v>523922</v>
      </c>
    </row>
    <row r="68" spans="1:31" outlineLevel="1" x14ac:dyDescent="0.2">
      <c r="B68" s="25" t="s">
        <v>75</v>
      </c>
      <c r="C68" s="30"/>
      <c r="D68" s="30"/>
      <c r="E68" s="30"/>
      <c r="F68" s="30"/>
      <c r="G68" s="30"/>
      <c r="H68" s="30"/>
      <c r="I68" s="30"/>
      <c r="J68" s="30"/>
      <c r="K68" s="30"/>
      <c r="L68" s="30"/>
      <c r="M68" s="30">
        <f t="shared" ref="M68:Q68" si="34">M67*M73</f>
        <v>542088</v>
      </c>
      <c r="N68" s="30">
        <f t="shared" si="34"/>
        <v>557423</v>
      </c>
      <c r="O68" s="30">
        <f t="shared" si="34"/>
        <v>569013</v>
      </c>
      <c r="P68" s="30">
        <f t="shared" si="34"/>
        <v>551493</v>
      </c>
      <c r="Q68" s="30">
        <f t="shared" si="34"/>
        <v>523922</v>
      </c>
      <c r="T68" s="30">
        <f t="shared" ref="T68" si="35">T67*T73</f>
        <v>572778</v>
      </c>
      <c r="U68" s="30">
        <f t="shared" ref="U68" si="36">U67*U73</f>
        <v>549958</v>
      </c>
      <c r="V68" s="30">
        <f t="shared" ref="V68" si="37">V67*V73</f>
        <v>549599</v>
      </c>
      <c r="W68" s="30">
        <f t="shared" ref="W68" si="38">W67*W73</f>
        <v>551493</v>
      </c>
      <c r="X68" s="30">
        <f t="shared" ref="X68" si="39">X67*X73</f>
        <v>535039</v>
      </c>
      <c r="Y68" s="30">
        <f t="shared" ref="Y68" si="40">Y67*Y73</f>
        <v>531022</v>
      </c>
      <c r="Z68" s="30">
        <f t="shared" ref="Z68" si="41">Z67*Z73</f>
        <v>534750</v>
      </c>
      <c r="AA68" s="30">
        <f t="shared" ref="AA68" si="42">AA67*AA73</f>
        <v>523922</v>
      </c>
      <c r="AC68" s="29">
        <f>AA68</f>
        <v>523922</v>
      </c>
    </row>
    <row r="69" spans="1:31" outlineLevel="1" x14ac:dyDescent="0.2">
      <c r="B69" s="28" t="s">
        <v>76</v>
      </c>
      <c r="C69" s="49"/>
      <c r="D69" s="49"/>
      <c r="E69" s="49"/>
      <c r="F69" s="49"/>
      <c r="G69" s="49"/>
      <c r="H69" s="49"/>
      <c r="I69" s="49"/>
      <c r="J69" s="49"/>
      <c r="K69" s="49"/>
      <c r="L69" s="49"/>
      <c r="M69" s="49">
        <v>0</v>
      </c>
      <c r="N69" s="49">
        <v>0</v>
      </c>
      <c r="O69" s="49">
        <v>0</v>
      </c>
      <c r="P69" s="49">
        <v>0</v>
      </c>
      <c r="Q69" s="49">
        <v>0</v>
      </c>
      <c r="T69" s="49">
        <v>0</v>
      </c>
      <c r="U69" s="49">
        <v>0</v>
      </c>
      <c r="V69" s="49">
        <v>0</v>
      </c>
      <c r="W69" s="49">
        <v>0</v>
      </c>
      <c r="X69" s="49">
        <v>0</v>
      </c>
      <c r="Y69" s="49">
        <v>0</v>
      </c>
      <c r="Z69" s="49">
        <v>0</v>
      </c>
      <c r="AA69" s="49">
        <v>0</v>
      </c>
      <c r="AC69" s="79">
        <f>SUM(X69:AA69)</f>
        <v>0</v>
      </c>
    </row>
    <row r="70" spans="1:31" outlineLevel="1" x14ac:dyDescent="0.2">
      <c r="B70" s="28" t="s">
        <v>77</v>
      </c>
      <c r="C70" s="44"/>
      <c r="D70" s="50"/>
      <c r="E70" s="50"/>
      <c r="F70" s="50"/>
      <c r="G70" s="50"/>
      <c r="H70" s="50"/>
      <c r="I70" s="50"/>
      <c r="J70" s="50"/>
      <c r="K70" s="50"/>
      <c r="L70" s="50"/>
      <c r="M70" s="50">
        <f t="shared" ref="M70:Q70" si="43">M69/M73</f>
        <v>0</v>
      </c>
      <c r="N70" s="50">
        <f t="shared" si="43"/>
        <v>0</v>
      </c>
      <c r="O70" s="50">
        <f t="shared" si="43"/>
        <v>0</v>
      </c>
      <c r="P70" s="50">
        <f t="shared" si="43"/>
        <v>0</v>
      </c>
      <c r="Q70" s="50">
        <f t="shared" si="43"/>
        <v>0</v>
      </c>
      <c r="T70" s="50">
        <f t="shared" ref="T70" si="44">T69/T73</f>
        <v>0</v>
      </c>
      <c r="U70" s="50">
        <f t="shared" ref="U70" si="45">U69/U73</f>
        <v>0</v>
      </c>
      <c r="V70" s="50">
        <f t="shared" ref="V70" si="46">V69/V73</f>
        <v>0</v>
      </c>
      <c r="W70" s="50">
        <f t="shared" ref="W70" si="47">W69/W73</f>
        <v>0</v>
      </c>
      <c r="X70" s="50">
        <f t="shared" ref="X70" si="48">X69/X73</f>
        <v>0</v>
      </c>
      <c r="Y70" s="50">
        <f t="shared" ref="Y70" si="49">Y69/Y73</f>
        <v>0</v>
      </c>
      <c r="Z70" s="50">
        <f t="shared" ref="Z70" si="50">Z69/Z73</f>
        <v>0</v>
      </c>
      <c r="AA70" s="50">
        <f t="shared" ref="AA70" si="51">AA69/AA73</f>
        <v>0</v>
      </c>
      <c r="AC70" s="79">
        <f>SUM(X70:AA70)</f>
        <v>0</v>
      </c>
    </row>
    <row r="71" spans="1:31" outlineLevel="1" x14ac:dyDescent="0.2">
      <c r="B71" s="25" t="s">
        <v>78</v>
      </c>
      <c r="C71" s="51">
        <f t="shared" ref="C71:O71" si="52">IF(AND(C15&gt;0,C16&lt;0),-(C16)/C15,0)</f>
        <v>0</v>
      </c>
      <c r="D71" s="51">
        <f t="shared" si="52"/>
        <v>0</v>
      </c>
      <c r="E71" s="51">
        <f t="shared" si="52"/>
        <v>0</v>
      </c>
      <c r="F71" s="51">
        <f t="shared" si="52"/>
        <v>0</v>
      </c>
      <c r="G71" s="51">
        <f t="shared" si="52"/>
        <v>0</v>
      </c>
      <c r="H71" s="51">
        <f t="shared" si="52"/>
        <v>0</v>
      </c>
      <c r="I71" s="51">
        <f t="shared" si="52"/>
        <v>0</v>
      </c>
      <c r="J71" s="51">
        <f t="shared" si="52"/>
        <v>0</v>
      </c>
      <c r="K71" s="51">
        <f t="shared" si="52"/>
        <v>0</v>
      </c>
      <c r="L71" s="51">
        <f t="shared" si="52"/>
        <v>0</v>
      </c>
      <c r="M71" s="51">
        <f t="shared" si="52"/>
        <v>0</v>
      </c>
      <c r="N71" s="51">
        <f t="shared" si="52"/>
        <v>0</v>
      </c>
      <c r="O71" s="51">
        <f t="shared" si="52"/>
        <v>0</v>
      </c>
      <c r="P71" s="51">
        <f>IF(AND(P15&gt;0,P16&lt;0),-(P16)/P15,0)</f>
        <v>0</v>
      </c>
      <c r="Q71" s="51">
        <f>IF(AND(Q15&gt;0,Q16&lt;0),-(Q16)/Q15,0)</f>
        <v>0</v>
      </c>
      <c r="T71" s="51">
        <f t="shared" ref="T71:AA71" si="53">IF(AND(T15&gt;0,T16&lt;0),-(T16)/T15,0)</f>
        <v>0</v>
      </c>
      <c r="U71" s="51">
        <f t="shared" si="53"/>
        <v>0</v>
      </c>
      <c r="V71" s="51">
        <f t="shared" si="53"/>
        <v>0</v>
      </c>
      <c r="W71" s="51">
        <f t="shared" si="53"/>
        <v>5.1808728763913299E-2</v>
      </c>
      <c r="X71" s="51">
        <f t="shared" si="53"/>
        <v>0</v>
      </c>
      <c r="Y71" s="51">
        <f t="shared" si="53"/>
        <v>0.52389540126239853</v>
      </c>
      <c r="Z71" s="51">
        <f t="shared" si="53"/>
        <v>0</v>
      </c>
      <c r="AA71" s="51">
        <f t="shared" si="53"/>
        <v>0</v>
      </c>
      <c r="AC71" s="91">
        <v>0</v>
      </c>
    </row>
    <row r="72" spans="1:31" outlineLevel="1" x14ac:dyDescent="0.2">
      <c r="B72" s="25" t="s">
        <v>79</v>
      </c>
      <c r="C72" s="26"/>
      <c r="D72" s="26"/>
      <c r="E72" s="26"/>
      <c r="F72" s="26"/>
      <c r="G72" s="26"/>
      <c r="H72" s="26"/>
      <c r="I72" s="26"/>
      <c r="J72" s="26"/>
      <c r="K72" s="26"/>
      <c r="L72" s="26"/>
      <c r="M72" s="26">
        <v>4013</v>
      </c>
      <c r="N72" s="26">
        <v>3833</v>
      </c>
      <c r="O72" s="26">
        <v>4035</v>
      </c>
      <c r="P72" s="26">
        <v>3868</v>
      </c>
      <c r="Q72" s="26">
        <v>3981</v>
      </c>
      <c r="T72" s="74"/>
      <c r="U72" s="74"/>
      <c r="V72" s="74"/>
      <c r="W72" s="74"/>
      <c r="X72" s="74"/>
      <c r="Y72" s="74"/>
      <c r="Z72" s="74"/>
      <c r="AA72" s="74"/>
      <c r="AC72" s="74"/>
    </row>
    <row r="73" spans="1:31" outlineLevel="1" x14ac:dyDescent="0.2">
      <c r="B73" s="25" t="s">
        <v>80</v>
      </c>
      <c r="C73" s="26"/>
      <c r="D73" s="26"/>
      <c r="E73" s="26"/>
      <c r="F73" s="26"/>
      <c r="G73" s="26"/>
      <c r="H73" s="26"/>
      <c r="I73" s="26"/>
      <c r="J73" s="26"/>
      <c r="K73" s="26"/>
      <c r="L73" s="26"/>
      <c r="M73" s="26">
        <v>1</v>
      </c>
      <c r="N73" s="26">
        <v>1</v>
      </c>
      <c r="O73" s="26">
        <v>1</v>
      </c>
      <c r="P73" s="26">
        <v>1</v>
      </c>
      <c r="Q73" s="26">
        <v>1</v>
      </c>
      <c r="T73" s="26">
        <v>1</v>
      </c>
      <c r="U73" s="26">
        <v>1</v>
      </c>
      <c r="V73" s="26">
        <v>1</v>
      </c>
      <c r="W73" s="26">
        <v>1</v>
      </c>
      <c r="X73" s="26">
        <v>1</v>
      </c>
      <c r="Y73" s="26">
        <v>1</v>
      </c>
      <c r="Z73" s="26">
        <v>1</v>
      </c>
      <c r="AA73" s="26">
        <v>1</v>
      </c>
      <c r="AC73" s="26">
        <v>1</v>
      </c>
    </row>
    <row r="74" spans="1:31" outlineLevel="1" x14ac:dyDescent="0.2"/>
    <row r="75" spans="1:31" x14ac:dyDescent="0.2">
      <c r="B75" s="1"/>
    </row>
    <row r="76" spans="1:31" s="20" customFormat="1" ht="17" thickBot="1" x14ac:dyDescent="0.25">
      <c r="A76" s="16"/>
      <c r="B76" s="19" t="s">
        <v>81</v>
      </c>
      <c r="R76" s="1"/>
      <c r="S76" s="1"/>
      <c r="AB76" s="1"/>
      <c r="AD76" s="1"/>
      <c r="AE76" s="1"/>
    </row>
    <row r="77" spans="1:31" s="46" customFormat="1" outlineLevel="1" x14ac:dyDescent="0.2">
      <c r="A77" s="21"/>
      <c r="B77" s="22" t="s">
        <v>20</v>
      </c>
      <c r="C77" s="52"/>
      <c r="D77" s="53"/>
      <c r="E77" s="53"/>
      <c r="F77" s="53"/>
      <c r="G77" s="53"/>
      <c r="H77" s="53"/>
      <c r="I77" s="53"/>
      <c r="J77" s="53"/>
      <c r="K77" s="53"/>
      <c r="L77" s="53"/>
      <c r="M77" s="53">
        <f t="shared" ref="M77:Q77" si="54">IF(L5=0,
IF(M5=0,0,IF(M5&gt;0,1,-1)),
(M5-L5)/ABS(L5)
)</f>
        <v>1</v>
      </c>
      <c r="N77" s="53">
        <f t="shared" si="54"/>
        <v>0.18641482451146088</v>
      </c>
      <c r="O77" s="53">
        <f t="shared" si="54"/>
        <v>0.23568437370404344</v>
      </c>
      <c r="P77" s="53">
        <f t="shared" si="54"/>
        <v>9.2955127852289474E-2</v>
      </c>
      <c r="Q77" s="53">
        <f t="shared" si="54"/>
        <v>0.12653882310808692</v>
      </c>
      <c r="R77" s="1"/>
      <c r="S77" s="1"/>
      <c r="T77" s="53">
        <f t="shared" ref="T77:AA84" si="55">IF(S5=0,
IF(T5=0,0,IF(T5&gt;0,1,-1)),
(T5-S5)/ABS(S5)
)</f>
        <v>1</v>
      </c>
      <c r="U77" s="53">
        <f t="shared" si="55"/>
        <v>-5.6276707488839554E-2</v>
      </c>
      <c r="V77" s="53">
        <f t="shared" si="55"/>
        <v>0.12142177307408941</v>
      </c>
      <c r="W77" s="53">
        <f t="shared" si="55"/>
        <v>0.1945366315807282</v>
      </c>
      <c r="X77" s="53">
        <f t="shared" si="55"/>
        <v>-0.15820283916288599</v>
      </c>
      <c r="Y77" s="53">
        <f t="shared" si="55"/>
        <v>1.4311992462649737E-2</v>
      </c>
      <c r="Z77" s="53">
        <f t="shared" si="55"/>
        <v>0.13652523443029016</v>
      </c>
      <c r="AA77" s="53">
        <f t="shared" si="55"/>
        <v>0.17025489342346264</v>
      </c>
      <c r="AB77" s="1"/>
      <c r="AC77" s="73"/>
      <c r="AD77" s="1"/>
      <c r="AE77" s="1"/>
    </row>
    <row r="78" spans="1:31" outlineLevel="1" x14ac:dyDescent="0.2">
      <c r="B78" s="25" t="s">
        <v>21</v>
      </c>
      <c r="C78" s="54"/>
      <c r="D78" s="55"/>
      <c r="E78" s="55"/>
      <c r="F78" s="55"/>
      <c r="G78" s="55"/>
      <c r="H78" s="55"/>
      <c r="I78" s="55"/>
      <c r="J78" s="55"/>
      <c r="K78" s="55"/>
      <c r="L78" s="55"/>
      <c r="M78" s="55">
        <f t="shared" ref="M78:Q78" si="56">IF(L6=0,
IF(M6=0,0,IF(M6&gt;0,1,-1)),
(M6-L6)/ABS(L6)
)</f>
        <v>1</v>
      </c>
      <c r="N78" s="55">
        <f t="shared" si="56"/>
        <v>6.6223322358291689E-2</v>
      </c>
      <c r="O78" s="55">
        <f t="shared" si="56"/>
        <v>8.8158355132712404E-2</v>
      </c>
      <c r="P78" s="55">
        <f t="shared" si="56"/>
        <v>0.26039688858945303</v>
      </c>
      <c r="Q78" s="55">
        <f t="shared" si="56"/>
        <v>9.7358893991301598E-2</v>
      </c>
      <c r="T78" s="55">
        <f t="shared" si="55"/>
        <v>1</v>
      </c>
      <c r="U78" s="55">
        <f t="shared" si="55"/>
        <v>0.14450971531857207</v>
      </c>
      <c r="V78" s="55">
        <f t="shared" si="55"/>
        <v>6.9962097283638664E-3</v>
      </c>
      <c r="W78" s="55">
        <f t="shared" si="55"/>
        <v>1.2091651898436397E-2</v>
      </c>
      <c r="X78" s="55">
        <f t="shared" si="55"/>
        <v>-1.0490594105432795E-2</v>
      </c>
      <c r="Y78" s="55">
        <f t="shared" si="55"/>
        <v>8.1901749220915487E-3</v>
      </c>
      <c r="Z78" s="55">
        <f t="shared" si="55"/>
        <v>6.8841255048151598E-2</v>
      </c>
      <c r="AA78" s="55">
        <f t="shared" si="55"/>
        <v>7.4449223972562928E-2</v>
      </c>
      <c r="AC78" s="74"/>
    </row>
    <row r="79" spans="1:31" s="46" customFormat="1" outlineLevel="1" x14ac:dyDescent="0.2">
      <c r="A79" s="21"/>
      <c r="B79" s="22" t="s">
        <v>22</v>
      </c>
      <c r="C79" s="52"/>
      <c r="D79" s="53"/>
      <c r="E79" s="53"/>
      <c r="F79" s="53"/>
      <c r="G79" s="53"/>
      <c r="H79" s="53"/>
      <c r="I79" s="53"/>
      <c r="J79" s="53"/>
      <c r="K79" s="53"/>
      <c r="L79" s="53"/>
      <c r="M79" s="53">
        <f t="shared" ref="M79:Q79" si="57">IF(L7=0,
IF(M7=0,0,IF(M7&gt;0,1,-1)),
(M7-L7)/ABS(L7)
)</f>
        <v>1</v>
      </c>
      <c r="N79" s="53">
        <f t="shared" si="57"/>
        <v>0.21447253464273469</v>
      </c>
      <c r="O79" s="53">
        <f t="shared" si="57"/>
        <v>0.26591920594629664</v>
      </c>
      <c r="P79" s="53">
        <f t="shared" si="57"/>
        <v>6.3457381571517466E-2</v>
      </c>
      <c r="Q79" s="53">
        <f t="shared" si="57"/>
        <v>0.13263133686529885</v>
      </c>
      <c r="R79" s="1"/>
      <c r="S79" s="1"/>
      <c r="T79" s="53">
        <f t="shared" si="55"/>
        <v>1</v>
      </c>
      <c r="U79" s="53">
        <f t="shared" si="55"/>
        <v>-9.5980156333210623E-2</v>
      </c>
      <c r="V79" s="53">
        <f t="shared" si="55"/>
        <v>0.15006740915578434</v>
      </c>
      <c r="W79" s="53">
        <f t="shared" si="55"/>
        <v>0.23452851593385815</v>
      </c>
      <c r="X79" s="53">
        <f t="shared" si="55"/>
        <v>-0.18474737686292855</v>
      </c>
      <c r="Y79" s="53">
        <f t="shared" si="55"/>
        <v>1.5647255325907633E-2</v>
      </c>
      <c r="Z79" s="53">
        <f t="shared" si="55"/>
        <v>0.15117976243324321</v>
      </c>
      <c r="AA79" s="53">
        <f t="shared" si="55"/>
        <v>0.18951449163163414</v>
      </c>
      <c r="AB79" s="1"/>
      <c r="AC79" s="73"/>
      <c r="AD79" s="1"/>
      <c r="AE79" s="1"/>
    </row>
    <row r="80" spans="1:31" outlineLevel="1" x14ac:dyDescent="0.2">
      <c r="B80" s="25" t="s">
        <v>24</v>
      </c>
      <c r="C80" s="54"/>
      <c r="D80" s="55"/>
      <c r="E80" s="55"/>
      <c r="F80" s="55"/>
      <c r="G80" s="55"/>
      <c r="H80" s="55"/>
      <c r="I80" s="55"/>
      <c r="J80" s="55"/>
      <c r="K80" s="55"/>
      <c r="L80" s="55"/>
      <c r="M80" s="55">
        <f t="shared" ref="M80:Q80" si="58">IF(L8=0,
IF(M8=0,0,IF(M8&gt;0,1,-1)),
(M8-L8)/ABS(L8)
)</f>
        <v>1</v>
      </c>
      <c r="N80" s="55">
        <f t="shared" si="58"/>
        <v>5.5555396298026891E-3</v>
      </c>
      <c r="O80" s="55">
        <f t="shared" si="58"/>
        <v>1.6494716046285551E-2</v>
      </c>
      <c r="P80" s="55">
        <f t="shared" si="58"/>
        <v>3.55657453760184E-2</v>
      </c>
      <c r="Q80" s="55">
        <f t="shared" si="58"/>
        <v>-7.4698067551080383E-2</v>
      </c>
      <c r="T80" s="55">
        <f t="shared" si="55"/>
        <v>1</v>
      </c>
      <c r="U80" s="55">
        <f t="shared" si="55"/>
        <v>7.8778054724407257E-2</v>
      </c>
      <c r="V80" s="55">
        <f t="shared" si="55"/>
        <v>-3.6751916842484432E-2</v>
      </c>
      <c r="W80" s="55">
        <f t="shared" si="55"/>
        <v>-5.5302690343398082E-2</v>
      </c>
      <c r="X80" s="55">
        <f t="shared" si="55"/>
        <v>-9.7123888800922889E-2</v>
      </c>
      <c r="Y80" s="55">
        <f t="shared" si="55"/>
        <v>4.1600641358879129E-2</v>
      </c>
      <c r="Z80" s="55">
        <f t="shared" si="55"/>
        <v>7.746703306615034E-2</v>
      </c>
      <c r="AA80" s="55">
        <f t="shared" si="55"/>
        <v>-5.6198586943176365E-3</v>
      </c>
      <c r="AC80" s="74"/>
    </row>
    <row r="81" spans="1:31" outlineLevel="1" x14ac:dyDescent="0.2">
      <c r="B81" s="25" t="s">
        <v>23</v>
      </c>
      <c r="C81" s="54"/>
      <c r="D81" s="55"/>
      <c r="E81" s="55"/>
      <c r="F81" s="55"/>
      <c r="G81" s="55"/>
      <c r="H81" s="55"/>
      <c r="I81" s="55"/>
      <c r="J81" s="55"/>
      <c r="K81" s="55"/>
      <c r="L81" s="55"/>
      <c r="M81" s="55">
        <f t="shared" ref="M81:Q84" si="59">IF(L9=0,
IF(M9=0,0,IF(M9&gt;0,1,-1)),
(M9-L9)/ABS(L9)
)</f>
        <v>1</v>
      </c>
      <c r="N81" s="55">
        <f t="shared" si="59"/>
        <v>3.2867413439746689E-2</v>
      </c>
      <c r="O81" s="55">
        <f t="shared" si="59"/>
        <v>0.16220822397200349</v>
      </c>
      <c r="P81" s="55">
        <f t="shared" si="59"/>
        <v>0.14628381125019196</v>
      </c>
      <c r="Q81" s="55">
        <f t="shared" si="59"/>
        <v>1.1889188351432428E-2</v>
      </c>
      <c r="T81" s="55">
        <f t="shared" si="55"/>
        <v>1</v>
      </c>
      <c r="U81" s="55">
        <f t="shared" si="55"/>
        <v>0.14987792483908274</v>
      </c>
      <c r="V81" s="55">
        <f t="shared" si="55"/>
        <v>-1.4801946501681347E-2</v>
      </c>
      <c r="W81" s="55">
        <f t="shared" si="55"/>
        <v>2.7780069295495792E-2</v>
      </c>
      <c r="X81" s="55">
        <f t="shared" si="55"/>
        <v>-4.8469950837764626E-2</v>
      </c>
      <c r="Y81" s="55">
        <f t="shared" si="55"/>
        <v>3.6925737302164724E-2</v>
      </c>
      <c r="Z81" s="55">
        <f t="shared" si="55"/>
        <v>-1.4968324503513285E-2</v>
      </c>
      <c r="AA81" s="55">
        <f t="shared" si="55"/>
        <v>-1.7652706232127925E-2</v>
      </c>
      <c r="AC81" s="74"/>
    </row>
    <row r="82" spans="1:31" outlineLevel="1" x14ac:dyDescent="0.2">
      <c r="B82" s="28" t="s">
        <v>25</v>
      </c>
      <c r="C82" s="54"/>
      <c r="D82" s="55"/>
      <c r="E82" s="55"/>
      <c r="F82" s="55"/>
      <c r="G82" s="55"/>
      <c r="H82" s="55"/>
      <c r="I82" s="55"/>
      <c r="J82" s="55"/>
      <c r="K82" s="55"/>
      <c r="L82" s="55"/>
      <c r="M82" s="55">
        <f t="shared" si="59"/>
        <v>1</v>
      </c>
      <c r="N82" s="55">
        <f t="shared" si="59"/>
        <v>-4.1945510038361382E-2</v>
      </c>
      <c r="O82" s="55">
        <f t="shared" si="59"/>
        <v>-3.2851088703784892E-2</v>
      </c>
      <c r="P82" s="55">
        <f t="shared" si="59"/>
        <v>-2.383470689052267E-2</v>
      </c>
      <c r="Q82" s="55">
        <f t="shared" si="59"/>
        <v>-5.2296166569371472E-2</v>
      </c>
      <c r="T82" s="55">
        <f t="shared" si="55"/>
        <v>1</v>
      </c>
      <c r="U82" s="55">
        <f t="shared" si="55"/>
        <v>1.4170996693434106E-4</v>
      </c>
      <c r="V82" s="55">
        <f t="shared" si="55"/>
        <v>-0.21141705631385885</v>
      </c>
      <c r="W82" s="55">
        <f t="shared" si="55"/>
        <v>-2.1820722699141544E-2</v>
      </c>
      <c r="X82" s="55">
        <f t="shared" si="55"/>
        <v>0.11596628365001939</v>
      </c>
      <c r="Y82" s="55">
        <f t="shared" si="55"/>
        <v>-3.2736516761462352E-2</v>
      </c>
      <c r="Z82" s="55">
        <f t="shared" si="55"/>
        <v>5.407551664807427E-3</v>
      </c>
      <c r="AA82" s="55">
        <f t="shared" si="55"/>
        <v>7.014574518100611E-3</v>
      </c>
      <c r="AC82" s="74"/>
    </row>
    <row r="83" spans="1:31" outlineLevel="1" x14ac:dyDescent="0.2">
      <c r="B83" s="28" t="s">
        <v>26</v>
      </c>
      <c r="C83" s="54"/>
      <c r="D83" s="55"/>
      <c r="E83" s="55"/>
      <c r="F83" s="55"/>
      <c r="G83" s="55"/>
      <c r="H83" s="55"/>
      <c r="I83" s="55"/>
      <c r="J83" s="55"/>
      <c r="K83" s="55"/>
      <c r="L83" s="55"/>
      <c r="M83" s="55">
        <f t="shared" si="59"/>
        <v>1</v>
      </c>
      <c r="N83" s="55">
        <f t="shared" si="59"/>
        <v>2.0280479935964979E-3</v>
      </c>
      <c r="O83" s="55">
        <f t="shared" si="59"/>
        <v>4.080083924770931E-2</v>
      </c>
      <c r="P83" s="55">
        <f t="shared" si="59"/>
        <v>5.3586588433573397E-2</v>
      </c>
      <c r="Q83" s="55">
        <f t="shared" si="59"/>
        <v>-4.6430846560335276E-2</v>
      </c>
      <c r="T83" s="55">
        <f t="shared" si="55"/>
        <v>1</v>
      </c>
      <c r="U83" s="55">
        <f t="shared" si="55"/>
        <v>8.2095173301908575E-2</v>
      </c>
      <c r="V83" s="55">
        <f t="shared" si="55"/>
        <v>-6.1827428834462586E-2</v>
      </c>
      <c r="W83" s="55">
        <f t="shared" si="55"/>
        <v>-2.6180688937155576E-2</v>
      </c>
      <c r="X83" s="55">
        <f t="shared" si="55"/>
        <v>-5.0150075421731902E-2</v>
      </c>
      <c r="Y83" s="55">
        <f t="shared" si="55"/>
        <v>2.7019946374106908E-2</v>
      </c>
      <c r="Z83" s="55">
        <f t="shared" si="55"/>
        <v>3.6837116142259228E-2</v>
      </c>
      <c r="AA83" s="55">
        <f t="shared" si="55"/>
        <v>-7.119642802903745E-3</v>
      </c>
      <c r="AC83" s="74"/>
    </row>
    <row r="84" spans="1:31" s="46" customFormat="1" outlineLevel="1" x14ac:dyDescent="0.2">
      <c r="A84" s="21"/>
      <c r="B84" s="22" t="s">
        <v>27</v>
      </c>
      <c r="C84" s="52"/>
      <c r="D84" s="53"/>
      <c r="E84" s="53"/>
      <c r="F84" s="53"/>
      <c r="G84" s="53"/>
      <c r="H84" s="53"/>
      <c r="I84" s="53"/>
      <c r="J84" s="53"/>
      <c r="K84" s="53"/>
      <c r="L84" s="53"/>
      <c r="M84" s="53">
        <f t="shared" si="59"/>
        <v>-1</v>
      </c>
      <c r="N84" s="53">
        <f t="shared" si="59"/>
        <v>0.3047494141085067</v>
      </c>
      <c r="O84" s="53">
        <f t="shared" si="59"/>
        <v>0.52705127726590162</v>
      </c>
      <c r="P84" s="53">
        <f t="shared" si="59"/>
        <v>1.3058523555123847E-2</v>
      </c>
      <c r="Q84" s="53">
        <f t="shared" si="59"/>
        <v>1.3491440557547871</v>
      </c>
      <c r="R84" s="1"/>
      <c r="S84" s="1"/>
      <c r="T84" s="53">
        <f t="shared" si="55"/>
        <v>-1</v>
      </c>
      <c r="U84" s="53">
        <f t="shared" si="55"/>
        <v>-1.0893358940665117</v>
      </c>
      <c r="V84" s="53">
        <f t="shared" si="55"/>
        <v>0.58041200205130195</v>
      </c>
      <c r="W84" s="53">
        <f t="shared" si="55"/>
        <v>1.7750438151462042</v>
      </c>
      <c r="X84" s="53">
        <f t="shared" si="55"/>
        <v>-1.4883215805290249</v>
      </c>
      <c r="Y84" s="53">
        <f t="shared" si="55"/>
        <v>-0.22989276139410186</v>
      </c>
      <c r="Z84" s="53">
        <f t="shared" si="55"/>
        <v>1.6475600693584345</v>
      </c>
      <c r="AA84" s="53">
        <f t="shared" si="55"/>
        <v>5.1422997475327064</v>
      </c>
      <c r="AB84" s="1"/>
      <c r="AC84" s="73"/>
      <c r="AD84" s="1"/>
      <c r="AE84" s="1"/>
    </row>
    <row r="85" spans="1:31" s="58" customFormat="1" outlineLevel="1" x14ac:dyDescent="0.2">
      <c r="A85" s="21"/>
      <c r="B85" s="56" t="s">
        <v>30</v>
      </c>
      <c r="C85" s="52"/>
      <c r="D85" s="57"/>
      <c r="E85" s="57"/>
      <c r="F85" s="57"/>
      <c r="G85" s="57"/>
      <c r="H85" s="57"/>
      <c r="I85" s="57"/>
      <c r="J85" s="57"/>
      <c r="K85" s="57"/>
      <c r="L85" s="57"/>
      <c r="M85" s="57">
        <f t="shared" ref="M85:Q85" si="60">IF(L15=0,
IF(M15=0,0,IF(M15&gt;0,1,-1)),
(M15-L15)/ABS(L15)
)</f>
        <v>-1</v>
      </c>
      <c r="N85" s="57">
        <f t="shared" si="60"/>
        <v>0.37840758060064633</v>
      </c>
      <c r="O85" s="57">
        <f t="shared" si="60"/>
        <v>0.76125846687722987</v>
      </c>
      <c r="P85" s="57">
        <f t="shared" si="60"/>
        <v>-3.0139154520873179E-2</v>
      </c>
      <c r="Q85" s="57">
        <f t="shared" si="60"/>
        <v>2.2884507042253519</v>
      </c>
      <c r="R85" s="1"/>
      <c r="S85" s="1"/>
      <c r="T85" s="57">
        <f t="shared" ref="T85:AA85" si="61">IF(S15=0,
IF(T15=0,0,IF(T15&gt;0,1,-1)),
(T15-S15)/ABS(S15)
)</f>
        <v>-1</v>
      </c>
      <c r="U85" s="57">
        <f t="shared" si="61"/>
        <v>-2.2965619490302935</v>
      </c>
      <c r="V85" s="57">
        <f t="shared" si="61"/>
        <v>0.69005336153350594</v>
      </c>
      <c r="W85" s="57">
        <f t="shared" si="61"/>
        <v>3.1422016549668617</v>
      </c>
      <c r="X85" s="57">
        <f t="shared" si="61"/>
        <v>-1.3611599297012302</v>
      </c>
      <c r="Y85" s="57">
        <f t="shared" si="61"/>
        <v>1.1686435523114356</v>
      </c>
      <c r="Z85" s="57">
        <f t="shared" si="61"/>
        <v>6.3916441238352872</v>
      </c>
      <c r="AA85" s="57">
        <f t="shared" si="61"/>
        <v>2.7588240078074171</v>
      </c>
      <c r="AB85" s="1"/>
      <c r="AC85" s="73"/>
      <c r="AD85" s="1"/>
      <c r="AE85" s="1"/>
    </row>
    <row r="86" spans="1:31" s="58" customFormat="1" outlineLevel="1" x14ac:dyDescent="0.2">
      <c r="A86" s="21"/>
      <c r="B86" s="56" t="s">
        <v>32</v>
      </c>
      <c r="C86" s="52"/>
      <c r="D86" s="57"/>
      <c r="E86" s="57"/>
      <c r="F86" s="57"/>
      <c r="G86" s="57"/>
      <c r="H86" s="57"/>
      <c r="I86" s="57"/>
      <c r="J86" s="57"/>
      <c r="K86" s="57"/>
      <c r="L86" s="57"/>
      <c r="M86" s="57">
        <f t="shared" ref="M86:Q86" si="62">IF(L17=0,
IF(M17=0,0,IF(M17&gt;0,1,-1)),
(M17-L17)/ABS(L17)
)</f>
        <v>-1</v>
      </c>
      <c r="N86" s="57">
        <f t="shared" si="62"/>
        <v>0.37526494236908897</v>
      </c>
      <c r="O86" s="57">
        <f t="shared" si="62"/>
        <v>0.72626023292076791</v>
      </c>
      <c r="P86" s="57">
        <f t="shared" si="62"/>
        <v>0.18011192327803924</v>
      </c>
      <c r="Q86" s="57">
        <f t="shared" si="62"/>
        <v>4.8311124379189625</v>
      </c>
      <c r="R86" s="1"/>
      <c r="S86" s="1"/>
      <c r="T86" s="57">
        <f t="shared" ref="T86:AA86" si="63">IF(S17=0,
IF(T17=0,0,IF(T17&gt;0,1,-1)),
(T17-S17)/ABS(S17)
)</f>
        <v>-1</v>
      </c>
      <c r="U86" s="57">
        <f t="shared" si="63"/>
        <v>-1.996137249443207</v>
      </c>
      <c r="V86" s="57">
        <f t="shared" si="63"/>
        <v>0.87624423615224689</v>
      </c>
      <c r="W86" s="57">
        <f t="shared" si="63"/>
        <v>5.86100422336931</v>
      </c>
      <c r="X86" s="57">
        <f t="shared" si="63"/>
        <v>-1.435475151561957</v>
      </c>
      <c r="Y86" s="57">
        <f t="shared" si="63"/>
        <v>1.0702283307470628</v>
      </c>
      <c r="Z86" s="57">
        <f t="shared" si="63"/>
        <v>124.52967171717172</v>
      </c>
      <c r="AA86" s="57">
        <f t="shared" si="63"/>
        <v>-0.47464028686525278</v>
      </c>
      <c r="AB86" s="1"/>
      <c r="AC86" s="73"/>
      <c r="AD86" s="1"/>
      <c r="AE86" s="1"/>
    </row>
    <row r="87" spans="1:31" x14ac:dyDescent="0.2">
      <c r="B87" s="1"/>
    </row>
    <row r="88" spans="1:31" s="20" customFormat="1" ht="17" thickBot="1" x14ac:dyDescent="0.25">
      <c r="A88" s="16"/>
      <c r="B88" s="19" t="s">
        <v>82</v>
      </c>
      <c r="R88" s="1"/>
      <c r="S88" s="1"/>
      <c r="AB88" s="1"/>
      <c r="AD88" s="1"/>
      <c r="AE88" s="1"/>
    </row>
    <row r="89" spans="1:31" outlineLevel="1" x14ac:dyDescent="0.2">
      <c r="B89" s="25" t="s">
        <v>83</v>
      </c>
      <c r="C89" s="55"/>
      <c r="D89" s="55"/>
      <c r="E89" s="55"/>
      <c r="F89" s="55"/>
      <c r="G89" s="55"/>
      <c r="H89" s="55"/>
      <c r="I89" s="55"/>
      <c r="J89" s="55"/>
      <c r="K89" s="55"/>
      <c r="L89" s="55"/>
      <c r="M89" s="55">
        <f t="shared" ref="M89:Q89" si="64">M7/M5</f>
        <v>0.81073956684882742</v>
      </c>
      <c r="N89" s="55">
        <f t="shared" si="64"/>
        <v>0.82991287393217905</v>
      </c>
      <c r="O89" s="55">
        <f t="shared" si="64"/>
        <v>0.85021925398601916</v>
      </c>
      <c r="P89" s="55">
        <f t="shared" si="64"/>
        <v>0.82727270183763457</v>
      </c>
      <c r="Q89" s="55">
        <f t="shared" si="64"/>
        <v>0.83174673345867178</v>
      </c>
      <c r="T89" s="55">
        <f t="shared" ref="T89:AA89" si="65">T7/T5</f>
        <v>0.83490594189405332</v>
      </c>
      <c r="U89" s="55">
        <f t="shared" si="65"/>
        <v>0.79978055544137128</v>
      </c>
      <c r="V89" s="55">
        <f t="shared" si="65"/>
        <v>0.82021017727186851</v>
      </c>
      <c r="W89" s="55">
        <f t="shared" si="65"/>
        <v>0.84766998862257636</v>
      </c>
      <c r="X89" s="55">
        <f t="shared" si="65"/>
        <v>0.82094026201265202</v>
      </c>
      <c r="Y89" s="55">
        <f t="shared" si="65"/>
        <v>0.82202096602972397</v>
      </c>
      <c r="Z89" s="55">
        <f t="shared" si="65"/>
        <v>0.83262022850165285</v>
      </c>
      <c r="AA89" s="55">
        <f t="shared" si="65"/>
        <v>0.84632316719565504</v>
      </c>
      <c r="AC89" s="55">
        <f t="shared" ref="AC89" si="66">AC7/AC5</f>
        <v>0.83174673345867178</v>
      </c>
    </row>
    <row r="90" spans="1:31" outlineLevel="1" x14ac:dyDescent="0.2">
      <c r="B90" s="25" t="s">
        <v>84</v>
      </c>
      <c r="C90" s="55"/>
      <c r="D90" s="55"/>
      <c r="E90" s="55"/>
      <c r="F90" s="55"/>
      <c r="G90" s="55"/>
      <c r="H90" s="55"/>
      <c r="I90" s="55"/>
      <c r="J90" s="55"/>
      <c r="K90" s="55"/>
      <c r="L90" s="55"/>
      <c r="M90" s="55">
        <f t="shared" ref="M90:Q90" si="67">M12/M5</f>
        <v>-0.56144004160259653</v>
      </c>
      <c r="N90" s="55">
        <f t="shared" si="67"/>
        <v>-0.32900930585377974</v>
      </c>
      <c r="O90" s="55">
        <f t="shared" si="67"/>
        <v>-0.12592579001767487</v>
      </c>
      <c r="P90" s="55">
        <f t="shared" si="67"/>
        <v>-0.11371133357208407</v>
      </c>
      <c r="Q90" s="55">
        <f t="shared" si="67"/>
        <v>3.5242137575966802E-2</v>
      </c>
      <c r="T90" s="55">
        <f t="shared" ref="T90:AA90" si="68">T12/T5</f>
        <v>-0.14760736708921196</v>
      </c>
      <c r="U90" s="55">
        <f t="shared" si="68"/>
        <v>-0.32679215691234548</v>
      </c>
      <c r="V90" s="55">
        <f t="shared" si="68"/>
        <v>-0.12227162888795527</v>
      </c>
      <c r="W90" s="55">
        <f t="shared" si="68"/>
        <v>7.9332744791642082E-2</v>
      </c>
      <c r="X90" s="55">
        <f t="shared" si="68"/>
        <v>-4.602045852214097E-2</v>
      </c>
      <c r="Y90" s="55">
        <f t="shared" si="68"/>
        <v>-5.5801596779900917E-2</v>
      </c>
      <c r="Z90" s="55">
        <f t="shared" si="68"/>
        <v>3.1794178242964828E-2</v>
      </c>
      <c r="AA90" s="55">
        <f t="shared" si="68"/>
        <v>0.16687763844633313</v>
      </c>
      <c r="AC90" s="55">
        <f t="shared" ref="AC90" si="69">AC12/AC5</f>
        <v>3.5242137575966802E-2</v>
      </c>
    </row>
    <row r="91" spans="1:31" s="61" customFormat="1" outlineLevel="1" x14ac:dyDescent="0.2">
      <c r="A91" s="1"/>
      <c r="B91" s="59" t="s">
        <v>85</v>
      </c>
      <c r="C91" s="60"/>
      <c r="D91" s="60"/>
      <c r="E91" s="60"/>
      <c r="F91" s="60"/>
      <c r="G91" s="60"/>
      <c r="H91" s="60"/>
      <c r="I91" s="60"/>
      <c r="J91" s="60"/>
      <c r="K91" s="60"/>
      <c r="L91" s="60"/>
      <c r="M91" s="60">
        <f t="shared" ref="M91:Q91" si="70">M17/M5</f>
        <v>-0.58905555829519018</v>
      </c>
      <c r="N91" s="60">
        <f t="shared" si="70"/>
        <v>-0.31018127096556619</v>
      </c>
      <c r="O91" s="60">
        <f t="shared" si="70"/>
        <v>-6.8714107480322181E-2</v>
      </c>
      <c r="P91" s="60">
        <f t="shared" si="70"/>
        <v>-5.1546377330617545E-2</v>
      </c>
      <c r="Q91" s="60">
        <f t="shared" si="70"/>
        <v>0.17529796867199976</v>
      </c>
      <c r="R91" s="1"/>
      <c r="S91" s="1"/>
      <c r="T91" s="60">
        <f t="shared" ref="T91:AA91" si="71">T17/T5</f>
        <v>-8.5750435675236936E-2</v>
      </c>
      <c r="U91" s="60">
        <f t="shared" si="71"/>
        <v>-0.27224089573853844</v>
      </c>
      <c r="V91" s="60">
        <f t="shared" si="71"/>
        <v>-3.0043450922450959E-2</v>
      </c>
      <c r="W91" s="60">
        <f t="shared" si="71"/>
        <v>0.12225773405154303</v>
      </c>
      <c r="X91" s="60">
        <f t="shared" si="71"/>
        <v>-6.3245883619722734E-2</v>
      </c>
      <c r="Y91" s="60">
        <f t="shared" si="71"/>
        <v>4.3789808917197451E-3</v>
      </c>
      <c r="Z91" s="60">
        <f t="shared" si="71"/>
        <v>0.48366021020984495</v>
      </c>
      <c r="AA91" s="60">
        <f t="shared" si="71"/>
        <v>0.2171284142612766</v>
      </c>
      <c r="AB91" s="1"/>
      <c r="AC91" s="60">
        <f t="shared" ref="AC91" si="72">AC17/AC5</f>
        <v>0.17529796867199976</v>
      </c>
      <c r="AD91" s="1"/>
      <c r="AE91" s="1"/>
    </row>
    <row r="92" spans="1:31" x14ac:dyDescent="0.2">
      <c r="B92" s="1"/>
    </row>
    <row r="93" spans="1:31" s="20" customFormat="1" ht="17" thickBot="1" x14ac:dyDescent="0.25">
      <c r="A93" s="16"/>
      <c r="B93" s="19" t="s">
        <v>86</v>
      </c>
      <c r="R93" s="1"/>
      <c r="S93" s="1"/>
      <c r="AB93" s="1"/>
      <c r="AD93" s="1"/>
      <c r="AE93" s="1"/>
    </row>
    <row r="94" spans="1:31" outlineLevel="1" x14ac:dyDescent="0.2">
      <c r="B94" s="25" t="s">
        <v>125</v>
      </c>
      <c r="C94" s="67"/>
      <c r="D94" s="67"/>
      <c r="E94" s="67"/>
      <c r="F94" s="67"/>
      <c r="G94" s="67"/>
      <c r="H94" s="67"/>
      <c r="I94" s="67"/>
      <c r="J94" s="67"/>
      <c r="K94" s="67"/>
      <c r="L94" s="67"/>
      <c r="M94" s="67">
        <v>481427</v>
      </c>
      <c r="N94" s="67">
        <v>497836</v>
      </c>
      <c r="O94" s="67">
        <v>621392</v>
      </c>
      <c r="P94" s="67">
        <v>587152</v>
      </c>
      <c r="Q94" s="67">
        <v>606394</v>
      </c>
      <c r="T94" s="67">
        <v>140128</v>
      </c>
      <c r="U94" s="67">
        <v>112251</v>
      </c>
      <c r="V94" s="67">
        <v>137174</v>
      </c>
      <c r="W94" s="67">
        <v>197609</v>
      </c>
      <c r="X94" s="67">
        <v>128286</v>
      </c>
      <c r="Y94" s="67">
        <v>112161</v>
      </c>
      <c r="Z94" s="67">
        <v>150043</v>
      </c>
      <c r="AA94" s="67">
        <v>215904</v>
      </c>
      <c r="AC94" s="67">
        <f>SUM(X94:AA94)</f>
        <v>606394</v>
      </c>
    </row>
    <row r="95" spans="1:31" outlineLevel="1" x14ac:dyDescent="0.2">
      <c r="B95" s="25" t="s">
        <v>126</v>
      </c>
      <c r="C95" s="67"/>
      <c r="D95" s="67"/>
      <c r="E95" s="67"/>
      <c r="F95" s="67"/>
      <c r="G95" s="67"/>
      <c r="H95" s="67"/>
      <c r="I95" s="67"/>
      <c r="J95" s="67"/>
      <c r="K95" s="67"/>
      <c r="L95" s="67"/>
      <c r="M95" s="67">
        <v>369867</v>
      </c>
      <c r="N95" s="67">
        <v>508823</v>
      </c>
      <c r="O95" s="67">
        <v>649918</v>
      </c>
      <c r="P95" s="67">
        <v>801947</v>
      </c>
      <c r="Q95" s="67">
        <v>954472</v>
      </c>
      <c r="T95" s="67">
        <v>185131</v>
      </c>
      <c r="U95" s="67">
        <v>194673</v>
      </c>
      <c r="V95" s="67">
        <v>206922</v>
      </c>
      <c r="W95" s="67">
        <v>215221</v>
      </c>
      <c r="X95" s="67">
        <v>217303</v>
      </c>
      <c r="Y95" s="67">
        <v>238363</v>
      </c>
      <c r="Z95" s="67">
        <v>247573</v>
      </c>
      <c r="AA95" s="67">
        <v>251233</v>
      </c>
      <c r="AC95" s="67">
        <f t="shared" ref="AC95:AC100" si="73">SUM(X95:AA95)</f>
        <v>954472</v>
      </c>
    </row>
    <row r="96" spans="1:31" outlineLevel="1" x14ac:dyDescent="0.2">
      <c r="B96" s="25" t="s">
        <v>127</v>
      </c>
      <c r="C96" s="67"/>
      <c r="D96" s="67"/>
      <c r="E96" s="67"/>
      <c r="F96" s="67"/>
      <c r="G96" s="67"/>
      <c r="H96" s="67"/>
      <c r="I96" s="67"/>
      <c r="J96" s="67"/>
      <c r="K96" s="67"/>
      <c r="L96" s="67"/>
      <c r="M96" s="67">
        <v>40958</v>
      </c>
      <c r="N96" s="67">
        <v>51922</v>
      </c>
      <c r="O96" s="67">
        <v>36762</v>
      </c>
      <c r="P96" s="67">
        <v>40555</v>
      </c>
      <c r="Q96" s="67">
        <v>49706</v>
      </c>
      <c r="T96" s="67">
        <v>9853</v>
      </c>
      <c r="U96" s="67">
        <v>9329</v>
      </c>
      <c r="V96" s="67">
        <v>10557</v>
      </c>
      <c r="W96" s="67">
        <v>10816</v>
      </c>
      <c r="X96" s="67">
        <v>11035</v>
      </c>
      <c r="Y96" s="67">
        <v>11204</v>
      </c>
      <c r="Z96" s="67">
        <v>13497</v>
      </c>
      <c r="AA96" s="67">
        <v>13970</v>
      </c>
      <c r="AC96" s="67">
        <f t="shared" si="73"/>
        <v>49706</v>
      </c>
    </row>
    <row r="97" spans="1:31" outlineLevel="1" x14ac:dyDescent="0.2">
      <c r="C97" s="26"/>
      <c r="D97" s="26"/>
      <c r="E97" s="26"/>
      <c r="F97" s="26"/>
      <c r="G97" s="26"/>
      <c r="H97" s="26"/>
      <c r="I97" s="26"/>
      <c r="J97" s="26"/>
      <c r="K97" s="26"/>
      <c r="L97" s="26"/>
      <c r="M97" s="26"/>
      <c r="AC97" s="67"/>
    </row>
    <row r="98" spans="1:31" outlineLevel="1" x14ac:dyDescent="0.2">
      <c r="B98" s="25" t="s">
        <v>128</v>
      </c>
      <c r="C98" s="67"/>
      <c r="D98" s="67"/>
      <c r="E98" s="67"/>
      <c r="F98" s="67"/>
      <c r="G98" s="67"/>
      <c r="H98" s="67"/>
      <c r="I98" s="67"/>
      <c r="J98" s="67"/>
      <c r="K98" s="67"/>
      <c r="L98" s="67"/>
      <c r="M98" s="67">
        <v>11888</v>
      </c>
      <c r="N98" s="67">
        <v>10421</v>
      </c>
      <c r="O98" s="67">
        <v>10469</v>
      </c>
      <c r="P98" s="67">
        <v>8565</v>
      </c>
      <c r="Q98" s="67">
        <v>5334</v>
      </c>
      <c r="T98" s="67">
        <v>2601</v>
      </c>
      <c r="U98" s="67">
        <v>2393</v>
      </c>
      <c r="V98" s="67">
        <v>2340</v>
      </c>
      <c r="W98" s="67">
        <v>1231</v>
      </c>
      <c r="X98" s="67">
        <v>1268</v>
      </c>
      <c r="Y98" s="67">
        <v>1200</v>
      </c>
      <c r="Z98" s="67">
        <v>1311</v>
      </c>
      <c r="AA98" s="67">
        <v>1555</v>
      </c>
      <c r="AC98" s="67">
        <f t="shared" si="73"/>
        <v>5334</v>
      </c>
    </row>
    <row r="99" spans="1:31" outlineLevel="1" x14ac:dyDescent="0.2">
      <c r="B99" s="25" t="s">
        <v>129</v>
      </c>
      <c r="C99" s="67"/>
      <c r="D99" s="67"/>
      <c r="E99" s="67"/>
      <c r="F99" s="67"/>
      <c r="G99" s="67"/>
      <c r="H99" s="67"/>
      <c r="I99" s="67"/>
      <c r="J99" s="67"/>
      <c r="K99" s="67"/>
      <c r="L99" s="67"/>
      <c r="M99" s="67">
        <v>60565</v>
      </c>
      <c r="N99" s="67">
        <v>87366</v>
      </c>
      <c r="O99" s="67">
        <v>111922</v>
      </c>
      <c r="P99" s="67">
        <v>167630</v>
      </c>
      <c r="Q99" s="67">
        <v>157588</v>
      </c>
      <c r="T99" s="67">
        <v>36754</v>
      </c>
      <c r="U99" s="67">
        <v>43529</v>
      </c>
      <c r="V99" s="67">
        <v>43487</v>
      </c>
      <c r="W99" s="67">
        <v>43860</v>
      </c>
      <c r="X99" s="67">
        <v>38468</v>
      </c>
      <c r="Y99" s="67">
        <v>38229</v>
      </c>
      <c r="Z99" s="67">
        <v>40121</v>
      </c>
      <c r="AA99" s="67">
        <v>40770</v>
      </c>
      <c r="AC99" s="67">
        <f t="shared" si="73"/>
        <v>157588</v>
      </c>
    </row>
    <row r="100" spans="1:31" outlineLevel="1" x14ac:dyDescent="0.2">
      <c r="B100" s="25" t="s">
        <v>130</v>
      </c>
      <c r="C100" s="67"/>
      <c r="D100" s="67"/>
      <c r="E100" s="67"/>
      <c r="F100" s="67"/>
      <c r="G100" s="67"/>
      <c r="H100" s="67"/>
      <c r="I100" s="67"/>
      <c r="J100" s="67"/>
      <c r="K100" s="67"/>
      <c r="L100" s="67"/>
      <c r="M100" s="67">
        <v>96415</v>
      </c>
      <c r="N100" s="67">
        <v>82264</v>
      </c>
      <c r="O100" s="67">
        <v>73533</v>
      </c>
      <c r="P100" s="67">
        <v>70747</v>
      </c>
      <c r="Q100" s="67">
        <v>108062</v>
      </c>
      <c r="T100" s="67">
        <v>15970</v>
      </c>
      <c r="U100" s="67">
        <v>17398</v>
      </c>
      <c r="V100" s="67">
        <v>17936</v>
      </c>
      <c r="W100" s="67">
        <v>19443</v>
      </c>
      <c r="X100" s="67">
        <v>24121</v>
      </c>
      <c r="Y100" s="67">
        <v>24951</v>
      </c>
      <c r="Z100" s="67">
        <v>27380</v>
      </c>
      <c r="AA100" s="67">
        <v>31610</v>
      </c>
      <c r="AC100" s="67">
        <f t="shared" si="73"/>
        <v>108062</v>
      </c>
    </row>
    <row r="101" spans="1:31" outlineLevel="1" x14ac:dyDescent="0.2">
      <c r="C101" s="26"/>
      <c r="D101" s="26"/>
      <c r="E101" s="26"/>
      <c r="F101" s="26"/>
      <c r="G101" s="26"/>
      <c r="H101" s="26"/>
      <c r="I101" s="26"/>
      <c r="J101" s="26"/>
      <c r="K101" s="26"/>
      <c r="L101" s="26"/>
      <c r="M101" s="26"/>
    </row>
    <row r="102" spans="1:31" x14ac:dyDescent="0.2">
      <c r="B102" s="1"/>
    </row>
    <row r="103" spans="1:31" s="20" customFormat="1" ht="17" thickBot="1" x14ac:dyDescent="0.25">
      <c r="A103" s="16"/>
      <c r="B103" s="19" t="s">
        <v>140</v>
      </c>
      <c r="R103" s="1"/>
      <c r="S103" s="1"/>
      <c r="AB103" s="1"/>
      <c r="AD103" s="1"/>
      <c r="AE103" s="1"/>
    </row>
    <row r="104" spans="1:31" outlineLevel="1" x14ac:dyDescent="0.2">
      <c r="B104" s="25" t="s">
        <v>78</v>
      </c>
      <c r="C104" s="90">
        <f>IF(AND(C71&gt;=0,C12&gt;=0),C71,0)</f>
        <v>0</v>
      </c>
      <c r="D104" s="90">
        <f t="shared" ref="D104:Q104" si="74">IF(AND(D71&gt;=0,D12&gt;=0),D71,0)</f>
        <v>0</v>
      </c>
      <c r="E104" s="90">
        <f t="shared" si="74"/>
        <v>0</v>
      </c>
      <c r="F104" s="90">
        <f t="shared" si="74"/>
        <v>0</v>
      </c>
      <c r="G104" s="90">
        <f t="shared" si="74"/>
        <v>0</v>
      </c>
      <c r="H104" s="90">
        <f t="shared" si="74"/>
        <v>0</v>
      </c>
      <c r="I104" s="90">
        <f t="shared" si="74"/>
        <v>0</v>
      </c>
      <c r="J104" s="90">
        <f t="shared" si="74"/>
        <v>0</v>
      </c>
      <c r="K104" s="90">
        <f t="shared" si="74"/>
        <v>0</v>
      </c>
      <c r="L104" s="90">
        <f t="shared" si="74"/>
        <v>0</v>
      </c>
      <c r="M104" s="90">
        <f t="shared" si="74"/>
        <v>0</v>
      </c>
      <c r="N104" s="90">
        <f t="shared" si="74"/>
        <v>0</v>
      </c>
      <c r="O104" s="90">
        <f t="shared" si="74"/>
        <v>0</v>
      </c>
      <c r="P104" s="90">
        <f t="shared" si="74"/>
        <v>0</v>
      </c>
      <c r="Q104" s="90">
        <f t="shared" si="74"/>
        <v>0</v>
      </c>
      <c r="T104" s="90">
        <f t="shared" ref="T104:AA104" si="75">IF(AND(T71&gt;=0,T12&gt;=0),T71,0)</f>
        <v>0</v>
      </c>
      <c r="U104" s="90">
        <f t="shared" si="75"/>
        <v>0</v>
      </c>
      <c r="V104" s="90">
        <f t="shared" si="75"/>
        <v>0</v>
      </c>
      <c r="W104" s="90">
        <f t="shared" si="75"/>
        <v>5.1808728763913299E-2</v>
      </c>
      <c r="X104" s="90">
        <f t="shared" si="75"/>
        <v>0</v>
      </c>
      <c r="Y104" s="90">
        <f t="shared" si="75"/>
        <v>0</v>
      </c>
      <c r="Z104" s="90">
        <f t="shared" si="75"/>
        <v>0</v>
      </c>
      <c r="AA104" s="90">
        <f t="shared" si="75"/>
        <v>0</v>
      </c>
      <c r="AC104" s="90">
        <f>Overview!C26</f>
        <v>0.21</v>
      </c>
    </row>
    <row r="105" spans="1:31" outlineLevel="1" x14ac:dyDescent="0.2">
      <c r="C105" s="62"/>
      <c r="D105" s="62"/>
      <c r="E105" s="62"/>
      <c r="F105" s="62"/>
      <c r="G105" s="62"/>
      <c r="H105" s="62"/>
      <c r="I105" s="62"/>
      <c r="J105" s="62"/>
      <c r="K105" s="62"/>
    </row>
    <row r="106" spans="1:31" outlineLevel="1" x14ac:dyDescent="0.2">
      <c r="C106" s="62"/>
      <c r="D106" s="62"/>
      <c r="E106" s="62"/>
      <c r="F106" s="62"/>
      <c r="G106" s="62"/>
      <c r="H106" s="62"/>
      <c r="I106" s="62"/>
      <c r="J106" s="62"/>
      <c r="K106" s="62"/>
    </row>
    <row r="107" spans="1:31" x14ac:dyDescent="0.2">
      <c r="B107" s="1"/>
    </row>
    <row r="108" spans="1:31" s="20" customFormat="1" ht="17" thickBot="1" x14ac:dyDescent="0.25">
      <c r="A108" s="16"/>
      <c r="B108" s="19" t="s">
        <v>87</v>
      </c>
      <c r="R108" s="1"/>
      <c r="S108" s="1"/>
      <c r="AB108" s="1"/>
      <c r="AD108" s="1"/>
      <c r="AE108" s="1"/>
    </row>
    <row r="109" spans="1:31" x14ac:dyDescent="0.2">
      <c r="B109" s="25" t="s">
        <v>88</v>
      </c>
      <c r="C109" s="31"/>
      <c r="D109" s="31"/>
      <c r="E109" s="31"/>
      <c r="F109" s="31"/>
      <c r="G109" s="31"/>
      <c r="H109" s="31"/>
      <c r="I109" s="31"/>
      <c r="J109" s="31"/>
      <c r="K109" s="31"/>
      <c r="L109" s="31"/>
      <c r="M109" s="68">
        <v>33.43</v>
      </c>
      <c r="N109" s="68">
        <v>14.57</v>
      </c>
      <c r="O109" s="68">
        <v>23.85</v>
      </c>
      <c r="P109" s="68">
        <v>14.58</v>
      </c>
      <c r="Q109" s="68">
        <v>12.59</v>
      </c>
      <c r="T109" s="68"/>
      <c r="U109" s="68"/>
      <c r="V109" s="68"/>
      <c r="W109" s="68"/>
      <c r="X109" s="68"/>
      <c r="Y109" s="68"/>
      <c r="Z109" s="68"/>
      <c r="AA109" s="68"/>
      <c r="AC109" s="81">
        <f ca="1">Overview!C5</f>
        <v>10.75</v>
      </c>
    </row>
    <row r="111" spans="1:31" x14ac:dyDescent="0.2">
      <c r="B111" s="1"/>
    </row>
    <row r="112" spans="1:31" s="20" customFormat="1" ht="17" thickBot="1" x14ac:dyDescent="0.25">
      <c r="A112" s="16"/>
      <c r="B112" s="19" t="s">
        <v>124</v>
      </c>
      <c r="R112" s="1"/>
      <c r="S112" s="1"/>
      <c r="AB112" s="1"/>
      <c r="AD112" s="1"/>
      <c r="AE112" s="1"/>
    </row>
    <row r="113" spans="2:29" outlineLevel="1" x14ac:dyDescent="0.2">
      <c r="B113" s="25" t="s">
        <v>89</v>
      </c>
      <c r="C113" s="29"/>
      <c r="D113" s="29"/>
      <c r="E113" s="29"/>
      <c r="F113" s="29"/>
      <c r="G113" s="29"/>
      <c r="H113" s="29"/>
      <c r="I113" s="29"/>
      <c r="J113" s="29"/>
      <c r="K113" s="29"/>
      <c r="L113" s="29"/>
      <c r="M113" s="29">
        <f>M5*Overview!$C$19/M72</f>
        <v>222340.39372040867</v>
      </c>
      <c r="N113" s="29">
        <f>N5*Overview!$C$19/N72</f>
        <v>276175.58048525959</v>
      </c>
      <c r="O113" s="29">
        <f>O5*Overview!$C$19/O72</f>
        <v>324181.41263940523</v>
      </c>
      <c r="P113" s="29">
        <f>P5*Overview!$C$19/P72</f>
        <v>369613.2368148914</v>
      </c>
      <c r="Q113" s="29">
        <f>Q5*Overview!$C$19/Q72</f>
        <v>404564.68224064307</v>
      </c>
      <c r="T113" s="74"/>
      <c r="U113" s="74"/>
      <c r="V113" s="74"/>
      <c r="W113" s="74"/>
      <c r="X113" s="74"/>
      <c r="Y113" s="74"/>
      <c r="Z113" s="74"/>
      <c r="AA113" s="74"/>
      <c r="AC113" s="74"/>
    </row>
    <row r="114" spans="2:29" outlineLevel="1" x14ac:dyDescent="0.2">
      <c r="B114" s="25" t="s">
        <v>90</v>
      </c>
      <c r="C114" s="69"/>
      <c r="D114" s="69"/>
      <c r="E114" s="69"/>
      <c r="F114" s="69"/>
      <c r="G114" s="69"/>
      <c r="H114" s="69"/>
      <c r="I114" s="69"/>
      <c r="J114" s="69"/>
      <c r="K114" s="69"/>
      <c r="L114" s="69"/>
      <c r="M114" s="69">
        <f>M17*Overview!$C$19/M72</f>
        <v>-130970.84475454772</v>
      </c>
      <c r="N114" s="69">
        <f>N17*Overview!$C$19/N72</f>
        <v>-85664.492564570828</v>
      </c>
      <c r="O114" s="69">
        <f>O17*Overview!$C$19/O72</f>
        <v>-22275.836431226766</v>
      </c>
      <c r="P114" s="69">
        <f>P17*Overview!$C$19/P72</f>
        <v>-19052.223371251293</v>
      </c>
      <c r="Q114" s="69">
        <f>Q17*Overview!$C$19/Q72</f>
        <v>70919.366993217787</v>
      </c>
      <c r="T114" s="74"/>
      <c r="U114" s="74"/>
      <c r="V114" s="74"/>
      <c r="W114" s="74"/>
      <c r="X114" s="74"/>
      <c r="Y114" s="74"/>
      <c r="Z114" s="74"/>
      <c r="AA114" s="74"/>
      <c r="AC114" s="74"/>
    </row>
    <row r="115" spans="2:29" outlineLevel="1" x14ac:dyDescent="0.2">
      <c r="B115" s="25" t="s">
        <v>91</v>
      </c>
      <c r="C115" s="52"/>
      <c r="D115" s="55"/>
      <c r="E115" s="55"/>
      <c r="F115" s="55"/>
      <c r="G115" s="55"/>
      <c r="H115" s="55"/>
      <c r="I115" s="55"/>
      <c r="J115" s="55"/>
      <c r="K115" s="55"/>
      <c r="L115" s="55"/>
      <c r="M115" s="55" t="e">
        <f>(M72-L72)/L72</f>
        <v>#DIV/0!</v>
      </c>
      <c r="N115" s="55">
        <f>(N72-M72)/M72</f>
        <v>-4.4854223772738601E-2</v>
      </c>
      <c r="O115" s="55">
        <f>(O72-N72)/N72</f>
        <v>5.2700234803026352E-2</v>
      </c>
      <c r="P115" s="55">
        <f>(P72-O72)/O72</f>
        <v>-4.1387856257744736E-2</v>
      </c>
      <c r="Q115" s="55">
        <f>(Q72-P72)/P72</f>
        <v>2.9214064115822131E-2</v>
      </c>
      <c r="T115" s="74"/>
      <c r="U115" s="74"/>
      <c r="V115" s="74"/>
      <c r="W115" s="74"/>
      <c r="X115" s="74"/>
      <c r="Y115" s="74"/>
      <c r="Z115" s="74"/>
      <c r="AA115" s="74"/>
      <c r="AC115" s="74"/>
    </row>
    <row r="116" spans="2:29" x14ac:dyDescent="0.2">
      <c r="B116" s="25" t="s">
        <v>92</v>
      </c>
      <c r="C116" s="52"/>
      <c r="D116" s="63"/>
      <c r="E116" s="63"/>
      <c r="F116" s="63"/>
      <c r="G116" s="63"/>
      <c r="H116" s="63"/>
      <c r="I116" s="63"/>
      <c r="J116" s="63"/>
      <c r="K116" s="63"/>
      <c r="L116" s="63"/>
      <c r="M116" s="63" t="e">
        <f t="shared" ref="M116" si="76">(M113-L113)/L113</f>
        <v>#DIV/0!</v>
      </c>
      <c r="N116" s="63">
        <f t="shared" ref="N116" si="77">(N113-M113)/M113</f>
        <v>0.24212958277184782</v>
      </c>
      <c r="O116" s="63">
        <f t="shared" ref="O116" si="78">(O113-N113)/N113</f>
        <v>0.17382359464872338</v>
      </c>
      <c r="P116" s="63">
        <f t="shared" ref="P116" si="79">(P113-O113)/O113</f>
        <v>0.14014321119027598</v>
      </c>
      <c r="Q116" s="63">
        <f t="shared" ref="Q116" si="80">(Q113-P113)/P113</f>
        <v>9.4562212454679911E-2</v>
      </c>
      <c r="T116" s="74"/>
      <c r="U116" s="74"/>
      <c r="V116" s="74"/>
      <c r="W116" s="74"/>
      <c r="X116" s="74"/>
      <c r="Y116" s="74"/>
      <c r="Z116" s="74"/>
      <c r="AA116" s="74"/>
      <c r="AC116" s="74"/>
    </row>
    <row r="117" spans="2:29" x14ac:dyDescent="0.2">
      <c r="B117" s="25" t="s">
        <v>93</v>
      </c>
      <c r="C117" s="52"/>
      <c r="D117" s="55"/>
      <c r="E117" s="55"/>
      <c r="F117" s="55"/>
      <c r="G117" s="55"/>
      <c r="H117" s="55"/>
      <c r="I117" s="55"/>
      <c r="J117" s="55"/>
      <c r="K117" s="55"/>
      <c r="L117" s="55"/>
      <c r="M117" s="55">
        <f>IF(L114=0,
IF(M114=0,0,IF(M114&gt;0,1,-1)),
(M114-L114)/ABS(L114)
)</f>
        <v>-1</v>
      </c>
      <c r="N117" s="55">
        <f t="shared" ref="N117:Q117" si="81">IF(M114=0,
IF(N114=0,0,IF(N114&gt;0,1,-1)),
(N114-M114)/ABS(M114)
)</f>
        <v>0.34592700592933845</v>
      </c>
      <c r="O117" s="55">
        <f t="shared" si="81"/>
        <v>0.73996418160726229</v>
      </c>
      <c r="P117" s="55">
        <f t="shared" si="81"/>
        <v>0.14471344633580355</v>
      </c>
      <c r="Q117" s="55">
        <f t="shared" si="81"/>
        <v>4.7223669705778812</v>
      </c>
      <c r="T117" s="74"/>
      <c r="U117" s="74"/>
      <c r="V117" s="74"/>
      <c r="W117" s="74"/>
      <c r="X117" s="74"/>
      <c r="Y117" s="74"/>
      <c r="Z117" s="74"/>
      <c r="AA117" s="74"/>
      <c r="AC117" s="74"/>
    </row>
    <row r="119" spans="2:29" x14ac:dyDescent="0.2">
      <c r="B119" s="1"/>
    </row>
    <row r="120" spans="2:29" ht="17" thickBot="1" x14ac:dyDescent="0.25">
      <c r="B120" s="19" t="s">
        <v>137</v>
      </c>
      <c r="C120" s="20"/>
      <c r="D120" s="20"/>
      <c r="E120" s="20"/>
      <c r="F120" s="20"/>
      <c r="G120" s="20"/>
      <c r="H120" s="20"/>
      <c r="I120" s="20"/>
      <c r="J120" s="20"/>
      <c r="K120" s="20"/>
      <c r="L120" s="20"/>
      <c r="M120" s="20"/>
      <c r="N120" s="20"/>
      <c r="O120" s="20"/>
      <c r="P120" s="20"/>
      <c r="Q120" s="20"/>
      <c r="T120" s="20"/>
      <c r="U120" s="20"/>
      <c r="V120" s="20"/>
      <c r="W120" s="20"/>
      <c r="X120" s="20"/>
      <c r="Y120" s="20"/>
      <c r="Z120" s="20"/>
      <c r="AA120" s="20"/>
      <c r="AC120" s="20"/>
    </row>
    <row r="121" spans="2:29" x14ac:dyDescent="0.2">
      <c r="B121" s="25" t="s">
        <v>131</v>
      </c>
      <c r="M121" s="82">
        <f t="shared" ref="M121:P121" si="82">M17/M5</f>
        <v>-0.58905555829519018</v>
      </c>
      <c r="N121" s="82">
        <f t="shared" si="82"/>
        <v>-0.31018127096556619</v>
      </c>
      <c r="O121" s="82">
        <f t="shared" si="82"/>
        <v>-6.8714107480322181E-2</v>
      </c>
      <c r="P121" s="82">
        <f t="shared" si="82"/>
        <v>-5.1546377330617545E-2</v>
      </c>
      <c r="Q121" s="82">
        <f>Q17/Q5</f>
        <v>0.17529796867199976</v>
      </c>
      <c r="T121" s="85"/>
      <c r="U121" s="85"/>
      <c r="V121" s="85"/>
      <c r="W121" s="85"/>
      <c r="X121" s="85"/>
      <c r="Y121" s="85"/>
      <c r="Z121" s="85"/>
      <c r="AA121" s="85"/>
      <c r="AC121" s="82">
        <f>AC17/AC5</f>
        <v>0.17529796867199976</v>
      </c>
    </row>
    <row r="122" spans="2:29" x14ac:dyDescent="0.2">
      <c r="B122" s="25" t="s">
        <v>132</v>
      </c>
      <c r="M122" s="83">
        <f t="shared" ref="M122:P122" si="83">M5/M34</f>
        <v>0.346849112713561</v>
      </c>
      <c r="N122" s="83">
        <f t="shared" si="83"/>
        <v>0.38702057541552631</v>
      </c>
      <c r="O122" s="83">
        <f t="shared" si="83"/>
        <v>0.44270021436611728</v>
      </c>
      <c r="P122" s="83">
        <f t="shared" si="83"/>
        <v>0.49896309946357587</v>
      </c>
      <c r="Q122" s="83">
        <f>Q5/Q34</f>
        <v>0.50659662808253647</v>
      </c>
      <c r="T122" s="86"/>
      <c r="U122" s="86"/>
      <c r="V122" s="86"/>
      <c r="W122" s="86"/>
      <c r="X122" s="86"/>
      <c r="Y122" s="86"/>
      <c r="Z122" s="86"/>
      <c r="AA122" s="86"/>
      <c r="AC122" s="83">
        <f>AC5/AC34</f>
        <v>0.50659662808253647</v>
      </c>
    </row>
    <row r="123" spans="2:29" x14ac:dyDescent="0.2">
      <c r="B123" s="37" t="s">
        <v>133</v>
      </c>
      <c r="M123" s="84">
        <f t="shared" ref="M123:P123" si="84">M121*M122</f>
        <v>-0.20431339773367801</v>
      </c>
      <c r="N123" s="84">
        <f t="shared" si="84"/>
        <v>-0.12004653397221271</v>
      </c>
      <c r="O123" s="84">
        <f t="shared" si="84"/>
        <v>-3.0419750111515053E-2</v>
      </c>
      <c r="P123" s="84">
        <f t="shared" si="84"/>
        <v>-2.5719740199003933E-2</v>
      </c>
      <c r="Q123" s="84">
        <f>Q121*Q122</f>
        <v>8.8805359838953199E-2</v>
      </c>
      <c r="T123" s="87"/>
      <c r="U123" s="87"/>
      <c r="V123" s="87"/>
      <c r="W123" s="87"/>
      <c r="X123" s="87"/>
      <c r="Y123" s="87"/>
      <c r="Z123" s="87"/>
      <c r="AA123" s="87"/>
      <c r="AC123" s="84">
        <f>AC121*AC122</f>
        <v>8.8805359838953199E-2</v>
      </c>
    </row>
    <row r="124" spans="2:29" x14ac:dyDescent="0.2">
      <c r="B124" s="25" t="s">
        <v>134</v>
      </c>
      <c r="M124" s="83">
        <f t="shared" ref="M124:P124" si="85">M34/M43</f>
        <v>1.3384813183920012</v>
      </c>
      <c r="N124" s="83">
        <f t="shared" si="85"/>
        <v>1.4244692363857558</v>
      </c>
      <c r="O124" s="83">
        <f t="shared" si="85"/>
        <v>1.4655708952965953</v>
      </c>
      <c r="P124" s="83">
        <f t="shared" si="85"/>
        <v>1.5523507364438103</v>
      </c>
      <c r="Q124" s="83">
        <f>Q34/Q43</f>
        <v>1.526562875884657</v>
      </c>
      <c r="T124" s="88"/>
      <c r="U124" s="88"/>
      <c r="V124" s="88"/>
      <c r="W124" s="88"/>
      <c r="X124" s="88"/>
      <c r="Y124" s="88"/>
      <c r="Z124" s="88"/>
      <c r="AA124" s="88"/>
      <c r="AC124" s="83">
        <f>AC34/AC43</f>
        <v>1.526562875884657</v>
      </c>
    </row>
    <row r="125" spans="2:29" x14ac:dyDescent="0.2">
      <c r="B125" s="37" t="s">
        <v>135</v>
      </c>
      <c r="M125" s="84">
        <f t="shared" ref="M125:P125" si="86">M123*M124</f>
        <v>-0.27346966596372269</v>
      </c>
      <c r="N125" s="84">
        <f t="shared" si="86"/>
        <v>-0.17100259457815453</v>
      </c>
      <c r="O125" s="84">
        <f t="shared" si="86"/>
        <v>-4.4582300405631825E-2</v>
      </c>
      <c r="P125" s="84">
        <f t="shared" si="86"/>
        <v>-3.9926057639067224E-2</v>
      </c>
      <c r="Q125" s="84">
        <f>Q123*Q124</f>
        <v>0.13556696550972422</v>
      </c>
      <c r="T125" s="87"/>
      <c r="U125" s="87"/>
      <c r="V125" s="87"/>
      <c r="W125" s="87"/>
      <c r="X125" s="87"/>
      <c r="Y125" s="87"/>
      <c r="Z125" s="87"/>
      <c r="AA125" s="87"/>
      <c r="AC125" s="84">
        <f>AC123*AC124</f>
        <v>0.13556696550972422</v>
      </c>
    </row>
    <row r="126" spans="2:29" x14ac:dyDescent="0.2">
      <c r="B126" s="37" t="s">
        <v>136</v>
      </c>
      <c r="Q126" s="84"/>
      <c r="T126" s="87"/>
      <c r="U126" s="87"/>
      <c r="V126" s="87"/>
      <c r="W126" s="87"/>
      <c r="X126" s="87"/>
      <c r="Y126" s="87"/>
      <c r="Z126" s="87"/>
      <c r="AA126" s="87"/>
    </row>
    <row r="128" spans="2:29" x14ac:dyDescent="0.2">
      <c r="B128" s="1"/>
    </row>
    <row r="129" spans="1:31" s="20" customFormat="1" ht="17" thickBot="1" x14ac:dyDescent="0.25">
      <c r="A129" s="16"/>
      <c r="B129" s="19" t="s">
        <v>141</v>
      </c>
      <c r="R129" s="1"/>
      <c r="S129" s="1"/>
      <c r="AB129" s="1"/>
      <c r="AD129" s="1"/>
      <c r="AE129" s="1"/>
    </row>
    <row r="130" spans="1:31" outlineLevel="1" x14ac:dyDescent="0.2">
      <c r="B130" s="25" t="s">
        <v>142</v>
      </c>
      <c r="C130" s="67"/>
      <c r="D130" s="67"/>
      <c r="E130" s="67"/>
      <c r="F130" s="67"/>
      <c r="G130" s="67"/>
      <c r="H130" s="67"/>
      <c r="I130" s="67"/>
      <c r="J130" s="67"/>
      <c r="K130" s="67"/>
      <c r="L130" s="67"/>
      <c r="M130" s="67">
        <v>925276</v>
      </c>
      <c r="N130" s="67">
        <v>1203845</v>
      </c>
      <c r="O130" s="67">
        <v>1463698</v>
      </c>
      <c r="P130" s="67">
        <v>1666136</v>
      </c>
      <c r="Q130" s="67">
        <v>1852567</v>
      </c>
      <c r="T130" s="67">
        <v>1507730</v>
      </c>
      <c r="U130" s="67">
        <v>1550605</v>
      </c>
      <c r="V130" s="67">
        <v>1606561</v>
      </c>
      <c r="W130" s="67">
        <v>1666136</v>
      </c>
      <c r="X130" s="67">
        <v>1692683</v>
      </c>
      <c r="Y130" s="67">
        <v>1723401</v>
      </c>
      <c r="Z130" s="67">
        <v>1782384</v>
      </c>
      <c r="AA130" s="67">
        <v>1852567</v>
      </c>
      <c r="AC130" s="67">
        <f>AA130</f>
        <v>1852567</v>
      </c>
    </row>
    <row r="131" spans="1:31" outlineLevel="1" x14ac:dyDescent="0.2">
      <c r="B131" s="25" t="s">
        <v>143</v>
      </c>
      <c r="C131" s="67"/>
      <c r="D131" s="67"/>
      <c r="E131" s="67"/>
      <c r="F131" s="67"/>
      <c r="G131" s="67"/>
      <c r="H131" s="67"/>
      <c r="I131" s="67"/>
      <c r="J131" s="67"/>
      <c r="K131" s="67"/>
      <c r="L131" s="67"/>
      <c r="M131" s="67">
        <v>344793</v>
      </c>
      <c r="N131" s="67">
        <v>278569</v>
      </c>
      <c r="O131" s="67">
        <v>259853</v>
      </c>
      <c r="P131" s="67">
        <v>202438</v>
      </c>
      <c r="Q131" s="67">
        <v>186431</v>
      </c>
      <c r="T131" s="67">
        <v>44000</v>
      </c>
      <c r="U131" s="67">
        <v>43000</v>
      </c>
      <c r="V131" s="67">
        <v>56000</v>
      </c>
      <c r="W131" s="67">
        <v>60000</v>
      </c>
      <c r="X131" s="67">
        <v>27000</v>
      </c>
      <c r="Y131" s="67">
        <v>31000</v>
      </c>
      <c r="Z131" s="67">
        <v>59000</v>
      </c>
      <c r="AA131" s="67">
        <v>70000</v>
      </c>
      <c r="AC131" s="97">
        <f>SUM(X131:AA131)</f>
        <v>187000</v>
      </c>
    </row>
    <row r="132" spans="1:31" outlineLevel="1" x14ac:dyDescent="0.2">
      <c r="B132" s="25" t="s">
        <v>144</v>
      </c>
      <c r="C132" s="62"/>
      <c r="D132" s="62"/>
      <c r="E132" s="62"/>
      <c r="F132" s="62"/>
      <c r="G132" s="62"/>
      <c r="H132" s="62"/>
      <c r="I132" s="62"/>
      <c r="J132" s="62"/>
      <c r="K132" s="62"/>
      <c r="L132" s="96"/>
      <c r="M132" s="96">
        <v>1.45</v>
      </c>
      <c r="N132" s="96">
        <v>1.23</v>
      </c>
      <c r="O132" s="96">
        <v>1.19</v>
      </c>
      <c r="P132" s="96">
        <v>1.1000000000000001</v>
      </c>
      <c r="Q132" s="96">
        <v>1.07</v>
      </c>
      <c r="T132" s="96">
        <v>1.18</v>
      </c>
      <c r="U132" s="96">
        <v>1.1499999999999999</v>
      </c>
      <c r="V132" s="96">
        <v>1.1299999999999999</v>
      </c>
      <c r="W132" s="96">
        <v>1.1000000000000001</v>
      </c>
      <c r="X132" s="96">
        <v>1.08</v>
      </c>
      <c r="Y132" s="96">
        <v>1.08</v>
      </c>
      <c r="Z132" s="96">
        <v>1.07</v>
      </c>
      <c r="AA132" s="96">
        <v>1.07</v>
      </c>
      <c r="AC132" s="96">
        <f>AA132</f>
        <v>1.07</v>
      </c>
    </row>
    <row r="133" spans="1:31" x14ac:dyDescent="0.2">
      <c r="B133" s="25" t="s">
        <v>145</v>
      </c>
      <c r="M133" s="67">
        <v>158</v>
      </c>
      <c r="N133" s="67">
        <v>229</v>
      </c>
      <c r="O133" s="67">
        <v>288</v>
      </c>
      <c r="P133" s="67">
        <v>317</v>
      </c>
      <c r="Q133" s="67">
        <v>357</v>
      </c>
      <c r="T133" s="67">
        <v>288</v>
      </c>
      <c r="U133" s="67">
        <v>293</v>
      </c>
      <c r="V133" s="67">
        <v>302</v>
      </c>
      <c r="W133" s="67">
        <v>317</v>
      </c>
      <c r="X133" s="67">
        <v>316</v>
      </c>
      <c r="Y133" s="67">
        <v>320</v>
      </c>
      <c r="Z133" s="67">
        <v>333</v>
      </c>
      <c r="AA133" s="67">
        <v>357</v>
      </c>
      <c r="AC133" s="67">
        <f>AA133</f>
        <v>357</v>
      </c>
    </row>
    <row r="134" spans="1:31" x14ac:dyDescent="0.2">
      <c r="B134" s="25" t="s">
        <v>146</v>
      </c>
      <c r="M134" s="67">
        <v>1493</v>
      </c>
      <c r="N134" s="67">
        <v>1785</v>
      </c>
      <c r="O134" s="67">
        <v>2054</v>
      </c>
      <c r="P134" s="67">
        <v>2292</v>
      </c>
      <c r="Q134" s="67">
        <v>2565</v>
      </c>
      <c r="T134" s="67">
        <v>2092</v>
      </c>
      <c r="U134" s="67">
        <v>2163</v>
      </c>
      <c r="V134" s="67">
        <v>2235</v>
      </c>
      <c r="W134" s="67">
        <v>2292</v>
      </c>
      <c r="X134" s="67">
        <v>2365</v>
      </c>
      <c r="Y134" s="67">
        <v>2432</v>
      </c>
      <c r="Z134" s="67">
        <v>2506</v>
      </c>
      <c r="AA134" s="67">
        <v>2565</v>
      </c>
      <c r="AC134" s="67">
        <f>AA134</f>
        <v>2565</v>
      </c>
    </row>
  </sheetData>
  <pageMargins left="0.7" right="0.7" top="0.75" bottom="0.75" header="0.3" footer="0.3"/>
  <ignoredErrors>
    <ignoredError sqref="AC5:AC17 AC18 AC22 AC69 AC94:AC100" formulaRange="1"/>
    <ignoredError sqref="AC19:AC20 AC23:AC24 AC131" formula="1" formulaRange="1"/>
    <ignoredError sqref="M117" evalError="1"/>
    <ignoredError sqref="M124:Q124 AC124" formula="1"/>
  </ignoredErrors>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Overview</vt:lpstr>
      <vt:lpstr>Financials -&gt;</vt:lpstr>
      <vt:lpstr>Statement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2026-05-20T20:49:10Z</dcterms:modified>
</cp:coreProperties>
</file>