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8A264DC-642A-5C45-9FCB-9D6AF5A8773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9" i="3" l="1"/>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I18" i="1" s="1"/>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I17" i="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<sst xmlns="http://schemas.openxmlformats.org/spreadsheetml/2006/main" count="817" uniqueCount="442">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</sst>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https://www.bing.com/financeapi/forcetrigger?t=a1mwoc&amp;q=XNAS%3aADSK&amp;form=skydnc</v>
    <v>Learn more on Bing</v>
  </rv>
  <rv s="1">
    <v>0</v>
    <v>AUTODESK, INC. (XNAS:ADSK)</v>
    <v>2</v>
    <v>3</v>
    <v>Finance</v>
    <v>4</v>
    <v>en-US</v>
    <v>a1mwoc</v>
    <v>268435456</v>
    <v>1</v>
    <v>Powered by Refinitiv</v>
    <v>320</v>
    <v>185.5</v>
    <v>1.3027</v>
    <v>3.37</v>
    <v>1.4001E-2</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247.68</v>
    <v>Software &amp; IT Services</v>
    <v>Stock</v>
    <v>46315.717840462501</v>
    <v>0</v>
    <v>241.1</v>
    <v>51010630000</v>
    <v>AUTODESK, INC.</v>
    <v>AUTODESK, INC.</v>
    <v>241.1</v>
    <v>31.644400000000001</v>
    <v>240.7</v>
    <v>244.07</v>
    <v>209000000</v>
    <v>ADSK</v>
    <v>AUTODESK, INC. (XNAS:ADSK)</v>
    <v>684901</v>
    <v>2072616</v>
    <v>1994</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1"/>
  <sheetViews>
    <sheetView tabSelected="1" zoomScale="181" zoomScaleNormal="160" workbookViewId="0">
      <selection activeCell="K14" sqref="K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286</v>
      </c>
      <c r="F2" s="240"/>
      <c r="H2" s="239" t="s">
        <v>324</v>
      </c>
      <c r="I2" s="240"/>
      <c r="K2" s="134" t="s">
        <v>435</v>
      </c>
    </row>
    <row r="3" spans="2:11" x14ac:dyDescent="0.2">
      <c r="B3" s="183" t="s">
        <v>11</v>
      </c>
      <c r="C3" s="215" t="e" vm="1">
        <v>#VALUE!</v>
      </c>
      <c r="D3" s="2"/>
      <c r="E3" s="183" t="s">
        <v>238</v>
      </c>
      <c r="F3" s="185">
        <f ca="1">Statement!AC154</f>
        <v>51254.7</v>
      </c>
      <c r="H3" s="183" t="str">
        <f>'AVG target price'!B5</f>
        <v>DCF price</v>
      </c>
      <c r="I3" s="209">
        <f ca="1">'AVG target price'!C5</f>
        <v>119.63544251297965</v>
      </c>
      <c r="K3" s="237" t="s">
        <v>436</v>
      </c>
    </row>
    <row r="4" spans="2:11" x14ac:dyDescent="0.2">
      <c r="B4" s="183" t="s">
        <v>0</v>
      </c>
      <c r="C4" s="187" t="str" cm="1">
        <f t="array" aca="1" ref="C4" ca="1">_FV(C3,"Ticker symbol",TRUE)</f>
        <v>ADSK</v>
      </c>
      <c r="E4" s="184" t="s">
        <v>187</v>
      </c>
      <c r="F4" s="186">
        <f ca="1">Statement!AC155</f>
        <v>50375.7</v>
      </c>
      <c r="H4" s="183" t="str">
        <f>'AVG target price'!B6</f>
        <v>EV/EBIT price</v>
      </c>
      <c r="I4" s="209">
        <f ca="1">'AVG target price'!C6</f>
        <v>348.83223203863969</v>
      </c>
      <c r="K4" s="237" t="s">
        <v>437</v>
      </c>
    </row>
    <row r="5" spans="2:11" x14ac:dyDescent="0.2">
      <c r="B5" s="183" t="s">
        <v>1</v>
      </c>
      <c r="C5" s="206" cm="1">
        <f t="array" aca="1" ref="C5" ca="1">_FV(C3,"Price",TRUE)</f>
        <v>244.07</v>
      </c>
      <c r="E5" s="183" t="s">
        <v>242</v>
      </c>
      <c r="F5" s="187">
        <f>Statement!AC27</f>
        <v>7.73</v>
      </c>
      <c r="H5" s="183" t="str">
        <f>'AVG target price'!B7</f>
        <v>PS price</v>
      </c>
      <c r="I5" s="209">
        <f ca="1">'AVG target price'!C7</f>
        <v>189.82347741565462</v>
      </c>
      <c r="K5" s="237" t="s">
        <v>438</v>
      </c>
    </row>
    <row r="6" spans="2:11" x14ac:dyDescent="0.2">
      <c r="B6" s="183" t="s">
        <v>2</v>
      </c>
      <c r="C6" s="206" t="e" cm="1" vm="2">
        <f t="array" ref="C6">_FV(C3,"Price (Extended hours)",TRUE)</f>
        <v>#VALUE!</v>
      </c>
      <c r="E6" s="183" t="s">
        <v>236</v>
      </c>
      <c r="F6" s="188">
        <f ca="1">Statement!AC151</f>
        <v>31.574385510996116</v>
      </c>
      <c r="H6" s="183" t="str">
        <f>'AVG target price'!B8</f>
        <v>EV/FCFF price</v>
      </c>
      <c r="I6" s="209">
        <f ca="1">'AVG target price'!C8</f>
        <v>347.28369308146864</v>
      </c>
      <c r="K6" s="238" t="s">
        <v>439</v>
      </c>
    </row>
    <row r="7" spans="2:11" x14ac:dyDescent="0.2">
      <c r="B7" s="183" t="s">
        <v>3</v>
      </c>
      <c r="C7" s="6" cm="1">
        <f t="array" aca="1" ref="C7" ca="1">_FV(C3,"Change")</f>
        <v>3.37</v>
      </c>
      <c r="E7" s="184" t="s">
        <v>200</v>
      </c>
      <c r="F7" s="189">
        <f ca="1">Statement!AC152</f>
        <v>6.6735442875481388</v>
      </c>
      <c r="H7" s="183" t="str">
        <f>'AVG target price'!B9</f>
        <v>EV/Sales price</v>
      </c>
      <c r="I7" s="209">
        <f ca="1">'AVG target price'!C9</f>
        <v>221.14711313311457</v>
      </c>
    </row>
    <row r="8" spans="2:11" x14ac:dyDescent="0.2">
      <c r="B8" s="183" t="s">
        <v>4</v>
      </c>
      <c r="C8" s="6" t="e" cm="1" vm="3">
        <f t="array" ref="C8">_FV(C3,"Change (extended hours)",TRUE)</f>
        <v>#VALUE!</v>
      </c>
      <c r="E8" s="183" t="s">
        <v>264</v>
      </c>
      <c r="F8" s="190">
        <f ca="1">Statement!AC162</f>
        <v>4.0932831525694234E-2</v>
      </c>
      <c r="H8" s="182" t="str">
        <f>'AVG target price'!B10</f>
        <v>AVG price</v>
      </c>
      <c r="I8" s="210">
        <f ca="1">'AVG target price'!C10</f>
        <v>245.34439163637143</v>
      </c>
    </row>
    <row r="9" spans="2:11" x14ac:dyDescent="0.2">
      <c r="B9" s="183" t="s">
        <v>5</v>
      </c>
      <c r="C9" s="73" cm="1">
        <f t="array" aca="1" ref="C9" ca="1">_FV(C3,"Change (%)",TRUE)</f>
        <v>1.4001E-2</v>
      </c>
      <c r="E9" s="183" t="s">
        <v>287</v>
      </c>
      <c r="F9" s="190">
        <f ca="1">Statement!AC163</f>
        <v>3.1671241856844348E-2</v>
      </c>
      <c r="H9" s="182" t="str">
        <f>'AVG target price'!B12</f>
        <v>Upside/Downside</v>
      </c>
      <c r="I9" s="211">
        <f ca="1">'AVG target price'!C12</f>
        <v>5.221418594548422E-3</v>
      </c>
    </row>
    <row r="10" spans="2:11" x14ac:dyDescent="0.2">
      <c r="B10" s="183" t="s">
        <v>6</v>
      </c>
      <c r="C10" s="73" t="e" cm="1" vm="4">
        <f t="array" ref="C10">_FV(C3,"Change % (extended hours)",TRUE)</f>
        <v>#VALUE!</v>
      </c>
      <c r="E10" s="183" t="s">
        <v>292</v>
      </c>
      <c r="F10" s="190">
        <f ca="1">Statement!AC165</f>
        <v>3.104105574708271E-2</v>
      </c>
    </row>
    <row r="11" spans="2:11" x14ac:dyDescent="0.2">
      <c r="B11" s="183" t="s">
        <v>7</v>
      </c>
      <c r="C11" s="207" cm="1">
        <f t="array" aca="1" ref="C11" ca="1">_FV(C3,"52 week high",TRUE)</f>
        <v>320</v>
      </c>
      <c r="E11" s="184" t="s">
        <v>288</v>
      </c>
      <c r="F11" s="191">
        <f ca="1">Statement!AC164</f>
        <v>0</v>
      </c>
      <c r="H11" s="182" t="s">
        <v>364</v>
      </c>
      <c r="I11" s="210">
        <f ca="1">DDM!C26</f>
        <v>0</v>
      </c>
    </row>
    <row r="12" spans="2:11" x14ac:dyDescent="0.2">
      <c r="B12" s="183" t="s">
        <v>8</v>
      </c>
      <c r="C12" s="207" cm="1">
        <f t="array" aca="1" ref="C12" ca="1">_FV(C3,"52 week low",TRUE)</f>
        <v>185.5</v>
      </c>
      <c r="E12" s="183" t="s">
        <v>101</v>
      </c>
      <c r="F12" s="190">
        <f>Statement!AC124</f>
        <v>0.12647308018177617</v>
      </c>
    </row>
    <row r="13" spans="2:11" x14ac:dyDescent="0.2">
      <c r="B13" s="183" t="s">
        <v>9</v>
      </c>
      <c r="C13" s="207" cm="1">
        <f t="array" aca="1" ref="C13" ca="1">_FV(C3,"Beta")</f>
        <v>1.3027</v>
      </c>
      <c r="E13" s="183" t="s">
        <v>103</v>
      </c>
      <c r="F13" s="190">
        <f>Statement!AC126</f>
        <v>0.48536801655335504</v>
      </c>
      <c r="H13" s="259" t="s">
        <v>383</v>
      </c>
      <c r="I13" s="257">
        <f>'Reverse DCF'!C17</f>
        <v>0.51</v>
      </c>
    </row>
    <row r="14" spans="2:11" x14ac:dyDescent="0.2">
      <c r="B14" s="184" t="s">
        <v>10</v>
      </c>
      <c r="C14" s="208" cm="1">
        <f t="array" aca="1" ref="C14" ca="1">_FV(C3,"Volume average",TRUE)</f>
        <v>2072616</v>
      </c>
      <c r="E14" s="184" t="s">
        <v>104</v>
      </c>
      <c r="F14" s="191">
        <f>Statement!AC141</f>
        <v>0.63581348227633894</v>
      </c>
      <c r="H14" s="184" t="s">
        <v>441</v>
      </c>
      <c r="I14" s="258">
        <f ca="1">'Reverse DCF'!C16</f>
        <v>247.54895652923278</v>
      </c>
    </row>
    <row r="15" spans="2:11" x14ac:dyDescent="0.2">
      <c r="E15" s="183" t="s">
        <v>289</v>
      </c>
      <c r="F15" s="190">
        <f ca="1">Statement!AC177</f>
        <v>1.7149646764101634E-2</v>
      </c>
    </row>
    <row r="16" spans="2:11" x14ac:dyDescent="0.2">
      <c r="E16" s="184" t="s">
        <v>294</v>
      </c>
      <c r="F16" s="189">
        <f>Statement!AC176</f>
        <v>4.205741626794258</v>
      </c>
      <c r="H16" s="239" t="s">
        <v>433</v>
      </c>
      <c r="I16" s="240"/>
    </row>
    <row r="17" spans="2:9" x14ac:dyDescent="0.2">
      <c r="B17" s="241" t="s">
        <v>89</v>
      </c>
      <c r="C17" s="241"/>
      <c r="E17" s="182" t="s">
        <v>295</v>
      </c>
      <c r="F17" s="192">
        <f>Statement!AC172</f>
        <v>4.7619047619047623E-3</v>
      </c>
      <c r="H17" s="183" t="s">
        <v>164</v>
      </c>
      <c r="I17" s="235">
        <f ca="1">DCF!C15</f>
        <v>0.10605494718970561</v>
      </c>
    </row>
    <row r="18" spans="2:9" x14ac:dyDescent="0.2">
      <c r="B18" s="182" t="s">
        <v>12</v>
      </c>
      <c r="C18" s="69" t="s">
        <v>354</v>
      </c>
      <c r="E18" s="183" t="s">
        <v>296</v>
      </c>
      <c r="F18" s="188">
        <f>Statement!AC145</f>
        <v>-212.53333094914524</v>
      </c>
      <c r="H18" s="184" t="s">
        <v>434</v>
      </c>
      <c r="I18" s="236">
        <f ca="1">Multiples!C54</f>
        <v>0.1099815</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41" t="s">
        <v>106</v>
      </c>
      <c r="C25" s="241"/>
      <c r="E25" s="239" t="s">
        <v>337</v>
      </c>
      <c r="F25" s="240"/>
    </row>
    <row r="26" spans="2:9" x14ac:dyDescent="0.2">
      <c r="B26" s="182" t="s">
        <v>107</v>
      </c>
      <c r="C26" s="168">
        <v>0.21</v>
      </c>
      <c r="E26" s="183" t="e" vm="5">
        <v>#VALUE!</v>
      </c>
      <c r="F26" s="217" cm="1">
        <f t="array" aca="1" ref="F26" ca="1">_FV(E26,"Price")</f>
        <v>51.36</v>
      </c>
    </row>
    <row r="27" spans="2:9" x14ac:dyDescent="0.2">
      <c r="B27" s="182" t="s">
        <v>171</v>
      </c>
      <c r="C27" s="219">
        <v>6.0999999999999999E-2</v>
      </c>
      <c r="E27" s="184" t="s">
        <v>338</v>
      </c>
      <c r="F27" s="218">
        <f ca="1">F26/1000</f>
        <v>5.1360000000000003E-2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362CAA9-8511-1147-87FF-4ACF12A3D9A8}"/>
    <hyperlink ref="K4" location="'Analysis -&gt;'!B13" display="'Analysis -&gt;'!B13" xr:uid="{C9467FF6-CFF6-214A-93C7-45D507C7A6BB}"/>
    <hyperlink ref="K5" location="'Forecast -&gt;'!B13" display="'Forecast -&gt;'!B13" xr:uid="{DD466B6E-3A26-9A47-AD60-D0651981787C}"/>
    <hyperlink ref="K6" location="'Valuation -&gt;'!B13" display="'Valuation -&gt;'!B13" xr:uid="{E4DA1016-67A4-544F-BD13-5C30B0A455D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14</v>
      </c>
    </row>
  </sheetData>
  <hyperlinks>
    <hyperlink ref="H6" location="Overview!B3" display="Overview'!B3" xr:uid="{91129D30-5528-2248-85DB-C9607A2D03AD}"/>
    <hyperlink ref="H8" location="'Analysis -&gt;'!B13" display="'Analysis -&gt;'!B13" xr:uid="{4617514C-0F58-7C45-9397-29D85A4DFCAC}"/>
    <hyperlink ref="H9" location="'Forecast -&gt;'!B13" display="'Forecast -&gt;'!B13" xr:uid="{6076256E-B478-D248-A480-D7855B180EE4}"/>
    <hyperlink ref="H10" location="'Valuation -&gt;'!B13" display="'Valuation -&gt;'!B13" xr:uid="{9559CE97-633C-314C-8A02-98D2E6E533A5}"/>
    <hyperlink ref="H7" location="'Financials -&gt;'!B13" display="'Financials -&gt;'!B13" xr:uid="{4E254FFE-5ADE-A24D-A746-D07E81A1B57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X152"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244.07</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244.07</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31.574385510996116</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6.6735442875481388</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15.078519065917822</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51254.7</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50375.7</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6.4667137355584074</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24.681871631553157</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24.430266920877024</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41.424763129911916</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4.0932831525694234E-2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3.1671241856844348E-2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3.104105574708271E-2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3.104105574708271E-2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1.7149646764101634E-2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231</v>
      </c>
    </row>
  </sheetData>
  <hyperlinks>
    <hyperlink ref="H6" location="Overview!B3" display="Overview'!B3" xr:uid="{CECC5A3C-052F-194E-A17C-0CA5912D6036}"/>
    <hyperlink ref="H8" location="'Analysis -&gt;'!B13" display="'Analysis -&gt;'!B13" xr:uid="{39DEEBD0-B241-F540-ACFA-9E159BC0B081}"/>
    <hyperlink ref="H9" location="'Forecast -&gt;'!B13" display="'Forecast -&gt;'!B13" xr:uid="{8F54FD61-F3EA-B841-B0EF-CA76279C51CF}"/>
    <hyperlink ref="H10" location="'Valuation -&gt;'!B13" display="'Valuation -&gt;'!B13" xr:uid="{1210F6FC-253C-8741-8222-D7981B81890F}"/>
    <hyperlink ref="H7" location="'Financials -&gt;'!B13" display="'Financials -&gt;'!B13" xr:uid="{DACFBE39-6A45-4B4D-AD35-F054CFBC10F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2" t="s">
        <v>232</v>
      </c>
      <c r="C4" s="242"/>
      <c r="E4" s="242" t="s">
        <v>239</v>
      </c>
      <c r="F4" s="242"/>
      <c r="G4" s="242"/>
    </row>
    <row r="5" spans="2:7" x14ac:dyDescent="0.2">
      <c r="B5" s="20" t="s">
        <v>1</v>
      </c>
      <c r="C5" s="170">
        <f ca="1">Overview!C5</f>
        <v>244.07</v>
      </c>
      <c r="E5" s="12"/>
      <c r="F5" s="134" t="s">
        <v>240</v>
      </c>
      <c r="G5" s="134" t="s">
        <v>241</v>
      </c>
    </row>
    <row r="6" spans="2:7" x14ac:dyDescent="0.2">
      <c r="B6" s="20" t="s">
        <v>238</v>
      </c>
      <c r="C6" s="171">
        <f ca="1">Statement!AC154</f>
        <v>51254.7</v>
      </c>
      <c r="E6" s="20" t="s">
        <v>19</v>
      </c>
      <c r="F6" s="176">
        <f>IF(Statement!M5&lt;=0,"N/A",_xlfn.RRI(4,Statement!M5,Statement!Q5))</f>
        <v>0.13215635222408295</v>
      </c>
      <c r="G6" s="176" t="str">
        <f>IF(Statement!H5&lt;=0,"N/A",_xlfn.RRI(9,Statement!H5,Statement!Q5))</f>
        <v>N/A</v>
      </c>
    </row>
    <row r="7" spans="2:7" x14ac:dyDescent="0.2">
      <c r="B7" s="20" t="s">
        <v>187</v>
      </c>
      <c r="C7" s="171">
        <f ca="1">Statement!AC155</f>
        <v>50375.7</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31.574385510996116</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6.6735442875481388</v>
      </c>
      <c r="E9" s="20" t="s">
        <v>243</v>
      </c>
      <c r="F9" s="176" t="str">
        <f>IF(Statement!M83&lt;=0,"N/A",_xlfn.RRI(4,Statement!M83,Statement!Q83))</f>
        <v>N/A</v>
      </c>
      <c r="G9" s="176" t="str">
        <f>IF(Statement!H83&lt;=0,"N/A",_xlfn.RRI(9,Statement!H83,Statement!Q83))</f>
        <v>N/A</v>
      </c>
    </row>
    <row r="10" spans="2:7" x14ac:dyDescent="0.2">
      <c r="B10" s="20" t="s">
        <v>237</v>
      </c>
      <c r="C10" s="172">
        <f ca="1">Statement!AC153</f>
        <v>15.078519065917822</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6.4667137355584074</v>
      </c>
    </row>
    <row r="12" spans="2:7" x14ac:dyDescent="0.2">
      <c r="B12" s="20" t="s">
        <v>203</v>
      </c>
      <c r="C12" s="172">
        <f ca="1">Statement!AC157</f>
        <v>24.681871631553157</v>
      </c>
    </row>
    <row r="15" spans="2:7" x14ac:dyDescent="0.2">
      <c r="B15" s="242" t="s">
        <v>77</v>
      </c>
      <c r="C15" s="242"/>
      <c r="E15" s="242" t="s">
        <v>245</v>
      </c>
      <c r="F15" s="242"/>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42" t="s">
        <v>244</v>
      </c>
      <c r="C21" s="242"/>
      <c r="E21" s="242" t="s">
        <v>248</v>
      </c>
      <c r="F21" s="242"/>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42" t="s">
        <v>249</v>
      </c>
      <c r="C29" s="242"/>
      <c r="E29" s="242" t="s">
        <v>255</v>
      </c>
      <c r="F29" s="242"/>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42" t="s">
        <v>267</v>
      </c>
      <c r="C37" s="242"/>
      <c r="E37" s="242" t="s">
        <v>270</v>
      </c>
      <c r="F37" s="242"/>
    </row>
    <row r="38" spans="2:6" x14ac:dyDescent="0.2">
      <c r="B38" s="20" t="s">
        <v>265</v>
      </c>
      <c r="C38" s="173">
        <f ca="1">Statement!AC163</f>
        <v>3.1671241856844348E-2</v>
      </c>
      <c r="E38" s="20" t="s">
        <v>269</v>
      </c>
      <c r="F38" s="173">
        <f>Statement!AC169</f>
        <v>0</v>
      </c>
    </row>
    <row r="39" spans="2:6" x14ac:dyDescent="0.2">
      <c r="B39" s="54" t="s">
        <v>268</v>
      </c>
      <c r="C39" s="213">
        <f ca="1">Statement!AC162</f>
        <v>4.0932831525694234E-2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3.104105574708271E-2</v>
      </c>
    </row>
    <row r="42" spans="2:6" x14ac:dyDescent="0.2">
      <c r="B42" s="20" t="s">
        <v>293</v>
      </c>
      <c r="C42" s="173">
        <f ca="1">Statement!AC166</f>
        <v>3.104105574708271E-2</v>
      </c>
    </row>
    <row r="45" spans="2:6" x14ac:dyDescent="0.2">
      <c r="B45" s="242" t="s">
        <v>278</v>
      </c>
      <c r="C45" s="242"/>
      <c r="E45" s="242" t="s">
        <v>284</v>
      </c>
      <c r="F45" s="242"/>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1.7149646764101634E-2</v>
      </c>
    </row>
    <row r="51" spans="2:6" x14ac:dyDescent="0.2">
      <c r="B51" s="242" t="s">
        <v>281</v>
      </c>
      <c r="C51" s="242"/>
      <c r="E51" s="242" t="s">
        <v>302</v>
      </c>
      <c r="F51" s="242"/>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244.07</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51254.7</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50375.7</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31.574385510996116</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6.6735442875481388</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15.078519065917822</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6.4667137355584074</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24.681871631553157</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3.1671241856844348E-2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4.0932831525694234E-2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3.104105574708271E-2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3.104105574708271E-2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1.7149646764101634E-2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312</v>
      </c>
      <c r="D3" s="246"/>
      <c r="F3" s="247" t="s">
        <v>313</v>
      </c>
      <c r="G3" s="246"/>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43">
        <f>Statement!AA90</f>
        <v>5.7911065149948295E-2</v>
      </c>
      <c r="D7" s="244"/>
      <c r="F7" s="243">
        <f>IF(F6=0,
IF(G6=0,0,IF(G6&gt;0,1,-1)),
(G6-F6)/ABS(F6)
)</f>
        <v>0.1605218377765173</v>
      </c>
      <c r="G7" s="244"/>
    </row>
    <row r="8" spans="2:7" x14ac:dyDescent="0.2">
      <c r="B8" s="205" t="s">
        <v>20</v>
      </c>
      <c r="C8" s="198">
        <f>Statement!Z6</f>
        <v>175</v>
      </c>
      <c r="D8" s="196">
        <f>Statement!AA6</f>
        <v>176</v>
      </c>
      <c r="F8" s="198">
        <f>Statement!W6</f>
        <v>159</v>
      </c>
      <c r="G8" s="196">
        <f>Statement!AA6</f>
        <v>176</v>
      </c>
    </row>
    <row r="9" spans="2:7" x14ac:dyDescent="0.2">
      <c r="B9" s="204" t="s">
        <v>314</v>
      </c>
      <c r="C9" s="243">
        <f>Statement!AA91</f>
        <v>5.7142857142857143E-3</v>
      </c>
      <c r="D9" s="244"/>
      <c r="F9" s="243">
        <f>IF(F8=0,
IF(G8=0,0,IF(G8&gt;0,1,-1)),
(G8-F8)/ABS(F8)
)</f>
        <v>0.1069182389937107</v>
      </c>
      <c r="G9" s="244"/>
    </row>
    <row r="10" spans="2:7" x14ac:dyDescent="0.2">
      <c r="B10" s="205" t="s">
        <v>21</v>
      </c>
      <c r="C10" s="198">
        <f>Statement!Z7</f>
        <v>1759</v>
      </c>
      <c r="D10" s="196">
        <f>Statement!AA7</f>
        <v>1870</v>
      </c>
      <c r="F10" s="198">
        <f>Statement!W7</f>
        <v>1604</v>
      </c>
      <c r="G10" s="196">
        <f>Statement!AA7</f>
        <v>1870</v>
      </c>
    </row>
    <row r="11" spans="2:7" x14ac:dyDescent="0.2">
      <c r="B11" s="204" t="s">
        <v>314</v>
      </c>
      <c r="C11" s="243">
        <f>Statement!AA92</f>
        <v>6.3104036384309267E-2</v>
      </c>
      <c r="D11" s="244"/>
      <c r="F11" s="243">
        <f>IF(F10=0,
IF(G10=0,0,IF(G10&gt;0,1,-1)),
(G10-F10)/ABS(F10)
)</f>
        <v>0.16583541147132169</v>
      </c>
      <c r="G11" s="244"/>
    </row>
    <row r="12" spans="2:7" x14ac:dyDescent="0.2">
      <c r="B12" s="205" t="s">
        <v>25</v>
      </c>
      <c r="C12" s="198">
        <f>Statement!Z12</f>
        <v>1218</v>
      </c>
      <c r="D12" s="196">
        <f>Statement!AA12</f>
        <v>1271</v>
      </c>
      <c r="F12" s="198">
        <f>Statement!W12</f>
        <v>1160</v>
      </c>
      <c r="G12" s="196">
        <f>Statement!AA12</f>
        <v>1271</v>
      </c>
    </row>
    <row r="13" spans="2:7" x14ac:dyDescent="0.2">
      <c r="B13" s="204" t="s">
        <v>314</v>
      </c>
      <c r="C13" s="243">
        <f>Statement!AA96</f>
        <v>4.3513957307060758E-2</v>
      </c>
      <c r="D13" s="244"/>
      <c r="F13" s="243">
        <f>IF(F12=0,
IF(G12=0,0,IF(G12&gt;0,1,-1)),
(G12-F12)/ABS(F12)
)</f>
        <v>9.568965517241379E-2</v>
      </c>
      <c r="G13" s="244"/>
    </row>
    <row r="14" spans="2:7" x14ac:dyDescent="0.2">
      <c r="B14" s="205" t="s">
        <v>315</v>
      </c>
      <c r="C14" s="198">
        <f>Statement!Z13</f>
        <v>541</v>
      </c>
      <c r="D14" s="196">
        <f>Statement!AA13</f>
        <v>599</v>
      </c>
      <c r="F14" s="198">
        <f>Statement!W13</f>
        <v>444</v>
      </c>
      <c r="G14" s="196">
        <f>Statement!AA13</f>
        <v>599</v>
      </c>
    </row>
    <row r="15" spans="2:7" x14ac:dyDescent="0.2">
      <c r="B15" s="204" t="s">
        <v>314</v>
      </c>
      <c r="C15" s="243">
        <f>Statement!AA97</f>
        <v>0.10720887245841035</v>
      </c>
      <c r="D15" s="244"/>
      <c r="F15" s="243">
        <f>IF(F14=0,
IF(G14=0,0,IF(G14&gt;0,1,-1)),
(G14-F14)/ABS(F14)
)</f>
        <v>0.34909909909909909</v>
      </c>
      <c r="G15" s="244"/>
    </row>
    <row r="16" spans="2:7" x14ac:dyDescent="0.2">
      <c r="B16" s="205" t="s">
        <v>31</v>
      </c>
      <c r="C16" s="198">
        <f>Statement!Z19</f>
        <v>491</v>
      </c>
      <c r="D16" s="196">
        <f>Statement!AA19</f>
        <v>492</v>
      </c>
      <c r="F16" s="198">
        <f>Statement!W19</f>
        <v>313</v>
      </c>
      <c r="G16" s="196">
        <f>Statement!AA19</f>
        <v>492</v>
      </c>
    </row>
    <row r="17" spans="2:7" x14ac:dyDescent="0.2">
      <c r="B17" s="204" t="s">
        <v>314</v>
      </c>
      <c r="C17" s="243">
        <f>Statement!AA99</f>
        <v>2.0366598778004071E-3</v>
      </c>
      <c r="D17" s="244"/>
      <c r="F17" s="243">
        <f>IF(F16=0,
IF(G16=0,0,IF(G16&gt;0,1,-1)),
(G16-F16)/ABS(F16)
)</f>
        <v>0.5718849840255591</v>
      </c>
      <c r="G17" s="244"/>
    </row>
    <row r="18" spans="2:7" x14ac:dyDescent="0.2">
      <c r="B18" s="205" t="s">
        <v>316</v>
      </c>
      <c r="C18" s="198">
        <f>Statement!Z23</f>
        <v>212</v>
      </c>
      <c r="D18" s="196">
        <f>Statement!AA23</f>
        <v>211</v>
      </c>
      <c r="F18" s="198">
        <f>Statement!W23</f>
        <v>215</v>
      </c>
      <c r="G18" s="196">
        <f>Statement!AA23</f>
        <v>211</v>
      </c>
    </row>
    <row r="19" spans="2:7" x14ac:dyDescent="0.2">
      <c r="B19" s="204" t="s">
        <v>314</v>
      </c>
      <c r="C19" s="243">
        <f>IF(C18=0,
IF(D18=0,0,IF(D18&gt;0,1,-1)),
(D18-C18)/ABS(C18)
)</f>
        <v>-4.7169811320754715E-3</v>
      </c>
      <c r="D19" s="244"/>
      <c r="F19" s="243">
        <f>IF(F18=0,
IF(G18=0,0,IF(G18&gt;0,1,-1)),
(G18-F18)/ABS(F18)
)</f>
        <v>-1.8604651162790697E-2</v>
      </c>
      <c r="G19" s="244"/>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43">
        <f>IF(C20=0,
IF(D20=0,0,IF(D20&gt;0,1,-1)),
(D20-C20)/ABS(C20)
)</f>
        <v>4.3103448275863066E-3</v>
      </c>
      <c r="D21" s="244"/>
      <c r="F21" s="243">
        <f>IF(F20=0,
IF(G20=0,0,IF(G20&gt;0,1,-1)),
(G20-F20)/ABS(F20)
)</f>
        <v>0.59589041095890416</v>
      </c>
      <c r="G21" s="244"/>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43">
        <f>IF(C24=0,
IF(D24=0,0,IF(D24&gt;0,1,-1)),
(D24-C24)/ABS(C24)
)</f>
        <v>6.3180827886710242E-2</v>
      </c>
      <c r="D25" s="244"/>
      <c r="F25" s="243">
        <f>IF(F24=0,
IF(G24=0,0,IF(G24&gt;0,1,-1)),
(G24-F24)/ABS(F24)
)</f>
        <v>0.17096580683863227</v>
      </c>
      <c r="G25" s="244"/>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43">
        <f>IF(C26=0,
IF(D26=0,0,IF(D26&gt;0,1,-1)),
(D26-C26)/ABS(C26)
)</f>
        <v>-4.0816326530612242E-2</v>
      </c>
      <c r="D27" s="244"/>
      <c r="F27" s="243">
        <f>IF(F26=0,
IF(G26=0,0,IF(G26&gt;0,1,-1)),
(G26-F26)/ABS(F26)
)</f>
        <v>-2.0833333333333332E-2</v>
      </c>
      <c r="G27" s="244"/>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43">
        <f>IF(C29=0,
IF(D29=0,0,IF(D29&gt;0,1,-1)),
(D29-C29)/ABS(C29)
)</f>
        <v>6.0824742268041236E-2</v>
      </c>
      <c r="D30" s="244"/>
      <c r="F30" s="243">
        <f>IF(F29=0,
IF(G29=0,0,IF(G29&gt;0,1,-1)),
(G29-F29)/ABS(F29)
)</f>
        <v>0.17198177676537585</v>
      </c>
      <c r="G30" s="244"/>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43">
        <f>IF(C31=0,
IF(D31=0,0,IF(D31&gt;0,1,-1)),
(D31-C31)/ABS(C31)
)</f>
        <v>5.4852320675105488E-2</v>
      </c>
      <c r="D32" s="244"/>
      <c r="F32" s="243">
        <f>IF(F31=0,
IF(G31=0,0,IF(G31&gt;0,1,-1)),
(G31-F31)/ABS(F31)
)</f>
        <v>0.13636363636363635</v>
      </c>
      <c r="G32" s="244"/>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43">
        <f>IF(C33=0,
IF(D33=0,0,IF(D33&gt;0,1,-1)),
(D33-C33)/ABS(C33)
)</f>
        <v>4.9046321525885561E-2</v>
      </c>
      <c r="D34" s="244"/>
      <c r="F34" s="243">
        <f>IF(F33=0,
IF(G33=0,0,IF(G33&gt;0,1,-1)),
(G33-F33)/ABS(F33)
)</f>
        <v>0.15269461077844312</v>
      </c>
      <c r="G34" s="244"/>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43">
        <f>IF(C35=0,
IF(D35=0,0,IF(D35&gt;0,1,-1)),
(D35-C35)/ABS(C35)
)</f>
        <v>6.9767441860465115E-2</v>
      </c>
      <c r="D36" s="244"/>
      <c r="F36" s="243">
        <f>IF(F35=0,
IF(G35=0,0,IF(G35&gt;0,1,-1)),
(G35-F35)/ABS(F35)
)</f>
        <v>0.15</v>
      </c>
      <c r="G36" s="244"/>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43">
        <f>IF(C37=0,
IF(D37=0,0,IF(D37&gt;0,1,-1)),
(D37-C37)/ABS(C37)
)</f>
        <v>8.1081081081081086E-2</v>
      </c>
      <c r="D38" s="244"/>
      <c r="F38" s="243">
        <f>IF(F37=0,
IF(G37=0,0,IF(G37&gt;0,1,-1)),
(G37-F37)/ABS(F37)
)</f>
        <v>0.29032258064516131</v>
      </c>
      <c r="G38" s="244"/>
    </row>
  </sheetData>
  <mergeCells count="32">
    <mergeCell ref="C38:D38"/>
    <mergeCell ref="F38:G38"/>
    <mergeCell ref="C32:D32"/>
    <mergeCell ref="F32:G32"/>
    <mergeCell ref="C34:D34"/>
    <mergeCell ref="F34:G34"/>
    <mergeCell ref="C36:D36"/>
    <mergeCell ref="F36:G3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30:D30"/>
    <mergeCell ref="F30:G30"/>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5:H10"/>
    </sheetView>
  </sheetViews>
  <sheetFormatPr baseColWidth="10" defaultRowHeight="16" x14ac:dyDescent="0.2"/>
  <cols>
    <col min="1" max="7" width="10.83203125" style="1"/>
    <col min="8" max="8" width="18.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110</v>
      </c>
    </row>
  </sheetData>
  <hyperlinks>
    <hyperlink ref="H6" location="Overview!B3" display="Overview'!B3" xr:uid="{AD7E74EC-B8D8-8A43-A375-64EBE06E0A03}"/>
    <hyperlink ref="H8" location="'Analysis -&gt;'!B13" display="'Analysis -&gt;'!B13" xr:uid="{0E406DBD-50D8-714F-8A42-D33BCB44E174}"/>
    <hyperlink ref="H9" location="'Forecast -&gt;'!B13" display="'Forecast -&gt;'!B13" xr:uid="{E6F95179-D9F9-D345-877D-C8D2E2DDD008}"/>
    <hyperlink ref="H10" location="'Valuation -&gt;'!B13" display="'Valuation -&gt;'!B13" xr:uid="{A457EABD-1994-474E-856F-AA4AE084E84C}"/>
    <hyperlink ref="H7" location="'Financials -&gt;'!B13" display="'Financials -&gt;'!B13" xr:uid="{4385EA5F-C232-F440-A016-4F8C3B01C07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1"/>
      <c r="H2" s="252"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48" t="s">
        <v>115</v>
      </c>
      <c r="D4" s="248"/>
      <c r="E4" s="248"/>
      <c r="F4" s="248"/>
      <c r="G4" s="248"/>
      <c r="H4" s="248"/>
      <c r="I4" s="248"/>
      <c r="J4" s="248"/>
      <c r="K4" s="248"/>
      <c r="L4" s="248"/>
      <c r="O4" s="5"/>
      <c r="S4" s="249" t="s">
        <v>115</v>
      </c>
      <c r="T4" s="250"/>
      <c r="U4" s="250"/>
      <c r="V4" s="250"/>
      <c r="W4" s="250"/>
      <c r="X4" s="250"/>
      <c r="Y4" s="250"/>
      <c r="Z4" s="250"/>
      <c r="AA4" s="250"/>
      <c r="AB4" s="250"/>
      <c r="AC4" s="250"/>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48" t="s">
        <v>121</v>
      </c>
      <c r="D16" s="248"/>
      <c r="E16" s="248"/>
      <c r="F16" s="248"/>
      <c r="G16" s="248"/>
      <c r="H16" s="248"/>
      <c r="I16" s="248"/>
      <c r="J16" s="248"/>
      <c r="K16" s="248"/>
      <c r="L16" s="248"/>
      <c r="O16" s="5"/>
      <c r="Q16" s="91"/>
      <c r="S16" s="249" t="s">
        <v>121</v>
      </c>
      <c r="T16" s="250"/>
      <c r="U16" s="250"/>
      <c r="V16" s="250"/>
      <c r="W16" s="250"/>
      <c r="X16" s="250"/>
      <c r="Y16" s="250"/>
      <c r="Z16" s="250"/>
      <c r="AA16" s="250"/>
      <c r="AB16" s="250"/>
      <c r="AC16" s="250"/>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48" t="s">
        <v>422</v>
      </c>
      <c r="D28" s="248"/>
      <c r="E28" s="248"/>
      <c r="F28" s="248"/>
      <c r="G28" s="248"/>
      <c r="H28" s="248"/>
      <c r="I28" s="248"/>
      <c r="J28" s="248"/>
      <c r="K28" s="248"/>
      <c r="L28" s="248"/>
      <c r="O28" s="5"/>
      <c r="Q28" s="91"/>
      <c r="S28" s="249" t="s">
        <v>422</v>
      </c>
      <c r="T28" s="250"/>
      <c r="U28" s="250"/>
      <c r="V28" s="250"/>
      <c r="W28" s="250"/>
      <c r="X28" s="250"/>
      <c r="Y28" s="250"/>
      <c r="Z28" s="250"/>
      <c r="AA28" s="250"/>
      <c r="AB28" s="250"/>
      <c r="AC28" s="250"/>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42" t="s">
        <v>112</v>
      </c>
      <c r="D2" s="242"/>
      <c r="E2" s="242"/>
      <c r="F2" s="242"/>
      <c r="G2" s="251"/>
      <c r="H2" s="252" t="s">
        <v>113</v>
      </c>
      <c r="I2" s="242"/>
      <c r="J2" s="242"/>
      <c r="K2" s="242"/>
      <c r="L2" s="242"/>
      <c r="P2" s="242" t="s">
        <v>112</v>
      </c>
      <c r="Q2" s="242"/>
      <c r="R2" s="242"/>
      <c r="S2" s="242"/>
      <c r="T2" s="242"/>
      <c r="U2" s="242"/>
      <c r="V2" s="242"/>
      <c r="W2" s="242"/>
      <c r="X2" s="242" t="s">
        <v>113</v>
      </c>
      <c r="Y2" s="242"/>
      <c r="Z2" s="242"/>
      <c r="AB2" s="85" t="s">
        <v>114</v>
      </c>
    </row>
    <row r="3" spans="1:28" ht="10" customHeight="1" x14ac:dyDescent="0.2"/>
    <row r="4" spans="1:28" ht="16" customHeight="1" x14ac:dyDescent="0.2">
      <c r="A4" s="86"/>
      <c r="B4" s="60"/>
      <c r="C4" s="248" t="s">
        <v>115</v>
      </c>
      <c r="D4" s="248"/>
      <c r="E4" s="248"/>
      <c r="F4" s="248"/>
      <c r="G4" s="248"/>
      <c r="H4" s="248"/>
      <c r="I4" s="248"/>
      <c r="J4" s="248"/>
      <c r="K4" s="248"/>
      <c r="L4" s="248"/>
      <c r="P4" s="250" t="s">
        <v>115</v>
      </c>
      <c r="Q4" s="250"/>
      <c r="R4" s="250"/>
      <c r="S4" s="250"/>
      <c r="T4" s="250"/>
      <c r="U4" s="250"/>
      <c r="V4" s="250"/>
      <c r="W4" s="250"/>
      <c r="X4" s="250"/>
      <c r="Y4" s="250"/>
      <c r="Z4" s="250"/>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48" t="s">
        <v>124</v>
      </c>
      <c r="D9" s="248"/>
      <c r="E9" s="248"/>
      <c r="F9" s="248"/>
      <c r="G9" s="248"/>
      <c r="H9" s="248"/>
      <c r="I9" s="248"/>
      <c r="J9" s="248"/>
      <c r="K9" s="248"/>
      <c r="L9" s="248"/>
      <c r="N9" s="91"/>
      <c r="P9" s="250" t="s">
        <v>125</v>
      </c>
      <c r="Q9" s="250"/>
      <c r="R9" s="250"/>
      <c r="S9" s="250"/>
      <c r="T9" s="250"/>
      <c r="U9" s="250"/>
      <c r="V9" s="250"/>
      <c r="W9" s="250"/>
      <c r="X9" s="250"/>
      <c r="Y9" s="250"/>
      <c r="Z9" s="250"/>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48" t="s">
        <v>127</v>
      </c>
      <c r="D21" s="248"/>
      <c r="E21" s="248"/>
      <c r="F21" s="248"/>
      <c r="G21" s="248"/>
      <c r="H21" s="248"/>
      <c r="I21" s="248"/>
      <c r="J21" s="248"/>
      <c r="K21" s="248"/>
      <c r="L21" s="248"/>
      <c r="P21" s="250" t="s">
        <v>127</v>
      </c>
      <c r="Q21" s="250"/>
      <c r="R21" s="250"/>
      <c r="S21" s="250"/>
      <c r="T21" s="250"/>
      <c r="U21" s="250"/>
      <c r="V21" s="250"/>
      <c r="W21" s="250"/>
      <c r="X21" s="250"/>
      <c r="Y21" s="250"/>
      <c r="Z21" s="250"/>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1"/>
      <c r="H3" s="252" t="s">
        <v>113</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115</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131</v>
      </c>
      <c r="D11" s="248"/>
      <c r="E11" s="248"/>
      <c r="F11" s="248"/>
      <c r="G11" s="248"/>
      <c r="H11" s="248"/>
      <c r="I11" s="248"/>
      <c r="J11" s="248"/>
      <c r="K11" s="248"/>
      <c r="L11" s="248"/>
      <c r="N11" s="91"/>
      <c r="P11" s="253"/>
      <c r="Q11" s="253"/>
      <c r="R11" s="253"/>
      <c r="S11" s="253"/>
      <c r="T11" s="253"/>
      <c r="U11" s="253"/>
      <c r="V11" s="253"/>
      <c r="W11" s="253"/>
      <c r="X11" s="253"/>
      <c r="Y11" s="253"/>
      <c r="Z11" s="253"/>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48" t="s">
        <v>136</v>
      </c>
      <c r="D18" s="248"/>
      <c r="E18" s="248"/>
      <c r="F18" s="248"/>
      <c r="G18" s="248"/>
      <c r="H18" s="248"/>
      <c r="I18" s="248"/>
      <c r="J18" s="248"/>
      <c r="K18" s="248"/>
      <c r="L18" s="248"/>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53"/>
      <c r="C25" s="253"/>
    </row>
    <row r="26" spans="2:12" x14ac:dyDescent="0.2">
      <c r="B26" s="111"/>
      <c r="C26" s="248" t="s">
        <v>142</v>
      </c>
      <c r="D26" s="248"/>
      <c r="E26" s="248"/>
      <c r="F26" s="248"/>
      <c r="G26" s="248"/>
      <c r="H26" s="248"/>
      <c r="I26" s="248"/>
      <c r="J26" s="248"/>
      <c r="K26" s="248"/>
      <c r="L26" s="248"/>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48" t="s">
        <v>146</v>
      </c>
      <c r="D33" s="248"/>
      <c r="E33" s="248"/>
      <c r="F33" s="248"/>
      <c r="G33" s="248"/>
      <c r="H33" s="248"/>
      <c r="I33" s="248"/>
      <c r="J33" s="248"/>
      <c r="K33" s="248"/>
      <c r="L33" s="248"/>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48" t="s">
        <v>149</v>
      </c>
      <c r="D40" s="248"/>
      <c r="E40" s="248"/>
      <c r="F40" s="248"/>
      <c r="G40" s="248"/>
      <c r="H40" s="248"/>
      <c r="I40" s="248"/>
      <c r="J40" s="248"/>
      <c r="K40" s="248"/>
      <c r="L40" s="248"/>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B26"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1"/>
      <c r="H2" s="252" t="s">
        <v>113</v>
      </c>
      <c r="I2" s="242"/>
      <c r="J2" s="242"/>
      <c r="K2" s="242"/>
      <c r="L2" s="242"/>
      <c r="S2" s="253"/>
      <c r="T2" s="253"/>
      <c r="U2" s="253"/>
      <c r="V2" s="253"/>
      <c r="W2" s="253"/>
      <c r="X2" s="253"/>
      <c r="Y2" s="253"/>
      <c r="Z2" s="253"/>
      <c r="AA2" s="253"/>
      <c r="AB2" s="253"/>
      <c r="AC2" s="253"/>
      <c r="AE2" s="111"/>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48" t="s">
        <v>157</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48" t="s">
        <v>158</v>
      </c>
      <c r="D18" s="248"/>
      <c r="E18" s="248"/>
      <c r="F18" s="248"/>
      <c r="G18" s="248"/>
      <c r="H18" s="248"/>
      <c r="I18" s="248"/>
      <c r="J18" s="248"/>
      <c r="K18" s="248"/>
      <c r="L18" s="248"/>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48" t="s">
        <v>261</v>
      </c>
      <c r="D25" s="248"/>
      <c r="E25" s="248"/>
      <c r="F25" s="248"/>
      <c r="G25" s="248"/>
      <c r="H25" s="248"/>
      <c r="I25" s="248"/>
      <c r="J25" s="248"/>
      <c r="K25" s="248"/>
      <c r="L25" s="248"/>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48" t="s">
        <v>77</v>
      </c>
      <c r="D31" s="248"/>
      <c r="E31" s="248"/>
      <c r="F31" s="248"/>
      <c r="G31" s="248"/>
      <c r="H31" s="248"/>
      <c r="I31" s="248"/>
      <c r="J31" s="248"/>
      <c r="K31" s="248"/>
      <c r="L31" s="248"/>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163</v>
      </c>
    </row>
  </sheetData>
  <hyperlinks>
    <hyperlink ref="H6" location="Overview!B3" display="Overview'!B3" xr:uid="{3F1BD722-EB05-7242-9EDC-1F73528A64FB}"/>
    <hyperlink ref="H8" location="'Analysis -&gt;'!B13" display="'Analysis -&gt;'!B13" xr:uid="{F95DEF6B-BD13-2A4F-B51B-3125CDE9F316}"/>
    <hyperlink ref="H9" location="'Forecast -&gt;'!B13" display="'Forecast -&gt;'!B13" xr:uid="{9E581C8E-6290-CC41-BA81-976C5BB26121}"/>
    <hyperlink ref="H10" location="'Valuation -&gt;'!B13" display="'Valuation -&gt;'!B13" xr:uid="{81F63A6C-25C5-A94E-AF54-5E57564326C4}"/>
    <hyperlink ref="H7" location="'Financials -&gt;'!B13" display="'Financials -&gt;'!B13" xr:uid="{993BE835-95C3-AC40-ABD4-B3D7AA93404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8">
        <f>Statement!AC79</f>
        <v>210</v>
      </c>
    </row>
    <row r="6" spans="1:3" ht="17" customHeight="1" x14ac:dyDescent="0.2">
      <c r="B6" s="1" t="s">
        <v>1</v>
      </c>
      <c r="C6" s="135">
        <f ca="1">Overview!C5</f>
        <v>244.07</v>
      </c>
    </row>
    <row r="7" spans="1:3" ht="17" customHeight="1" x14ac:dyDescent="0.2">
      <c r="B7" s="1" t="s">
        <v>167</v>
      </c>
      <c r="C7" s="136">
        <f ca="1">C5*C6</f>
        <v>51254.7</v>
      </c>
    </row>
    <row r="8" spans="1:3" ht="17" customHeight="1" x14ac:dyDescent="0.2">
      <c r="B8" s="1" t="s">
        <v>168</v>
      </c>
      <c r="C8" s="114">
        <f>Statement!AC109</f>
        <v>3478</v>
      </c>
    </row>
    <row r="9" spans="1:3" ht="17" customHeight="1" x14ac:dyDescent="0.2">
      <c r="B9" s="1" t="s">
        <v>169</v>
      </c>
      <c r="C9" s="137">
        <f ca="1">Overview!F27</f>
        <v>5.1360000000000003E-2</v>
      </c>
    </row>
    <row r="10" spans="1:3" ht="17" customHeight="1" x14ac:dyDescent="0.2">
      <c r="B10" s="1" t="s">
        <v>9</v>
      </c>
      <c r="C10" s="135">
        <f ca="1">Overview!C13</f>
        <v>1.3027</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42" t="s">
        <v>172</v>
      </c>
      <c r="C15" s="242"/>
    </row>
    <row r="16" spans="1:3" ht="17" customHeight="1" x14ac:dyDescent="0.2">
      <c r="B16" s="1" t="s">
        <v>173</v>
      </c>
      <c r="C16" s="46">
        <f ca="1">C8/(C8+C7)</f>
        <v>6.3545193275683462E-2</v>
      </c>
    </row>
    <row r="17" spans="2:3" ht="17" customHeight="1" x14ac:dyDescent="0.2">
      <c r="B17" s="1" t="s">
        <v>174</v>
      </c>
      <c r="C17" s="46">
        <f ca="1">C7/(C8+C7)</f>
        <v>0.93645480672431658</v>
      </c>
    </row>
    <row r="18" spans="2:3" ht="17" customHeight="1" x14ac:dyDescent="0.2">
      <c r="B18" s="1" t="s">
        <v>175</v>
      </c>
      <c r="C18" s="46">
        <f>C13*(1-C12)</f>
        <v>4.8190000000000004E-2</v>
      </c>
    </row>
    <row r="19" spans="2:3" ht="17" customHeight="1" x14ac:dyDescent="0.2">
      <c r="B19" s="1" t="s">
        <v>176</v>
      </c>
      <c r="C19" s="46">
        <f ca="1">C9+C10*C11</f>
        <v>0.1099815</v>
      </c>
    </row>
    <row r="20" spans="2:3" ht="17" customHeight="1" x14ac:dyDescent="0.2">
      <c r="B20" s="1" t="s">
        <v>164</v>
      </c>
      <c r="C20" s="46">
        <f ca="1">(C17*C19)+(C16*C18)</f>
        <v>0.10605494718970561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1"/>
      <c r="H3" s="252" t="s">
        <v>113</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179</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29177.598634709731</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1863.3034905670513</v>
      </c>
      <c r="I10" s="128">
        <f t="shared" ref="I10:L10" ca="1" si="0">I7/(1+$C$15)^I9</f>
        <v>1272.138204509688</v>
      </c>
      <c r="J10" s="128">
        <f t="shared" ca="1" si="0"/>
        <v>571.15824233461035</v>
      </c>
      <c r="K10" s="128">
        <f t="shared" ca="1" si="0"/>
        <v>1424.2398848366518</v>
      </c>
      <c r="L10" s="128">
        <f t="shared" ca="1" si="0"/>
        <v>1487.1052383302315</v>
      </c>
      <c r="N10" s="91"/>
    </row>
    <row r="11" spans="1:28" x14ac:dyDescent="0.2">
      <c r="B11" s="1" t="s">
        <v>182</v>
      </c>
      <c r="C11" s="139"/>
      <c r="D11" s="139"/>
      <c r="E11" s="139"/>
      <c r="F11" s="139"/>
      <c r="G11" s="140"/>
      <c r="H11" s="139"/>
      <c r="I11" s="139"/>
      <c r="J11" s="139"/>
      <c r="K11" s="139"/>
      <c r="L11" s="128">
        <f ca="1">L8/(1+C15)^L9</f>
        <v>17626.497867147493</v>
      </c>
    </row>
    <row r="13" spans="1:28" x14ac:dyDescent="0.2">
      <c r="B13" s="242" t="s">
        <v>183</v>
      </c>
      <c r="C13" s="242"/>
    </row>
    <row r="14" spans="1:28" x14ac:dyDescent="0.2">
      <c r="B14" s="1" t="s">
        <v>184</v>
      </c>
      <c r="C14" s="142">
        <v>0.02</v>
      </c>
    </row>
    <row r="15" spans="1:28" x14ac:dyDescent="0.2">
      <c r="B15" s="1" t="s">
        <v>164</v>
      </c>
      <c r="C15" s="137">
        <f ca="1">IF(Overview!C28&gt;0,Overview!C28,WACC!C20)</f>
        <v>0.10605494718970561</v>
      </c>
    </row>
    <row r="18" spans="2:3" x14ac:dyDescent="0.2">
      <c r="B18" s="242" t="s">
        <v>185</v>
      </c>
      <c r="C18" s="242"/>
    </row>
    <row r="19" spans="2:3" x14ac:dyDescent="0.2">
      <c r="B19" s="1" t="s">
        <v>186</v>
      </c>
      <c r="C19" s="64">
        <f ca="1">SUM(H10:L10)</f>
        <v>6617.9450605782322</v>
      </c>
    </row>
    <row r="20" spans="2:3" x14ac:dyDescent="0.2">
      <c r="B20" s="1" t="s">
        <v>182</v>
      </c>
      <c r="C20" s="64">
        <f ca="1">L11</f>
        <v>17626.497867147493</v>
      </c>
    </row>
    <row r="21" spans="2:3" x14ac:dyDescent="0.2">
      <c r="B21" s="16" t="s">
        <v>187</v>
      </c>
      <c r="C21" s="94">
        <f ca="1">C19+C20</f>
        <v>24244.442927725726</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25123.442927725726</v>
      </c>
    </row>
    <row r="25" spans="2:3" x14ac:dyDescent="0.2">
      <c r="B25" s="1" t="s">
        <v>69</v>
      </c>
      <c r="C25" s="88">
        <f>Statement!AC79</f>
        <v>210</v>
      </c>
    </row>
    <row r="26" spans="2:3" x14ac:dyDescent="0.2">
      <c r="B26" s="233" t="s">
        <v>191</v>
      </c>
      <c r="C26" s="234">
        <f ca="1">C24/C25</f>
        <v>119.63544251297965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E11"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1"/>
      <c r="H2" s="252" t="s">
        <v>113</v>
      </c>
      <c r="I2" s="242"/>
      <c r="J2" s="242"/>
      <c r="K2" s="242"/>
      <c r="L2" s="242"/>
    </row>
    <row r="3" spans="1:14" ht="10" customHeight="1" x14ac:dyDescent="0.2"/>
    <row r="4" spans="1:14" ht="16" customHeight="1" x14ac:dyDescent="0.2">
      <c r="A4" s="86"/>
      <c r="B4" s="60"/>
      <c r="C4" s="248" t="s">
        <v>193</v>
      </c>
      <c r="D4" s="248"/>
      <c r="E4" s="248"/>
      <c r="F4" s="248"/>
      <c r="G4" s="248"/>
      <c r="H4" s="248"/>
      <c r="I4" s="248"/>
      <c r="J4" s="248"/>
      <c r="K4" s="248"/>
      <c r="L4" s="24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1863.3034905670513</v>
      </c>
      <c r="I9" s="92">
        <f ca="1">DCF!I10</f>
        <v>1272.138204509688</v>
      </c>
      <c r="J9" s="92">
        <f ca="1">DCF!J10</f>
        <v>571.15824233461035</v>
      </c>
      <c r="K9" s="92">
        <f ca="1">DCF!K10</f>
        <v>1424.2398848366518</v>
      </c>
      <c r="L9" s="92">
        <f ca="1">DCF!L10</f>
        <v>1487.1052383302315</v>
      </c>
      <c r="N9" s="91"/>
    </row>
    <row r="10" spans="1:14" x14ac:dyDescent="0.2">
      <c r="N10" s="91"/>
    </row>
    <row r="11" spans="1:14" x14ac:dyDescent="0.2">
      <c r="C11" s="248" t="s">
        <v>121</v>
      </c>
      <c r="D11" s="248"/>
      <c r="E11" s="248"/>
      <c r="F11" s="248"/>
      <c r="G11" s="248"/>
      <c r="H11" s="248"/>
      <c r="I11" s="248"/>
      <c r="J11" s="248"/>
      <c r="K11" s="248"/>
      <c r="L11" s="248"/>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48" t="s">
        <v>195</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48" t="s">
        <v>198</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48" t="s">
        <v>199</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42" t="s">
        <v>204</v>
      </c>
      <c r="C39" s="242"/>
      <c r="N39" s="91"/>
    </row>
    <row r="40" spans="2:14" x14ac:dyDescent="0.2">
      <c r="B40" s="1" t="s">
        <v>205</v>
      </c>
      <c r="C40" s="64">
        <f>L7</f>
        <v>3975.4383279388967</v>
      </c>
    </row>
    <row r="41" spans="2:14" x14ac:dyDescent="0.2">
      <c r="B41" s="1" t="s">
        <v>164</v>
      </c>
      <c r="C41" s="137">
        <f ca="1">IF(Overview!C28&gt;0,Overview!C28,WACC!C20)</f>
        <v>0.10605494718970561</v>
      </c>
    </row>
    <row r="42" spans="2:14" x14ac:dyDescent="0.2">
      <c r="B42" s="39" t="s">
        <v>206</v>
      </c>
      <c r="C42" s="105">
        <v>28</v>
      </c>
    </row>
    <row r="43" spans="2:14" x14ac:dyDescent="0.2">
      <c r="B43" s="1" t="s">
        <v>374</v>
      </c>
      <c r="C43" s="24">
        <f>(C40*C42)</f>
        <v>111312.27318228911</v>
      </c>
    </row>
    <row r="44" spans="2:14" x14ac:dyDescent="0.2">
      <c r="B44" s="1" t="s">
        <v>375</v>
      </c>
      <c r="C44" s="24">
        <f ca="1">C43/(1+C41)^5</f>
        <v>67244.928905866327</v>
      </c>
    </row>
    <row r="45" spans="2:14" x14ac:dyDescent="0.2">
      <c r="B45" s="16" t="s">
        <v>376</v>
      </c>
      <c r="C45" s="108">
        <f ca="1">SUM(H9:K9)+C44</f>
        <v>72375.76872811433</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73254.76872811433</v>
      </c>
    </row>
    <row r="49" spans="2:3" x14ac:dyDescent="0.2">
      <c r="B49" s="1" t="s">
        <v>69</v>
      </c>
      <c r="C49" s="88">
        <f>Statement!AC79</f>
        <v>210</v>
      </c>
    </row>
    <row r="50" spans="2:3" x14ac:dyDescent="0.2">
      <c r="B50" s="233" t="s">
        <v>208</v>
      </c>
      <c r="C50" s="234">
        <f ca="1">C48/C49</f>
        <v>348.83223203863969</v>
      </c>
    </row>
    <row r="52" spans="2:3" x14ac:dyDescent="0.2">
      <c r="B52" s="242" t="s">
        <v>209</v>
      </c>
      <c r="C52" s="242"/>
    </row>
    <row r="53" spans="2:3" x14ac:dyDescent="0.2">
      <c r="B53" s="1" t="s">
        <v>210</v>
      </c>
      <c r="C53" s="64">
        <f>L6</f>
        <v>13385.314235484499</v>
      </c>
    </row>
    <row r="54" spans="2:3" x14ac:dyDescent="0.2">
      <c r="B54" s="1" t="s">
        <v>343</v>
      </c>
      <c r="C54" s="137">
        <f ca="1">IF(Overview!C29&gt;0,Overview!C29,WACC!C19)</f>
        <v>0.1099815</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189.82347741565462</v>
      </c>
    </row>
    <row r="60" spans="2:3" x14ac:dyDescent="0.2">
      <c r="B60" s="242" t="s">
        <v>321</v>
      </c>
      <c r="C60" s="242"/>
    </row>
    <row r="61" spans="2:3" x14ac:dyDescent="0.2">
      <c r="B61" s="1" t="s">
        <v>377</v>
      </c>
      <c r="C61" s="64">
        <f>L8</f>
        <v>2461.643832972914</v>
      </c>
    </row>
    <row r="62" spans="2:3" x14ac:dyDescent="0.2">
      <c r="B62" s="1" t="s">
        <v>164</v>
      </c>
      <c r="C62" s="137">
        <f ca="1">IF(Overview!C28&gt;0,Overview!C28,WACC!C20)</f>
        <v>0.10605494718970561</v>
      </c>
    </row>
    <row r="63" spans="2:3" x14ac:dyDescent="0.2">
      <c r="B63" s="39" t="s">
        <v>344</v>
      </c>
      <c r="C63" s="105">
        <v>45</v>
      </c>
    </row>
    <row r="64" spans="2:3" x14ac:dyDescent="0.2">
      <c r="B64" s="1" t="s">
        <v>374</v>
      </c>
      <c r="C64" s="24">
        <f>(C61*C63)</f>
        <v>110773.97248378112</v>
      </c>
    </row>
    <row r="65" spans="2:3" x14ac:dyDescent="0.2">
      <c r="B65" s="1" t="s">
        <v>375</v>
      </c>
      <c r="C65" s="24">
        <f ca="1">C64/(1+C62)^5</f>
        <v>66919.735724860409</v>
      </c>
    </row>
    <row r="66" spans="2:3" x14ac:dyDescent="0.2">
      <c r="B66" s="16" t="s">
        <v>376</v>
      </c>
      <c r="C66" s="108">
        <f ca="1">SUM(H9:K9)+C65</f>
        <v>72050.575547108412</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72929.575547108412</v>
      </c>
    </row>
    <row r="70" spans="2:3" x14ac:dyDescent="0.2">
      <c r="B70" s="1" t="s">
        <v>69</v>
      </c>
      <c r="C70" s="88">
        <f>Statement!AC79</f>
        <v>210</v>
      </c>
    </row>
    <row r="71" spans="2:3" x14ac:dyDescent="0.2">
      <c r="B71" s="233" t="s">
        <v>208</v>
      </c>
      <c r="C71" s="234">
        <f ca="1">C69/C70</f>
        <v>347.28369308146864</v>
      </c>
    </row>
    <row r="73" spans="2:3" x14ac:dyDescent="0.2">
      <c r="B73" s="242" t="s">
        <v>379</v>
      </c>
      <c r="C73" s="242"/>
    </row>
    <row r="74" spans="2:3" x14ac:dyDescent="0.2">
      <c r="B74" s="1" t="s">
        <v>380</v>
      </c>
      <c r="C74" s="64">
        <f>L6</f>
        <v>13385.314235484499</v>
      </c>
    </row>
    <row r="75" spans="2:3" x14ac:dyDescent="0.2">
      <c r="B75" s="1" t="s">
        <v>164</v>
      </c>
      <c r="C75" s="137">
        <f ca="1">IF(Overview!C28&gt;0,Overview!C28,WACC!C20)</f>
        <v>0.10605494718970561</v>
      </c>
    </row>
    <row r="76" spans="2:3" x14ac:dyDescent="0.2">
      <c r="B76" s="39" t="s">
        <v>381</v>
      </c>
      <c r="C76" s="105">
        <v>5</v>
      </c>
    </row>
    <row r="77" spans="2:3" x14ac:dyDescent="0.2">
      <c r="B77" s="1" t="s">
        <v>374</v>
      </c>
      <c r="C77" s="24">
        <f>(C74*C76)</f>
        <v>66926.571177422491</v>
      </c>
    </row>
    <row r="78" spans="2:3" x14ac:dyDescent="0.2">
      <c r="B78" s="1" t="s">
        <v>375</v>
      </c>
      <c r="C78" s="24">
        <f ca="1">C77/(1+C75)^5</f>
        <v>40431.053935706055</v>
      </c>
    </row>
    <row r="79" spans="2:3" x14ac:dyDescent="0.2">
      <c r="B79" s="16" t="s">
        <v>376</v>
      </c>
      <c r="C79" s="108">
        <f ca="1">SUM(H9:K9)+C78</f>
        <v>45561.893757954058</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46440.893757954058</v>
      </c>
    </row>
    <row r="83" spans="2:3" x14ac:dyDescent="0.2">
      <c r="B83" s="1" t="s">
        <v>69</v>
      </c>
      <c r="C83" s="88">
        <f>Statement!AC79</f>
        <v>210</v>
      </c>
    </row>
    <row r="84" spans="2:3" x14ac:dyDescent="0.2">
      <c r="B84" s="233" t="s">
        <v>208</v>
      </c>
      <c r="C84" s="234">
        <f ca="1">C82/C83</f>
        <v>221.14711313311457</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2" t="s">
        <v>213</v>
      </c>
      <c r="C4" s="242"/>
      <c r="N4" s="91"/>
    </row>
    <row r="5" spans="1:14" x14ac:dyDescent="0.2">
      <c r="B5" s="1" t="s">
        <v>214</v>
      </c>
      <c r="C5" s="135">
        <f ca="1">DCF!C26</f>
        <v>119.63544251297965</v>
      </c>
    </row>
    <row r="6" spans="1:14" x14ac:dyDescent="0.2">
      <c r="B6" s="1" t="s">
        <v>215</v>
      </c>
      <c r="C6" s="135">
        <f ca="1">Multiples!C50</f>
        <v>348.83223203863969</v>
      </c>
    </row>
    <row r="7" spans="1:14" x14ac:dyDescent="0.2">
      <c r="B7" s="1" t="s">
        <v>216</v>
      </c>
      <c r="C7" s="135">
        <f ca="1">Multiples!C58</f>
        <v>189.82347741565462</v>
      </c>
    </row>
    <row r="8" spans="1:14" x14ac:dyDescent="0.2">
      <c r="B8" s="1" t="s">
        <v>322</v>
      </c>
      <c r="C8" s="135">
        <f ca="1">Multiples!C71</f>
        <v>347.28369308146864</v>
      </c>
    </row>
    <row r="9" spans="1:14" x14ac:dyDescent="0.2">
      <c r="B9" s="1" t="s">
        <v>382</v>
      </c>
      <c r="C9" s="135">
        <f ca="1">Multiples!C84</f>
        <v>221.14711313311457</v>
      </c>
    </row>
    <row r="10" spans="1:14" x14ac:dyDescent="0.2">
      <c r="B10" s="233" t="s">
        <v>217</v>
      </c>
      <c r="C10" s="234">
        <f ca="1">AVERAGE(C5:C9)</f>
        <v>245.34439163637143</v>
      </c>
    </row>
    <row r="11" spans="1:14" x14ac:dyDescent="0.2">
      <c r="B11" s="1" t="s">
        <v>218</v>
      </c>
      <c r="C11" s="135">
        <f ca="1">Overview!C5</f>
        <v>244.07</v>
      </c>
    </row>
    <row r="12" spans="1:14" x14ac:dyDescent="0.2">
      <c r="B12" s="1" t="s">
        <v>219</v>
      </c>
      <c r="C12" s="154">
        <f ca="1">(C10-C11)/C11</f>
        <v>5.221418594548422E-3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42" t="s">
        <v>112</v>
      </c>
      <c r="D2" s="242"/>
      <c r="E2" s="242"/>
      <c r="F2" s="242"/>
      <c r="G2" s="251"/>
      <c r="H2" s="252" t="s">
        <v>113</v>
      </c>
      <c r="I2" s="242"/>
      <c r="J2" s="242"/>
      <c r="K2" s="242"/>
      <c r="L2" s="242"/>
    </row>
    <row r="3" spans="1:14" ht="10" customHeight="1" x14ac:dyDescent="0.2"/>
    <row r="4" spans="1:14" ht="16" customHeight="1" x14ac:dyDescent="0.2">
      <c r="A4" s="86"/>
      <c r="B4" s="60"/>
      <c r="C4" s="248" t="s">
        <v>193</v>
      </c>
      <c r="D4" s="248"/>
      <c r="E4" s="248"/>
      <c r="F4" s="248"/>
      <c r="G4" s="248"/>
      <c r="H4" s="248"/>
      <c r="I4" s="248"/>
      <c r="J4" s="248"/>
      <c r="K4" s="248"/>
      <c r="L4" s="24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48" t="s">
        <v>121</v>
      </c>
      <c r="D9" s="248"/>
      <c r="E9" s="248"/>
      <c r="F9" s="248"/>
      <c r="G9" s="248"/>
      <c r="H9" s="248"/>
      <c r="I9" s="248"/>
      <c r="J9" s="248"/>
      <c r="K9" s="248"/>
      <c r="L9" s="248"/>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8" t="s">
        <v>367</v>
      </c>
      <c r="D14" s="248"/>
      <c r="E14" s="248"/>
      <c r="F14" s="248"/>
      <c r="G14" s="248"/>
      <c r="H14" s="248"/>
      <c r="I14" s="248"/>
      <c r="J14" s="248"/>
      <c r="K14" s="248"/>
      <c r="L14" s="248"/>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2" t="s">
        <v>369</v>
      </c>
      <c r="C20" s="242"/>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0.1099815</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2" t="s">
        <v>112</v>
      </c>
      <c r="D3" s="242"/>
      <c r="E3" s="242"/>
      <c r="F3" s="242"/>
      <c r="G3" s="251"/>
      <c r="H3" s="252" t="s">
        <v>113</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179</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1093.9502557704304</v>
      </c>
      <c r="I7" s="128">
        <f t="shared" ref="I7:L7" si="0">H7*(1+$C$17)</f>
        <v>1651.86488621335</v>
      </c>
      <c r="J7" s="128">
        <f t="shared" si="0"/>
        <v>2494.3159781821587</v>
      </c>
      <c r="K7" s="128">
        <f t="shared" si="0"/>
        <v>3766.4171270550596</v>
      </c>
      <c r="L7" s="128">
        <f t="shared" si="0"/>
        <v>5687.2898618531399</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67410.832828727333</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989.0559764232047</v>
      </c>
      <c r="I10" s="128">
        <f t="shared" ref="I10:L10" ca="1" si="1">I7/(1+$C$21)^I9</f>
        <v>1350.2715468103097</v>
      </c>
      <c r="J10" s="128">
        <f t="shared" ca="1" si="1"/>
        <v>1843.4075457680337</v>
      </c>
      <c r="K10" s="128">
        <f t="shared" ca="1" si="1"/>
        <v>2516.6429580937534</v>
      </c>
      <c r="L10" s="128">
        <f t="shared" ca="1" si="1"/>
        <v>3435.7523343456337</v>
      </c>
      <c r="N10" s="91"/>
    </row>
    <row r="11" spans="1:28" x14ac:dyDescent="0.2">
      <c r="B11" s="1" t="s">
        <v>182</v>
      </c>
      <c r="C11" s="139"/>
      <c r="D11" s="139"/>
      <c r="E11" s="139"/>
      <c r="F11" s="139"/>
      <c r="G11" s="140"/>
      <c r="H11" s="139"/>
      <c r="I11" s="139"/>
      <c r="J11" s="139"/>
      <c r="K11" s="139"/>
      <c r="L11" s="128">
        <f ca="1">L8/(1+C21)^L9</f>
        <v>40723.601553168715</v>
      </c>
    </row>
    <row r="13" spans="1:28" ht="17" thickBot="1" x14ac:dyDescent="0.25"/>
    <row r="14" spans="1:28" x14ac:dyDescent="0.2">
      <c r="B14" s="255" t="s">
        <v>221</v>
      </c>
      <c r="C14" s="256"/>
    </row>
    <row r="15" spans="1:28" x14ac:dyDescent="0.2">
      <c r="B15" s="155" t="s">
        <v>222</v>
      </c>
      <c r="C15" s="156">
        <f ca="1">Overview!C5</f>
        <v>244.07</v>
      </c>
    </row>
    <row r="16" spans="1:28" x14ac:dyDescent="0.2">
      <c r="B16" s="155" t="s">
        <v>223</v>
      </c>
      <c r="C16" s="156">
        <f ca="1">C36</f>
        <v>247.54895652923278</v>
      </c>
    </row>
    <row r="17" spans="2:9" ht="17" thickBot="1" x14ac:dyDescent="0.25">
      <c r="B17" s="157" t="s">
        <v>323</v>
      </c>
      <c r="C17" s="158">
        <v>0.51</v>
      </c>
      <c r="E17" s="254" t="s">
        <v>224</v>
      </c>
      <c r="F17" s="254"/>
      <c r="G17" s="254"/>
      <c r="H17" s="254"/>
      <c r="I17" s="254"/>
    </row>
    <row r="18" spans="2:9" ht="17" thickBot="1" x14ac:dyDescent="0.25"/>
    <row r="19" spans="2:9" x14ac:dyDescent="0.2">
      <c r="B19" s="255" t="s">
        <v>183</v>
      </c>
      <c r="C19" s="256"/>
    </row>
    <row r="20" spans="2:9" x14ac:dyDescent="0.2">
      <c r="B20" s="159" t="s">
        <v>184</v>
      </c>
      <c r="C20" s="160">
        <v>0.02</v>
      </c>
    </row>
    <row r="21" spans="2:9" x14ac:dyDescent="0.2">
      <c r="B21" s="159" t="s">
        <v>164</v>
      </c>
      <c r="C21" s="220">
        <f ca="1">IF(Overview!C28&gt;0,Overview!C28,WACC!C20)</f>
        <v>0.10605494718970561</v>
      </c>
    </row>
    <row r="22" spans="2:9" x14ac:dyDescent="0.2">
      <c r="B22" s="159" t="s">
        <v>69</v>
      </c>
      <c r="C22" s="221">
        <f>Statement!AC76</f>
        <v>209</v>
      </c>
    </row>
    <row r="23" spans="2:9" x14ac:dyDescent="0.2">
      <c r="B23" s="159" t="s">
        <v>225</v>
      </c>
      <c r="C23" s="161">
        <f ca="1">C15*C22</f>
        <v>51010.63</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50131.63</v>
      </c>
    </row>
    <row r="27" spans="2:9" ht="17" thickBot="1" x14ac:dyDescent="0.25"/>
    <row r="28" spans="2:9" x14ac:dyDescent="0.2">
      <c r="B28" s="255" t="s">
        <v>185</v>
      </c>
      <c r="C28" s="256"/>
    </row>
    <row r="29" spans="2:9" x14ac:dyDescent="0.2">
      <c r="B29" s="159" t="s">
        <v>186</v>
      </c>
      <c r="C29" s="161">
        <f ca="1">SUM(H10:L10)</f>
        <v>10135.130361440935</v>
      </c>
    </row>
    <row r="30" spans="2:9" x14ac:dyDescent="0.2">
      <c r="B30" s="159" t="s">
        <v>182</v>
      </c>
      <c r="C30" s="161">
        <f ca="1">L11</f>
        <v>40723.601553168715</v>
      </c>
    </row>
    <row r="31" spans="2:9" x14ac:dyDescent="0.2">
      <c r="B31" s="163" t="s">
        <v>187</v>
      </c>
      <c r="C31" s="164">
        <f ca="1">C29+C30</f>
        <v>50858.731914609649</v>
      </c>
    </row>
    <row r="32" spans="2:9" x14ac:dyDescent="0.2">
      <c r="B32" s="159" t="s">
        <v>188</v>
      </c>
      <c r="C32" s="165">
        <f>C24</f>
        <v>4357</v>
      </c>
    </row>
    <row r="33" spans="2:3" x14ac:dyDescent="0.2">
      <c r="B33" s="159" t="s">
        <v>189</v>
      </c>
      <c r="C33" s="165">
        <f>C25</f>
        <v>3478</v>
      </c>
    </row>
    <row r="34" spans="2:3" x14ac:dyDescent="0.2">
      <c r="B34" s="163" t="s">
        <v>190</v>
      </c>
      <c r="C34" s="164">
        <f ca="1">C31+C32-C33</f>
        <v>51737.731914609649</v>
      </c>
    </row>
    <row r="35" spans="2:3" x14ac:dyDescent="0.2">
      <c r="B35" s="159" t="s">
        <v>69</v>
      </c>
      <c r="C35" s="161">
        <f>C22</f>
        <v>209</v>
      </c>
    </row>
    <row r="36" spans="2:3" ht="17" thickBot="1" x14ac:dyDescent="0.25">
      <c r="B36" s="166" t="s">
        <v>191</v>
      </c>
      <c r="C36" s="167">
        <f ca="1">C34/C35</f>
        <v>247.54895652923278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2026-10-20T17:14:06Z</dcterms:modified>
</cp:coreProperties>
</file>