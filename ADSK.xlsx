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2D175357-C428-6843-9B65-299E65BA7B1B}"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9" i="3" l="1"/>
  <c r="L5" i="21"/>
  <c r="K5" i="21"/>
  <c r="J5" i="21"/>
  <c r="I5" i="21"/>
  <c r="H5" i="21"/>
  <c r="G5" i="21"/>
  <c r="F5" i="21"/>
  <c r="E5" i="21"/>
  <c r="D5" i="21"/>
  <c r="C5" i="21"/>
  <c r="W13" i="6"/>
  <c r="V13" i="6"/>
  <c r="U13" i="6"/>
  <c r="T13" i="6"/>
  <c r="S13" i="6"/>
  <c r="R13" i="6"/>
  <c r="Q13" i="6"/>
  <c r="P13" i="6"/>
  <c r="G13" i="6"/>
  <c r="F13" i="6"/>
  <c r="E13" i="6"/>
  <c r="D13" i="6"/>
  <c r="C13" i="6"/>
  <c r="B13" i="6"/>
  <c r="AA13" i="5"/>
  <c r="AA12" i="5"/>
  <c r="AA11" i="5"/>
  <c r="AA10" i="5"/>
  <c r="AA9" i="5"/>
  <c r="AE9" i="5" s="1"/>
  <c r="L19" i="5"/>
  <c r="K19" i="5"/>
  <c r="J19" i="5"/>
  <c r="I19" i="5"/>
  <c r="H19" i="5"/>
  <c r="L18" i="5"/>
  <c r="K18" i="5"/>
  <c r="J18" i="5"/>
  <c r="I18" i="5"/>
  <c r="H18" i="5"/>
  <c r="L6" i="5"/>
  <c r="K6" i="5"/>
  <c r="J6" i="5"/>
  <c r="I6" i="5"/>
  <c r="H6" i="5"/>
  <c r="L7" i="5"/>
  <c r="K7" i="5"/>
  <c r="J7" i="5"/>
  <c r="I7" i="5"/>
  <c r="H7" i="5"/>
  <c r="L14" i="5"/>
  <c r="K14" i="5"/>
  <c r="J14" i="5"/>
  <c r="I14" i="5"/>
  <c r="H14" i="5"/>
  <c r="I13" i="5"/>
  <c r="J13" i="5" s="1"/>
  <c r="K13" i="5" s="1"/>
  <c r="L13" i="5" s="1"/>
  <c r="I12" i="5"/>
  <c r="J12" i="5" s="1"/>
  <c r="K12" i="5" s="1"/>
  <c r="L12" i="5" s="1"/>
  <c r="I11" i="5"/>
  <c r="J11" i="5" s="1"/>
  <c r="K11" i="5" s="1"/>
  <c r="L11" i="5" s="1"/>
  <c r="I10" i="5"/>
  <c r="J10" i="5" s="1"/>
  <c r="K10" i="5" s="1"/>
  <c r="L10" i="5" s="1"/>
  <c r="H13" i="5"/>
  <c r="H12" i="5"/>
  <c r="H11" i="5"/>
  <c r="H10" i="5"/>
  <c r="I9" i="5"/>
  <c r="J9" i="5" s="1"/>
  <c r="K9" i="5" s="1"/>
  <c r="L9" i="5" s="1"/>
  <c r="H9" i="5"/>
  <c r="Z30" i="5"/>
  <c r="Y30" i="5"/>
  <c r="X30" i="5"/>
  <c r="W30" i="5"/>
  <c r="V30" i="5"/>
  <c r="U30" i="5"/>
  <c r="T30" i="5"/>
  <c r="S30" i="5"/>
  <c r="R30" i="5"/>
  <c r="G30" i="5"/>
  <c r="F30" i="5"/>
  <c r="E30" i="5"/>
  <c r="D30" i="5"/>
  <c r="C30" i="5"/>
  <c r="B30" i="5"/>
  <c r="AC29" i="5"/>
  <c r="AB29" i="5"/>
  <c r="AA29" i="5"/>
  <c r="Z29" i="5"/>
  <c r="Y29" i="5"/>
  <c r="X29" i="5"/>
  <c r="W29" i="5"/>
  <c r="V29" i="5"/>
  <c r="U29" i="5"/>
  <c r="T29" i="5"/>
  <c r="S29" i="5"/>
  <c r="L29" i="5"/>
  <c r="K29" i="5"/>
  <c r="J29" i="5"/>
  <c r="I29" i="5"/>
  <c r="H29" i="5"/>
  <c r="G29" i="5"/>
  <c r="F29" i="5"/>
  <c r="E29" i="5"/>
  <c r="D29" i="5"/>
  <c r="C29" i="5"/>
  <c r="AE13" i="5"/>
  <c r="AE12" i="5"/>
  <c r="AE11" i="5"/>
  <c r="AE10" i="5"/>
  <c r="Z13" i="5"/>
  <c r="Y13" i="5"/>
  <c r="X13" i="5"/>
  <c r="W13" i="5"/>
  <c r="V13" i="5"/>
  <c r="U13" i="5"/>
  <c r="T13" i="5"/>
  <c r="S13" i="5"/>
  <c r="Z12" i="5"/>
  <c r="Y12" i="5"/>
  <c r="X12" i="5"/>
  <c r="W12" i="5"/>
  <c r="V12" i="5"/>
  <c r="U12" i="5"/>
  <c r="T12" i="5"/>
  <c r="S12" i="5"/>
  <c r="Z11" i="5"/>
  <c r="Y11" i="5"/>
  <c r="X11" i="5"/>
  <c r="W11" i="5"/>
  <c r="V11" i="5"/>
  <c r="U11" i="5"/>
  <c r="T11" i="5"/>
  <c r="S11" i="5"/>
  <c r="Z10" i="5"/>
  <c r="Y10" i="5"/>
  <c r="X10" i="5"/>
  <c r="W10" i="5"/>
  <c r="V10" i="5"/>
  <c r="U10" i="5"/>
  <c r="T10" i="5"/>
  <c r="S10" i="5"/>
  <c r="Z9" i="5"/>
  <c r="Y9" i="5"/>
  <c r="X9" i="5"/>
  <c r="W9" i="5"/>
  <c r="V9" i="5"/>
  <c r="U9" i="5"/>
  <c r="T9" i="5"/>
  <c r="S9" i="5"/>
  <c r="Z25" i="5"/>
  <c r="Y25" i="5"/>
  <c r="X25" i="5"/>
  <c r="W25" i="5"/>
  <c r="V25" i="5"/>
  <c r="U25" i="5"/>
  <c r="T25" i="5"/>
  <c r="Z24" i="5"/>
  <c r="Y24" i="5"/>
  <c r="X24" i="5"/>
  <c r="W24" i="5"/>
  <c r="V24" i="5"/>
  <c r="U24" i="5"/>
  <c r="T24" i="5"/>
  <c r="Z23" i="5"/>
  <c r="Y23" i="5"/>
  <c r="X23" i="5"/>
  <c r="W23" i="5"/>
  <c r="V23" i="5"/>
  <c r="U23" i="5"/>
  <c r="T23" i="5"/>
  <c r="Z22" i="5"/>
  <c r="Y22" i="5"/>
  <c r="X22" i="5"/>
  <c r="W22" i="5"/>
  <c r="V22" i="5"/>
  <c r="U22" i="5"/>
  <c r="T22" i="5"/>
  <c r="Z21" i="5"/>
  <c r="Y21" i="5"/>
  <c r="X21" i="5"/>
  <c r="W21" i="5"/>
  <c r="V21" i="5"/>
  <c r="U21" i="5"/>
  <c r="T21" i="5"/>
  <c r="G25" i="5"/>
  <c r="F25" i="5"/>
  <c r="E25" i="5"/>
  <c r="D25" i="5"/>
  <c r="G24" i="5"/>
  <c r="F24" i="5"/>
  <c r="E24" i="5"/>
  <c r="D24" i="5"/>
  <c r="G23" i="5"/>
  <c r="F23" i="5"/>
  <c r="E23" i="5"/>
  <c r="D23" i="5"/>
  <c r="G22" i="5"/>
  <c r="F22" i="5"/>
  <c r="E22" i="5"/>
  <c r="D22" i="5"/>
  <c r="G21" i="5"/>
  <c r="F21" i="5"/>
  <c r="E21" i="5"/>
  <c r="D21" i="5"/>
  <c r="R25" i="5"/>
  <c r="R24" i="5"/>
  <c r="R23" i="5"/>
  <c r="R22" i="5"/>
  <c r="R21" i="5"/>
  <c r="B25" i="5"/>
  <c r="B24" i="5"/>
  <c r="B23" i="5"/>
  <c r="B22" i="5"/>
  <c r="B21" i="5"/>
  <c r="G13" i="5"/>
  <c r="F13" i="5"/>
  <c r="E13" i="5"/>
  <c r="D13" i="5"/>
  <c r="C13" i="5"/>
  <c r="G12" i="5"/>
  <c r="F12" i="5"/>
  <c r="E12" i="5"/>
  <c r="D12" i="5"/>
  <c r="C12" i="5"/>
  <c r="G11" i="5"/>
  <c r="F11" i="5"/>
  <c r="E11" i="5"/>
  <c r="D11" i="5"/>
  <c r="C11" i="5"/>
  <c r="G10" i="5"/>
  <c r="F10" i="5"/>
  <c r="E10" i="5"/>
  <c r="D10" i="5"/>
  <c r="C10" i="5"/>
  <c r="G9" i="5"/>
  <c r="F9" i="5"/>
  <c r="E9" i="5"/>
  <c r="D9" i="5"/>
  <c r="C9" i="5"/>
  <c r="B13" i="5"/>
  <c r="R13" i="5" s="1"/>
  <c r="B12" i="5"/>
  <c r="R12" i="5" s="1"/>
  <c r="B11" i="5"/>
  <c r="R11" i="5" s="1"/>
  <c r="B10" i="5"/>
  <c r="R10" i="5" s="1"/>
  <c r="B9" i="5"/>
  <c r="R9" i="5" s="1"/>
  <c r="J69" i="20"/>
  <c r="I69" i="20"/>
  <c r="H69" i="20"/>
  <c r="G69" i="20"/>
  <c r="F69" i="20"/>
  <c r="E69" i="20"/>
  <c r="D69" i="20"/>
  <c r="C69" i="20"/>
  <c r="J68" i="20"/>
  <c r="I68" i="20"/>
  <c r="H68" i="20"/>
  <c r="G68" i="20"/>
  <c r="F68" i="20"/>
  <c r="E68" i="20"/>
  <c r="D68" i="20"/>
  <c r="C68" i="20"/>
  <c r="J67" i="20"/>
  <c r="I67" i="20"/>
  <c r="H67" i="20"/>
  <c r="G67" i="20"/>
  <c r="F67" i="20"/>
  <c r="E67" i="20"/>
  <c r="D67" i="20"/>
  <c r="C67" i="20"/>
  <c r="J66" i="20"/>
  <c r="I66" i="20"/>
  <c r="H66" i="20"/>
  <c r="G66" i="20"/>
  <c r="F66" i="20"/>
  <c r="E66" i="20"/>
  <c r="D66" i="20"/>
  <c r="C66" i="20"/>
  <c r="J65" i="20"/>
  <c r="I65" i="20"/>
  <c r="H65" i="20"/>
  <c r="G65" i="20"/>
  <c r="F65" i="20"/>
  <c r="E65" i="20"/>
  <c r="D65" i="20"/>
  <c r="C65" i="20"/>
  <c r="B69" i="20"/>
  <c r="B68" i="20"/>
  <c r="B67" i="20"/>
  <c r="B66" i="20"/>
  <c r="B65" i="20"/>
  <c r="B64" i="20"/>
  <c r="B63" i="20"/>
  <c r="L82" i="19"/>
  <c r="K82" i="19"/>
  <c r="J82" i="19"/>
  <c r="I82" i="19"/>
  <c r="H82" i="19"/>
  <c r="G82" i="19"/>
  <c r="F82" i="19"/>
  <c r="E82" i="19"/>
  <c r="D82" i="19"/>
  <c r="L81" i="19"/>
  <c r="K81" i="19"/>
  <c r="J81" i="19"/>
  <c r="I81" i="19"/>
  <c r="H81" i="19"/>
  <c r="G81" i="19"/>
  <c r="F81" i="19"/>
  <c r="E81" i="19"/>
  <c r="D81" i="19"/>
  <c r="L80" i="19"/>
  <c r="K80" i="19"/>
  <c r="J80" i="19"/>
  <c r="I80" i="19"/>
  <c r="H80" i="19"/>
  <c r="G80" i="19"/>
  <c r="F80" i="19"/>
  <c r="E80" i="19"/>
  <c r="D80" i="19"/>
  <c r="L79" i="19"/>
  <c r="K79" i="19"/>
  <c r="J79" i="19"/>
  <c r="I79" i="19"/>
  <c r="H79" i="19"/>
  <c r="G79" i="19"/>
  <c r="F79" i="19"/>
  <c r="E79" i="19"/>
  <c r="D79" i="19"/>
  <c r="L78" i="19"/>
  <c r="K78" i="19"/>
  <c r="J78" i="19"/>
  <c r="I78" i="19"/>
  <c r="H78" i="19"/>
  <c r="G78" i="19"/>
  <c r="F78" i="19"/>
  <c r="E78" i="19"/>
  <c r="D78" i="19"/>
  <c r="C82" i="19"/>
  <c r="C81" i="19"/>
  <c r="C80" i="19"/>
  <c r="C79" i="19"/>
  <c r="C78" i="19"/>
  <c r="B82" i="19"/>
  <c r="B81" i="19"/>
  <c r="B80" i="19"/>
  <c r="B79" i="19"/>
  <c r="B78" i="19"/>
  <c r="B77" i="19"/>
  <c r="B76" i="19"/>
  <c r="G37" i="18"/>
  <c r="F37" i="18"/>
  <c r="D37" i="18"/>
  <c r="C37" i="18"/>
  <c r="C38" i="18" s="1"/>
  <c r="B37" i="18"/>
  <c r="G35" i="18"/>
  <c r="F35" i="18"/>
  <c r="F36" i="18" s="1"/>
  <c r="D35" i="18"/>
  <c r="C35" i="18"/>
  <c r="B35" i="18"/>
  <c r="C36" i="18"/>
  <c r="G33" i="18"/>
  <c r="F33" i="18"/>
  <c r="F34" i="18" s="1"/>
  <c r="D33" i="18"/>
  <c r="C33" i="18"/>
  <c r="C34" i="18" s="1"/>
  <c r="B33" i="18"/>
  <c r="G31" i="18"/>
  <c r="F31" i="18"/>
  <c r="D31" i="18"/>
  <c r="C31" i="18"/>
  <c r="C32" i="18" s="1"/>
  <c r="B31" i="18"/>
  <c r="F32" i="18"/>
  <c r="F29" i="18"/>
  <c r="G29" i="18"/>
  <c r="D29" i="18"/>
  <c r="C29" i="18"/>
  <c r="B29" i="18"/>
  <c r="B26" i="18"/>
  <c r="B24" i="18"/>
  <c r="B90" i="17"/>
  <c r="B89" i="17"/>
  <c r="AA210" i="3"/>
  <c r="Z210" i="3"/>
  <c r="Y210" i="3"/>
  <c r="X210" i="3"/>
  <c r="W210" i="3"/>
  <c r="V210" i="3"/>
  <c r="U210" i="3"/>
  <c r="AA209" i="3"/>
  <c r="Z209" i="3"/>
  <c r="Y209" i="3"/>
  <c r="X209" i="3"/>
  <c r="W209" i="3"/>
  <c r="V209" i="3"/>
  <c r="U209" i="3"/>
  <c r="AA208" i="3"/>
  <c r="Z208" i="3"/>
  <c r="Y208" i="3"/>
  <c r="X208" i="3"/>
  <c r="W208" i="3"/>
  <c r="V208" i="3"/>
  <c r="U208" i="3"/>
  <c r="AA207" i="3"/>
  <c r="Z207" i="3"/>
  <c r="Y207" i="3"/>
  <c r="X207" i="3"/>
  <c r="W207" i="3"/>
  <c r="V207" i="3"/>
  <c r="U207" i="3"/>
  <c r="AA206" i="3"/>
  <c r="Z206" i="3"/>
  <c r="Y206" i="3"/>
  <c r="X206" i="3"/>
  <c r="W206" i="3"/>
  <c r="V206" i="3"/>
  <c r="U206" i="3"/>
  <c r="T210" i="3"/>
  <c r="T209" i="3"/>
  <c r="T208" i="3"/>
  <c r="T207" i="3"/>
  <c r="T206" i="3"/>
  <c r="AC199" i="3"/>
  <c r="AC198" i="3"/>
  <c r="AC197" i="3"/>
  <c r="AC196" i="3"/>
  <c r="AC195" i="3"/>
  <c r="Q210" i="3"/>
  <c r="P210" i="3"/>
  <c r="O210" i="3"/>
  <c r="N210" i="3"/>
  <c r="Q209" i="3"/>
  <c r="P209" i="3"/>
  <c r="O209" i="3"/>
  <c r="N209" i="3"/>
  <c r="Q208" i="3"/>
  <c r="P208" i="3"/>
  <c r="O208" i="3"/>
  <c r="N208" i="3"/>
  <c r="M210" i="3"/>
  <c r="M209" i="3"/>
  <c r="M208" i="3"/>
  <c r="Q207" i="3"/>
  <c r="P207" i="3"/>
  <c r="O207" i="3"/>
  <c r="N207" i="3"/>
  <c r="M207" i="3"/>
  <c r="Q206" i="3"/>
  <c r="P206" i="3"/>
  <c r="O206" i="3"/>
  <c r="N206" i="3"/>
  <c r="M206" i="3"/>
  <c r="B210" i="3"/>
  <c r="B209" i="3"/>
  <c r="B208" i="3"/>
  <c r="B207" i="3"/>
  <c r="B206" i="3"/>
  <c r="AC193" i="3"/>
  <c r="B204" i="3"/>
  <c r="B203" i="3"/>
  <c r="AC66" i="3"/>
  <c r="AC65" i="3"/>
  <c r="AC62" i="3"/>
  <c r="Y111" i="3"/>
  <c r="AC57" i="3"/>
  <c r="AC54" i="3"/>
  <c r="AC63" i="3"/>
  <c r="AC60" i="3"/>
  <c r="W111" i="3"/>
  <c r="AA111" i="3"/>
  <c r="V61" i="3"/>
  <c r="V111" i="3"/>
  <c r="Z61" i="3"/>
  <c r="Z111" i="3" s="1"/>
  <c r="V59" i="3"/>
  <c r="Z59" i="3"/>
  <c r="M61" i="3"/>
  <c r="M111" i="3" s="1"/>
  <c r="C45" i="7" s="1"/>
  <c r="N61" i="3"/>
  <c r="N111" i="3" s="1"/>
  <c r="D45" i="7" s="1"/>
  <c r="M59" i="3"/>
  <c r="N59" i="3"/>
  <c r="O61" i="3"/>
  <c r="O111" i="3" s="1"/>
  <c r="E45" i="7" s="1"/>
  <c r="P61" i="3"/>
  <c r="P111" i="3" s="1"/>
  <c r="F45" i="7" s="1"/>
  <c r="Q61" i="3"/>
  <c r="Q111" i="3" s="1"/>
  <c r="G45" i="7" s="1"/>
  <c r="O59" i="3"/>
  <c r="P59" i="3"/>
  <c r="Q59" i="3"/>
  <c r="T30" i="3"/>
  <c r="T108" i="3" s="1"/>
  <c r="V30" i="3"/>
  <c r="V108" i="3" s="1"/>
  <c r="W30" i="3"/>
  <c r="W108" i="3" s="1"/>
  <c r="X30" i="3"/>
  <c r="X108" i="3" s="1"/>
  <c r="Z43" i="3"/>
  <c r="Z30" i="3"/>
  <c r="Z108" i="3" s="1"/>
  <c r="AA40" i="3"/>
  <c r="AA30" i="3"/>
  <c r="M43" i="3"/>
  <c r="M30" i="3"/>
  <c r="N30" i="3"/>
  <c r="O43" i="3"/>
  <c r="O30" i="3"/>
  <c r="U43" i="3"/>
  <c r="U37" i="3"/>
  <c r="U30" i="3"/>
  <c r="P30" i="3"/>
  <c r="Y43" i="3"/>
  <c r="Y37" i="3"/>
  <c r="Y30" i="3"/>
  <c r="Y108" i="3" s="1"/>
  <c r="Q30" i="3"/>
  <c r="AC11" i="3"/>
  <c r="Z204" i="3"/>
  <c r="Y204" i="3"/>
  <c r="X204" i="3"/>
  <c r="W204" i="3"/>
  <c r="V204" i="3"/>
  <c r="U204" i="3"/>
  <c r="T204" i="3"/>
  <c r="Z203" i="3"/>
  <c r="Y203" i="3"/>
  <c r="X203" i="3"/>
  <c r="W203" i="3"/>
  <c r="V203" i="3"/>
  <c r="U203" i="3"/>
  <c r="T203" i="3"/>
  <c r="Z175" i="3"/>
  <c r="Y175" i="3"/>
  <c r="V175" i="3"/>
  <c r="U175" i="3"/>
  <c r="T175" i="3"/>
  <c r="Z174" i="3"/>
  <c r="Y174" i="3"/>
  <c r="X174" i="3"/>
  <c r="V174" i="3"/>
  <c r="U174" i="3"/>
  <c r="T174" i="3"/>
  <c r="Z150" i="3"/>
  <c r="Y150" i="3"/>
  <c r="X150" i="3"/>
  <c r="W150" i="3"/>
  <c r="V150" i="3"/>
  <c r="U150" i="3"/>
  <c r="T150" i="3"/>
  <c r="Z149" i="3"/>
  <c r="Y149" i="3"/>
  <c r="X149" i="3"/>
  <c r="W149" i="3"/>
  <c r="V149" i="3"/>
  <c r="U149" i="3"/>
  <c r="T149" i="3"/>
  <c r="Y146" i="3"/>
  <c r="U146" i="3"/>
  <c r="Z144" i="3"/>
  <c r="Y144" i="3"/>
  <c r="X144" i="3"/>
  <c r="W144" i="3"/>
  <c r="V144" i="3"/>
  <c r="U144" i="3"/>
  <c r="T144" i="3"/>
  <c r="Z143" i="3"/>
  <c r="Y143" i="3"/>
  <c r="X143" i="3"/>
  <c r="W143" i="3"/>
  <c r="V143" i="3"/>
  <c r="U143" i="3"/>
  <c r="T143" i="3"/>
  <c r="Z142" i="3"/>
  <c r="Y142" i="3"/>
  <c r="X142" i="3"/>
  <c r="W142" i="3"/>
  <c r="V142" i="3"/>
  <c r="U142" i="3"/>
  <c r="T142" i="3"/>
  <c r="Z136" i="3"/>
  <c r="Z137" i="3" s="1"/>
  <c r="Y136" i="3"/>
  <c r="Y137" i="3" s="1"/>
  <c r="X136" i="3"/>
  <c r="X137" i="3" s="1"/>
  <c r="W136" i="3"/>
  <c r="W137" i="3" s="1"/>
  <c r="V136" i="3"/>
  <c r="V137" i="3" s="1"/>
  <c r="U136" i="3"/>
  <c r="U137" i="3" s="1"/>
  <c r="T136" i="3"/>
  <c r="T137" i="3" s="1"/>
  <c r="Z132" i="3"/>
  <c r="Z133" i="3" s="1"/>
  <c r="Y132" i="3"/>
  <c r="Y133" i="3" s="1"/>
  <c r="X132" i="3"/>
  <c r="X133" i="3" s="1"/>
  <c r="W132" i="3"/>
  <c r="W133" i="3" s="1"/>
  <c r="V132" i="3"/>
  <c r="V133" i="3" s="1"/>
  <c r="U132" i="3"/>
  <c r="U133" i="3" s="1"/>
  <c r="T132" i="3"/>
  <c r="T133" i="3" s="1"/>
  <c r="Z118" i="3"/>
  <c r="Y118" i="3"/>
  <c r="X118" i="3"/>
  <c r="W118" i="3"/>
  <c r="V118" i="3"/>
  <c r="U118" i="3"/>
  <c r="T118" i="3"/>
  <c r="Z113" i="3"/>
  <c r="Y113" i="3"/>
  <c r="Y72" i="3" s="1"/>
  <c r="X113" i="3"/>
  <c r="W113" i="3"/>
  <c r="V113" i="3"/>
  <c r="U113" i="3"/>
  <c r="T113" i="3"/>
  <c r="Z112" i="3"/>
  <c r="Z104" i="3" s="1"/>
  <c r="Y112" i="3"/>
  <c r="Y104" i="3" s="1"/>
  <c r="X112" i="3"/>
  <c r="X104" i="3" s="1"/>
  <c r="W112" i="3"/>
  <c r="W104" i="3" s="1"/>
  <c r="V112" i="3"/>
  <c r="V104" i="3" s="1"/>
  <c r="U112" i="3"/>
  <c r="U104" i="3" s="1"/>
  <c r="T112" i="3"/>
  <c r="T104" i="3" s="1"/>
  <c r="U111" i="3"/>
  <c r="T111" i="3"/>
  <c r="Z109" i="3"/>
  <c r="Z146" i="3" s="1"/>
  <c r="Y109" i="3"/>
  <c r="X109" i="3"/>
  <c r="X146" i="3" s="1"/>
  <c r="W109" i="3"/>
  <c r="W146" i="3" s="1"/>
  <c r="V109" i="3"/>
  <c r="V146" i="3" s="1"/>
  <c r="U109" i="3"/>
  <c r="T109" i="3"/>
  <c r="T146" i="3" s="1"/>
  <c r="Z103" i="3"/>
  <c r="Y103" i="3"/>
  <c r="X103" i="3"/>
  <c r="W103" i="3"/>
  <c r="V103" i="3"/>
  <c r="U103" i="3"/>
  <c r="T103" i="3"/>
  <c r="Z99" i="3"/>
  <c r="Y99" i="3"/>
  <c r="X99" i="3"/>
  <c r="W99" i="3"/>
  <c r="V99" i="3"/>
  <c r="U99" i="3"/>
  <c r="T99" i="3"/>
  <c r="Z98" i="3"/>
  <c r="Y98" i="3"/>
  <c r="X98" i="3"/>
  <c r="W98" i="3"/>
  <c r="V98" i="3"/>
  <c r="U98" i="3"/>
  <c r="T98" i="3"/>
  <c r="Z97" i="3"/>
  <c r="Y97" i="3"/>
  <c r="X97" i="3"/>
  <c r="W97" i="3"/>
  <c r="V97" i="3"/>
  <c r="U97" i="3"/>
  <c r="T97" i="3"/>
  <c r="Z96" i="3"/>
  <c r="Y96" i="3"/>
  <c r="X96" i="3"/>
  <c r="W96" i="3"/>
  <c r="V96" i="3"/>
  <c r="U96" i="3"/>
  <c r="T96" i="3"/>
  <c r="Z95" i="3"/>
  <c r="Y95" i="3"/>
  <c r="X95" i="3"/>
  <c r="W95" i="3"/>
  <c r="V95" i="3"/>
  <c r="U95" i="3"/>
  <c r="T95" i="3"/>
  <c r="Z94" i="3"/>
  <c r="Y94" i="3"/>
  <c r="X94" i="3"/>
  <c r="W94" i="3"/>
  <c r="V94" i="3"/>
  <c r="U94" i="3"/>
  <c r="T94" i="3"/>
  <c r="Z93" i="3"/>
  <c r="Y93" i="3"/>
  <c r="X93" i="3"/>
  <c r="W93" i="3"/>
  <c r="V93" i="3"/>
  <c r="U93" i="3"/>
  <c r="T93" i="3"/>
  <c r="Z91" i="3"/>
  <c r="Y91" i="3"/>
  <c r="X91" i="3"/>
  <c r="W91" i="3"/>
  <c r="V91" i="3"/>
  <c r="U91" i="3"/>
  <c r="T91" i="3"/>
  <c r="Z90" i="3"/>
  <c r="Y90" i="3"/>
  <c r="X90" i="3"/>
  <c r="W90" i="3"/>
  <c r="V90" i="3"/>
  <c r="U90" i="3"/>
  <c r="T90" i="3"/>
  <c r="Z84" i="3"/>
  <c r="Z107" i="3" s="1"/>
  <c r="Y84" i="3"/>
  <c r="Y107" i="3" s="1"/>
  <c r="X84" i="3"/>
  <c r="X107" i="3" s="1"/>
  <c r="W84" i="3"/>
  <c r="W107" i="3" s="1"/>
  <c r="V84" i="3"/>
  <c r="V107" i="3" s="1"/>
  <c r="U84" i="3"/>
  <c r="U107" i="3" s="1"/>
  <c r="T84" i="3"/>
  <c r="T107" i="3" s="1"/>
  <c r="Z83" i="3"/>
  <c r="Y83" i="3"/>
  <c r="X83" i="3"/>
  <c r="W83" i="3"/>
  <c r="V83" i="3"/>
  <c r="U83" i="3"/>
  <c r="T83" i="3"/>
  <c r="Z78" i="3"/>
  <c r="Y78" i="3"/>
  <c r="X78" i="3"/>
  <c r="W78" i="3"/>
  <c r="V78" i="3"/>
  <c r="U78" i="3"/>
  <c r="T78" i="3"/>
  <c r="Z76" i="3"/>
  <c r="Y76" i="3"/>
  <c r="X76" i="3"/>
  <c r="W76" i="3"/>
  <c r="V76" i="3"/>
  <c r="U76" i="3"/>
  <c r="T76" i="3"/>
  <c r="U72" i="3"/>
  <c r="Z70" i="3"/>
  <c r="Z71" i="3" s="1"/>
  <c r="Y70" i="3"/>
  <c r="Y71" i="3" s="1"/>
  <c r="X70" i="3"/>
  <c r="X71" i="3" s="1"/>
  <c r="W70" i="3"/>
  <c r="W71" i="3" s="1"/>
  <c r="V70" i="3"/>
  <c r="V71" i="3" s="1"/>
  <c r="U70" i="3"/>
  <c r="U71" i="3" s="1"/>
  <c r="T70" i="3"/>
  <c r="T71" i="3" s="1"/>
  <c r="Z37" i="3"/>
  <c r="X37" i="3"/>
  <c r="W37" i="3"/>
  <c r="V37" i="3"/>
  <c r="T37" i="3"/>
  <c r="U108" i="3"/>
  <c r="Z27" i="3"/>
  <c r="Y27" i="3"/>
  <c r="X27" i="3"/>
  <c r="W27" i="3"/>
  <c r="V27" i="3"/>
  <c r="U27" i="3"/>
  <c r="T27" i="3"/>
  <c r="Z25" i="3"/>
  <c r="Y25" i="3"/>
  <c r="X25" i="3"/>
  <c r="W25" i="3"/>
  <c r="V25" i="3"/>
  <c r="U25" i="3"/>
  <c r="T25" i="3"/>
  <c r="Z23" i="3"/>
  <c r="Y23" i="3"/>
  <c r="X23" i="3"/>
  <c r="W23" i="3"/>
  <c r="V23" i="3"/>
  <c r="U23" i="3"/>
  <c r="T23" i="3"/>
  <c r="Z21" i="3"/>
  <c r="Y21" i="3"/>
  <c r="X21" i="3"/>
  <c r="W21" i="3"/>
  <c r="V21" i="3"/>
  <c r="U21" i="3"/>
  <c r="T21" i="3"/>
  <c r="Z7" i="3"/>
  <c r="Z102" i="3" s="1"/>
  <c r="Y7" i="3"/>
  <c r="X7" i="3"/>
  <c r="W7" i="3"/>
  <c r="V7" i="3"/>
  <c r="U7" i="3"/>
  <c r="T7" i="3"/>
  <c r="I13" i="1"/>
  <c r="H7" i="1"/>
  <c r="H6" i="1"/>
  <c r="AA118" i="3"/>
  <c r="P27" i="3"/>
  <c r="F6" i="21" s="1"/>
  <c r="P25" i="3"/>
  <c r="AA136" i="3"/>
  <c r="AC12" i="3"/>
  <c r="H88" i="19"/>
  <c r="G88" i="19"/>
  <c r="F88" i="19"/>
  <c r="E88" i="19"/>
  <c r="D88" i="19"/>
  <c r="C88" i="19"/>
  <c r="H87" i="19"/>
  <c r="G87" i="19"/>
  <c r="F87" i="19"/>
  <c r="E87" i="19"/>
  <c r="D87" i="19"/>
  <c r="C87" i="19"/>
  <c r="H86" i="19"/>
  <c r="G86" i="19"/>
  <c r="F86" i="19"/>
  <c r="E86" i="19"/>
  <c r="D86" i="19"/>
  <c r="C86" i="19"/>
  <c r="Q181" i="3"/>
  <c r="P181" i="3"/>
  <c r="O181" i="3"/>
  <c r="N181" i="3"/>
  <c r="M181" i="3"/>
  <c r="AC35" i="3"/>
  <c r="Q219" i="3"/>
  <c r="L87" i="19" s="1"/>
  <c r="P219" i="3"/>
  <c r="K87" i="19" s="1"/>
  <c r="O219" i="3"/>
  <c r="J87" i="19" s="1"/>
  <c r="N219" i="3"/>
  <c r="I87" i="19" s="1"/>
  <c r="G10" i="16"/>
  <c r="Q118" i="3"/>
  <c r="P118" i="3"/>
  <c r="O118" i="3"/>
  <c r="N118" i="3"/>
  <c r="M118" i="3"/>
  <c r="F26" i="1" a="1"/>
  <c r="J64" i="20"/>
  <c r="I64" i="20"/>
  <c r="H64" i="20"/>
  <c r="G64" i="20"/>
  <c r="F64" i="20"/>
  <c r="E64" i="20"/>
  <c r="D64" i="20"/>
  <c r="J63" i="20"/>
  <c r="I63" i="20"/>
  <c r="H63" i="20"/>
  <c r="G63" i="20"/>
  <c r="F63" i="20"/>
  <c r="E63" i="20"/>
  <c r="D63" i="20"/>
  <c r="C64" i="20"/>
  <c r="C63" i="20"/>
  <c r="J59"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G85" i="19"/>
  <c r="F85" i="19"/>
  <c r="E85" i="19"/>
  <c r="D85" i="19"/>
  <c r="C85" i="19"/>
  <c r="G84" i="19"/>
  <c r="F84" i="19"/>
  <c r="E84" i="19"/>
  <c r="D84" i="19"/>
  <c r="C84" i="19"/>
  <c r="G83" i="19"/>
  <c r="F83" i="19"/>
  <c r="E83" i="19"/>
  <c r="D83" i="19"/>
  <c r="C83" i="19"/>
  <c r="L77" i="19"/>
  <c r="K77" i="19"/>
  <c r="J77" i="19"/>
  <c r="I77" i="19"/>
  <c r="H77" i="19"/>
  <c r="G77" i="19"/>
  <c r="F77" i="19"/>
  <c r="E77" i="19"/>
  <c r="D77" i="19"/>
  <c r="C77" i="19"/>
  <c r="L76" i="19"/>
  <c r="K76" i="19"/>
  <c r="J76" i="19"/>
  <c r="I76" i="19"/>
  <c r="H76" i="19"/>
  <c r="G76" i="19"/>
  <c r="F76" i="19"/>
  <c r="E76" i="19"/>
  <c r="D76" i="19"/>
  <c r="C76" i="19"/>
  <c r="G75" i="19"/>
  <c r="F75" i="19"/>
  <c r="E75" i="19"/>
  <c r="D75" i="19"/>
  <c r="G74" i="19"/>
  <c r="F74" i="19"/>
  <c r="E74" i="19"/>
  <c r="D74" i="19"/>
  <c r="G73" i="19"/>
  <c r="F73" i="19"/>
  <c r="E73" i="19"/>
  <c r="D73" i="19"/>
  <c r="C75" i="19"/>
  <c r="C74" i="19"/>
  <c r="C73" i="19"/>
  <c r="G72" i="19"/>
  <c r="F72" i="19"/>
  <c r="E72" i="19"/>
  <c r="D72" i="19"/>
  <c r="G71" i="19"/>
  <c r="F71" i="19"/>
  <c r="E71" i="19"/>
  <c r="D71" i="19"/>
  <c r="C72" i="19"/>
  <c r="C71" i="19"/>
  <c r="L70" i="19"/>
  <c r="K70" i="19"/>
  <c r="J70" i="19"/>
  <c r="I70" i="19"/>
  <c r="H70" i="19"/>
  <c r="G70" i="19"/>
  <c r="F70" i="19"/>
  <c r="E70" i="19"/>
  <c r="D70" i="19"/>
  <c r="C70" i="19"/>
  <c r="L69" i="19"/>
  <c r="K69" i="19"/>
  <c r="J69" i="19"/>
  <c r="I69" i="19"/>
  <c r="H69" i="19"/>
  <c r="G69" i="19"/>
  <c r="F69" i="19"/>
  <c r="E69" i="19"/>
  <c r="D69" i="19"/>
  <c r="C69" i="19"/>
  <c r="L68" i="19"/>
  <c r="K68" i="19"/>
  <c r="J68" i="19"/>
  <c r="I68" i="19"/>
  <c r="H68" i="19"/>
  <c r="G68" i="19"/>
  <c r="F68" i="19"/>
  <c r="E68" i="19"/>
  <c r="D68" i="19"/>
  <c r="C68" i="19"/>
  <c r="H67" i="19"/>
  <c r="G67" i="19"/>
  <c r="F67" i="19"/>
  <c r="E67" i="19"/>
  <c r="D67" i="19"/>
  <c r="L66" i="19"/>
  <c r="K66" i="19"/>
  <c r="J66" i="19"/>
  <c r="I66" i="19"/>
  <c r="H66" i="19"/>
  <c r="G66" i="19"/>
  <c r="F66" i="19"/>
  <c r="E66" i="19"/>
  <c r="D66" i="19"/>
  <c r="C67" i="19"/>
  <c r="C66" i="19"/>
  <c r="G7" i="16"/>
  <c r="F7" i="16"/>
  <c r="L72" i="3"/>
  <c r="K72" i="3"/>
  <c r="J72" i="3"/>
  <c r="I72" i="3"/>
  <c r="H72" i="3"/>
  <c r="G72" i="3"/>
  <c r="F72" i="3"/>
  <c r="E72" i="3"/>
  <c r="D72" i="3"/>
  <c r="C72" i="3"/>
  <c r="Q214" i="3"/>
  <c r="P214" i="3"/>
  <c r="O214" i="3"/>
  <c r="N214" i="3"/>
  <c r="M214" i="3"/>
  <c r="AC85" i="3"/>
  <c r="AC46" i="3"/>
  <c r="AA113" i="3"/>
  <c r="Q113" i="3"/>
  <c r="P113" i="3"/>
  <c r="O113" i="3"/>
  <c r="N113" i="3"/>
  <c r="M113" i="3"/>
  <c r="AC49" i="3"/>
  <c r="AA112" i="3"/>
  <c r="Q112" i="3"/>
  <c r="P112" i="3"/>
  <c r="O112" i="3"/>
  <c r="N112" i="3"/>
  <c r="M112" i="3"/>
  <c r="AC18" i="3"/>
  <c r="C13" i="10"/>
  <c r="C12" i="10"/>
  <c r="C11" i="10"/>
  <c r="G29" i="7"/>
  <c r="F29" i="7"/>
  <c r="E29" i="7"/>
  <c r="D29" i="7"/>
  <c r="C29" i="7"/>
  <c r="G14" i="7"/>
  <c r="F14" i="7"/>
  <c r="E14" i="7"/>
  <c r="D14" i="7"/>
  <c r="C14" i="7"/>
  <c r="Q109" i="3"/>
  <c r="P109" i="3"/>
  <c r="O109" i="3"/>
  <c r="E31" i="12" s="1"/>
  <c r="N109" i="3"/>
  <c r="D31" i="12" s="1"/>
  <c r="M109" i="3"/>
  <c r="AA78" i="3"/>
  <c r="H9" i="1"/>
  <c r="H8" i="1"/>
  <c r="H5" i="1"/>
  <c r="H4" i="1"/>
  <c r="H3" i="1"/>
  <c r="G26" i="18"/>
  <c r="F26" i="18"/>
  <c r="D26" i="18"/>
  <c r="C26" i="18"/>
  <c r="G24" i="18"/>
  <c r="F24" i="18"/>
  <c r="D24" i="18"/>
  <c r="C24" i="18"/>
  <c r="AA204" i="3"/>
  <c r="AA203" i="3"/>
  <c r="G16" i="18"/>
  <c r="F16" i="18"/>
  <c r="D16" i="18"/>
  <c r="C16" i="18"/>
  <c r="G14" i="18"/>
  <c r="F14" i="18"/>
  <c r="D14" i="18"/>
  <c r="C14" i="18"/>
  <c r="G8" i="18"/>
  <c r="F8" i="18"/>
  <c r="D8" i="18"/>
  <c r="C8" i="18"/>
  <c r="G6" i="18"/>
  <c r="F6" i="18"/>
  <c r="D6" i="18"/>
  <c r="C6" i="18"/>
  <c r="G5" i="18"/>
  <c r="G4" i="18"/>
  <c r="F5" i="18"/>
  <c r="F4" i="18"/>
  <c r="D5" i="18"/>
  <c r="D4" i="18"/>
  <c r="C5" i="18"/>
  <c r="C4" i="18"/>
  <c r="Q204" i="3"/>
  <c r="P204" i="3"/>
  <c r="O204" i="3"/>
  <c r="N204" i="3"/>
  <c r="M204" i="3"/>
  <c r="Q203" i="3"/>
  <c r="P203" i="3"/>
  <c r="O203" i="3"/>
  <c r="N203" i="3"/>
  <c r="M203" i="3"/>
  <c r="G22" i="17"/>
  <c r="F22" i="17"/>
  <c r="E22" i="17"/>
  <c r="D22" i="17"/>
  <c r="C22" i="17"/>
  <c r="G21" i="17"/>
  <c r="F21" i="17"/>
  <c r="E21" i="17"/>
  <c r="D21" i="17"/>
  <c r="C21" i="17"/>
  <c r="G6" i="17"/>
  <c r="F6" i="17"/>
  <c r="E6" i="17"/>
  <c r="D6" i="17"/>
  <c r="C6" i="17"/>
  <c r="I3" i="17"/>
  <c r="C3" i="17"/>
  <c r="G2" i="17"/>
  <c r="F2" i="17"/>
  <c r="E2" i="17"/>
  <c r="D2" i="17"/>
  <c r="C2" i="17"/>
  <c r="AA143" i="3"/>
  <c r="Q143" i="3"/>
  <c r="P143" i="3"/>
  <c r="O143" i="3"/>
  <c r="N143" i="3"/>
  <c r="M143" i="3"/>
  <c r="AC32" i="3"/>
  <c r="Q175" i="3"/>
  <c r="P175" i="3"/>
  <c r="O175" i="3"/>
  <c r="N175" i="3"/>
  <c r="M175" i="3"/>
  <c r="Q174" i="3"/>
  <c r="P174" i="3"/>
  <c r="O174" i="3"/>
  <c r="N174" i="3"/>
  <c r="M174" i="3"/>
  <c r="AA150" i="3"/>
  <c r="Q150" i="3"/>
  <c r="P150" i="3"/>
  <c r="O150" i="3"/>
  <c r="N150" i="3"/>
  <c r="M150" i="3"/>
  <c r="AA149" i="3"/>
  <c r="Q149" i="3"/>
  <c r="P149" i="3"/>
  <c r="O149" i="3"/>
  <c r="N149" i="3"/>
  <c r="M149" i="3"/>
  <c r="AA144" i="3"/>
  <c r="Q144" i="3"/>
  <c r="P144" i="3"/>
  <c r="O144" i="3"/>
  <c r="N144" i="3"/>
  <c r="M144" i="3"/>
  <c r="G9" i="16"/>
  <c r="F6" i="16"/>
  <c r="G6" i="16"/>
  <c r="AC77" i="3"/>
  <c r="P78" i="3"/>
  <c r="O78" i="3"/>
  <c r="N78" i="3"/>
  <c r="M78" i="3"/>
  <c r="Q78" i="3"/>
  <c r="AA132" i="3"/>
  <c r="G24" i="12"/>
  <c r="F24" i="12"/>
  <c r="E24" i="12"/>
  <c r="D24" i="12"/>
  <c r="C24" i="12"/>
  <c r="L15" i="8"/>
  <c r="K15" i="8"/>
  <c r="J15" i="8"/>
  <c r="I15" i="8"/>
  <c r="H15" i="8"/>
  <c r="G42" i="7"/>
  <c r="F42" i="7"/>
  <c r="E42" i="7"/>
  <c r="D42" i="7"/>
  <c r="C42" i="7"/>
  <c r="G30" i="7"/>
  <c r="F30" i="7"/>
  <c r="E30" i="7"/>
  <c r="D30" i="7"/>
  <c r="C30" i="7"/>
  <c r="G28" i="7"/>
  <c r="F28" i="7"/>
  <c r="E28" i="7"/>
  <c r="D28" i="7"/>
  <c r="C28" i="7"/>
  <c r="G15" i="7"/>
  <c r="F15" i="7"/>
  <c r="E15" i="7"/>
  <c r="D15" i="7"/>
  <c r="C15" i="7"/>
  <c r="L23" i="7"/>
  <c r="K23" i="7"/>
  <c r="J23" i="7"/>
  <c r="I23" i="7"/>
  <c r="H23" i="7"/>
  <c r="AB5" i="6"/>
  <c r="W17" i="6"/>
  <c r="V17" i="6"/>
  <c r="U17" i="6"/>
  <c r="T17" i="6"/>
  <c r="S17" i="6"/>
  <c r="R17" i="6"/>
  <c r="Q17" i="6"/>
  <c r="P17" i="6"/>
  <c r="W16" i="6"/>
  <c r="V16" i="6"/>
  <c r="U16" i="6"/>
  <c r="T16" i="6"/>
  <c r="S16" i="6"/>
  <c r="R16" i="6"/>
  <c r="Q16" i="6"/>
  <c r="P16" i="6"/>
  <c r="W15" i="6"/>
  <c r="V15" i="6"/>
  <c r="U15" i="6"/>
  <c r="T15" i="6"/>
  <c r="S15" i="6"/>
  <c r="R15" i="6"/>
  <c r="Q15" i="6"/>
  <c r="P15" i="6"/>
  <c r="W14" i="6"/>
  <c r="V14" i="6"/>
  <c r="U14" i="6"/>
  <c r="T14" i="6"/>
  <c r="S14" i="6"/>
  <c r="R14" i="6"/>
  <c r="Q14" i="6"/>
  <c r="P14" i="6"/>
  <c r="W12" i="6"/>
  <c r="V12" i="6"/>
  <c r="U12" i="6"/>
  <c r="T12" i="6"/>
  <c r="S12" i="6"/>
  <c r="R12" i="6"/>
  <c r="Q12" i="6"/>
  <c r="P12" i="6"/>
  <c r="W11" i="6"/>
  <c r="V11" i="6"/>
  <c r="U11" i="6"/>
  <c r="T11" i="6"/>
  <c r="S11" i="6"/>
  <c r="R11" i="6"/>
  <c r="Q11" i="6"/>
  <c r="P11" i="6"/>
  <c r="O18" i="6"/>
  <c r="O14" i="6"/>
  <c r="B30" i="6"/>
  <c r="B26" i="6"/>
  <c r="G17" i="6"/>
  <c r="F17" i="6"/>
  <c r="E17" i="6"/>
  <c r="D17" i="6"/>
  <c r="C17" i="6"/>
  <c r="G16" i="6"/>
  <c r="F16" i="6"/>
  <c r="E16" i="6"/>
  <c r="D16" i="6"/>
  <c r="C16" i="6"/>
  <c r="G15" i="6"/>
  <c r="F15" i="6"/>
  <c r="E15" i="6"/>
  <c r="D15" i="6"/>
  <c r="C15" i="6"/>
  <c r="B17" i="6"/>
  <c r="B16" i="6"/>
  <c r="B15" i="6"/>
  <c r="G12" i="6"/>
  <c r="F12" i="6"/>
  <c r="E12" i="6"/>
  <c r="D12" i="6"/>
  <c r="C12" i="6"/>
  <c r="G11" i="6"/>
  <c r="F11" i="6"/>
  <c r="E11" i="6"/>
  <c r="D11" i="6"/>
  <c r="C11" i="6"/>
  <c r="B12" i="6"/>
  <c r="B11" i="6"/>
  <c r="G14" i="6"/>
  <c r="F14" i="6"/>
  <c r="E14" i="6"/>
  <c r="D14" i="6"/>
  <c r="C14" i="6"/>
  <c r="B5" i="6"/>
  <c r="Z22" i="6"/>
  <c r="Y22" i="6"/>
  <c r="X22" i="6"/>
  <c r="Z10" i="6"/>
  <c r="Y10" i="6"/>
  <c r="X10" i="6"/>
  <c r="Z7" i="5"/>
  <c r="Y7" i="5"/>
  <c r="X7" i="5"/>
  <c r="W7" i="5"/>
  <c r="V7" i="5"/>
  <c r="U7" i="5"/>
  <c r="T7" i="5"/>
  <c r="S7" i="5"/>
  <c r="Z6" i="5"/>
  <c r="Y6" i="5"/>
  <c r="X6" i="5"/>
  <c r="W6" i="5"/>
  <c r="V6" i="5"/>
  <c r="U6" i="5"/>
  <c r="T6" i="5"/>
  <c r="S6" i="5"/>
  <c r="Z14" i="5"/>
  <c r="Y14" i="5"/>
  <c r="X14" i="5"/>
  <c r="W14" i="5"/>
  <c r="V14" i="5"/>
  <c r="U14" i="5"/>
  <c r="T14" i="5"/>
  <c r="S14" i="5"/>
  <c r="Z5" i="5"/>
  <c r="Y5" i="5"/>
  <c r="X5" i="5"/>
  <c r="W5" i="5"/>
  <c r="V5" i="5"/>
  <c r="U5" i="5"/>
  <c r="T5" i="5"/>
  <c r="S5" i="5"/>
  <c r="R5" i="5"/>
  <c r="G7" i="5"/>
  <c r="F7" i="5"/>
  <c r="E7" i="5"/>
  <c r="D7" i="5"/>
  <c r="C7" i="5"/>
  <c r="G6" i="5"/>
  <c r="F6" i="5"/>
  <c r="E6" i="5"/>
  <c r="D6" i="5"/>
  <c r="C6" i="5"/>
  <c r="B7" i="5"/>
  <c r="B6" i="5"/>
  <c r="G14" i="5"/>
  <c r="F14" i="5"/>
  <c r="E14" i="5"/>
  <c r="D14" i="5"/>
  <c r="C14" i="5"/>
  <c r="C5" i="5"/>
  <c r="R26" i="5"/>
  <c r="B26" i="5"/>
  <c r="AC17" i="5"/>
  <c r="AB17" i="5"/>
  <c r="AA17" i="5"/>
  <c r="AA84" i="3"/>
  <c r="O84" i="3"/>
  <c r="E15" i="8" s="1"/>
  <c r="N84" i="3"/>
  <c r="D15" i="8" s="1"/>
  <c r="M84" i="3"/>
  <c r="C15" i="8" s="1"/>
  <c r="L84" i="3"/>
  <c r="K84" i="3"/>
  <c r="J84" i="3"/>
  <c r="I84" i="3"/>
  <c r="H84" i="3"/>
  <c r="G84" i="3"/>
  <c r="F84" i="3"/>
  <c r="E84" i="3"/>
  <c r="D84" i="3"/>
  <c r="C84" i="3"/>
  <c r="P84" i="3"/>
  <c r="F15" i="8" s="1"/>
  <c r="Q84" i="3"/>
  <c r="G15" i="8" s="1"/>
  <c r="P125" i="3"/>
  <c r="O125" i="3"/>
  <c r="N125" i="3"/>
  <c r="M125" i="3"/>
  <c r="Q125" i="3"/>
  <c r="P123" i="3"/>
  <c r="O123" i="3"/>
  <c r="N123" i="3"/>
  <c r="M123" i="3"/>
  <c r="Q123" i="3"/>
  <c r="AC192" i="3"/>
  <c r="AC191" i="3"/>
  <c r="AC189" i="3"/>
  <c r="AC188" i="3"/>
  <c r="AA103" i="3"/>
  <c r="AC82" i="3"/>
  <c r="AA83" i="3"/>
  <c r="Q83" i="3"/>
  <c r="G7" i="21" s="1"/>
  <c r="P83" i="3"/>
  <c r="F7" i="21" s="1"/>
  <c r="O83" i="3"/>
  <c r="E7" i="21" s="1"/>
  <c r="N83" i="3"/>
  <c r="D7" i="21" s="1"/>
  <c r="M83" i="3"/>
  <c r="C7" i="21" s="1"/>
  <c r="AC51" i="3"/>
  <c r="AC50" i="3"/>
  <c r="AC48" i="3"/>
  <c r="AC47" i="3"/>
  <c r="AC45" i="3"/>
  <c r="AC42" i="3"/>
  <c r="AC41" i="3"/>
  <c r="AC39" i="3"/>
  <c r="AC38" i="3"/>
  <c r="AC36" i="3"/>
  <c r="AC34" i="3"/>
  <c r="AC33" i="3"/>
  <c r="AC31" i="3"/>
  <c r="AA37" i="3"/>
  <c r="N43" i="3"/>
  <c r="M37" i="3"/>
  <c r="O37" i="3"/>
  <c r="N37" i="3"/>
  <c r="P43" i="3"/>
  <c r="Q43" i="3"/>
  <c r="P37" i="3"/>
  <c r="Q37" i="3"/>
  <c r="AA99" i="3"/>
  <c r="AA98" i="3"/>
  <c r="AA97" i="3"/>
  <c r="AA95" i="3"/>
  <c r="AA94" i="3"/>
  <c r="AA93" i="3"/>
  <c r="AA91" i="3"/>
  <c r="AA90" i="3"/>
  <c r="AC26" i="3"/>
  <c r="AC24" i="3"/>
  <c r="AC22" i="3"/>
  <c r="AC20" i="3"/>
  <c r="AC19" i="3"/>
  <c r="AC17" i="3"/>
  <c r="AC16" i="3"/>
  <c r="AC15" i="3"/>
  <c r="AC14" i="3"/>
  <c r="AC13" i="3"/>
  <c r="AC10" i="3"/>
  <c r="AC9" i="3"/>
  <c r="AC8" i="3"/>
  <c r="AC6" i="3"/>
  <c r="AC5" i="3"/>
  <c r="AA27" i="3"/>
  <c r="AA25" i="3"/>
  <c r="AA23" i="3"/>
  <c r="AA21" i="3"/>
  <c r="AA7" i="3"/>
  <c r="Q103" i="3"/>
  <c r="P103" i="3"/>
  <c r="O103" i="3"/>
  <c r="N103" i="3"/>
  <c r="M103" i="3"/>
  <c r="Q99" i="3"/>
  <c r="P99" i="3"/>
  <c r="O99" i="3"/>
  <c r="N99" i="3"/>
  <c r="M99" i="3"/>
  <c r="Q98" i="3"/>
  <c r="P98" i="3"/>
  <c r="O98" i="3"/>
  <c r="N98" i="3"/>
  <c r="M98" i="3"/>
  <c r="Q97" i="3"/>
  <c r="P97" i="3"/>
  <c r="O97" i="3"/>
  <c r="N97" i="3"/>
  <c r="M97" i="3"/>
  <c r="Q95" i="3"/>
  <c r="P95" i="3"/>
  <c r="O95" i="3"/>
  <c r="N95" i="3"/>
  <c r="M95" i="3"/>
  <c r="Q94" i="3"/>
  <c r="P94" i="3"/>
  <c r="O94" i="3"/>
  <c r="N94" i="3"/>
  <c r="M94" i="3"/>
  <c r="Q93" i="3"/>
  <c r="P93" i="3"/>
  <c r="O93" i="3"/>
  <c r="N93" i="3"/>
  <c r="M93" i="3"/>
  <c r="Q91" i="3"/>
  <c r="P91" i="3"/>
  <c r="O91" i="3"/>
  <c r="N91" i="3"/>
  <c r="M91" i="3"/>
  <c r="Q90" i="3"/>
  <c r="P90" i="3"/>
  <c r="O90" i="3"/>
  <c r="N90" i="3"/>
  <c r="M90" i="3"/>
  <c r="M27" i="3"/>
  <c r="C6" i="21" s="1"/>
  <c r="N27" i="3"/>
  <c r="D6" i="21" s="1"/>
  <c r="O27" i="3"/>
  <c r="E6" i="21" s="1"/>
  <c r="Q27" i="3"/>
  <c r="G6" i="21" s="1"/>
  <c r="Q25" i="3"/>
  <c r="O25" i="3"/>
  <c r="N25" i="3"/>
  <c r="M25" i="3"/>
  <c r="Q23" i="3"/>
  <c r="P23" i="3"/>
  <c r="O23" i="3"/>
  <c r="N23" i="3"/>
  <c r="M23" i="3"/>
  <c r="Q21" i="3"/>
  <c r="P21" i="3"/>
  <c r="O21" i="3"/>
  <c r="N21" i="3"/>
  <c r="M21" i="3"/>
  <c r="Q7" i="3"/>
  <c r="L23" i="3"/>
  <c r="K23" i="3"/>
  <c r="J23" i="3"/>
  <c r="I23" i="3"/>
  <c r="H23" i="3"/>
  <c r="G23" i="3"/>
  <c r="F23" i="3"/>
  <c r="E23" i="3"/>
  <c r="D23" i="3"/>
  <c r="C23" i="3"/>
  <c r="L21" i="3"/>
  <c r="K21" i="3"/>
  <c r="J21" i="3"/>
  <c r="I21" i="3"/>
  <c r="H21" i="3"/>
  <c r="G21" i="3"/>
  <c r="F21" i="3"/>
  <c r="E21" i="3"/>
  <c r="D21" i="3"/>
  <c r="C21" i="3"/>
  <c r="P7" i="3"/>
  <c r="O7" i="3"/>
  <c r="N7" i="3"/>
  <c r="M7" i="3"/>
  <c r="L7" i="3"/>
  <c r="K7" i="3"/>
  <c r="J7" i="3"/>
  <c r="I7" i="3"/>
  <c r="H7" i="3"/>
  <c r="G7" i="3"/>
  <c r="F7" i="3"/>
  <c r="E7" i="3"/>
  <c r="D7" i="3"/>
  <c r="C7" i="3"/>
  <c r="C8" i="1" a="1"/>
  <c r="C9" i="1" a="1"/>
  <c r="C10" i="1" a="1"/>
  <c r="C14" i="1" a="1"/>
  <c r="C13" i="1" a="1"/>
  <c r="C12" i="1" a="1"/>
  <c r="C11" i="1" a="1"/>
  <c r="C7" i="1" a="1"/>
  <c r="C6" i="1" a="1"/>
  <c r="C5" i="1" a="1"/>
  <c r="C4" i="1" a="1"/>
  <c r="AA14" i="5" l="1"/>
  <c r="AA7" i="5"/>
  <c r="AA6" i="5" s="1"/>
  <c r="F38" i="18"/>
  <c r="Y145" i="3"/>
  <c r="U145" i="3"/>
  <c r="X111" i="3"/>
  <c r="AC61" i="3"/>
  <c r="AC111" i="3" s="1"/>
  <c r="AC55" i="3"/>
  <c r="X175" i="3"/>
  <c r="W175" i="3"/>
  <c r="W174" i="3"/>
  <c r="AA175" i="3"/>
  <c r="AA174" i="3"/>
  <c r="T72" i="3"/>
  <c r="T43" i="3"/>
  <c r="T145" i="3"/>
  <c r="V72" i="3"/>
  <c r="V43" i="3"/>
  <c r="V145" i="3"/>
  <c r="W72" i="3"/>
  <c r="W43" i="3"/>
  <c r="W145" i="3"/>
  <c r="X72" i="3"/>
  <c r="X43" i="3"/>
  <c r="X145" i="3"/>
  <c r="Z72" i="3"/>
  <c r="Z145" i="3"/>
  <c r="AC44" i="3"/>
  <c r="AA43" i="3"/>
  <c r="AC43" i="3" s="1"/>
  <c r="AA109" i="3"/>
  <c r="AC40" i="3"/>
  <c r="E11" i="21"/>
  <c r="G11" i="21"/>
  <c r="F11" i="21"/>
  <c r="C5" i="12"/>
  <c r="C6" i="11"/>
  <c r="Z180" i="3"/>
  <c r="Z179" i="3"/>
  <c r="Z158" i="3"/>
  <c r="I70" i="20" s="1"/>
  <c r="Z178" i="3"/>
  <c r="Y178" i="3"/>
  <c r="Y180" i="3"/>
  <c r="Y179" i="3"/>
  <c r="Y158" i="3"/>
  <c r="H70" i="20" s="1"/>
  <c r="X180" i="3"/>
  <c r="X178" i="3"/>
  <c r="X158" i="3"/>
  <c r="G70" i="20" s="1"/>
  <c r="X179" i="3"/>
  <c r="W178" i="3"/>
  <c r="W179" i="3"/>
  <c r="W158" i="3"/>
  <c r="F70" i="20" s="1"/>
  <c r="W180" i="3"/>
  <c r="V179" i="3"/>
  <c r="V158" i="3"/>
  <c r="E70" i="20" s="1"/>
  <c r="V180" i="3"/>
  <c r="V178" i="3"/>
  <c r="U158" i="3"/>
  <c r="D70" i="20" s="1"/>
  <c r="U180" i="3"/>
  <c r="U178" i="3"/>
  <c r="U179" i="3"/>
  <c r="T158" i="3"/>
  <c r="C70" i="20" s="1"/>
  <c r="T179" i="3"/>
  <c r="T178" i="3"/>
  <c r="T180" i="3"/>
  <c r="Z79" i="3"/>
  <c r="Z154" i="3" s="1"/>
  <c r="Z155" i="3" s="1"/>
  <c r="Z153" i="3"/>
  <c r="Y79" i="3"/>
  <c r="Y154" i="3" s="1"/>
  <c r="Y155" i="3" s="1"/>
  <c r="Y153" i="3"/>
  <c r="X79" i="3"/>
  <c r="X154" i="3" s="1"/>
  <c r="X155" i="3" s="1"/>
  <c r="X153" i="3"/>
  <c r="W79" i="3"/>
  <c r="W154" i="3" s="1"/>
  <c r="W155" i="3" s="1"/>
  <c r="W153" i="3"/>
  <c r="V79" i="3"/>
  <c r="V154" i="3" s="1"/>
  <c r="V155" i="3" s="1"/>
  <c r="V153" i="3"/>
  <c r="U79" i="3"/>
  <c r="U154" i="3" s="1"/>
  <c r="U155" i="3" s="1"/>
  <c r="U153" i="3"/>
  <c r="T79" i="3"/>
  <c r="T154" i="3" s="1"/>
  <c r="T155" i="3" s="1"/>
  <c r="T153" i="3"/>
  <c r="Z147" i="3"/>
  <c r="Z148" i="3"/>
  <c r="Z173" i="3"/>
  <c r="Z176" i="3"/>
  <c r="Y147" i="3"/>
  <c r="Y148" i="3"/>
  <c r="Y173" i="3"/>
  <c r="Y176" i="3"/>
  <c r="X147" i="3"/>
  <c r="X148" i="3"/>
  <c r="X173" i="3"/>
  <c r="X176" i="3"/>
  <c r="W147" i="3"/>
  <c r="W148" i="3"/>
  <c r="W173" i="3"/>
  <c r="W176" i="3"/>
  <c r="V147" i="3"/>
  <c r="V148" i="3"/>
  <c r="V173" i="3"/>
  <c r="V176" i="3"/>
  <c r="U147" i="3"/>
  <c r="U148" i="3"/>
  <c r="U173" i="3"/>
  <c r="U176" i="3"/>
  <c r="T147" i="3"/>
  <c r="T148" i="3"/>
  <c r="T173" i="3"/>
  <c r="T176" i="3"/>
  <c r="Z92" i="3"/>
  <c r="Y102" i="3"/>
  <c r="H60" i="20" s="1"/>
  <c r="X102" i="3"/>
  <c r="G60" i="20" s="1"/>
  <c r="Y92" i="3"/>
  <c r="X92" i="3"/>
  <c r="W102" i="3"/>
  <c r="F60" i="20" s="1"/>
  <c r="V102" i="3"/>
  <c r="E60" i="20" s="1"/>
  <c r="W92" i="3"/>
  <c r="V92" i="3"/>
  <c r="U102" i="3"/>
  <c r="D60" i="20" s="1"/>
  <c r="T102" i="3"/>
  <c r="C60" i="20" s="1"/>
  <c r="U92" i="3"/>
  <c r="T92" i="3"/>
  <c r="D11" i="21"/>
  <c r="G16" i="21"/>
  <c r="C21" i="21"/>
  <c r="C23" i="21" s="1"/>
  <c r="G12" i="21"/>
  <c r="F16" i="21"/>
  <c r="E16" i="21"/>
  <c r="F12" i="21"/>
  <c r="D16" i="21"/>
  <c r="E12" i="21"/>
  <c r="D12" i="21"/>
  <c r="C16" i="21"/>
  <c r="L15" i="21"/>
  <c r="L10" i="21"/>
  <c r="K15" i="21"/>
  <c r="K10" i="21"/>
  <c r="J15" i="21"/>
  <c r="J10" i="21"/>
  <c r="I10" i="21"/>
  <c r="I15" i="21"/>
  <c r="H10" i="21"/>
  <c r="H15" i="21"/>
  <c r="G10" i="21"/>
  <c r="G15" i="21"/>
  <c r="F15" i="21"/>
  <c r="F10" i="21"/>
  <c r="E10" i="21"/>
  <c r="E15" i="21"/>
  <c r="D15" i="21"/>
  <c r="D10" i="21"/>
  <c r="C15" i="21"/>
  <c r="C10" i="21"/>
  <c r="AC181" i="3"/>
  <c r="D3" i="17"/>
  <c r="D5" i="5"/>
  <c r="I67" i="19"/>
  <c r="Q182" i="3"/>
  <c r="P182" i="3"/>
  <c r="O182" i="3"/>
  <c r="N182" i="3"/>
  <c r="M182" i="3"/>
  <c r="AA108" i="3"/>
  <c r="Q108" i="3"/>
  <c r="P108" i="3"/>
  <c r="O108" i="3"/>
  <c r="N108" i="3"/>
  <c r="M108" i="3"/>
  <c r="Q220" i="3"/>
  <c r="L88" i="19" s="1"/>
  <c r="P220" i="3"/>
  <c r="K88" i="19" s="1"/>
  <c r="O220" i="3"/>
  <c r="J88" i="19" s="1"/>
  <c r="N220" i="3"/>
  <c r="I88" i="19" s="1"/>
  <c r="Q218" i="3"/>
  <c r="L86" i="19" s="1"/>
  <c r="P218" i="3"/>
  <c r="K86" i="19" s="1"/>
  <c r="O218" i="3"/>
  <c r="J86" i="19" s="1"/>
  <c r="N218" i="3"/>
  <c r="I86" i="19" s="1"/>
  <c r="F31" i="12"/>
  <c r="AA137" i="3"/>
  <c r="AA133" i="3"/>
  <c r="F10" i="16"/>
  <c r="Q164" i="3"/>
  <c r="P164" i="3"/>
  <c r="O164" i="3"/>
  <c r="N164" i="3"/>
  <c r="Q163" i="3"/>
  <c r="P163" i="3"/>
  <c r="O163" i="3"/>
  <c r="N163" i="3"/>
  <c r="M164" i="3"/>
  <c r="M163" i="3"/>
  <c r="Q152" i="3"/>
  <c r="P152" i="3"/>
  <c r="O152" i="3"/>
  <c r="N152" i="3"/>
  <c r="M152" i="3"/>
  <c r="Q151" i="3"/>
  <c r="P151" i="3"/>
  <c r="O151" i="3"/>
  <c r="N151" i="3"/>
  <c r="M151" i="3"/>
  <c r="AA158" i="3"/>
  <c r="J70" i="20" s="1"/>
  <c r="J61" i="20"/>
  <c r="I61" i="20"/>
  <c r="H61" i="20"/>
  <c r="G61" i="20"/>
  <c r="F61" i="20"/>
  <c r="E61" i="20"/>
  <c r="D61" i="20"/>
  <c r="C61" i="20"/>
  <c r="F27" i="1" s="1"/>
  <c r="C9" i="10" s="1"/>
  <c r="L74" i="19"/>
  <c r="K74" i="19"/>
  <c r="J74" i="19"/>
  <c r="I74" i="19"/>
  <c r="H74" i="19"/>
  <c r="G34" i="8"/>
  <c r="F34" i="8"/>
  <c r="E34" i="8"/>
  <c r="D34" i="8"/>
  <c r="C34" i="8"/>
  <c r="G8" i="16"/>
  <c r="F8" i="16"/>
  <c r="AA72" i="3"/>
  <c r="O72" i="3"/>
  <c r="N72" i="3"/>
  <c r="M72" i="3"/>
  <c r="P72" i="3"/>
  <c r="Q72" i="3"/>
  <c r="Q70" i="3"/>
  <c r="P70" i="3"/>
  <c r="O70" i="3"/>
  <c r="N70" i="3"/>
  <c r="M70" i="3"/>
  <c r="L70" i="3"/>
  <c r="K70" i="3"/>
  <c r="J70" i="3"/>
  <c r="I70" i="3"/>
  <c r="H70" i="3"/>
  <c r="G70" i="3"/>
  <c r="F70" i="3"/>
  <c r="E70" i="3"/>
  <c r="D70" i="3"/>
  <c r="C70" i="3"/>
  <c r="AA70" i="3"/>
  <c r="Q158" i="3"/>
  <c r="Q168" i="3" s="1"/>
  <c r="P158" i="3"/>
  <c r="P168" i="3" s="1"/>
  <c r="O158" i="3"/>
  <c r="O168" i="3" s="1"/>
  <c r="N158" i="3"/>
  <c r="N168" i="3" s="1"/>
  <c r="M158" i="3"/>
  <c r="M168" i="3" s="1"/>
  <c r="AC113" i="3"/>
  <c r="Q122" i="3"/>
  <c r="P122" i="3"/>
  <c r="O122" i="3"/>
  <c r="N122" i="3"/>
  <c r="M122" i="3"/>
  <c r="AA104" i="3"/>
  <c r="J62" i="20" s="1"/>
  <c r="I62" i="20"/>
  <c r="H62" i="20"/>
  <c r="G62" i="20"/>
  <c r="F62" i="20"/>
  <c r="E62" i="20"/>
  <c r="D62" i="20"/>
  <c r="C62" i="20"/>
  <c r="Q104" i="3"/>
  <c r="L75" i="19" s="1"/>
  <c r="P104" i="3"/>
  <c r="K75" i="19" s="1"/>
  <c r="O104" i="3"/>
  <c r="J75" i="19" s="1"/>
  <c r="N104" i="3"/>
  <c r="I75" i="19" s="1"/>
  <c r="M104" i="3"/>
  <c r="H75" i="19" s="1"/>
  <c r="AC112" i="3"/>
  <c r="G35" i="7"/>
  <c r="AC64" i="3"/>
  <c r="G31" i="12"/>
  <c r="E35" i="7"/>
  <c r="F35" i="7"/>
  <c r="D35" i="7"/>
  <c r="C35" i="7"/>
  <c r="AC84" i="3"/>
  <c r="AC107" i="3" s="1"/>
  <c r="Q146" i="3"/>
  <c r="N146" i="3"/>
  <c r="P146" i="3"/>
  <c r="O146" i="3"/>
  <c r="M146" i="3"/>
  <c r="C31" i="12"/>
  <c r="G90" i="17"/>
  <c r="D90" i="17"/>
  <c r="C90" i="17"/>
  <c r="G89" i="17"/>
  <c r="F20" i="18"/>
  <c r="C20" i="18"/>
  <c r="F18" i="18"/>
  <c r="C18" i="18"/>
  <c r="F12" i="18"/>
  <c r="C12" i="18"/>
  <c r="F10" i="18"/>
  <c r="C10" i="18"/>
  <c r="G93" i="17"/>
  <c r="F93" i="17"/>
  <c r="E93" i="17"/>
  <c r="D93" i="17"/>
  <c r="C93" i="17"/>
  <c r="F90" i="17"/>
  <c r="E90" i="17"/>
  <c r="F89" i="17"/>
  <c r="E89" i="17"/>
  <c r="D89" i="17"/>
  <c r="C89" i="17"/>
  <c r="AC30" i="3"/>
  <c r="G20" i="18"/>
  <c r="D20" i="18"/>
  <c r="G18" i="18"/>
  <c r="D18" i="18"/>
  <c r="C17" i="18"/>
  <c r="AA107" i="3"/>
  <c r="C15" i="18"/>
  <c r="G12" i="18"/>
  <c r="D12" i="18"/>
  <c r="C9" i="18"/>
  <c r="G10" i="18"/>
  <c r="C7" i="18"/>
  <c r="D10" i="18"/>
  <c r="G23" i="18"/>
  <c r="I60" i="20"/>
  <c r="F23" i="18"/>
  <c r="C23" i="18"/>
  <c r="F27" i="18"/>
  <c r="C27" i="18"/>
  <c r="C25" i="18"/>
  <c r="F30" i="18"/>
  <c r="C30" i="18"/>
  <c r="F25"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G48" i="17"/>
  <c r="F48" i="17"/>
  <c r="E48" i="17"/>
  <c r="D48" i="17"/>
  <c r="G47" i="17"/>
  <c r="F47" i="17"/>
  <c r="E47" i="17"/>
  <c r="D47" i="17"/>
  <c r="C48"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AA180" i="3"/>
  <c r="Q180" i="3"/>
  <c r="G77" i="17" s="1"/>
  <c r="P180" i="3"/>
  <c r="F77" i="17" s="1"/>
  <c r="O180" i="3"/>
  <c r="E77" i="17" s="1"/>
  <c r="N180" i="3"/>
  <c r="D77" i="17" s="1"/>
  <c r="M180" i="3"/>
  <c r="C77" i="17" s="1"/>
  <c r="AA179" i="3"/>
  <c r="Q179" i="3"/>
  <c r="G76" i="17" s="1"/>
  <c r="P179" i="3"/>
  <c r="F76" i="17" s="1"/>
  <c r="O179" i="3"/>
  <c r="E76" i="17" s="1"/>
  <c r="N179" i="3"/>
  <c r="D76" i="17" s="1"/>
  <c r="M179" i="3"/>
  <c r="C76" i="17" s="1"/>
  <c r="AA178" i="3"/>
  <c r="Q178" i="3"/>
  <c r="G75" i="17" s="1"/>
  <c r="P178" i="3"/>
  <c r="F75" i="17" s="1"/>
  <c r="O178" i="3"/>
  <c r="E75" i="17" s="1"/>
  <c r="N178" i="3"/>
  <c r="D75" i="17" s="1"/>
  <c r="M178" i="3"/>
  <c r="C75" i="17" s="1"/>
  <c r="D23" i="17"/>
  <c r="E23" i="17"/>
  <c r="F23" i="17"/>
  <c r="G23" i="17"/>
  <c r="C23" i="17"/>
  <c r="AC143" i="3"/>
  <c r="I39" i="17" s="1"/>
  <c r="AC80" i="3"/>
  <c r="Q81" i="3"/>
  <c r="P81" i="3"/>
  <c r="N81" i="3"/>
  <c r="M81" i="3"/>
  <c r="O81" i="3"/>
  <c r="AC150" i="3"/>
  <c r="AC149" i="3"/>
  <c r="AA142" i="3"/>
  <c r="AC144" i="3"/>
  <c r="AC142" i="3"/>
  <c r="Q142" i="3"/>
  <c r="P142" i="3"/>
  <c r="O142" i="3"/>
  <c r="N142" i="3"/>
  <c r="M142" i="3"/>
  <c r="F9" i="16"/>
  <c r="F17" i="16"/>
  <c r="AC59" i="3"/>
  <c r="F16" i="16"/>
  <c r="AC78" i="3"/>
  <c r="O30" i="6"/>
  <c r="O26" i="6"/>
  <c r="AC58" i="3"/>
  <c r="AC56" i="3"/>
  <c r="O107" i="3"/>
  <c r="O110" i="3" s="1"/>
  <c r="O159" i="3" s="1"/>
  <c r="N107" i="3"/>
  <c r="N110" i="3" s="1"/>
  <c r="N159" i="3" s="1"/>
  <c r="M107" i="3"/>
  <c r="M110" i="3" s="1"/>
  <c r="M159" i="3" s="1"/>
  <c r="L107" i="3"/>
  <c r="K107" i="3"/>
  <c r="J107" i="3"/>
  <c r="I107" i="3"/>
  <c r="H107" i="3"/>
  <c r="G107" i="3"/>
  <c r="F107" i="3"/>
  <c r="E107" i="3"/>
  <c r="D107" i="3"/>
  <c r="C107" i="3"/>
  <c r="C6" i="14"/>
  <c r="G19" i="12"/>
  <c r="F19" i="12"/>
  <c r="E19" i="12"/>
  <c r="D19" i="12"/>
  <c r="C19" i="12"/>
  <c r="G6" i="12"/>
  <c r="F6" i="12"/>
  <c r="E6" i="12"/>
  <c r="D6" i="12"/>
  <c r="C6" i="12"/>
  <c r="C18" i="10"/>
  <c r="E7" i="8"/>
  <c r="E6" i="8"/>
  <c r="C5" i="8"/>
  <c r="C32" i="8" s="1"/>
  <c r="E13" i="7"/>
  <c r="C13" i="7"/>
  <c r="D7" i="7"/>
  <c r="U18" i="6"/>
  <c r="T18" i="6"/>
  <c r="P18" i="6"/>
  <c r="O16" i="6"/>
  <c r="O28" i="6" s="1"/>
  <c r="O15" i="6"/>
  <c r="O27" i="6" s="1"/>
  <c r="W6" i="6"/>
  <c r="T6" i="6"/>
  <c r="V5" i="6"/>
  <c r="S5" i="6"/>
  <c r="P5" i="6"/>
  <c r="B29" i="6"/>
  <c r="B27" i="6"/>
  <c r="E18" i="6"/>
  <c r="D18" i="6"/>
  <c r="G6" i="6"/>
  <c r="E6" i="6"/>
  <c r="C6" i="6"/>
  <c r="R6" i="5"/>
  <c r="G21" i="8"/>
  <c r="E21" i="8"/>
  <c r="G20" i="8"/>
  <c r="F20" i="8"/>
  <c r="C20" i="8"/>
  <c r="F7" i="8"/>
  <c r="C7" i="8"/>
  <c r="F6" i="8"/>
  <c r="F13" i="7"/>
  <c r="D13" i="7"/>
  <c r="F7" i="7"/>
  <c r="C6" i="7"/>
  <c r="V18" i="6"/>
  <c r="R18" i="6"/>
  <c r="U6" i="6"/>
  <c r="R6" i="6"/>
  <c r="P6" i="6"/>
  <c r="Q5" i="6"/>
  <c r="G18" i="6"/>
  <c r="C18" i="6"/>
  <c r="C5" i="6"/>
  <c r="R7" i="5"/>
  <c r="F21" i="8"/>
  <c r="D21" i="8"/>
  <c r="C21" i="8"/>
  <c r="E20" i="8"/>
  <c r="D20" i="8"/>
  <c r="G7" i="8"/>
  <c r="D7" i="8"/>
  <c r="G6" i="8"/>
  <c r="D6" i="8"/>
  <c r="C6" i="8"/>
  <c r="G13" i="7"/>
  <c r="G7" i="7"/>
  <c r="E7" i="7"/>
  <c r="C7" i="7"/>
  <c r="W18" i="6"/>
  <c r="S18" i="6"/>
  <c r="Q18" i="6"/>
  <c r="O17" i="6"/>
  <c r="O29" i="6" s="1"/>
  <c r="V6" i="6"/>
  <c r="S6" i="6"/>
  <c r="Q6" i="6"/>
  <c r="W5" i="6"/>
  <c r="U5" i="6"/>
  <c r="T5" i="6"/>
  <c r="R5" i="6"/>
  <c r="B28" i="6"/>
  <c r="F18" i="6"/>
  <c r="F6" i="6"/>
  <c r="D6" i="6"/>
  <c r="D28" i="6" s="1"/>
  <c r="G8" i="7"/>
  <c r="E8" i="7"/>
  <c r="F8" i="7"/>
  <c r="C8" i="7"/>
  <c r="D8" i="7"/>
  <c r="G44" i="7"/>
  <c r="F44" i="7"/>
  <c r="E44" i="7"/>
  <c r="D44" i="7"/>
  <c r="C44" i="7"/>
  <c r="O11" i="6"/>
  <c r="O23" i="6" s="1"/>
  <c r="O13" i="6"/>
  <c r="O25" i="6" s="1"/>
  <c r="B23" i="6"/>
  <c r="O12" i="6"/>
  <c r="O24" i="6" s="1"/>
  <c r="B25" i="6"/>
  <c r="B24" i="6"/>
  <c r="AB10" i="6"/>
  <c r="S17" i="5"/>
  <c r="C17" i="5"/>
  <c r="Z26" i="5"/>
  <c r="Y26" i="5"/>
  <c r="X26" i="5"/>
  <c r="W26" i="5"/>
  <c r="V26" i="5"/>
  <c r="U26" i="5"/>
  <c r="T26" i="5"/>
  <c r="G26" i="5"/>
  <c r="F26" i="5"/>
  <c r="E26" i="5"/>
  <c r="D26" i="5"/>
  <c r="Z19" i="5"/>
  <c r="Y19" i="5"/>
  <c r="X19" i="5"/>
  <c r="W19" i="5"/>
  <c r="V19" i="5"/>
  <c r="U19" i="5"/>
  <c r="T19" i="5"/>
  <c r="G19" i="5"/>
  <c r="F19" i="5"/>
  <c r="E19" i="5"/>
  <c r="D19" i="5"/>
  <c r="B19" i="5"/>
  <c r="Z18" i="5"/>
  <c r="Y18" i="5"/>
  <c r="X18" i="5"/>
  <c r="W18" i="5"/>
  <c r="V18" i="5"/>
  <c r="U18" i="5"/>
  <c r="T18" i="5"/>
  <c r="G18" i="5"/>
  <c r="F18" i="5"/>
  <c r="E18" i="5"/>
  <c r="D18" i="5"/>
  <c r="B18" i="5"/>
  <c r="Z17" i="5"/>
  <c r="Y17" i="5"/>
  <c r="X17" i="5"/>
  <c r="W17" i="5"/>
  <c r="V17" i="5"/>
  <c r="U17" i="5"/>
  <c r="T17" i="5"/>
  <c r="P107" i="3"/>
  <c r="P110" i="3" s="1"/>
  <c r="P159" i="3" s="1"/>
  <c r="Q107" i="3"/>
  <c r="AC125" i="3"/>
  <c r="AC123" i="3"/>
  <c r="AC103" i="3"/>
  <c r="AA102" i="3"/>
  <c r="J60" i="20" s="1"/>
  <c r="AC83" i="3"/>
  <c r="AC75" i="3"/>
  <c r="AA76" i="3"/>
  <c r="M76" i="3"/>
  <c r="N76" i="3"/>
  <c r="O76" i="3"/>
  <c r="P76" i="3"/>
  <c r="Q76" i="3"/>
  <c r="AC37" i="3"/>
  <c r="AA92" i="3"/>
  <c r="C11" i="18" s="1"/>
  <c r="AA96" i="3"/>
  <c r="C13" i="18" s="1"/>
  <c r="AC7" i="3"/>
  <c r="AC102" i="3" s="1"/>
  <c r="Q102" i="3"/>
  <c r="P102" i="3"/>
  <c r="O102" i="3"/>
  <c r="N102" i="3"/>
  <c r="M102" i="3"/>
  <c r="Q96" i="3"/>
  <c r="G83" i="17" s="1"/>
  <c r="P96" i="3"/>
  <c r="F83" i="17" s="1"/>
  <c r="O96" i="3"/>
  <c r="E83" i="17" s="1"/>
  <c r="N96" i="3"/>
  <c r="D83" i="17" s="1"/>
  <c r="M96" i="3"/>
  <c r="C83" i="17" s="1"/>
  <c r="AC27" i="3"/>
  <c r="F5" i="1" s="1"/>
  <c r="AC25" i="3"/>
  <c r="AC23" i="3"/>
  <c r="AC21" i="3"/>
  <c r="Q92" i="3"/>
  <c r="G82" i="17" s="1"/>
  <c r="O92" i="3"/>
  <c r="E82" i="17" s="1"/>
  <c r="M92" i="3"/>
  <c r="C82" i="17" s="1"/>
  <c r="P92" i="3"/>
  <c r="F82" i="17" s="1"/>
  <c r="N92" i="3"/>
  <c r="D82" i="17" s="1"/>
  <c r="C10" i="10" s="1"/>
  <c r="C11" i="13" s="1"/>
  <c r="AC174" i="3" l="1"/>
  <c r="I71" i="17" s="1"/>
  <c r="AC175" i="3"/>
  <c r="AC109" i="3"/>
  <c r="AA146" i="3"/>
  <c r="D5" i="12"/>
  <c r="D6" i="11"/>
  <c r="H6" i="8"/>
  <c r="H6" i="6"/>
  <c r="H7" i="7"/>
  <c r="H6" i="12"/>
  <c r="H13" i="12" s="1"/>
  <c r="AC76" i="3"/>
  <c r="C22" i="14" s="1"/>
  <c r="C35" i="14" s="1"/>
  <c r="AA153" i="3"/>
  <c r="F18" i="16"/>
  <c r="Q184" i="3"/>
  <c r="Q183" i="3"/>
  <c r="P184" i="3"/>
  <c r="P183" i="3"/>
  <c r="O184" i="3"/>
  <c r="O183" i="3"/>
  <c r="N184" i="3"/>
  <c r="N183" i="3"/>
  <c r="M184" i="3"/>
  <c r="M183" i="3"/>
  <c r="E3" i="17"/>
  <c r="J67" i="19"/>
  <c r="E5" i="5"/>
  <c r="D6" i="14"/>
  <c r="D6" i="7"/>
  <c r="D5" i="6"/>
  <c r="D5" i="8"/>
  <c r="D17" i="5"/>
  <c r="C52" i="16"/>
  <c r="G53" i="17"/>
  <c r="F53" i="17"/>
  <c r="E53" i="17"/>
  <c r="D53" i="17"/>
  <c r="G51" i="17"/>
  <c r="F51" i="17"/>
  <c r="E51" i="17"/>
  <c r="D51" i="17"/>
  <c r="C51" i="17"/>
  <c r="C53" i="17"/>
  <c r="Q153" i="3"/>
  <c r="P153" i="3"/>
  <c r="O153" i="3"/>
  <c r="N153" i="3"/>
  <c r="M153" i="3"/>
  <c r="AC70" i="3"/>
  <c r="AC158" i="3"/>
  <c r="AC171" i="3" s="1"/>
  <c r="M79" i="3"/>
  <c r="M154" i="3" s="1"/>
  <c r="N79" i="3"/>
  <c r="N154" i="3" s="1"/>
  <c r="O79" i="3"/>
  <c r="O154" i="3" s="1"/>
  <c r="P79" i="3"/>
  <c r="P154" i="3" s="1"/>
  <c r="Q79" i="3"/>
  <c r="Q154" i="3" s="1"/>
  <c r="F22" i="8"/>
  <c r="AC72" i="3"/>
  <c r="Q169" i="3"/>
  <c r="L71" i="19"/>
  <c r="Q171" i="3"/>
  <c r="P169" i="3"/>
  <c r="K71" i="19"/>
  <c r="P171" i="3"/>
  <c r="O169" i="3"/>
  <c r="J71" i="19"/>
  <c r="O171" i="3"/>
  <c r="N169" i="3"/>
  <c r="I71" i="19"/>
  <c r="N171" i="3"/>
  <c r="M169" i="3"/>
  <c r="H71" i="19"/>
  <c r="M171" i="3"/>
  <c r="G16" i="17"/>
  <c r="G33" i="8"/>
  <c r="L73" i="19"/>
  <c r="F16" i="17"/>
  <c r="F33" i="8"/>
  <c r="K73" i="19"/>
  <c r="E16" i="17"/>
  <c r="E33" i="8"/>
  <c r="J73" i="19"/>
  <c r="D16" i="17"/>
  <c r="D33" i="8"/>
  <c r="I73" i="19"/>
  <c r="C16" i="17"/>
  <c r="C33" i="8"/>
  <c r="H73" i="19"/>
  <c r="C19" i="10"/>
  <c r="E22" i="8"/>
  <c r="C22" i="8"/>
  <c r="G44" i="17"/>
  <c r="F44" i="17"/>
  <c r="E44" i="17"/>
  <c r="D44" i="17"/>
  <c r="C44" i="17"/>
  <c r="G26" i="17"/>
  <c r="F26" i="17"/>
  <c r="E26" i="17"/>
  <c r="D26" i="17"/>
  <c r="C26" i="17"/>
  <c r="G18" i="17"/>
  <c r="F18" i="17"/>
  <c r="E18" i="17"/>
  <c r="D18" i="17"/>
  <c r="C18" i="17"/>
  <c r="G22" i="8"/>
  <c r="D22" i="8"/>
  <c r="P124" i="3"/>
  <c r="K83" i="19" s="1"/>
  <c r="O124" i="3"/>
  <c r="J83" i="19" s="1"/>
  <c r="N124" i="3"/>
  <c r="I83" i="19" s="1"/>
  <c r="M124" i="3"/>
  <c r="H83" i="19" s="1"/>
  <c r="Q124" i="3"/>
  <c r="L83" i="19" s="1"/>
  <c r="Q71" i="3"/>
  <c r="O141" i="3"/>
  <c r="J85" i="19" s="1"/>
  <c r="N141" i="3"/>
  <c r="I85" i="19" s="1"/>
  <c r="M141" i="3"/>
  <c r="H85" i="19" s="1"/>
  <c r="K72" i="19"/>
  <c r="P141" i="3"/>
  <c r="K85" i="19" s="1"/>
  <c r="AC81" i="3"/>
  <c r="AC104" i="3"/>
  <c r="AC122" i="3"/>
  <c r="I26" i="17" s="1"/>
  <c r="C31" i="16"/>
  <c r="F21" i="18"/>
  <c r="C19" i="18"/>
  <c r="C21" i="18"/>
  <c r="F19" i="18"/>
  <c r="F11" i="18"/>
  <c r="F13" i="18"/>
  <c r="Q170" i="3"/>
  <c r="G59" i="17" s="1"/>
  <c r="P170" i="3"/>
  <c r="F59" i="17" s="1"/>
  <c r="O170" i="3"/>
  <c r="E59" i="17" s="1"/>
  <c r="N170" i="3"/>
  <c r="D59" i="17" s="1"/>
  <c r="M170" i="3"/>
  <c r="C59" i="17" s="1"/>
  <c r="AC178" i="3"/>
  <c r="AC179" i="3"/>
  <c r="AC180" i="3"/>
  <c r="I23" i="17"/>
  <c r="G22" i="7"/>
  <c r="D22" i="7"/>
  <c r="E21" i="7"/>
  <c r="C21" i="7"/>
  <c r="F34" i="16"/>
  <c r="I48" i="17"/>
  <c r="F32" i="16"/>
  <c r="I47" i="17"/>
  <c r="C32" i="16"/>
  <c r="I40" i="17"/>
  <c r="C30" i="16"/>
  <c r="I38" i="17"/>
  <c r="Q145" i="3"/>
  <c r="G41" i="17" s="1"/>
  <c r="G38" i="17"/>
  <c r="P145" i="3"/>
  <c r="F41" i="17" s="1"/>
  <c r="F38" i="17"/>
  <c r="O145" i="3"/>
  <c r="E41" i="17" s="1"/>
  <c r="E38" i="17"/>
  <c r="N145" i="3"/>
  <c r="D41" i="17" s="1"/>
  <c r="D38" i="17"/>
  <c r="M145" i="3"/>
  <c r="C41" i="17" s="1"/>
  <c r="C38" i="17"/>
  <c r="C25" i="16"/>
  <c r="I29" i="17"/>
  <c r="C23" i="16"/>
  <c r="I27" i="17"/>
  <c r="C17" i="16"/>
  <c r="I17" i="17"/>
  <c r="C16" i="16"/>
  <c r="I16" i="17"/>
  <c r="AA176" i="3"/>
  <c r="Q176" i="3"/>
  <c r="G67" i="17" s="1"/>
  <c r="P176" i="3"/>
  <c r="F67" i="17" s="1"/>
  <c r="O176" i="3"/>
  <c r="E67" i="17" s="1"/>
  <c r="N176" i="3"/>
  <c r="D67" i="17" s="1"/>
  <c r="M176" i="3"/>
  <c r="C67" i="17" s="1"/>
  <c r="AA145" i="3"/>
  <c r="D30" i="12"/>
  <c r="F29" i="12"/>
  <c r="E20" i="12"/>
  <c r="H19" i="12"/>
  <c r="I19" i="12" s="1"/>
  <c r="J19" i="12" s="1"/>
  <c r="K19" i="12" s="1"/>
  <c r="L19" i="12" s="1"/>
  <c r="AA147" i="3"/>
  <c r="AA173" i="3"/>
  <c r="Q147" i="3"/>
  <c r="G45" i="17" s="1"/>
  <c r="Q173" i="3"/>
  <c r="G66" i="17" s="1"/>
  <c r="P147" i="3"/>
  <c r="F45" i="17" s="1"/>
  <c r="P173" i="3"/>
  <c r="F66" i="17" s="1"/>
  <c r="O147" i="3"/>
  <c r="E45" i="17" s="1"/>
  <c r="O173" i="3"/>
  <c r="E66" i="17" s="1"/>
  <c r="N147" i="3"/>
  <c r="D45" i="17" s="1"/>
  <c r="N173" i="3"/>
  <c r="D66" i="17" s="1"/>
  <c r="M147" i="3"/>
  <c r="C45" i="17" s="1"/>
  <c r="M173" i="3"/>
  <c r="C66" i="17" s="1"/>
  <c r="AC145" i="3"/>
  <c r="I41" i="17" s="1"/>
  <c r="C9" i="17"/>
  <c r="D9" i="17"/>
  <c r="E9" i="17"/>
  <c r="G10" i="17"/>
  <c r="F10" i="17"/>
  <c r="E10" i="17"/>
  <c r="D10" i="17"/>
  <c r="C10" i="17"/>
  <c r="G9" i="17"/>
  <c r="F9" i="17"/>
  <c r="C5" i="16"/>
  <c r="T28" i="6"/>
  <c r="T27" i="6"/>
  <c r="G29" i="6"/>
  <c r="G27" i="6"/>
  <c r="AC108" i="3"/>
  <c r="AA148" i="3"/>
  <c r="G32" i="12"/>
  <c r="Q148" i="3"/>
  <c r="G46" i="17" s="1"/>
  <c r="F32" i="12"/>
  <c r="P148" i="3"/>
  <c r="F46" i="17" s="1"/>
  <c r="E32" i="12"/>
  <c r="O148" i="3"/>
  <c r="E46" i="17" s="1"/>
  <c r="D32" i="12"/>
  <c r="N148" i="3"/>
  <c r="D46" i="17" s="1"/>
  <c r="C32" i="12"/>
  <c r="M148" i="3"/>
  <c r="C46" i="17" s="1"/>
  <c r="AC110" i="3"/>
  <c r="Q110" i="3"/>
  <c r="Q159" i="3" s="1"/>
  <c r="E46" i="7"/>
  <c r="Q25" i="6"/>
  <c r="F25" i="6"/>
  <c r="D23" i="6"/>
  <c r="V23" i="6"/>
  <c r="S23" i="6"/>
  <c r="Q23" i="6"/>
  <c r="W10" i="6"/>
  <c r="U10" i="6"/>
  <c r="R10" i="6"/>
  <c r="AA79" i="3"/>
  <c r="F20" i="12"/>
  <c r="D20" i="12"/>
  <c r="G13" i="12"/>
  <c r="C30" i="12"/>
  <c r="E29" i="12"/>
  <c r="D29" i="12"/>
  <c r="G20" i="12"/>
  <c r="F13" i="12"/>
  <c r="E13" i="12"/>
  <c r="D13" i="12"/>
  <c r="G30" i="12"/>
  <c r="G8" i="8"/>
  <c r="D8" i="8"/>
  <c r="C46" i="7"/>
  <c r="G43" i="7"/>
  <c r="C43" i="7"/>
  <c r="V29" i="6"/>
  <c r="D26" i="6"/>
  <c r="F24" i="6"/>
  <c r="D36" i="7"/>
  <c r="D37" i="7" s="1"/>
  <c r="S29" i="6"/>
  <c r="Q29" i="6"/>
  <c r="V26" i="6"/>
  <c r="S26" i="6"/>
  <c r="Q26" i="6"/>
  <c r="V24" i="6"/>
  <c r="S24" i="6"/>
  <c r="Q24" i="6"/>
  <c r="R18" i="5"/>
  <c r="Q27" i="6"/>
  <c r="F29" i="6"/>
  <c r="F28" i="6"/>
  <c r="F30" i="12"/>
  <c r="E30" i="12"/>
  <c r="G29" i="12"/>
  <c r="C29" i="12"/>
  <c r="D27" i="6"/>
  <c r="S28" i="6"/>
  <c r="Q28" i="6"/>
  <c r="V30" i="6"/>
  <c r="D29" i="6"/>
  <c r="G46" i="7"/>
  <c r="C15" i="14"/>
  <c r="AC117" i="3"/>
  <c r="AC118" i="3" s="1"/>
  <c r="C6" i="10"/>
  <c r="E30" i="6"/>
  <c r="E9" i="8"/>
  <c r="D9" i="8"/>
  <c r="D30" i="6"/>
  <c r="G30" i="6"/>
  <c r="G9" i="8"/>
  <c r="C9" i="8"/>
  <c r="C30" i="6"/>
  <c r="F30" i="6"/>
  <c r="F9" i="8"/>
  <c r="U27" i="6"/>
  <c r="P27" i="6"/>
  <c r="U30" i="6"/>
  <c r="T30" i="6"/>
  <c r="P30" i="6"/>
  <c r="C29" i="6"/>
  <c r="G28" i="6"/>
  <c r="E27" i="6"/>
  <c r="C27" i="6"/>
  <c r="U28" i="6"/>
  <c r="P28" i="6"/>
  <c r="W28" i="6"/>
  <c r="V28" i="6"/>
  <c r="W27" i="6"/>
  <c r="V27" i="6"/>
  <c r="S27" i="6"/>
  <c r="W30" i="6"/>
  <c r="S30" i="6"/>
  <c r="Q30" i="6"/>
  <c r="E29" i="6"/>
  <c r="E28" i="6"/>
  <c r="C28" i="6"/>
  <c r="F27" i="6"/>
  <c r="C23" i="6"/>
  <c r="Q10" i="6"/>
  <c r="C19" i="8"/>
  <c r="C14" i="8"/>
  <c r="C8" i="8"/>
  <c r="F46" i="7"/>
  <c r="C25" i="6"/>
  <c r="S10" i="6"/>
  <c r="P10" i="6"/>
  <c r="F8" i="8"/>
  <c r="C26" i="8"/>
  <c r="G36" i="7"/>
  <c r="G37" i="7" s="1"/>
  <c r="F20" i="7"/>
  <c r="C12" i="7"/>
  <c r="W23" i="6"/>
  <c r="R23" i="6"/>
  <c r="R19" i="5"/>
  <c r="E8" i="8"/>
  <c r="F43" i="7"/>
  <c r="D43" i="7"/>
  <c r="C41" i="7"/>
  <c r="C34" i="7"/>
  <c r="E26" i="6"/>
  <c r="C27" i="7"/>
  <c r="F22" i="7"/>
  <c r="F21" i="7"/>
  <c r="D21" i="7"/>
  <c r="G20" i="7"/>
  <c r="D46" i="7"/>
  <c r="E43" i="7"/>
  <c r="F36" i="7"/>
  <c r="F37" i="7" s="1"/>
  <c r="G21" i="7"/>
  <c r="C20" i="7"/>
  <c r="C19" i="7"/>
  <c r="E36" i="7"/>
  <c r="E37" i="7" s="1"/>
  <c r="C36" i="7"/>
  <c r="C37" i="7" s="1"/>
  <c r="E22" i="7"/>
  <c r="C22" i="7"/>
  <c r="E20" i="7"/>
  <c r="D20" i="7"/>
  <c r="W29" i="6"/>
  <c r="R29" i="6"/>
  <c r="W26" i="6"/>
  <c r="T26" i="6"/>
  <c r="W25" i="6"/>
  <c r="V25" i="6"/>
  <c r="U25" i="6"/>
  <c r="T25" i="6"/>
  <c r="S25" i="6"/>
  <c r="R25" i="6"/>
  <c r="F26" i="6"/>
  <c r="G25" i="6"/>
  <c r="D25" i="6"/>
  <c r="E24" i="6"/>
  <c r="D24" i="6"/>
  <c r="C24" i="6"/>
  <c r="U29" i="6"/>
  <c r="R26" i="6"/>
  <c r="P26" i="6"/>
  <c r="P25" i="6"/>
  <c r="W24" i="6"/>
  <c r="U24" i="6"/>
  <c r="T24" i="6"/>
  <c r="R24" i="6"/>
  <c r="P24" i="6"/>
  <c r="E25" i="6"/>
  <c r="G24" i="6"/>
  <c r="T29" i="6"/>
  <c r="P29" i="6"/>
  <c r="U26" i="6"/>
  <c r="G26" i="6"/>
  <c r="C26" i="6"/>
  <c r="C22" i="6"/>
  <c r="U23" i="6"/>
  <c r="T23" i="6"/>
  <c r="P23" i="6"/>
  <c r="C10" i="6"/>
  <c r="G23" i="6"/>
  <c r="F23" i="6"/>
  <c r="E23" i="6"/>
  <c r="W22" i="6"/>
  <c r="V22" i="6"/>
  <c r="U22" i="6"/>
  <c r="T22" i="6"/>
  <c r="S22" i="6"/>
  <c r="R22" i="6"/>
  <c r="Q22" i="6"/>
  <c r="P22" i="6"/>
  <c r="V10" i="6"/>
  <c r="T10" i="6"/>
  <c r="R28" i="6"/>
  <c r="R27" i="6"/>
  <c r="R30" i="6"/>
  <c r="AA71" i="3"/>
  <c r="P71" i="3"/>
  <c r="M71" i="3"/>
  <c r="L71" i="3"/>
  <c r="O71" i="3"/>
  <c r="N71" i="3"/>
  <c r="K71" i="3"/>
  <c r="J71" i="3"/>
  <c r="I71" i="3"/>
  <c r="H71" i="3"/>
  <c r="G71" i="3"/>
  <c r="F71" i="3"/>
  <c r="E71" i="3"/>
  <c r="D71" i="3"/>
  <c r="C71" i="3"/>
  <c r="I72" i="17" l="1"/>
  <c r="C53" i="16"/>
  <c r="C47" i="12"/>
  <c r="C81" i="12"/>
  <c r="C68" i="12"/>
  <c r="AC146" i="3"/>
  <c r="C8" i="10"/>
  <c r="C25" i="14"/>
  <c r="C33" i="14" s="1"/>
  <c r="C23" i="11"/>
  <c r="AC182" i="3"/>
  <c r="E5" i="12"/>
  <c r="E6" i="11"/>
  <c r="C24" i="21"/>
  <c r="C26" i="21" s="1"/>
  <c r="I11" i="1" s="1"/>
  <c r="C54" i="12"/>
  <c r="I18" i="1" s="1"/>
  <c r="H17" i="6"/>
  <c r="H11" i="6"/>
  <c r="H12" i="6"/>
  <c r="H13" i="6"/>
  <c r="H45" i="7"/>
  <c r="H21" i="8" s="1"/>
  <c r="H36" i="7"/>
  <c r="H15" i="6"/>
  <c r="H16" i="6"/>
  <c r="H42" i="7"/>
  <c r="H13" i="7"/>
  <c r="H28" i="7" s="1"/>
  <c r="AC79" i="3"/>
  <c r="C70" i="12" s="1"/>
  <c r="AA154" i="3"/>
  <c r="AA155" i="3" s="1"/>
  <c r="C67" i="12"/>
  <c r="C80" i="12"/>
  <c r="C46" i="12"/>
  <c r="AC184" i="3"/>
  <c r="AC183" i="3"/>
  <c r="AC168" i="3"/>
  <c r="AC169" i="3"/>
  <c r="F5" i="5"/>
  <c r="F3" i="17"/>
  <c r="K67" i="19"/>
  <c r="E5" i="6"/>
  <c r="E6" i="7"/>
  <c r="E17" i="5"/>
  <c r="E5" i="8"/>
  <c r="E6" i="14"/>
  <c r="D19" i="7"/>
  <c r="D27" i="7"/>
  <c r="D12" i="7"/>
  <c r="D34" i="7"/>
  <c r="D41" i="7"/>
  <c r="D22" i="6"/>
  <c r="D10" i="6"/>
  <c r="D32" i="8"/>
  <c r="D19" i="8"/>
  <c r="D26" i="8"/>
  <c r="D14" i="8"/>
  <c r="Q172" i="3"/>
  <c r="G63" i="17" s="1"/>
  <c r="D11" i="17"/>
  <c r="G58" i="17"/>
  <c r="E60" i="17"/>
  <c r="D58" i="17"/>
  <c r="D60" i="17"/>
  <c r="C58" i="17"/>
  <c r="N172" i="3"/>
  <c r="D63" i="17" s="1"/>
  <c r="C11" i="17"/>
  <c r="C60" i="17"/>
  <c r="P172" i="3"/>
  <c r="F63" i="17" s="1"/>
  <c r="G11" i="17"/>
  <c r="E11" i="17"/>
  <c r="M172" i="3"/>
  <c r="C63" i="17" s="1"/>
  <c r="O172" i="3"/>
  <c r="E63" i="17" s="1"/>
  <c r="F11" i="17"/>
  <c r="C22" i="11"/>
  <c r="C24" i="14"/>
  <c r="AC71" i="3"/>
  <c r="M166" i="3"/>
  <c r="C55" i="17" s="1"/>
  <c r="M155" i="3"/>
  <c r="M177" i="3"/>
  <c r="C68" i="17" s="1"/>
  <c r="M160" i="3"/>
  <c r="M162" i="3"/>
  <c r="C52" i="17" s="1"/>
  <c r="M165" i="3"/>
  <c r="C54" i="17" s="1"/>
  <c r="C7" i="17"/>
  <c r="N155" i="3"/>
  <c r="N160" i="3"/>
  <c r="N177" i="3"/>
  <c r="D68" i="17" s="1"/>
  <c r="N165" i="3"/>
  <c r="D54" i="17" s="1"/>
  <c r="D7" i="17"/>
  <c r="N166" i="3"/>
  <c r="D55" i="17" s="1"/>
  <c r="N162" i="3"/>
  <c r="D52" i="17" s="1"/>
  <c r="O162" i="3"/>
  <c r="E52" i="17" s="1"/>
  <c r="O177" i="3"/>
  <c r="E68" i="17" s="1"/>
  <c r="O165" i="3"/>
  <c r="E54" i="17" s="1"/>
  <c r="E7" i="17"/>
  <c r="O155" i="3"/>
  <c r="O166" i="3"/>
  <c r="E55" i="17" s="1"/>
  <c r="O160" i="3"/>
  <c r="P160" i="3"/>
  <c r="P177" i="3"/>
  <c r="F68" i="17" s="1"/>
  <c r="P165" i="3"/>
  <c r="F54" i="17" s="1"/>
  <c r="P155" i="3"/>
  <c r="P162" i="3"/>
  <c r="F52" i="17" s="1"/>
  <c r="P166" i="3"/>
  <c r="F55" i="17" s="1"/>
  <c r="F7" i="17"/>
  <c r="Q177" i="3"/>
  <c r="G68" i="17" s="1"/>
  <c r="Q165" i="3"/>
  <c r="G54" i="17" s="1"/>
  <c r="G7" i="17"/>
  <c r="Q155" i="3"/>
  <c r="Q166" i="3"/>
  <c r="G55" i="17" s="1"/>
  <c r="Q160" i="3"/>
  <c r="Q162" i="3"/>
  <c r="G52" i="17" s="1"/>
  <c r="AC164" i="3"/>
  <c r="AC163" i="3"/>
  <c r="AC153" i="3"/>
  <c r="AC152" i="3"/>
  <c r="AC151" i="3"/>
  <c r="G60" i="17"/>
  <c r="F58" i="17"/>
  <c r="F60" i="17"/>
  <c r="E58" i="17"/>
  <c r="P126" i="3"/>
  <c r="F28" i="17"/>
  <c r="F33" i="17" s="1"/>
  <c r="O126" i="3"/>
  <c r="E28" i="17"/>
  <c r="E33" i="17" s="1"/>
  <c r="N126" i="3"/>
  <c r="D28" i="17"/>
  <c r="D33" i="17" s="1"/>
  <c r="M126" i="3"/>
  <c r="C28" i="17"/>
  <c r="C33" i="17" s="1"/>
  <c r="Q126" i="3"/>
  <c r="O167" i="3"/>
  <c r="J72" i="19"/>
  <c r="N167" i="3"/>
  <c r="I72" i="19"/>
  <c r="M167" i="3"/>
  <c r="H72" i="19"/>
  <c r="G28" i="17"/>
  <c r="G33" i="17" s="1"/>
  <c r="E35" i="17"/>
  <c r="D35" i="17"/>
  <c r="C35" i="17"/>
  <c r="F35" i="17"/>
  <c r="P167" i="3"/>
  <c r="AC124" i="3"/>
  <c r="I28" i="17" s="1"/>
  <c r="I33" i="17" s="1"/>
  <c r="C22" i="16"/>
  <c r="AC141" i="3"/>
  <c r="L72" i="19"/>
  <c r="Q141" i="3"/>
  <c r="L85" i="19" s="1"/>
  <c r="C18" i="16"/>
  <c r="I18" i="17"/>
  <c r="I6" i="6"/>
  <c r="I6" i="8"/>
  <c r="I7" i="7"/>
  <c r="I6" i="12"/>
  <c r="I13" i="12" s="1"/>
  <c r="F52" i="16"/>
  <c r="I75" i="17"/>
  <c r="F53" i="16"/>
  <c r="I76" i="17"/>
  <c r="F54" i="16"/>
  <c r="I77" i="17"/>
  <c r="AC170" i="3"/>
  <c r="I6" i="17"/>
  <c r="C23" i="14"/>
  <c r="C56" i="12"/>
  <c r="C33" i="16"/>
  <c r="F18" i="1"/>
  <c r="AC173" i="3"/>
  <c r="AC176" i="3"/>
  <c r="I67" i="17" s="1"/>
  <c r="C33" i="12"/>
  <c r="C36" i="12" s="1"/>
  <c r="D33" i="12"/>
  <c r="D36" i="12" s="1"/>
  <c r="F33" i="12"/>
  <c r="F36" i="12" s="1"/>
  <c r="E33" i="12"/>
  <c r="E36" i="12" s="1"/>
  <c r="G33" i="12"/>
  <c r="G36" i="12" s="1"/>
  <c r="AC148" i="3"/>
  <c r="I46" i="17" s="1"/>
  <c r="AC147" i="3"/>
  <c r="I45" i="17" s="1"/>
  <c r="D10" i="8"/>
  <c r="G10" i="8"/>
  <c r="C12" i="12"/>
  <c r="C23" i="12"/>
  <c r="C18" i="12"/>
  <c r="C28" i="12"/>
  <c r="C10" i="8"/>
  <c r="F10" i="8"/>
  <c r="E10" i="8"/>
  <c r="E23" i="7"/>
  <c r="D23" i="7"/>
  <c r="F23" i="7"/>
  <c r="G23" i="7"/>
  <c r="C23" i="7"/>
  <c r="H14" i="6" l="1"/>
  <c r="H26" i="6" s="1"/>
  <c r="F30" i="16"/>
  <c r="I44" i="17"/>
  <c r="AC154" i="3"/>
  <c r="AC172" i="3"/>
  <c r="C5" i="10"/>
  <c r="C7" i="10" s="1"/>
  <c r="F5" i="12"/>
  <c r="F6" i="11"/>
  <c r="H18" i="6"/>
  <c r="H20" i="8"/>
  <c r="H44" i="7"/>
  <c r="C83" i="12"/>
  <c r="C25" i="11"/>
  <c r="C49" i="12"/>
  <c r="G3" i="17"/>
  <c r="L67" i="19"/>
  <c r="G5" i="5"/>
  <c r="F5" i="8"/>
  <c r="F6" i="14"/>
  <c r="F6" i="7"/>
  <c r="F5" i="6"/>
  <c r="F17" i="5"/>
  <c r="E10" i="6"/>
  <c r="E22" i="6"/>
  <c r="E12" i="7"/>
  <c r="E34" i="7"/>
  <c r="E27" i="7"/>
  <c r="E41" i="7"/>
  <c r="E19" i="7"/>
  <c r="E14" i="8"/>
  <c r="E26" i="8"/>
  <c r="E19" i="8"/>
  <c r="E32" i="8"/>
  <c r="D28" i="12"/>
  <c r="D12" i="12"/>
  <c r="D18" i="12"/>
  <c r="D23" i="12"/>
  <c r="Q156" i="3"/>
  <c r="G12" i="17" s="1"/>
  <c r="Q157" i="3"/>
  <c r="G13" i="17" s="1"/>
  <c r="C8" i="17"/>
  <c r="D8" i="17"/>
  <c r="E8" i="17"/>
  <c r="F8" i="17"/>
  <c r="G8" i="17"/>
  <c r="C32" i="14"/>
  <c r="M156" i="3"/>
  <c r="C12" i="17" s="1"/>
  <c r="M157" i="3"/>
  <c r="C13" i="17" s="1"/>
  <c r="M161" i="3"/>
  <c r="N156" i="3"/>
  <c r="D12" i="17" s="1"/>
  <c r="N157" i="3"/>
  <c r="D13" i="17" s="1"/>
  <c r="N161" i="3"/>
  <c r="O156" i="3"/>
  <c r="E12" i="17" s="1"/>
  <c r="O157" i="3"/>
  <c r="E13" i="17" s="1"/>
  <c r="O161" i="3"/>
  <c r="P156" i="3"/>
  <c r="F12" i="17" s="1"/>
  <c r="P157" i="3"/>
  <c r="F13" i="17" s="1"/>
  <c r="P161" i="3"/>
  <c r="C24" i="16"/>
  <c r="F22" i="16" s="1"/>
  <c r="F12" i="1"/>
  <c r="AC126" i="3"/>
  <c r="I30" i="17" s="1"/>
  <c r="I34" i="17" s="1"/>
  <c r="I10" i="17"/>
  <c r="I9" i="17"/>
  <c r="I53" i="17"/>
  <c r="I51" i="17"/>
  <c r="F30" i="17"/>
  <c r="F34" i="17" s="1"/>
  <c r="K84" i="19"/>
  <c r="E30" i="17"/>
  <c r="E34" i="17" s="1"/>
  <c r="J84" i="19"/>
  <c r="D30" i="17"/>
  <c r="D34" i="17" s="1"/>
  <c r="I84" i="19"/>
  <c r="C30" i="17"/>
  <c r="C34" i="17" s="1"/>
  <c r="H84" i="19"/>
  <c r="G30" i="17"/>
  <c r="G34" i="17" s="1"/>
  <c r="L84" i="19"/>
  <c r="I35" i="17"/>
  <c r="AC167" i="3"/>
  <c r="G35" i="17"/>
  <c r="Q167" i="3"/>
  <c r="I11" i="6"/>
  <c r="I12" i="6"/>
  <c r="I13" i="6"/>
  <c r="I15" i="6"/>
  <c r="I16" i="6"/>
  <c r="I17" i="6"/>
  <c r="I13" i="7"/>
  <c r="I28" i="7" s="1"/>
  <c r="I42" i="7"/>
  <c r="I36" i="7"/>
  <c r="I45" i="7"/>
  <c r="I21" i="8" s="1"/>
  <c r="J6" i="12"/>
  <c r="J13" i="12" s="1"/>
  <c r="J6" i="8"/>
  <c r="J7" i="7"/>
  <c r="J6" i="6"/>
  <c r="I11" i="17"/>
  <c r="C10" i="16"/>
  <c r="F38" i="16"/>
  <c r="I58" i="17"/>
  <c r="F39" i="16"/>
  <c r="I59" i="17"/>
  <c r="F40" i="16"/>
  <c r="I60" i="17"/>
  <c r="F46" i="16"/>
  <c r="I66" i="17"/>
  <c r="C8" i="16"/>
  <c r="F6" i="1"/>
  <c r="C9" i="16"/>
  <c r="F7" i="1"/>
  <c r="C40" i="16"/>
  <c r="F11" i="1"/>
  <c r="F47" i="16"/>
  <c r="F16" i="1"/>
  <c r="F33" i="16"/>
  <c r="F20" i="1"/>
  <c r="F31" i="16"/>
  <c r="F19" i="1"/>
  <c r="F24" i="16"/>
  <c r="F14" i="1"/>
  <c r="C38" i="16"/>
  <c r="F9" i="1"/>
  <c r="C26" i="14"/>
  <c r="Q161" i="3"/>
  <c r="D27" i="8"/>
  <c r="D28" i="8" s="1"/>
  <c r="G27" i="8"/>
  <c r="G28" i="8" s="1"/>
  <c r="G7" i="14" s="1"/>
  <c r="G7" i="12"/>
  <c r="D7" i="12"/>
  <c r="C7" i="12"/>
  <c r="C27" i="8"/>
  <c r="C28" i="8" s="1"/>
  <c r="F7" i="12"/>
  <c r="F27" i="8"/>
  <c r="F28" i="8" s="1"/>
  <c r="E7" i="12"/>
  <c r="E27" i="8"/>
  <c r="E28" i="8" s="1"/>
  <c r="H8" i="7" l="1"/>
  <c r="H7" i="8"/>
  <c r="H8" i="8" s="1"/>
  <c r="H33" i="8" s="1"/>
  <c r="H15" i="7"/>
  <c r="H30" i="7" s="1"/>
  <c r="H14" i="7"/>
  <c r="H29" i="7" s="1"/>
  <c r="AC155" i="3"/>
  <c r="I7" i="17"/>
  <c r="AC162" i="3"/>
  <c r="AC165" i="3"/>
  <c r="AC166" i="3"/>
  <c r="AC177" i="3"/>
  <c r="F3" i="1"/>
  <c r="C6" i="16"/>
  <c r="AC160" i="3"/>
  <c r="I63" i="17"/>
  <c r="C46" i="16"/>
  <c r="F17" i="1"/>
  <c r="C17" i="10"/>
  <c r="C16" i="10"/>
  <c r="G6" i="11"/>
  <c r="G5" i="12"/>
  <c r="H9" i="8"/>
  <c r="H30" i="6"/>
  <c r="H7" i="14"/>
  <c r="H5" i="5"/>
  <c r="G17" i="5"/>
  <c r="G5" i="6"/>
  <c r="G5" i="8"/>
  <c r="G6" i="7"/>
  <c r="G6" i="14"/>
  <c r="F19" i="8"/>
  <c r="F14" i="8"/>
  <c r="F26" i="8"/>
  <c r="F32" i="8"/>
  <c r="F27" i="7"/>
  <c r="F34" i="7"/>
  <c r="F41" i="7"/>
  <c r="F12" i="7"/>
  <c r="F19" i="7"/>
  <c r="F22" i="6"/>
  <c r="F10" i="6"/>
  <c r="E23" i="12"/>
  <c r="E18" i="12"/>
  <c r="E12" i="12"/>
  <c r="E28" i="12"/>
  <c r="F14" i="12"/>
  <c r="C26" i="16"/>
  <c r="F23" i="16" s="1"/>
  <c r="F13" i="1"/>
  <c r="G14" i="12"/>
  <c r="E14" i="12"/>
  <c r="C34" i="12"/>
  <c r="D14" i="12"/>
  <c r="I44" i="7"/>
  <c r="I20" i="8"/>
  <c r="J13" i="7"/>
  <c r="J28" i="7" s="1"/>
  <c r="J36" i="7"/>
  <c r="J42" i="7"/>
  <c r="J45" i="7"/>
  <c r="J21" i="8" s="1"/>
  <c r="J16" i="6"/>
  <c r="J17" i="6"/>
  <c r="J15" i="6"/>
  <c r="J11" i="6"/>
  <c r="J12" i="6"/>
  <c r="J13" i="6"/>
  <c r="I14" i="6"/>
  <c r="I18" i="6"/>
  <c r="K6" i="12"/>
  <c r="K13" i="12" s="1"/>
  <c r="K7" i="7"/>
  <c r="K6" i="6"/>
  <c r="K6" i="8"/>
  <c r="D7" i="11"/>
  <c r="D8" i="12"/>
  <c r="G7" i="11"/>
  <c r="G8" i="12"/>
  <c r="G34" i="12"/>
  <c r="D7" i="14"/>
  <c r="D34" i="12"/>
  <c r="C7" i="11"/>
  <c r="C8" i="12"/>
  <c r="C7" i="14"/>
  <c r="F34" i="12"/>
  <c r="F7" i="11"/>
  <c r="F8" i="12"/>
  <c r="F7" i="14"/>
  <c r="E34" i="12"/>
  <c r="E7" i="11"/>
  <c r="E8" i="12"/>
  <c r="E7" i="14"/>
  <c r="H26" i="5"/>
  <c r="H35" i="7" l="1"/>
  <c r="H22" i="8" s="1"/>
  <c r="H10" i="8"/>
  <c r="C20" i="10"/>
  <c r="C15" i="11" s="1"/>
  <c r="I17" i="1" s="1"/>
  <c r="AC156" i="3"/>
  <c r="C7" i="16"/>
  <c r="AC157" i="3"/>
  <c r="AC161" i="3"/>
  <c r="F4" i="1"/>
  <c r="I8" i="17"/>
  <c r="I52" i="17"/>
  <c r="C39" i="16"/>
  <c r="F8" i="1"/>
  <c r="I54" i="17"/>
  <c r="F10" i="1"/>
  <c r="C41" i="16"/>
  <c r="C42" i="16"/>
  <c r="I55" i="17"/>
  <c r="I68" i="17"/>
  <c r="F48" i="16"/>
  <c r="F15" i="1"/>
  <c r="H5" i="12"/>
  <c r="H6" i="11"/>
  <c r="I7" i="14"/>
  <c r="J18" i="6"/>
  <c r="H17" i="5"/>
  <c r="I5" i="5"/>
  <c r="H6" i="14"/>
  <c r="G10" i="6"/>
  <c r="G22" i="6"/>
  <c r="H5" i="6"/>
  <c r="G19" i="8"/>
  <c r="G14" i="8"/>
  <c r="G26" i="8"/>
  <c r="H5" i="8"/>
  <c r="G32" i="8"/>
  <c r="G19" i="7"/>
  <c r="G34" i="7"/>
  <c r="G41" i="7"/>
  <c r="G12" i="7"/>
  <c r="G27" i="7"/>
  <c r="H6" i="7"/>
  <c r="F12" i="12"/>
  <c r="F28" i="12"/>
  <c r="F23" i="12"/>
  <c r="F18" i="12"/>
  <c r="F15" i="12"/>
  <c r="E15" i="12"/>
  <c r="G15" i="12"/>
  <c r="C35" i="12"/>
  <c r="D15" i="12"/>
  <c r="J44" i="7"/>
  <c r="J20" i="8"/>
  <c r="I7" i="8"/>
  <c r="I8" i="8" s="1"/>
  <c r="I33" i="8" s="1"/>
  <c r="I8" i="7"/>
  <c r="I26" i="6"/>
  <c r="I9" i="8"/>
  <c r="I30" i="6"/>
  <c r="K42" i="7"/>
  <c r="K13" i="7"/>
  <c r="K28" i="7" s="1"/>
  <c r="K36" i="7"/>
  <c r="K45" i="7"/>
  <c r="K21" i="8" s="1"/>
  <c r="K16" i="6"/>
  <c r="K11" i="6"/>
  <c r="K12" i="6"/>
  <c r="K13" i="6"/>
  <c r="K17" i="6"/>
  <c r="K15" i="6"/>
  <c r="J14" i="6"/>
  <c r="L6" i="8"/>
  <c r="L7" i="7"/>
  <c r="L6" i="12"/>
  <c r="C74" i="12" s="1"/>
  <c r="C77" i="12" s="1"/>
  <c r="L6" i="6"/>
  <c r="D35" i="12"/>
  <c r="G35" i="12"/>
  <c r="F35" i="12"/>
  <c r="E35" i="12"/>
  <c r="H7" i="12" l="1"/>
  <c r="H14" i="12" s="1"/>
  <c r="H27" i="8"/>
  <c r="H28" i="8" s="1"/>
  <c r="H34" i="8"/>
  <c r="C21" i="14"/>
  <c r="C75" i="12"/>
  <c r="C78" i="12" s="1"/>
  <c r="C41" i="12"/>
  <c r="C62" i="12"/>
  <c r="C11" i="16"/>
  <c r="I12" i="17"/>
  <c r="C12" i="16"/>
  <c r="I13" i="17"/>
  <c r="I6" i="11"/>
  <c r="I5" i="12"/>
  <c r="K18" i="6"/>
  <c r="J30" i="6"/>
  <c r="J9" i="8"/>
  <c r="J7" i="14"/>
  <c r="I15" i="7"/>
  <c r="I30" i="7" s="1"/>
  <c r="I14" i="7"/>
  <c r="I29" i="7" s="1"/>
  <c r="I17" i="5"/>
  <c r="J5" i="5"/>
  <c r="I6" i="14"/>
  <c r="G28" i="12"/>
  <c r="G12" i="12"/>
  <c r="G23" i="12"/>
  <c r="G18" i="12"/>
  <c r="H22" i="6"/>
  <c r="H10" i="6"/>
  <c r="I5" i="6"/>
  <c r="H19" i="8"/>
  <c r="H14" i="8"/>
  <c r="I5" i="8"/>
  <c r="H26" i="8"/>
  <c r="H32" i="8"/>
  <c r="H12" i="7"/>
  <c r="H19" i="7"/>
  <c r="I6" i="7"/>
  <c r="H27" i="7"/>
  <c r="H34" i="7"/>
  <c r="H41" i="7"/>
  <c r="K14" i="6"/>
  <c r="K44" i="7"/>
  <c r="K20" i="8"/>
  <c r="J7" i="8"/>
  <c r="J8" i="8" s="1"/>
  <c r="J26" i="6"/>
  <c r="J8" i="7"/>
  <c r="L36" i="7"/>
  <c r="L42" i="7"/>
  <c r="L13" i="7"/>
  <c r="L28" i="7" s="1"/>
  <c r="L45" i="7"/>
  <c r="L21" i="8" s="1"/>
  <c r="L13" i="12"/>
  <c r="C53" i="12"/>
  <c r="C57" i="12" s="1"/>
  <c r="C58" i="12" s="1"/>
  <c r="C7" i="13" s="1"/>
  <c r="I5" i="1" s="1"/>
  <c r="L11" i="6"/>
  <c r="L12" i="6"/>
  <c r="L13" i="6"/>
  <c r="L15" i="6"/>
  <c r="L16" i="6"/>
  <c r="L17" i="6"/>
  <c r="I10" i="8"/>
  <c r="I34" i="8" s="1"/>
  <c r="I26" i="5"/>
  <c r="J26" i="5"/>
  <c r="H7" i="11" l="1"/>
  <c r="H10" i="11" s="1"/>
  <c r="H9" i="12" s="1"/>
  <c r="H8" i="12"/>
  <c r="H15" i="12" s="1"/>
  <c r="H10" i="14"/>
  <c r="I10" i="14"/>
  <c r="J5" i="12"/>
  <c r="J6" i="11"/>
  <c r="I35" i="7"/>
  <c r="I22" i="8" s="1"/>
  <c r="K9" i="8"/>
  <c r="K30" i="6"/>
  <c r="J10" i="14"/>
  <c r="K7" i="14"/>
  <c r="K8" i="7"/>
  <c r="K7" i="8"/>
  <c r="K8" i="8" s="1"/>
  <c r="K26" i="6"/>
  <c r="J10" i="8"/>
  <c r="J33" i="8"/>
  <c r="J15" i="7"/>
  <c r="J30" i="7" s="1"/>
  <c r="J14" i="7"/>
  <c r="J29" i="7" s="1"/>
  <c r="H23" i="12"/>
  <c r="H28" i="12"/>
  <c r="H12" i="12"/>
  <c r="H18" i="12"/>
  <c r="K5" i="5"/>
  <c r="J17" i="5"/>
  <c r="J6" i="14"/>
  <c r="I22" i="6"/>
  <c r="I10" i="6"/>
  <c r="J5" i="6"/>
  <c r="I14" i="8"/>
  <c r="J5" i="8"/>
  <c r="I19" i="8"/>
  <c r="I26" i="8"/>
  <c r="I32" i="8"/>
  <c r="I12" i="7"/>
  <c r="I34" i="7"/>
  <c r="I41" i="7"/>
  <c r="I19" i="7"/>
  <c r="I27" i="7"/>
  <c r="J6" i="7"/>
  <c r="L14" i="6"/>
  <c r="L44" i="7"/>
  <c r="L20" i="8"/>
  <c r="I7" i="12"/>
  <c r="I27" i="8"/>
  <c r="L18" i="6"/>
  <c r="K5" i="12" l="1"/>
  <c r="K6" i="11"/>
  <c r="K15" i="7"/>
  <c r="K30" i="7" s="1"/>
  <c r="K14" i="7"/>
  <c r="K29" i="7" s="1"/>
  <c r="I28" i="8"/>
  <c r="K10" i="14"/>
  <c r="L7" i="14"/>
  <c r="J35" i="7"/>
  <c r="J22" i="8" s="1"/>
  <c r="K33" i="8"/>
  <c r="K10" i="8"/>
  <c r="J34" i="8"/>
  <c r="J27" i="8"/>
  <c r="J7" i="12"/>
  <c r="J14" i="12" s="1"/>
  <c r="L7" i="8"/>
  <c r="L8" i="8" s="1"/>
  <c r="L33" i="8" s="1"/>
  <c r="L8" i="7"/>
  <c r="I12" i="12"/>
  <c r="I23" i="12"/>
  <c r="I28" i="12"/>
  <c r="I18" i="12"/>
  <c r="L5" i="5"/>
  <c r="K17" i="5"/>
  <c r="K6" i="14"/>
  <c r="J10" i="6"/>
  <c r="J22" i="6"/>
  <c r="K5" i="6"/>
  <c r="K5" i="8"/>
  <c r="J14" i="8"/>
  <c r="J19" i="8"/>
  <c r="J26" i="8"/>
  <c r="J32" i="8"/>
  <c r="K6" i="7"/>
  <c r="J27" i="7"/>
  <c r="J19" i="7"/>
  <c r="J12" i="7"/>
  <c r="J41" i="7"/>
  <c r="J34" i="7"/>
  <c r="I14" i="12"/>
  <c r="L26" i="6"/>
  <c r="L9" i="8"/>
  <c r="L30" i="6"/>
  <c r="K26" i="5"/>
  <c r="L5" i="12" l="1"/>
  <c r="L6" i="11"/>
  <c r="I7" i="11"/>
  <c r="I10" i="11" s="1"/>
  <c r="I9" i="12" s="1"/>
  <c r="I8" i="12"/>
  <c r="I15" i="12" s="1"/>
  <c r="L10" i="14"/>
  <c r="C29" i="14" s="1"/>
  <c r="L8" i="14"/>
  <c r="L11" i="14" s="1"/>
  <c r="C30" i="14" s="1"/>
  <c r="J28" i="8"/>
  <c r="K35" i="7"/>
  <c r="K22" i="8" s="1"/>
  <c r="L10" i="8"/>
  <c r="K34" i="8"/>
  <c r="K7" i="12"/>
  <c r="K14" i="12" s="1"/>
  <c r="K27" i="8"/>
  <c r="L14" i="7"/>
  <c r="L29" i="7" s="1"/>
  <c r="L15" i="7"/>
  <c r="L30" i="7" s="1"/>
  <c r="J12" i="12"/>
  <c r="J28" i="12"/>
  <c r="J23" i="12"/>
  <c r="J18" i="12"/>
  <c r="L17" i="5"/>
  <c r="L6" i="14"/>
  <c r="K10" i="6"/>
  <c r="K22" i="6"/>
  <c r="L5" i="6"/>
  <c r="K14" i="8"/>
  <c r="K19" i="8"/>
  <c r="L5" i="8"/>
  <c r="K26" i="8"/>
  <c r="K32" i="8"/>
  <c r="L6" i="7"/>
  <c r="K41" i="7"/>
  <c r="K34" i="7"/>
  <c r="K27" i="7"/>
  <c r="K19" i="7"/>
  <c r="K12" i="7"/>
  <c r="L26" i="5"/>
  <c r="J8" i="12" l="1"/>
  <c r="J15" i="12" s="1"/>
  <c r="J7" i="11"/>
  <c r="J10" i="11" s="1"/>
  <c r="J9" i="12" s="1"/>
  <c r="C31" i="14"/>
  <c r="C34" i="14" s="1"/>
  <c r="C36" i="14" s="1"/>
  <c r="C16" i="14" s="1"/>
  <c r="K28" i="8"/>
  <c r="L34" i="8"/>
  <c r="L27" i="8"/>
  <c r="L7" i="12"/>
  <c r="L35" i="7"/>
  <c r="L22" i="8" s="1"/>
  <c r="K23" i="12"/>
  <c r="K18" i="12"/>
  <c r="K12" i="12"/>
  <c r="K28" i="12"/>
  <c r="L22" i="6"/>
  <c r="L10" i="6"/>
  <c r="L26" i="8"/>
  <c r="L19" i="8"/>
  <c r="L14" i="8"/>
  <c r="L32" i="8"/>
  <c r="L34" i="7"/>
  <c r="L41" i="7"/>
  <c r="L19" i="7"/>
  <c r="L27" i="7"/>
  <c r="L12" i="7"/>
  <c r="AC67" i="3"/>
  <c r="L28" i="8" l="1"/>
  <c r="K7" i="11"/>
  <c r="K10" i="11" s="1"/>
  <c r="K9" i="12" s="1"/>
  <c r="C79" i="12" s="1"/>
  <c r="C82" i="12" s="1"/>
  <c r="C84" i="12" s="1"/>
  <c r="C9" i="13" s="1"/>
  <c r="I7" i="1" s="1"/>
  <c r="K8" i="12"/>
  <c r="K15" i="12" s="1"/>
  <c r="L14" i="12"/>
  <c r="C40" i="12"/>
  <c r="C43" i="12" s="1"/>
  <c r="C44" i="12" s="1"/>
  <c r="L28" i="12"/>
  <c r="L23" i="12"/>
  <c r="L18" i="12"/>
  <c r="L12" i="12"/>
  <c r="C45" i="12" l="1"/>
  <c r="C48" i="12" s="1"/>
  <c r="C50" i="12" s="1"/>
  <c r="C6" i="13" s="1"/>
  <c r="I4" i="1" s="1"/>
  <c r="L8" i="12"/>
  <c r="L7" i="11"/>
  <c r="L15" i="12" l="1"/>
  <c r="C61" i="12"/>
  <c r="C64" i="12" s="1"/>
  <c r="C65" i="12" s="1"/>
  <c r="C66" i="12" s="1"/>
  <c r="C69" i="12" s="1"/>
  <c r="C71" i="12" s="1"/>
  <c r="C8" i="13" s="1"/>
  <c r="I6" i="1" s="1"/>
  <c r="L8" i="11"/>
  <c r="L11" i="11" s="1"/>
  <c r="C20" i="11" s="1"/>
  <c r="L10" i="11"/>
  <c r="L9" i="12" l="1"/>
  <c r="C19" i="11"/>
  <c r="C21" i="11" s="1"/>
  <c r="C24" i="11" s="1"/>
  <c r="C26" i="11" s="1"/>
  <c r="C5" i="13" s="1"/>
  <c r="I3" i="1" l="1"/>
  <c r="C10" i="13"/>
  <c r="C12" i="13" l="1"/>
  <c r="I9" i="1" s="1"/>
  <c r="I8" i="1"/>
  <c r="X6" i="6" l="1"/>
  <c r="AE14" i="5"/>
  <c r="AB6" i="6" s="1"/>
  <c r="AA26" i="5"/>
  <c r="X11" i="6" l="1"/>
  <c r="X12" i="6"/>
  <c r="AB12" i="6" s="1"/>
  <c r="X13" i="6"/>
  <c r="AB13" i="6" s="1"/>
  <c r="X15" i="6"/>
  <c r="X16" i="6"/>
  <c r="AB16" i="6" s="1"/>
  <c r="X17" i="6"/>
  <c r="AB17" i="6" s="1"/>
  <c r="AB11" i="6" l="1"/>
  <c r="AB14" i="6" s="1"/>
  <c r="X14" i="6"/>
  <c r="X26" i="6" s="1"/>
  <c r="X18" i="6"/>
  <c r="AB15" i="6"/>
  <c r="AE7" i="5"/>
  <c r="AE30" i="5" s="1"/>
  <c r="AA19" i="5"/>
  <c r="AE6" i="5"/>
  <c r="AA18" i="5"/>
  <c r="AB18" i="6" l="1"/>
  <c r="X3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s>
  <commentList>
    <comment ref="B85"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7"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<sst xmlns="http://schemas.openxmlformats.org/spreadsheetml/2006/main" count="816" uniqueCount="441">
  <si>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</si>
  <si>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</si>
  <si>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</si>
  <si>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</si>
  <si>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</si>
  <si>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</si>
  <si>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</si>
  <si>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</si>
  <si>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</si>
  <si>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</si>
  <si>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</si>
  <si>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</si>
  <si>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</si>
  <si>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</si>
  <si>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Financials -&gt;</t>
  </si>
  <si>
    <t>Date</t>
  </si>
  <si>
    <t>FY</t>
  </si>
  <si>
    <t>Automatic Data</t>
  </si>
  <si>
    <t>Income statement</t>
  </si>
  <si>
    <t>Revenue</t>
  </si>
  <si>
    <t>COGS</t>
  </si>
  <si>
    <t>Gross Profit</t>
  </si>
  <si>
    <t>R&amp;D</t>
  </si>
  <si>
    <t>Sales and marketing</t>
  </si>
  <si>
    <t>General and administrative</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</si>
  <si>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</si>
  <si>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</si>
  <si>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</si>
  <si>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</si>
  <si>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</si>
  <si>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</si>
  <si>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</si>
  <si>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</si>
  <si>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</si>
  <si>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</si>
  <si>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</si>
  <si>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</si>
  <si>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</si>
  <si>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</si>
  <si>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</si>
  <si>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</si>
  <si>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</si>
  <si>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</si>
  <si>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</si>
  <si>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</si>
  <si>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</si>
  <si>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</si>
  <si>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</si>
  <si>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</si>
  <si>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</si>
  <si>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</si>
  <si>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</si>
  <si>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</si>
  <si>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</si>
  <si>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</si>
  <si>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</si>
  <si>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</si>
  <si>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</si>
  <si>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</si>
  <si>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</si>
  <si>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</si>
  <si>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</si>
  <si>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</si>
  <si>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</si>
  <si>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</si>
  <si>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</si>
  <si>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</si>
  <si>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</si>
  <si>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</si>
  <si>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</si>
  <si>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</si>
  <si>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</si>
  <si>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</si>
  <si>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</si>
  <si>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</si>
  <si>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</si>
  <si>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</si>
  <si>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</si>
  <si>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</si>
  <si>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</si>
  <si>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</si>
  <si>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</si>
  <si>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</si>
  <si>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</si>
  <si>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</si>
  <si>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Q4 2025</t>
  </si>
  <si>
    <t>Q3 2025</t>
  </si>
  <si>
    <t>Q2 2026</t>
  </si>
  <si>
    <t>Q1 2026</t>
  </si>
  <si>
    <t>Unit data and other info</t>
  </si>
  <si>
    <t>Has operating lease</t>
  </si>
  <si>
    <t>Yes</t>
  </si>
  <si>
    <t>Has finance lease</t>
  </si>
  <si>
    <t>No</t>
  </si>
  <si>
    <t>Has debt</t>
  </si>
  <si>
    <t>Change in accounts receivable</t>
  </si>
  <si>
    <t>Change in accounts payable</t>
  </si>
  <si>
    <t>Change in other operating NWC</t>
  </si>
  <si>
    <t>Capitalized software</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</si>
  <si>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</si>
  <si>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</si>
  <si>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</si>
  <si>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</si>
  <si>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</si>
  <si>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</si>
  <si>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</si>
  <si>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</si>
  <si>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</si>
  <si>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</si>
  <si>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</si>
  <si>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</si>
  <si>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</si>
  <si>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</si>
  <si>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</si>
  <si>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</si>
  <si>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</si>
  <si>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</si>
  <si>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</si>
  <si>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</si>
  <si>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</si>
  <si>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</si>
  <si>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</si>
  <si>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</si>
  <si>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</si>
  <si>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</si>
  <si>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</si>
  <si>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</si>
  <si>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</si>
  <si>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</si>
  <si>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</si>
  <si>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</si>
  <si>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</si>
  <si>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</si>
  <si>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</si>
  <si>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</si>
  <si>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</si>
  <si>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</si>
  <si>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</si>
  <si>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</si>
  <si>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</si>
  <si>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</si>
  <si>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</si>
  <si>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</si>
  <si>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</si>
  <si>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</si>
  <si>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</si>
  <si>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</si>
  <si>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</si>
  <si>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</si>
  <si>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</si>
  <si>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</si>
  <si>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</si>
  <si>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</si>
  <si>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</si>
  <si>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</si>
  <si>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</si>
  <si>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</si>
  <si>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</si>
  <si>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</si>
  <si>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</si>
  <si>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</si>
  <si>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</si>
  <si>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</si>
  <si>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</si>
  <si>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</si>
  <si>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</si>
  <si>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</si>
  <si>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</si>
  <si>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</si>
  <si>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</si>
  <si>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</si>
  <si>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</si>
  <si>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</si>
  <si>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</si>
  <si>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</si>
  <si>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</si>
  <si>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</si>
  <si>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</si>
  <si>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</si>
  <si>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</si>
  <si>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</si>
  <si>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</si>
  <si>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</si>
  <si>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</si>
  <si>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</si>
  <si>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</si>
  <si>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</si>
  <si>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</si>
  <si>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</si>
  <si>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</si>
  <si>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</si>
  <si>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</si>
  <si>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</si>
  <si>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</si>
  <si>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</si>
  <si>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</si>
  <si>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</si>
  <si>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</si>
  <si>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</si>
  <si>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</si>
  <si>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</si>
  <si>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</si>
  <si>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</si>
  <si>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</si>
  <si>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</si>
  <si>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</si>
  <si>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</si>
  <si>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</si>
  <si>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</si>
  <si>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</si>
  <si>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</si>
  <si>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</si>
  <si>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</si>
  <si>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</si>
  <si>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</si>
  <si>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</si>
  <si>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</si>
  <si>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</si>
  <si>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</si>
  <si>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</si>
  <si>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</si>
  <si>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</si>
  <si>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</si>
  <si>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</si>
  <si>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</si>
  <si>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</si>
  <si>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</si>
  <si>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</si>
  <si>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</si>
  <si>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</si>
  <si>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</si>
  <si>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</si>
  <si>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</si>
  <si>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</si>
  <si>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</si>
  <si>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</si>
  <si>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</si>
  <si>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</si>
  <si>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</si>
  <si>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</si>
  <si>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</si>
  <si>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</si>
  <si>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</si>
  <si>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</si>
  <si>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</si>
  <si>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</si>
  <si>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</si>
  <si>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</si>
  <si>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</si>
  <si>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</si>
  <si>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</si>
  <si>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</si>
  <si>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</si>
  <si>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</si>
  <si>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</si>
  <si>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</si>
  <si>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</si>
  <si>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</si>
  <si>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</si>
  <si>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</si>
  <si>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</si>
  <si>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</si>
  <si>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</si>
  <si>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</si>
  <si>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</si>
  <si>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</si>
  <si>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</si>
  <si>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</si>
  <si>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</si>
  <si>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</si>
  <si>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</si>
  <si>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</si>
  <si>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</si>
  <si>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</si>
  <si>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</si>
  <si>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</si>
  <si>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</si>
  <si>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</si>
  <si>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</si>
  <si>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</si>
  <si>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</si>
  <si>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</si>
  <si>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</si>
  <si>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</si>
  <si>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</si>
  <si>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</si>
  <si>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</si>
  <si>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</si>
  <si>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</si>
  <si>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</si>
  <si>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</si>
  <si>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</si>
  <si>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</si>
  <si>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</si>
  <si>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</si>
  <si>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</si>
  <si>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</si>
  <si>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</si>
  <si>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</si>
  <si>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</si>
  <si>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</si>
  <si>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</si>
  <si>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</si>
  <si>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</si>
  <si>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</si>
  <si>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</si>
  <si>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</si>
  <si>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</si>
  <si>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</si>
  <si>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</si>
  <si>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</si>
  <si>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</si>
  <si>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</si>
  <si>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</si>
  <si>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</si>
  <si>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</si>
  <si>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</si>
  <si>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</si>
  <si>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</si>
  <si>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PV of FCFF</t>
  </si>
  <si>
    <t>EV/FCFF</t>
  </si>
  <si>
    <t>EV/FCFF valuation</t>
  </si>
  <si>
    <t>EV/FCFF price</t>
  </si>
  <si>
    <t>FCFF Growth</t>
  </si>
  <si>
    <t>Valuation</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</si>
  <si>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</si>
  <si>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</si>
  <si>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</si>
  <si>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</si>
  <si>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</si>
  <si>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</si>
  <si>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</si>
  <si>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</si>
  <si>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</si>
  <si>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</si>
  <si>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</si>
  <si>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</si>
  <si>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10 Year Bond Yield</t>
  </si>
  <si>
    <t>Percentage</t>
  </si>
  <si>
    <t>Last market price for period adjusted</t>
  </si>
  <si>
    <t>FCFF/Sales (FCFF Margin)</t>
  </si>
  <si>
    <t>FCFE/Sales (FCFE Margin)</t>
  </si>
  <si>
    <t>Manual WACC</t>
  </si>
  <si>
    <t>Discount rate</t>
  </si>
  <si>
    <t>Applied EV/FCFF ratio</t>
  </si>
  <si>
    <t>Common size growth rates</t>
  </si>
  <si>
    <t>Price 5y</t>
  </si>
  <si>
    <t>Revenue 5y</t>
  </si>
  <si>
    <t>EPS 5y</t>
  </si>
  <si>
    <t>Marketable securities and investments</t>
  </si>
  <si>
    <t>Debt/EBIT</t>
  </si>
  <si>
    <t>Net Debt/EBIT</t>
  </si>
  <si>
    <t>Sales/Invested Capital</t>
  </si>
  <si>
    <t>Sales/Assets</t>
  </si>
  <si>
    <t>M</t>
  </si>
  <si>
    <t>29.11.2024</t>
  </si>
  <si>
    <t>EPS Lower</t>
  </si>
  <si>
    <t>EPS Upper</t>
  </si>
  <si>
    <t>Actual EPS</t>
  </si>
  <si>
    <t>Subscription</t>
  </si>
  <si>
    <t>Subscription COGS</t>
  </si>
  <si>
    <t>FY 2024</t>
  </si>
  <si>
    <t>-</t>
  </si>
  <si>
    <t>Manual Cost of Equity</t>
  </si>
  <si>
    <t>DDM price</t>
  </si>
  <si>
    <t>Dividend discount model</t>
  </si>
  <si>
    <t>Dividend per share</t>
  </si>
  <si>
    <t>Ratios</t>
  </si>
  <si>
    <t>Payout</t>
  </si>
  <si>
    <t>DDM valuation</t>
  </si>
  <si>
    <t>Latest dividend</t>
  </si>
  <si>
    <t>Year 1 growth rate</t>
  </si>
  <si>
    <t>Year 1 dividend</t>
  </si>
  <si>
    <t>Perpetual dividend growth</t>
  </si>
  <si>
    <t>Terminal EV</t>
  </si>
  <si>
    <t>PV of Terminal EV</t>
  </si>
  <si>
    <t>Total EV</t>
  </si>
  <si>
    <t>Year 5 FCFF</t>
  </si>
  <si>
    <t>EV/Sales</t>
  </si>
  <si>
    <t>EV/Sales valuation</t>
  </si>
  <si>
    <t>Year 5 Sales</t>
  </si>
  <si>
    <t>Applied EV/Sales ratio</t>
  </si>
  <si>
    <t>EV/Sales price</t>
  </si>
  <si>
    <t>Reverse DCF rate</t>
  </si>
  <si>
    <t>Q3 2026</t>
  </si>
  <si>
    <t>Ernst &amp; Young LLP</t>
  </si>
  <si>
    <t>Empower everyone, everywhere, to design and make anything</t>
  </si>
  <si>
    <t>31.01.2026</t>
  </si>
  <si>
    <t>31.01.2025</t>
  </si>
  <si>
    <t>31.01.2024</t>
  </si>
  <si>
    <t>Amortization purchased intangibles</t>
  </si>
  <si>
    <t>31.01.2023</t>
  </si>
  <si>
    <t>31.01.2022</t>
  </si>
  <si>
    <t>Q2 2027</t>
  </si>
  <si>
    <t>Q1 2027</t>
  </si>
  <si>
    <t>Q4 2026</t>
  </si>
  <si>
    <t>30.04.2026</t>
  </si>
  <si>
    <t>30.04.2025</t>
  </si>
  <si>
    <t>31.10.2025</t>
  </si>
  <si>
    <t>31.10.2024</t>
  </si>
  <si>
    <t>31.07.2026</t>
  </si>
  <si>
    <t>31.07.2025</t>
  </si>
  <si>
    <t>Business units:</t>
  </si>
  <si>
    <t>AECO has the Architecure, Engineering and Construction Collection, AutoCAD Civil 3D, Building Connected and other related products</t>
  </si>
  <si>
    <t>AutoCAD and AutoCAD LT</t>
  </si>
  <si>
    <t>Manufacturing Fusion, Inventor, Vault and other related software</t>
  </si>
  <si>
    <t>Media and Entertainment contains Maya, 3ds Max plus other related programs</t>
  </si>
  <si>
    <t>Competitors:</t>
  </si>
  <si>
    <t>Adobe</t>
  </si>
  <si>
    <t>Bentley Systems</t>
  </si>
  <si>
    <t>Dassault Systemes</t>
  </si>
  <si>
    <t>MSC Software Corporation</t>
  </si>
  <si>
    <t>Oracle</t>
  </si>
  <si>
    <t>PTC</t>
  </si>
  <si>
    <t>Siemens</t>
  </si>
  <si>
    <t>Patents:</t>
  </si>
  <si>
    <t>Other</t>
  </si>
  <si>
    <t>Other COGS</t>
  </si>
  <si>
    <t>Amortization of developed tech COGS</t>
  </si>
  <si>
    <t>AECO</t>
  </si>
  <si>
    <t>Manufacturing</t>
  </si>
  <si>
    <t>Media and Entertainment</t>
  </si>
  <si>
    <t>Metrics</t>
  </si>
  <si>
    <t>AECO Growth Rate</t>
  </si>
  <si>
    <t>AutoCAD Growth Rate</t>
  </si>
  <si>
    <t>Manufacturing Growth Rate</t>
  </si>
  <si>
    <t>Media Growth Rate</t>
  </si>
  <si>
    <t>Other Growth Rate</t>
  </si>
  <si>
    <t>Other % of Revenue</t>
  </si>
  <si>
    <t>Revenue - Other</t>
  </si>
  <si>
    <t>21.08.2026</t>
  </si>
  <si>
    <t>AECO will become AEC with O moving to the Other category</t>
  </si>
  <si>
    <t>M&amp;E will be placed into the Other category</t>
  </si>
  <si>
    <t>Discount rates used</t>
  </si>
  <si>
    <t>Cost of Equity</t>
  </si>
  <si>
    <t>Links</t>
  </si>
  <si>
    <t>Financials -&gt;'!B13</t>
  </si>
  <si>
    <t>Analysis -&gt;'!B13</t>
  </si>
  <si>
    <t>Forecast -&gt;'!B13</t>
  </si>
  <si>
    <t>Valuation -&gt;'!B13</t>
  </si>
  <si>
    <t>Overview'!B3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</si>
</sst>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s>
  <fonts count="26"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5" fillId="0" borderId="0" applyNumberFormat="0" applyFill="0" applyBorder="0" applyAlignment="0" applyProtection="0"/>
  </cellStyleXfs>
  <cellXfs count="257">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38" fontId="22" fillId="12" borderId="0" xfId="0" applyNumberFormat="1" applyFont="1" applyFill="1"/>
    <xf numFmtId="38" fontId="22" fillId="12" borderId="14" xfId="0" applyNumberFormat="1" applyFont="1" applyFill="1" applyBorder="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3"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4" fillId="12" borderId="0" xfId="0" applyNumberFormat="1" applyFont="1" applyFill="1"/>
    <xf numFmtId="168" fontId="24" fillId="12" borderId="14" xfId="0" applyNumberFormat="1" applyFont="1" applyFill="1" applyBorder="1"/>
    <xf numFmtId="168" fontId="24"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12" fillId="2" borderId="20" xfId="1" applyNumberFormat="1" applyFont="1" applyFill="1" applyBorder="1"/>
    <xf numFmtId="3" fontId="12" fillId="2" borderId="20" xfId="0" applyNumberFormat="1" applyFont="1" applyFill="1" applyBorder="1"/>
    <xf numFmtId="2" fontId="0" fillId="2" borderId="0" xfId="1" applyNumberFormat="1" applyFont="1" applyFill="1"/>
    <xf numFmtId="0" fontId="0" fillId="9" borderId="0" xfId="0" applyFill="1" applyAlignment="1">
      <alignment horizontal="right"/>
    </xf>
    <xf numFmtId="2" fontId="0" fillId="2" borderId="0" xfId="1" applyNumberFormat="1" applyFont="1" applyFill="1" applyAlignment="1">
      <alignment horizontal="right"/>
    </xf>
    <xf numFmtId="1" fontId="0" fillId="2" borderId="0" xfId="0" applyNumberFormat="1" applyFill="1"/>
    <xf numFmtId="38" fontId="9" fillId="12" borderId="0" xfId="0" applyNumberFormat="1" applyFont="1" applyFill="1"/>
    <xf numFmtId="40" fontId="10" fillId="2" borderId="0" xfId="0" applyNumberFormat="1" applyFont="1" applyFill="1"/>
    <xf numFmtId="39" fontId="17" fillId="2" borderId="0" xfId="0" applyNumberFormat="1" applyFont="1" applyFill="1"/>
    <xf numFmtId="39" fontId="17" fillId="2" borderId="14" xfId="0" applyNumberFormat="1" applyFont="1" applyFill="1" applyBorder="1"/>
    <xf numFmtId="39" fontId="0" fillId="2" borderId="0" xfId="0" applyNumberFormat="1" applyFill="1"/>
    <xf numFmtId="10" fontId="0" fillId="3" borderId="0" xfId="1" applyNumberFormat="1" applyFont="1" applyFill="1"/>
    <xf numFmtId="39" fontId="10" fillId="2" borderId="0" xfId="0" applyNumberFormat="1" applyFont="1" applyFill="1"/>
    <xf numFmtId="0" fontId="7" fillId="9" borderId="15" xfId="0" applyFont="1" applyFill="1" applyBorder="1"/>
    <xf numFmtId="167" fontId="7" fillId="9" borderId="16" xfId="0" applyNumberFormat="1" applyFont="1" applyFill="1" applyBorder="1"/>
    <xf numFmtId="168" fontId="0" fillId="17" borderId="25" xfId="1" applyNumberFormat="1" applyFont="1" applyFill="1" applyBorder="1"/>
    <xf numFmtId="168" fontId="0" fillId="17" borderId="26" xfId="1" applyNumberFormat="1" applyFont="1" applyFill="1" applyBorder="1"/>
    <xf numFmtId="0" fontId="25" fillId="8" borderId="25" xfId="2" quotePrefix="1" applyFill="1" applyBorder="1" applyAlignment="1">
      <alignment horizontal="center"/>
    </xf>
    <xf numFmtId="0" fontId="25" fillId="8" borderId="26" xfId="2" quotePrefix="1" applyFill="1" applyBorder="1" applyAlignment="1">
      <alignment horizontal="center"/>
    </xf>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4" fillId="4" borderId="17" xfId="0" applyFont="1" applyFill="1" applyBorder="1" applyAlignment="1">
      <alignment horizontal="center"/>
    </xf>
    <xf numFmtId="0" fontId="4" fillId="4" borderId="18" xfId="0" applyFont="1" applyFill="1" applyBorder="1" applyAlignment="1">
      <alignment horizontal="center"/>
    </xf>
    <xf numFmtId="0" fontId="0" fillId="2" borderId="0" xfId="0" applyFill="1" applyAlignment="1">
      <alignment horizontal="left"/>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06/relationships/rdRichValue" Target="richData/rdrichvalue.xml"/><Relationship Id="rId30" Type="http://schemas.microsoft.com/office/2017/06/relationships/rdSupportingPropertyBagStructure" Target="richData/rdsupportingpropertybagstructure.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Year'!$H$66:$L$66</c:f>
              <c:strCache>
                <c:ptCount val="5"/>
                <c:pt idx="0">
                  <c:v>31.01.2022</c:v>
                </c:pt>
                <c:pt idx="1">
                  <c:v>31.01.2023</c:v>
                </c:pt>
                <c:pt idx="2">
                  <c:v>31.01.2024</c:v>
                </c:pt>
                <c:pt idx="3">
                  <c:v>31.01.2025</c:v>
                </c:pt>
                <c:pt idx="4">
                  <c:v>31.01.2026</c:v>
                </c:pt>
              </c:strCache>
            </c:strRef>
          </c:cat>
          <c:val>
            <c:numRef>
              <c:f>'Graphs Year'!$H$68:$L$68</c:f>
              <c:numCache>
                <c:formatCode>#,##0_);[Red]\(#,##0\)</c:formatCode>
                <c:ptCount val="5"/>
                <c:pt idx="0">
                  <c:v>4386</c:v>
                </c:pt>
                <c:pt idx="1">
                  <c:v>5005</c:v>
                </c:pt>
                <c:pt idx="2">
                  <c:v>5497</c:v>
                </c:pt>
                <c:pt idx="3">
                  <c:v>6131</c:v>
                </c:pt>
                <c:pt idx="4">
                  <c:v>7206</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Year'!$H$66:$L$66</c:f>
              <c:strCache>
                <c:ptCount val="5"/>
                <c:pt idx="0">
                  <c:v>31.01.2022</c:v>
                </c:pt>
                <c:pt idx="1">
                  <c:v>31.01.2023</c:v>
                </c:pt>
                <c:pt idx="2">
                  <c:v>31.01.2024</c:v>
                </c:pt>
                <c:pt idx="3">
                  <c:v>31.01.2025</c:v>
                </c:pt>
                <c:pt idx="4">
                  <c:v>31.01.2026</c:v>
                </c:pt>
              </c:strCache>
            </c:strRef>
          </c:cat>
          <c:val>
            <c:numRef>
              <c:f>'Graphs Year'!$H$69:$L$69</c:f>
              <c:numCache>
                <c:formatCode>#,##0_);\(#,##0\)</c:formatCode>
                <c:ptCount val="5"/>
                <c:pt idx="0">
                  <c:v>618</c:v>
                </c:pt>
                <c:pt idx="1">
                  <c:v>989</c:v>
                </c:pt>
                <c:pt idx="2">
                  <c:v>1128</c:v>
                </c:pt>
                <c:pt idx="3">
                  <c:v>1354</c:v>
                </c:pt>
                <c:pt idx="4">
                  <c:v>1578</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Year'!$H$66:$L$66</c:f>
              <c:strCache>
                <c:ptCount val="5"/>
                <c:pt idx="0">
                  <c:v>31.01.2022</c:v>
                </c:pt>
                <c:pt idx="1">
                  <c:v>31.01.2023</c:v>
                </c:pt>
                <c:pt idx="2">
                  <c:v>31.01.2024</c:v>
                </c:pt>
                <c:pt idx="3">
                  <c:v>31.01.2025</c:v>
                </c:pt>
                <c:pt idx="4">
                  <c:v>31.01.2026</c:v>
                </c:pt>
              </c:strCache>
            </c:strRef>
          </c:cat>
          <c:val>
            <c:numRef>
              <c:f>'Graphs Year'!$H$70:$L$70</c:f>
              <c:numCache>
                <c:formatCode>#,##0_);\(#,##0\)</c:formatCode>
                <c:ptCount val="5"/>
                <c:pt idx="0">
                  <c:v>497</c:v>
                </c:pt>
                <c:pt idx="1">
                  <c:v>823</c:v>
                </c:pt>
                <c:pt idx="2">
                  <c:v>906</c:v>
                </c:pt>
                <c:pt idx="3">
                  <c:v>1112</c:v>
                </c:pt>
                <c:pt idx="4">
                  <c:v>1124</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Year'!$H$71:$L$71</c:f>
              <c:numCache>
                <c:formatCode>#,##0_);\(#,##0\)</c:formatCode>
                <c:ptCount val="5"/>
                <c:pt idx="0">
                  <c:v>909</c:v>
                </c:pt>
                <c:pt idx="1">
                  <c:v>1368</c:v>
                </c:pt>
                <c:pt idx="2">
                  <c:v>549</c:v>
                </c:pt>
                <c:pt idx="3">
                  <c:v>822</c:v>
                </c:pt>
                <c:pt idx="4">
                  <c:v>1588</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Year'!$H$72:$L$72</c:f>
              <c:numCache>
                <c:formatCode>#,##0_);\(#,##0\)</c:formatCode>
                <c:ptCount val="5"/>
                <c:pt idx="0">
                  <c:v>841.62123893805301</c:v>
                </c:pt>
                <c:pt idx="1">
                  <c:v>1656.409090909091</c:v>
                </c:pt>
                <c:pt idx="2">
                  <c:v>526.61971830985931</c:v>
                </c:pt>
                <c:pt idx="3">
                  <c:v>707.89595375722547</c:v>
                </c:pt>
                <c:pt idx="4">
                  <c:v>724.47036805988773</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Year'!$H$73:$L$73</c:f>
              <c:numCache>
                <c:formatCode>0%</c:formatCode>
                <c:ptCount val="5"/>
                <c:pt idx="0">
                  <c:v>0.90469676242590058</c:v>
                </c:pt>
                <c:pt idx="1">
                  <c:v>0.90409590409590412</c:v>
                </c:pt>
                <c:pt idx="2">
                  <c:v>0.90704020374749861</c:v>
                </c:pt>
                <c:pt idx="3">
                  <c:v>0.90572500407763823</c:v>
                </c:pt>
                <c:pt idx="4">
                  <c:v>0.90979739106300306</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Year'!$H$74:$L$74</c:f>
              <c:numCache>
                <c:formatCode>0%</c:formatCode>
                <c:ptCount val="5"/>
                <c:pt idx="0">
                  <c:v>0.1409028727770178</c:v>
                </c:pt>
                <c:pt idx="1">
                  <c:v>0.19760239760239759</c:v>
                </c:pt>
                <c:pt idx="2">
                  <c:v>0.20520283791158814</c:v>
                </c:pt>
                <c:pt idx="3">
                  <c:v>0.22084488664165716</c:v>
                </c:pt>
                <c:pt idx="4">
                  <c:v>0.21898417985012489</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Year'!$H$75:$L$75</c:f>
              <c:numCache>
                <c:formatCode>0%</c:formatCode>
                <c:ptCount val="5"/>
                <c:pt idx="0">
                  <c:v>0.11331509347925217</c:v>
                </c:pt>
                <c:pt idx="1">
                  <c:v>0.16443556443556442</c:v>
                </c:pt>
                <c:pt idx="2">
                  <c:v>0.16481717300345644</c:v>
                </c:pt>
                <c:pt idx="3">
                  <c:v>0.18137334855651607</c:v>
                </c:pt>
                <c:pt idx="4">
                  <c:v>0.15598112683874549</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Subscription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Year'!$H$76:$L$76</c:f>
              <c:numCache>
                <c:formatCode>#,##0_);\(#,##0\)</c:formatCode>
                <c:ptCount val="5"/>
                <c:pt idx="0">
                  <c:v>4136</c:v>
                </c:pt>
                <c:pt idx="1">
                  <c:v>4716</c:v>
                </c:pt>
                <c:pt idx="2">
                  <c:v>5170</c:v>
                </c:pt>
                <c:pt idx="3">
                  <c:v>5758</c:v>
                </c:pt>
                <c:pt idx="4">
                  <c:v>6776</c:v>
                </c:pt>
              </c:numCache>
            </c:numRef>
          </c:val>
          <c:extLst>
            <c:ext xmlns:c16="http://schemas.microsoft.com/office/drawing/2014/chart" uri="{C3380CC4-5D6E-409C-BE32-E72D297353CC}">
              <c16:uniqueId val="{00000000-CDE5-154C-8153-319428CD8714}"/>
            </c:ext>
          </c:extLst>
        </c:ser>
        <c:ser>
          <c:idx val="1"/>
          <c:order val="1"/>
          <c:tx>
            <c:v>Other</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Year'!$H$77:$L$77</c:f>
              <c:numCache>
                <c:formatCode>#,##0_);\(#,##0\)</c:formatCode>
                <c:ptCount val="5"/>
                <c:pt idx="0">
                  <c:v>250</c:v>
                </c:pt>
                <c:pt idx="1">
                  <c:v>289</c:v>
                </c:pt>
                <c:pt idx="2">
                  <c:v>327</c:v>
                </c:pt>
                <c:pt idx="3">
                  <c:v>373</c:v>
                </c:pt>
                <c:pt idx="4">
                  <c:v>430</c:v>
                </c:pt>
              </c:numCache>
            </c:numRef>
          </c:val>
          <c:extLst>
            <c:ext xmlns:c16="http://schemas.microsoft.com/office/drawing/2014/chart" uri="{C3380CC4-5D6E-409C-BE32-E72D297353CC}">
              <c16:uniqueId val="{00000001-CDE5-154C-8153-319428CD8714}"/>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Year'!$H$83:$L$83</c:f>
              <c:numCache>
                <c:formatCode>0.00%</c:formatCode>
                <c:ptCount val="5"/>
                <c:pt idx="0">
                  <c:v>5.7743696990821436E-2</c:v>
                </c:pt>
                <c:pt idx="1">
                  <c:v>8.7200678109769003E-2</c:v>
                </c:pt>
                <c:pt idx="2">
                  <c:v>9.1404358353510906E-2</c:v>
                </c:pt>
                <c:pt idx="3">
                  <c:v>0.1026493122865319</c:v>
                </c:pt>
                <c:pt idx="4">
                  <c:v>9.0158017165316434E-2</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Year'!$H$84:$L$84</c:f>
              <c:numCache>
                <c:formatCode>0.00%</c:formatCode>
                <c:ptCount val="5"/>
                <c:pt idx="0">
                  <c:v>0.58539458186101301</c:v>
                </c:pt>
                <c:pt idx="1">
                  <c:v>0.71877729257641909</c:v>
                </c:pt>
                <c:pt idx="2">
                  <c:v>0.48840970350404317</c:v>
                </c:pt>
                <c:pt idx="3">
                  <c:v>0.42426554750095385</c:v>
                </c:pt>
                <c:pt idx="4">
                  <c:v>0.36912972085385876</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Year'!$H$85:$L$85</c:f>
              <c:numCache>
                <c:formatCode>0.00%</c:formatCode>
                <c:ptCount val="5"/>
                <c:pt idx="0">
                  <c:v>0.41183427192276745</c:v>
                </c:pt>
                <c:pt idx="1">
                  <c:v>0.68722770839384251</c:v>
                </c:pt>
                <c:pt idx="2">
                  <c:v>0.54226625576242271</c:v>
                </c:pt>
                <c:pt idx="3">
                  <c:v>0.39488056397721433</c:v>
                </c:pt>
                <c:pt idx="4">
                  <c:v>0.43306080941678582</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Year'!$H$86:$L$86</c:f>
              <c:numCache>
                <c:formatCode>0</c:formatCode>
                <c:ptCount val="5"/>
                <c:pt idx="0">
                  <c:v>100</c:v>
                </c:pt>
                <c:pt idx="1">
                  <c:v>86.136354537811769</c:v>
                </c:pt>
                <c:pt idx="2">
                  <c:v>101.60935185555869</c:v>
                </c:pt>
                <c:pt idx="3">
                  <c:v>124.58865446975457</c:v>
                </c:pt>
                <c:pt idx="4">
                  <c:v>101.23303575003003</c:v>
                </c:pt>
              </c:numCache>
            </c:numRef>
          </c:val>
          <c:smooth val="0"/>
          <c:extLst>
            <c:ext xmlns:c16="http://schemas.microsoft.com/office/drawing/2014/chart" uri="{C3380CC4-5D6E-409C-BE32-E72D297353CC}">
              <c16:uniqueId val="{00000000-E1C7-E644-B67E-BC4064FDD05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Year'!$H$87:$L$87</c:f>
              <c:numCache>
                <c:formatCode>0</c:formatCode>
                <c:ptCount val="5"/>
                <c:pt idx="0">
                  <c:v>100</c:v>
                </c:pt>
                <c:pt idx="1">
                  <c:v>114.11308709530323</c:v>
                </c:pt>
                <c:pt idx="2">
                  <c:v>125.33059735522116</c:v>
                </c:pt>
                <c:pt idx="3">
                  <c:v>139.78568171454629</c:v>
                </c:pt>
                <c:pt idx="4">
                  <c:v>164.2954856361149</c:v>
                </c:pt>
              </c:numCache>
            </c:numRef>
          </c:val>
          <c:smooth val="0"/>
          <c:extLst>
            <c:ext xmlns:c16="http://schemas.microsoft.com/office/drawing/2014/chart" uri="{C3380CC4-5D6E-409C-BE32-E72D297353CC}">
              <c16:uniqueId val="{00000001-E1C7-E644-B67E-BC4064FDD05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Year'!$H$88:$L$88</c:f>
              <c:numCache>
                <c:formatCode>0</c:formatCode>
                <c:ptCount val="5"/>
                <c:pt idx="0">
                  <c:v>100</c:v>
                </c:pt>
                <c:pt idx="1">
                  <c:v>168.74999999999997</c:v>
                </c:pt>
                <c:pt idx="2">
                  <c:v>187.05357142857144</c:v>
                </c:pt>
                <c:pt idx="3">
                  <c:v>228.57142857142856</c:v>
                </c:pt>
                <c:pt idx="4">
                  <c:v>233.48214285714289</c:v>
                </c:pt>
              </c:numCache>
            </c:numRef>
          </c:val>
          <c:smooth val="0"/>
          <c:extLst>
            <c:ext xmlns:c16="http://schemas.microsoft.com/office/drawing/2014/chart" uri="{C3380CC4-5D6E-409C-BE32-E72D297353CC}">
              <c16:uniqueId val="{00000002-E1C7-E644-B67E-BC4064FDD059}"/>
            </c:ext>
          </c:extLst>
        </c:ser>
        <c:dLbls>
          <c:showLegendKey val="0"/>
          <c:showVal val="0"/>
          <c:showCatName val="0"/>
          <c:showSerName val="0"/>
          <c:showPercent val="0"/>
          <c:showBubbleSize val="0"/>
        </c:dLbls>
        <c:smooth val="0"/>
        <c:axId val="1656736831"/>
        <c:axId val="1848533759"/>
      </c:lineChart>
      <c:catAx>
        <c:axId val="1656736831"/>
        <c:scaling>
          <c:orientation val="minMax"/>
        </c:scaling>
        <c:delete val="1"/>
        <c:axPos val="b"/>
        <c:majorTickMark val="none"/>
        <c:minorTickMark val="none"/>
        <c:tickLblPos val="nextTo"/>
        <c:crossAx val="1848533759"/>
        <c:crosses val="autoZero"/>
        <c:auto val="1"/>
        <c:lblAlgn val="ctr"/>
        <c:lblOffset val="100"/>
        <c:noMultiLvlLbl val="0"/>
      </c:catAx>
      <c:valAx>
        <c:axId val="18485337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3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'Graphs Year'!$B$78</c:f>
              <c:strCache>
                <c:ptCount val="1"/>
                <c:pt idx="0">
                  <c:v>Revenue AECO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Year'!$C$78:$L$78</c:f>
              <c:numCache>
                <c:formatCode>#,##0_);\(#,##0\)</c:formatCode>
                <c:ptCount val="10"/>
                <c:pt idx="0">
                  <c:v>0</c:v>
                </c:pt>
                <c:pt idx="1">
                  <c:v>0</c:v>
                </c:pt>
                <c:pt idx="2">
                  <c:v>0</c:v>
                </c:pt>
                <c:pt idx="3">
                  <c:v>0</c:v>
                </c:pt>
                <c:pt idx="4">
                  <c:v>0</c:v>
                </c:pt>
                <c:pt idx="5">
                  <c:v>1969</c:v>
                </c:pt>
                <c:pt idx="6">
                  <c:v>2278</c:v>
                </c:pt>
                <c:pt idx="7">
                  <c:v>2580</c:v>
                </c:pt>
                <c:pt idx="8">
                  <c:v>2937</c:v>
                </c:pt>
                <c:pt idx="9">
                  <c:v>3583</c:v>
                </c:pt>
              </c:numCache>
            </c:numRef>
          </c:val>
          <c:extLst>
            <c:ext xmlns:c16="http://schemas.microsoft.com/office/drawing/2014/chart" uri="{C3380CC4-5D6E-409C-BE32-E72D297353CC}">
              <c16:uniqueId val="{00000000-E9FF-CF4A-9C74-BFF8DDC95EE2}"/>
            </c:ext>
          </c:extLst>
        </c:ser>
        <c:ser>
          <c:idx val="1"/>
          <c:order val="1"/>
          <c:tx>
            <c:strRef>
              <c:f>'Graphs Year'!$B$79</c:f>
              <c:strCache>
                <c:ptCount val="1"/>
                <c:pt idx="0">
                  <c:v>Revenue AutoCAD and AutoCAD LT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Year'!$C$79:$L$79</c:f>
              <c:numCache>
                <c:formatCode>#,##0_);\(#,##0\)</c:formatCode>
                <c:ptCount val="10"/>
                <c:pt idx="0">
                  <c:v>0</c:v>
                </c:pt>
                <c:pt idx="1">
                  <c:v>0</c:v>
                </c:pt>
                <c:pt idx="2">
                  <c:v>0</c:v>
                </c:pt>
                <c:pt idx="3">
                  <c:v>0</c:v>
                </c:pt>
                <c:pt idx="4">
                  <c:v>0</c:v>
                </c:pt>
                <c:pt idx="5">
                  <c:v>1244</c:v>
                </c:pt>
                <c:pt idx="6">
                  <c:v>1387</c:v>
                </c:pt>
                <c:pt idx="7">
                  <c:v>1462</c:v>
                </c:pt>
                <c:pt idx="8">
                  <c:v>1572</c:v>
                </c:pt>
                <c:pt idx="9">
                  <c:v>1787</c:v>
                </c:pt>
              </c:numCache>
            </c:numRef>
          </c:val>
          <c:extLst>
            <c:ext xmlns:c16="http://schemas.microsoft.com/office/drawing/2014/chart" uri="{C3380CC4-5D6E-409C-BE32-E72D297353CC}">
              <c16:uniqueId val="{00000001-E9FF-CF4A-9C74-BFF8DDC95EE2}"/>
            </c:ext>
          </c:extLst>
        </c:ser>
        <c:ser>
          <c:idx val="2"/>
          <c:order val="2"/>
          <c:tx>
            <c:strRef>
              <c:f>'Graphs Year'!$B$80</c:f>
              <c:strCache>
                <c:ptCount val="1"/>
                <c:pt idx="0">
                  <c:v>Revenue Manufacturing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Year'!$C$80:$L$80</c:f>
              <c:numCache>
                <c:formatCode>#,##0_);\(#,##0\)</c:formatCode>
                <c:ptCount val="10"/>
                <c:pt idx="0">
                  <c:v>0</c:v>
                </c:pt>
                <c:pt idx="1">
                  <c:v>0</c:v>
                </c:pt>
                <c:pt idx="2">
                  <c:v>0</c:v>
                </c:pt>
                <c:pt idx="3">
                  <c:v>0</c:v>
                </c:pt>
                <c:pt idx="4">
                  <c:v>0</c:v>
                </c:pt>
                <c:pt idx="5">
                  <c:v>876</c:v>
                </c:pt>
                <c:pt idx="6">
                  <c:v>978</c:v>
                </c:pt>
                <c:pt idx="7">
                  <c:v>1063</c:v>
                </c:pt>
                <c:pt idx="8">
                  <c:v>1189</c:v>
                </c:pt>
                <c:pt idx="9">
                  <c:v>1379</c:v>
                </c:pt>
              </c:numCache>
            </c:numRef>
          </c:val>
          <c:extLst>
            <c:ext xmlns:c16="http://schemas.microsoft.com/office/drawing/2014/chart" uri="{C3380CC4-5D6E-409C-BE32-E72D297353CC}">
              <c16:uniqueId val="{00000002-E9FF-CF4A-9C74-BFF8DDC95EE2}"/>
            </c:ext>
          </c:extLst>
        </c:ser>
        <c:ser>
          <c:idx val="3"/>
          <c:order val="3"/>
          <c:tx>
            <c:strRef>
              <c:f>'Graphs Year'!$B$81</c:f>
              <c:strCache>
                <c:ptCount val="1"/>
                <c:pt idx="0">
                  <c:v>Revenue Media and Entertainment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Year'!$C$81:$L$81</c:f>
              <c:numCache>
                <c:formatCode>#,##0_);\(#,##0\)</c:formatCode>
                <c:ptCount val="10"/>
                <c:pt idx="0">
                  <c:v>0</c:v>
                </c:pt>
                <c:pt idx="1">
                  <c:v>0</c:v>
                </c:pt>
                <c:pt idx="2">
                  <c:v>0</c:v>
                </c:pt>
                <c:pt idx="3">
                  <c:v>0</c:v>
                </c:pt>
                <c:pt idx="4">
                  <c:v>0</c:v>
                </c:pt>
                <c:pt idx="5">
                  <c:v>259</c:v>
                </c:pt>
                <c:pt idx="6">
                  <c:v>291</c:v>
                </c:pt>
                <c:pt idx="7">
                  <c:v>295</c:v>
                </c:pt>
                <c:pt idx="8">
                  <c:v>315</c:v>
                </c:pt>
                <c:pt idx="9">
                  <c:v>332</c:v>
                </c:pt>
              </c:numCache>
            </c:numRef>
          </c:val>
          <c:extLst>
            <c:ext xmlns:c16="http://schemas.microsoft.com/office/drawing/2014/chart" uri="{C3380CC4-5D6E-409C-BE32-E72D297353CC}">
              <c16:uniqueId val="{00000003-E9FF-CF4A-9C74-BFF8DDC95EE2}"/>
            </c:ext>
          </c:extLst>
        </c:ser>
        <c:ser>
          <c:idx val="4"/>
          <c:order val="4"/>
          <c:tx>
            <c:strRef>
              <c:f>'Graphs Year'!$B$82</c:f>
              <c:strCache>
                <c:ptCount val="1"/>
                <c:pt idx="0">
                  <c:v>Revenue Other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Year'!$C$82:$L$82</c:f>
              <c:numCache>
                <c:formatCode>#,##0_);\(#,##0\)</c:formatCode>
                <c:ptCount val="10"/>
                <c:pt idx="0">
                  <c:v>0</c:v>
                </c:pt>
                <c:pt idx="1">
                  <c:v>0</c:v>
                </c:pt>
                <c:pt idx="2">
                  <c:v>0</c:v>
                </c:pt>
                <c:pt idx="3">
                  <c:v>0</c:v>
                </c:pt>
                <c:pt idx="4">
                  <c:v>0</c:v>
                </c:pt>
                <c:pt idx="5">
                  <c:v>38</c:v>
                </c:pt>
                <c:pt idx="6">
                  <c:v>71</c:v>
                </c:pt>
                <c:pt idx="7">
                  <c:v>97</c:v>
                </c:pt>
                <c:pt idx="8">
                  <c:v>118</c:v>
                </c:pt>
                <c:pt idx="9">
                  <c:v>125</c:v>
                </c:pt>
              </c:numCache>
            </c:numRef>
          </c:val>
          <c:extLst>
            <c:ext xmlns:c16="http://schemas.microsoft.com/office/drawing/2014/chart" uri="{C3380CC4-5D6E-409C-BE32-E72D297353CC}">
              <c16:uniqueId val="{00000004-E9FF-CF4A-9C74-BFF8DDC95EE2}"/>
            </c:ext>
          </c:extLst>
        </c:ser>
        <c:dLbls>
          <c:showLegendKey val="0"/>
          <c:showVal val="0"/>
          <c:showCatName val="0"/>
          <c:showSerName val="0"/>
          <c:showPercent val="0"/>
          <c:showBubbleSize val="0"/>
        </c:dLbls>
        <c:gapWidth val="150"/>
        <c:overlap val="100"/>
        <c:axId val="337996735"/>
        <c:axId val="692659839"/>
      </c:barChart>
      <c:catAx>
        <c:axId val="337996735"/>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2659839"/>
        <c:crosses val="autoZero"/>
        <c:auto val="1"/>
        <c:lblAlgn val="ctr"/>
        <c:lblOffset val="100"/>
        <c:noMultiLvlLbl val="0"/>
      </c:catAx>
      <c:valAx>
        <c:axId val="692659839"/>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7996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1570</c:v>
                </c:pt>
                <c:pt idx="1">
                  <c:v>1639</c:v>
                </c:pt>
                <c:pt idx="2">
                  <c:v>1633</c:v>
                </c:pt>
                <c:pt idx="3">
                  <c:v>1763</c:v>
                </c:pt>
                <c:pt idx="4">
                  <c:v>1853</c:v>
                </c:pt>
                <c:pt idx="5">
                  <c:v>1957</c:v>
                </c:pt>
                <c:pt idx="6">
                  <c:v>1934</c:v>
                </c:pt>
                <c:pt idx="7">
                  <c:v>2046</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346</c:v>
                </c:pt>
                <c:pt idx="1">
                  <c:v>366</c:v>
                </c:pt>
                <c:pt idx="2">
                  <c:v>233</c:v>
                </c:pt>
                <c:pt idx="3">
                  <c:v>444</c:v>
                </c:pt>
                <c:pt idx="4">
                  <c:v>470</c:v>
                </c:pt>
                <c:pt idx="5">
                  <c:v>431</c:v>
                </c:pt>
                <c:pt idx="6">
                  <c:v>541</c:v>
                </c:pt>
                <c:pt idx="7">
                  <c:v>599</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275</c:v>
                </c:pt>
                <c:pt idx="1">
                  <c:v>303</c:v>
                </c:pt>
                <c:pt idx="2">
                  <c:v>152</c:v>
                </c:pt>
                <c:pt idx="3">
                  <c:v>313</c:v>
                </c:pt>
                <c:pt idx="4">
                  <c:v>343</c:v>
                </c:pt>
                <c:pt idx="5">
                  <c:v>316</c:v>
                </c:pt>
                <c:pt idx="6">
                  <c:v>491</c:v>
                </c:pt>
                <c:pt idx="7">
                  <c:v>492</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0.90636942675159238</c:v>
                </c:pt>
                <c:pt idx="1">
                  <c:v>0.90604026845637586</c:v>
                </c:pt>
                <c:pt idx="2">
                  <c:v>0.90202082057562771</c:v>
                </c:pt>
                <c:pt idx="3">
                  <c:v>0.90981281905842315</c:v>
                </c:pt>
                <c:pt idx="4">
                  <c:v>0.91095520777118189</c:v>
                </c:pt>
                <c:pt idx="5">
                  <c:v>0.91517629024016356</c:v>
                </c:pt>
                <c:pt idx="6">
                  <c:v>0.90951396070320578</c:v>
                </c:pt>
                <c:pt idx="7">
                  <c:v>0.91397849462365588</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0.22038216560509555</c:v>
                </c:pt>
                <c:pt idx="1">
                  <c:v>0.22330689444783405</c:v>
                </c:pt>
                <c:pt idx="2">
                  <c:v>0.14268218003674218</c:v>
                </c:pt>
                <c:pt idx="3">
                  <c:v>0.25184344866704483</c:v>
                </c:pt>
                <c:pt idx="4">
                  <c:v>0.25364274150026983</c:v>
                </c:pt>
                <c:pt idx="5">
                  <c:v>0.22023505365355137</c:v>
                </c:pt>
                <c:pt idx="6">
                  <c:v>0.27973112719751808</c:v>
                </c:pt>
                <c:pt idx="7">
                  <c:v>0.29276637341153472</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0.1751592356687898</c:v>
                </c:pt>
                <c:pt idx="1">
                  <c:v>0.18486882245271508</c:v>
                </c:pt>
                <c:pt idx="2">
                  <c:v>9.30802204531537E-2</c:v>
                </c:pt>
                <c:pt idx="3">
                  <c:v>0.17753828701077709</c:v>
                </c:pt>
                <c:pt idx="4">
                  <c:v>0.18510523475445223</c:v>
                </c:pt>
                <c:pt idx="5">
                  <c:v>0.16147164026571281</c:v>
                </c:pt>
                <c:pt idx="6">
                  <c:v>0.25387797311271976</c:v>
                </c:pt>
                <c:pt idx="7">
                  <c:v>0.2404692082111437</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Subscription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1466</c:v>
                </c:pt>
                <c:pt idx="1">
                  <c:v>1532</c:v>
                </c:pt>
                <c:pt idx="2">
                  <c:v>1540</c:v>
                </c:pt>
                <c:pt idx="3">
                  <c:v>1667</c:v>
                </c:pt>
                <c:pt idx="4">
                  <c:v>1742</c:v>
                </c:pt>
                <c:pt idx="5">
                  <c:v>1827</c:v>
                </c:pt>
                <c:pt idx="6">
                  <c:v>1836</c:v>
                </c:pt>
                <c:pt idx="7">
                  <c:v>1952</c:v>
                </c:pt>
              </c:numCache>
            </c:numRef>
          </c:val>
          <c:extLst>
            <c:ext xmlns:c16="http://schemas.microsoft.com/office/drawing/2014/chart" uri="{C3380CC4-5D6E-409C-BE32-E72D297353CC}">
              <c16:uniqueId val="{00000000-2E19-FD44-9C5E-C1716B02A7E3}"/>
            </c:ext>
          </c:extLst>
        </c:ser>
        <c:ser>
          <c:idx val="1"/>
          <c:order val="1"/>
          <c:tx>
            <c:v>Other</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104</c:v>
                </c:pt>
                <c:pt idx="1">
                  <c:v>107</c:v>
                </c:pt>
                <c:pt idx="2">
                  <c:v>93</c:v>
                </c:pt>
                <c:pt idx="3">
                  <c:v>96</c:v>
                </c:pt>
                <c:pt idx="4">
                  <c:v>111</c:v>
                </c:pt>
                <c:pt idx="5">
                  <c:v>130</c:v>
                </c:pt>
                <c:pt idx="6">
                  <c:v>98</c:v>
                </c:pt>
                <c:pt idx="7">
                  <c:v>94</c:v>
                </c:pt>
              </c:numCache>
            </c:numRef>
          </c:val>
          <c:extLst>
            <c:ext xmlns:c16="http://schemas.microsoft.com/office/drawing/2014/chart" uri="{C3380CC4-5D6E-409C-BE32-E72D297353CC}">
              <c16:uniqueId val="{00000001-2E19-FD44-9C5E-C1716B02A7E3}"/>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Quarter'!$C$70:$J$70</c:f>
              <c:numCache>
                <c:formatCode>#,##0_);\(#,##0\)</c:formatCode>
                <c:ptCount val="8"/>
                <c:pt idx="0">
                  <c:v>0</c:v>
                </c:pt>
                <c:pt idx="1">
                  <c:v>0</c:v>
                </c:pt>
                <c:pt idx="2">
                  <c:v>319</c:v>
                </c:pt>
                <c:pt idx="3">
                  <c:v>253</c:v>
                </c:pt>
                <c:pt idx="4">
                  <c:v>231</c:v>
                </c:pt>
                <c:pt idx="5">
                  <c:v>785</c:v>
                </c:pt>
                <c:pt idx="6">
                  <c:v>712</c:v>
                </c:pt>
                <c:pt idx="7">
                  <c:v>370</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'Graphs Quarter'!$B$65</c:f>
              <c:strCache>
                <c:ptCount val="1"/>
                <c:pt idx="0">
                  <c:v>Revenue AECO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751</c:v>
                </c:pt>
                <c:pt idx="1">
                  <c:v>799</c:v>
                </c:pt>
                <c:pt idx="2">
                  <c:v>809</c:v>
                </c:pt>
                <c:pt idx="3">
                  <c:v>878</c:v>
                </c:pt>
                <c:pt idx="4">
                  <c:v>921</c:v>
                </c:pt>
                <c:pt idx="5">
                  <c:v>975</c:v>
                </c:pt>
                <c:pt idx="6">
                  <c:v>970</c:v>
                </c:pt>
                <c:pt idx="7">
                  <c:v>1029</c:v>
                </c:pt>
              </c:numCache>
            </c:numRef>
          </c:val>
          <c:extLst>
            <c:ext xmlns:c16="http://schemas.microsoft.com/office/drawing/2014/chart" uri="{C3380CC4-5D6E-409C-BE32-E72D297353CC}">
              <c16:uniqueId val="{00000000-8803-4346-9431-D3C7E9C17EEC}"/>
            </c:ext>
          </c:extLst>
        </c:ser>
        <c:ser>
          <c:idx val="1"/>
          <c:order val="1"/>
          <c:tx>
            <c:strRef>
              <c:f>'Graphs Quarter'!$B$66</c:f>
              <c:strCache>
                <c:ptCount val="1"/>
                <c:pt idx="0">
                  <c:v>Revenue AutoCAD and AutoCAD LT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Quarter'!$C$66:$J$66</c:f>
              <c:numCache>
                <c:formatCode>#,##0_);\(#,##0\)</c:formatCode>
                <c:ptCount val="8"/>
                <c:pt idx="0">
                  <c:v>398</c:v>
                </c:pt>
                <c:pt idx="1">
                  <c:v>409</c:v>
                </c:pt>
                <c:pt idx="2">
                  <c:v>411</c:v>
                </c:pt>
                <c:pt idx="3">
                  <c:v>440</c:v>
                </c:pt>
                <c:pt idx="4">
                  <c:v>458</c:v>
                </c:pt>
                <c:pt idx="5">
                  <c:v>478</c:v>
                </c:pt>
                <c:pt idx="6">
                  <c:v>474</c:v>
                </c:pt>
                <c:pt idx="7">
                  <c:v>500</c:v>
                </c:pt>
              </c:numCache>
            </c:numRef>
          </c:val>
          <c:extLst>
            <c:ext xmlns:c16="http://schemas.microsoft.com/office/drawing/2014/chart" uri="{C3380CC4-5D6E-409C-BE32-E72D297353CC}">
              <c16:uniqueId val="{00000001-8803-4346-9431-D3C7E9C17EEC}"/>
            </c:ext>
          </c:extLst>
        </c:ser>
        <c:ser>
          <c:idx val="2"/>
          <c:order val="2"/>
          <c:tx>
            <c:strRef>
              <c:f>'Graphs Quarter'!$B$67</c:f>
              <c:strCache>
                <c:ptCount val="1"/>
                <c:pt idx="0">
                  <c:v>Revenue Manufacturing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Quarter'!$C$67:$J$67</c:f>
              <c:numCache>
                <c:formatCode>#,##0_);\(#,##0\)</c:formatCode>
                <c:ptCount val="8"/>
                <c:pt idx="0">
                  <c:v>307</c:v>
                </c:pt>
                <c:pt idx="1">
                  <c:v>318</c:v>
                </c:pt>
                <c:pt idx="2">
                  <c:v>309</c:v>
                </c:pt>
                <c:pt idx="3">
                  <c:v>334</c:v>
                </c:pt>
                <c:pt idx="4">
                  <c:v>355</c:v>
                </c:pt>
                <c:pt idx="5">
                  <c:v>381</c:v>
                </c:pt>
                <c:pt idx="6">
                  <c:v>367</c:v>
                </c:pt>
                <c:pt idx="7">
                  <c:v>385</c:v>
                </c:pt>
              </c:numCache>
            </c:numRef>
          </c:val>
          <c:extLst>
            <c:ext xmlns:c16="http://schemas.microsoft.com/office/drawing/2014/chart" uri="{C3380CC4-5D6E-409C-BE32-E72D297353CC}">
              <c16:uniqueId val="{00000002-8803-4346-9431-D3C7E9C17EEC}"/>
            </c:ext>
          </c:extLst>
        </c:ser>
        <c:ser>
          <c:idx val="3"/>
          <c:order val="3"/>
          <c:tx>
            <c:strRef>
              <c:f>'Graphs Quarter'!$B$68</c:f>
              <c:strCache>
                <c:ptCount val="1"/>
                <c:pt idx="0">
                  <c:v>Revenue Media and Entertainment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Quarter'!$C$68:$J$68</c:f>
              <c:numCache>
                <c:formatCode>#,##0_);\(#,##0\)</c:formatCode>
                <c:ptCount val="8"/>
                <c:pt idx="0">
                  <c:v>83</c:v>
                </c:pt>
                <c:pt idx="1">
                  <c:v>84</c:v>
                </c:pt>
                <c:pt idx="2">
                  <c:v>76</c:v>
                </c:pt>
                <c:pt idx="3">
                  <c:v>80</c:v>
                </c:pt>
                <c:pt idx="4">
                  <c:v>86</c:v>
                </c:pt>
                <c:pt idx="5">
                  <c:v>90</c:v>
                </c:pt>
                <c:pt idx="6">
                  <c:v>86</c:v>
                </c:pt>
                <c:pt idx="7">
                  <c:v>92</c:v>
                </c:pt>
              </c:numCache>
            </c:numRef>
          </c:val>
          <c:extLst>
            <c:ext xmlns:c16="http://schemas.microsoft.com/office/drawing/2014/chart" uri="{C3380CC4-5D6E-409C-BE32-E72D297353CC}">
              <c16:uniqueId val="{00000003-8803-4346-9431-D3C7E9C17EEC}"/>
            </c:ext>
          </c:extLst>
        </c:ser>
        <c:ser>
          <c:idx val="4"/>
          <c:order val="4"/>
          <c:tx>
            <c:strRef>
              <c:f>'Graphs Quarter'!$B$69</c:f>
              <c:strCache>
                <c:ptCount val="1"/>
                <c:pt idx="0">
                  <c:v>Revenue Other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Quarter'!$C$69:$J$69</c:f>
              <c:numCache>
                <c:formatCode>#,##0_);\(#,##0\)</c:formatCode>
                <c:ptCount val="8"/>
                <c:pt idx="0">
                  <c:v>31</c:v>
                </c:pt>
                <c:pt idx="1">
                  <c:v>29</c:v>
                </c:pt>
                <c:pt idx="2">
                  <c:v>28</c:v>
                </c:pt>
                <c:pt idx="3">
                  <c:v>31</c:v>
                </c:pt>
                <c:pt idx="4">
                  <c:v>33</c:v>
                </c:pt>
                <c:pt idx="5">
                  <c:v>33</c:v>
                </c:pt>
                <c:pt idx="6">
                  <c:v>37</c:v>
                </c:pt>
                <c:pt idx="7">
                  <c:v>40</c:v>
                </c:pt>
              </c:numCache>
            </c:numRef>
          </c:val>
          <c:extLst>
            <c:ext xmlns:c16="http://schemas.microsoft.com/office/drawing/2014/chart" uri="{C3380CC4-5D6E-409C-BE32-E72D297353CC}">
              <c16:uniqueId val="{00000004-8803-4346-9431-D3C7E9C17EEC}"/>
            </c:ext>
          </c:extLst>
        </c:ser>
        <c:dLbls>
          <c:showLegendKey val="0"/>
          <c:showVal val="0"/>
          <c:showCatName val="0"/>
          <c:showSerName val="0"/>
          <c:showPercent val="0"/>
          <c:showBubbleSize val="0"/>
        </c:dLbls>
        <c:gapWidth val="150"/>
        <c:overlap val="100"/>
        <c:axId val="668364159"/>
        <c:axId val="668361471"/>
      </c:barChart>
      <c:catAx>
        <c:axId val="668364159"/>
        <c:scaling>
          <c:orientation val="minMax"/>
        </c:scaling>
        <c:delete val="1"/>
        <c:axPos val="b"/>
        <c:majorTickMark val="none"/>
        <c:minorTickMark val="none"/>
        <c:tickLblPos val="nextTo"/>
        <c:crossAx val="668361471"/>
        <c:crosses val="autoZero"/>
        <c:auto val="1"/>
        <c:lblAlgn val="ctr"/>
        <c:lblOffset val="100"/>
        <c:noMultiLvlLbl val="0"/>
      </c:catAx>
      <c:valAx>
        <c:axId val="66836147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8364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709282</xdr:colOff>
      <xdr:row>31</xdr:row>
      <xdr:rowOff>54154</xdr:rowOff>
    </xdr:from>
    <xdr:to>
      <xdr:col>11</xdr:col>
      <xdr:colOff>345056</xdr:colOff>
      <xdr:row>45</xdr:row>
      <xdr:rowOff>1757</xdr:rowOff>
    </xdr:to>
    <xdr:graphicFrame macro="">
      <xdr:nvGraphicFramePr>
        <xdr:cNvPr id="7" name="Chart 6">
          <a:extLst>
            <a:ext uri="{FF2B5EF4-FFF2-40B4-BE49-F238E27FC236}">
              <a16:creationId xmlns:a16="http://schemas.microsoft.com/office/drawing/2014/main" id="{F0680505-B7C9-318D-14CF-8CEACBFA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6394</xdr:colOff>
      <xdr:row>45</xdr:row>
      <xdr:rowOff>90104</xdr:rowOff>
    </xdr:from>
    <xdr:to>
      <xdr:col>5</xdr:col>
      <xdr:colOff>495220</xdr:colOff>
      <xdr:row>61</xdr:row>
      <xdr:rowOff>71886</xdr:rowOff>
    </xdr:to>
    <xdr:graphicFrame macro="">
      <xdr:nvGraphicFramePr>
        <xdr:cNvPr id="8" name="Chart 7">
          <a:extLst>
            <a:ext uri="{FF2B5EF4-FFF2-40B4-BE49-F238E27FC236}">
              <a16:creationId xmlns:a16="http://schemas.microsoft.com/office/drawing/2014/main" id="{1A83AC18-2A1F-C03D-8C49-8CBC54BC3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9467</xdr:colOff>
      <xdr:row>29</xdr:row>
      <xdr:rowOff>182373</xdr:rowOff>
    </xdr:from>
    <xdr:to>
      <xdr:col>5</xdr:col>
      <xdr:colOff>631055</xdr:colOff>
      <xdr:row>43</xdr:row>
      <xdr:rowOff>181428</xdr:rowOff>
    </xdr:to>
    <xdr:graphicFrame macro="">
      <xdr:nvGraphicFramePr>
        <xdr:cNvPr id="6" name="Chart 5">
          <a:extLst>
            <a:ext uri="{FF2B5EF4-FFF2-40B4-BE49-F238E27FC236}">
              <a16:creationId xmlns:a16="http://schemas.microsoft.com/office/drawing/2014/main" id="{C6D0C9D5-4C51-BC9E-16ED-9D50F44A5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https://www.bing.com/financeapi/forcetrigger?t=a1mwoc&amp;q=XNAS%3aADSK&amp;form=skydnc</v>
    <v>Learn more on Bing</v>
  </rv>
  <rv s="1">
    <v>0</v>
    <v>AUTODESK, INC. (XNAS:ADSK)</v>
    <v>2</v>
    <v>3</v>
    <v>Finance</v>
    <v>4</v>
    <v>en-US</v>
    <v>a1mwoc</v>
    <v>268435456</v>
    <v>1</v>
    <v>Powered by Refinitiv</v>
    <v>320</v>
    <v>185.5</v>
    <v>1.3194999999999999</v>
    <v>-1.81</v>
    <v>-7.6909999999999999E-3</v>
    <v>0.11</v>
    <v>4.7100000000000001E-4</v>
    <v>USD</v>
    <v>Autodesk, Inc. is engaged in three-dimensional (3D) design, engineering and entertainment technology solutions, spanning architecture, engineering, construction, product design, manufacturing, media and entertainment. Its architecture, engineering, construction and operations products improve the way building, infrastructure, and industrial projects are designed, built, and operated. Its product development and manufacturing software provides manufacturers in the automotive, transportation, industrial machinery, consumer products, and building product industries with comprehensive digital design, engineering, manufacturing, and production solutions. Its product offerings include AutoCAD Civil 3D, Autodesk Build, BIM Collaborate Pro, Building Connected, Revit, Tandem, AutoCAD, AutoCAD LT, Inventor, Vault, Maya, 3ds Max, Flow Production Tracking, among others. AutoCAD Civil 3D solution offers surveying, design, analysis, and documentation solution.</v>
    <v>14300</v>
    <v>Nasdaq Stock Market</v>
    <v>XNAS</v>
    <v>XNAS</v>
    <v>One Market, Ste. 400., SAN FRANCISCO, CA, 94105 US</v>
    <v>237.27</v>
    <v>Software &amp; IT Services</v>
    <v>Stock</v>
    <v>46307.844219339844</v>
    <v>0</v>
    <v>229.315</v>
    <v>48809860000</v>
    <v>AUTODESK, INC.</v>
    <v>AUTODESK, INC.</v>
    <v>234.703</v>
    <v>30.2791</v>
    <v>235.35</v>
    <v>233.54</v>
    <v>233.65</v>
    <v>209000000</v>
    <v>ADSK</v>
    <v>AUTODESK, INC. (XNAS:ADSK)</v>
    <v>1524104</v>
    <v>2316106</v>
    <v>1994</v>
  </rv>
  <rv s="2">
    <v>1</v>
  </rv>
  <rv s="0">
    <v>https://www.bing.com/financeapi/forcetrigger?t=a33knm&amp;q=10+Y+TSY+YLD+NDX&amp;form=skydnc</v>
    <v>Learn more on Bing</v>
  </rv>
  <rv s="3">
    <v>5</v>
    <v>10 Y TSY YLD NDX</v>
    <v>6</v>
    <v>7</v>
    <v>Finance</v>
    <v>8</v>
    <v>en-US</v>
    <v>a33knm</v>
    <v>268435456</v>
    <v>1</v>
    <v>Powered by Refinitiv</v>
    <v>53.64</v>
    <v>39.47</v>
    <v>0.13</v>
    <v>2.4849999999999998E-3</v>
    <v>US</v>
    <v>52.8</v>
    <v>Index</v>
    <v>3</v>
    <v>52.34</v>
    <v>10 Y TSY YLD NDX</v>
    <v>52.36</v>
    <v>52.31</v>
    <v>52.44</v>
    <v>TNX</v>
    <v>10 Y TSY YLD NDX</v>
  </rv>
  <rv s="2">
    <v>4</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1</v>
      <v>1</v>
      <v>1</v>
    </spb>
    <spb s="6">
      <v>1</v>
      <v>1</v>
      <v>3</v>
      <v>1</v>
      <v>1</v>
      <v>1</v>
      <v>5</v>
      <v>1</v>
      <v>1</v>
      <v>1</v>
      <v>9</v>
    </spb>
    <spb s="7">
      <v>from previous close</v>
      <v>from previous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5" dT="2026-02-17T21:45:28.65" personId="{A0F62302-F8D3-B346-B5DF-839B413AE710}" id="{22B2B3EF-EBF6-0D4F-BF74-BA371A77FD6F}">
    <text>Actual number</text>
  </threadedComment>
  <threadedComment ref="B117"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K71"/>
  <sheetViews>
    <sheetView tabSelected="1" topLeftCell="B1" zoomScale="181" zoomScaleNormal="160" workbookViewId="0">
      <selection activeCell="B3" sqref="B3"/>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16406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39" t="s">
        <v>17</v>
      </c>
      <c r="C2" s="240"/>
      <c r="E2" s="239" t="s">
        <v>286</v>
      </c>
      <c r="F2" s="240"/>
      <c r="H2" s="239" t="s">
        <v>324</v>
      </c>
      <c r="I2" s="240"/>
      <c r="K2" s="134" t="s">
        <v>435</v>
      </c>
    </row>
    <row r="3" spans="2:11" x14ac:dyDescent="0.2">
      <c r="B3" s="183" t="s">
        <v>11</v>
      </c>
      <c r="C3" s="215" t="e" vm="1">
        <v>#VALUE!</v>
      </c>
      <c r="D3" s="2"/>
      <c r="E3" s="183" t="s">
        <v>238</v>
      </c>
      <c r="F3" s="185">
        <f ca="1">Statement!AC154</f>
        <v>49043.4</v>
      </c>
      <c r="H3" s="183" t="str">
        <f>'AVG target price'!B5</f>
        <v>DCF price</v>
      </c>
      <c r="I3" s="209">
        <f ca="1">'AVG target price'!C5</f>
        <v>117.44825208935085</v>
      </c>
      <c r="K3" s="237" t="s">
        <v>436</v>
      </c>
    </row>
    <row r="4" spans="2:11" x14ac:dyDescent="0.2">
      <c r="B4" s="183" t="s">
        <v>0</v>
      </c>
      <c r="C4" s="187" t="str" cm="1">
        <f t="array" aca="1" ref="C4" ca="1">_FV(C3,"Ticker symbol",TRUE)</f>
        <v>ADSK</v>
      </c>
      <c r="E4" s="184" t="s">
        <v>187</v>
      </c>
      <c r="F4" s="186">
        <f ca="1">Statement!AC155</f>
        <v>48164.4</v>
      </c>
      <c r="H4" s="183" t="str">
        <f>'AVG target price'!B6</f>
        <v>EV/EBIT price</v>
      </c>
      <c r="I4" s="209">
        <f ca="1">'AVG target price'!C6</f>
        <v>346.52062287016844</v>
      </c>
      <c r="K4" s="237" t="s">
        <v>437</v>
      </c>
    </row>
    <row r="5" spans="2:11" x14ac:dyDescent="0.2">
      <c r="B5" s="183" t="s">
        <v>1</v>
      </c>
      <c r="C5" s="206" cm="1">
        <f t="array" aca="1" ref="C5" ca="1">_FV(C3,"Price",TRUE)</f>
        <v>233.54</v>
      </c>
      <c r="E5" s="183" t="s">
        <v>242</v>
      </c>
      <c r="F5" s="187">
        <f>Statement!AC27</f>
        <v>7.73</v>
      </c>
      <c r="H5" s="183" t="str">
        <f>'AVG target price'!B7</f>
        <v>PS price</v>
      </c>
      <c r="I5" s="209">
        <f ca="1">'AVG target price'!C7</f>
        <v>188.26132013643894</v>
      </c>
      <c r="K5" s="237" t="s">
        <v>438</v>
      </c>
    </row>
    <row r="6" spans="2:11" x14ac:dyDescent="0.2">
      <c r="B6" s="183" t="s">
        <v>2</v>
      </c>
      <c r="C6" s="206" cm="1">
        <f t="array" aca="1" ref="C6" ca="1">_FV(C3,"Price (Extended hours)",TRUE)</f>
        <v>233.65</v>
      </c>
      <c r="E6" s="183" t="s">
        <v>236</v>
      </c>
      <c r="F6" s="188">
        <f ca="1">Statement!AC151</f>
        <v>30.212160413971535</v>
      </c>
      <c r="H6" s="183" t="str">
        <f>'AVG target price'!B8</f>
        <v>EV/FCFF price</v>
      </c>
      <c r="I6" s="209">
        <f ca="1">'AVG target price'!C8</f>
        <v>344.98288263158031</v>
      </c>
      <c r="K6" s="238" t="s">
        <v>439</v>
      </c>
    </row>
    <row r="7" spans="2:11" x14ac:dyDescent="0.2">
      <c r="B7" s="183" t="s">
        <v>3</v>
      </c>
      <c r="C7" s="6" cm="1">
        <f t="array" aca="1" ref="C7" ca="1">_FV(C3,"Change")</f>
        <v>-1.81</v>
      </c>
      <c r="E7" s="184" t="s">
        <v>200</v>
      </c>
      <c r="F7" s="189">
        <f ca="1">Statement!AC152</f>
        <v>6.3856251604621308</v>
      </c>
      <c r="H7" s="183" t="str">
        <f>'AVG target price'!B9</f>
        <v>EV/Sales price</v>
      </c>
      <c r="I7" s="209">
        <f ca="1">'AVG target price'!C9</f>
        <v>219.72591467074224</v>
      </c>
    </row>
    <row r="8" spans="2:11" x14ac:dyDescent="0.2">
      <c r="B8" s="183" t="s">
        <v>4</v>
      </c>
      <c r="C8" s="6" cm="1">
        <f t="array" aca="1" ref="C8" ca="1">_FV(C3,"Change (extended hours)",TRUE)</f>
        <v>0.11</v>
      </c>
      <c r="E8" s="183" t="s">
        <v>264</v>
      </c>
      <c r="F8" s="190">
        <f ca="1">Statement!AC162</f>
        <v>4.277843705778963E-2</v>
      </c>
      <c r="H8" s="182" t="str">
        <f>'AVG target price'!B10</f>
        <v>AVG price</v>
      </c>
      <c r="I8" s="210">
        <f ca="1">'AVG target price'!C10</f>
        <v>243.38779847965617</v>
      </c>
    </row>
    <row r="9" spans="2:11" x14ac:dyDescent="0.2">
      <c r="B9" s="183" t="s">
        <v>5</v>
      </c>
      <c r="C9" s="73" cm="1">
        <f t="array" aca="1" ref="C9" ca="1">_FV(C3,"Change (%)",TRUE)</f>
        <v>-7.6909999999999999E-3</v>
      </c>
      <c r="E9" s="183" t="s">
        <v>287</v>
      </c>
      <c r="F9" s="190">
        <f ca="1">Statement!AC163</f>
        <v>3.3099254945619598E-2</v>
      </c>
      <c r="H9" s="182" t="str">
        <f>'AVG target price'!B12</f>
        <v>Upside/Downside</v>
      </c>
      <c r="I9" s="211">
        <f ca="1">'AVG target price'!C12</f>
        <v>4.2167502267946293E-2</v>
      </c>
    </row>
    <row r="10" spans="2:11" x14ac:dyDescent="0.2">
      <c r="B10" s="183" t="s">
        <v>6</v>
      </c>
      <c r="C10" s="73" cm="1">
        <f t="array" aca="1" ref="C10" ca="1">_FV(C3,"Change % (extended hours)",TRUE)</f>
        <v>4.7100000000000001E-4</v>
      </c>
      <c r="E10" s="183" t="s">
        <v>292</v>
      </c>
      <c r="F10" s="190">
        <f ca="1">Statement!AC165</f>
        <v>3.2440654603881458E-2</v>
      </c>
    </row>
    <row r="11" spans="2:11" x14ac:dyDescent="0.2">
      <c r="B11" s="183" t="s">
        <v>7</v>
      </c>
      <c r="C11" s="207" cm="1">
        <f t="array" aca="1" ref="C11" ca="1">_FV(C3,"52 week high",TRUE)</f>
        <v>320</v>
      </c>
      <c r="E11" s="184" t="s">
        <v>288</v>
      </c>
      <c r="F11" s="191">
        <f ca="1">Statement!AC164</f>
        <v>0</v>
      </c>
      <c r="H11" s="182" t="s">
        <v>364</v>
      </c>
      <c r="I11" s="210">
        <f ca="1">DDM!C26</f>
        <v>0</v>
      </c>
    </row>
    <row r="12" spans="2:11" x14ac:dyDescent="0.2">
      <c r="B12" s="183" t="s">
        <v>8</v>
      </c>
      <c r="C12" s="207" cm="1">
        <f t="array" aca="1" ref="C12" ca="1">_FV(C3,"52 week low",TRUE)</f>
        <v>185.5</v>
      </c>
      <c r="E12" s="183" t="s">
        <v>101</v>
      </c>
      <c r="F12" s="190">
        <f>Statement!AC124</f>
        <v>0.12647308018177617</v>
      </c>
    </row>
    <row r="13" spans="2:11" x14ac:dyDescent="0.2">
      <c r="B13" s="183" t="s">
        <v>9</v>
      </c>
      <c r="C13" s="207" cm="1">
        <f t="array" aca="1" ref="C13" ca="1">_FV(C3,"Beta")</f>
        <v>1.3194999999999999</v>
      </c>
      <c r="E13" s="183" t="s">
        <v>103</v>
      </c>
      <c r="F13" s="190">
        <f>Statement!AC126</f>
        <v>0.48536801655335504</v>
      </c>
      <c r="H13" s="182" t="s">
        <v>383</v>
      </c>
      <c r="I13" s="211">
        <f>'Reverse DCF'!C17</f>
        <v>0.46500000000000002</v>
      </c>
    </row>
    <row r="14" spans="2:11" x14ac:dyDescent="0.2">
      <c r="B14" s="184" t="s">
        <v>10</v>
      </c>
      <c r="C14" s="208" cm="1">
        <f t="array" aca="1" ref="C14" ca="1">_FV(C3,"Volume average",TRUE)</f>
        <v>2316106</v>
      </c>
      <c r="E14" s="184" t="s">
        <v>104</v>
      </c>
      <c r="F14" s="191">
        <f>Statement!AC141</f>
        <v>0.63581348227633894</v>
      </c>
    </row>
    <row r="15" spans="2:11" x14ac:dyDescent="0.2">
      <c r="E15" s="183" t="s">
        <v>289</v>
      </c>
      <c r="F15" s="190">
        <f ca="1">Statement!AC177</f>
        <v>1.7922900940799374E-2</v>
      </c>
    </row>
    <row r="16" spans="2:11" x14ac:dyDescent="0.2">
      <c r="E16" s="184" t="s">
        <v>294</v>
      </c>
      <c r="F16" s="189">
        <f>Statement!AC176</f>
        <v>4.205741626794258</v>
      </c>
      <c r="H16" s="239" t="s">
        <v>433</v>
      </c>
      <c r="I16" s="240"/>
    </row>
    <row r="17" spans="2:9" x14ac:dyDescent="0.2">
      <c r="B17" s="241" t="s">
        <v>89</v>
      </c>
      <c r="C17" s="241"/>
      <c r="E17" s="182" t="s">
        <v>295</v>
      </c>
      <c r="F17" s="192">
        <f>Statement!AC172</f>
        <v>4.7619047619047623E-3</v>
      </c>
      <c r="H17" s="183" t="s">
        <v>164</v>
      </c>
      <c r="I17" s="235">
        <f ca="1">DCF!C15</f>
        <v>0.10760404710270478</v>
      </c>
    </row>
    <row r="18" spans="2:9" x14ac:dyDescent="0.2">
      <c r="B18" s="182" t="s">
        <v>12</v>
      </c>
      <c r="C18" s="69" t="s">
        <v>354</v>
      </c>
      <c r="E18" s="183" t="s">
        <v>296</v>
      </c>
      <c r="F18" s="188">
        <f>Statement!AC145</f>
        <v>-212.53333094914524</v>
      </c>
      <c r="H18" s="184" t="s">
        <v>434</v>
      </c>
      <c r="I18" s="236">
        <f ca="1">Multiples!C54</f>
        <v>0.11181749999999999</v>
      </c>
    </row>
    <row r="19" spans="2:9" x14ac:dyDescent="0.2">
      <c r="B19" s="182" t="s">
        <v>13</v>
      </c>
      <c r="C19" s="70">
        <v>1000000</v>
      </c>
      <c r="E19" s="183" t="s">
        <v>257</v>
      </c>
      <c r="F19" s="188">
        <f>Statement!AC147</f>
        <v>-0.25982855453739284</v>
      </c>
      <c r="I19" s="50"/>
    </row>
    <row r="20" spans="2:9" x14ac:dyDescent="0.2">
      <c r="B20" s="182" t="s">
        <v>90</v>
      </c>
      <c r="C20" s="69" t="s">
        <v>91</v>
      </c>
      <c r="E20" s="184" t="s">
        <v>297</v>
      </c>
      <c r="F20" s="189">
        <f>Statement!AC148</f>
        <v>0.76056125528062768</v>
      </c>
    </row>
    <row r="21" spans="2:9" x14ac:dyDescent="0.2">
      <c r="B21" s="182" t="s">
        <v>92</v>
      </c>
      <c r="C21" s="69" t="s">
        <v>93</v>
      </c>
    </row>
    <row r="22" spans="2:9" x14ac:dyDescent="0.2">
      <c r="B22" s="182" t="s">
        <v>94</v>
      </c>
      <c r="C22" s="69" t="s">
        <v>91</v>
      </c>
      <c r="I22" s="50"/>
    </row>
    <row r="25" spans="2:9" x14ac:dyDescent="0.2">
      <c r="B25" s="241" t="s">
        <v>106</v>
      </c>
      <c r="C25" s="241"/>
      <c r="E25" s="239" t="s">
        <v>337</v>
      </c>
      <c r="F25" s="240"/>
    </row>
    <row r="26" spans="2:9" x14ac:dyDescent="0.2">
      <c r="B26" s="182" t="s">
        <v>107</v>
      </c>
      <c r="C26" s="168">
        <v>0.21</v>
      </c>
      <c r="E26" s="183" t="e" vm="2">
        <v>#VALUE!</v>
      </c>
      <c r="F26" s="217" cm="1">
        <f t="array" aca="1" ref="F26" ca="1">_FV(E26,"Price")</f>
        <v>52.44</v>
      </c>
    </row>
    <row r="27" spans="2:9" x14ac:dyDescent="0.2">
      <c r="B27" s="182" t="s">
        <v>171</v>
      </c>
      <c r="C27" s="219">
        <v>6.0999999999999999E-2</v>
      </c>
      <c r="E27" s="184" t="s">
        <v>338</v>
      </c>
      <c r="F27" s="218">
        <f ca="1">F26/1000</f>
        <v>5.2440000000000001E-2</v>
      </c>
    </row>
    <row r="28" spans="2:9" x14ac:dyDescent="0.2">
      <c r="B28" s="182" t="s">
        <v>342</v>
      </c>
      <c r="C28" s="219">
        <v>0</v>
      </c>
    </row>
    <row r="29" spans="2:9" x14ac:dyDescent="0.2">
      <c r="B29" s="182" t="s">
        <v>363</v>
      </c>
      <c r="C29" s="219">
        <v>0</v>
      </c>
    </row>
    <row r="33" spans="2:8" x14ac:dyDescent="0.2">
      <c r="B33" s="134" t="s">
        <v>332</v>
      </c>
      <c r="C33" s="134"/>
      <c r="D33" s="134"/>
      <c r="E33" s="134"/>
      <c r="F33" s="134"/>
      <c r="G33" s="134"/>
      <c r="H33" s="134"/>
    </row>
    <row r="35" spans="2:8" x14ac:dyDescent="0.2">
      <c r="B35" s="16" t="s">
        <v>333</v>
      </c>
      <c r="C35" s="1" t="s">
        <v>386</v>
      </c>
    </row>
    <row r="36" spans="2:8" x14ac:dyDescent="0.2">
      <c r="B36" s="16" t="s">
        <v>334</v>
      </c>
      <c r="C36" s="1" t="s">
        <v>385</v>
      </c>
    </row>
    <row r="37" spans="2:8" x14ac:dyDescent="0.2">
      <c r="B37" s="16" t="s">
        <v>402</v>
      </c>
      <c r="C37" s="1" t="s">
        <v>403</v>
      </c>
    </row>
    <row r="38" spans="2:8" x14ac:dyDescent="0.2">
      <c r="B38" s="16"/>
      <c r="C38" s="1" t="s">
        <v>404</v>
      </c>
    </row>
    <row r="39" spans="2:8" x14ac:dyDescent="0.2">
      <c r="B39" s="16"/>
      <c r="C39" s="1" t="s">
        <v>405</v>
      </c>
    </row>
    <row r="40" spans="2:8" x14ac:dyDescent="0.2">
      <c r="B40" s="16"/>
      <c r="C40" s="1" t="s">
        <v>406</v>
      </c>
    </row>
    <row r="41" spans="2:8" x14ac:dyDescent="0.2">
      <c r="B41" s="16" t="s">
        <v>407</v>
      </c>
      <c r="C41" s="1" t="s">
        <v>408</v>
      </c>
    </row>
    <row r="42" spans="2:8" x14ac:dyDescent="0.2">
      <c r="B42" s="16"/>
      <c r="C42" s="1" t="s">
        <v>409</v>
      </c>
    </row>
    <row r="43" spans="2:8" x14ac:dyDescent="0.2">
      <c r="B43" s="16"/>
      <c r="C43" s="1" t="s">
        <v>410</v>
      </c>
    </row>
    <row r="44" spans="2:8" x14ac:dyDescent="0.2">
      <c r="B44" s="16"/>
      <c r="C44" s="1" t="s">
        <v>411</v>
      </c>
    </row>
    <row r="45" spans="2:8" x14ac:dyDescent="0.2">
      <c r="B45" s="16"/>
      <c r="C45" s="1" t="s">
        <v>412</v>
      </c>
    </row>
    <row r="46" spans="2:8" x14ac:dyDescent="0.2">
      <c r="B46" s="16"/>
      <c r="C46" s="1" t="s">
        <v>413</v>
      </c>
    </row>
    <row r="47" spans="2:8" x14ac:dyDescent="0.2">
      <c r="C47" s="1" t="s">
        <v>414</v>
      </c>
    </row>
    <row r="48" spans="2:8" x14ac:dyDescent="0.2">
      <c r="B48" s="16" t="s">
        <v>415</v>
      </c>
      <c r="C48" s="90">
        <v>1168</v>
      </c>
    </row>
    <row r="51" spans="2:8" ht="6" customHeight="1" x14ac:dyDescent="0.2">
      <c r="B51" s="134"/>
      <c r="C51" s="134"/>
      <c r="D51" s="134"/>
      <c r="E51" s="134"/>
      <c r="F51" s="134"/>
      <c r="G51" s="134"/>
      <c r="H51" s="134"/>
    </row>
    <row r="54" spans="2:8" x14ac:dyDescent="0.2">
      <c r="B54" s="134" t="s">
        <v>335</v>
      </c>
      <c r="C54" s="134"/>
      <c r="D54" s="134"/>
      <c r="E54" s="134"/>
      <c r="F54" s="134"/>
      <c r="G54" s="134"/>
      <c r="H54" s="134"/>
    </row>
    <row r="56" spans="2:8" x14ac:dyDescent="0.2">
      <c r="B56" s="41" t="s">
        <v>336</v>
      </c>
      <c r="C56" s="41" t="s">
        <v>430</v>
      </c>
      <c r="D56" s="41"/>
      <c r="E56" s="41" t="s">
        <v>393</v>
      </c>
    </row>
    <row r="57" spans="2:8" x14ac:dyDescent="0.2">
      <c r="B57" s="1" t="s">
        <v>362</v>
      </c>
      <c r="C57" s="1" t="s">
        <v>431</v>
      </c>
    </row>
    <row r="58" spans="2:8" x14ac:dyDescent="0.2">
      <c r="B58" s="1" t="s">
        <v>362</v>
      </c>
      <c r="C58" s="1" t="s">
        <v>432</v>
      </c>
    </row>
    <row r="61" spans="2:8" ht="5" customHeight="1" x14ac:dyDescent="0.2">
      <c r="B61" s="134"/>
      <c r="C61" s="134"/>
      <c r="D61" s="134"/>
      <c r="E61" s="134"/>
      <c r="F61" s="134"/>
      <c r="G61" s="134"/>
      <c r="H61" s="134"/>
    </row>
    <row r="64" spans="2:8" x14ac:dyDescent="0.2">
      <c r="B64" s="134" t="s">
        <v>108</v>
      </c>
      <c r="C64" s="134"/>
      <c r="D64" s="134"/>
      <c r="E64" s="134"/>
      <c r="F64" s="134"/>
      <c r="G64" s="134"/>
      <c r="H64" s="134"/>
    </row>
    <row r="66" spans="2:8" x14ac:dyDescent="0.2">
      <c r="B66" s="41" t="s">
        <v>336</v>
      </c>
      <c r="C66" s="41" t="s">
        <v>355</v>
      </c>
      <c r="D66" s="41"/>
      <c r="E66" s="41" t="s">
        <v>361</v>
      </c>
    </row>
    <row r="71" spans="2:8" ht="5" customHeight="1" x14ac:dyDescent="0.2">
      <c r="B71" s="134"/>
      <c r="C71" s="134"/>
      <c r="D71" s="134"/>
      <c r="E71" s="134"/>
      <c r="F71" s="134"/>
      <c r="G71" s="134"/>
      <c r="H71" s="134"/>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F362CAA9-8511-1147-87FF-4ACF12A3D9A8}"/>
    <hyperlink ref="K4" location="'Analysis -&gt;'!B13" display="'Analysis -&gt;'!B13" xr:uid="{C9467FF6-CFF6-214A-93C7-45D507C7A6BB}"/>
    <hyperlink ref="K5" location="'Forecast -&gt;'!B13" display="'Forecast -&gt;'!B13" xr:uid="{DD466B6E-3A26-9A47-AD60-D0651981787C}"/>
    <hyperlink ref="K6" location="'Valuation -&gt;'!B13" display="'Valuation -&gt;'!B13" xr:uid="{E4DA1016-67A4-544F-BD13-5C30B0A455D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7.1640625" style="1" customWidth="1"/>
    <col min="9" max="16384" width="10.83203125" style="1"/>
  </cols>
  <sheetData>
    <row r="5" spans="2:8" x14ac:dyDescent="0.2">
      <c r="H5" s="134" t="s">
        <v>435</v>
      </c>
    </row>
    <row r="6" spans="2:8" x14ac:dyDescent="0.2">
      <c r="H6" s="237" t="s">
        <v>440</v>
      </c>
    </row>
    <row r="7" spans="2:8" x14ac:dyDescent="0.2">
      <c r="H7" s="237" t="s">
        <v>436</v>
      </c>
    </row>
    <row r="8" spans="2:8" x14ac:dyDescent="0.2">
      <c r="H8" s="237" t="s">
        <v>437</v>
      </c>
    </row>
    <row r="9" spans="2:8" x14ac:dyDescent="0.2">
      <c r="H9" s="237" t="s">
        <v>438</v>
      </c>
    </row>
    <row r="10" spans="2:8" x14ac:dyDescent="0.2">
      <c r="H10" s="238" t="s">
        <v>439</v>
      </c>
    </row>
    <row r="13" spans="2:8" s="4" customFormat="1" ht="49" x14ac:dyDescent="0.2">
      <c r="B13" s="3" t="s">
        <v>14</v>
      </c>
    </row>
  </sheetData>
  <hyperlinks>
    <hyperlink ref="H6" location="Overview!B3" display="Overview'!B3" xr:uid="{91129D30-5528-2248-85DB-C9607A2D03AD}"/>
    <hyperlink ref="H8" location="'Analysis -&gt;'!B13" display="'Analysis -&gt;'!B13" xr:uid="{4617514C-0F58-7C45-9397-29D85A4DFCAC}"/>
    <hyperlink ref="H9" location="'Forecast -&gt;'!B13" display="'Forecast -&gt;'!B13" xr:uid="{6076256E-B478-D248-A480-D7855B180EE4}"/>
    <hyperlink ref="H10" location="'Valuation -&gt;'!B13" display="'Valuation -&gt;'!B13" xr:uid="{9559CE97-633C-314C-8A02-98D2E6E533A5}"/>
    <hyperlink ref="H7" location="'Financials -&gt;'!B13" display="'Financials -&gt;'!B13" xr:uid="{4E254FFE-5ADE-A24D-A746-D07E81A1B5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25"/>
  <sheetViews>
    <sheetView zoomScale="170" zoomScaleNormal="150" workbookViewId="0">
      <pane xSplit="2" ySplit="3" topLeftCell="X152" activePane="bottomRight" state="frozen"/>
      <selection pane="topRight" activeCell="C1" sqref="C1"/>
      <selection pane="bottomLeft" activeCell="A4" sqref="A4"/>
      <selection pane="bottomRight" activeCell="AC159" sqref="AC159"/>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2" width="10.83203125" style="1" customWidth="1"/>
    <col min="13" max="13" width="10.6640625" style="1" customWidth="1"/>
    <col min="14" max="14" width="10.83203125" style="1" customWidth="1"/>
    <col min="15" max="16" width="12" style="1" bestFit="1" customWidth="1"/>
    <col min="17" max="17" width="11.33203125" style="1" bestFit="1" customWidth="1"/>
    <col min="18" max="18" width="2.83203125" style="1" customWidth="1"/>
    <col min="19" max="19" width="3.5" style="1" customWidth="1"/>
    <col min="20" max="27" width="10.83203125" style="1"/>
    <col min="28" max="28" width="9" style="1" customWidth="1"/>
    <col min="29" max="16384" width="10.83203125" style="1"/>
  </cols>
  <sheetData>
    <row r="1" spans="1:31" x14ac:dyDescent="0.2">
      <c r="B1" s="1"/>
    </row>
    <row r="2" spans="1:31" s="10" customFormat="1" x14ac:dyDescent="0.2">
      <c r="A2" s="7"/>
      <c r="B2" s="8" t="s">
        <v>15</v>
      </c>
      <c r="C2" s="9"/>
      <c r="D2" s="9"/>
      <c r="E2" s="9"/>
      <c r="F2" s="9"/>
      <c r="G2" s="9"/>
      <c r="H2" s="9"/>
      <c r="I2" s="9"/>
      <c r="M2" s="9" t="s">
        <v>392</v>
      </c>
      <c r="N2" s="9" t="s">
        <v>391</v>
      </c>
      <c r="O2" s="10" t="s">
        <v>389</v>
      </c>
      <c r="P2" s="10" t="s">
        <v>388</v>
      </c>
      <c r="Q2" s="10" t="s">
        <v>387</v>
      </c>
      <c r="R2" s="7"/>
      <c r="S2" s="7"/>
      <c r="T2" s="10" t="s">
        <v>399</v>
      </c>
      <c r="U2" s="10" t="s">
        <v>388</v>
      </c>
      <c r="V2" s="10" t="s">
        <v>397</v>
      </c>
      <c r="W2" s="10" t="s">
        <v>401</v>
      </c>
      <c r="X2" s="201" t="s">
        <v>398</v>
      </c>
      <c r="Y2" s="10" t="s">
        <v>387</v>
      </c>
      <c r="Z2" s="201" t="s">
        <v>396</v>
      </c>
      <c r="AA2" s="201" t="s">
        <v>400</v>
      </c>
      <c r="AB2" s="7"/>
      <c r="AD2" s="7"/>
      <c r="AE2" s="7"/>
    </row>
    <row r="3" spans="1:31" s="13" customFormat="1" x14ac:dyDescent="0.2">
      <c r="A3" s="11"/>
      <c r="B3" s="12" t="s">
        <v>16</v>
      </c>
      <c r="M3" s="13">
        <v>2022</v>
      </c>
      <c r="N3" s="13">
        <v>2023</v>
      </c>
      <c r="O3" s="13">
        <v>2024</v>
      </c>
      <c r="P3" s="13">
        <v>2025</v>
      </c>
      <c r="Q3" s="13">
        <v>2026</v>
      </c>
      <c r="R3" s="11"/>
      <c r="S3" s="11"/>
      <c r="T3" s="10" t="s">
        <v>86</v>
      </c>
      <c r="U3" s="10" t="s">
        <v>85</v>
      </c>
      <c r="V3" s="10" t="s">
        <v>88</v>
      </c>
      <c r="W3" s="10" t="s">
        <v>87</v>
      </c>
      <c r="X3" s="201" t="s">
        <v>384</v>
      </c>
      <c r="Y3" s="201" t="s">
        <v>395</v>
      </c>
      <c r="Z3" s="201" t="s">
        <v>394</v>
      </c>
      <c r="AA3" s="201" t="s">
        <v>393</v>
      </c>
      <c r="AB3" s="11"/>
      <c r="AC3" s="59" t="s">
        <v>84</v>
      </c>
      <c r="AD3" s="11"/>
      <c r="AE3" s="11"/>
    </row>
    <row r="4" spans="1:31" s="15" customFormat="1" ht="17" thickBot="1" x14ac:dyDescent="0.25">
      <c r="A4" s="11"/>
      <c r="B4" s="14" t="s">
        <v>18</v>
      </c>
      <c r="R4" s="11"/>
      <c r="S4" s="11"/>
      <c r="AB4" s="11"/>
      <c r="AD4" s="11"/>
      <c r="AE4" s="11"/>
    </row>
    <row r="5" spans="1:31" s="19" customFormat="1" x14ac:dyDescent="0.2">
      <c r="A5" s="16"/>
      <c r="B5" s="17" t="s">
        <v>19</v>
      </c>
      <c r="C5" s="18"/>
      <c r="D5" s="18"/>
      <c r="E5" s="18"/>
      <c r="F5" s="18"/>
      <c r="G5" s="18"/>
      <c r="H5" s="18"/>
      <c r="I5" s="18"/>
      <c r="J5" s="18"/>
      <c r="K5" s="18"/>
      <c r="L5" s="18"/>
      <c r="M5" s="18">
        <v>4386</v>
      </c>
      <c r="N5" s="18">
        <v>5005</v>
      </c>
      <c r="O5" s="18">
        <v>5497</v>
      </c>
      <c r="P5" s="18">
        <v>6131</v>
      </c>
      <c r="Q5" s="18">
        <v>7206</v>
      </c>
      <c r="R5" s="16"/>
      <c r="S5" s="16"/>
      <c r="T5" s="18">
        <v>1570</v>
      </c>
      <c r="U5" s="18">
        <v>1639</v>
      </c>
      <c r="V5" s="18">
        <v>1633</v>
      </c>
      <c r="W5" s="18">
        <v>1763</v>
      </c>
      <c r="X5" s="18">
        <v>1853</v>
      </c>
      <c r="Y5" s="18">
        <v>1957</v>
      </c>
      <c r="Z5" s="18">
        <v>1934</v>
      </c>
      <c r="AA5" s="18">
        <v>2046</v>
      </c>
      <c r="AB5" s="16"/>
      <c r="AC5" s="18">
        <f>SUM(X5:AA5)</f>
        <v>7790</v>
      </c>
      <c r="AD5" s="16"/>
      <c r="AE5" s="16"/>
    </row>
    <row r="6" spans="1:31" x14ac:dyDescent="0.2">
      <c r="B6" s="20" t="s">
        <v>20</v>
      </c>
      <c r="C6" s="21"/>
      <c r="D6" s="21"/>
      <c r="E6" s="21"/>
      <c r="F6" s="21"/>
      <c r="G6" s="21"/>
      <c r="H6" s="21"/>
      <c r="I6" s="21"/>
      <c r="J6" s="21"/>
      <c r="K6" s="21"/>
      <c r="L6" s="21"/>
      <c r="M6" s="21">
        <v>418</v>
      </c>
      <c r="N6" s="21">
        <v>480</v>
      </c>
      <c r="O6" s="21">
        <v>511</v>
      </c>
      <c r="P6" s="21">
        <v>578</v>
      </c>
      <c r="Q6" s="21">
        <v>650</v>
      </c>
      <c r="T6" s="21">
        <v>147</v>
      </c>
      <c r="U6" s="21">
        <v>154</v>
      </c>
      <c r="V6" s="21">
        <v>160</v>
      </c>
      <c r="W6" s="21">
        <v>159</v>
      </c>
      <c r="X6" s="21">
        <v>165</v>
      </c>
      <c r="Y6" s="21">
        <v>166</v>
      </c>
      <c r="Z6" s="21">
        <v>175</v>
      </c>
      <c r="AA6" s="21">
        <v>176</v>
      </c>
      <c r="AC6" s="21">
        <f t="shared" ref="AC6:AC19" si="0">SUM(X6:AA6)</f>
        <v>682</v>
      </c>
    </row>
    <row r="7" spans="1:31" s="19" customFormat="1" x14ac:dyDescent="0.2">
      <c r="A7" s="16"/>
      <c r="B7" s="17" t="s">
        <v>21</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si="1"/>
        <v>0</v>
      </c>
      <c r="M7" s="22">
        <f t="shared" si="1"/>
        <v>3968</v>
      </c>
      <c r="N7" s="22">
        <f t="shared" si="1"/>
        <v>4525</v>
      </c>
      <c r="O7" s="22">
        <f t="shared" si="1"/>
        <v>4986</v>
      </c>
      <c r="P7" s="22">
        <f t="shared" si="1"/>
        <v>5553</v>
      </c>
      <c r="Q7" s="22">
        <f t="shared" si="1"/>
        <v>6556</v>
      </c>
      <c r="R7" s="16"/>
      <c r="S7" s="16"/>
      <c r="T7" s="22">
        <f t="shared" ref="T7:Y7" si="2">T5-T6</f>
        <v>1423</v>
      </c>
      <c r="U7" s="22">
        <f t="shared" si="2"/>
        <v>1485</v>
      </c>
      <c r="V7" s="22">
        <f t="shared" si="2"/>
        <v>1473</v>
      </c>
      <c r="W7" s="22">
        <f t="shared" si="2"/>
        <v>1604</v>
      </c>
      <c r="X7" s="22">
        <f t="shared" si="2"/>
        <v>1688</v>
      </c>
      <c r="Y7" s="22">
        <f t="shared" si="2"/>
        <v>1791</v>
      </c>
      <c r="Z7" s="22">
        <f t="shared" ref="Z7:AA7" si="3">Z5-Z6</f>
        <v>1759</v>
      </c>
      <c r="AA7" s="22">
        <f t="shared" si="3"/>
        <v>1870</v>
      </c>
      <c r="AB7" s="16"/>
      <c r="AC7" s="22">
        <f t="shared" si="0"/>
        <v>7108</v>
      </c>
      <c r="AD7" s="16"/>
      <c r="AE7" s="16"/>
    </row>
    <row r="8" spans="1:31" x14ac:dyDescent="0.2">
      <c r="B8" s="20" t="s">
        <v>23</v>
      </c>
      <c r="C8" s="21"/>
      <c r="D8" s="21"/>
      <c r="E8" s="21"/>
      <c r="F8" s="21"/>
      <c r="G8" s="21"/>
      <c r="H8" s="21"/>
      <c r="I8" s="21"/>
      <c r="J8" s="21"/>
      <c r="K8" s="21"/>
      <c r="L8" s="21"/>
      <c r="M8" s="21">
        <v>1623</v>
      </c>
      <c r="N8" s="21">
        <v>1745</v>
      </c>
      <c r="O8" s="21">
        <v>1823</v>
      </c>
      <c r="P8" s="21">
        <v>2000</v>
      </c>
      <c r="Q8" s="21">
        <v>2373</v>
      </c>
      <c r="T8" s="21">
        <v>525</v>
      </c>
      <c r="U8" s="21">
        <v>526</v>
      </c>
      <c r="V8" s="21">
        <v>566</v>
      </c>
      <c r="W8" s="21">
        <v>559</v>
      </c>
      <c r="X8" s="21">
        <v>612</v>
      </c>
      <c r="Y8" s="21">
        <v>636</v>
      </c>
      <c r="Z8" s="21">
        <v>593</v>
      </c>
      <c r="AA8" s="21">
        <v>616</v>
      </c>
      <c r="AC8" s="21">
        <f t="shared" si="0"/>
        <v>2457</v>
      </c>
    </row>
    <row r="9" spans="1:31" x14ac:dyDescent="0.2">
      <c r="B9" s="20" t="s">
        <v>22</v>
      </c>
      <c r="C9" s="21"/>
      <c r="D9" s="21"/>
      <c r="E9" s="21"/>
      <c r="F9" s="21"/>
      <c r="G9" s="21"/>
      <c r="H9" s="21"/>
      <c r="I9" s="21"/>
      <c r="J9" s="21"/>
      <c r="K9" s="21"/>
      <c r="L9" s="21"/>
      <c r="M9" s="21">
        <v>1115</v>
      </c>
      <c r="N9" s="21">
        <v>1219</v>
      </c>
      <c r="O9" s="21">
        <v>1373</v>
      </c>
      <c r="P9" s="21">
        <v>1485</v>
      </c>
      <c r="Q9" s="21">
        <v>1643</v>
      </c>
      <c r="T9" s="21">
        <v>378</v>
      </c>
      <c r="U9" s="21">
        <v>393</v>
      </c>
      <c r="V9" s="21">
        <v>394</v>
      </c>
      <c r="W9" s="21">
        <v>413</v>
      </c>
      <c r="X9" s="21">
        <v>416</v>
      </c>
      <c r="Y9" s="21">
        <v>420</v>
      </c>
      <c r="Z9" s="21">
        <v>421</v>
      </c>
      <c r="AA9" s="21">
        <v>464</v>
      </c>
      <c r="AC9" s="21">
        <f t="shared" si="0"/>
        <v>1721</v>
      </c>
    </row>
    <row r="10" spans="1:31" x14ac:dyDescent="0.2">
      <c r="B10" s="23" t="s">
        <v>24</v>
      </c>
      <c r="C10" s="21"/>
      <c r="D10" s="21"/>
      <c r="E10" s="21"/>
      <c r="F10" s="21"/>
      <c r="G10" s="21"/>
      <c r="H10" s="21"/>
      <c r="I10" s="21"/>
      <c r="J10" s="21"/>
      <c r="K10" s="21"/>
      <c r="L10" s="21"/>
      <c r="M10" s="21">
        <v>572</v>
      </c>
      <c r="N10" s="21">
        <v>532</v>
      </c>
      <c r="O10" s="21">
        <v>620</v>
      </c>
      <c r="P10" s="21">
        <v>650</v>
      </c>
      <c r="Q10" s="21">
        <v>693</v>
      </c>
      <c r="T10" s="21">
        <v>161</v>
      </c>
      <c r="U10" s="21">
        <v>173</v>
      </c>
      <c r="V10" s="21">
        <v>162</v>
      </c>
      <c r="W10" s="21">
        <v>168</v>
      </c>
      <c r="X10" s="21">
        <v>172</v>
      </c>
      <c r="Y10" s="21">
        <v>191</v>
      </c>
      <c r="Z10" s="21">
        <v>162</v>
      </c>
      <c r="AA10" s="21">
        <v>179</v>
      </c>
      <c r="AC10" s="21">
        <f t="shared" si="0"/>
        <v>704</v>
      </c>
    </row>
    <row r="11" spans="1:31" x14ac:dyDescent="0.2">
      <c r="B11" s="23" t="s">
        <v>390</v>
      </c>
      <c r="C11" s="21"/>
      <c r="D11" s="21"/>
      <c r="E11" s="21"/>
      <c r="F11" s="21"/>
      <c r="G11" s="21"/>
      <c r="H11" s="21"/>
      <c r="I11" s="21"/>
      <c r="J11" s="21"/>
      <c r="K11" s="21"/>
      <c r="L11" s="21"/>
      <c r="M11" s="21">
        <v>40</v>
      </c>
      <c r="N11" s="21">
        <v>40</v>
      </c>
      <c r="O11" s="21">
        <v>42</v>
      </c>
      <c r="P11" s="21">
        <v>49</v>
      </c>
      <c r="Q11" s="21">
        <v>53</v>
      </c>
      <c r="T11" s="21">
        <v>13</v>
      </c>
      <c r="U11" s="21">
        <v>12</v>
      </c>
      <c r="V11" s="21">
        <v>13</v>
      </c>
      <c r="W11" s="21">
        <v>14</v>
      </c>
      <c r="X11" s="21">
        <v>13</v>
      </c>
      <c r="Y11" s="21">
        <v>13</v>
      </c>
      <c r="Z11" s="21">
        <v>12</v>
      </c>
      <c r="AA11" s="21">
        <v>13</v>
      </c>
      <c r="AC11" s="21">
        <f t="shared" si="0"/>
        <v>51</v>
      </c>
    </row>
    <row r="12" spans="1:31" x14ac:dyDescent="0.2">
      <c r="B12" s="23" t="s">
        <v>25</v>
      </c>
      <c r="C12" s="21"/>
      <c r="D12" s="21"/>
      <c r="E12" s="21"/>
      <c r="F12" s="21"/>
      <c r="G12" s="21"/>
      <c r="H12" s="21"/>
      <c r="I12" s="21"/>
      <c r="J12" s="21"/>
      <c r="K12" s="21"/>
      <c r="L12" s="21"/>
      <c r="M12" s="21">
        <v>3350</v>
      </c>
      <c r="N12" s="21">
        <v>3536</v>
      </c>
      <c r="O12" s="21">
        <v>3858</v>
      </c>
      <c r="P12" s="21">
        <v>4199</v>
      </c>
      <c r="Q12" s="21">
        <v>4978</v>
      </c>
      <c r="T12" s="21">
        <v>1077</v>
      </c>
      <c r="U12" s="21">
        <v>1119</v>
      </c>
      <c r="V12" s="21">
        <v>1240</v>
      </c>
      <c r="W12" s="21">
        <v>1160</v>
      </c>
      <c r="X12" s="21">
        <v>1218</v>
      </c>
      <c r="Y12" s="21">
        <v>1360</v>
      </c>
      <c r="Z12" s="21">
        <v>1218</v>
      </c>
      <c r="AA12" s="21">
        <v>1271</v>
      </c>
      <c r="AC12" s="21">
        <f t="shared" si="0"/>
        <v>5067</v>
      </c>
    </row>
    <row r="13" spans="1:31" s="19" customFormat="1" x14ac:dyDescent="0.2">
      <c r="A13" s="16"/>
      <c r="B13" s="17" t="s">
        <v>26</v>
      </c>
      <c r="C13" s="18"/>
      <c r="D13" s="18"/>
      <c r="E13" s="18"/>
      <c r="F13" s="18"/>
      <c r="G13" s="18"/>
      <c r="H13" s="18"/>
      <c r="I13" s="18"/>
      <c r="J13" s="18"/>
      <c r="K13" s="18"/>
      <c r="L13" s="18"/>
      <c r="M13" s="18">
        <v>618</v>
      </c>
      <c r="N13" s="18">
        <v>989</v>
      </c>
      <c r="O13" s="18">
        <v>1128</v>
      </c>
      <c r="P13" s="18">
        <v>1354</v>
      </c>
      <c r="Q13" s="18">
        <v>1578</v>
      </c>
      <c r="R13" s="16"/>
      <c r="S13" s="16"/>
      <c r="T13" s="18">
        <v>346</v>
      </c>
      <c r="U13" s="18">
        <v>366</v>
      </c>
      <c r="V13" s="18">
        <v>233</v>
      </c>
      <c r="W13" s="18">
        <v>444</v>
      </c>
      <c r="X13" s="18">
        <v>470</v>
      </c>
      <c r="Y13" s="18">
        <v>431</v>
      </c>
      <c r="Z13" s="18">
        <v>541</v>
      </c>
      <c r="AA13" s="18">
        <v>599</v>
      </c>
      <c r="AB13" s="1"/>
      <c r="AC13" s="18">
        <f t="shared" si="0"/>
        <v>2041</v>
      </c>
      <c r="AD13" s="1"/>
      <c r="AE13" s="1"/>
    </row>
    <row r="14" spans="1:31" x14ac:dyDescent="0.2">
      <c r="B14" s="23" t="s">
        <v>27</v>
      </c>
      <c r="C14" s="21"/>
      <c r="D14" s="21"/>
      <c r="E14" s="21"/>
      <c r="F14" s="21"/>
      <c r="G14" s="21"/>
      <c r="H14" s="21"/>
      <c r="I14" s="21"/>
      <c r="J14" s="21"/>
      <c r="K14" s="21"/>
      <c r="L14" s="21"/>
      <c r="M14" s="62">
        <v>-53</v>
      </c>
      <c r="N14" s="62">
        <v>-43</v>
      </c>
      <c r="O14" s="62">
        <v>8</v>
      </c>
      <c r="P14" s="62">
        <v>30</v>
      </c>
      <c r="Q14" s="62">
        <v>25</v>
      </c>
      <c r="T14" s="62">
        <v>5</v>
      </c>
      <c r="U14" s="62">
        <v>6</v>
      </c>
      <c r="V14" s="62">
        <v>1</v>
      </c>
      <c r="W14" s="62">
        <v>12</v>
      </c>
      <c r="X14" s="62">
        <v>-2</v>
      </c>
      <c r="Y14" s="62">
        <v>14</v>
      </c>
      <c r="Z14" s="62">
        <v>58</v>
      </c>
      <c r="AA14" s="62">
        <v>-6</v>
      </c>
      <c r="AC14" s="62">
        <f t="shared" si="0"/>
        <v>64</v>
      </c>
    </row>
    <row r="15" spans="1:31" x14ac:dyDescent="0.2">
      <c r="B15" s="23" t="s">
        <v>28</v>
      </c>
      <c r="C15" s="21"/>
      <c r="D15" s="21"/>
      <c r="E15" s="21"/>
      <c r="F15" s="21"/>
      <c r="G15" s="21"/>
      <c r="H15" s="21"/>
      <c r="I15" s="21"/>
      <c r="J15" s="21"/>
      <c r="K15" s="21"/>
      <c r="L15" s="21"/>
      <c r="M15" s="21">
        <v>0</v>
      </c>
      <c r="N15" s="21">
        <v>0</v>
      </c>
      <c r="O15" s="21">
        <v>0</v>
      </c>
      <c r="P15" s="21">
        <v>0</v>
      </c>
      <c r="Q15" s="21">
        <v>0</v>
      </c>
      <c r="T15" s="21">
        <v>0</v>
      </c>
      <c r="U15" s="21">
        <v>0</v>
      </c>
      <c r="V15" s="21">
        <v>0</v>
      </c>
      <c r="W15" s="21">
        <v>0</v>
      </c>
      <c r="X15" s="21">
        <v>0</v>
      </c>
      <c r="Y15" s="21">
        <v>0</v>
      </c>
      <c r="Z15" s="21">
        <v>0</v>
      </c>
      <c r="AA15" s="21">
        <v>0</v>
      </c>
      <c r="AC15" s="62">
        <f t="shared" si="0"/>
        <v>0</v>
      </c>
    </row>
    <row r="16" spans="1:31" s="19" customFormat="1" x14ac:dyDescent="0.2">
      <c r="A16" s="16"/>
      <c r="B16" s="17" t="s">
        <v>29</v>
      </c>
      <c r="C16" s="18"/>
      <c r="D16" s="18"/>
      <c r="E16" s="18"/>
      <c r="F16" s="18"/>
      <c r="G16" s="18"/>
      <c r="H16" s="18"/>
      <c r="I16" s="18"/>
      <c r="J16" s="18"/>
      <c r="K16" s="18"/>
      <c r="L16" s="18"/>
      <c r="M16" s="18">
        <v>565</v>
      </c>
      <c r="N16" s="18">
        <v>946</v>
      </c>
      <c r="O16" s="18">
        <v>1136</v>
      </c>
      <c r="P16" s="18">
        <v>1384</v>
      </c>
      <c r="Q16" s="18">
        <v>1603</v>
      </c>
      <c r="R16" s="1"/>
      <c r="S16" s="1"/>
      <c r="T16" s="18">
        <v>351</v>
      </c>
      <c r="U16" s="18">
        <v>372</v>
      </c>
      <c r="V16" s="18">
        <v>234</v>
      </c>
      <c r="W16" s="18">
        <v>456</v>
      </c>
      <c r="X16" s="18">
        <v>468</v>
      </c>
      <c r="Y16" s="18">
        <v>445</v>
      </c>
      <c r="Z16" s="18">
        <v>599</v>
      </c>
      <c r="AA16" s="18">
        <v>593</v>
      </c>
      <c r="AB16" s="1"/>
      <c r="AC16" s="18">
        <f t="shared" si="0"/>
        <v>2105</v>
      </c>
      <c r="AD16" s="1"/>
      <c r="AE16" s="1"/>
    </row>
    <row r="17" spans="1:31" x14ac:dyDescent="0.2">
      <c r="B17" s="23" t="s">
        <v>30</v>
      </c>
      <c r="C17" s="21"/>
      <c r="D17" s="21"/>
      <c r="E17" s="21"/>
      <c r="F17" s="21"/>
      <c r="G17" s="21"/>
      <c r="H17" s="21"/>
      <c r="I17" s="21"/>
      <c r="J17" s="21"/>
      <c r="K17" s="21"/>
      <c r="L17" s="21"/>
      <c r="M17" s="62">
        <v>-68</v>
      </c>
      <c r="N17" s="62">
        <v>-123</v>
      </c>
      <c r="O17" s="62">
        <v>-230</v>
      </c>
      <c r="P17" s="62">
        <v>-272</v>
      </c>
      <c r="Q17" s="62">
        <v>-479</v>
      </c>
      <c r="T17" s="62">
        <v>-76</v>
      </c>
      <c r="U17" s="62">
        <v>-69</v>
      </c>
      <c r="V17" s="62">
        <v>-82</v>
      </c>
      <c r="W17" s="62">
        <v>-143</v>
      </c>
      <c r="X17" s="62">
        <v>-125</v>
      </c>
      <c r="Y17" s="62">
        <v>-129</v>
      </c>
      <c r="Z17" s="62">
        <v>-108</v>
      </c>
      <c r="AA17" s="62">
        <v>-101</v>
      </c>
      <c r="AC17" s="62">
        <f t="shared" si="0"/>
        <v>-463</v>
      </c>
    </row>
    <row r="18" spans="1:31" x14ac:dyDescent="0.2">
      <c r="B18" s="23" t="s">
        <v>325</v>
      </c>
      <c r="C18" s="21"/>
      <c r="D18" s="21"/>
      <c r="E18" s="21"/>
      <c r="F18" s="21"/>
      <c r="G18" s="21"/>
      <c r="H18" s="21"/>
      <c r="I18" s="21"/>
      <c r="J18" s="21"/>
      <c r="K18" s="21"/>
      <c r="L18" s="21"/>
      <c r="M18" s="62">
        <v>0</v>
      </c>
      <c r="N18" s="62">
        <v>0</v>
      </c>
      <c r="O18" s="62">
        <v>0</v>
      </c>
      <c r="P18" s="62">
        <v>0</v>
      </c>
      <c r="Q18" s="62">
        <v>0</v>
      </c>
      <c r="T18" s="62">
        <v>0</v>
      </c>
      <c r="U18" s="62">
        <v>0</v>
      </c>
      <c r="V18" s="62">
        <v>0</v>
      </c>
      <c r="W18" s="62">
        <v>0</v>
      </c>
      <c r="X18" s="62">
        <v>0</v>
      </c>
      <c r="Y18" s="62">
        <v>0</v>
      </c>
      <c r="Z18" s="62">
        <v>0</v>
      </c>
      <c r="AA18" s="62">
        <v>0</v>
      </c>
      <c r="AC18" s="62">
        <f t="shared" si="0"/>
        <v>0</v>
      </c>
    </row>
    <row r="19" spans="1:31" s="19" customFormat="1" x14ac:dyDescent="0.2">
      <c r="A19" s="16"/>
      <c r="B19" s="17" t="s">
        <v>31</v>
      </c>
      <c r="C19" s="18"/>
      <c r="D19" s="18"/>
      <c r="E19" s="18"/>
      <c r="F19" s="18"/>
      <c r="G19" s="18"/>
      <c r="H19" s="18"/>
      <c r="I19" s="18"/>
      <c r="J19" s="18"/>
      <c r="K19" s="18"/>
      <c r="L19" s="18"/>
      <c r="M19" s="18">
        <v>497</v>
      </c>
      <c r="N19" s="18">
        <v>823</v>
      </c>
      <c r="O19" s="18">
        <v>906</v>
      </c>
      <c r="P19" s="18">
        <v>1112</v>
      </c>
      <c r="Q19" s="18">
        <v>1124</v>
      </c>
      <c r="R19" s="60"/>
      <c r="S19" s="60"/>
      <c r="T19" s="18">
        <v>275</v>
      </c>
      <c r="U19" s="18">
        <v>303</v>
      </c>
      <c r="V19" s="18">
        <v>152</v>
      </c>
      <c r="W19" s="18">
        <v>313</v>
      </c>
      <c r="X19" s="18">
        <v>343</v>
      </c>
      <c r="Y19" s="18">
        <v>316</v>
      </c>
      <c r="Z19" s="18">
        <v>491</v>
      </c>
      <c r="AA19" s="18">
        <v>492</v>
      </c>
      <c r="AB19" s="1"/>
      <c r="AC19" s="61">
        <f t="shared" si="0"/>
        <v>1642</v>
      </c>
      <c r="AD19" s="1"/>
      <c r="AE19" s="1"/>
    </row>
    <row r="20" spans="1:31" x14ac:dyDescent="0.2">
      <c r="B20" s="23" t="s">
        <v>32</v>
      </c>
      <c r="C20" s="21"/>
      <c r="D20" s="21"/>
      <c r="E20" s="21"/>
      <c r="F20" s="21"/>
      <c r="G20" s="21"/>
      <c r="H20" s="21"/>
      <c r="I20" s="21"/>
      <c r="J20" s="21"/>
      <c r="K20" s="21"/>
      <c r="L20" s="21"/>
      <c r="M20" s="21">
        <v>220</v>
      </c>
      <c r="N20" s="21">
        <v>216</v>
      </c>
      <c r="O20" s="21">
        <v>214</v>
      </c>
      <c r="P20" s="21">
        <v>215</v>
      </c>
      <c r="Q20" s="21">
        <v>213</v>
      </c>
      <c r="R20" s="60"/>
      <c r="S20" s="60"/>
      <c r="T20" s="21">
        <v>215</v>
      </c>
      <c r="U20" s="21">
        <v>214</v>
      </c>
      <c r="V20" s="21">
        <v>214</v>
      </c>
      <c r="W20" s="21">
        <v>213</v>
      </c>
      <c r="X20" s="21">
        <v>213</v>
      </c>
      <c r="Y20" s="21">
        <v>212</v>
      </c>
      <c r="Z20" s="21">
        <v>211</v>
      </c>
      <c r="AA20" s="21">
        <v>210</v>
      </c>
      <c r="AC20" s="62">
        <f>AVERAGE(X20:AA20)</f>
        <v>211.5</v>
      </c>
    </row>
    <row r="21" spans="1:31" x14ac:dyDescent="0.2">
      <c r="B21" s="23" t="s">
        <v>33</v>
      </c>
      <c r="C21" s="25">
        <f t="shared" ref="C21:Q21" si="4">C20*C$86</f>
        <v>0</v>
      </c>
      <c r="D21" s="25">
        <f t="shared" si="4"/>
        <v>0</v>
      </c>
      <c r="E21" s="25">
        <f t="shared" si="4"/>
        <v>0</v>
      </c>
      <c r="F21" s="25">
        <f t="shared" si="4"/>
        <v>0</v>
      </c>
      <c r="G21" s="25">
        <f t="shared" si="4"/>
        <v>0</v>
      </c>
      <c r="H21" s="25">
        <f t="shared" si="4"/>
        <v>0</v>
      </c>
      <c r="I21" s="25">
        <f t="shared" si="4"/>
        <v>0</v>
      </c>
      <c r="J21" s="25">
        <f t="shared" si="4"/>
        <v>0</v>
      </c>
      <c r="K21" s="25">
        <f t="shared" si="4"/>
        <v>0</v>
      </c>
      <c r="L21" s="25">
        <f t="shared" si="4"/>
        <v>0</v>
      </c>
      <c r="M21" s="25">
        <f t="shared" si="4"/>
        <v>220</v>
      </c>
      <c r="N21" s="25">
        <f t="shared" si="4"/>
        <v>216</v>
      </c>
      <c r="O21" s="25">
        <f t="shared" si="4"/>
        <v>214</v>
      </c>
      <c r="P21" s="25">
        <f t="shared" si="4"/>
        <v>215</v>
      </c>
      <c r="Q21" s="25">
        <f t="shared" si="4"/>
        <v>213</v>
      </c>
      <c r="T21" s="25">
        <f t="shared" ref="T21:Z21" si="5">T20*T$86</f>
        <v>215</v>
      </c>
      <c r="U21" s="25">
        <f t="shared" si="5"/>
        <v>214</v>
      </c>
      <c r="V21" s="25">
        <f t="shared" si="5"/>
        <v>214</v>
      </c>
      <c r="W21" s="25">
        <f t="shared" si="5"/>
        <v>213</v>
      </c>
      <c r="X21" s="25">
        <f t="shared" si="5"/>
        <v>213</v>
      </c>
      <c r="Y21" s="25">
        <f t="shared" si="5"/>
        <v>212</v>
      </c>
      <c r="Z21" s="25">
        <f t="shared" si="5"/>
        <v>211</v>
      </c>
      <c r="AA21" s="25">
        <f t="shared" ref="AA21" si="6">AA20*AA$86</f>
        <v>210</v>
      </c>
      <c r="AC21" s="25">
        <f>AC20*AC$86</f>
        <v>211.5</v>
      </c>
    </row>
    <row r="22" spans="1:31" x14ac:dyDescent="0.2">
      <c r="B22" s="23" t="s">
        <v>34</v>
      </c>
      <c r="C22" s="21"/>
      <c r="D22" s="21"/>
      <c r="E22" s="21"/>
      <c r="F22" s="21"/>
      <c r="G22" s="21"/>
      <c r="H22" s="21"/>
      <c r="I22" s="21"/>
      <c r="J22" s="21"/>
      <c r="K22" s="21"/>
      <c r="L22" s="21"/>
      <c r="M22" s="21">
        <v>222</v>
      </c>
      <c r="N22" s="21">
        <v>218</v>
      </c>
      <c r="O22" s="21">
        <v>216</v>
      </c>
      <c r="P22" s="21">
        <v>217</v>
      </c>
      <c r="Q22" s="21">
        <v>215</v>
      </c>
      <c r="T22" s="21">
        <v>217</v>
      </c>
      <c r="U22" s="21">
        <v>217</v>
      </c>
      <c r="V22" s="21">
        <v>216</v>
      </c>
      <c r="W22" s="21">
        <v>215</v>
      </c>
      <c r="X22" s="21">
        <v>215</v>
      </c>
      <c r="Y22" s="21">
        <v>214</v>
      </c>
      <c r="Z22" s="21">
        <v>212</v>
      </c>
      <c r="AA22" s="21">
        <v>211</v>
      </c>
      <c r="AC22" s="62">
        <f>AVERAGE(X22:AA22)</f>
        <v>213</v>
      </c>
    </row>
    <row r="23" spans="1:31" x14ac:dyDescent="0.2">
      <c r="B23" s="23" t="s">
        <v>35</v>
      </c>
      <c r="C23" s="25">
        <f t="shared" ref="C23:Q23" si="7">C22*C$86</f>
        <v>0</v>
      </c>
      <c r="D23" s="25">
        <f t="shared" si="7"/>
        <v>0</v>
      </c>
      <c r="E23" s="25">
        <f t="shared" si="7"/>
        <v>0</v>
      </c>
      <c r="F23" s="25">
        <f t="shared" si="7"/>
        <v>0</v>
      </c>
      <c r="G23" s="25">
        <f t="shared" si="7"/>
        <v>0</v>
      </c>
      <c r="H23" s="25">
        <f t="shared" si="7"/>
        <v>0</v>
      </c>
      <c r="I23" s="25">
        <f t="shared" si="7"/>
        <v>0</v>
      </c>
      <c r="J23" s="25">
        <f t="shared" si="7"/>
        <v>0</v>
      </c>
      <c r="K23" s="25">
        <f t="shared" si="7"/>
        <v>0</v>
      </c>
      <c r="L23" s="25">
        <f t="shared" si="7"/>
        <v>0</v>
      </c>
      <c r="M23" s="25">
        <f t="shared" si="7"/>
        <v>222</v>
      </c>
      <c r="N23" s="25">
        <f t="shared" si="7"/>
        <v>218</v>
      </c>
      <c r="O23" s="25">
        <f t="shared" si="7"/>
        <v>216</v>
      </c>
      <c r="P23" s="25">
        <f t="shared" si="7"/>
        <v>217</v>
      </c>
      <c r="Q23" s="25">
        <f t="shared" si="7"/>
        <v>215</v>
      </c>
      <c r="T23" s="25">
        <f t="shared" ref="T23:Z23" si="8">T22*T$86</f>
        <v>217</v>
      </c>
      <c r="U23" s="25">
        <f t="shared" si="8"/>
        <v>217</v>
      </c>
      <c r="V23" s="25">
        <f t="shared" si="8"/>
        <v>216</v>
      </c>
      <c r="W23" s="25">
        <f t="shared" si="8"/>
        <v>215</v>
      </c>
      <c r="X23" s="25">
        <f t="shared" si="8"/>
        <v>215</v>
      </c>
      <c r="Y23" s="25">
        <f t="shared" si="8"/>
        <v>214</v>
      </c>
      <c r="Z23" s="25">
        <f t="shared" si="8"/>
        <v>212</v>
      </c>
      <c r="AA23" s="25">
        <f t="shared" ref="AA23" si="9">AA22*AA$86</f>
        <v>211</v>
      </c>
      <c r="AC23" s="25">
        <f>AC22*AC$86</f>
        <v>213</v>
      </c>
    </row>
    <row r="24" spans="1:31" x14ac:dyDescent="0.2">
      <c r="B24" s="23" t="s">
        <v>36</v>
      </c>
      <c r="C24" s="26"/>
      <c r="D24" s="26"/>
      <c r="E24" s="26"/>
      <c r="F24" s="26"/>
      <c r="G24" s="26"/>
      <c r="H24" s="26"/>
      <c r="I24" s="26"/>
      <c r="J24" s="26"/>
      <c r="K24" s="26"/>
      <c r="L24" s="26"/>
      <c r="M24" s="26">
        <v>2.2599999999999998</v>
      </c>
      <c r="N24" s="26">
        <v>3.81</v>
      </c>
      <c r="O24" s="26">
        <v>4.2300000000000004</v>
      </c>
      <c r="P24" s="26">
        <v>5.17</v>
      </c>
      <c r="Q24" s="26">
        <v>5.28</v>
      </c>
      <c r="T24" s="26">
        <v>1.28</v>
      </c>
      <c r="U24" s="26">
        <v>1.42</v>
      </c>
      <c r="V24" s="26">
        <v>0.71</v>
      </c>
      <c r="W24" s="26">
        <v>1.47</v>
      </c>
      <c r="X24" s="26">
        <v>1.61</v>
      </c>
      <c r="Y24" s="26">
        <v>1.49</v>
      </c>
      <c r="Z24" s="26">
        <v>2.33</v>
      </c>
      <c r="AA24" s="26">
        <v>2.34</v>
      </c>
      <c r="AC24" s="26">
        <f>SUM(X24:AA24)</f>
        <v>7.77</v>
      </c>
    </row>
    <row r="25" spans="1:31" x14ac:dyDescent="0.2">
      <c r="B25" s="23" t="s">
        <v>37</v>
      </c>
      <c r="C25" s="27"/>
      <c r="D25" s="27"/>
      <c r="E25" s="27"/>
      <c r="F25" s="27"/>
      <c r="G25" s="27"/>
      <c r="H25" s="27"/>
      <c r="I25" s="27"/>
      <c r="J25" s="27"/>
      <c r="K25" s="27"/>
      <c r="L25" s="27"/>
      <c r="M25" s="65">
        <f>M24/M$86</f>
        <v>2.2599999999999998</v>
      </c>
      <c r="N25" s="65">
        <f>N24/N$86</f>
        <v>3.81</v>
      </c>
      <c r="O25" s="65">
        <f>O24/O$86</f>
        <v>4.2300000000000004</v>
      </c>
      <c r="P25" s="65">
        <f>P24/P$86</f>
        <v>5.17</v>
      </c>
      <c r="Q25" s="65">
        <f>Q24/Q$86</f>
        <v>5.28</v>
      </c>
      <c r="T25" s="65">
        <f t="shared" ref="T25:Z25" si="10">T24/T$86</f>
        <v>1.28</v>
      </c>
      <c r="U25" s="65">
        <f t="shared" si="10"/>
        <v>1.42</v>
      </c>
      <c r="V25" s="65">
        <f t="shared" si="10"/>
        <v>0.71</v>
      </c>
      <c r="W25" s="65">
        <f t="shared" si="10"/>
        <v>1.47</v>
      </c>
      <c r="X25" s="65">
        <f t="shared" si="10"/>
        <v>1.61</v>
      </c>
      <c r="Y25" s="65">
        <f t="shared" si="10"/>
        <v>1.49</v>
      </c>
      <c r="Z25" s="65">
        <f t="shared" si="10"/>
        <v>2.33</v>
      </c>
      <c r="AA25" s="65">
        <f t="shared" ref="AA25" si="11">AA24/AA$86</f>
        <v>2.34</v>
      </c>
      <c r="AC25" s="65">
        <f>AC24/AC$86</f>
        <v>7.77</v>
      </c>
    </row>
    <row r="26" spans="1:31" x14ac:dyDescent="0.2">
      <c r="B26" s="23" t="s">
        <v>38</v>
      </c>
      <c r="C26" s="26"/>
      <c r="D26" s="26"/>
      <c r="E26" s="26"/>
      <c r="F26" s="26"/>
      <c r="G26" s="26"/>
      <c r="H26" s="26"/>
      <c r="I26" s="26"/>
      <c r="J26" s="26"/>
      <c r="K26" s="26"/>
      <c r="L26" s="26"/>
      <c r="M26" s="26">
        <v>2.2400000000000002</v>
      </c>
      <c r="N26" s="26">
        <v>3.78</v>
      </c>
      <c r="O26" s="26">
        <v>4.1900000000000004</v>
      </c>
      <c r="P26" s="26">
        <v>5.12</v>
      </c>
      <c r="Q26" s="26">
        <v>5.23</v>
      </c>
      <c r="T26" s="63">
        <v>1.27</v>
      </c>
      <c r="U26" s="26">
        <v>1.4</v>
      </c>
      <c r="V26" s="63">
        <v>0.7</v>
      </c>
      <c r="W26" s="26">
        <v>1.46</v>
      </c>
      <c r="X26" s="26">
        <v>1.6</v>
      </c>
      <c r="Y26" s="26">
        <v>1.48</v>
      </c>
      <c r="Z26" s="26">
        <v>2.3199999999999998</v>
      </c>
      <c r="AA26" s="26">
        <v>2.33</v>
      </c>
      <c r="AC26" s="26">
        <f>SUM(X26:AA26)</f>
        <v>7.73</v>
      </c>
    </row>
    <row r="27" spans="1:31" s="30" customFormat="1" ht="17" thickBot="1" x14ac:dyDescent="0.25">
      <c r="A27" s="1"/>
      <c r="B27" s="28" t="s">
        <v>39</v>
      </c>
      <c r="C27" s="29"/>
      <c r="D27" s="29"/>
      <c r="E27" s="29"/>
      <c r="F27" s="29"/>
      <c r="G27" s="29"/>
      <c r="H27" s="29"/>
      <c r="I27" s="29"/>
      <c r="J27" s="29"/>
      <c r="K27" s="29"/>
      <c r="L27" s="29"/>
      <c r="M27" s="66">
        <f>M26/M$86</f>
        <v>2.2400000000000002</v>
      </c>
      <c r="N27" s="66">
        <f>N26/N$86</f>
        <v>3.78</v>
      </c>
      <c r="O27" s="66">
        <f>O26/O$86</f>
        <v>4.1900000000000004</v>
      </c>
      <c r="P27" s="66">
        <f>P26/P$86</f>
        <v>5.12</v>
      </c>
      <c r="Q27" s="66">
        <f>Q26/Q$86</f>
        <v>5.23</v>
      </c>
      <c r="R27" s="1"/>
      <c r="S27" s="1"/>
      <c r="T27" s="66">
        <f t="shared" ref="T27:Z27" si="12">T26/T$86</f>
        <v>1.27</v>
      </c>
      <c r="U27" s="66">
        <f t="shared" si="12"/>
        <v>1.4</v>
      </c>
      <c r="V27" s="66">
        <f t="shared" si="12"/>
        <v>0.7</v>
      </c>
      <c r="W27" s="66">
        <f t="shared" si="12"/>
        <v>1.46</v>
      </c>
      <c r="X27" s="66">
        <f t="shared" si="12"/>
        <v>1.6</v>
      </c>
      <c r="Y27" s="66">
        <f t="shared" si="12"/>
        <v>1.48</v>
      </c>
      <c r="Z27" s="66">
        <f t="shared" si="12"/>
        <v>2.3199999999999998</v>
      </c>
      <c r="AA27" s="66">
        <f t="shared" ref="AA27" si="13">AA26/AA$86</f>
        <v>2.33</v>
      </c>
      <c r="AB27" s="1"/>
      <c r="AC27" s="66">
        <f>AC26/AC$86</f>
        <v>7.73</v>
      </c>
      <c r="AD27" s="1"/>
      <c r="AE27" s="1"/>
    </row>
    <row r="28" spans="1:31" s="30" customFormat="1" ht="17" thickBot="1" x14ac:dyDescent="0.25">
      <c r="A28" s="1"/>
      <c r="B28" s="31"/>
      <c r="J28" s="31"/>
      <c r="K28" s="31"/>
      <c r="L28" s="31"/>
      <c r="M28" s="31"/>
      <c r="N28" s="31"/>
      <c r="O28" s="31"/>
      <c r="P28" s="31"/>
      <c r="R28" s="1"/>
      <c r="S28" s="1"/>
      <c r="AB28" s="1"/>
      <c r="AD28" s="1"/>
      <c r="AE28" s="1"/>
    </row>
    <row r="29" spans="1:31" s="15" customFormat="1" ht="17" thickBot="1" x14ac:dyDescent="0.25">
      <c r="A29" s="11"/>
      <c r="B29" s="14" t="s">
        <v>40</v>
      </c>
      <c r="R29" s="1"/>
      <c r="S29" s="1"/>
      <c r="AB29" s="1"/>
      <c r="AD29" s="1"/>
      <c r="AE29" s="1"/>
    </row>
    <row r="30" spans="1:31" x14ac:dyDescent="0.2">
      <c r="B30" s="20" t="s">
        <v>41</v>
      </c>
      <c r="C30" s="21"/>
      <c r="D30" s="21"/>
      <c r="E30" s="21"/>
      <c r="F30" s="21"/>
      <c r="G30" s="21"/>
      <c r="H30" s="21"/>
      <c r="I30" s="21"/>
      <c r="J30" s="21"/>
      <c r="K30" s="21"/>
      <c r="L30" s="21"/>
      <c r="M30" s="21">
        <f>1528+236</f>
        <v>1764</v>
      </c>
      <c r="N30" s="21">
        <f>1947+125</f>
        <v>2072</v>
      </c>
      <c r="O30" s="21">
        <f>1892+354</f>
        <v>2246</v>
      </c>
      <c r="P30" s="21">
        <f>1599+287</f>
        <v>1886</v>
      </c>
      <c r="Q30" s="21">
        <f>2249+348</f>
        <v>2597</v>
      </c>
      <c r="T30" s="21">
        <f>1437+276</f>
        <v>1713</v>
      </c>
      <c r="U30" s="21">
        <f>1599+287</f>
        <v>1886</v>
      </c>
      <c r="V30" s="21">
        <f>1816+224</f>
        <v>2040</v>
      </c>
      <c r="W30" s="21">
        <f>2003+233</f>
        <v>2236</v>
      </c>
      <c r="X30" s="21">
        <f>1989+300</f>
        <v>2289</v>
      </c>
      <c r="Y30" s="21">
        <f>2249+348</f>
        <v>2597</v>
      </c>
      <c r="Z30" s="21">
        <f>2671+253</f>
        <v>2924</v>
      </c>
      <c r="AA30" s="21">
        <f>4098+57</f>
        <v>4155</v>
      </c>
      <c r="AC30" s="21">
        <f>AA30</f>
        <v>4155</v>
      </c>
    </row>
    <row r="31" spans="1:31" x14ac:dyDescent="0.2">
      <c r="B31" s="20" t="s">
        <v>42</v>
      </c>
      <c r="C31" s="21"/>
      <c r="D31" s="21"/>
      <c r="E31" s="21"/>
      <c r="F31" s="21"/>
      <c r="G31" s="21"/>
      <c r="H31" s="21"/>
      <c r="I31" s="21"/>
      <c r="J31" s="21"/>
      <c r="K31" s="21"/>
      <c r="L31" s="21"/>
      <c r="M31" s="21">
        <v>716</v>
      </c>
      <c r="N31" s="21">
        <v>961</v>
      </c>
      <c r="O31" s="21">
        <v>876</v>
      </c>
      <c r="P31" s="21">
        <v>1008</v>
      </c>
      <c r="Q31" s="21">
        <v>1439</v>
      </c>
      <c r="T31" s="21">
        <v>702</v>
      </c>
      <c r="U31" s="21">
        <v>1008</v>
      </c>
      <c r="V31" s="21">
        <v>494</v>
      </c>
      <c r="W31" s="21">
        <v>532</v>
      </c>
      <c r="X31" s="21">
        <v>806</v>
      </c>
      <c r="Y31" s="21">
        <v>1439</v>
      </c>
      <c r="Z31" s="21">
        <v>579</v>
      </c>
      <c r="AA31" s="21">
        <v>684</v>
      </c>
      <c r="AC31" s="21">
        <f t="shared" ref="AC31:AC51" si="14">AA31</f>
        <v>684</v>
      </c>
    </row>
    <row r="32" spans="1:31" x14ac:dyDescent="0.2">
      <c r="B32" s="20" t="s">
        <v>134</v>
      </c>
      <c r="C32" s="21"/>
      <c r="D32" s="21"/>
      <c r="E32" s="21"/>
      <c r="F32" s="21"/>
      <c r="G32" s="21"/>
      <c r="H32" s="21"/>
      <c r="I32" s="21"/>
      <c r="J32" s="21"/>
      <c r="K32" s="21"/>
      <c r="L32" s="21"/>
      <c r="M32" s="21">
        <v>0</v>
      </c>
      <c r="N32" s="21">
        <v>0</v>
      </c>
      <c r="O32" s="21">
        <v>0</v>
      </c>
      <c r="P32" s="21">
        <v>0</v>
      </c>
      <c r="Q32" s="21">
        <v>0</v>
      </c>
      <c r="T32" s="21">
        <v>0</v>
      </c>
      <c r="U32" s="21">
        <v>0</v>
      </c>
      <c r="V32" s="21">
        <v>0</v>
      </c>
      <c r="W32" s="21">
        <v>0</v>
      </c>
      <c r="X32" s="21">
        <v>0</v>
      </c>
      <c r="Y32" s="21">
        <v>0</v>
      </c>
      <c r="Z32" s="21">
        <v>0</v>
      </c>
      <c r="AA32" s="21">
        <v>0</v>
      </c>
      <c r="AC32" s="21">
        <f>AA32</f>
        <v>0</v>
      </c>
    </row>
    <row r="33" spans="1:31" s="34" customFormat="1" x14ac:dyDescent="0.2">
      <c r="A33" s="16"/>
      <c r="B33" s="32" t="s">
        <v>43</v>
      </c>
      <c r="C33" s="33"/>
      <c r="D33" s="33"/>
      <c r="E33" s="33"/>
      <c r="F33" s="33"/>
      <c r="G33" s="33"/>
      <c r="H33" s="33"/>
      <c r="I33" s="33"/>
      <c r="J33" s="33"/>
      <c r="K33" s="33"/>
      <c r="L33" s="33"/>
      <c r="M33" s="33">
        <v>2764</v>
      </c>
      <c r="N33" s="33">
        <v>3341</v>
      </c>
      <c r="O33" s="33">
        <v>3579</v>
      </c>
      <c r="P33" s="33">
        <v>3482</v>
      </c>
      <c r="Q33" s="33">
        <v>4942</v>
      </c>
      <c r="R33" s="1"/>
      <c r="S33" s="1"/>
      <c r="T33" s="33">
        <v>2899</v>
      </c>
      <c r="U33" s="33">
        <v>3482</v>
      </c>
      <c r="V33" s="33">
        <v>3215</v>
      </c>
      <c r="W33" s="33">
        <v>3489</v>
      </c>
      <c r="X33" s="33">
        <v>3895</v>
      </c>
      <c r="Y33" s="33">
        <v>4942</v>
      </c>
      <c r="Z33" s="33">
        <v>4374</v>
      </c>
      <c r="AA33" s="33">
        <v>5670</v>
      </c>
      <c r="AB33" s="1"/>
      <c r="AC33" s="33">
        <f t="shared" si="14"/>
        <v>5670</v>
      </c>
      <c r="AD33" s="1"/>
      <c r="AE33" s="1"/>
    </row>
    <row r="34" spans="1:31" x14ac:dyDescent="0.2">
      <c r="B34" s="20" t="s">
        <v>44</v>
      </c>
      <c r="C34" s="21"/>
      <c r="D34" s="21"/>
      <c r="E34" s="21"/>
      <c r="F34" s="21"/>
      <c r="G34" s="21"/>
      <c r="H34" s="21"/>
      <c r="I34" s="21"/>
      <c r="J34" s="21"/>
      <c r="K34" s="21"/>
      <c r="L34" s="21"/>
      <c r="M34" s="21">
        <v>163</v>
      </c>
      <c r="N34" s="21">
        <v>144</v>
      </c>
      <c r="O34" s="21">
        <v>121</v>
      </c>
      <c r="P34" s="21">
        <v>117</v>
      </c>
      <c r="Q34" s="21">
        <v>121</v>
      </c>
      <c r="T34" s="21">
        <v>116</v>
      </c>
      <c r="U34" s="21">
        <v>117</v>
      </c>
      <c r="V34" s="21">
        <v>111</v>
      </c>
      <c r="W34" s="21">
        <v>109</v>
      </c>
      <c r="X34" s="21">
        <v>118</v>
      </c>
      <c r="Y34" s="21">
        <v>121</v>
      </c>
      <c r="Z34" s="21">
        <v>122</v>
      </c>
      <c r="AA34" s="21">
        <v>124</v>
      </c>
      <c r="AC34" s="21">
        <f t="shared" si="14"/>
        <v>124</v>
      </c>
    </row>
    <row r="35" spans="1:31" x14ac:dyDescent="0.2">
      <c r="B35" s="20" t="s">
        <v>349</v>
      </c>
      <c r="C35" s="21"/>
      <c r="D35" s="21"/>
      <c r="E35" s="21"/>
      <c r="F35" s="21"/>
      <c r="G35" s="21"/>
      <c r="H35" s="21"/>
      <c r="I35" s="21"/>
      <c r="J35" s="21"/>
      <c r="K35" s="21"/>
      <c r="L35" s="21"/>
      <c r="M35" s="21">
        <v>45</v>
      </c>
      <c r="N35" s="21">
        <v>102</v>
      </c>
      <c r="O35" s="21">
        <v>234</v>
      </c>
      <c r="P35" s="21">
        <v>267</v>
      </c>
      <c r="Q35" s="21">
        <v>376</v>
      </c>
      <c r="T35" s="21">
        <v>264</v>
      </c>
      <c r="U35" s="21">
        <v>267</v>
      </c>
      <c r="V35" s="21">
        <v>261</v>
      </c>
      <c r="W35" s="21">
        <v>282</v>
      </c>
      <c r="X35" s="21">
        <v>302</v>
      </c>
      <c r="Y35" s="21">
        <v>376</v>
      </c>
      <c r="Z35" s="21">
        <v>385</v>
      </c>
      <c r="AA35" s="21">
        <v>202</v>
      </c>
      <c r="AC35" s="21">
        <f t="shared" si="14"/>
        <v>202</v>
      </c>
    </row>
    <row r="36" spans="1:31" x14ac:dyDescent="0.2">
      <c r="B36" s="20" t="s">
        <v>45</v>
      </c>
      <c r="C36" s="21"/>
      <c r="D36" s="21"/>
      <c r="E36" s="21"/>
      <c r="F36" s="21"/>
      <c r="G36" s="21"/>
      <c r="H36" s="21"/>
      <c r="I36" s="21"/>
      <c r="J36" s="21"/>
      <c r="K36" s="21"/>
      <c r="L36" s="21"/>
      <c r="M36" s="21">
        <v>3604</v>
      </c>
      <c r="N36" s="21">
        <v>3625</v>
      </c>
      <c r="O36" s="21">
        <v>3653</v>
      </c>
      <c r="P36" s="21">
        <v>4242</v>
      </c>
      <c r="Q36" s="21">
        <v>4295</v>
      </c>
      <c r="T36" s="21">
        <v>4256</v>
      </c>
      <c r="U36" s="21">
        <v>4242</v>
      </c>
      <c r="V36" s="21">
        <v>4275</v>
      </c>
      <c r="W36" s="21">
        <v>4275</v>
      </c>
      <c r="X36" s="226">
        <v>4278</v>
      </c>
      <c r="Y36" s="21">
        <v>4295</v>
      </c>
      <c r="Z36" s="226">
        <v>4337</v>
      </c>
      <c r="AA36" s="226">
        <v>4331</v>
      </c>
      <c r="AC36" s="21">
        <f t="shared" si="14"/>
        <v>4331</v>
      </c>
    </row>
    <row r="37" spans="1:31" s="34" customFormat="1" x14ac:dyDescent="0.2">
      <c r="A37" s="16"/>
      <c r="B37" s="32" t="s">
        <v>46</v>
      </c>
      <c r="C37" s="35"/>
      <c r="D37" s="35"/>
      <c r="E37" s="35"/>
      <c r="F37" s="35"/>
      <c r="G37" s="35"/>
      <c r="H37" s="35"/>
      <c r="I37" s="35"/>
      <c r="J37" s="35"/>
      <c r="K37" s="35"/>
      <c r="L37" s="35"/>
      <c r="M37" s="35">
        <f t="shared" ref="M37:O37" si="15">M38-M33</f>
        <v>5843</v>
      </c>
      <c r="N37" s="35">
        <f t="shared" si="15"/>
        <v>6097</v>
      </c>
      <c r="O37" s="35">
        <f t="shared" si="15"/>
        <v>6333</v>
      </c>
      <c r="P37" s="35">
        <f>P38-P33</f>
        <v>7351</v>
      </c>
      <c r="Q37" s="35">
        <f>Q38-Q33</f>
        <v>7525</v>
      </c>
      <c r="R37" s="1"/>
      <c r="S37" s="1"/>
      <c r="T37" s="35">
        <f t="shared" ref="T37:X37" si="16">T38-T33</f>
        <v>7234</v>
      </c>
      <c r="U37" s="35">
        <f>U38-U33</f>
        <v>7351</v>
      </c>
      <c r="V37" s="35">
        <f t="shared" si="16"/>
        <v>7370</v>
      </c>
      <c r="W37" s="35">
        <f t="shared" si="16"/>
        <v>7367</v>
      </c>
      <c r="X37" s="35">
        <f t="shared" si="16"/>
        <v>7303</v>
      </c>
      <c r="Y37" s="35">
        <f>Y38-Y33</f>
        <v>7525</v>
      </c>
      <c r="Z37" s="35">
        <f t="shared" ref="Z37:AA37" si="17">Z38-Z33</f>
        <v>7558</v>
      </c>
      <c r="AA37" s="35">
        <f t="shared" si="17"/>
        <v>7313</v>
      </c>
      <c r="AB37" s="1"/>
      <c r="AC37" s="35">
        <f t="shared" si="14"/>
        <v>7313</v>
      </c>
      <c r="AD37" s="1"/>
      <c r="AE37" s="1"/>
    </row>
    <row r="38" spans="1:31" s="19" customFormat="1" x14ac:dyDescent="0.2">
      <c r="A38" s="16"/>
      <c r="B38" s="17" t="s">
        <v>47</v>
      </c>
      <c r="C38" s="18"/>
      <c r="D38" s="18"/>
      <c r="E38" s="18"/>
      <c r="F38" s="18"/>
      <c r="G38" s="18"/>
      <c r="H38" s="18"/>
      <c r="I38" s="18"/>
      <c r="J38" s="18"/>
      <c r="K38" s="18"/>
      <c r="L38" s="18"/>
      <c r="M38" s="18">
        <v>8607</v>
      </c>
      <c r="N38" s="18">
        <v>9438</v>
      </c>
      <c r="O38" s="18">
        <v>9912</v>
      </c>
      <c r="P38" s="18">
        <v>10833</v>
      </c>
      <c r="Q38" s="18">
        <v>12467</v>
      </c>
      <c r="R38" s="1"/>
      <c r="S38" s="1"/>
      <c r="T38" s="18">
        <v>10133</v>
      </c>
      <c r="U38" s="18">
        <v>10833</v>
      </c>
      <c r="V38" s="18">
        <v>10585</v>
      </c>
      <c r="W38" s="18">
        <v>10856</v>
      </c>
      <c r="X38" s="18">
        <v>11198</v>
      </c>
      <c r="Y38" s="18">
        <v>12467</v>
      </c>
      <c r="Z38" s="18">
        <v>11932</v>
      </c>
      <c r="AA38" s="18">
        <v>12983</v>
      </c>
      <c r="AB38" s="1"/>
      <c r="AC38" s="18">
        <f t="shared" si="14"/>
        <v>12983</v>
      </c>
      <c r="AD38" s="1"/>
      <c r="AE38" s="1"/>
    </row>
    <row r="39" spans="1:31" x14ac:dyDescent="0.2">
      <c r="B39" s="20" t="s">
        <v>48</v>
      </c>
      <c r="C39" s="21"/>
      <c r="D39" s="21"/>
      <c r="E39" s="21"/>
      <c r="F39" s="21"/>
      <c r="G39" s="21"/>
      <c r="H39" s="21"/>
      <c r="I39" s="21"/>
      <c r="J39" s="21"/>
      <c r="K39" s="21"/>
      <c r="L39" s="21"/>
      <c r="M39" s="21">
        <v>121</v>
      </c>
      <c r="N39" s="21">
        <v>102</v>
      </c>
      <c r="O39" s="21">
        <v>100</v>
      </c>
      <c r="P39" s="21">
        <v>242</v>
      </c>
      <c r="Q39" s="21">
        <v>422</v>
      </c>
      <c r="T39" s="21">
        <v>217</v>
      </c>
      <c r="U39" s="21">
        <v>242</v>
      </c>
      <c r="V39" s="21">
        <v>277</v>
      </c>
      <c r="W39" s="21">
        <v>324</v>
      </c>
      <c r="X39" s="21">
        <v>384</v>
      </c>
      <c r="Y39" s="21">
        <v>422</v>
      </c>
      <c r="Z39" s="21">
        <v>403</v>
      </c>
      <c r="AA39" s="21">
        <v>457</v>
      </c>
      <c r="AC39" s="21">
        <f t="shared" si="14"/>
        <v>457</v>
      </c>
    </row>
    <row r="40" spans="1:31" x14ac:dyDescent="0.2">
      <c r="B40" s="20" t="s">
        <v>168</v>
      </c>
      <c r="C40" s="21"/>
      <c r="D40" s="21"/>
      <c r="E40" s="21"/>
      <c r="F40" s="21"/>
      <c r="G40" s="21"/>
      <c r="H40" s="21"/>
      <c r="I40" s="21"/>
      <c r="J40" s="21"/>
      <c r="K40" s="21"/>
      <c r="L40" s="21"/>
      <c r="M40" s="21">
        <v>0</v>
      </c>
      <c r="N40" s="21">
        <v>0</v>
      </c>
      <c r="O40" s="21">
        <v>0</v>
      </c>
      <c r="P40" s="21">
        <v>300</v>
      </c>
      <c r="Q40" s="21">
        <v>0</v>
      </c>
      <c r="T40" s="21">
        <v>300</v>
      </c>
      <c r="U40" s="21">
        <v>300</v>
      </c>
      <c r="V40" s="21">
        <v>300</v>
      </c>
      <c r="W40" s="21">
        <v>0</v>
      </c>
      <c r="X40" s="21">
        <v>0</v>
      </c>
      <c r="Y40" s="21">
        <v>0</v>
      </c>
      <c r="Z40" s="21">
        <v>0</v>
      </c>
      <c r="AA40" s="21">
        <f>994+499</f>
        <v>1493</v>
      </c>
      <c r="AC40" s="21">
        <f t="shared" si="14"/>
        <v>1493</v>
      </c>
    </row>
    <row r="41" spans="1:31" s="34" customFormat="1" x14ac:dyDescent="0.2">
      <c r="A41" s="16"/>
      <c r="B41" s="32" t="s">
        <v>49</v>
      </c>
      <c r="C41" s="33"/>
      <c r="D41" s="33"/>
      <c r="E41" s="33"/>
      <c r="F41" s="33"/>
      <c r="G41" s="33"/>
      <c r="H41" s="33"/>
      <c r="I41" s="33"/>
      <c r="J41" s="33"/>
      <c r="K41" s="33"/>
      <c r="L41" s="33"/>
      <c r="M41" s="33">
        <v>4009</v>
      </c>
      <c r="N41" s="33">
        <v>4000</v>
      </c>
      <c r="O41" s="33">
        <v>4351</v>
      </c>
      <c r="P41" s="33">
        <v>5151</v>
      </c>
      <c r="Q41" s="33">
        <v>5808</v>
      </c>
      <c r="R41" s="60"/>
      <c r="S41" s="60"/>
      <c r="T41" s="33">
        <v>4468</v>
      </c>
      <c r="U41" s="33">
        <v>5151</v>
      </c>
      <c r="V41" s="33">
        <v>4919</v>
      </c>
      <c r="W41" s="33">
        <v>4566</v>
      </c>
      <c r="X41" s="33">
        <v>4735</v>
      </c>
      <c r="Y41" s="33">
        <v>5808</v>
      </c>
      <c r="Z41" s="33">
        <v>5240</v>
      </c>
      <c r="AA41" s="33">
        <v>6628</v>
      </c>
      <c r="AB41" s="1"/>
      <c r="AC41" s="33">
        <f t="shared" si="14"/>
        <v>6628</v>
      </c>
      <c r="AD41" s="1"/>
      <c r="AE41" s="1"/>
    </row>
    <row r="42" spans="1:31" x14ac:dyDescent="0.2">
      <c r="B42" s="20" t="s">
        <v>168</v>
      </c>
      <c r="C42" s="21"/>
      <c r="D42" s="21"/>
      <c r="E42" s="21"/>
      <c r="F42" s="21"/>
      <c r="G42" s="21"/>
      <c r="H42" s="21"/>
      <c r="I42" s="21"/>
      <c r="J42" s="21"/>
      <c r="K42" s="21"/>
      <c r="L42" s="21"/>
      <c r="M42" s="21">
        <v>2280</v>
      </c>
      <c r="N42" s="21">
        <v>2281</v>
      </c>
      <c r="O42" s="21">
        <v>2284</v>
      </c>
      <c r="P42" s="21">
        <v>1987</v>
      </c>
      <c r="Q42" s="21">
        <v>2483</v>
      </c>
      <c r="T42" s="21">
        <v>1986</v>
      </c>
      <c r="U42" s="21">
        <v>1987</v>
      </c>
      <c r="V42" s="21">
        <v>1988</v>
      </c>
      <c r="W42" s="21">
        <v>2481</v>
      </c>
      <c r="X42" s="21">
        <v>2482</v>
      </c>
      <c r="Y42" s="21">
        <v>2483</v>
      </c>
      <c r="Z42" s="21">
        <v>2484</v>
      </c>
      <c r="AA42" s="21">
        <v>1985</v>
      </c>
      <c r="AC42" s="21">
        <f t="shared" si="14"/>
        <v>1985</v>
      </c>
    </row>
    <row r="43" spans="1:31" s="34" customFormat="1" x14ac:dyDescent="0.2">
      <c r="A43" s="16"/>
      <c r="B43" s="32" t="s">
        <v>50</v>
      </c>
      <c r="C43" s="35"/>
      <c r="D43" s="35"/>
      <c r="E43" s="35"/>
      <c r="F43" s="35"/>
      <c r="G43" s="35"/>
      <c r="H43" s="35"/>
      <c r="I43" s="35"/>
      <c r="J43" s="35"/>
      <c r="K43" s="35"/>
      <c r="L43" s="35"/>
      <c r="M43" s="35">
        <f t="shared" ref="M43:O43" si="18">M44-M41</f>
        <v>3749</v>
      </c>
      <c r="N43" s="35">
        <f t="shared" si="18"/>
        <v>4293</v>
      </c>
      <c r="O43" s="35">
        <f t="shared" si="18"/>
        <v>3706</v>
      </c>
      <c r="P43" s="35">
        <f>P44-P41</f>
        <v>3061</v>
      </c>
      <c r="Q43" s="35">
        <f>Q44-Q41</f>
        <v>3614</v>
      </c>
      <c r="R43" s="1"/>
      <c r="S43" s="1"/>
      <c r="T43" s="35">
        <f t="shared" ref="T43:X43" si="19">T44-T41</f>
        <v>3049</v>
      </c>
      <c r="U43" s="35">
        <f>U44-U41</f>
        <v>3061</v>
      </c>
      <c r="V43" s="35">
        <f t="shared" si="19"/>
        <v>3049</v>
      </c>
      <c r="W43" s="35">
        <f t="shared" si="19"/>
        <v>3575</v>
      </c>
      <c r="X43" s="35">
        <f t="shared" si="19"/>
        <v>3570</v>
      </c>
      <c r="Y43" s="35">
        <f>Y44-Y41</f>
        <v>3614</v>
      </c>
      <c r="Z43" s="35">
        <f t="shared" ref="Z43:AA43" si="20">Z44-Z41</f>
        <v>3503</v>
      </c>
      <c r="AA43" s="35">
        <f t="shared" si="20"/>
        <v>2972</v>
      </c>
      <c r="AB43" s="1"/>
      <c r="AC43" s="35">
        <f t="shared" si="14"/>
        <v>2972</v>
      </c>
      <c r="AD43" s="1"/>
      <c r="AE43" s="1"/>
    </row>
    <row r="44" spans="1:31" s="19" customFormat="1" x14ac:dyDescent="0.2">
      <c r="A44" s="16"/>
      <c r="B44" s="17" t="s">
        <v>51</v>
      </c>
      <c r="C44" s="18"/>
      <c r="D44" s="18"/>
      <c r="E44" s="18"/>
      <c r="F44" s="18"/>
      <c r="G44" s="18"/>
      <c r="H44" s="18"/>
      <c r="I44" s="18"/>
      <c r="J44" s="18"/>
      <c r="K44" s="18"/>
      <c r="L44" s="18"/>
      <c r="M44" s="18">
        <v>7758</v>
      </c>
      <c r="N44" s="18">
        <v>8293</v>
      </c>
      <c r="O44" s="18">
        <v>8057</v>
      </c>
      <c r="P44" s="18">
        <v>8212</v>
      </c>
      <c r="Q44" s="18">
        <v>9422</v>
      </c>
      <c r="R44" s="1"/>
      <c r="S44" s="1"/>
      <c r="T44" s="18">
        <v>7517</v>
      </c>
      <c r="U44" s="18">
        <v>8212</v>
      </c>
      <c r="V44" s="18">
        <v>7968</v>
      </c>
      <c r="W44" s="18">
        <v>8141</v>
      </c>
      <c r="X44" s="18">
        <v>8305</v>
      </c>
      <c r="Y44" s="18">
        <v>9422</v>
      </c>
      <c r="Z44" s="18">
        <v>8743</v>
      </c>
      <c r="AA44" s="18">
        <v>9600</v>
      </c>
      <c r="AB44" s="1"/>
      <c r="AC44" s="18">
        <f t="shared" si="14"/>
        <v>9600</v>
      </c>
      <c r="AD44" s="1"/>
      <c r="AE44" s="1"/>
    </row>
    <row r="45" spans="1:31" x14ac:dyDescent="0.2">
      <c r="B45" s="20" t="s">
        <v>53</v>
      </c>
      <c r="C45" s="21"/>
      <c r="D45" s="21"/>
      <c r="E45" s="21"/>
      <c r="F45" s="21"/>
      <c r="G45" s="21"/>
      <c r="H45" s="21"/>
      <c r="I45" s="21"/>
      <c r="J45" s="21"/>
      <c r="K45" s="21"/>
      <c r="L45" s="21"/>
      <c r="M45" s="62">
        <v>0</v>
      </c>
      <c r="N45" s="62">
        <v>0</v>
      </c>
      <c r="O45" s="62">
        <v>0</v>
      </c>
      <c r="P45" s="62">
        <v>0</v>
      </c>
      <c r="Q45" s="62">
        <v>0</v>
      </c>
      <c r="T45" s="62">
        <v>0</v>
      </c>
      <c r="U45" s="62">
        <v>0</v>
      </c>
      <c r="V45" s="62">
        <v>0</v>
      </c>
      <c r="W45" s="62">
        <v>0</v>
      </c>
      <c r="X45" s="62">
        <v>0</v>
      </c>
      <c r="Y45" s="62">
        <v>0</v>
      </c>
      <c r="Z45" s="62">
        <v>0</v>
      </c>
      <c r="AA45" s="62">
        <v>0</v>
      </c>
      <c r="AC45" s="62">
        <f t="shared" si="14"/>
        <v>0</v>
      </c>
    </row>
    <row r="46" spans="1:31" x14ac:dyDescent="0.2">
      <c r="B46" s="20" t="s">
        <v>329</v>
      </c>
      <c r="C46" s="21"/>
      <c r="D46" s="21"/>
      <c r="E46" s="21"/>
      <c r="F46" s="21"/>
      <c r="G46" s="21"/>
      <c r="H46" s="21"/>
      <c r="I46" s="21"/>
      <c r="J46" s="21"/>
      <c r="K46" s="21"/>
      <c r="L46" s="21"/>
      <c r="M46" s="62">
        <v>0</v>
      </c>
      <c r="N46" s="62">
        <v>0</v>
      </c>
      <c r="O46" s="62">
        <v>0</v>
      </c>
      <c r="P46" s="62">
        <v>0</v>
      </c>
      <c r="Q46" s="62">
        <v>0</v>
      </c>
      <c r="T46" s="62">
        <v>0</v>
      </c>
      <c r="U46" s="62">
        <v>0</v>
      </c>
      <c r="V46" s="62">
        <v>0</v>
      </c>
      <c r="W46" s="62">
        <v>0</v>
      </c>
      <c r="X46" s="62">
        <v>0</v>
      </c>
      <c r="Y46" s="62">
        <v>0</v>
      </c>
      <c r="Z46" s="62">
        <v>0</v>
      </c>
      <c r="AA46" s="62">
        <v>0</v>
      </c>
      <c r="AC46" s="62">
        <f t="shared" si="14"/>
        <v>0</v>
      </c>
    </row>
    <row r="47" spans="1:31" x14ac:dyDescent="0.2">
      <c r="B47" s="20" t="s">
        <v>52</v>
      </c>
      <c r="C47" s="21"/>
      <c r="D47" s="21"/>
      <c r="E47" s="21"/>
      <c r="F47" s="21"/>
      <c r="G47" s="21"/>
      <c r="H47" s="21"/>
      <c r="I47" s="21"/>
      <c r="J47" s="21"/>
      <c r="K47" s="21"/>
      <c r="L47" s="21"/>
      <c r="M47" s="21">
        <v>2923</v>
      </c>
      <c r="N47" s="21">
        <v>3325</v>
      </c>
      <c r="O47" s="21">
        <v>3802</v>
      </c>
      <c r="P47" s="21">
        <v>4239</v>
      </c>
      <c r="Q47" s="21">
        <v>4709</v>
      </c>
      <c r="T47" s="21">
        <v>4100</v>
      </c>
      <c r="U47" s="21">
        <v>4239</v>
      </c>
      <c r="V47" s="62">
        <v>4324</v>
      </c>
      <c r="W47" s="62">
        <v>4456</v>
      </c>
      <c r="X47" s="21">
        <v>4588</v>
      </c>
      <c r="Y47" s="21">
        <v>4709</v>
      </c>
      <c r="Z47" s="21">
        <v>4726</v>
      </c>
      <c r="AA47" s="21">
        <v>4846</v>
      </c>
      <c r="AC47" s="62">
        <f t="shared" si="14"/>
        <v>4846</v>
      </c>
    </row>
    <row r="48" spans="1:31" x14ac:dyDescent="0.2">
      <c r="B48" s="20" t="s">
        <v>330</v>
      </c>
      <c r="C48" s="21"/>
      <c r="D48" s="21"/>
      <c r="E48" s="21"/>
      <c r="F48" s="21"/>
      <c r="G48" s="21"/>
      <c r="H48" s="21"/>
      <c r="I48" s="21"/>
      <c r="J48" s="21"/>
      <c r="K48" s="21"/>
      <c r="L48" s="21"/>
      <c r="M48" s="62">
        <v>-1950</v>
      </c>
      <c r="N48" s="62">
        <v>-1995</v>
      </c>
      <c r="O48" s="62">
        <v>-1713</v>
      </c>
      <c r="P48" s="62">
        <v>-1333</v>
      </c>
      <c r="Q48" s="62">
        <v>-1432</v>
      </c>
      <c r="T48" s="62">
        <v>-1224</v>
      </c>
      <c r="U48" s="62">
        <v>-1333</v>
      </c>
      <c r="V48" s="62">
        <v>-1459</v>
      </c>
      <c r="W48" s="62">
        <v>-1487</v>
      </c>
      <c r="X48" s="62">
        <v>-1432</v>
      </c>
      <c r="Y48" s="62">
        <v>-1432</v>
      </c>
      <c r="Z48" s="62">
        <v>-1303</v>
      </c>
      <c r="AA48" s="62">
        <v>-1230</v>
      </c>
      <c r="AC48" s="62">
        <f t="shared" si="14"/>
        <v>-1230</v>
      </c>
    </row>
    <row r="49" spans="1:31" x14ac:dyDescent="0.2">
      <c r="B49" s="20" t="s">
        <v>325</v>
      </c>
      <c r="C49" s="21"/>
      <c r="D49" s="21"/>
      <c r="E49" s="21"/>
      <c r="F49" s="21"/>
      <c r="G49" s="21"/>
      <c r="H49" s="21"/>
      <c r="I49" s="21"/>
      <c r="J49" s="21"/>
      <c r="K49" s="21"/>
      <c r="L49" s="21"/>
      <c r="M49" s="62">
        <v>0</v>
      </c>
      <c r="N49" s="62">
        <v>0</v>
      </c>
      <c r="O49" s="62">
        <v>0</v>
      </c>
      <c r="P49" s="62">
        <v>0</v>
      </c>
      <c r="Q49" s="62">
        <v>0</v>
      </c>
      <c r="T49" s="62">
        <v>0</v>
      </c>
      <c r="U49" s="62">
        <v>0</v>
      </c>
      <c r="V49" s="62">
        <v>0</v>
      </c>
      <c r="W49" s="62">
        <v>0</v>
      </c>
      <c r="X49" s="62">
        <v>0</v>
      </c>
      <c r="Y49" s="62">
        <v>0</v>
      </c>
      <c r="Z49" s="62">
        <v>0</v>
      </c>
      <c r="AA49" s="62">
        <v>0</v>
      </c>
      <c r="AC49" s="62">
        <f t="shared" si="14"/>
        <v>0</v>
      </c>
    </row>
    <row r="50" spans="1:31" s="34" customFormat="1" x14ac:dyDescent="0.2">
      <c r="A50" s="16"/>
      <c r="B50" s="32" t="s">
        <v>54</v>
      </c>
      <c r="C50" s="33"/>
      <c r="D50" s="33"/>
      <c r="E50" s="33"/>
      <c r="F50" s="33"/>
      <c r="G50" s="33"/>
      <c r="H50" s="33"/>
      <c r="I50" s="33"/>
      <c r="J50" s="33"/>
      <c r="K50" s="33"/>
      <c r="L50" s="33"/>
      <c r="M50" s="33">
        <v>849</v>
      </c>
      <c r="N50" s="33">
        <v>1145</v>
      </c>
      <c r="O50" s="33">
        <v>1855</v>
      </c>
      <c r="P50" s="33">
        <v>2621</v>
      </c>
      <c r="Q50" s="33">
        <v>3045</v>
      </c>
      <c r="R50" s="1"/>
      <c r="S50" s="1"/>
      <c r="T50" s="33">
        <v>2616</v>
      </c>
      <c r="U50" s="33">
        <v>2621</v>
      </c>
      <c r="V50" s="33">
        <v>2617</v>
      </c>
      <c r="W50" s="33">
        <v>2715</v>
      </c>
      <c r="X50" s="33">
        <v>2893</v>
      </c>
      <c r="Y50" s="33">
        <v>3045</v>
      </c>
      <c r="Z50" s="33">
        <v>3189</v>
      </c>
      <c r="AA50" s="33">
        <v>3383</v>
      </c>
      <c r="AB50" s="1"/>
      <c r="AC50" s="33">
        <f t="shared" si="14"/>
        <v>3383</v>
      </c>
      <c r="AD50" s="1"/>
      <c r="AE50" s="1"/>
    </row>
    <row r="51" spans="1:31" s="38" customFormat="1" ht="17" thickBot="1" x14ac:dyDescent="0.25">
      <c r="A51" s="16"/>
      <c r="B51" s="36" t="s">
        <v>55</v>
      </c>
      <c r="C51" s="37"/>
      <c r="D51" s="37"/>
      <c r="E51" s="37"/>
      <c r="F51" s="37"/>
      <c r="G51" s="37"/>
      <c r="H51" s="37"/>
      <c r="I51" s="37"/>
      <c r="J51" s="37"/>
      <c r="K51" s="37"/>
      <c r="L51" s="37"/>
      <c r="M51" s="37">
        <v>8607</v>
      </c>
      <c r="N51" s="37">
        <v>9438</v>
      </c>
      <c r="O51" s="37">
        <v>9912</v>
      </c>
      <c r="P51" s="37">
        <v>10833</v>
      </c>
      <c r="Q51" s="37">
        <v>12467</v>
      </c>
      <c r="R51" s="1"/>
      <c r="S51" s="1"/>
      <c r="T51" s="37">
        <v>10133</v>
      </c>
      <c r="U51" s="37">
        <v>10833</v>
      </c>
      <c r="V51" s="37">
        <v>10585</v>
      </c>
      <c r="W51" s="37">
        <v>10856</v>
      </c>
      <c r="X51" s="37">
        <v>11198</v>
      </c>
      <c r="Y51" s="37">
        <v>12467</v>
      </c>
      <c r="Z51" s="37">
        <v>11932</v>
      </c>
      <c r="AA51" s="37">
        <v>12983</v>
      </c>
      <c r="AB51" s="1"/>
      <c r="AC51" s="37">
        <f t="shared" si="14"/>
        <v>12983</v>
      </c>
      <c r="AD51" s="1"/>
      <c r="AE51" s="1"/>
    </row>
    <row r="52" spans="1:31" x14ac:dyDescent="0.2">
      <c r="B52" s="1"/>
    </row>
    <row r="53" spans="1:31" s="15" customFormat="1" ht="17" thickBot="1" x14ac:dyDescent="0.25">
      <c r="A53" s="11"/>
      <c r="B53" s="14" t="s">
        <v>56</v>
      </c>
      <c r="R53" s="1"/>
      <c r="S53" s="1"/>
      <c r="AB53" s="1"/>
      <c r="AD53" s="1"/>
      <c r="AE53" s="1"/>
    </row>
    <row r="54" spans="1:31" x14ac:dyDescent="0.2">
      <c r="B54" s="20" t="s">
        <v>57</v>
      </c>
      <c r="C54" s="62"/>
      <c r="D54" s="62"/>
      <c r="E54" s="62"/>
      <c r="F54" s="62"/>
      <c r="G54" s="62"/>
      <c r="H54" s="62"/>
      <c r="I54" s="62"/>
      <c r="J54" s="62"/>
      <c r="K54" s="62"/>
      <c r="L54" s="62"/>
      <c r="M54" s="21">
        <v>148</v>
      </c>
      <c r="N54" s="21">
        <v>150</v>
      </c>
      <c r="O54" s="21">
        <v>139</v>
      </c>
      <c r="P54" s="21">
        <v>180</v>
      </c>
      <c r="Q54" s="21">
        <v>195</v>
      </c>
      <c r="T54" s="62"/>
      <c r="U54" s="21"/>
      <c r="V54" s="21">
        <v>48</v>
      </c>
      <c r="W54" s="21">
        <v>47</v>
      </c>
      <c r="X54" s="21">
        <v>50</v>
      </c>
      <c r="Y54" s="21">
        <v>50</v>
      </c>
      <c r="Z54" s="21">
        <v>51</v>
      </c>
      <c r="AA54" s="21">
        <v>50</v>
      </c>
      <c r="AC54" s="62">
        <f>SUM(X54:AA54)</f>
        <v>201</v>
      </c>
    </row>
    <row r="55" spans="1:31" x14ac:dyDescent="0.2">
      <c r="B55" s="23" t="s">
        <v>58</v>
      </c>
      <c r="C55" s="62"/>
      <c r="D55" s="62"/>
      <c r="E55" s="62"/>
      <c r="F55" s="62"/>
      <c r="G55" s="62"/>
      <c r="H55" s="62"/>
      <c r="I55" s="62"/>
      <c r="J55" s="62"/>
      <c r="K55" s="62"/>
      <c r="L55" s="62"/>
      <c r="M55" s="21">
        <v>555</v>
      </c>
      <c r="N55" s="21">
        <v>657</v>
      </c>
      <c r="O55" s="21">
        <v>703</v>
      </c>
      <c r="P55" s="21">
        <v>683</v>
      </c>
      <c r="Q55" s="21">
        <v>788</v>
      </c>
      <c r="T55" s="62"/>
      <c r="U55" s="21"/>
      <c r="V55" s="21">
        <v>230</v>
      </c>
      <c r="W55" s="21">
        <v>191</v>
      </c>
      <c r="X55" s="21">
        <v>186</v>
      </c>
      <c r="Y55" s="21">
        <v>181</v>
      </c>
      <c r="Z55" s="21">
        <v>155</v>
      </c>
      <c r="AA55" s="21">
        <v>184</v>
      </c>
      <c r="AC55" s="62">
        <f t="shared" ref="AC55:AC59" si="21">SUM(X55:AA55)</f>
        <v>706</v>
      </c>
    </row>
    <row r="56" spans="1:31" x14ac:dyDescent="0.2">
      <c r="B56" s="23" t="s">
        <v>95</v>
      </c>
      <c r="C56" s="62"/>
      <c r="D56" s="62"/>
      <c r="E56" s="62"/>
      <c r="F56" s="62"/>
      <c r="G56" s="62"/>
      <c r="H56" s="62"/>
      <c r="I56" s="62"/>
      <c r="J56" s="62"/>
      <c r="K56" s="62"/>
      <c r="L56" s="62"/>
      <c r="M56" s="62">
        <v>-66</v>
      </c>
      <c r="N56" s="62">
        <v>-247</v>
      </c>
      <c r="O56" s="62">
        <v>86</v>
      </c>
      <c r="P56" s="62">
        <v>-132</v>
      </c>
      <c r="Q56" s="62">
        <v>-431</v>
      </c>
      <c r="T56" s="62"/>
      <c r="U56" s="21"/>
      <c r="V56" s="21">
        <v>515</v>
      </c>
      <c r="W56" s="62">
        <v>-39</v>
      </c>
      <c r="X56" s="62">
        <v>-274</v>
      </c>
      <c r="Y56" s="62">
        <v>-633</v>
      </c>
      <c r="Z56" s="62">
        <v>859</v>
      </c>
      <c r="AA56" s="62">
        <v>-106</v>
      </c>
      <c r="AC56" s="62">
        <f t="shared" si="21"/>
        <v>-154</v>
      </c>
    </row>
    <row r="57" spans="1:31" x14ac:dyDescent="0.2">
      <c r="B57" s="23" t="s">
        <v>144</v>
      </c>
      <c r="C57" s="62"/>
      <c r="D57" s="62"/>
      <c r="E57" s="62"/>
      <c r="F57" s="62"/>
      <c r="G57" s="62"/>
      <c r="H57" s="62"/>
      <c r="I57" s="62"/>
      <c r="J57" s="62"/>
      <c r="K57" s="62"/>
      <c r="L57" s="62"/>
      <c r="M57" s="62">
        <v>0</v>
      </c>
      <c r="N57" s="62">
        <v>0</v>
      </c>
      <c r="O57" s="62">
        <v>0</v>
      </c>
      <c r="P57" s="62">
        <v>0</v>
      </c>
      <c r="Q57" s="62">
        <v>0</v>
      </c>
      <c r="T57" s="62"/>
      <c r="U57" s="62"/>
      <c r="V57" s="62">
        <v>0</v>
      </c>
      <c r="W57" s="62">
        <v>0</v>
      </c>
      <c r="X57" s="62">
        <v>0</v>
      </c>
      <c r="Y57" s="62">
        <v>0</v>
      </c>
      <c r="Z57" s="62">
        <v>0</v>
      </c>
      <c r="AA57" s="62">
        <v>0</v>
      </c>
      <c r="AC57" s="62">
        <f>SUM(X57:AA57)</f>
        <v>0</v>
      </c>
    </row>
    <row r="58" spans="1:31" x14ac:dyDescent="0.2">
      <c r="B58" s="23" t="s">
        <v>96</v>
      </c>
      <c r="C58" s="62"/>
      <c r="D58" s="62"/>
      <c r="E58" s="62"/>
      <c r="F58" s="62"/>
      <c r="G58" s="62"/>
      <c r="H58" s="62"/>
      <c r="I58" s="62"/>
      <c r="J58" s="62"/>
      <c r="K58" s="62"/>
      <c r="L58" s="62"/>
      <c r="M58" s="62">
        <v>10</v>
      </c>
      <c r="N58" s="62">
        <v>-5</v>
      </c>
      <c r="O58" s="62">
        <v>27</v>
      </c>
      <c r="P58" s="62">
        <v>238</v>
      </c>
      <c r="Q58" s="62">
        <v>455</v>
      </c>
      <c r="T58" s="62"/>
      <c r="U58" s="21"/>
      <c r="V58" s="62">
        <v>-111</v>
      </c>
      <c r="W58" s="21">
        <v>128</v>
      </c>
      <c r="X58" s="21">
        <v>78</v>
      </c>
      <c r="Y58" s="21">
        <v>360</v>
      </c>
      <c r="Z58" s="62">
        <v>-488</v>
      </c>
      <c r="AA58" s="62">
        <v>80</v>
      </c>
      <c r="AC58" s="62">
        <f t="shared" si="21"/>
        <v>30</v>
      </c>
    </row>
    <row r="59" spans="1:31" x14ac:dyDescent="0.2">
      <c r="B59" s="23" t="s">
        <v>97</v>
      </c>
      <c r="C59" s="62"/>
      <c r="D59" s="62"/>
      <c r="E59" s="62"/>
      <c r="F59" s="62"/>
      <c r="G59" s="62"/>
      <c r="H59" s="62"/>
      <c r="I59" s="62"/>
      <c r="J59" s="62"/>
      <c r="K59" s="62"/>
      <c r="L59" s="62"/>
      <c r="M59" s="62">
        <f>-134+419-12</f>
        <v>273</v>
      </c>
      <c r="N59" s="62">
        <f>-3+798+149</f>
        <v>944</v>
      </c>
      <c r="O59" s="62">
        <f>-256-316+8</f>
        <v>-564</v>
      </c>
      <c r="P59" s="62">
        <f>-488-134+58</f>
        <v>-564</v>
      </c>
      <c r="Q59" s="62">
        <f>-1051+555-29</f>
        <v>-525</v>
      </c>
      <c r="T59" s="62"/>
      <c r="U59" s="62"/>
      <c r="V59" s="62">
        <f>-304-204+27</f>
        <v>-481</v>
      </c>
      <c r="W59" s="62">
        <v>-338</v>
      </c>
      <c r="X59" s="62">
        <v>-236</v>
      </c>
      <c r="Y59" s="62">
        <v>530</v>
      </c>
      <c r="Z59" s="62">
        <f>-126-238+26</f>
        <v>-338</v>
      </c>
      <c r="AA59" s="62">
        <v>-317</v>
      </c>
      <c r="AC59" s="62">
        <f t="shared" si="21"/>
        <v>-361</v>
      </c>
    </row>
    <row r="60" spans="1:31" s="19" customFormat="1" x14ac:dyDescent="0.2">
      <c r="A60" s="16"/>
      <c r="B60" s="17" t="s">
        <v>59</v>
      </c>
      <c r="C60" s="61"/>
      <c r="D60" s="61"/>
      <c r="E60" s="61"/>
      <c r="F60" s="61"/>
      <c r="G60" s="61"/>
      <c r="H60" s="61"/>
      <c r="I60" s="61"/>
      <c r="J60" s="61"/>
      <c r="K60" s="61"/>
      <c r="L60" s="61"/>
      <c r="M60" s="18">
        <v>1531</v>
      </c>
      <c r="N60" s="18">
        <v>2071</v>
      </c>
      <c r="O60" s="18">
        <v>1313</v>
      </c>
      <c r="P60" s="18">
        <v>1607</v>
      </c>
      <c r="Q60" s="18">
        <v>2452</v>
      </c>
      <c r="R60" s="1"/>
      <c r="S60" s="1"/>
      <c r="T60" s="61"/>
      <c r="U60" s="18"/>
      <c r="V60" s="18">
        <v>564</v>
      </c>
      <c r="W60" s="18">
        <v>460</v>
      </c>
      <c r="X60" s="18">
        <v>439</v>
      </c>
      <c r="Y60" s="18">
        <v>989</v>
      </c>
      <c r="Z60" s="18">
        <v>893</v>
      </c>
      <c r="AA60" s="18">
        <v>575</v>
      </c>
      <c r="AB60" s="1"/>
      <c r="AC60" s="61">
        <f>SUM(X60:AA60)</f>
        <v>2896</v>
      </c>
      <c r="AD60" s="1"/>
      <c r="AE60" s="1"/>
    </row>
    <row r="61" spans="1:31" x14ac:dyDescent="0.2">
      <c r="B61" s="20" t="s">
        <v>60</v>
      </c>
      <c r="C61" s="62"/>
      <c r="D61" s="62"/>
      <c r="E61" s="62"/>
      <c r="F61" s="62"/>
      <c r="G61" s="62"/>
      <c r="H61" s="62"/>
      <c r="I61" s="62"/>
      <c r="J61" s="62"/>
      <c r="K61" s="62"/>
      <c r="L61" s="62"/>
      <c r="M61" s="62">
        <f>-11-56</f>
        <v>-67</v>
      </c>
      <c r="N61" s="62">
        <f>-6-40</f>
        <v>-46</v>
      </c>
      <c r="O61" s="62">
        <f>-30-31</f>
        <v>-61</v>
      </c>
      <c r="P61" s="62">
        <f>-62-40</f>
        <v>-102</v>
      </c>
      <c r="Q61" s="62">
        <f>-33-43</f>
        <v>-76</v>
      </c>
      <c r="T61" s="62"/>
      <c r="U61" s="62"/>
      <c r="V61" s="62">
        <f>-8-7</f>
        <v>-15</v>
      </c>
      <c r="W61" s="62">
        <v>-16</v>
      </c>
      <c r="X61" s="62">
        <v>-22</v>
      </c>
      <c r="Y61" s="62">
        <v>-23</v>
      </c>
      <c r="Z61" s="62">
        <f>-17-9</f>
        <v>-26</v>
      </c>
      <c r="AA61" s="62">
        <v>-21</v>
      </c>
      <c r="AC61" s="62">
        <f>SUM(X61:AA61)</f>
        <v>-92</v>
      </c>
    </row>
    <row r="62" spans="1:31" x14ac:dyDescent="0.2">
      <c r="B62" s="20" t="s">
        <v>98</v>
      </c>
      <c r="C62" s="62"/>
      <c r="D62" s="62"/>
      <c r="E62" s="62"/>
      <c r="F62" s="62"/>
      <c r="G62" s="62"/>
      <c r="H62" s="62"/>
      <c r="I62" s="62"/>
      <c r="J62" s="62"/>
      <c r="K62" s="62"/>
      <c r="L62" s="62"/>
      <c r="M62" s="62">
        <v>0</v>
      </c>
      <c r="N62" s="62">
        <v>0</v>
      </c>
      <c r="O62" s="62">
        <v>0</v>
      </c>
      <c r="P62" s="62">
        <v>0</v>
      </c>
      <c r="Q62" s="62">
        <v>0</v>
      </c>
      <c r="T62" s="62"/>
      <c r="U62" s="62"/>
      <c r="V62" s="62">
        <v>0</v>
      </c>
      <c r="W62" s="62">
        <v>0</v>
      </c>
      <c r="X62" s="62">
        <v>0</v>
      </c>
      <c r="Y62" s="62">
        <v>0</v>
      </c>
      <c r="Z62" s="62">
        <v>0</v>
      </c>
      <c r="AA62" s="62">
        <v>0</v>
      </c>
      <c r="AC62" s="62">
        <f t="shared" ref="AC62:AC67" si="22">SUM(X62:AA62)</f>
        <v>0</v>
      </c>
    </row>
    <row r="63" spans="1:31" s="19" customFormat="1" x14ac:dyDescent="0.2">
      <c r="A63" s="16"/>
      <c r="B63" s="17" t="s">
        <v>61</v>
      </c>
      <c r="C63" s="61"/>
      <c r="D63" s="61"/>
      <c r="E63" s="61"/>
      <c r="F63" s="61"/>
      <c r="G63" s="61"/>
      <c r="H63" s="61"/>
      <c r="I63" s="61"/>
      <c r="J63" s="61"/>
      <c r="K63" s="61"/>
      <c r="L63" s="61"/>
      <c r="M63" s="61">
        <v>-1595</v>
      </c>
      <c r="N63" s="61">
        <v>-143</v>
      </c>
      <c r="O63" s="61">
        <v>-502</v>
      </c>
      <c r="P63" s="61">
        <v>-903</v>
      </c>
      <c r="Q63" s="61">
        <v>-451</v>
      </c>
      <c r="R63" s="1"/>
      <c r="S63" s="1"/>
      <c r="T63" s="61"/>
      <c r="U63" s="61"/>
      <c r="V63" s="61">
        <v>58</v>
      </c>
      <c r="W63" s="61">
        <v>-50</v>
      </c>
      <c r="X63" s="61">
        <v>-109</v>
      </c>
      <c r="Y63" s="61">
        <v>-350</v>
      </c>
      <c r="Z63" s="61">
        <v>29</v>
      </c>
      <c r="AA63" s="61">
        <v>352</v>
      </c>
      <c r="AB63" s="1"/>
      <c r="AC63" s="61">
        <f t="shared" si="22"/>
        <v>-78</v>
      </c>
      <c r="AD63" s="1"/>
      <c r="AE63" s="1"/>
    </row>
    <row r="64" spans="1:31" x14ac:dyDescent="0.2">
      <c r="B64" s="20" t="s">
        <v>62</v>
      </c>
      <c r="C64" s="62"/>
      <c r="D64" s="62"/>
      <c r="E64" s="62"/>
      <c r="F64" s="62"/>
      <c r="G64" s="62"/>
      <c r="H64" s="62"/>
      <c r="I64" s="62"/>
      <c r="J64" s="62"/>
      <c r="K64" s="62"/>
      <c r="L64" s="62"/>
      <c r="M64" s="62">
        <v>-1079</v>
      </c>
      <c r="N64" s="62">
        <v>-1101</v>
      </c>
      <c r="O64" s="62">
        <v>-795</v>
      </c>
      <c r="P64" s="62">
        <v>-852</v>
      </c>
      <c r="Q64" s="62">
        <v>-1402</v>
      </c>
      <c r="T64" s="62"/>
      <c r="U64" s="62"/>
      <c r="V64" s="62">
        <v>-354</v>
      </c>
      <c r="W64" s="62">
        <v>-358</v>
      </c>
      <c r="X64" s="62">
        <v>-359</v>
      </c>
      <c r="Y64" s="62">
        <v>-331</v>
      </c>
      <c r="Z64" s="62">
        <v>-448</v>
      </c>
      <c r="AA64" s="62">
        <v>-453</v>
      </c>
      <c r="AC64" s="62">
        <f t="shared" si="22"/>
        <v>-1591</v>
      </c>
    </row>
    <row r="65" spans="1:31" x14ac:dyDescent="0.2">
      <c r="B65" s="20" t="s">
        <v>283</v>
      </c>
      <c r="C65" s="62"/>
      <c r="D65" s="62"/>
      <c r="E65" s="62"/>
      <c r="F65" s="62"/>
      <c r="G65" s="62"/>
      <c r="H65" s="62"/>
      <c r="I65" s="62"/>
      <c r="J65" s="62"/>
      <c r="K65" s="62"/>
      <c r="L65" s="62"/>
      <c r="M65" s="62">
        <v>0</v>
      </c>
      <c r="N65" s="62">
        <v>0</v>
      </c>
      <c r="O65" s="62">
        <v>0</v>
      </c>
      <c r="P65" s="62">
        <v>0</v>
      </c>
      <c r="Q65" s="62">
        <v>0</v>
      </c>
      <c r="T65" s="62"/>
      <c r="U65" s="62"/>
      <c r="V65" s="62">
        <v>0</v>
      </c>
      <c r="W65" s="62">
        <v>0</v>
      </c>
      <c r="X65" s="62">
        <v>0</v>
      </c>
      <c r="Y65" s="62">
        <v>0</v>
      </c>
      <c r="Z65" s="62">
        <v>0</v>
      </c>
      <c r="AA65" s="62">
        <v>0</v>
      </c>
      <c r="AC65" s="62">
        <f>SUM(X65:AA65)</f>
        <v>0</v>
      </c>
    </row>
    <row r="66" spans="1:31" x14ac:dyDescent="0.2">
      <c r="B66" s="20" t="s">
        <v>328</v>
      </c>
      <c r="C66" s="62"/>
      <c r="D66" s="62"/>
      <c r="E66" s="62"/>
      <c r="F66" s="62"/>
      <c r="G66" s="62"/>
      <c r="H66" s="62"/>
      <c r="I66" s="62"/>
      <c r="J66" s="62"/>
      <c r="K66" s="62"/>
      <c r="L66" s="62"/>
      <c r="M66" s="62">
        <v>0</v>
      </c>
      <c r="N66" s="62">
        <v>0</v>
      </c>
      <c r="O66" s="62">
        <v>0</v>
      </c>
      <c r="P66" s="62">
        <v>0</v>
      </c>
      <c r="Q66" s="62">
        <v>0</v>
      </c>
      <c r="T66" s="62"/>
      <c r="U66" s="62"/>
      <c r="V66" s="62">
        <v>0</v>
      </c>
      <c r="W66" s="62">
        <v>0</v>
      </c>
      <c r="X66" s="62">
        <v>0</v>
      </c>
      <c r="Y66" s="62">
        <v>0</v>
      </c>
      <c r="Z66" s="62">
        <v>0</v>
      </c>
      <c r="AA66" s="62">
        <v>0</v>
      </c>
      <c r="AC66" s="62">
        <f>SUM(X66:AA66)</f>
        <v>0</v>
      </c>
    </row>
    <row r="67" spans="1:31" s="19" customFormat="1" ht="17" thickBot="1" x14ac:dyDescent="0.25">
      <c r="A67" s="16"/>
      <c r="B67" s="36" t="s">
        <v>63</v>
      </c>
      <c r="C67" s="71"/>
      <c r="D67" s="71"/>
      <c r="E67" s="71"/>
      <c r="F67" s="71"/>
      <c r="G67" s="71"/>
      <c r="H67" s="71"/>
      <c r="I67" s="71"/>
      <c r="J67" s="71"/>
      <c r="K67" s="71"/>
      <c r="L67" s="71"/>
      <c r="M67" s="71">
        <v>-169</v>
      </c>
      <c r="N67" s="71">
        <v>-1487</v>
      </c>
      <c r="O67" s="71">
        <v>-852</v>
      </c>
      <c r="P67" s="71">
        <v>-987</v>
      </c>
      <c r="Q67" s="71">
        <v>-1361</v>
      </c>
      <c r="R67" s="1"/>
      <c r="S67" s="1"/>
      <c r="T67" s="71"/>
      <c r="U67" s="71"/>
      <c r="V67" s="71">
        <v>-415</v>
      </c>
      <c r="W67" s="71">
        <v>-219</v>
      </c>
      <c r="X67" s="71">
        <v>-345</v>
      </c>
      <c r="Y67" s="71">
        <v>-382</v>
      </c>
      <c r="Z67" s="71">
        <v>-498</v>
      </c>
      <c r="AA67" s="71">
        <v>502</v>
      </c>
      <c r="AB67" s="1"/>
      <c r="AC67" s="71">
        <f t="shared" si="22"/>
        <v>-723</v>
      </c>
      <c r="AD67" s="1"/>
      <c r="AE67" s="1"/>
    </row>
    <row r="68" spans="1:31" x14ac:dyDescent="0.2">
      <c r="B68" s="1"/>
    </row>
    <row r="69" spans="1:31" s="15" customFormat="1" ht="17" thickBot="1" x14ac:dyDescent="0.25">
      <c r="A69" s="11"/>
      <c r="B69" s="14" t="s">
        <v>64</v>
      </c>
      <c r="R69" s="1"/>
      <c r="S69" s="1"/>
      <c r="AB69" s="1"/>
      <c r="AD69" s="1"/>
      <c r="AE69" s="1"/>
    </row>
    <row r="70" spans="1:31" x14ac:dyDescent="0.2">
      <c r="B70" s="20" t="s">
        <v>65</v>
      </c>
      <c r="C70" s="64">
        <f t="shared" ref="C70:Q70" si="23">C5-C6-C12+C14+C15+C17-C18</f>
        <v>0</v>
      </c>
      <c r="D70" s="64">
        <f t="shared" si="23"/>
        <v>0</v>
      </c>
      <c r="E70" s="64">
        <f t="shared" si="23"/>
        <v>0</v>
      </c>
      <c r="F70" s="64">
        <f t="shared" si="23"/>
        <v>0</v>
      </c>
      <c r="G70" s="64">
        <f t="shared" si="23"/>
        <v>0</v>
      </c>
      <c r="H70" s="64">
        <f t="shared" si="23"/>
        <v>0</v>
      </c>
      <c r="I70" s="64">
        <f t="shared" si="23"/>
        <v>0</v>
      </c>
      <c r="J70" s="64">
        <f t="shared" si="23"/>
        <v>0</v>
      </c>
      <c r="K70" s="64">
        <f t="shared" si="23"/>
        <v>0</v>
      </c>
      <c r="L70" s="64">
        <f t="shared" si="23"/>
        <v>0</v>
      </c>
      <c r="M70" s="64">
        <f t="shared" si="23"/>
        <v>497</v>
      </c>
      <c r="N70" s="64">
        <f t="shared" si="23"/>
        <v>823</v>
      </c>
      <c r="O70" s="64">
        <f t="shared" si="23"/>
        <v>906</v>
      </c>
      <c r="P70" s="64">
        <f t="shared" si="23"/>
        <v>1112</v>
      </c>
      <c r="Q70" s="64">
        <f t="shared" si="23"/>
        <v>1124</v>
      </c>
      <c r="T70" s="64">
        <f t="shared" ref="T70:Z70" si="24">T5-T6-T12+T14+T15+T17-T18</f>
        <v>275</v>
      </c>
      <c r="U70" s="64">
        <f t="shared" si="24"/>
        <v>303</v>
      </c>
      <c r="V70" s="64">
        <f t="shared" si="24"/>
        <v>152</v>
      </c>
      <c r="W70" s="64">
        <f t="shared" si="24"/>
        <v>313</v>
      </c>
      <c r="X70" s="64">
        <f t="shared" si="24"/>
        <v>343</v>
      </c>
      <c r="Y70" s="64">
        <f t="shared" si="24"/>
        <v>316</v>
      </c>
      <c r="Z70" s="64">
        <f t="shared" si="24"/>
        <v>491</v>
      </c>
      <c r="AA70" s="64">
        <f t="shared" ref="AA70" si="25">AA5-AA6-AA12+AA14+AA15+AA17-AA18</f>
        <v>492</v>
      </c>
      <c r="AC70" s="64">
        <f>AC5-AC6-AC12+AC14+AC15+AC17-AC18</f>
        <v>1642</v>
      </c>
    </row>
    <row r="71" spans="1:31" s="41" customFormat="1" x14ac:dyDescent="0.2">
      <c r="A71" s="16"/>
      <c r="B71" s="17" t="s">
        <v>66</v>
      </c>
      <c r="C71" s="40">
        <f t="shared" ref="C71:Q71" si="26">C19-C70</f>
        <v>0</v>
      </c>
      <c r="D71" s="40">
        <f t="shared" si="26"/>
        <v>0</v>
      </c>
      <c r="E71" s="40">
        <f t="shared" si="26"/>
        <v>0</v>
      </c>
      <c r="F71" s="40">
        <f t="shared" si="26"/>
        <v>0</v>
      </c>
      <c r="G71" s="40">
        <f t="shared" si="26"/>
        <v>0</v>
      </c>
      <c r="H71" s="40">
        <f t="shared" si="26"/>
        <v>0</v>
      </c>
      <c r="I71" s="40">
        <f t="shared" si="26"/>
        <v>0</v>
      </c>
      <c r="J71" s="40">
        <f t="shared" si="26"/>
        <v>0</v>
      </c>
      <c r="K71" s="40">
        <f t="shared" si="26"/>
        <v>0</v>
      </c>
      <c r="L71" s="40">
        <f t="shared" si="26"/>
        <v>0</v>
      </c>
      <c r="M71" s="40">
        <f t="shared" si="26"/>
        <v>0</v>
      </c>
      <c r="N71" s="40">
        <f t="shared" si="26"/>
        <v>0</v>
      </c>
      <c r="O71" s="40">
        <f t="shared" si="26"/>
        <v>0</v>
      </c>
      <c r="P71" s="40">
        <f t="shared" si="26"/>
        <v>0</v>
      </c>
      <c r="Q71" s="40">
        <f t="shared" si="26"/>
        <v>0</v>
      </c>
      <c r="R71" s="1"/>
      <c r="S71" s="1"/>
      <c r="T71" s="40">
        <f t="shared" ref="T71:Y71" si="27">T19-T70</f>
        <v>0</v>
      </c>
      <c r="U71" s="40">
        <f t="shared" si="27"/>
        <v>0</v>
      </c>
      <c r="V71" s="40">
        <f t="shared" si="27"/>
        <v>0</v>
      </c>
      <c r="W71" s="40">
        <f t="shared" si="27"/>
        <v>0</v>
      </c>
      <c r="X71" s="40">
        <f t="shared" si="27"/>
        <v>0</v>
      </c>
      <c r="Y71" s="40">
        <f t="shared" si="27"/>
        <v>0</v>
      </c>
      <c r="Z71" s="40">
        <f t="shared" ref="Z71:AA71" si="28">Z19-Z70</f>
        <v>0</v>
      </c>
      <c r="AA71" s="40">
        <f t="shared" si="28"/>
        <v>0</v>
      </c>
      <c r="AB71" s="16"/>
      <c r="AC71" s="40">
        <f>AC19-AC70</f>
        <v>0</v>
      </c>
      <c r="AD71" s="1"/>
      <c r="AE71" s="1"/>
    </row>
    <row r="72" spans="1:31" s="41" customFormat="1" x14ac:dyDescent="0.2">
      <c r="A72" s="16"/>
      <c r="B72" s="17" t="s">
        <v>67</v>
      </c>
      <c r="C72" s="42">
        <f t="shared" ref="C72:Q72" si="29">C38-(C44+C113)</f>
        <v>0</v>
      </c>
      <c r="D72" s="42">
        <f t="shared" si="29"/>
        <v>0</v>
      </c>
      <c r="E72" s="42">
        <f t="shared" si="29"/>
        <v>0</v>
      </c>
      <c r="F72" s="42">
        <f t="shared" si="29"/>
        <v>0</v>
      </c>
      <c r="G72" s="42">
        <f t="shared" si="29"/>
        <v>0</v>
      </c>
      <c r="H72" s="42">
        <f t="shared" si="29"/>
        <v>0</v>
      </c>
      <c r="I72" s="42">
        <f t="shared" si="29"/>
        <v>0</v>
      </c>
      <c r="J72" s="42">
        <f t="shared" si="29"/>
        <v>0</v>
      </c>
      <c r="K72" s="42">
        <f t="shared" si="29"/>
        <v>0</v>
      </c>
      <c r="L72" s="42">
        <f t="shared" si="29"/>
        <v>0</v>
      </c>
      <c r="M72" s="42">
        <f t="shared" si="29"/>
        <v>0</v>
      </c>
      <c r="N72" s="42">
        <f t="shared" si="29"/>
        <v>0</v>
      </c>
      <c r="O72" s="42">
        <f t="shared" si="29"/>
        <v>0</v>
      </c>
      <c r="P72" s="42">
        <f t="shared" si="29"/>
        <v>0</v>
      </c>
      <c r="Q72" s="42">
        <f t="shared" si="29"/>
        <v>0</v>
      </c>
      <c r="R72" s="1"/>
      <c r="S72" s="1"/>
      <c r="T72" s="42">
        <f t="shared" ref="T72:Z72" si="30">T38-(T44+T113)</f>
        <v>0</v>
      </c>
      <c r="U72" s="42">
        <f t="shared" si="30"/>
        <v>0</v>
      </c>
      <c r="V72" s="42">
        <f t="shared" si="30"/>
        <v>0</v>
      </c>
      <c r="W72" s="42">
        <f t="shared" si="30"/>
        <v>0</v>
      </c>
      <c r="X72" s="42">
        <f t="shared" si="30"/>
        <v>0</v>
      </c>
      <c r="Y72" s="42">
        <f t="shared" si="30"/>
        <v>0</v>
      </c>
      <c r="Z72" s="42">
        <f t="shared" si="30"/>
        <v>0</v>
      </c>
      <c r="AA72" s="42">
        <f t="shared" ref="AA72" si="31">AA38-(AA44+AA113)</f>
        <v>0</v>
      </c>
      <c r="AB72" s="16"/>
      <c r="AC72" s="42">
        <f>AC38-(AC44+AC113)</f>
        <v>0</v>
      </c>
      <c r="AD72" s="1"/>
      <c r="AE72" s="1"/>
    </row>
    <row r="73" spans="1:31" x14ac:dyDescent="0.2">
      <c r="B73" s="39"/>
      <c r="J73" s="39"/>
      <c r="K73" s="39"/>
      <c r="L73" s="39"/>
      <c r="M73" s="39"/>
      <c r="N73" s="39"/>
      <c r="O73" s="39"/>
      <c r="P73" s="39"/>
    </row>
    <row r="74" spans="1:31" s="15" customFormat="1" ht="17" thickBot="1" x14ac:dyDescent="0.25">
      <c r="A74" s="11"/>
      <c r="B74" s="14" t="s">
        <v>68</v>
      </c>
      <c r="R74" s="1"/>
      <c r="S74" s="1"/>
      <c r="AB74" s="1"/>
      <c r="AD74" s="1"/>
      <c r="AE74" s="1"/>
    </row>
    <row r="75" spans="1:31" x14ac:dyDescent="0.2">
      <c r="B75" s="20" t="s">
        <v>69</v>
      </c>
      <c r="C75" s="43"/>
      <c r="D75" s="43"/>
      <c r="E75" s="43"/>
      <c r="F75" s="43"/>
      <c r="G75" s="43"/>
      <c r="H75" s="43"/>
      <c r="I75" s="43"/>
      <c r="J75" s="21"/>
      <c r="K75" s="21"/>
      <c r="L75" s="21"/>
      <c r="M75" s="43">
        <v>217</v>
      </c>
      <c r="N75" s="43">
        <v>216</v>
      </c>
      <c r="O75" s="21">
        <v>214</v>
      </c>
      <c r="P75" s="21">
        <v>215</v>
      </c>
      <c r="Q75" s="21">
        <v>213</v>
      </c>
      <c r="T75" s="21">
        <v>215</v>
      </c>
      <c r="U75" s="21">
        <v>215</v>
      </c>
      <c r="V75" s="21">
        <v>214</v>
      </c>
      <c r="W75" s="21">
        <v>213</v>
      </c>
      <c r="X75" s="21">
        <v>212</v>
      </c>
      <c r="Y75" s="21">
        <v>213</v>
      </c>
      <c r="Z75" s="21">
        <v>211</v>
      </c>
      <c r="AA75" s="21">
        <v>209</v>
      </c>
      <c r="AC75" s="24">
        <f>AA75</f>
        <v>209</v>
      </c>
    </row>
    <row r="76" spans="1:31" x14ac:dyDescent="0.2">
      <c r="B76" s="20" t="s">
        <v>70</v>
      </c>
      <c r="C76" s="25"/>
      <c r="D76" s="25"/>
      <c r="E76" s="25"/>
      <c r="F76" s="25"/>
      <c r="G76" s="25"/>
      <c r="H76" s="25"/>
      <c r="I76" s="25"/>
      <c r="J76" s="25"/>
      <c r="K76" s="25"/>
      <c r="L76" s="25"/>
      <c r="M76" s="25">
        <f t="shared" ref="M76:Q76" si="32">M75*M86</f>
        <v>217</v>
      </c>
      <c r="N76" s="25">
        <f t="shared" si="32"/>
        <v>216</v>
      </c>
      <c r="O76" s="25">
        <f t="shared" si="32"/>
        <v>214</v>
      </c>
      <c r="P76" s="25">
        <f t="shared" si="32"/>
        <v>215</v>
      </c>
      <c r="Q76" s="25">
        <f t="shared" si="32"/>
        <v>213</v>
      </c>
      <c r="T76" s="25">
        <f t="shared" ref="T76" si="33">T75*T86</f>
        <v>215</v>
      </c>
      <c r="U76" s="25">
        <f t="shared" ref="U76" si="34">U75*U86</f>
        <v>215</v>
      </c>
      <c r="V76" s="25">
        <f t="shared" ref="V76" si="35">V75*V86</f>
        <v>214</v>
      </c>
      <c r="W76" s="25">
        <f t="shared" ref="W76" si="36">W75*W86</f>
        <v>213</v>
      </c>
      <c r="X76" s="25">
        <f t="shared" ref="X76:Z76" si="37">X75*X86</f>
        <v>212</v>
      </c>
      <c r="Y76" s="25">
        <f t="shared" si="37"/>
        <v>213</v>
      </c>
      <c r="Z76" s="25">
        <f t="shared" si="37"/>
        <v>211</v>
      </c>
      <c r="AA76" s="25">
        <f t="shared" ref="AA76" si="38">AA75*AA86</f>
        <v>209</v>
      </c>
      <c r="AC76" s="24">
        <f>AA76</f>
        <v>209</v>
      </c>
    </row>
    <row r="77" spans="1:31" x14ac:dyDescent="0.2">
      <c r="B77" s="20" t="s">
        <v>233</v>
      </c>
      <c r="C77" s="25"/>
      <c r="D77" s="25"/>
      <c r="E77" s="25"/>
      <c r="F77" s="25"/>
      <c r="G77" s="25"/>
      <c r="H77" s="25"/>
      <c r="I77" s="25"/>
      <c r="J77" s="25"/>
      <c r="K77" s="25"/>
      <c r="L77" s="25"/>
      <c r="M77" s="21">
        <v>2</v>
      </c>
      <c r="N77" s="21">
        <v>2</v>
      </c>
      <c r="O77" s="21">
        <v>2</v>
      </c>
      <c r="P77" s="21">
        <v>2</v>
      </c>
      <c r="Q77" s="21">
        <v>2</v>
      </c>
      <c r="T77" s="21">
        <v>2</v>
      </c>
      <c r="U77" s="21">
        <v>2</v>
      </c>
      <c r="V77" s="21">
        <v>2</v>
      </c>
      <c r="W77" s="21">
        <v>2</v>
      </c>
      <c r="X77" s="21">
        <v>2</v>
      </c>
      <c r="Y77" s="21">
        <v>2</v>
      </c>
      <c r="Z77" s="21">
        <v>1</v>
      </c>
      <c r="AA77" s="21">
        <v>1</v>
      </c>
      <c r="AC77" s="21">
        <f>AA77</f>
        <v>1</v>
      </c>
    </row>
    <row r="78" spans="1:31" x14ac:dyDescent="0.2">
      <c r="B78" s="20" t="s">
        <v>234</v>
      </c>
      <c r="C78" s="25"/>
      <c r="D78" s="25"/>
      <c r="E78" s="25"/>
      <c r="F78" s="25"/>
      <c r="G78" s="25"/>
      <c r="H78" s="25"/>
      <c r="I78" s="25"/>
      <c r="J78" s="25"/>
      <c r="K78" s="25"/>
      <c r="L78" s="25"/>
      <c r="M78" s="25">
        <f t="shared" ref="M78:P78" si="39">M77*M86</f>
        <v>2</v>
      </c>
      <c r="N78" s="25">
        <f t="shared" si="39"/>
        <v>2</v>
      </c>
      <c r="O78" s="25">
        <f t="shared" si="39"/>
        <v>2</v>
      </c>
      <c r="P78" s="25">
        <f t="shared" si="39"/>
        <v>2</v>
      </c>
      <c r="Q78" s="25">
        <f>Q77*Q86</f>
        <v>2</v>
      </c>
      <c r="T78" s="25">
        <f t="shared" ref="T78:Y78" si="40">T77*T86</f>
        <v>2</v>
      </c>
      <c r="U78" s="25">
        <f t="shared" si="40"/>
        <v>2</v>
      </c>
      <c r="V78" s="25">
        <f t="shared" si="40"/>
        <v>2</v>
      </c>
      <c r="W78" s="25">
        <f t="shared" si="40"/>
        <v>2</v>
      </c>
      <c r="X78" s="25">
        <f t="shared" si="40"/>
        <v>2</v>
      </c>
      <c r="Y78" s="25">
        <f t="shared" si="40"/>
        <v>2</v>
      </c>
      <c r="Z78" s="25">
        <f t="shared" ref="Z78:AA78" si="41">Z77*Z86</f>
        <v>1</v>
      </c>
      <c r="AA78" s="25">
        <f t="shared" si="41"/>
        <v>1</v>
      </c>
      <c r="AC78" s="24">
        <f>AA78</f>
        <v>1</v>
      </c>
    </row>
    <row r="79" spans="1:31" x14ac:dyDescent="0.2">
      <c r="B79" s="20" t="s">
        <v>235</v>
      </c>
      <c r="C79" s="25"/>
      <c r="D79" s="25"/>
      <c r="E79" s="25"/>
      <c r="F79" s="25"/>
      <c r="G79" s="25"/>
      <c r="H79" s="25"/>
      <c r="I79" s="25"/>
      <c r="J79" s="25"/>
      <c r="K79" s="25"/>
      <c r="L79" s="25"/>
      <c r="M79" s="25">
        <f t="shared" ref="M79:P79" si="42">M76+M78</f>
        <v>219</v>
      </c>
      <c r="N79" s="25">
        <f t="shared" si="42"/>
        <v>218</v>
      </c>
      <c r="O79" s="25">
        <f t="shared" si="42"/>
        <v>216</v>
      </c>
      <c r="P79" s="25">
        <f t="shared" si="42"/>
        <v>217</v>
      </c>
      <c r="Q79" s="25">
        <f>Q76+Q78</f>
        <v>215</v>
      </c>
      <c r="T79" s="25">
        <f t="shared" ref="T79:Y79" si="43">T76+T78</f>
        <v>217</v>
      </c>
      <c r="U79" s="25">
        <f t="shared" si="43"/>
        <v>217</v>
      </c>
      <c r="V79" s="25">
        <f t="shared" si="43"/>
        <v>216</v>
      </c>
      <c r="W79" s="25">
        <f t="shared" si="43"/>
        <v>215</v>
      </c>
      <c r="X79" s="25">
        <f t="shared" si="43"/>
        <v>214</v>
      </c>
      <c r="Y79" s="25">
        <f t="shared" si="43"/>
        <v>215</v>
      </c>
      <c r="Z79" s="25">
        <f t="shared" ref="Z79:AA79" si="44">Z76+Z78</f>
        <v>212</v>
      </c>
      <c r="AA79" s="25">
        <f t="shared" si="44"/>
        <v>210</v>
      </c>
      <c r="AC79" s="24">
        <f>AA79</f>
        <v>210</v>
      </c>
    </row>
    <row r="80" spans="1:31" x14ac:dyDescent="0.2">
      <c r="B80" s="20" t="s">
        <v>274</v>
      </c>
      <c r="C80" s="25"/>
      <c r="D80" s="25"/>
      <c r="E80" s="25"/>
      <c r="F80" s="25"/>
      <c r="G80" s="25"/>
      <c r="H80" s="25"/>
      <c r="I80" s="25"/>
      <c r="J80" s="25"/>
      <c r="K80" s="25"/>
      <c r="L80" s="25"/>
      <c r="M80" s="21">
        <v>1</v>
      </c>
      <c r="N80" s="21">
        <v>1</v>
      </c>
      <c r="O80" s="21">
        <v>1</v>
      </c>
      <c r="P80" s="21">
        <v>1</v>
      </c>
      <c r="Q80" s="21">
        <v>1</v>
      </c>
      <c r="T80" s="68"/>
      <c r="U80" s="68"/>
      <c r="V80" s="68"/>
      <c r="W80" s="68"/>
      <c r="X80" s="68"/>
      <c r="Y80" s="68"/>
      <c r="Z80" s="68"/>
      <c r="AA80" s="68"/>
      <c r="AC80" s="24">
        <f>Q80</f>
        <v>1</v>
      </c>
    </row>
    <row r="81" spans="1:31" x14ac:dyDescent="0.2">
      <c r="B81" s="20" t="s">
        <v>275</v>
      </c>
      <c r="C81" s="25"/>
      <c r="D81" s="25"/>
      <c r="E81" s="25"/>
      <c r="F81" s="25"/>
      <c r="G81" s="25"/>
      <c r="H81" s="25"/>
      <c r="I81" s="25"/>
      <c r="J81" s="25"/>
      <c r="K81" s="25"/>
      <c r="L81" s="25"/>
      <c r="M81" s="25">
        <f t="shared" ref="M81:P81" si="45">M80*M86</f>
        <v>1</v>
      </c>
      <c r="N81" s="25">
        <f t="shared" si="45"/>
        <v>1</v>
      </c>
      <c r="O81" s="25">
        <f t="shared" si="45"/>
        <v>1</v>
      </c>
      <c r="P81" s="25">
        <f t="shared" si="45"/>
        <v>1</v>
      </c>
      <c r="Q81" s="25">
        <f>Q80*Q86</f>
        <v>1</v>
      </c>
      <c r="T81" s="68"/>
      <c r="U81" s="68"/>
      <c r="V81" s="68"/>
      <c r="W81" s="68"/>
      <c r="X81" s="68"/>
      <c r="Y81" s="68"/>
      <c r="Z81" s="68"/>
      <c r="AA81" s="68"/>
      <c r="AC81" s="24">
        <f>Q81</f>
        <v>1</v>
      </c>
    </row>
    <row r="82" spans="1:31" x14ac:dyDescent="0.2">
      <c r="B82" s="23" t="s">
        <v>71</v>
      </c>
      <c r="C82" s="44"/>
      <c r="D82" s="44"/>
      <c r="E82" s="44"/>
      <c r="F82" s="44"/>
      <c r="G82" s="44"/>
      <c r="H82" s="44"/>
      <c r="I82" s="44"/>
      <c r="J82" s="44"/>
      <c r="K82" s="44"/>
      <c r="L82" s="44"/>
      <c r="M82" s="44">
        <v>0</v>
      </c>
      <c r="N82" s="44">
        <v>0</v>
      </c>
      <c r="O82" s="44">
        <v>0</v>
      </c>
      <c r="P82" s="44">
        <v>0</v>
      </c>
      <c r="Q82" s="44">
        <v>0</v>
      </c>
      <c r="T82" s="44">
        <v>0</v>
      </c>
      <c r="U82" s="44">
        <v>0</v>
      </c>
      <c r="V82" s="44">
        <v>0</v>
      </c>
      <c r="W82" s="44">
        <v>0</v>
      </c>
      <c r="X82" s="44">
        <v>0</v>
      </c>
      <c r="Y82" s="44">
        <v>0</v>
      </c>
      <c r="Z82" s="44">
        <v>0</v>
      </c>
      <c r="AA82" s="44">
        <v>0</v>
      </c>
      <c r="AC82" s="72">
        <f>SUM(X82:AA82)</f>
        <v>0</v>
      </c>
    </row>
    <row r="83" spans="1:31" x14ac:dyDescent="0.2">
      <c r="B83" s="23" t="s">
        <v>72</v>
      </c>
      <c r="C83" s="39"/>
      <c r="D83" s="45"/>
      <c r="E83" s="45"/>
      <c r="F83" s="45"/>
      <c r="G83" s="45"/>
      <c r="H83" s="45"/>
      <c r="I83" s="45"/>
      <c r="J83" s="45"/>
      <c r="K83" s="45"/>
      <c r="L83" s="45"/>
      <c r="M83" s="45">
        <f t="shared" ref="M83:Q83" si="46">M82/M86</f>
        <v>0</v>
      </c>
      <c r="N83" s="45">
        <f t="shared" si="46"/>
        <v>0</v>
      </c>
      <c r="O83" s="45">
        <f t="shared" si="46"/>
        <v>0</v>
      </c>
      <c r="P83" s="45">
        <f t="shared" si="46"/>
        <v>0</v>
      </c>
      <c r="Q83" s="45">
        <f t="shared" si="46"/>
        <v>0</v>
      </c>
      <c r="T83" s="45">
        <f t="shared" ref="T83" si="47">T82/T86</f>
        <v>0</v>
      </c>
      <c r="U83" s="45">
        <f t="shared" ref="U83" si="48">U82/U86</f>
        <v>0</v>
      </c>
      <c r="V83" s="45">
        <f t="shared" ref="V83" si="49">V82/V86</f>
        <v>0</v>
      </c>
      <c r="W83" s="45">
        <f t="shared" ref="W83" si="50">W82/W86</f>
        <v>0</v>
      </c>
      <c r="X83" s="45">
        <f t="shared" ref="X83:Z83" si="51">X82/X86</f>
        <v>0</v>
      </c>
      <c r="Y83" s="45">
        <f t="shared" si="51"/>
        <v>0</v>
      </c>
      <c r="Z83" s="45">
        <f t="shared" si="51"/>
        <v>0</v>
      </c>
      <c r="AA83" s="45">
        <f t="shared" ref="AA83" si="52">AA82/AA86</f>
        <v>0</v>
      </c>
      <c r="AC83" s="72">
        <f>SUM(X83:AA83)</f>
        <v>0</v>
      </c>
    </row>
    <row r="84" spans="1:31" x14ac:dyDescent="0.2">
      <c r="B84" s="20" t="s">
        <v>73</v>
      </c>
      <c r="C84" s="46">
        <f t="shared" ref="C84:Q84" si="53">IF(AND(C16&gt;0,C17&lt;0),-(C17)/C16,0)</f>
        <v>0</v>
      </c>
      <c r="D84" s="46">
        <f t="shared" si="53"/>
        <v>0</v>
      </c>
      <c r="E84" s="46">
        <f t="shared" si="53"/>
        <v>0</v>
      </c>
      <c r="F84" s="46">
        <f t="shared" si="53"/>
        <v>0</v>
      </c>
      <c r="G84" s="46">
        <f t="shared" si="53"/>
        <v>0</v>
      </c>
      <c r="H84" s="46">
        <f t="shared" si="53"/>
        <v>0</v>
      </c>
      <c r="I84" s="46">
        <f t="shared" si="53"/>
        <v>0</v>
      </c>
      <c r="J84" s="46">
        <f t="shared" si="53"/>
        <v>0</v>
      </c>
      <c r="K84" s="46">
        <f t="shared" si="53"/>
        <v>0</v>
      </c>
      <c r="L84" s="46">
        <f t="shared" si="53"/>
        <v>0</v>
      </c>
      <c r="M84" s="46">
        <f t="shared" si="53"/>
        <v>0.12035398230088495</v>
      </c>
      <c r="N84" s="46">
        <f t="shared" si="53"/>
        <v>0.13002114164904863</v>
      </c>
      <c r="O84" s="46">
        <f t="shared" si="53"/>
        <v>0.20246478873239437</v>
      </c>
      <c r="P84" s="46">
        <f t="shared" si="53"/>
        <v>0.19653179190751446</v>
      </c>
      <c r="Q84" s="46">
        <f t="shared" si="53"/>
        <v>0.29881472239550844</v>
      </c>
      <c r="T84" s="46">
        <f t="shared" ref="T84:Z84" si="54">IF(AND(T16&gt;0,T17&lt;0),-(T17)/T16,0)</f>
        <v>0.21652421652421652</v>
      </c>
      <c r="U84" s="46">
        <f t="shared" si="54"/>
        <v>0.18548387096774194</v>
      </c>
      <c r="V84" s="46">
        <f t="shared" si="54"/>
        <v>0.3504273504273504</v>
      </c>
      <c r="W84" s="46">
        <f t="shared" si="54"/>
        <v>0.31359649122807015</v>
      </c>
      <c r="X84" s="46">
        <f t="shared" si="54"/>
        <v>0.26709401709401709</v>
      </c>
      <c r="Y84" s="46">
        <f t="shared" si="54"/>
        <v>0.28988764044943821</v>
      </c>
      <c r="Z84" s="46">
        <f t="shared" si="54"/>
        <v>0.18030050083472454</v>
      </c>
      <c r="AA84" s="46">
        <f t="shared" ref="AA84" si="55">IF(AND(AA16&gt;0,AA17&lt;0),-(AA17)/AA16,0)</f>
        <v>0.1703204047217538</v>
      </c>
      <c r="AC84" s="46">
        <f>IF(AND(AC16&gt;0,AC17&lt;0),-(AC17)/AC16,0)</f>
        <v>0.21995249406175771</v>
      </c>
    </row>
    <row r="85" spans="1:31" x14ac:dyDescent="0.2">
      <c r="B85" s="20" t="s">
        <v>74</v>
      </c>
      <c r="C85" s="21"/>
      <c r="D85" s="21"/>
      <c r="E85" s="21"/>
      <c r="F85" s="21"/>
      <c r="G85" s="21"/>
      <c r="H85" s="21"/>
      <c r="I85" s="21"/>
      <c r="J85" s="21"/>
      <c r="K85" s="21"/>
      <c r="L85" s="21"/>
      <c r="M85" s="21">
        <v>12600</v>
      </c>
      <c r="N85" s="21">
        <v>13700</v>
      </c>
      <c r="O85" s="21">
        <v>14100</v>
      </c>
      <c r="P85" s="21">
        <v>15300</v>
      </c>
      <c r="Q85" s="21">
        <v>14300</v>
      </c>
      <c r="T85" s="68"/>
      <c r="U85" s="68"/>
      <c r="V85" s="68"/>
      <c r="W85" s="68"/>
      <c r="X85" s="68"/>
      <c r="Y85" s="68"/>
      <c r="Z85" s="68"/>
      <c r="AA85" s="68"/>
      <c r="AC85" s="21">
        <f>Q85</f>
        <v>14300</v>
      </c>
    </row>
    <row r="86" spans="1:31" x14ac:dyDescent="0.2">
      <c r="B86" s="20" t="s">
        <v>75</v>
      </c>
      <c r="C86" s="21"/>
      <c r="D86" s="21"/>
      <c r="E86" s="21"/>
      <c r="F86" s="21"/>
      <c r="G86" s="21"/>
      <c r="H86" s="21"/>
      <c r="I86" s="21"/>
      <c r="J86" s="21"/>
      <c r="K86" s="21"/>
      <c r="L86" s="21"/>
      <c r="M86" s="21">
        <v>1</v>
      </c>
      <c r="N86" s="21">
        <v>1</v>
      </c>
      <c r="O86" s="21">
        <v>1</v>
      </c>
      <c r="P86" s="21">
        <v>1</v>
      </c>
      <c r="Q86" s="21">
        <v>1</v>
      </c>
      <c r="T86" s="21">
        <v>1</v>
      </c>
      <c r="U86" s="21">
        <v>1</v>
      </c>
      <c r="V86" s="21">
        <v>1</v>
      </c>
      <c r="W86" s="21">
        <v>1</v>
      </c>
      <c r="X86" s="21">
        <v>1</v>
      </c>
      <c r="Y86" s="21">
        <v>1</v>
      </c>
      <c r="Z86" s="21">
        <v>1</v>
      </c>
      <c r="AA86" s="21">
        <v>1</v>
      </c>
      <c r="AC86" s="21">
        <v>1</v>
      </c>
    </row>
    <row r="88" spans="1:31" x14ac:dyDescent="0.2">
      <c r="B88" s="1"/>
    </row>
    <row r="89" spans="1:31" s="15" customFormat="1" ht="17" thickBot="1" x14ac:dyDescent="0.25">
      <c r="A89" s="11"/>
      <c r="B89" s="14" t="s">
        <v>76</v>
      </c>
      <c r="R89" s="1"/>
      <c r="S89" s="1"/>
      <c r="AB89" s="1"/>
      <c r="AD89" s="1"/>
      <c r="AE89" s="1"/>
    </row>
    <row r="90" spans="1:31" s="41" customFormat="1" x14ac:dyDescent="0.2">
      <c r="A90" s="16"/>
      <c r="B90" s="17" t="s">
        <v>19</v>
      </c>
      <c r="C90" s="47"/>
      <c r="D90" s="48"/>
      <c r="E90" s="48"/>
      <c r="F90" s="48"/>
      <c r="G90" s="48"/>
      <c r="H90" s="48"/>
      <c r="I90" s="48"/>
      <c r="J90" s="48"/>
      <c r="K90" s="48"/>
      <c r="L90" s="48"/>
      <c r="M90" s="48">
        <f t="shared" ref="M90:Q95" si="56">IF(L5=0,
IF(M5=0,0,IF(M5&gt;0,1,-1)),
(M5-L5)/ABS(L5)
)</f>
        <v>1</v>
      </c>
      <c r="N90" s="48">
        <f t="shared" si="56"/>
        <v>0.14113087095303237</v>
      </c>
      <c r="O90" s="48">
        <f t="shared" si="56"/>
        <v>9.8301698301698298E-2</v>
      </c>
      <c r="P90" s="48">
        <f t="shared" si="56"/>
        <v>0.11533563762052028</v>
      </c>
      <c r="Q90" s="48">
        <f t="shared" si="56"/>
        <v>0.17533844397325068</v>
      </c>
      <c r="R90" s="1"/>
      <c r="S90" s="1"/>
      <c r="T90" s="48">
        <f t="shared" ref="T90:AA95" si="57">IF(S5=0,
IF(T5=0,0,IF(T5&gt;0,1,-1)),
(T5-S5)/ABS(S5)
)</f>
        <v>1</v>
      </c>
      <c r="U90" s="48">
        <f t="shared" si="57"/>
        <v>4.3949044585987258E-2</v>
      </c>
      <c r="V90" s="48">
        <f t="shared" si="57"/>
        <v>-3.6607687614399025E-3</v>
      </c>
      <c r="W90" s="48">
        <f t="shared" si="57"/>
        <v>7.9608083282302511E-2</v>
      </c>
      <c r="X90" s="48">
        <f t="shared" si="57"/>
        <v>5.104934770277935E-2</v>
      </c>
      <c r="Y90" s="48">
        <f t="shared" si="57"/>
        <v>5.612520237452779E-2</v>
      </c>
      <c r="Z90" s="48">
        <f t="shared" si="57"/>
        <v>-1.1752682677567705E-2</v>
      </c>
      <c r="AA90" s="48">
        <f t="shared" si="57"/>
        <v>5.7911065149948295E-2</v>
      </c>
      <c r="AB90" s="1"/>
      <c r="AC90" s="67"/>
      <c r="AD90" s="1"/>
      <c r="AE90" s="1"/>
    </row>
    <row r="91" spans="1:31" x14ac:dyDescent="0.2">
      <c r="B91" s="20" t="s">
        <v>20</v>
      </c>
      <c r="C91" s="49"/>
      <c r="D91" s="50"/>
      <c r="E91" s="50"/>
      <c r="F91" s="50"/>
      <c r="G91" s="50"/>
      <c r="H91" s="50"/>
      <c r="I91" s="50"/>
      <c r="J91" s="50"/>
      <c r="K91" s="50"/>
      <c r="L91" s="50"/>
      <c r="M91" s="50">
        <f t="shared" si="56"/>
        <v>1</v>
      </c>
      <c r="N91" s="50">
        <f t="shared" si="56"/>
        <v>0.14832535885167464</v>
      </c>
      <c r="O91" s="50">
        <f t="shared" si="56"/>
        <v>6.458333333333334E-2</v>
      </c>
      <c r="P91" s="50">
        <f t="shared" si="56"/>
        <v>0.13111545988258316</v>
      </c>
      <c r="Q91" s="50">
        <f t="shared" si="56"/>
        <v>0.1245674740484429</v>
      </c>
      <c r="T91" s="50">
        <f t="shared" si="57"/>
        <v>1</v>
      </c>
      <c r="U91" s="50">
        <f t="shared" si="57"/>
        <v>4.7619047619047616E-2</v>
      </c>
      <c r="V91" s="50">
        <f t="shared" si="57"/>
        <v>3.896103896103896E-2</v>
      </c>
      <c r="W91" s="50">
        <f t="shared" si="57"/>
        <v>-6.2500000000000003E-3</v>
      </c>
      <c r="X91" s="50">
        <f t="shared" si="57"/>
        <v>3.7735849056603772E-2</v>
      </c>
      <c r="Y91" s="50">
        <f t="shared" si="57"/>
        <v>6.0606060606060606E-3</v>
      </c>
      <c r="Z91" s="50">
        <f t="shared" si="57"/>
        <v>5.4216867469879519E-2</v>
      </c>
      <c r="AA91" s="50">
        <f t="shared" si="57"/>
        <v>5.7142857142857143E-3</v>
      </c>
      <c r="AC91" s="68"/>
    </row>
    <row r="92" spans="1:31" s="41" customFormat="1" x14ac:dyDescent="0.2">
      <c r="A92" s="16"/>
      <c r="B92" s="17" t="s">
        <v>21</v>
      </c>
      <c r="C92" s="47"/>
      <c r="D92" s="48"/>
      <c r="E92" s="48"/>
      <c r="F92" s="48"/>
      <c r="G92" s="48"/>
      <c r="H92" s="48"/>
      <c r="I92" s="48"/>
      <c r="J92" s="48"/>
      <c r="K92" s="48"/>
      <c r="L92" s="48"/>
      <c r="M92" s="48">
        <f t="shared" si="56"/>
        <v>1</v>
      </c>
      <c r="N92" s="48">
        <f t="shared" si="56"/>
        <v>0.14037298387096775</v>
      </c>
      <c r="O92" s="48">
        <f t="shared" si="56"/>
        <v>0.10187845303867403</v>
      </c>
      <c r="P92" s="48">
        <f t="shared" si="56"/>
        <v>0.11371841155234658</v>
      </c>
      <c r="Q92" s="48">
        <f t="shared" si="56"/>
        <v>0.18062308661984514</v>
      </c>
      <c r="R92" s="1"/>
      <c r="S92" s="1"/>
      <c r="T92" s="48">
        <f t="shared" si="57"/>
        <v>1</v>
      </c>
      <c r="U92" s="48">
        <f t="shared" si="57"/>
        <v>4.3569922698524242E-2</v>
      </c>
      <c r="V92" s="48">
        <f t="shared" si="57"/>
        <v>-8.0808080808080808E-3</v>
      </c>
      <c r="W92" s="48">
        <f t="shared" si="57"/>
        <v>8.8934147997284455E-2</v>
      </c>
      <c r="X92" s="48">
        <f t="shared" si="57"/>
        <v>5.2369077306733167E-2</v>
      </c>
      <c r="Y92" s="48">
        <f t="shared" si="57"/>
        <v>6.1018957345971563E-2</v>
      </c>
      <c r="Z92" s="48">
        <f t="shared" si="57"/>
        <v>-1.7867113344500279E-2</v>
      </c>
      <c r="AA92" s="48">
        <f t="shared" si="57"/>
        <v>6.3104036384309267E-2</v>
      </c>
      <c r="AB92" s="1"/>
      <c r="AC92" s="67"/>
      <c r="AD92" s="1"/>
      <c r="AE92" s="1"/>
    </row>
    <row r="93" spans="1:31" x14ac:dyDescent="0.2">
      <c r="B93" s="20" t="s">
        <v>23</v>
      </c>
      <c r="C93" s="49"/>
      <c r="D93" s="50"/>
      <c r="E93" s="50"/>
      <c r="F93" s="50"/>
      <c r="G93" s="50"/>
      <c r="H93" s="50"/>
      <c r="I93" s="50"/>
      <c r="J93" s="50"/>
      <c r="K93" s="50"/>
      <c r="L93" s="50"/>
      <c r="M93" s="50">
        <f t="shared" si="56"/>
        <v>1</v>
      </c>
      <c r="N93" s="50">
        <f t="shared" si="56"/>
        <v>7.51694393099199E-2</v>
      </c>
      <c r="O93" s="50">
        <f t="shared" si="56"/>
        <v>4.4699140401146129E-2</v>
      </c>
      <c r="P93" s="50">
        <f t="shared" si="56"/>
        <v>9.7092704333516189E-2</v>
      </c>
      <c r="Q93" s="50">
        <f t="shared" si="56"/>
        <v>0.1865</v>
      </c>
      <c r="T93" s="50">
        <f t="shared" si="57"/>
        <v>1</v>
      </c>
      <c r="U93" s="50">
        <f t="shared" si="57"/>
        <v>1.9047619047619048E-3</v>
      </c>
      <c r="V93" s="50">
        <f t="shared" si="57"/>
        <v>7.6045627376425853E-2</v>
      </c>
      <c r="W93" s="50">
        <f t="shared" si="57"/>
        <v>-1.2367491166077738E-2</v>
      </c>
      <c r="X93" s="50">
        <f t="shared" si="57"/>
        <v>9.4812164579606437E-2</v>
      </c>
      <c r="Y93" s="50">
        <f t="shared" si="57"/>
        <v>3.9215686274509803E-2</v>
      </c>
      <c r="Z93" s="50">
        <f t="shared" si="57"/>
        <v>-6.761006289308176E-2</v>
      </c>
      <c r="AA93" s="50">
        <f t="shared" si="57"/>
        <v>3.87858347386172E-2</v>
      </c>
      <c r="AC93" s="68"/>
    </row>
    <row r="94" spans="1:31" x14ac:dyDescent="0.2">
      <c r="B94" s="20" t="s">
        <v>22</v>
      </c>
      <c r="C94" s="49"/>
      <c r="D94" s="50"/>
      <c r="E94" s="50"/>
      <c r="F94" s="50"/>
      <c r="G94" s="50"/>
      <c r="H94" s="50"/>
      <c r="I94" s="50"/>
      <c r="J94" s="50"/>
      <c r="K94" s="50"/>
      <c r="L94" s="50"/>
      <c r="M94" s="50">
        <f t="shared" si="56"/>
        <v>1</v>
      </c>
      <c r="N94" s="50">
        <f t="shared" si="56"/>
        <v>9.3273542600896861E-2</v>
      </c>
      <c r="O94" s="50">
        <f t="shared" si="56"/>
        <v>0.12633305988515175</v>
      </c>
      <c r="P94" s="50">
        <f t="shared" si="56"/>
        <v>8.1573197378004364E-2</v>
      </c>
      <c r="Q94" s="50">
        <f t="shared" si="56"/>
        <v>0.10639730639730639</v>
      </c>
      <c r="T94" s="50">
        <f t="shared" si="57"/>
        <v>1</v>
      </c>
      <c r="U94" s="50">
        <f t="shared" si="57"/>
        <v>3.968253968253968E-2</v>
      </c>
      <c r="V94" s="50">
        <f t="shared" si="57"/>
        <v>2.5445292620865142E-3</v>
      </c>
      <c r="W94" s="50">
        <f t="shared" si="57"/>
        <v>4.8223350253807105E-2</v>
      </c>
      <c r="X94" s="50">
        <f t="shared" si="57"/>
        <v>7.2639225181598066E-3</v>
      </c>
      <c r="Y94" s="50">
        <f t="shared" si="57"/>
        <v>9.6153846153846159E-3</v>
      </c>
      <c r="Z94" s="50">
        <f t="shared" si="57"/>
        <v>2.3809523809523812E-3</v>
      </c>
      <c r="AA94" s="50">
        <f t="shared" si="57"/>
        <v>0.10213776722090261</v>
      </c>
      <c r="AC94" s="68"/>
    </row>
    <row r="95" spans="1:31" x14ac:dyDescent="0.2">
      <c r="B95" s="23" t="s">
        <v>24</v>
      </c>
      <c r="C95" s="49"/>
      <c r="D95" s="50"/>
      <c r="E95" s="50"/>
      <c r="F95" s="50"/>
      <c r="G95" s="50"/>
      <c r="H95" s="50"/>
      <c r="I95" s="50"/>
      <c r="J95" s="50"/>
      <c r="K95" s="50"/>
      <c r="L95" s="50"/>
      <c r="M95" s="50">
        <f t="shared" si="56"/>
        <v>1</v>
      </c>
      <c r="N95" s="50">
        <f t="shared" si="56"/>
        <v>-6.9930069930069935E-2</v>
      </c>
      <c r="O95" s="50">
        <f t="shared" si="56"/>
        <v>0.16541353383458646</v>
      </c>
      <c r="P95" s="50">
        <f t="shared" si="56"/>
        <v>4.8387096774193547E-2</v>
      </c>
      <c r="Q95" s="50">
        <f t="shared" si="56"/>
        <v>6.615384615384616E-2</v>
      </c>
      <c r="T95" s="50">
        <f t="shared" si="57"/>
        <v>1</v>
      </c>
      <c r="U95" s="50">
        <f t="shared" si="57"/>
        <v>7.4534161490683232E-2</v>
      </c>
      <c r="V95" s="50">
        <f t="shared" si="57"/>
        <v>-6.358381502890173E-2</v>
      </c>
      <c r="W95" s="50">
        <f t="shared" si="57"/>
        <v>3.7037037037037035E-2</v>
      </c>
      <c r="X95" s="50">
        <f t="shared" si="57"/>
        <v>2.3809523809523808E-2</v>
      </c>
      <c r="Y95" s="50">
        <f t="shared" si="57"/>
        <v>0.11046511627906977</v>
      </c>
      <c r="Z95" s="50">
        <f t="shared" si="57"/>
        <v>-0.15183246073298429</v>
      </c>
      <c r="AA95" s="50">
        <f t="shared" si="57"/>
        <v>0.10493827160493827</v>
      </c>
      <c r="AC95" s="68"/>
    </row>
    <row r="96" spans="1:31" x14ac:dyDescent="0.2">
      <c r="B96" s="23" t="s">
        <v>25</v>
      </c>
      <c r="C96" s="49"/>
      <c r="D96" s="50"/>
      <c r="E96" s="50"/>
      <c r="F96" s="50"/>
      <c r="G96" s="50"/>
      <c r="H96" s="50"/>
      <c r="I96" s="50"/>
      <c r="J96" s="50"/>
      <c r="K96" s="50"/>
      <c r="L96" s="50"/>
      <c r="M96" s="50">
        <f t="shared" ref="M96:Q97" si="58">IF(L12=0,
IF(M12=0,0,IF(M12&gt;0,1,-1)),
(M12-L12)/ABS(L12)
)</f>
        <v>1</v>
      </c>
      <c r="N96" s="50">
        <f t="shared" si="58"/>
        <v>5.5522388059701493E-2</v>
      </c>
      <c r="O96" s="50">
        <f t="shared" si="58"/>
        <v>9.1063348416289588E-2</v>
      </c>
      <c r="P96" s="50">
        <f t="shared" si="58"/>
        <v>8.8387765681700356E-2</v>
      </c>
      <c r="Q96" s="50">
        <f t="shared" si="58"/>
        <v>0.18552036199095023</v>
      </c>
      <c r="T96" s="50">
        <f t="shared" ref="T96:T97" si="59">IF(S12=0,
IF(T12=0,0,IF(T12&gt;0,1,-1)),
(T12-S12)/ABS(S12)
)</f>
        <v>1</v>
      </c>
      <c r="U96" s="50">
        <f t="shared" ref="U96:U97" si="60">IF(T12=0,
IF(U12=0,0,IF(U12&gt;0,1,-1)),
(U12-T12)/ABS(T12)
)</f>
        <v>3.8997214484679667E-2</v>
      </c>
      <c r="V96" s="50">
        <f t="shared" ref="V96:V97" si="61">IF(U12=0,
IF(V12=0,0,IF(V12&gt;0,1,-1)),
(V12-U12)/ABS(U12)
)</f>
        <v>0.10813226094727435</v>
      </c>
      <c r="W96" s="50">
        <f t="shared" ref="W96:W97" si="62">IF(V12=0,
IF(W12=0,0,IF(W12&gt;0,1,-1)),
(W12-V12)/ABS(V12)
)</f>
        <v>-6.4516129032258063E-2</v>
      </c>
      <c r="X96" s="50">
        <f t="shared" ref="X96:X97" si="63">IF(W12=0,
IF(X12=0,0,IF(X12&gt;0,1,-1)),
(X12-W12)/ABS(W12)
)</f>
        <v>0.05</v>
      </c>
      <c r="Y96" s="50">
        <f t="shared" ref="Y96:Y97" si="64">IF(X12=0,
IF(Y12=0,0,IF(Y12&gt;0,1,-1)),
(Y12-X12)/ABS(X12)
)</f>
        <v>0.11658456486042693</v>
      </c>
      <c r="Z96" s="50">
        <f t="shared" ref="Z96:Z97" si="65">IF(Y12=0,
IF(Z12=0,0,IF(Z12&gt;0,1,-1)),
(Z12-Y12)/ABS(Y12)
)</f>
        <v>-0.10441176470588236</v>
      </c>
      <c r="AA96" s="50">
        <f t="shared" ref="AA96:AA97" si="66">IF(Z12=0,
IF(AA12=0,0,IF(AA12&gt;0,1,-1)),
(AA12-Z12)/ABS(Z12)
)</f>
        <v>4.3513957307060758E-2</v>
      </c>
      <c r="AC96" s="68"/>
    </row>
    <row r="97" spans="1:31" s="41" customFormat="1" x14ac:dyDescent="0.2">
      <c r="A97" s="16"/>
      <c r="B97" s="17" t="s">
        <v>26</v>
      </c>
      <c r="C97" s="47"/>
      <c r="D97" s="48"/>
      <c r="E97" s="48"/>
      <c r="F97" s="48"/>
      <c r="G97" s="48"/>
      <c r="H97" s="48"/>
      <c r="I97" s="48"/>
      <c r="J97" s="48"/>
      <c r="K97" s="48"/>
      <c r="L97" s="48"/>
      <c r="M97" s="48">
        <f t="shared" si="58"/>
        <v>1</v>
      </c>
      <c r="N97" s="48">
        <f t="shared" si="58"/>
        <v>0.60032362459546929</v>
      </c>
      <c r="O97" s="48">
        <f t="shared" si="58"/>
        <v>0.14054600606673406</v>
      </c>
      <c r="P97" s="48">
        <f t="shared" si="58"/>
        <v>0.20035460992907803</v>
      </c>
      <c r="Q97" s="48">
        <f t="shared" si="58"/>
        <v>0.16543574593796159</v>
      </c>
      <c r="R97" s="1"/>
      <c r="S97" s="1"/>
      <c r="T97" s="48">
        <f t="shared" si="59"/>
        <v>1</v>
      </c>
      <c r="U97" s="48">
        <f t="shared" si="60"/>
        <v>5.7803468208092484E-2</v>
      </c>
      <c r="V97" s="48">
        <f t="shared" si="61"/>
        <v>-0.36338797814207652</v>
      </c>
      <c r="W97" s="48">
        <f t="shared" si="62"/>
        <v>0.90557939914163088</v>
      </c>
      <c r="X97" s="48">
        <f t="shared" si="63"/>
        <v>5.8558558558558557E-2</v>
      </c>
      <c r="Y97" s="48">
        <f t="shared" si="64"/>
        <v>-8.2978723404255314E-2</v>
      </c>
      <c r="Z97" s="48">
        <f t="shared" si="65"/>
        <v>0.25522041763341069</v>
      </c>
      <c r="AA97" s="48">
        <f t="shared" si="66"/>
        <v>0.10720887245841035</v>
      </c>
      <c r="AB97" s="1"/>
      <c r="AC97" s="67"/>
      <c r="AD97" s="1"/>
      <c r="AE97" s="1"/>
    </row>
    <row r="98" spans="1:31" s="53" customFormat="1" x14ac:dyDescent="0.2">
      <c r="A98" s="16"/>
      <c r="B98" s="51" t="s">
        <v>29</v>
      </c>
      <c r="C98" s="47"/>
      <c r="D98" s="52"/>
      <c r="E98" s="52"/>
      <c r="F98" s="52"/>
      <c r="G98" s="52"/>
      <c r="H98" s="52"/>
      <c r="I98" s="52"/>
      <c r="J98" s="52"/>
      <c r="K98" s="52"/>
      <c r="L98" s="52"/>
      <c r="M98" s="52">
        <f>IF(L16=0,
IF(M16=0,0,IF(M16&gt;0,1,-1)),
(M16-L16)/ABS(L16)
)</f>
        <v>1</v>
      </c>
      <c r="N98" s="52">
        <f>IF(M16=0,
IF(N16=0,0,IF(N16&gt;0,1,-1)),
(N16-M16)/ABS(M16)
)</f>
        <v>0.67433628318584071</v>
      </c>
      <c r="O98" s="52">
        <f>IF(N16=0,
IF(O16=0,0,IF(O16&gt;0,1,-1)),
(O16-N16)/ABS(N16)
)</f>
        <v>0.20084566596194503</v>
      </c>
      <c r="P98" s="52">
        <f>IF(O16=0,
IF(P16=0,0,IF(P16&gt;0,1,-1)),
(P16-O16)/ABS(O16)
)</f>
        <v>0.21830985915492956</v>
      </c>
      <c r="Q98" s="52">
        <f>IF(P16=0,
IF(Q16=0,0,IF(Q16&gt;0,1,-1)),
(Q16-P16)/ABS(P16)
)</f>
        <v>0.15823699421965318</v>
      </c>
      <c r="R98" s="1"/>
      <c r="S98" s="1"/>
      <c r="T98" s="52">
        <f t="shared" ref="T98" si="67">IF(S16=0,
IF(T16=0,0,IF(T16&gt;0,1,-1)),
(T16-S16)/ABS(S16)
)</f>
        <v>1</v>
      </c>
      <c r="U98" s="52">
        <f t="shared" ref="U98" si="68">IF(T16=0,
IF(U16=0,0,IF(U16&gt;0,1,-1)),
(U16-T16)/ABS(T16)
)</f>
        <v>5.9829059829059832E-2</v>
      </c>
      <c r="V98" s="52">
        <f t="shared" ref="V98" si="69">IF(U16=0,
IF(V16=0,0,IF(V16&gt;0,1,-1)),
(V16-U16)/ABS(U16)
)</f>
        <v>-0.37096774193548387</v>
      </c>
      <c r="W98" s="52">
        <f t="shared" ref="W98" si="70">IF(V16=0,
IF(W16=0,0,IF(W16&gt;0,1,-1)),
(W16-V16)/ABS(V16)
)</f>
        <v>0.94871794871794868</v>
      </c>
      <c r="X98" s="52">
        <f t="shared" ref="X98" si="71">IF(W16=0,
IF(X16=0,0,IF(X16&gt;0,1,-1)),
(X16-W16)/ABS(W16)
)</f>
        <v>2.6315789473684209E-2</v>
      </c>
      <c r="Y98" s="52">
        <f t="shared" ref="Y98" si="72">IF(X16=0,
IF(Y16=0,0,IF(Y16&gt;0,1,-1)),
(Y16-X16)/ABS(X16)
)</f>
        <v>-4.9145299145299144E-2</v>
      </c>
      <c r="Z98" s="52">
        <f t="shared" ref="Z98" si="73">IF(Y16=0,
IF(Z16=0,0,IF(Z16&gt;0,1,-1)),
(Z16-Y16)/ABS(Y16)
)</f>
        <v>0.34606741573033706</v>
      </c>
      <c r="AA98" s="52">
        <f t="shared" ref="AA98" si="74">IF(Z16=0,
IF(AA16=0,0,IF(AA16&gt;0,1,-1)),
(AA16-Z16)/ABS(Z16)
)</f>
        <v>-1.001669449081803E-2</v>
      </c>
      <c r="AB98" s="1"/>
      <c r="AC98" s="67"/>
      <c r="AD98" s="1"/>
      <c r="AE98" s="1"/>
    </row>
    <row r="99" spans="1:31" s="53" customFormat="1" x14ac:dyDescent="0.2">
      <c r="A99" s="16"/>
      <c r="B99" s="51" t="s">
        <v>31</v>
      </c>
      <c r="C99" s="47"/>
      <c r="D99" s="52"/>
      <c r="E99" s="52"/>
      <c r="F99" s="52"/>
      <c r="G99" s="52"/>
      <c r="H99" s="52"/>
      <c r="I99" s="52"/>
      <c r="J99" s="52"/>
      <c r="K99" s="52"/>
      <c r="L99" s="52"/>
      <c r="M99" s="52">
        <f>IF(L19=0,
IF(M19=0,0,IF(M19&gt;0,1,-1)),
(M19-L19)/ABS(L19)
)</f>
        <v>1</v>
      </c>
      <c r="N99" s="52">
        <f>IF(M19=0,
IF(N19=0,0,IF(N19&gt;0,1,-1)),
(N19-M19)/ABS(M19)
)</f>
        <v>0.65593561368209252</v>
      </c>
      <c r="O99" s="52">
        <f>IF(N19=0,
IF(O19=0,0,IF(O19&gt;0,1,-1)),
(O19-N19)/ABS(N19)
)</f>
        <v>0.10085054678007291</v>
      </c>
      <c r="P99" s="52">
        <f>IF(O19=0,
IF(P19=0,0,IF(P19&gt;0,1,-1)),
(P19-O19)/ABS(O19)
)</f>
        <v>0.22737306843267108</v>
      </c>
      <c r="Q99" s="52">
        <f>IF(P19=0,
IF(Q19=0,0,IF(Q19&gt;0,1,-1)),
(Q19-P19)/ABS(P19)
)</f>
        <v>1.0791366906474821E-2</v>
      </c>
      <c r="R99" s="1"/>
      <c r="S99" s="1"/>
      <c r="T99" s="52">
        <f t="shared" ref="T99" si="75">IF(S19=0,
IF(T19=0,0,IF(T19&gt;0,1,-1)),
(T19-S19)/ABS(S19)
)</f>
        <v>1</v>
      </c>
      <c r="U99" s="52">
        <f t="shared" ref="U99" si="76">IF(T19=0,
IF(U19=0,0,IF(U19&gt;0,1,-1)),
(U19-T19)/ABS(T19)
)</f>
        <v>0.10181818181818182</v>
      </c>
      <c r="V99" s="52">
        <f t="shared" ref="V99" si="77">IF(U19=0,
IF(V19=0,0,IF(V19&gt;0,1,-1)),
(V19-U19)/ABS(U19)
)</f>
        <v>-0.49834983498349833</v>
      </c>
      <c r="W99" s="52">
        <f t="shared" ref="W99" si="78">IF(V19=0,
IF(W19=0,0,IF(W19&gt;0,1,-1)),
(W19-V19)/ABS(V19)
)</f>
        <v>1.0592105263157894</v>
      </c>
      <c r="X99" s="52">
        <f t="shared" ref="X99" si="79">IF(W19=0,
IF(X19=0,0,IF(X19&gt;0,1,-1)),
(X19-W19)/ABS(W19)
)</f>
        <v>9.5846645367412137E-2</v>
      </c>
      <c r="Y99" s="52">
        <f t="shared" ref="Y99" si="80">IF(X19=0,
IF(Y19=0,0,IF(Y19&gt;0,1,-1)),
(Y19-X19)/ABS(X19)
)</f>
        <v>-7.8717201166180764E-2</v>
      </c>
      <c r="Z99" s="52">
        <f t="shared" ref="Z99" si="81">IF(Y19=0,
IF(Z19=0,0,IF(Z19&gt;0,1,-1)),
(Z19-Y19)/ABS(Y19)
)</f>
        <v>0.55379746835443033</v>
      </c>
      <c r="AA99" s="52">
        <f t="shared" ref="AA99" si="82">IF(Z19=0,
IF(AA19=0,0,IF(AA19&gt;0,1,-1)),
(AA19-Z19)/ABS(Z19)
)</f>
        <v>2.0366598778004071E-3</v>
      </c>
      <c r="AB99" s="1"/>
      <c r="AC99" s="67"/>
      <c r="AD99" s="1"/>
      <c r="AE99" s="1"/>
    </row>
    <row r="100" spans="1:31" x14ac:dyDescent="0.2">
      <c r="B100" s="1"/>
    </row>
    <row r="101" spans="1:31" s="15" customFormat="1" ht="17" thickBot="1" x14ac:dyDescent="0.25">
      <c r="A101" s="11"/>
      <c r="B101" s="14" t="s">
        <v>77</v>
      </c>
      <c r="R101" s="1"/>
      <c r="S101" s="1"/>
      <c r="AB101" s="1"/>
      <c r="AD101" s="1"/>
      <c r="AE101" s="1"/>
    </row>
    <row r="102" spans="1:31" x14ac:dyDescent="0.2">
      <c r="B102" s="20" t="s">
        <v>78</v>
      </c>
      <c r="C102" s="50"/>
      <c r="D102" s="50"/>
      <c r="E102" s="50"/>
      <c r="F102" s="50"/>
      <c r="G102" s="50"/>
      <c r="H102" s="50"/>
      <c r="I102" s="50"/>
      <c r="J102" s="50"/>
      <c r="K102" s="50"/>
      <c r="L102" s="50"/>
      <c r="M102" s="50">
        <f>M7/M5</f>
        <v>0.90469676242590058</v>
      </c>
      <c r="N102" s="50">
        <f>N7/N5</f>
        <v>0.90409590409590412</v>
      </c>
      <c r="O102" s="50">
        <f>O7/O5</f>
        <v>0.90704020374749861</v>
      </c>
      <c r="P102" s="50">
        <f>P7/P5</f>
        <v>0.90572500407763823</v>
      </c>
      <c r="Q102" s="50">
        <f>Q7/Q5</f>
        <v>0.90979739106300306</v>
      </c>
      <c r="T102" s="50">
        <f t="shared" ref="T102:Z102" si="83">T7/T5</f>
        <v>0.90636942675159238</v>
      </c>
      <c r="U102" s="50">
        <f t="shared" si="83"/>
        <v>0.90604026845637586</v>
      </c>
      <c r="V102" s="50">
        <f t="shared" si="83"/>
        <v>0.90202082057562771</v>
      </c>
      <c r="W102" s="50">
        <f t="shared" si="83"/>
        <v>0.90981281905842315</v>
      </c>
      <c r="X102" s="50">
        <f t="shared" si="83"/>
        <v>0.91095520777118189</v>
      </c>
      <c r="Y102" s="50">
        <f t="shared" si="83"/>
        <v>0.91517629024016356</v>
      </c>
      <c r="Z102" s="50">
        <f t="shared" si="83"/>
        <v>0.90951396070320578</v>
      </c>
      <c r="AA102" s="50">
        <f t="shared" ref="AA102" si="84">AA7/AA5</f>
        <v>0.91397849462365588</v>
      </c>
      <c r="AC102" s="50">
        <f>AC7/AC5</f>
        <v>0.91245186136071887</v>
      </c>
    </row>
    <row r="103" spans="1:31" x14ac:dyDescent="0.2">
      <c r="B103" s="20" t="s">
        <v>79</v>
      </c>
      <c r="C103" s="50"/>
      <c r="D103" s="50"/>
      <c r="E103" s="50"/>
      <c r="F103" s="50"/>
      <c r="G103" s="50"/>
      <c r="H103" s="50"/>
      <c r="I103" s="50"/>
      <c r="J103" s="50"/>
      <c r="K103" s="50"/>
      <c r="L103" s="50"/>
      <c r="M103" s="50">
        <f>M13/M5</f>
        <v>0.1409028727770178</v>
      </c>
      <c r="N103" s="50">
        <f>N13/N5</f>
        <v>0.19760239760239759</v>
      </c>
      <c r="O103" s="50">
        <f>O13/O5</f>
        <v>0.20520283791158814</v>
      </c>
      <c r="P103" s="50">
        <f>P13/P5</f>
        <v>0.22084488664165716</v>
      </c>
      <c r="Q103" s="50">
        <f>Q13/Q5</f>
        <v>0.21898417985012489</v>
      </c>
      <c r="T103" s="50">
        <f t="shared" ref="T103:Z103" si="85">T13/T5</f>
        <v>0.22038216560509555</v>
      </c>
      <c r="U103" s="50">
        <f t="shared" si="85"/>
        <v>0.22330689444783405</v>
      </c>
      <c r="V103" s="50">
        <f t="shared" si="85"/>
        <v>0.14268218003674218</v>
      </c>
      <c r="W103" s="50">
        <f t="shared" si="85"/>
        <v>0.25184344866704483</v>
      </c>
      <c r="X103" s="50">
        <f t="shared" si="85"/>
        <v>0.25364274150026983</v>
      </c>
      <c r="Y103" s="50">
        <f t="shared" si="85"/>
        <v>0.22023505365355137</v>
      </c>
      <c r="Z103" s="50">
        <f t="shared" si="85"/>
        <v>0.27973112719751808</v>
      </c>
      <c r="AA103" s="50">
        <f t="shared" ref="AA103" si="86">AA13/AA5</f>
        <v>0.29276637341153472</v>
      </c>
      <c r="AC103" s="50">
        <f>AC13/AC5</f>
        <v>0.262002567394095</v>
      </c>
    </row>
    <row r="104" spans="1:31" s="56" customFormat="1" x14ac:dyDescent="0.2">
      <c r="A104" s="1"/>
      <c r="B104" s="54" t="s">
        <v>80</v>
      </c>
      <c r="C104" s="55"/>
      <c r="D104" s="55"/>
      <c r="E104" s="55"/>
      <c r="F104" s="55"/>
      <c r="G104" s="55"/>
      <c r="H104" s="55"/>
      <c r="I104" s="55"/>
      <c r="J104" s="55"/>
      <c r="K104" s="55"/>
      <c r="L104" s="55"/>
      <c r="M104" s="55">
        <f>M112/M5</f>
        <v>0.11331509347925217</v>
      </c>
      <c r="N104" s="55">
        <f>N112/N5</f>
        <v>0.16443556443556442</v>
      </c>
      <c r="O104" s="55">
        <f>O112/O5</f>
        <v>0.16481717300345644</v>
      </c>
      <c r="P104" s="55">
        <f>P112/P5</f>
        <v>0.18137334855651607</v>
      </c>
      <c r="Q104" s="55">
        <f>Q112/Q5</f>
        <v>0.15598112683874549</v>
      </c>
      <c r="R104" s="1"/>
      <c r="S104" s="1"/>
      <c r="T104" s="55">
        <f t="shared" ref="T104:Z104" si="87">T112/T5</f>
        <v>0.1751592356687898</v>
      </c>
      <c r="U104" s="55">
        <f t="shared" si="87"/>
        <v>0.18486882245271508</v>
      </c>
      <c r="V104" s="55">
        <f t="shared" si="87"/>
        <v>9.30802204531537E-2</v>
      </c>
      <c r="W104" s="55">
        <f t="shared" si="87"/>
        <v>0.17753828701077709</v>
      </c>
      <c r="X104" s="55">
        <f t="shared" si="87"/>
        <v>0.18510523475445223</v>
      </c>
      <c r="Y104" s="55">
        <f t="shared" si="87"/>
        <v>0.16147164026571281</v>
      </c>
      <c r="Z104" s="55">
        <f t="shared" si="87"/>
        <v>0.25387797311271976</v>
      </c>
      <c r="AA104" s="55">
        <f t="shared" ref="AA104" si="88">AA112/AA5</f>
        <v>0.2404692082111437</v>
      </c>
      <c r="AB104" s="1"/>
      <c r="AC104" s="55">
        <f>AC112/AC5</f>
        <v>0.21078305519897303</v>
      </c>
      <c r="AD104" s="1"/>
      <c r="AE104" s="1"/>
    </row>
    <row r="105" spans="1:31" x14ac:dyDescent="0.2">
      <c r="B105" s="1"/>
    </row>
    <row r="106" spans="1:31" s="15" customFormat="1" ht="17" thickBot="1" x14ac:dyDescent="0.25">
      <c r="A106" s="11"/>
      <c r="B106" s="14" t="s">
        <v>108</v>
      </c>
      <c r="R106" s="1"/>
      <c r="S106" s="1"/>
      <c r="AB106" s="1"/>
      <c r="AD106" s="1"/>
      <c r="AE106" s="1"/>
    </row>
    <row r="107" spans="1:31" x14ac:dyDescent="0.2">
      <c r="B107" s="20" t="s">
        <v>73</v>
      </c>
      <c r="C107" s="81">
        <f t="shared" ref="C107:Q107" si="89">IF(AND(C84&gt;=0,C13&gt;=0),C84,0)</f>
        <v>0</v>
      </c>
      <c r="D107" s="81">
        <f t="shared" si="89"/>
        <v>0</v>
      </c>
      <c r="E107" s="81">
        <f t="shared" si="89"/>
        <v>0</v>
      </c>
      <c r="F107" s="81">
        <f t="shared" si="89"/>
        <v>0</v>
      </c>
      <c r="G107" s="81">
        <f t="shared" si="89"/>
        <v>0</v>
      </c>
      <c r="H107" s="81">
        <f t="shared" si="89"/>
        <v>0</v>
      </c>
      <c r="I107" s="81">
        <f t="shared" si="89"/>
        <v>0</v>
      </c>
      <c r="J107" s="81">
        <f t="shared" si="89"/>
        <v>0</v>
      </c>
      <c r="K107" s="81">
        <f t="shared" si="89"/>
        <v>0</v>
      </c>
      <c r="L107" s="81">
        <f t="shared" si="89"/>
        <v>0</v>
      </c>
      <c r="M107" s="81">
        <f t="shared" si="89"/>
        <v>0.12035398230088495</v>
      </c>
      <c r="N107" s="81">
        <f t="shared" si="89"/>
        <v>0.13002114164904863</v>
      </c>
      <c r="O107" s="81">
        <f t="shared" si="89"/>
        <v>0.20246478873239437</v>
      </c>
      <c r="P107" s="81">
        <f t="shared" si="89"/>
        <v>0.19653179190751446</v>
      </c>
      <c r="Q107" s="81">
        <f t="shared" si="89"/>
        <v>0.29881472239550844</v>
      </c>
      <c r="T107" s="81">
        <f t="shared" ref="T107:Z107" si="90">IF(AND(T84&gt;=0,T13&gt;=0),T84,0)</f>
        <v>0.21652421652421652</v>
      </c>
      <c r="U107" s="81">
        <f t="shared" si="90"/>
        <v>0.18548387096774194</v>
      </c>
      <c r="V107" s="81">
        <f t="shared" si="90"/>
        <v>0.3504273504273504</v>
      </c>
      <c r="W107" s="81">
        <f t="shared" si="90"/>
        <v>0.31359649122807015</v>
      </c>
      <c r="X107" s="81">
        <f t="shared" si="90"/>
        <v>0.26709401709401709</v>
      </c>
      <c r="Y107" s="81">
        <f t="shared" si="90"/>
        <v>0.28988764044943821</v>
      </c>
      <c r="Z107" s="81">
        <f t="shared" si="90"/>
        <v>0.18030050083472454</v>
      </c>
      <c r="AA107" s="81">
        <f t="shared" ref="AA107" si="91">IF(AND(AA84&gt;=0,AA13&gt;=0),AA84,0)</f>
        <v>0.1703204047217538</v>
      </c>
      <c r="AC107" s="81">
        <f>IF(AND(AC84&gt;=0,AC13&gt;=0),AC84,0)</f>
        <v>0.21995249406175771</v>
      </c>
    </row>
    <row r="108" spans="1:31" x14ac:dyDescent="0.2">
      <c r="B108" s="20" t="s">
        <v>177</v>
      </c>
      <c r="C108" s="25"/>
      <c r="D108" s="25"/>
      <c r="E108" s="25"/>
      <c r="F108" s="25"/>
      <c r="G108" s="25"/>
      <c r="H108" s="25"/>
      <c r="I108" s="25"/>
      <c r="J108" s="25"/>
      <c r="K108" s="25"/>
      <c r="L108" s="25"/>
      <c r="M108" s="25">
        <f>M30+M35</f>
        <v>1809</v>
      </c>
      <c r="N108" s="25">
        <f t="shared" ref="N108:Q108" si="92">N30+N35</f>
        <v>2174</v>
      </c>
      <c r="O108" s="25">
        <f t="shared" si="92"/>
        <v>2480</v>
      </c>
      <c r="P108" s="25">
        <f t="shared" si="92"/>
        <v>2153</v>
      </c>
      <c r="Q108" s="25">
        <f t="shared" si="92"/>
        <v>2973</v>
      </c>
      <c r="T108" s="25">
        <f t="shared" ref="T108:Z108" si="93">T30+T35</f>
        <v>1977</v>
      </c>
      <c r="U108" s="25">
        <f t="shared" si="93"/>
        <v>2153</v>
      </c>
      <c r="V108" s="25">
        <f t="shared" si="93"/>
        <v>2301</v>
      </c>
      <c r="W108" s="25">
        <f t="shared" si="93"/>
        <v>2518</v>
      </c>
      <c r="X108" s="25">
        <f t="shared" si="93"/>
        <v>2591</v>
      </c>
      <c r="Y108" s="25">
        <f t="shared" si="93"/>
        <v>2973</v>
      </c>
      <c r="Z108" s="25">
        <f t="shared" si="93"/>
        <v>3309</v>
      </c>
      <c r="AA108" s="25">
        <f t="shared" ref="AA108" si="94">AA30+AA35</f>
        <v>4357</v>
      </c>
      <c r="AC108" s="25">
        <f>AA108</f>
        <v>4357</v>
      </c>
    </row>
    <row r="109" spans="1:31" x14ac:dyDescent="0.2">
      <c r="B109" s="20" t="s">
        <v>168</v>
      </c>
      <c r="C109" s="25">
        <v>0</v>
      </c>
      <c r="D109" s="25">
        <v>0</v>
      </c>
      <c r="E109" s="25">
        <v>0</v>
      </c>
      <c r="F109" s="25">
        <v>0</v>
      </c>
      <c r="G109" s="25">
        <v>0</v>
      </c>
      <c r="H109" s="25">
        <v>0</v>
      </c>
      <c r="I109" s="25">
        <v>0</v>
      </c>
      <c r="J109" s="25">
        <v>0</v>
      </c>
      <c r="K109" s="25">
        <v>0</v>
      </c>
      <c r="L109" s="25">
        <v>0</v>
      </c>
      <c r="M109" s="25">
        <f>M40+M42</f>
        <v>2280</v>
      </c>
      <c r="N109" s="25">
        <f>N40+N42</f>
        <v>2281</v>
      </c>
      <c r="O109" s="25">
        <f>O40+O42</f>
        <v>2284</v>
      </c>
      <c r="P109" s="25">
        <f>P40+P42</f>
        <v>2287</v>
      </c>
      <c r="Q109" s="25">
        <f>Q40+Q42</f>
        <v>2483</v>
      </c>
      <c r="T109" s="25">
        <f t="shared" ref="T109:Z109" si="95">T40+T42</f>
        <v>2286</v>
      </c>
      <c r="U109" s="25">
        <f t="shared" si="95"/>
        <v>2287</v>
      </c>
      <c r="V109" s="25">
        <f t="shared" si="95"/>
        <v>2288</v>
      </c>
      <c r="W109" s="25">
        <f t="shared" si="95"/>
        <v>2481</v>
      </c>
      <c r="X109" s="25">
        <f t="shared" si="95"/>
        <v>2482</v>
      </c>
      <c r="Y109" s="25">
        <f t="shared" si="95"/>
        <v>2483</v>
      </c>
      <c r="Z109" s="25">
        <f t="shared" si="95"/>
        <v>2484</v>
      </c>
      <c r="AA109" s="25">
        <f t="shared" ref="AA109" si="96">AA40+AA42</f>
        <v>3478</v>
      </c>
      <c r="AC109" s="25">
        <f>AA109</f>
        <v>3478</v>
      </c>
    </row>
    <row r="110" spans="1:31" x14ac:dyDescent="0.2">
      <c r="B110" s="20" t="s">
        <v>161</v>
      </c>
      <c r="C110" s="25"/>
      <c r="D110" s="25"/>
      <c r="E110" s="25"/>
      <c r="F110" s="25"/>
      <c r="G110" s="25"/>
      <c r="H110" s="25"/>
      <c r="I110" s="25"/>
      <c r="J110" s="25"/>
      <c r="K110" s="25"/>
      <c r="L110" s="25"/>
      <c r="M110" s="128">
        <f>M13*(1-M107)</f>
        <v>543.62123893805301</v>
      </c>
      <c r="N110" s="128">
        <f>N13*(1-N107)</f>
        <v>860.40909090909088</v>
      </c>
      <c r="O110" s="128">
        <f>O13*(1-O107)</f>
        <v>899.61971830985919</v>
      </c>
      <c r="P110" s="128">
        <f>P13*(1-P107)</f>
        <v>1087.8959537572255</v>
      </c>
      <c r="Q110" s="25">
        <f>Q13*(1-Q107)</f>
        <v>1106.4703680598877</v>
      </c>
      <c r="T110" s="67"/>
      <c r="U110" s="67"/>
      <c r="V110" s="67"/>
      <c r="W110" s="67"/>
      <c r="X110" s="67"/>
      <c r="Y110" s="67"/>
      <c r="Z110" s="67"/>
      <c r="AA110" s="67"/>
      <c r="AC110" s="25">
        <f>AC13*(1-AC107)</f>
        <v>1592.0769596199527</v>
      </c>
    </row>
    <row r="111" spans="1:31" x14ac:dyDescent="0.2">
      <c r="B111" s="20" t="s">
        <v>298</v>
      </c>
      <c r="C111" s="25"/>
      <c r="D111" s="25"/>
      <c r="E111" s="25"/>
      <c r="F111" s="25"/>
      <c r="G111" s="25"/>
      <c r="H111" s="25"/>
      <c r="I111" s="25"/>
      <c r="J111" s="25"/>
      <c r="K111" s="25"/>
      <c r="L111" s="25"/>
      <c r="M111" s="128">
        <f>M61+M62</f>
        <v>-67</v>
      </c>
      <c r="N111" s="128">
        <f>N61+N62</f>
        <v>-46</v>
      </c>
      <c r="O111" s="128">
        <f>O61+O62</f>
        <v>-61</v>
      </c>
      <c r="P111" s="128">
        <f>P61+P62</f>
        <v>-102</v>
      </c>
      <c r="Q111" s="128">
        <f>Q61+Q62</f>
        <v>-76</v>
      </c>
      <c r="T111" s="128">
        <f t="shared" ref="T111:Z111" si="97">T61+T62</f>
        <v>0</v>
      </c>
      <c r="U111" s="128">
        <f t="shared" si="97"/>
        <v>0</v>
      </c>
      <c r="V111" s="128">
        <f t="shared" si="97"/>
        <v>-15</v>
      </c>
      <c r="W111" s="128">
        <f t="shared" si="97"/>
        <v>-16</v>
      </c>
      <c r="X111" s="128">
        <f t="shared" si="97"/>
        <v>-22</v>
      </c>
      <c r="Y111" s="128">
        <f t="shared" si="97"/>
        <v>-23</v>
      </c>
      <c r="Z111" s="128">
        <f t="shared" si="97"/>
        <v>-26</v>
      </c>
      <c r="AA111" s="128">
        <f t="shared" ref="AA111" si="98">AA61+AA62</f>
        <v>-21</v>
      </c>
      <c r="AC111" s="128">
        <f>AC61+AC62</f>
        <v>-92</v>
      </c>
    </row>
    <row r="112" spans="1:31" x14ac:dyDescent="0.2">
      <c r="B112" s="20" t="s">
        <v>326</v>
      </c>
      <c r="C112" s="25"/>
      <c r="D112" s="25"/>
      <c r="E112" s="25"/>
      <c r="F112" s="25"/>
      <c r="G112" s="25"/>
      <c r="H112" s="25"/>
      <c r="I112" s="25"/>
      <c r="J112" s="25"/>
      <c r="K112" s="25"/>
      <c r="L112" s="25"/>
      <c r="M112" s="128">
        <f>M18+M19</f>
        <v>497</v>
      </c>
      <c r="N112" s="128">
        <f>N18+N19</f>
        <v>823</v>
      </c>
      <c r="O112" s="128">
        <f>O18+O19</f>
        <v>906</v>
      </c>
      <c r="P112" s="128">
        <f>P18+P19</f>
        <v>1112</v>
      </c>
      <c r="Q112" s="128">
        <f>Q18+Q19</f>
        <v>1124</v>
      </c>
      <c r="T112" s="128">
        <f t="shared" ref="T112:Z112" si="99">T18+T19</f>
        <v>275</v>
      </c>
      <c r="U112" s="128">
        <f t="shared" si="99"/>
        <v>303</v>
      </c>
      <c r="V112" s="128">
        <f t="shared" si="99"/>
        <v>152</v>
      </c>
      <c r="W112" s="128">
        <f t="shared" si="99"/>
        <v>313</v>
      </c>
      <c r="X112" s="128">
        <f t="shared" si="99"/>
        <v>343</v>
      </c>
      <c r="Y112" s="128">
        <f t="shared" si="99"/>
        <v>316</v>
      </c>
      <c r="Z112" s="128">
        <f t="shared" si="99"/>
        <v>491</v>
      </c>
      <c r="AA112" s="128">
        <f t="shared" ref="AA112" si="100">AA18+AA19</f>
        <v>492</v>
      </c>
      <c r="AC112" s="128">
        <f>AC18+AC19</f>
        <v>1642</v>
      </c>
    </row>
    <row r="113" spans="1:31" x14ac:dyDescent="0.2">
      <c r="B113" s="20" t="s">
        <v>327</v>
      </c>
      <c r="C113" s="25"/>
      <c r="D113" s="25"/>
      <c r="E113" s="25"/>
      <c r="F113" s="25"/>
      <c r="G113" s="25"/>
      <c r="H113" s="25"/>
      <c r="I113" s="25"/>
      <c r="J113" s="25"/>
      <c r="K113" s="25"/>
      <c r="L113" s="25"/>
      <c r="M113" s="128">
        <f>M50+M49</f>
        <v>849</v>
      </c>
      <c r="N113" s="128">
        <f>N50+N49</f>
        <v>1145</v>
      </c>
      <c r="O113" s="128">
        <f>O50+O49</f>
        <v>1855</v>
      </c>
      <c r="P113" s="128">
        <f>P50+P49</f>
        <v>2621</v>
      </c>
      <c r="Q113" s="128">
        <f>Q50+Q49</f>
        <v>3045</v>
      </c>
      <c r="T113" s="128">
        <f t="shared" ref="T113:Z113" si="101">T50+T49</f>
        <v>2616</v>
      </c>
      <c r="U113" s="128">
        <f t="shared" si="101"/>
        <v>2621</v>
      </c>
      <c r="V113" s="128">
        <f t="shared" si="101"/>
        <v>2617</v>
      </c>
      <c r="W113" s="128">
        <f t="shared" si="101"/>
        <v>2715</v>
      </c>
      <c r="X113" s="128">
        <f t="shared" si="101"/>
        <v>2893</v>
      </c>
      <c r="Y113" s="128">
        <f t="shared" si="101"/>
        <v>3045</v>
      </c>
      <c r="Z113" s="128">
        <f t="shared" si="101"/>
        <v>3189</v>
      </c>
      <c r="AA113" s="128">
        <f t="shared" ref="AA113" si="102">AA50+AA49</f>
        <v>3383</v>
      </c>
      <c r="AC113" s="128">
        <f>AC50+AC49</f>
        <v>3383</v>
      </c>
    </row>
    <row r="114" spans="1:31" x14ac:dyDescent="0.2">
      <c r="C114" s="57"/>
      <c r="D114" s="57"/>
      <c r="E114" s="57"/>
      <c r="F114" s="57"/>
      <c r="G114" s="57"/>
      <c r="H114" s="57"/>
      <c r="I114" s="57"/>
      <c r="J114" s="57"/>
      <c r="K114" s="57"/>
    </row>
    <row r="115" spans="1:31" x14ac:dyDescent="0.2">
      <c r="B115" s="1"/>
    </row>
    <row r="116" spans="1:31" s="15" customFormat="1" ht="17" thickBot="1" x14ac:dyDescent="0.25">
      <c r="A116" s="11"/>
      <c r="B116" s="14" t="s">
        <v>82</v>
      </c>
      <c r="R116" s="1"/>
      <c r="S116" s="1"/>
      <c r="AB116" s="1"/>
      <c r="AD116" s="1"/>
      <c r="AE116" s="1"/>
    </row>
    <row r="117" spans="1:31" x14ac:dyDescent="0.2">
      <c r="B117" s="20" t="s">
        <v>83</v>
      </c>
      <c r="C117" s="26"/>
      <c r="D117" s="26"/>
      <c r="E117" s="26"/>
      <c r="F117" s="26"/>
      <c r="G117" s="26"/>
      <c r="H117" s="26"/>
      <c r="I117" s="26"/>
      <c r="J117" s="26"/>
      <c r="K117" s="26"/>
      <c r="L117" s="26"/>
      <c r="M117" s="26">
        <v>249.79</v>
      </c>
      <c r="N117" s="26">
        <v>215.16</v>
      </c>
      <c r="O117" s="26">
        <v>253.81</v>
      </c>
      <c r="P117" s="26">
        <v>311.20999999999998</v>
      </c>
      <c r="Q117" s="26">
        <v>252.87</v>
      </c>
      <c r="T117" s="26">
        <v>283.8</v>
      </c>
      <c r="U117" s="26">
        <v>311.20999999999998</v>
      </c>
      <c r="V117" s="26">
        <v>274.25</v>
      </c>
      <c r="W117" s="26">
        <v>303.11</v>
      </c>
      <c r="X117" s="26">
        <v>301.33999999999997</v>
      </c>
      <c r="Y117" s="26">
        <v>252.87</v>
      </c>
      <c r="Z117" s="26">
        <v>237</v>
      </c>
      <c r="AA117" s="26">
        <v>194.42</v>
      </c>
      <c r="AC117" s="63">
        <f ca="1">Overview!C5</f>
        <v>233.54</v>
      </c>
    </row>
    <row r="118" spans="1:31" x14ac:dyDescent="0.2">
      <c r="B118" s="20" t="s">
        <v>339</v>
      </c>
      <c r="C118" s="26"/>
      <c r="D118" s="26"/>
      <c r="E118" s="26"/>
      <c r="F118" s="26"/>
      <c r="G118" s="26"/>
      <c r="H118" s="26"/>
      <c r="I118" s="26"/>
      <c r="J118" s="26"/>
      <c r="K118" s="26"/>
      <c r="L118" s="26"/>
      <c r="M118" s="65">
        <f>M117/M86</f>
        <v>249.79</v>
      </c>
      <c r="N118" s="65">
        <f>N117/N86</f>
        <v>215.16</v>
      </c>
      <c r="O118" s="65">
        <f>O117/O86</f>
        <v>253.81</v>
      </c>
      <c r="P118" s="65">
        <f>P117/P86</f>
        <v>311.20999999999998</v>
      </c>
      <c r="Q118" s="65">
        <f>Q117/Q86</f>
        <v>252.87</v>
      </c>
      <c r="T118" s="65">
        <f t="shared" ref="T118:Z118" si="103">T117/T86</f>
        <v>283.8</v>
      </c>
      <c r="U118" s="65">
        <f t="shared" si="103"/>
        <v>311.20999999999998</v>
      </c>
      <c r="V118" s="65">
        <f t="shared" si="103"/>
        <v>274.25</v>
      </c>
      <c r="W118" s="65">
        <f t="shared" si="103"/>
        <v>303.11</v>
      </c>
      <c r="X118" s="65">
        <f t="shared" si="103"/>
        <v>301.33999999999997</v>
      </c>
      <c r="Y118" s="65">
        <f t="shared" si="103"/>
        <v>252.87</v>
      </c>
      <c r="Z118" s="65">
        <f t="shared" si="103"/>
        <v>237</v>
      </c>
      <c r="AA118" s="65">
        <f t="shared" ref="AA118" si="104">AA117/AA86</f>
        <v>194.42</v>
      </c>
      <c r="AC118" s="65">
        <f ca="1">AC117/AC86</f>
        <v>233.54</v>
      </c>
    </row>
    <row r="120" spans="1:31" x14ac:dyDescent="0.2">
      <c r="B120" s="1"/>
    </row>
    <row r="121" spans="1:31" ht="17" thickBot="1" x14ac:dyDescent="0.25">
      <c r="B121" s="14" t="s">
        <v>105</v>
      </c>
      <c r="C121" s="15"/>
      <c r="D121" s="15"/>
      <c r="E121" s="15"/>
      <c r="F121" s="15"/>
      <c r="G121" s="15"/>
      <c r="H121" s="15"/>
      <c r="I121" s="15"/>
      <c r="J121" s="15"/>
      <c r="K121" s="15"/>
      <c r="L121" s="15"/>
      <c r="M121" s="15"/>
      <c r="N121" s="15"/>
      <c r="O121" s="15"/>
      <c r="P121" s="15"/>
      <c r="Q121" s="15"/>
      <c r="T121" s="15"/>
      <c r="U121" s="15"/>
      <c r="V121" s="15"/>
      <c r="W121" s="15"/>
      <c r="X121" s="15"/>
      <c r="Y121" s="15"/>
      <c r="Z121" s="15"/>
      <c r="AA121" s="15"/>
      <c r="AC121" s="15"/>
    </row>
    <row r="122" spans="1:31" x14ac:dyDescent="0.2">
      <c r="B122" s="20" t="s">
        <v>99</v>
      </c>
      <c r="M122" s="74">
        <f>M112/M5</f>
        <v>0.11331509347925217</v>
      </c>
      <c r="N122" s="74">
        <f>N112/N5</f>
        <v>0.16443556443556442</v>
      </c>
      <c r="O122" s="74">
        <f>O112/O5</f>
        <v>0.16481717300345644</v>
      </c>
      <c r="P122" s="74">
        <f>P112/P5</f>
        <v>0.18137334855651607</v>
      </c>
      <c r="Q122" s="74">
        <f>Q112/Q5</f>
        <v>0.15598112683874549</v>
      </c>
      <c r="T122" s="77"/>
      <c r="U122" s="77"/>
      <c r="V122" s="77"/>
      <c r="W122" s="77"/>
      <c r="X122" s="77"/>
      <c r="Y122" s="77"/>
      <c r="Z122" s="77"/>
      <c r="AA122" s="77"/>
      <c r="AC122" s="74">
        <f>AC112/AC5</f>
        <v>0.21078305519897303</v>
      </c>
    </row>
    <row r="123" spans="1:31" x14ac:dyDescent="0.2">
      <c r="B123" s="20" t="s">
        <v>100</v>
      </c>
      <c r="M123" s="75">
        <f>M5/M38</f>
        <v>0.50958522133147444</v>
      </c>
      <c r="N123" s="75">
        <f>N5/N38</f>
        <v>0.53030303030303028</v>
      </c>
      <c r="O123" s="75">
        <f>O5/O38</f>
        <v>0.55458030669895075</v>
      </c>
      <c r="P123" s="75">
        <f>P5/P38</f>
        <v>0.56595587556540206</v>
      </c>
      <c r="Q123" s="75">
        <f>Q5/Q38</f>
        <v>0.57800593567016922</v>
      </c>
      <c r="T123" s="78"/>
      <c r="U123" s="78"/>
      <c r="V123" s="78"/>
      <c r="W123" s="78"/>
      <c r="X123" s="78"/>
      <c r="Y123" s="78"/>
      <c r="Z123" s="78"/>
      <c r="AA123" s="78"/>
      <c r="AC123" s="75">
        <f>AC5/AC38</f>
        <v>0.60001540476007087</v>
      </c>
    </row>
    <row r="124" spans="1:31" x14ac:dyDescent="0.2">
      <c r="B124" s="32" t="s">
        <v>101</v>
      </c>
      <c r="M124" s="76">
        <f t="shared" ref="M124:P124" si="105">M122*M123</f>
        <v>5.7743696990821436E-2</v>
      </c>
      <c r="N124" s="76">
        <f t="shared" si="105"/>
        <v>8.7200678109769003E-2</v>
      </c>
      <c r="O124" s="76">
        <f t="shared" si="105"/>
        <v>9.1404358353510906E-2</v>
      </c>
      <c r="P124" s="76">
        <f t="shared" si="105"/>
        <v>0.1026493122865319</v>
      </c>
      <c r="Q124" s="76">
        <f>Q122*Q123</f>
        <v>9.0158017165316434E-2</v>
      </c>
      <c r="T124" s="79"/>
      <c r="U124" s="79"/>
      <c r="V124" s="79"/>
      <c r="W124" s="79"/>
      <c r="X124" s="79"/>
      <c r="Y124" s="79"/>
      <c r="Z124" s="79"/>
      <c r="AA124" s="79"/>
      <c r="AC124" s="76">
        <f>AC122*AC123</f>
        <v>0.12647308018177617</v>
      </c>
    </row>
    <row r="125" spans="1:31" x14ac:dyDescent="0.2">
      <c r="B125" s="20" t="s">
        <v>102</v>
      </c>
      <c r="M125" s="75">
        <f>M38/M50</f>
        <v>10.137809187279151</v>
      </c>
      <c r="N125" s="75">
        <f>N38/N50</f>
        <v>8.2427947598253279</v>
      </c>
      <c r="O125" s="75">
        <f>O38/O50</f>
        <v>5.343396226415094</v>
      </c>
      <c r="P125" s="75">
        <f>P38/P50</f>
        <v>4.1331552842426555</v>
      </c>
      <c r="Q125" s="75">
        <f>Q38/Q50</f>
        <v>4.0942528735632182</v>
      </c>
      <c r="T125" s="80"/>
      <c r="U125" s="80"/>
      <c r="V125" s="80"/>
      <c r="W125" s="80"/>
      <c r="X125" s="80"/>
      <c r="Y125" s="80"/>
      <c r="Z125" s="80"/>
      <c r="AA125" s="80"/>
      <c r="AC125" s="75">
        <f>AC38/AC50</f>
        <v>3.8377180017735739</v>
      </c>
    </row>
    <row r="126" spans="1:31" x14ac:dyDescent="0.2">
      <c r="B126" s="32" t="s">
        <v>103</v>
      </c>
      <c r="M126" s="76">
        <f t="shared" ref="M126:P126" si="106">M124*M125</f>
        <v>0.58539458186101301</v>
      </c>
      <c r="N126" s="76">
        <f t="shared" si="106"/>
        <v>0.71877729257641909</v>
      </c>
      <c r="O126" s="76">
        <f t="shared" si="106"/>
        <v>0.48840970350404317</v>
      </c>
      <c r="P126" s="76">
        <f t="shared" si="106"/>
        <v>0.42426554750095385</v>
      </c>
      <c r="Q126" s="76">
        <f>Q124*Q125</f>
        <v>0.36912972085385876</v>
      </c>
      <c r="T126" s="79"/>
      <c r="U126" s="79"/>
      <c r="V126" s="79"/>
      <c r="W126" s="79"/>
      <c r="X126" s="79"/>
      <c r="Y126" s="79"/>
      <c r="Z126" s="79"/>
      <c r="AA126" s="79"/>
      <c r="AC126" s="76">
        <f>AC124*AC125</f>
        <v>0.48536801655335504</v>
      </c>
    </row>
    <row r="128" spans="1:31" x14ac:dyDescent="0.2">
      <c r="B128" s="1"/>
    </row>
    <row r="129" spans="2:29" ht="17" thickBot="1" x14ac:dyDescent="0.25">
      <c r="B129" s="14" t="s">
        <v>227</v>
      </c>
      <c r="C129" s="169"/>
      <c r="D129" s="169"/>
      <c r="E129" s="169"/>
      <c r="F129" s="169"/>
      <c r="G129" s="169"/>
      <c r="H129" s="169"/>
      <c r="I129" s="169"/>
      <c r="J129" s="169"/>
      <c r="K129" s="169"/>
      <c r="L129" s="169"/>
      <c r="M129" s="169"/>
      <c r="N129" s="169"/>
      <c r="O129" s="169"/>
      <c r="P129" s="169"/>
      <c r="Q129" s="169"/>
      <c r="T129" s="169"/>
      <c r="U129" s="169"/>
      <c r="V129" s="169"/>
      <c r="W129" s="169"/>
      <c r="X129" s="169"/>
      <c r="Y129" s="169"/>
      <c r="Z129" s="169"/>
      <c r="AA129" s="169"/>
      <c r="AC129" s="169"/>
    </row>
    <row r="130" spans="2:29" x14ac:dyDescent="0.2">
      <c r="B130" s="20" t="s">
        <v>228</v>
      </c>
      <c r="C130" s="49"/>
      <c r="D130" s="49"/>
      <c r="E130" s="49"/>
      <c r="F130" s="49"/>
      <c r="G130" s="49"/>
      <c r="H130" s="49"/>
      <c r="I130" s="49"/>
      <c r="J130" s="49"/>
      <c r="K130" s="49"/>
      <c r="L130" s="49"/>
      <c r="M130" s="49"/>
      <c r="N130" s="49"/>
      <c r="O130" s="49"/>
      <c r="P130" s="49"/>
      <c r="Q130" s="49"/>
      <c r="T130" s="21">
        <v>1623</v>
      </c>
      <c r="U130" s="21">
        <v>1600</v>
      </c>
      <c r="V130" s="21">
        <v>1720</v>
      </c>
      <c r="W130" s="21">
        <v>1800</v>
      </c>
      <c r="X130" s="21">
        <v>1901</v>
      </c>
      <c r="Y130" s="21">
        <v>1885</v>
      </c>
      <c r="Z130" s="21">
        <v>2005</v>
      </c>
      <c r="AA130" s="21">
        <v>2125</v>
      </c>
      <c r="AC130" s="49"/>
    </row>
    <row r="131" spans="2:29" x14ac:dyDescent="0.2">
      <c r="B131" s="20" t="s">
        <v>229</v>
      </c>
      <c r="C131" s="49"/>
      <c r="D131" s="49"/>
      <c r="E131" s="49"/>
      <c r="F131" s="49"/>
      <c r="G131" s="49"/>
      <c r="H131" s="49"/>
      <c r="I131" s="49"/>
      <c r="J131" s="49"/>
      <c r="K131" s="49"/>
      <c r="L131" s="49"/>
      <c r="M131" s="49"/>
      <c r="N131" s="49"/>
      <c r="O131" s="49"/>
      <c r="P131" s="49"/>
      <c r="Q131" s="49"/>
      <c r="T131" s="21">
        <v>1638</v>
      </c>
      <c r="U131" s="21">
        <v>1610</v>
      </c>
      <c r="V131" s="21">
        <v>1730</v>
      </c>
      <c r="W131" s="21">
        <v>1810</v>
      </c>
      <c r="X131" s="21">
        <v>1917</v>
      </c>
      <c r="Y131" s="21">
        <v>1900</v>
      </c>
      <c r="Z131" s="21">
        <v>2015</v>
      </c>
      <c r="AA131" s="21">
        <v>2140</v>
      </c>
      <c r="AC131" s="49"/>
    </row>
    <row r="132" spans="2:29" x14ac:dyDescent="0.2">
      <c r="B132" s="20" t="s">
        <v>230</v>
      </c>
      <c r="C132" s="49"/>
      <c r="D132" s="49"/>
      <c r="E132" s="49"/>
      <c r="F132" s="49"/>
      <c r="G132" s="49"/>
      <c r="H132" s="49"/>
      <c r="I132" s="49"/>
      <c r="J132" s="49"/>
      <c r="K132" s="49"/>
      <c r="L132" s="49"/>
      <c r="M132" s="49"/>
      <c r="N132" s="49"/>
      <c r="O132" s="49"/>
      <c r="P132" s="49"/>
      <c r="Q132" s="49"/>
      <c r="T132" s="25">
        <f t="shared" ref="T132" si="107">U5</f>
        <v>1639</v>
      </c>
      <c r="U132" s="25">
        <f t="shared" ref="U132" si="108">V5</f>
        <v>1633</v>
      </c>
      <c r="V132" s="25">
        <f t="shared" ref="V132" si="109">W5</f>
        <v>1763</v>
      </c>
      <c r="W132" s="25">
        <f t="shared" ref="W132" si="110">X5</f>
        <v>1853</v>
      </c>
      <c r="X132" s="25">
        <f t="shared" ref="X132" si="111">Y5</f>
        <v>1957</v>
      </c>
      <c r="Y132" s="25">
        <f t="shared" ref="Y132" si="112">Z5</f>
        <v>1934</v>
      </c>
      <c r="Z132" s="25">
        <f t="shared" ref="Z132" si="113">AA5</f>
        <v>2046</v>
      </c>
      <c r="AA132" s="25">
        <f t="shared" ref="AA132" si="114">AB5</f>
        <v>0</v>
      </c>
      <c r="AC132" s="49"/>
    </row>
    <row r="133" spans="2:29" x14ac:dyDescent="0.2">
      <c r="B133" s="20" t="s">
        <v>185</v>
      </c>
      <c r="C133" s="49"/>
      <c r="D133" s="49"/>
      <c r="E133" s="49"/>
      <c r="F133" s="49"/>
      <c r="G133" s="49"/>
      <c r="H133" s="49"/>
      <c r="I133" s="49"/>
      <c r="J133" s="49"/>
      <c r="K133" s="49"/>
      <c r="L133" s="49"/>
      <c r="M133" s="49"/>
      <c r="N133" s="49"/>
      <c r="O133" s="49"/>
      <c r="P133" s="49"/>
      <c r="Q133" s="49"/>
      <c r="T133" s="223" t="str">
        <f t="shared" ref="T133:Y133" si="115">IF(T132&gt;T131, "BEAT", IF(T132&lt;T130, "MISSED", "MET"))</f>
        <v>BEAT</v>
      </c>
      <c r="U133" s="223" t="str">
        <f t="shared" si="115"/>
        <v>BEAT</v>
      </c>
      <c r="V133" s="223" t="str">
        <f t="shared" si="115"/>
        <v>BEAT</v>
      </c>
      <c r="W133" s="223" t="str">
        <f t="shared" si="115"/>
        <v>BEAT</v>
      </c>
      <c r="X133" s="223" t="str">
        <f t="shared" si="115"/>
        <v>BEAT</v>
      </c>
      <c r="Y133" s="223" t="str">
        <f t="shared" si="115"/>
        <v>BEAT</v>
      </c>
      <c r="Z133" s="223" t="str">
        <f>IF(Z132&gt;Z131, "BEAT", IF(Z132&lt;Z130, "MISSED", "MET"))</f>
        <v>BEAT</v>
      </c>
      <c r="AA133" s="223" t="str">
        <f>IF(AA132&gt;AA131, "BEAT", IF(AA132&lt;AA130, "MISSED", "MET"))</f>
        <v>MISSED</v>
      </c>
      <c r="AC133" s="49"/>
    </row>
    <row r="134" spans="2:29" x14ac:dyDescent="0.2">
      <c r="B134" s="20" t="s">
        <v>356</v>
      </c>
      <c r="C134" s="49"/>
      <c r="D134" s="49"/>
      <c r="E134" s="49"/>
      <c r="F134" s="49"/>
      <c r="G134" s="49"/>
      <c r="H134" s="49"/>
      <c r="I134" s="49"/>
      <c r="J134" s="49"/>
      <c r="K134" s="49"/>
      <c r="L134" s="49"/>
      <c r="M134" s="49"/>
      <c r="N134" s="49"/>
      <c r="O134" s="49"/>
      <c r="P134" s="49"/>
      <c r="Q134" s="49"/>
      <c r="T134" s="26">
        <v>1.21</v>
      </c>
      <c r="U134" s="26">
        <v>0.76</v>
      </c>
      <c r="V134" s="26">
        <v>1.37</v>
      </c>
      <c r="W134" s="26">
        <v>1.34</v>
      </c>
      <c r="X134" s="26">
        <v>1.4</v>
      </c>
      <c r="Y134" s="26">
        <v>1.68</v>
      </c>
      <c r="Z134" s="26">
        <v>1.84</v>
      </c>
      <c r="AA134" s="26">
        <v>1.57</v>
      </c>
      <c r="AC134" s="49"/>
    </row>
    <row r="135" spans="2:29" x14ac:dyDescent="0.2">
      <c r="B135" s="20" t="s">
        <v>357</v>
      </c>
      <c r="C135" s="49"/>
      <c r="D135" s="49"/>
      <c r="E135" s="49"/>
      <c r="F135" s="49"/>
      <c r="G135" s="49"/>
      <c r="H135" s="49"/>
      <c r="I135" s="49"/>
      <c r="J135" s="49"/>
      <c r="K135" s="49"/>
      <c r="L135" s="49"/>
      <c r="M135" s="49"/>
      <c r="N135" s="49"/>
      <c r="O135" s="49"/>
      <c r="P135" s="49"/>
      <c r="Q135" s="49"/>
      <c r="T135" s="26">
        <v>1.27</v>
      </c>
      <c r="U135" s="26">
        <v>0.9</v>
      </c>
      <c r="V135" s="26">
        <v>1.46</v>
      </c>
      <c r="W135" s="26">
        <v>1.42</v>
      </c>
      <c r="X135" s="26">
        <v>1.57</v>
      </c>
      <c r="Y135" s="26">
        <v>1.83</v>
      </c>
      <c r="Z135" s="26">
        <v>1.97</v>
      </c>
      <c r="AA135" s="26">
        <v>1.87</v>
      </c>
      <c r="AC135" s="49"/>
    </row>
    <row r="136" spans="2:29" x14ac:dyDescent="0.2">
      <c r="B136" s="20" t="s">
        <v>358</v>
      </c>
      <c r="C136" s="49"/>
      <c r="D136" s="49"/>
      <c r="E136" s="49"/>
      <c r="F136" s="49"/>
      <c r="G136" s="49"/>
      <c r="H136" s="49"/>
      <c r="I136" s="49"/>
      <c r="J136" s="49"/>
      <c r="K136" s="49"/>
      <c r="L136" s="49"/>
      <c r="M136" s="49"/>
      <c r="N136" s="49"/>
      <c r="O136" s="49"/>
      <c r="P136" s="49"/>
      <c r="Q136" s="49"/>
      <c r="T136" s="227">
        <f t="shared" ref="T136" si="116">U26</f>
        <v>1.4</v>
      </c>
      <c r="U136" s="227">
        <f t="shared" ref="U136" si="117">V26</f>
        <v>0.7</v>
      </c>
      <c r="V136" s="227">
        <f t="shared" ref="V136" si="118">W26</f>
        <v>1.46</v>
      </c>
      <c r="W136" s="227">
        <f t="shared" ref="W136" si="119">X26</f>
        <v>1.6</v>
      </c>
      <c r="X136" s="227">
        <f t="shared" ref="X136" si="120">Y26</f>
        <v>1.48</v>
      </c>
      <c r="Y136" s="227">
        <f t="shared" ref="Y136" si="121">Z26</f>
        <v>2.3199999999999998</v>
      </c>
      <c r="Z136" s="227">
        <f t="shared" ref="Z136" si="122">AA26</f>
        <v>2.33</v>
      </c>
      <c r="AA136" s="227">
        <f t="shared" ref="AA136" si="123">AB26</f>
        <v>0</v>
      </c>
      <c r="AC136" s="49"/>
    </row>
    <row r="137" spans="2:29" x14ac:dyDescent="0.2">
      <c r="B137" s="23" t="s">
        <v>185</v>
      </c>
      <c r="C137" s="49"/>
      <c r="D137" s="49"/>
      <c r="E137" s="49"/>
      <c r="F137" s="49"/>
      <c r="G137" s="49"/>
      <c r="H137" s="49"/>
      <c r="I137" s="49"/>
      <c r="J137" s="49"/>
      <c r="K137" s="49"/>
      <c r="L137" s="49"/>
      <c r="M137" s="49"/>
      <c r="N137" s="49"/>
      <c r="O137" s="49"/>
      <c r="P137" s="49"/>
      <c r="Q137" s="49"/>
      <c r="T137" s="223" t="str">
        <f t="shared" ref="T137:Y137" si="124">IF(T136&gt;T135, "BEAT", IF(T136&lt;T134, "MISSED", "MET"))</f>
        <v>BEAT</v>
      </c>
      <c r="U137" s="223" t="str">
        <f t="shared" si="124"/>
        <v>MISSED</v>
      </c>
      <c r="V137" s="223" t="str">
        <f t="shared" si="124"/>
        <v>MET</v>
      </c>
      <c r="W137" s="223" t="str">
        <f t="shared" si="124"/>
        <v>BEAT</v>
      </c>
      <c r="X137" s="223" t="str">
        <f t="shared" si="124"/>
        <v>MET</v>
      </c>
      <c r="Y137" s="223" t="str">
        <f t="shared" si="124"/>
        <v>BEAT</v>
      </c>
      <c r="Z137" s="223" t="str">
        <f>IF(Z136&gt;Z135, "BEAT", IF(Z136&lt;Z134, "MISSED", "MET"))</f>
        <v>BEAT</v>
      </c>
      <c r="AA137" s="223" t="str">
        <f>IF(AA136&gt;AA135, "BEAT", IF(AA136&lt;AA134, "MISSED", "MET"))</f>
        <v>MISSED</v>
      </c>
      <c r="AC137" s="49"/>
    </row>
    <row r="139" spans="2:29" x14ac:dyDescent="0.2">
      <c r="B139" s="1"/>
    </row>
    <row r="140" spans="2:29" ht="17" thickBot="1" x14ac:dyDescent="0.25">
      <c r="B140" s="14" t="s">
        <v>247</v>
      </c>
      <c r="C140" s="169"/>
      <c r="D140" s="169"/>
      <c r="E140" s="169"/>
      <c r="F140" s="169"/>
      <c r="G140" s="169"/>
      <c r="H140" s="169"/>
      <c r="I140" s="169"/>
      <c r="J140" s="169"/>
      <c r="K140" s="169"/>
      <c r="L140" s="169"/>
      <c r="M140" s="169"/>
      <c r="N140" s="169"/>
      <c r="O140" s="169"/>
      <c r="P140" s="169"/>
      <c r="Q140" s="169"/>
      <c r="T140" s="169"/>
      <c r="U140" s="169"/>
      <c r="V140" s="169"/>
      <c r="W140" s="169"/>
      <c r="X140" s="169"/>
      <c r="Y140" s="169"/>
      <c r="Z140" s="169"/>
      <c r="AA140" s="169"/>
      <c r="AC140" s="169"/>
    </row>
    <row r="141" spans="2:29" x14ac:dyDescent="0.2">
      <c r="B141" s="20" t="s">
        <v>104</v>
      </c>
      <c r="C141" s="81"/>
      <c r="D141" s="81"/>
      <c r="E141" s="81"/>
      <c r="F141" s="81"/>
      <c r="G141" s="81"/>
      <c r="H141" s="81"/>
      <c r="I141" s="81"/>
      <c r="J141" s="81"/>
      <c r="K141" s="81"/>
      <c r="L141" s="81"/>
      <c r="M141" s="81">
        <f>M110/(M109+M113-M108)</f>
        <v>0.41183427192276745</v>
      </c>
      <c r="N141" s="81">
        <f>N110/(N109+N113-N108)</f>
        <v>0.68722770839384251</v>
      </c>
      <c r="O141" s="81">
        <f>O110/(O109+O113-O108)</f>
        <v>0.54226625576242271</v>
      </c>
      <c r="P141" s="81">
        <f>P110/(P109+P113-P108)</f>
        <v>0.39488056397721433</v>
      </c>
      <c r="Q141" s="81">
        <f>Q110/(Q109+Q113-Q108)</f>
        <v>0.43306080941678582</v>
      </c>
      <c r="T141" s="49"/>
      <c r="U141" s="49"/>
      <c r="V141" s="49"/>
      <c r="W141" s="49"/>
      <c r="X141" s="49"/>
      <c r="Y141" s="49"/>
      <c r="Z141" s="49"/>
      <c r="AA141" s="49"/>
      <c r="AC141" s="81">
        <f>AC110/(AC109+AC113-AC108)</f>
        <v>0.63581348227633894</v>
      </c>
    </row>
    <row r="142" spans="2:29" x14ac:dyDescent="0.2">
      <c r="B142" s="20" t="s">
        <v>138</v>
      </c>
      <c r="M142" s="120">
        <f t="shared" ref="M142:Q143" si="125">M31/M5*365</f>
        <v>59.585043319653444</v>
      </c>
      <c r="N142" s="120">
        <f t="shared" si="125"/>
        <v>70.082917082917078</v>
      </c>
      <c r="O142" s="120">
        <f t="shared" si="125"/>
        <v>58.166272512279427</v>
      </c>
      <c r="P142" s="120">
        <f t="shared" si="125"/>
        <v>60.009786331756644</v>
      </c>
      <c r="Q142" s="120">
        <f t="shared" si="125"/>
        <v>72.888565084651674</v>
      </c>
      <c r="T142" s="120">
        <f t="shared" ref="T142:Z142" si="126">T31/T5*90</f>
        <v>40.242038216560509</v>
      </c>
      <c r="U142" s="120">
        <f t="shared" si="126"/>
        <v>55.35082367297133</v>
      </c>
      <c r="V142" s="120">
        <f t="shared" si="126"/>
        <v>27.225964482547457</v>
      </c>
      <c r="W142" s="120">
        <f t="shared" si="126"/>
        <v>27.158252977878615</v>
      </c>
      <c r="X142" s="120">
        <f t="shared" si="126"/>
        <v>39.147328656233135</v>
      </c>
      <c r="Y142" s="120">
        <f t="shared" si="126"/>
        <v>66.177823198773638</v>
      </c>
      <c r="Z142" s="120">
        <f t="shared" si="126"/>
        <v>26.944157187176838</v>
      </c>
      <c r="AA142" s="120">
        <f t="shared" ref="AA142" si="127">AA31/AA5*90</f>
        <v>30.087976539589441</v>
      </c>
      <c r="AC142" s="120">
        <f>AC31/AC5*365</f>
        <v>32.048780487804876</v>
      </c>
    </row>
    <row r="143" spans="2:29" x14ac:dyDescent="0.2">
      <c r="B143" s="20" t="s">
        <v>139</v>
      </c>
      <c r="M143" s="120">
        <f t="shared" si="125"/>
        <v>0</v>
      </c>
      <c r="N143" s="120">
        <f t="shared" si="125"/>
        <v>0</v>
      </c>
      <c r="O143" s="120">
        <f t="shared" si="125"/>
        <v>0</v>
      </c>
      <c r="P143" s="120">
        <f t="shared" si="125"/>
        <v>0</v>
      </c>
      <c r="Q143" s="120">
        <f t="shared" si="125"/>
        <v>0</v>
      </c>
      <c r="T143" s="120">
        <f t="shared" ref="T143:Z143" si="128">T32/T6*365</f>
        <v>0</v>
      </c>
      <c r="U143" s="120">
        <f t="shared" si="128"/>
        <v>0</v>
      </c>
      <c r="V143" s="120">
        <f t="shared" si="128"/>
        <v>0</v>
      </c>
      <c r="W143" s="120">
        <f t="shared" si="128"/>
        <v>0</v>
      </c>
      <c r="X143" s="120">
        <f t="shared" si="128"/>
        <v>0</v>
      </c>
      <c r="Y143" s="120">
        <f t="shared" si="128"/>
        <v>0</v>
      </c>
      <c r="Z143" s="120">
        <f t="shared" si="128"/>
        <v>0</v>
      </c>
      <c r="AA143" s="120">
        <f t="shared" ref="AA143" si="129">AA32/AA6*365</f>
        <v>0</v>
      </c>
      <c r="AC143" s="120">
        <f>AC32/AC6*365</f>
        <v>0</v>
      </c>
    </row>
    <row r="144" spans="2:29" x14ac:dyDescent="0.2">
      <c r="B144" s="20" t="s">
        <v>140</v>
      </c>
      <c r="M144" s="120">
        <f>M39/M6*365</f>
        <v>105.65789473684211</v>
      </c>
      <c r="N144" s="120">
        <f>N39/N6*365</f>
        <v>77.5625</v>
      </c>
      <c r="O144" s="120">
        <f>O39/O6*365</f>
        <v>71.428571428571431</v>
      </c>
      <c r="P144" s="120">
        <f>P39/P6*365</f>
        <v>152.82006920415225</v>
      </c>
      <c r="Q144" s="120">
        <f>Q39/Q6*365</f>
        <v>236.96923076923079</v>
      </c>
      <c r="T144" s="120">
        <f t="shared" ref="T144:Z144" si="130">T39/T6*90</f>
        <v>132.85714285714286</v>
      </c>
      <c r="U144" s="120">
        <f t="shared" si="130"/>
        <v>141.42857142857142</v>
      </c>
      <c r="V144" s="120">
        <f t="shared" si="130"/>
        <v>155.8125</v>
      </c>
      <c r="W144" s="120">
        <f t="shared" si="130"/>
        <v>183.39622641509433</v>
      </c>
      <c r="X144" s="120">
        <f t="shared" si="130"/>
        <v>209.45454545454544</v>
      </c>
      <c r="Y144" s="120">
        <f t="shared" si="130"/>
        <v>228.79518072289159</v>
      </c>
      <c r="Z144" s="120">
        <f t="shared" si="130"/>
        <v>207.25714285714287</v>
      </c>
      <c r="AA144" s="120">
        <f t="shared" ref="AA144" si="131">AA39/AA6*90</f>
        <v>233.69318181818181</v>
      </c>
      <c r="AC144" s="120">
        <f>AC39/AC6*365</f>
        <v>244.58211143695013</v>
      </c>
    </row>
    <row r="145" spans="2:29" x14ac:dyDescent="0.2">
      <c r="B145" s="20" t="s">
        <v>141</v>
      </c>
      <c r="M145" s="120">
        <f>M142+M143-M144</f>
        <v>-46.072851417188666</v>
      </c>
      <c r="N145" s="120">
        <f t="shared" ref="N145:Q145" si="132">N142+N143-N144</f>
        <v>-7.4795829170829222</v>
      </c>
      <c r="O145" s="120">
        <f t="shared" si="132"/>
        <v>-13.262298916292004</v>
      </c>
      <c r="P145" s="120">
        <f t="shared" si="132"/>
        <v>-92.810282872395604</v>
      </c>
      <c r="Q145" s="120">
        <f t="shared" si="132"/>
        <v>-164.08066568457912</v>
      </c>
      <c r="T145" s="120">
        <f t="shared" ref="T145" si="133">T142+T143-T144</f>
        <v>-92.615104640582359</v>
      </c>
      <c r="U145" s="120">
        <f t="shared" ref="U145" si="134">U142+U143-U144</f>
        <v>-86.077747755600086</v>
      </c>
      <c r="V145" s="120">
        <f t="shared" ref="V145" si="135">V142+V143-V144</f>
        <v>-128.58653551745255</v>
      </c>
      <c r="W145" s="120">
        <f t="shared" ref="W145" si="136">W142+W143-W144</f>
        <v>-156.23797343721571</v>
      </c>
      <c r="X145" s="120">
        <f t="shared" ref="X145:Z145" si="137">X142+X143-X144</f>
        <v>-170.30721679831231</v>
      </c>
      <c r="Y145" s="120">
        <f t="shared" si="137"/>
        <v>-162.61735752411795</v>
      </c>
      <c r="Z145" s="120">
        <f t="shared" si="137"/>
        <v>-180.31298566996603</v>
      </c>
      <c r="AA145" s="120">
        <f t="shared" ref="AA145" si="138">AA142+AA143-AA144</f>
        <v>-203.60520527859236</v>
      </c>
      <c r="AC145" s="120">
        <f t="shared" ref="AC145" si="139">AC142+AC143-AC144</f>
        <v>-212.53333094914524</v>
      </c>
    </row>
    <row r="146" spans="2:29" x14ac:dyDescent="0.2">
      <c r="B146" s="20" t="s">
        <v>250</v>
      </c>
      <c r="M146" s="120">
        <f>M109/M50</f>
        <v>2.6855123674911661</v>
      </c>
      <c r="N146" s="120">
        <f>N109/N50</f>
        <v>1.9921397379912664</v>
      </c>
      <c r="O146" s="120">
        <f>O109/O50</f>
        <v>1.231266846361186</v>
      </c>
      <c r="P146" s="120">
        <f>P109/P50</f>
        <v>0.8725677222434185</v>
      </c>
      <c r="Q146" s="120">
        <f>Q109/Q50</f>
        <v>0.81543513957307057</v>
      </c>
      <c r="T146" s="120">
        <f t="shared" ref="T146:Z146" si="140">T109/T50</f>
        <v>0.87385321100917435</v>
      </c>
      <c r="U146" s="120">
        <f t="shared" si="140"/>
        <v>0.8725677222434185</v>
      </c>
      <c r="V146" s="120">
        <f t="shared" si="140"/>
        <v>0.87428353076041265</v>
      </c>
      <c r="W146" s="120">
        <f t="shared" si="140"/>
        <v>0.91381215469613264</v>
      </c>
      <c r="X146" s="120">
        <f t="shared" si="140"/>
        <v>0.85793294158313171</v>
      </c>
      <c r="Y146" s="120">
        <f t="shared" si="140"/>
        <v>0.81543513957307057</v>
      </c>
      <c r="Z146" s="120">
        <f t="shared" si="140"/>
        <v>0.77892756349952963</v>
      </c>
      <c r="AA146" s="120">
        <f t="shared" ref="AA146" si="141">AA109/AA50</f>
        <v>1.028081584392551</v>
      </c>
      <c r="AC146" s="120">
        <f>AC109/AC50</f>
        <v>1.028081584392551</v>
      </c>
    </row>
    <row r="147" spans="2:29" x14ac:dyDescent="0.2">
      <c r="B147" s="20" t="s">
        <v>254</v>
      </c>
      <c r="M147" s="177">
        <f>(M109-M108)/M50</f>
        <v>0.55477031802120136</v>
      </c>
      <c r="N147" s="177">
        <f>(N109-N108)/N50</f>
        <v>9.344978165938865E-2</v>
      </c>
      <c r="O147" s="177">
        <f>(O109-O108)/O50</f>
        <v>-0.10566037735849057</v>
      </c>
      <c r="P147" s="177">
        <f>(P109-P108)/P50</f>
        <v>5.1125524608927893E-2</v>
      </c>
      <c r="Q147" s="177">
        <f>(Q109-Q108)/Q50</f>
        <v>-0.16091954022988506</v>
      </c>
      <c r="T147" s="177">
        <f t="shared" ref="T147:Z147" si="142">(T109-T108)/T50</f>
        <v>0.11811926605504587</v>
      </c>
      <c r="U147" s="177">
        <f t="shared" si="142"/>
        <v>5.1125524608927893E-2</v>
      </c>
      <c r="V147" s="177">
        <f t="shared" si="142"/>
        <v>-4.9675200611387083E-3</v>
      </c>
      <c r="W147" s="177">
        <f t="shared" si="142"/>
        <v>-1.3627992633517496E-2</v>
      </c>
      <c r="X147" s="177">
        <f t="shared" si="142"/>
        <v>-3.7677151745592809E-2</v>
      </c>
      <c r="Y147" s="177">
        <f t="shared" si="142"/>
        <v>-0.16091954022988506</v>
      </c>
      <c r="Z147" s="177">
        <f t="shared" si="142"/>
        <v>-0.25870178739416744</v>
      </c>
      <c r="AA147" s="177">
        <f t="shared" ref="AA147" si="143">(AA109-AA108)/AA50</f>
        <v>-0.25982855453739284</v>
      </c>
      <c r="AC147" s="177">
        <f>(AC109-AC108)/AC50</f>
        <v>-0.25982855453739284</v>
      </c>
    </row>
    <row r="148" spans="2:29" x14ac:dyDescent="0.2">
      <c r="B148" s="20" t="s">
        <v>251</v>
      </c>
      <c r="M148" s="120">
        <f>(M108+M31)/M41</f>
        <v>0.6298328760289349</v>
      </c>
      <c r="N148" s="120">
        <f>(N108+N31)/N41</f>
        <v>0.78374999999999995</v>
      </c>
      <c r="O148" s="120">
        <f>(O108+O31)/O41</f>
        <v>0.77131693863479656</v>
      </c>
      <c r="P148" s="120">
        <f>(P108+P31)/P41</f>
        <v>0.61366724907784898</v>
      </c>
      <c r="Q148" s="120">
        <f>(Q108+Q31)/Q41</f>
        <v>0.75964187327823696</v>
      </c>
      <c r="T148" s="120">
        <f t="shared" ref="T148:Z148" si="144">(T108+T31)/T41</f>
        <v>0.59959713518352731</v>
      </c>
      <c r="U148" s="120">
        <f t="shared" si="144"/>
        <v>0.61366724907784898</v>
      </c>
      <c r="V148" s="120">
        <f t="shared" si="144"/>
        <v>0.56820491969912579</v>
      </c>
      <c r="W148" s="120">
        <f t="shared" si="144"/>
        <v>0.66798072711344725</v>
      </c>
      <c r="X148" s="120">
        <f t="shared" si="144"/>
        <v>0.71742344244984158</v>
      </c>
      <c r="Y148" s="120">
        <f t="shared" si="144"/>
        <v>0.75964187327823696</v>
      </c>
      <c r="Z148" s="120">
        <f t="shared" si="144"/>
        <v>0.74198473282442745</v>
      </c>
      <c r="AA148" s="120">
        <f t="shared" ref="AA148" si="145">(AA108+AA31)/AA41</f>
        <v>0.76056125528062768</v>
      </c>
      <c r="AC148" s="120">
        <f>(AC108+AC31)/AC41</f>
        <v>0.76056125528062768</v>
      </c>
    </row>
    <row r="149" spans="2:29" x14ac:dyDescent="0.2">
      <c r="B149" s="20" t="s">
        <v>252</v>
      </c>
      <c r="M149" s="120">
        <f>M33/M41</f>
        <v>0.68944874033424797</v>
      </c>
      <c r="N149" s="120">
        <f>N33/N41</f>
        <v>0.83525000000000005</v>
      </c>
      <c r="O149" s="120">
        <f>O33/O41</f>
        <v>0.82256952424729946</v>
      </c>
      <c r="P149" s="120">
        <f>P33/P41</f>
        <v>0.67598524558338191</v>
      </c>
      <c r="Q149" s="120">
        <f>Q33/Q41</f>
        <v>0.85089531680440766</v>
      </c>
      <c r="T149" s="120">
        <f t="shared" ref="T149:Z149" si="146">T33/T41</f>
        <v>0.64883616830796775</v>
      </c>
      <c r="U149" s="120">
        <f t="shared" si="146"/>
        <v>0.67598524558338191</v>
      </c>
      <c r="V149" s="120">
        <f t="shared" si="146"/>
        <v>0.65358812766822527</v>
      </c>
      <c r="W149" s="120">
        <f t="shared" si="146"/>
        <v>0.76412614980289095</v>
      </c>
      <c r="X149" s="120">
        <f t="shared" si="146"/>
        <v>0.82259767687434004</v>
      </c>
      <c r="Y149" s="120">
        <f t="shared" si="146"/>
        <v>0.85089531680440766</v>
      </c>
      <c r="Z149" s="120">
        <f t="shared" si="146"/>
        <v>0.83473282442748087</v>
      </c>
      <c r="AA149" s="120">
        <f t="shared" ref="AA149" si="147">AA33/AA41</f>
        <v>0.85546167773083892</v>
      </c>
      <c r="AC149" s="120">
        <f>AC33/AC41</f>
        <v>0.85546167773083892</v>
      </c>
    </row>
    <row r="150" spans="2:29" x14ac:dyDescent="0.2">
      <c r="B150" s="20" t="s">
        <v>258</v>
      </c>
      <c r="M150" s="179">
        <f>IF(M14&gt;=0,"N/A",IF(M13&lt;=0,"N/A",M13/-M14))</f>
        <v>11.660377358490566</v>
      </c>
      <c r="N150" s="179">
        <f>IF(N14&gt;=0,"N/A",IF(N13&lt;=0,"N/A",N13/-N14))</f>
        <v>23</v>
      </c>
      <c r="O150" s="179" t="str">
        <f>IF(O14&gt;=0,"N/A",IF(O13&lt;=0,"N/A",O13/-O14))</f>
        <v>N/A</v>
      </c>
      <c r="P150" s="179" t="str">
        <f>IF(P14&gt;=0,"N/A",IF(P13&lt;=0,"N/A",P13/-P14))</f>
        <v>N/A</v>
      </c>
      <c r="Q150" s="179" t="str">
        <f>IF(Q14&gt;=0,"N/A",IF(Q13&lt;=0,"N/A",Q13/-Q14))</f>
        <v>N/A</v>
      </c>
      <c r="T150" s="179" t="str">
        <f t="shared" ref="T150:Z150" si="148">IF(T14&gt;=0,"N/A",IF(T13&lt;=0,"N/A",T13/-T14))</f>
        <v>N/A</v>
      </c>
      <c r="U150" s="179" t="str">
        <f t="shared" si="148"/>
        <v>N/A</v>
      </c>
      <c r="V150" s="179" t="str">
        <f t="shared" si="148"/>
        <v>N/A</v>
      </c>
      <c r="W150" s="179" t="str">
        <f t="shared" si="148"/>
        <v>N/A</v>
      </c>
      <c r="X150" s="179">
        <f t="shared" si="148"/>
        <v>235</v>
      </c>
      <c r="Y150" s="179" t="str">
        <f t="shared" si="148"/>
        <v>N/A</v>
      </c>
      <c r="Z150" s="179" t="str">
        <f t="shared" si="148"/>
        <v>N/A</v>
      </c>
      <c r="AA150" s="179">
        <f t="shared" ref="AA150" si="149">IF(AA14&gt;=0,"N/A",IF(AA13&lt;=0,"N/A",AA13/-AA14))</f>
        <v>99.833333333333329</v>
      </c>
      <c r="AC150" s="179" t="str">
        <f>IF(AC14&gt;=0,"N/A",IF(AC13&lt;=0,"N/A",AC13/-AC14))</f>
        <v>N/A</v>
      </c>
    </row>
    <row r="151" spans="2:29" x14ac:dyDescent="0.2">
      <c r="B151" s="20" t="s">
        <v>236</v>
      </c>
      <c r="M151" s="72">
        <f>M118/Statement!M27</f>
        <v>111.51339285714285</v>
      </c>
      <c r="N151" s="72">
        <f>N118/Statement!N27</f>
        <v>56.920634920634924</v>
      </c>
      <c r="O151" s="72">
        <f>O118/Statement!O27</f>
        <v>60.575178997613357</v>
      </c>
      <c r="P151" s="72">
        <f>P118/Statement!P27</f>
        <v>60.783203124999993</v>
      </c>
      <c r="Q151" s="72">
        <f>Q118/Statement!Q27</f>
        <v>48.349904397705544</v>
      </c>
      <c r="T151" s="49"/>
      <c r="U151" s="49"/>
      <c r="V151" s="49"/>
      <c r="W151" s="49"/>
      <c r="X151" s="49"/>
      <c r="Y151" s="49"/>
      <c r="Z151" s="49"/>
      <c r="AA151" s="49"/>
      <c r="AC151" s="72">
        <f ca="1">AC118/Statement!AC27</f>
        <v>30.212160413971535</v>
      </c>
    </row>
    <row r="152" spans="2:29" x14ac:dyDescent="0.2">
      <c r="B152" s="20" t="s">
        <v>200</v>
      </c>
      <c r="M152" s="72">
        <f>M118/(Statement!M5/Statement!M23)</f>
        <v>12.643269493844048</v>
      </c>
      <c r="N152" s="72">
        <f>N118/(Statement!N5/Statement!N23)</f>
        <v>9.3716043956043951</v>
      </c>
      <c r="O152" s="72">
        <f>O118/(Statement!O5/Statement!O23)</f>
        <v>9.9732508641076958</v>
      </c>
      <c r="P152" s="72">
        <f>P118/(Statement!P5/Statement!P23)</f>
        <v>11.014935573315935</v>
      </c>
      <c r="Q152" s="72">
        <f>Q118/(Statement!Q5/Statement!Q23)</f>
        <v>7.5446919233971688</v>
      </c>
      <c r="T152" s="49"/>
      <c r="U152" s="49"/>
      <c r="V152" s="49"/>
      <c r="W152" s="49"/>
      <c r="X152" s="49"/>
      <c r="Y152" s="49"/>
      <c r="Z152" s="49"/>
      <c r="AA152" s="49"/>
      <c r="AC152" s="72">
        <f ca="1">AC118/(Statement!AC5/Statement!AC23)</f>
        <v>6.3856251604621308</v>
      </c>
    </row>
    <row r="153" spans="2:29" x14ac:dyDescent="0.2">
      <c r="B153" s="20" t="s">
        <v>237</v>
      </c>
      <c r="M153" s="72">
        <f>M118/(Statement!M50/Statement!M76)</f>
        <v>63.845029446407537</v>
      </c>
      <c r="N153" s="72">
        <f>N118/(Statement!N50/Statement!N76)</f>
        <v>40.58913537117904</v>
      </c>
      <c r="O153" s="72">
        <f>O118/(Statement!O50/Statement!O76)</f>
        <v>29.280506738544478</v>
      </c>
      <c r="P153" s="72">
        <f>P118/(Statement!P50/Statement!P76)</f>
        <v>25.528481495612361</v>
      </c>
      <c r="Q153" s="72">
        <f>Q118/(Statement!Q50/Statement!Q76)</f>
        <v>17.688443349753694</v>
      </c>
      <c r="T153" s="72">
        <f>T118/(Statement!T50/Statement!T76)</f>
        <v>23.324541284403672</v>
      </c>
      <c r="U153" s="72">
        <f>U118/(Statement!U50/Statement!U76)</f>
        <v>25.528481495612361</v>
      </c>
      <c r="V153" s="72">
        <f>V118/(Statement!V50/Statement!V76)</f>
        <v>22.426251432938479</v>
      </c>
      <c r="W153" s="72">
        <f>W118/(Statement!W50/Statement!W76)</f>
        <v>23.77990055248619</v>
      </c>
      <c r="X153" s="72">
        <f>X118/(Statement!X50/Statement!X76)</f>
        <v>22.082295195298997</v>
      </c>
      <c r="Y153" s="72">
        <f>Y118/(Statement!Y50/Statement!Y76)</f>
        <v>17.688443349753694</v>
      </c>
      <c r="Z153" s="72">
        <f>Z118/(Statement!Z50/Statement!Z76)</f>
        <v>15.681091251175918</v>
      </c>
      <c r="AA153" s="72">
        <f>AA118/(Statement!AA50/Statement!AA76)</f>
        <v>12.011167602719478</v>
      </c>
      <c r="AC153" s="72">
        <f ca="1">AC118/(Statement!AC50/Statement!AC76)</f>
        <v>14.427981081879986</v>
      </c>
    </row>
    <row r="154" spans="2:29" x14ac:dyDescent="0.2">
      <c r="B154" s="20" t="s">
        <v>238</v>
      </c>
      <c r="M154" s="143">
        <f>Statement!M118*Statement!M79</f>
        <v>54704.009999999995</v>
      </c>
      <c r="N154" s="143">
        <f>Statement!N118*Statement!N79</f>
        <v>46904.88</v>
      </c>
      <c r="O154" s="143">
        <f>Statement!O118*Statement!O79</f>
        <v>54822.96</v>
      </c>
      <c r="P154" s="143">
        <f>Statement!P118*Statement!P79</f>
        <v>67532.569999999992</v>
      </c>
      <c r="Q154" s="143">
        <f>Statement!Q118*Statement!Q79</f>
        <v>54367.05</v>
      </c>
      <c r="T154" s="143">
        <f>Statement!T118*Statement!T79</f>
        <v>61584.600000000006</v>
      </c>
      <c r="U154" s="143">
        <f>Statement!U118*Statement!U79</f>
        <v>67532.569999999992</v>
      </c>
      <c r="V154" s="143">
        <f>Statement!V118*Statement!V79</f>
        <v>59238</v>
      </c>
      <c r="W154" s="143">
        <f>Statement!W118*Statement!W79</f>
        <v>65168.65</v>
      </c>
      <c r="X154" s="143">
        <f>Statement!X118*Statement!X79</f>
        <v>64486.759999999995</v>
      </c>
      <c r="Y154" s="143">
        <f>Statement!Y118*Statement!Y79</f>
        <v>54367.05</v>
      </c>
      <c r="Z154" s="143">
        <f>Statement!Z118*Statement!Z79</f>
        <v>50244</v>
      </c>
      <c r="AA154" s="143">
        <f>Statement!AA118*Statement!AA79</f>
        <v>40828.199999999997</v>
      </c>
      <c r="AC154" s="143">
        <f ca="1">Statement!AC118*Statement!AC79</f>
        <v>49043.4</v>
      </c>
    </row>
    <row r="155" spans="2:29" x14ac:dyDescent="0.2">
      <c r="B155" s="20" t="s">
        <v>187</v>
      </c>
      <c r="M155" s="143">
        <f>M154+M109-M108+M49+M46</f>
        <v>55175.009999999995</v>
      </c>
      <c r="N155" s="143">
        <f>N154+N109-N108+N49+N46</f>
        <v>47011.88</v>
      </c>
      <c r="O155" s="143">
        <f>O154+O109-O108+O49+O46</f>
        <v>54626.96</v>
      </c>
      <c r="P155" s="143">
        <f>P154+P109-P108+P49+P46</f>
        <v>67666.569999999992</v>
      </c>
      <c r="Q155" s="143">
        <f>Q154+Q109-Q108+Q49+Q46</f>
        <v>53877.05</v>
      </c>
      <c r="T155" s="143">
        <f t="shared" ref="T155:Z155" si="150">T154+T109-T108+T49+T46</f>
        <v>61893.600000000006</v>
      </c>
      <c r="U155" s="143">
        <f t="shared" si="150"/>
        <v>67666.569999999992</v>
      </c>
      <c r="V155" s="143">
        <f t="shared" si="150"/>
        <v>59225</v>
      </c>
      <c r="W155" s="143">
        <f t="shared" si="150"/>
        <v>65131.649999999994</v>
      </c>
      <c r="X155" s="143">
        <f t="shared" si="150"/>
        <v>64377.759999999995</v>
      </c>
      <c r="Y155" s="143">
        <f t="shared" si="150"/>
        <v>53877.05</v>
      </c>
      <c r="Z155" s="143">
        <f t="shared" si="150"/>
        <v>49419</v>
      </c>
      <c r="AA155" s="143">
        <f t="shared" ref="AA155" si="151">AA154+AA109-AA108+AA49+AA46</f>
        <v>39949.199999999997</v>
      </c>
      <c r="AC155" s="143">
        <f ca="1">AC154+AC109-AC108+AC49+AC46</f>
        <v>48164.4</v>
      </c>
    </row>
    <row r="156" spans="2:29" x14ac:dyDescent="0.2">
      <c r="B156" s="20" t="s">
        <v>259</v>
      </c>
      <c r="M156" s="181">
        <f>M155/M5</f>
        <v>12.579801641586867</v>
      </c>
      <c r="N156" s="181">
        <f>N155/N5</f>
        <v>9.3929830169830169</v>
      </c>
      <c r="O156" s="181">
        <f>O155/O5</f>
        <v>9.9375950518464613</v>
      </c>
      <c r="P156" s="181">
        <f>P155/P5</f>
        <v>11.036791714239111</v>
      </c>
      <c r="Q156" s="181">
        <f>Q155/Q5</f>
        <v>7.4766930335831256</v>
      </c>
      <c r="T156" s="49"/>
      <c r="U156" s="49"/>
      <c r="V156" s="49"/>
      <c r="W156" s="49"/>
      <c r="X156" s="49"/>
      <c r="Y156" s="49"/>
      <c r="Z156" s="49"/>
      <c r="AA156" s="49"/>
      <c r="AC156" s="181">
        <f ca="1">AC155/AC5</f>
        <v>6.182849807445443</v>
      </c>
    </row>
    <row r="157" spans="2:29" x14ac:dyDescent="0.2">
      <c r="B157" s="20" t="s">
        <v>203</v>
      </c>
      <c r="M157" s="181">
        <f>M155/M13</f>
        <v>89.27995145631067</v>
      </c>
      <c r="N157" s="181">
        <f>N155/N13</f>
        <v>47.534762386248737</v>
      </c>
      <c r="O157" s="181">
        <f>O155/O13</f>
        <v>48.428156028368797</v>
      </c>
      <c r="P157" s="181">
        <f>P155/P13</f>
        <v>49.975310192023628</v>
      </c>
      <c r="Q157" s="181">
        <f>Q155/Q13</f>
        <v>34.142617237008871</v>
      </c>
      <c r="T157" s="49"/>
      <c r="U157" s="49"/>
      <c r="V157" s="49"/>
      <c r="W157" s="49"/>
      <c r="X157" s="49"/>
      <c r="Y157" s="49"/>
      <c r="Z157" s="49"/>
      <c r="AA157" s="49"/>
      <c r="AC157" s="181">
        <f ca="1">AC155/AC13</f>
        <v>23.598432141107303</v>
      </c>
    </row>
    <row r="158" spans="2:29" x14ac:dyDescent="0.2">
      <c r="B158" s="20" t="s">
        <v>260</v>
      </c>
      <c r="M158" s="64">
        <f>M60-M55+M111+M66</f>
        <v>909</v>
      </c>
      <c r="N158" s="64">
        <f>N60-N55+N111+N66</f>
        <v>1368</v>
      </c>
      <c r="O158" s="64">
        <f>O60-O55+O111+O66</f>
        <v>549</v>
      </c>
      <c r="P158" s="64">
        <f>P60-P55+P111+P66</f>
        <v>822</v>
      </c>
      <c r="Q158" s="64">
        <f>Q60-Q55+Q111+Q66</f>
        <v>1588</v>
      </c>
      <c r="T158" s="64">
        <f t="shared" ref="T158:Z158" si="152">T60-T55+T111+T66</f>
        <v>0</v>
      </c>
      <c r="U158" s="64">
        <f t="shared" si="152"/>
        <v>0</v>
      </c>
      <c r="V158" s="64">
        <f t="shared" si="152"/>
        <v>319</v>
      </c>
      <c r="W158" s="64">
        <f t="shared" si="152"/>
        <v>253</v>
      </c>
      <c r="X158" s="64">
        <f t="shared" si="152"/>
        <v>231</v>
      </c>
      <c r="Y158" s="64">
        <f t="shared" si="152"/>
        <v>785</v>
      </c>
      <c r="Z158" s="64">
        <f t="shared" si="152"/>
        <v>712</v>
      </c>
      <c r="AA158" s="64">
        <f t="shared" ref="AA158" si="153">AA60-AA55+AA111+AA66</f>
        <v>370</v>
      </c>
      <c r="AC158" s="64">
        <f>AC60-AC55+AC111+AC66</f>
        <v>2098</v>
      </c>
    </row>
    <row r="159" spans="2:29" x14ac:dyDescent="0.2">
      <c r="B159" s="20" t="s">
        <v>261</v>
      </c>
      <c r="M159" s="64">
        <f>M110+M54+M111+M56+M58+M59+M57</f>
        <v>841.62123893805301</v>
      </c>
      <c r="N159" s="64">
        <f>N110+N54+N111+N56+N58+N59+N57</f>
        <v>1656.409090909091</v>
      </c>
      <c r="O159" s="64">
        <f>O110+O54+O111+O56+O58+O59+O57</f>
        <v>526.61971830985931</v>
      </c>
      <c r="P159" s="64">
        <f>P110+P54+P111+P56+P58+P59+P57</f>
        <v>707.89595375722547</v>
      </c>
      <c r="Q159" s="64">
        <f>Q110+Q54+Q111+Q56+Q58+Q59+Q57</f>
        <v>724.47036805988773</v>
      </c>
      <c r="T159" s="49"/>
      <c r="U159" s="49"/>
      <c r="V159" s="49"/>
      <c r="W159" s="49"/>
      <c r="X159" s="49"/>
      <c r="Y159" s="49"/>
      <c r="Z159" s="49"/>
      <c r="AA159" s="49"/>
      <c r="AC159" s="64">
        <f>AC110+AC54+AC111+AC56+AC58+AC59+AC57</f>
        <v>1216.0769596199527</v>
      </c>
    </row>
    <row r="160" spans="2:29" x14ac:dyDescent="0.2">
      <c r="B160" s="20" t="s">
        <v>262</v>
      </c>
      <c r="M160" s="72">
        <f>M154/M158</f>
        <v>60.180429042904287</v>
      </c>
      <c r="N160" s="72">
        <f t="shared" ref="N160:Q160" si="154">N154/N158</f>
        <v>34.287192982456141</v>
      </c>
      <c r="O160" s="72">
        <f t="shared" si="154"/>
        <v>99.859672131147533</v>
      </c>
      <c r="P160" s="72">
        <f t="shared" si="154"/>
        <v>82.156411192214108</v>
      </c>
      <c r="Q160" s="72">
        <f t="shared" si="154"/>
        <v>34.236177581863984</v>
      </c>
      <c r="T160" s="49"/>
      <c r="U160" s="49"/>
      <c r="V160" s="49"/>
      <c r="W160" s="49"/>
      <c r="X160" s="49"/>
      <c r="Y160" s="49"/>
      <c r="Z160" s="49"/>
      <c r="AA160" s="49"/>
      <c r="AC160" s="72">
        <f t="shared" ref="AC160:AC161" ca="1" si="155">AC154/AC158</f>
        <v>23.376263107721641</v>
      </c>
    </row>
    <row r="161" spans="2:29" x14ac:dyDescent="0.2">
      <c r="B161" s="20" t="s">
        <v>263</v>
      </c>
      <c r="M161" s="72">
        <f>M155/M159</f>
        <v>65.558005724307904</v>
      </c>
      <c r="N161" s="72">
        <f t="shared" ref="N161:Q161" si="156">N155/N159</f>
        <v>28.381805109629262</v>
      </c>
      <c r="O161" s="72">
        <f t="shared" si="156"/>
        <v>103.73132281358649</v>
      </c>
      <c r="P161" s="72">
        <f t="shared" si="156"/>
        <v>95.588298874789729</v>
      </c>
      <c r="Q161" s="72">
        <f t="shared" si="156"/>
        <v>74.367499866531887</v>
      </c>
      <c r="T161" s="49"/>
      <c r="U161" s="49"/>
      <c r="V161" s="49"/>
      <c r="W161" s="49"/>
      <c r="X161" s="49"/>
      <c r="Y161" s="49"/>
      <c r="Z161" s="49"/>
      <c r="AA161" s="49"/>
      <c r="AC161" s="72">
        <f t="shared" ca="1" si="155"/>
        <v>39.606374924702379</v>
      </c>
    </row>
    <row r="162" spans="2:29" x14ac:dyDescent="0.2">
      <c r="B162" s="20" t="s">
        <v>264</v>
      </c>
      <c r="M162" s="74">
        <f>M158/M154</f>
        <v>1.6616697752139194E-2</v>
      </c>
      <c r="N162" s="74">
        <f t="shared" ref="N162:Q162" si="157">N158/N154</f>
        <v>2.9165408801813373E-2</v>
      </c>
      <c r="O162" s="74">
        <f t="shared" si="157"/>
        <v>1.0014052506468094E-2</v>
      </c>
      <c r="P162" s="74">
        <f t="shared" si="157"/>
        <v>1.2171904608398586E-2</v>
      </c>
      <c r="Q162" s="74">
        <f t="shared" si="157"/>
        <v>2.9208868239126454E-2</v>
      </c>
      <c r="T162" s="49"/>
      <c r="U162" s="49"/>
      <c r="V162" s="49"/>
      <c r="W162" s="49"/>
      <c r="X162" s="49"/>
      <c r="Y162" s="49"/>
      <c r="Z162" s="49"/>
      <c r="AA162" s="49"/>
      <c r="AC162" s="74">
        <f t="shared" ref="AC162" ca="1" si="158">AC158/AC154</f>
        <v>4.277843705778963E-2</v>
      </c>
    </row>
    <row r="163" spans="2:29" x14ac:dyDescent="0.2">
      <c r="B163" s="20" t="s">
        <v>265</v>
      </c>
      <c r="M163" s="74">
        <f>M27/M118</f>
        <v>8.9675327274910937E-3</v>
      </c>
      <c r="N163" s="74">
        <f>N27/N118</f>
        <v>1.7568321249302844E-2</v>
      </c>
      <c r="O163" s="74">
        <f>O27/O118</f>
        <v>1.6508411804105436E-2</v>
      </c>
      <c r="P163" s="74">
        <f>P27/P118</f>
        <v>1.6451913498923557E-2</v>
      </c>
      <c r="Q163" s="74">
        <f>Q27/Q118</f>
        <v>2.0682564163404121E-2</v>
      </c>
      <c r="T163" s="49"/>
      <c r="U163" s="49"/>
      <c r="V163" s="49"/>
      <c r="W163" s="49"/>
      <c r="X163" s="49"/>
      <c r="Y163" s="49"/>
      <c r="Z163" s="49"/>
      <c r="AA163" s="49"/>
      <c r="AC163" s="74">
        <f ca="1">AC27/AC118</f>
        <v>3.3099254945619598E-2</v>
      </c>
    </row>
    <row r="164" spans="2:29" x14ac:dyDescent="0.2">
      <c r="B164" s="20" t="s">
        <v>266</v>
      </c>
      <c r="M164" s="154">
        <f>M83/M118</f>
        <v>0</v>
      </c>
      <c r="N164" s="154">
        <f>N83/N118</f>
        <v>0</v>
      </c>
      <c r="O164" s="154">
        <f>O83/O118</f>
        <v>0</v>
      </c>
      <c r="P164" s="154">
        <f>P83/P118</f>
        <v>0</v>
      </c>
      <c r="Q164" s="154">
        <f>Q83/Q118</f>
        <v>0</v>
      </c>
      <c r="T164" s="49"/>
      <c r="U164" s="49"/>
      <c r="V164" s="49"/>
      <c r="W164" s="49"/>
      <c r="X164" s="49"/>
      <c r="Y164" s="49"/>
      <c r="Z164" s="49"/>
      <c r="AA164" s="49"/>
      <c r="AC164" s="154">
        <f ca="1">AC83/AC118</f>
        <v>0</v>
      </c>
    </row>
    <row r="165" spans="2:29" x14ac:dyDescent="0.2">
      <c r="B165" s="20" t="s">
        <v>291</v>
      </c>
      <c r="M165" s="154">
        <f>-M64/M154</f>
        <v>1.9724330995113521E-2</v>
      </c>
      <c r="N165" s="154">
        <f>-N64/N154</f>
        <v>2.3473037347073483E-2</v>
      </c>
      <c r="O165" s="154">
        <f>-O64/O154</f>
        <v>1.4501223574940134E-2</v>
      </c>
      <c r="P165" s="154">
        <f>-P64/P154</f>
        <v>1.2616134703595615E-2</v>
      </c>
      <c r="Q165" s="154">
        <f>-Q64/Q154</f>
        <v>2.5787678382402576E-2</v>
      </c>
      <c r="T165" s="49"/>
      <c r="U165" s="49"/>
      <c r="V165" s="49"/>
      <c r="W165" s="49"/>
      <c r="X165" s="49"/>
      <c r="Y165" s="49"/>
      <c r="Z165" s="49"/>
      <c r="AA165" s="49"/>
      <c r="AC165" s="154">
        <f ca="1">-AC64/AC154</f>
        <v>3.2440654603881458E-2</v>
      </c>
    </row>
    <row r="166" spans="2:29" x14ac:dyDescent="0.2">
      <c r="B166" s="20" t="s">
        <v>293</v>
      </c>
      <c r="M166" s="154">
        <f>-(M64+M65)/M154</f>
        <v>1.9724330995113521E-2</v>
      </c>
      <c r="N166" s="154">
        <f>-(N64+N65)/N154</f>
        <v>2.3473037347073483E-2</v>
      </c>
      <c r="O166" s="154">
        <f>-(O64+O65)/O154</f>
        <v>1.4501223574940134E-2</v>
      </c>
      <c r="P166" s="154">
        <f>-(P64+P65)/P154</f>
        <v>1.2616134703595615E-2</v>
      </c>
      <c r="Q166" s="154">
        <f>-(Q64+Q65)/Q154</f>
        <v>2.5787678382402576E-2</v>
      </c>
      <c r="T166" s="49"/>
      <c r="U166" s="49"/>
      <c r="V166" s="49"/>
      <c r="W166" s="49"/>
      <c r="X166" s="49"/>
      <c r="Y166" s="49"/>
      <c r="Z166" s="49"/>
      <c r="AA166" s="49"/>
      <c r="AC166" s="154">
        <f ca="1">-(AC64+AC65)/AC154</f>
        <v>3.2440654603881458E-2</v>
      </c>
    </row>
    <row r="167" spans="2:29" x14ac:dyDescent="0.2">
      <c r="B167" s="20" t="s">
        <v>340</v>
      </c>
      <c r="M167" s="154">
        <f>M159/M5</f>
        <v>0.19188810737301709</v>
      </c>
      <c r="N167" s="154">
        <f>N159/N5</f>
        <v>0.33095086731450368</v>
      </c>
      <c r="O167" s="154">
        <f>O159/O5</f>
        <v>9.5801294944489593E-2</v>
      </c>
      <c r="P167" s="154">
        <f>P159/P5</f>
        <v>0.11546174421093222</v>
      </c>
      <c r="Q167" s="154">
        <f>Q159/Q5</f>
        <v>0.10053710353315122</v>
      </c>
      <c r="T167" s="49"/>
      <c r="U167" s="49"/>
      <c r="V167" s="49"/>
      <c r="W167" s="49"/>
      <c r="X167" s="49"/>
      <c r="Y167" s="49"/>
      <c r="Z167" s="49"/>
      <c r="AA167" s="49"/>
      <c r="AC167" s="154">
        <f>AC159/AC5</f>
        <v>0.15610744025930073</v>
      </c>
    </row>
    <row r="168" spans="2:29" x14ac:dyDescent="0.2">
      <c r="B168" s="20" t="s">
        <v>341</v>
      </c>
      <c r="M168" s="154">
        <f>M158/M5</f>
        <v>0.20725034199726403</v>
      </c>
      <c r="N168" s="154">
        <f>N158/N5</f>
        <v>0.27332667332667332</v>
      </c>
      <c r="O168" s="154">
        <f>O158/O5</f>
        <v>9.9872657813352736E-2</v>
      </c>
      <c r="P168" s="154">
        <f>P158/P5</f>
        <v>0.13407274506605774</v>
      </c>
      <c r="Q168" s="154">
        <f>Q158/Q5</f>
        <v>0.22037191229530947</v>
      </c>
      <c r="T168" s="49"/>
      <c r="U168" s="49"/>
      <c r="V168" s="49"/>
      <c r="W168" s="49"/>
      <c r="X168" s="49"/>
      <c r="Y168" s="49"/>
      <c r="Z168" s="49"/>
      <c r="AA168" s="49"/>
      <c r="AC168" s="154">
        <f>AC158/AC5</f>
        <v>0.26931964056482671</v>
      </c>
    </row>
    <row r="169" spans="2:29" x14ac:dyDescent="0.2">
      <c r="B169" s="20" t="s">
        <v>269</v>
      </c>
      <c r="M169" s="154">
        <f>-M65/M158</f>
        <v>0</v>
      </c>
      <c r="N169" s="154">
        <f>-N65/N158</f>
        <v>0</v>
      </c>
      <c r="O169" s="154">
        <f>-O65/O158</f>
        <v>0</v>
      </c>
      <c r="P169" s="154">
        <f>-P65/P158</f>
        <v>0</v>
      </c>
      <c r="Q169" s="154">
        <f>-Q65/Q158</f>
        <v>0</v>
      </c>
      <c r="T169" s="49"/>
      <c r="U169" s="49"/>
      <c r="V169" s="49"/>
      <c r="W169" s="49"/>
      <c r="X169" s="49"/>
      <c r="Y169" s="49"/>
      <c r="Z169" s="49"/>
      <c r="AA169" s="49"/>
      <c r="AC169" s="154">
        <f>-AC65/AC158</f>
        <v>0</v>
      </c>
    </row>
    <row r="170" spans="2:29" x14ac:dyDescent="0.2">
      <c r="B170" s="20" t="s">
        <v>271</v>
      </c>
      <c r="M170" s="154">
        <f>-M64/M158</f>
        <v>1.187018701870187</v>
      </c>
      <c r="N170" s="154">
        <f>-N64/N158</f>
        <v>0.80482456140350878</v>
      </c>
      <c r="O170" s="154">
        <f>-O64/O158</f>
        <v>1.4480874316939891</v>
      </c>
      <c r="P170" s="154">
        <f>-P64/P158</f>
        <v>1.0364963503649636</v>
      </c>
      <c r="Q170" s="154">
        <f>-Q64/Q158</f>
        <v>0.88287153652392947</v>
      </c>
      <c r="T170" s="49"/>
      <c r="U170" s="49"/>
      <c r="V170" s="49"/>
      <c r="W170" s="49"/>
      <c r="X170" s="49"/>
      <c r="Y170" s="49"/>
      <c r="Z170" s="49"/>
      <c r="AA170" s="49"/>
      <c r="AC170" s="154">
        <f>-AC64/AC158</f>
        <v>0.75834127740705437</v>
      </c>
    </row>
    <row r="171" spans="2:29" x14ac:dyDescent="0.2">
      <c r="B171" s="20" t="s">
        <v>282</v>
      </c>
      <c r="M171" s="154">
        <f>(-M65-M64)/M158</f>
        <v>1.187018701870187</v>
      </c>
      <c r="N171" s="154">
        <f>(-N65-N64)/N158</f>
        <v>0.80482456140350878</v>
      </c>
      <c r="O171" s="154">
        <f>(-O65-O64)/O158</f>
        <v>1.4480874316939891</v>
      </c>
      <c r="P171" s="154">
        <f>(-P65-P64)/P158</f>
        <v>1.0364963503649636</v>
      </c>
      <c r="Q171" s="154">
        <f>(-Q65-Q64)/Q158</f>
        <v>0.88287153652392947</v>
      </c>
      <c r="T171" s="49"/>
      <c r="U171" s="49"/>
      <c r="V171" s="49"/>
      <c r="W171" s="49"/>
      <c r="X171" s="49"/>
      <c r="Y171" s="49"/>
      <c r="Z171" s="49"/>
      <c r="AA171" s="49"/>
      <c r="AC171" s="154">
        <f>(-AC65-AC64)/AC158</f>
        <v>0.75834127740705437</v>
      </c>
    </row>
    <row r="172" spans="2:29" x14ac:dyDescent="0.2">
      <c r="B172" s="20" t="s">
        <v>276</v>
      </c>
      <c r="M172" s="154">
        <f>M81/M79</f>
        <v>4.5662100456621002E-3</v>
      </c>
      <c r="N172" s="154">
        <f>N81/N79</f>
        <v>4.5871559633027525E-3</v>
      </c>
      <c r="O172" s="154">
        <f>O81/O79</f>
        <v>4.6296296296296294E-3</v>
      </c>
      <c r="P172" s="154">
        <f>P81/P79</f>
        <v>4.608294930875576E-3</v>
      </c>
      <c r="Q172" s="154">
        <f>Q81/Q79</f>
        <v>4.6511627906976744E-3</v>
      </c>
      <c r="T172" s="49"/>
      <c r="U172" s="49"/>
      <c r="V172" s="49"/>
      <c r="W172" s="49"/>
      <c r="X172" s="49"/>
      <c r="Y172" s="49"/>
      <c r="Z172" s="49"/>
      <c r="AA172" s="49"/>
      <c r="AC172" s="154">
        <f>AC81/AC79</f>
        <v>4.7619047619047623E-3</v>
      </c>
    </row>
    <row r="173" spans="2:29" x14ac:dyDescent="0.2">
      <c r="B173" s="20" t="s">
        <v>277</v>
      </c>
      <c r="M173" s="72">
        <f>M108/M76</f>
        <v>8.3364055299539164</v>
      </c>
      <c r="N173" s="72">
        <f>N108/N76</f>
        <v>10.064814814814815</v>
      </c>
      <c r="O173" s="72">
        <f>O108/O76</f>
        <v>11.588785046728972</v>
      </c>
      <c r="P173" s="72">
        <f>P108/P76</f>
        <v>10.013953488372094</v>
      </c>
      <c r="Q173" s="72">
        <f>Q108/Q76</f>
        <v>13.95774647887324</v>
      </c>
      <c r="T173" s="72">
        <f t="shared" ref="T173:Z173" si="159">T108/T76</f>
        <v>9.195348837209302</v>
      </c>
      <c r="U173" s="72">
        <f t="shared" si="159"/>
        <v>10.013953488372094</v>
      </c>
      <c r="V173" s="72">
        <f t="shared" si="159"/>
        <v>10.752336448598131</v>
      </c>
      <c r="W173" s="72">
        <f t="shared" si="159"/>
        <v>11.821596244131456</v>
      </c>
      <c r="X173" s="72">
        <f t="shared" si="159"/>
        <v>12.221698113207546</v>
      </c>
      <c r="Y173" s="72">
        <f t="shared" si="159"/>
        <v>13.95774647887324</v>
      </c>
      <c r="Z173" s="72">
        <f t="shared" si="159"/>
        <v>15.682464454976303</v>
      </c>
      <c r="AA173" s="72">
        <f t="shared" ref="AA173" si="160">AA108/AA76</f>
        <v>20.846889952153109</v>
      </c>
      <c r="AC173" s="72">
        <f>AC108/AC76</f>
        <v>20.846889952153109</v>
      </c>
    </row>
    <row r="174" spans="2:29" x14ac:dyDescent="0.2">
      <c r="B174" s="20" t="s">
        <v>279</v>
      </c>
      <c r="M174" s="154">
        <f>M55/M60</f>
        <v>0.36250816459830176</v>
      </c>
      <c r="N174" s="154">
        <f>N55/N60</f>
        <v>0.31723804925156929</v>
      </c>
      <c r="O174" s="154">
        <f>O55/O60</f>
        <v>0.53541507996953541</v>
      </c>
      <c r="P174" s="154">
        <f>P55/P60</f>
        <v>0.42501555693839455</v>
      </c>
      <c r="Q174" s="154">
        <f>Q55/Q60</f>
        <v>0.32137030995106036</v>
      </c>
      <c r="T174" s="154" t="e">
        <f t="shared" ref="T174:Z174" si="161">T55/T60</f>
        <v>#DIV/0!</v>
      </c>
      <c r="U174" s="154" t="e">
        <f t="shared" si="161"/>
        <v>#DIV/0!</v>
      </c>
      <c r="V174" s="154">
        <f t="shared" si="161"/>
        <v>0.40780141843971629</v>
      </c>
      <c r="W174" s="154">
        <f t="shared" si="161"/>
        <v>0.41521739130434782</v>
      </c>
      <c r="X174" s="154">
        <f t="shared" si="161"/>
        <v>0.42369020501138954</v>
      </c>
      <c r="Y174" s="154">
        <f t="shared" si="161"/>
        <v>0.18301314459049545</v>
      </c>
      <c r="Z174" s="154">
        <f t="shared" si="161"/>
        <v>0.17357222844344905</v>
      </c>
      <c r="AA174" s="154">
        <f t="shared" ref="AA174" si="162">AA55/AA60</f>
        <v>0.32</v>
      </c>
      <c r="AC174" s="154">
        <f>AC55/AC60</f>
        <v>0.24378453038674033</v>
      </c>
    </row>
    <row r="175" spans="2:29" x14ac:dyDescent="0.2">
      <c r="B175" s="20" t="s">
        <v>280</v>
      </c>
      <c r="M175" s="154">
        <f>M55/M5</f>
        <v>0.12653898768809849</v>
      </c>
      <c r="N175" s="154">
        <f>N55/N5</f>
        <v>0.13126873126873126</v>
      </c>
      <c r="O175" s="154">
        <f>O55/O5</f>
        <v>0.12788793887575042</v>
      </c>
      <c r="P175" s="154">
        <f>P55/P5</f>
        <v>0.11140107649649324</v>
      </c>
      <c r="Q175" s="154">
        <f>Q55/Q5</f>
        <v>0.10935331668054399</v>
      </c>
      <c r="T175" s="154">
        <f t="shared" ref="T175:Z175" si="163">T55/T5</f>
        <v>0</v>
      </c>
      <c r="U175" s="154">
        <f t="shared" si="163"/>
        <v>0</v>
      </c>
      <c r="V175" s="154">
        <f t="shared" si="163"/>
        <v>0.14084507042253522</v>
      </c>
      <c r="W175" s="154">
        <f t="shared" si="163"/>
        <v>0.10833806012478729</v>
      </c>
      <c r="X175" s="154">
        <f t="shared" si="163"/>
        <v>0.10037776578521317</v>
      </c>
      <c r="Y175" s="154">
        <f t="shared" si="163"/>
        <v>9.2488502810424117E-2</v>
      </c>
      <c r="Z175" s="154">
        <f t="shared" si="163"/>
        <v>8.0144777662874866E-2</v>
      </c>
      <c r="AA175" s="154">
        <f t="shared" ref="AA175" si="164">AA55/AA5</f>
        <v>8.9931573802541548E-2</v>
      </c>
      <c r="AC175" s="154">
        <f>AC55/AC5</f>
        <v>9.0629011553273423E-2</v>
      </c>
    </row>
    <row r="176" spans="2:29" x14ac:dyDescent="0.2">
      <c r="B176" s="20" t="s">
        <v>285</v>
      </c>
      <c r="M176" s="72">
        <f>(M108-M109)/M76</f>
        <v>-2.1705069124423964</v>
      </c>
      <c r="N176" s="72">
        <f>(N108-N109)/N76</f>
        <v>-0.49537037037037035</v>
      </c>
      <c r="O176" s="72">
        <f>(O108-O109)/O76</f>
        <v>0.91588785046728971</v>
      </c>
      <c r="P176" s="72">
        <f>(P108-P109)/P76</f>
        <v>-0.62325581395348839</v>
      </c>
      <c r="Q176" s="72">
        <f>(Q108-Q109)/Q76</f>
        <v>2.300469483568075</v>
      </c>
      <c r="T176" s="72">
        <f t="shared" ref="T176:Z176" si="165">(T108-T109)/T76</f>
        <v>-1.4372093023255814</v>
      </c>
      <c r="U176" s="72">
        <f t="shared" si="165"/>
        <v>-0.62325581395348839</v>
      </c>
      <c r="V176" s="72">
        <f t="shared" si="165"/>
        <v>6.0747663551401869E-2</v>
      </c>
      <c r="W176" s="72">
        <f t="shared" si="165"/>
        <v>0.17370892018779344</v>
      </c>
      <c r="X176" s="72">
        <f t="shared" si="165"/>
        <v>0.51415094339622647</v>
      </c>
      <c r="Y176" s="72">
        <f t="shared" si="165"/>
        <v>2.300469483568075</v>
      </c>
      <c r="Z176" s="72">
        <f t="shared" si="165"/>
        <v>3.9099526066350712</v>
      </c>
      <c r="AA176" s="72">
        <f t="shared" ref="AA176" si="166">(AA108-AA109)/AA76</f>
        <v>4.205741626794258</v>
      </c>
      <c r="AC176" s="72">
        <f>(AC108-AC109)/AC76</f>
        <v>4.205741626794258</v>
      </c>
    </row>
    <row r="177" spans="1:31" x14ac:dyDescent="0.2">
      <c r="B177" s="20" t="s">
        <v>290</v>
      </c>
      <c r="M177" s="154">
        <f>(M108-M109)/M154</f>
        <v>-8.6099721025935765E-3</v>
      </c>
      <c r="N177" s="154">
        <f>(N108-N109)/N154</f>
        <v>-2.2812125305511923E-3</v>
      </c>
      <c r="O177" s="154">
        <f>(O108-O109)/O154</f>
        <v>3.5751444285386999E-3</v>
      </c>
      <c r="P177" s="154">
        <f>(P108-P109)/P154</f>
        <v>-1.9842277585467283E-3</v>
      </c>
      <c r="Q177" s="154">
        <f>(Q108-Q109)/Q154</f>
        <v>9.0128119881435539E-3</v>
      </c>
      <c r="T177" s="49"/>
      <c r="U177" s="49"/>
      <c r="V177" s="49"/>
      <c r="W177" s="49"/>
      <c r="X177" s="49"/>
      <c r="Y177" s="49"/>
      <c r="Z177" s="49"/>
      <c r="AA177" s="49"/>
      <c r="AC177" s="154">
        <f ca="1">(AC108-AC109)/AC154</f>
        <v>1.7922900940799374E-2</v>
      </c>
    </row>
    <row r="178" spans="1:31" x14ac:dyDescent="0.2">
      <c r="B178" s="20" t="s">
        <v>299</v>
      </c>
      <c r="M178" s="154">
        <f>-M111/M5</f>
        <v>1.5275877792977656E-2</v>
      </c>
      <c r="N178" s="154">
        <f>-N111/N5</f>
        <v>9.1908091908091908E-3</v>
      </c>
      <c r="O178" s="154">
        <f>-O111/O5</f>
        <v>1.1096961979261416E-2</v>
      </c>
      <c r="P178" s="154">
        <f>-P111/P5</f>
        <v>1.6636763986299135E-2</v>
      </c>
      <c r="Q178" s="154">
        <f>-Q111/Q5</f>
        <v>1.0546766583402719E-2</v>
      </c>
      <c r="T178" s="154">
        <f t="shared" ref="T178:Z178" si="167">-T111/T5</f>
        <v>0</v>
      </c>
      <c r="U178" s="154">
        <f t="shared" si="167"/>
        <v>0</v>
      </c>
      <c r="V178" s="154">
        <f t="shared" si="167"/>
        <v>9.1855480710349054E-3</v>
      </c>
      <c r="W178" s="154">
        <f t="shared" si="167"/>
        <v>9.0754395916052191E-3</v>
      </c>
      <c r="X178" s="154">
        <f t="shared" si="167"/>
        <v>1.1872638963842417E-2</v>
      </c>
      <c r="Y178" s="154">
        <f t="shared" si="167"/>
        <v>1.1752682677567705E-2</v>
      </c>
      <c r="Z178" s="154">
        <f t="shared" si="167"/>
        <v>1.344364012409514E-2</v>
      </c>
      <c r="AA178" s="154">
        <f t="shared" ref="AA178" si="168">-AA111/AA5</f>
        <v>1.0263929618768328E-2</v>
      </c>
      <c r="AC178" s="154">
        <f>-AC111/AC5</f>
        <v>1.1810012836970476E-2</v>
      </c>
    </row>
    <row r="179" spans="1:31" x14ac:dyDescent="0.2">
      <c r="B179" s="20" t="s">
        <v>300</v>
      </c>
      <c r="M179" s="154">
        <f>-(M111/M60)</f>
        <v>4.3762246897452645E-2</v>
      </c>
      <c r="N179" s="154">
        <f>-(N111/N60)</f>
        <v>2.221149203283438E-2</v>
      </c>
      <c r="O179" s="154">
        <f>-(O111/O60)</f>
        <v>4.6458492003046456E-2</v>
      </c>
      <c r="P179" s="154">
        <f>-(P111/P60)</f>
        <v>6.3472308649657749E-2</v>
      </c>
      <c r="Q179" s="154">
        <f>-(Q111/Q60)</f>
        <v>3.0995106035889071E-2</v>
      </c>
      <c r="T179" s="154" t="e">
        <f t="shared" ref="T179:Z179" si="169">-(T111/T60)</f>
        <v>#DIV/0!</v>
      </c>
      <c r="U179" s="154" t="e">
        <f t="shared" si="169"/>
        <v>#DIV/0!</v>
      </c>
      <c r="V179" s="154">
        <f t="shared" si="169"/>
        <v>2.6595744680851064E-2</v>
      </c>
      <c r="W179" s="154">
        <f t="shared" si="169"/>
        <v>3.4782608695652174E-2</v>
      </c>
      <c r="X179" s="154">
        <f t="shared" si="169"/>
        <v>5.011389521640091E-2</v>
      </c>
      <c r="Y179" s="154">
        <f t="shared" si="169"/>
        <v>2.3255813953488372E-2</v>
      </c>
      <c r="Z179" s="154">
        <f t="shared" si="169"/>
        <v>2.9115341545352745E-2</v>
      </c>
      <c r="AA179" s="154">
        <f t="shared" ref="AA179" si="170">-(AA111/AA60)</f>
        <v>3.6521739130434785E-2</v>
      </c>
      <c r="AC179" s="154">
        <f>-(AC111/AC60)</f>
        <v>3.1767955801104975E-2</v>
      </c>
    </row>
    <row r="180" spans="1:31" x14ac:dyDescent="0.2">
      <c r="B180" s="20" t="s">
        <v>301</v>
      </c>
      <c r="M180" s="154">
        <f>-M111/M54</f>
        <v>0.45270270270270269</v>
      </c>
      <c r="N180" s="154">
        <f>-N111/N54</f>
        <v>0.30666666666666664</v>
      </c>
      <c r="O180" s="154">
        <f>-O111/O54</f>
        <v>0.43884892086330934</v>
      </c>
      <c r="P180" s="154">
        <f>-P111/P54</f>
        <v>0.56666666666666665</v>
      </c>
      <c r="Q180" s="154">
        <f>-Q111/Q54</f>
        <v>0.38974358974358975</v>
      </c>
      <c r="T180" s="154" t="e">
        <f t="shared" ref="T180:Z180" si="171">-T111/T54</f>
        <v>#DIV/0!</v>
      </c>
      <c r="U180" s="154" t="e">
        <f t="shared" si="171"/>
        <v>#DIV/0!</v>
      </c>
      <c r="V180" s="154">
        <f t="shared" si="171"/>
        <v>0.3125</v>
      </c>
      <c r="W180" s="154">
        <f t="shared" si="171"/>
        <v>0.34042553191489361</v>
      </c>
      <c r="X180" s="154">
        <f t="shared" si="171"/>
        <v>0.44</v>
      </c>
      <c r="Y180" s="154">
        <f t="shared" si="171"/>
        <v>0.46</v>
      </c>
      <c r="Z180" s="154">
        <f t="shared" si="171"/>
        <v>0.50980392156862742</v>
      </c>
      <c r="AA180" s="154">
        <f t="shared" ref="AA180" si="172">-AA111/AA54</f>
        <v>0.42</v>
      </c>
      <c r="AC180" s="154">
        <f>-AC111/AC54</f>
        <v>0.45771144278606968</v>
      </c>
    </row>
    <row r="181" spans="1:31" x14ac:dyDescent="0.2">
      <c r="B181" s="20" t="s">
        <v>353</v>
      </c>
      <c r="M181" s="222">
        <f>M5/M38</f>
        <v>0.50958522133147444</v>
      </c>
      <c r="N181" s="222">
        <f t="shared" ref="N181:Q181" si="173">N5/N38</f>
        <v>0.53030303030303028</v>
      </c>
      <c r="O181" s="222">
        <f t="shared" si="173"/>
        <v>0.55458030669895075</v>
      </c>
      <c r="P181" s="222">
        <f t="shared" si="173"/>
        <v>0.56595587556540206</v>
      </c>
      <c r="Q181" s="222">
        <f t="shared" si="173"/>
        <v>0.57800593567016922</v>
      </c>
      <c r="T181" s="49"/>
      <c r="U181" s="49"/>
      <c r="V181" s="49"/>
      <c r="W181" s="49"/>
      <c r="X181" s="49"/>
      <c r="Y181" s="49"/>
      <c r="Z181" s="49"/>
      <c r="AA181" s="49"/>
      <c r="AC181" s="222">
        <f t="shared" ref="AC181" si="174">AC5/AC38</f>
        <v>0.60001540476007087</v>
      </c>
    </row>
    <row r="182" spans="1:31" x14ac:dyDescent="0.2">
      <c r="B182" s="20" t="s">
        <v>350</v>
      </c>
      <c r="M182" s="224">
        <f>IF(AND(M13&gt;0,M109&gt;0),M109/M13,"N/A")</f>
        <v>3.6893203883495147</v>
      </c>
      <c r="N182" s="224">
        <f t="shared" ref="N182:Q182" si="175">IF(AND(N13&gt;0,N109&gt;0),N109/N13,"N/A")</f>
        <v>2.3063700707785642</v>
      </c>
      <c r="O182" s="224">
        <f t="shared" si="175"/>
        <v>2.0248226950354611</v>
      </c>
      <c r="P182" s="224">
        <f t="shared" si="175"/>
        <v>1.6890694239290989</v>
      </c>
      <c r="Q182" s="224">
        <f t="shared" si="175"/>
        <v>1.5735107731305451</v>
      </c>
      <c r="T182" s="49"/>
      <c r="U182" s="49"/>
      <c r="V182" s="49"/>
      <c r="W182" s="49"/>
      <c r="X182" s="49"/>
      <c r="Y182" s="49"/>
      <c r="Z182" s="49"/>
      <c r="AA182" s="49"/>
      <c r="AC182" s="224">
        <f t="shared" ref="AC182" si="176">IF(AND(AC13&gt;0,AC109&gt;0),AC109/AC13,"N/A")</f>
        <v>1.7040666340029398</v>
      </c>
    </row>
    <row r="183" spans="1:31" x14ac:dyDescent="0.2">
      <c r="B183" s="20" t="s">
        <v>351</v>
      </c>
      <c r="M183" s="224">
        <f>IF(AND(M13&gt;0,M109&gt;0),(M109-M108)/M13,"N/A")</f>
        <v>0.76213592233009708</v>
      </c>
      <c r="N183" s="224">
        <f t="shared" ref="N183:Q183" si="177">IF(AND(N13&gt;0,N109&gt;0),(N109-N108)/N13,"N/A")</f>
        <v>0.10819009100101112</v>
      </c>
      <c r="O183" s="224">
        <f t="shared" si="177"/>
        <v>-0.17375886524822695</v>
      </c>
      <c r="P183" s="224">
        <f t="shared" si="177"/>
        <v>9.8966026587887737E-2</v>
      </c>
      <c r="Q183" s="224">
        <f t="shared" si="177"/>
        <v>-0.31051964512040559</v>
      </c>
      <c r="T183" s="49"/>
      <c r="U183" s="49"/>
      <c r="V183" s="49"/>
      <c r="W183" s="49"/>
      <c r="X183" s="49"/>
      <c r="Y183" s="49"/>
      <c r="Z183" s="49"/>
      <c r="AA183" s="49"/>
      <c r="AC183" s="224">
        <f t="shared" ref="AC183" si="178">IF(AND(AC13&gt;0,AC109&gt;0),(AC109-AC108)/AC13,"N/A")</f>
        <v>-0.43067123958843706</v>
      </c>
    </row>
    <row r="184" spans="1:31" x14ac:dyDescent="0.2">
      <c r="B184" s="20" t="s">
        <v>352</v>
      </c>
      <c r="M184" s="224">
        <f>M5/(M109+M113-M108)</f>
        <v>3.3227272727272728</v>
      </c>
      <c r="N184" s="224">
        <f t="shared" ref="N184:Q184" si="179">N5/(N109+N113-N108)</f>
        <v>3.9976038338658149</v>
      </c>
      <c r="O184" s="224">
        <f t="shared" si="179"/>
        <v>3.3134418324291741</v>
      </c>
      <c r="P184" s="224">
        <f t="shared" si="179"/>
        <v>2.2254083484573504</v>
      </c>
      <c r="Q184" s="224">
        <f t="shared" si="179"/>
        <v>2.8203522504892367</v>
      </c>
      <c r="T184" s="49"/>
      <c r="U184" s="49"/>
      <c r="V184" s="49"/>
      <c r="W184" s="49"/>
      <c r="X184" s="49"/>
      <c r="Y184" s="49"/>
      <c r="Z184" s="49"/>
      <c r="AA184" s="49"/>
      <c r="AC184" s="224">
        <f t="shared" ref="AC184" si="180">AC5/(AC109+AC113-AC108)</f>
        <v>3.1110223642172525</v>
      </c>
    </row>
    <row r="186" spans="1:31" x14ac:dyDescent="0.2">
      <c r="B186" s="1"/>
    </row>
    <row r="187" spans="1:31" s="15" customFormat="1" ht="17" thickBot="1" x14ac:dyDescent="0.25">
      <c r="A187" s="11"/>
      <c r="B187" s="14" t="s">
        <v>81</v>
      </c>
      <c r="R187" s="1"/>
      <c r="S187" s="1"/>
      <c r="AB187" s="1"/>
      <c r="AD187" s="1"/>
      <c r="AE187" s="1"/>
    </row>
    <row r="188" spans="1:31" x14ac:dyDescent="0.2">
      <c r="B188" s="20" t="s">
        <v>359</v>
      </c>
      <c r="C188" s="62"/>
      <c r="D188" s="62"/>
      <c r="E188" s="62"/>
      <c r="F188" s="62"/>
      <c r="G188" s="62"/>
      <c r="H188" s="62"/>
      <c r="I188" s="62"/>
      <c r="J188" s="62"/>
      <c r="K188" s="62"/>
      <c r="L188" s="62"/>
      <c r="M188" s="21">
        <v>4136</v>
      </c>
      <c r="N188" s="21">
        <v>4716</v>
      </c>
      <c r="O188" s="21">
        <v>5170</v>
      </c>
      <c r="P188" s="21">
        <v>5758</v>
      </c>
      <c r="Q188" s="21">
        <v>6776</v>
      </c>
      <c r="T188" s="21">
        <v>1466</v>
      </c>
      <c r="U188" s="21">
        <v>1532</v>
      </c>
      <c r="V188" s="21">
        <v>1540</v>
      </c>
      <c r="W188" s="21">
        <v>1667</v>
      </c>
      <c r="X188" s="21">
        <v>1742</v>
      </c>
      <c r="Y188" s="21">
        <v>1827</v>
      </c>
      <c r="Z188" s="21">
        <v>1836</v>
      </c>
      <c r="AA188" s="21">
        <v>1952</v>
      </c>
      <c r="AC188" s="62">
        <f>SUM(X188:AA188)</f>
        <v>7357</v>
      </c>
    </row>
    <row r="189" spans="1:31" x14ac:dyDescent="0.2">
      <c r="B189" s="20" t="s">
        <v>416</v>
      </c>
      <c r="C189" s="62"/>
      <c r="D189" s="62"/>
      <c r="E189" s="62"/>
      <c r="F189" s="62"/>
      <c r="G189" s="62"/>
      <c r="H189" s="62"/>
      <c r="I189" s="62"/>
      <c r="J189" s="62"/>
      <c r="K189" s="62"/>
      <c r="L189" s="62"/>
      <c r="M189" s="21">
        <v>250</v>
      </c>
      <c r="N189" s="21">
        <v>289</v>
      </c>
      <c r="O189" s="21">
        <v>327</v>
      </c>
      <c r="P189" s="21">
        <v>373</v>
      </c>
      <c r="Q189" s="21">
        <v>430</v>
      </c>
      <c r="T189" s="21">
        <v>104</v>
      </c>
      <c r="U189" s="21">
        <v>107</v>
      </c>
      <c r="V189" s="21">
        <v>93</v>
      </c>
      <c r="W189" s="21">
        <v>96</v>
      </c>
      <c r="X189" s="21">
        <v>111</v>
      </c>
      <c r="Y189" s="21">
        <v>130</v>
      </c>
      <c r="Z189" s="21">
        <v>98</v>
      </c>
      <c r="AA189" s="21">
        <v>94</v>
      </c>
      <c r="AC189" s="62">
        <f t="shared" ref="AC189:AC199" si="181">SUM(X189:AA189)</f>
        <v>433</v>
      </c>
    </row>
    <row r="190" spans="1:31" x14ac:dyDescent="0.2">
      <c r="C190" s="21"/>
      <c r="D190" s="21"/>
      <c r="E190" s="21"/>
      <c r="F190" s="21"/>
      <c r="G190" s="21"/>
      <c r="H190" s="21"/>
      <c r="I190" s="21"/>
      <c r="J190" s="21"/>
      <c r="K190" s="21"/>
      <c r="L190" s="21"/>
      <c r="M190" s="21"/>
      <c r="AC190" s="62"/>
    </row>
    <row r="191" spans="1:31" x14ac:dyDescent="0.2">
      <c r="B191" s="20" t="s">
        <v>360</v>
      </c>
      <c r="C191" s="62"/>
      <c r="D191" s="62"/>
      <c r="E191" s="62"/>
      <c r="F191" s="62"/>
      <c r="G191" s="62"/>
      <c r="H191" s="62"/>
      <c r="I191" s="62"/>
      <c r="J191" s="62"/>
      <c r="K191" s="62"/>
      <c r="L191" s="62"/>
      <c r="M191" s="21">
        <v>299</v>
      </c>
      <c r="N191" s="21">
        <v>343</v>
      </c>
      <c r="O191" s="21">
        <v>381</v>
      </c>
      <c r="P191" s="21">
        <v>413</v>
      </c>
      <c r="Q191" s="21">
        <v>463</v>
      </c>
      <c r="T191" s="21">
        <v>105</v>
      </c>
      <c r="U191" s="21">
        <v>108</v>
      </c>
      <c r="V191" s="21">
        <v>111</v>
      </c>
      <c r="W191" s="21">
        <v>114</v>
      </c>
      <c r="X191" s="21">
        <v>118</v>
      </c>
      <c r="Y191" s="21">
        <v>120</v>
      </c>
      <c r="Z191" s="21">
        <v>129</v>
      </c>
      <c r="AA191" s="21">
        <v>130</v>
      </c>
      <c r="AC191" s="62">
        <f t="shared" si="181"/>
        <v>497</v>
      </c>
    </row>
    <row r="192" spans="1:31" x14ac:dyDescent="0.2">
      <c r="B192" s="20" t="s">
        <v>417</v>
      </c>
      <c r="C192" s="62"/>
      <c r="D192" s="62"/>
      <c r="E192" s="62"/>
      <c r="F192" s="62"/>
      <c r="G192" s="62"/>
      <c r="H192" s="62"/>
      <c r="I192" s="62"/>
      <c r="J192" s="62"/>
      <c r="K192" s="62"/>
      <c r="L192" s="62"/>
      <c r="M192" s="21">
        <v>67</v>
      </c>
      <c r="N192" s="21">
        <v>79</v>
      </c>
      <c r="O192" s="21">
        <v>82</v>
      </c>
      <c r="P192" s="21">
        <v>80</v>
      </c>
      <c r="Q192" s="21">
        <v>90</v>
      </c>
      <c r="T192" s="21">
        <v>19</v>
      </c>
      <c r="U192" s="21">
        <v>23</v>
      </c>
      <c r="V192" s="21">
        <v>24</v>
      </c>
      <c r="W192" s="21">
        <v>22</v>
      </c>
      <c r="X192" s="21">
        <v>22</v>
      </c>
      <c r="Y192" s="21">
        <v>22</v>
      </c>
      <c r="Z192" s="21">
        <v>21</v>
      </c>
      <c r="AA192" s="21">
        <v>22</v>
      </c>
      <c r="AC192" s="62">
        <f t="shared" si="181"/>
        <v>87</v>
      </c>
    </row>
    <row r="193" spans="2:29" x14ac:dyDescent="0.2">
      <c r="B193" s="20" t="s">
        <v>418</v>
      </c>
      <c r="C193" s="62"/>
      <c r="D193" s="62"/>
      <c r="E193" s="62"/>
      <c r="F193" s="62"/>
      <c r="G193" s="62"/>
      <c r="H193" s="62"/>
      <c r="I193" s="62"/>
      <c r="J193" s="62"/>
      <c r="K193" s="62"/>
      <c r="L193" s="62"/>
      <c r="M193" s="21">
        <v>52</v>
      </c>
      <c r="N193" s="21">
        <v>58</v>
      </c>
      <c r="O193" s="21">
        <v>48</v>
      </c>
      <c r="P193" s="21">
        <v>85</v>
      </c>
      <c r="Q193" s="21">
        <v>97</v>
      </c>
      <c r="T193" s="21">
        <v>23</v>
      </c>
      <c r="U193" s="21">
        <v>23</v>
      </c>
      <c r="V193" s="21">
        <v>25</v>
      </c>
      <c r="W193" s="21">
        <v>23</v>
      </c>
      <c r="X193" s="21">
        <v>25</v>
      </c>
      <c r="Y193" s="21">
        <v>24</v>
      </c>
      <c r="Z193" s="21">
        <v>25</v>
      </c>
      <c r="AA193" s="21">
        <v>24</v>
      </c>
      <c r="AC193" s="62">
        <f t="shared" si="181"/>
        <v>98</v>
      </c>
    </row>
    <row r="194" spans="2:29" x14ac:dyDescent="0.2">
      <c r="C194" s="62"/>
      <c r="D194" s="62"/>
      <c r="E194" s="62"/>
      <c r="F194" s="62"/>
      <c r="G194" s="62"/>
      <c r="H194" s="62"/>
      <c r="I194" s="62"/>
      <c r="J194" s="62"/>
      <c r="K194" s="62"/>
      <c r="L194" s="62"/>
      <c r="M194" s="21"/>
      <c r="N194" s="21"/>
      <c r="O194" s="21"/>
      <c r="P194" s="21"/>
      <c r="Q194" s="21"/>
      <c r="T194" s="21"/>
      <c r="U194" s="21"/>
      <c r="V194" s="21"/>
      <c r="W194" s="21"/>
      <c r="X194" s="21"/>
      <c r="Y194" s="21"/>
      <c r="Z194" s="21"/>
      <c r="AA194" s="21"/>
      <c r="AC194" s="62"/>
    </row>
    <row r="195" spans="2:29" x14ac:dyDescent="0.2">
      <c r="B195" s="20" t="s">
        <v>419</v>
      </c>
      <c r="C195" s="21"/>
      <c r="D195" s="21"/>
      <c r="E195" s="21"/>
      <c r="F195" s="21"/>
      <c r="G195" s="21"/>
      <c r="H195" s="21"/>
      <c r="I195" s="21"/>
      <c r="J195" s="21"/>
      <c r="K195" s="21"/>
      <c r="L195" s="21"/>
      <c r="M195" s="21">
        <v>1969</v>
      </c>
      <c r="N195" s="21">
        <v>2278</v>
      </c>
      <c r="O195" s="21">
        <v>2580</v>
      </c>
      <c r="P195" s="21">
        <v>2937</v>
      </c>
      <c r="Q195" s="21">
        <v>3583</v>
      </c>
      <c r="T195" s="21">
        <v>751</v>
      </c>
      <c r="U195" s="21">
        <v>799</v>
      </c>
      <c r="V195" s="21">
        <v>809</v>
      </c>
      <c r="W195" s="21">
        <v>878</v>
      </c>
      <c r="X195" s="21">
        <v>921</v>
      </c>
      <c r="Y195" s="21">
        <v>975</v>
      </c>
      <c r="Z195" s="21">
        <v>970</v>
      </c>
      <c r="AA195" s="21">
        <v>1029</v>
      </c>
      <c r="AC195" s="62">
        <f t="shared" si="181"/>
        <v>3895</v>
      </c>
    </row>
    <row r="196" spans="2:29" x14ac:dyDescent="0.2">
      <c r="B196" s="20" t="s">
        <v>404</v>
      </c>
      <c r="C196" s="21"/>
      <c r="D196" s="21"/>
      <c r="E196" s="21"/>
      <c r="F196" s="21"/>
      <c r="G196" s="21"/>
      <c r="H196" s="21"/>
      <c r="I196" s="21"/>
      <c r="J196" s="21"/>
      <c r="K196" s="21"/>
      <c r="L196" s="21"/>
      <c r="M196" s="21">
        <v>1244</v>
      </c>
      <c r="N196" s="21">
        <v>1387</v>
      </c>
      <c r="O196" s="21">
        <v>1462</v>
      </c>
      <c r="P196" s="21">
        <v>1572</v>
      </c>
      <c r="Q196" s="21">
        <v>1787</v>
      </c>
      <c r="T196" s="21">
        <v>398</v>
      </c>
      <c r="U196" s="21">
        <v>409</v>
      </c>
      <c r="V196" s="21">
        <v>411</v>
      </c>
      <c r="W196" s="21">
        <v>440</v>
      </c>
      <c r="X196" s="21">
        <v>458</v>
      </c>
      <c r="Y196" s="21">
        <v>478</v>
      </c>
      <c r="Z196" s="21">
        <v>474</v>
      </c>
      <c r="AA196" s="21">
        <v>500</v>
      </c>
      <c r="AC196" s="62">
        <f t="shared" si="181"/>
        <v>1910</v>
      </c>
    </row>
    <row r="197" spans="2:29" x14ac:dyDescent="0.2">
      <c r="B197" s="20" t="s">
        <v>420</v>
      </c>
      <c r="C197" s="21"/>
      <c r="D197" s="21"/>
      <c r="E197" s="21"/>
      <c r="F197" s="21"/>
      <c r="G197" s="21"/>
      <c r="H197" s="21"/>
      <c r="I197" s="21"/>
      <c r="J197" s="21"/>
      <c r="K197" s="21"/>
      <c r="L197" s="21"/>
      <c r="M197" s="21">
        <v>876</v>
      </c>
      <c r="N197" s="21">
        <v>978</v>
      </c>
      <c r="O197" s="21">
        <v>1063</v>
      </c>
      <c r="P197" s="21">
        <v>1189</v>
      </c>
      <c r="Q197" s="21">
        <v>1379</v>
      </c>
      <c r="T197" s="21">
        <v>307</v>
      </c>
      <c r="U197" s="21">
        <v>318</v>
      </c>
      <c r="V197" s="21">
        <v>309</v>
      </c>
      <c r="W197" s="21">
        <v>334</v>
      </c>
      <c r="X197" s="21">
        <v>355</v>
      </c>
      <c r="Y197" s="21">
        <v>381</v>
      </c>
      <c r="Z197" s="21">
        <v>367</v>
      </c>
      <c r="AA197" s="21">
        <v>385</v>
      </c>
      <c r="AC197" s="62">
        <f t="shared" si="181"/>
        <v>1488</v>
      </c>
    </row>
    <row r="198" spans="2:29" x14ac:dyDescent="0.2">
      <c r="B198" s="20" t="s">
        <v>421</v>
      </c>
      <c r="C198" s="21"/>
      <c r="D198" s="21"/>
      <c r="E198" s="21"/>
      <c r="F198" s="21"/>
      <c r="G198" s="21"/>
      <c r="H198" s="21"/>
      <c r="I198" s="21"/>
      <c r="J198" s="21"/>
      <c r="K198" s="21"/>
      <c r="L198" s="21"/>
      <c r="M198" s="21">
        <v>259</v>
      </c>
      <c r="N198" s="21">
        <v>291</v>
      </c>
      <c r="O198" s="21">
        <v>295</v>
      </c>
      <c r="P198" s="21">
        <v>315</v>
      </c>
      <c r="Q198" s="21">
        <v>332</v>
      </c>
      <c r="T198" s="21">
        <v>83</v>
      </c>
      <c r="U198" s="21">
        <v>84</v>
      </c>
      <c r="V198" s="21">
        <v>76</v>
      </c>
      <c r="W198" s="21">
        <v>80</v>
      </c>
      <c r="X198" s="21">
        <v>86</v>
      </c>
      <c r="Y198" s="21">
        <v>90</v>
      </c>
      <c r="Z198" s="21">
        <v>86</v>
      </c>
      <c r="AA198" s="21">
        <v>92</v>
      </c>
      <c r="AC198" s="62">
        <f t="shared" si="181"/>
        <v>354</v>
      </c>
    </row>
    <row r="199" spans="2:29" x14ac:dyDescent="0.2">
      <c r="B199" s="20" t="s">
        <v>416</v>
      </c>
      <c r="C199" s="21"/>
      <c r="D199" s="21"/>
      <c r="E199" s="21"/>
      <c r="F199" s="21"/>
      <c r="G199" s="21"/>
      <c r="H199" s="21"/>
      <c r="I199" s="21"/>
      <c r="J199" s="21"/>
      <c r="K199" s="21"/>
      <c r="L199" s="21"/>
      <c r="M199" s="21">
        <v>38</v>
      </c>
      <c r="N199" s="21">
        <v>71</v>
      </c>
      <c r="O199" s="21">
        <v>97</v>
      </c>
      <c r="P199" s="21">
        <v>118</v>
      </c>
      <c r="Q199" s="21">
        <v>125</v>
      </c>
      <c r="T199" s="21">
        <v>31</v>
      </c>
      <c r="U199" s="21">
        <v>29</v>
      </c>
      <c r="V199" s="21">
        <v>28</v>
      </c>
      <c r="W199" s="21">
        <v>31</v>
      </c>
      <c r="X199" s="21">
        <v>33</v>
      </c>
      <c r="Y199" s="21">
        <v>33</v>
      </c>
      <c r="Z199" s="21">
        <v>37</v>
      </c>
      <c r="AA199" s="21">
        <v>40</v>
      </c>
      <c r="AC199" s="62">
        <f t="shared" si="181"/>
        <v>143</v>
      </c>
    </row>
    <row r="200" spans="2:29" x14ac:dyDescent="0.2">
      <c r="C200" s="21"/>
      <c r="D200" s="21"/>
      <c r="E200" s="21"/>
      <c r="F200" s="21"/>
      <c r="G200" s="21"/>
      <c r="H200" s="21"/>
      <c r="I200" s="21"/>
      <c r="J200" s="21"/>
      <c r="K200" s="21"/>
      <c r="L200" s="21"/>
      <c r="M200" s="21"/>
    </row>
    <row r="201" spans="2:29" x14ac:dyDescent="0.2">
      <c r="B201" s="1"/>
    </row>
    <row r="202" spans="2:29" ht="17" thickBot="1" x14ac:dyDescent="0.25">
      <c r="B202" s="14" t="s">
        <v>310</v>
      </c>
      <c r="C202" s="169"/>
      <c r="D202" s="169"/>
      <c r="E202" s="169"/>
      <c r="F202" s="169"/>
      <c r="G202" s="169"/>
      <c r="H202" s="169"/>
      <c r="I202" s="169"/>
      <c r="J202" s="169"/>
      <c r="K202" s="169"/>
      <c r="L202" s="169"/>
      <c r="M202" s="169"/>
      <c r="N202" s="169"/>
      <c r="O202" s="169"/>
      <c r="P202" s="169"/>
      <c r="Q202" s="169"/>
      <c r="T202" s="169"/>
      <c r="U202" s="169"/>
      <c r="V202" s="169"/>
      <c r="W202" s="169"/>
      <c r="X202" s="169"/>
      <c r="Y202" s="169"/>
      <c r="Z202" s="169"/>
      <c r="AA202" s="169"/>
      <c r="AC202" s="169"/>
    </row>
    <row r="203" spans="2:29" x14ac:dyDescent="0.2">
      <c r="B203" s="20" t="str">
        <f>B188</f>
        <v>Subscription</v>
      </c>
      <c r="C203" s="81"/>
      <c r="D203" s="81"/>
      <c r="E203" s="81"/>
      <c r="F203" s="81"/>
      <c r="G203" s="81"/>
      <c r="H203" s="81"/>
      <c r="I203" s="81"/>
      <c r="J203" s="81"/>
      <c r="K203" s="81"/>
      <c r="L203" s="81"/>
      <c r="M203" s="81">
        <f t="shared" ref="M203:Q204" si="182">IF(L188=0,
IF(M188=0,0,IF(M188&gt;0,1,-1)),
(M188-L188)/ABS(L188)
)</f>
        <v>1</v>
      </c>
      <c r="N203" s="81">
        <f t="shared" si="182"/>
        <v>0.14023210831721469</v>
      </c>
      <c r="O203" s="81">
        <f t="shared" si="182"/>
        <v>9.6268023748939779E-2</v>
      </c>
      <c r="P203" s="81">
        <f t="shared" si="182"/>
        <v>0.1137330754352031</v>
      </c>
      <c r="Q203" s="81">
        <f t="shared" si="182"/>
        <v>0.17679749913164294</v>
      </c>
      <c r="T203" s="81">
        <f t="shared" ref="T203:AA204" si="183">IF(S188=0,
IF(T188=0,0,IF(T188&gt;0,1,-1)),
(T188-S188)/ABS(S188)
)</f>
        <v>1</v>
      </c>
      <c r="U203" s="81">
        <f t="shared" si="183"/>
        <v>4.5020463847203276E-2</v>
      </c>
      <c r="V203" s="81">
        <f t="shared" si="183"/>
        <v>5.2219321148825066E-3</v>
      </c>
      <c r="W203" s="81">
        <f t="shared" si="183"/>
        <v>8.2467532467532467E-2</v>
      </c>
      <c r="X203" s="81">
        <f t="shared" si="183"/>
        <v>4.4991001799640072E-2</v>
      </c>
      <c r="Y203" s="81">
        <f t="shared" si="183"/>
        <v>4.8794489092996558E-2</v>
      </c>
      <c r="Z203" s="81">
        <f t="shared" si="183"/>
        <v>4.9261083743842365E-3</v>
      </c>
      <c r="AA203" s="81">
        <f t="shared" si="183"/>
        <v>6.3180827886710242E-2</v>
      </c>
      <c r="AC203" s="49"/>
    </row>
    <row r="204" spans="2:29" x14ac:dyDescent="0.2">
      <c r="B204" s="20" t="str">
        <f>B189</f>
        <v>Other</v>
      </c>
      <c r="M204" s="81">
        <f t="shared" si="182"/>
        <v>1</v>
      </c>
      <c r="N204" s="81">
        <f t="shared" si="182"/>
        <v>0.156</v>
      </c>
      <c r="O204" s="81">
        <f t="shared" si="182"/>
        <v>0.13148788927335639</v>
      </c>
      <c r="P204" s="81">
        <f t="shared" si="182"/>
        <v>0.14067278287461774</v>
      </c>
      <c r="Q204" s="81">
        <f t="shared" si="182"/>
        <v>0.15281501340482573</v>
      </c>
      <c r="T204" s="81">
        <f t="shared" si="183"/>
        <v>1</v>
      </c>
      <c r="U204" s="81">
        <f t="shared" si="183"/>
        <v>2.8846153846153848E-2</v>
      </c>
      <c r="V204" s="81">
        <f t="shared" si="183"/>
        <v>-0.13084112149532709</v>
      </c>
      <c r="W204" s="81">
        <f t="shared" si="183"/>
        <v>3.2258064516129031E-2</v>
      </c>
      <c r="X204" s="81">
        <f t="shared" si="183"/>
        <v>0.15625</v>
      </c>
      <c r="Y204" s="81">
        <f t="shared" si="183"/>
        <v>0.17117117117117117</v>
      </c>
      <c r="Z204" s="81">
        <f t="shared" si="183"/>
        <v>-0.24615384615384617</v>
      </c>
      <c r="AA204" s="81">
        <f t="shared" si="183"/>
        <v>-4.0816326530612242E-2</v>
      </c>
      <c r="AC204" s="49"/>
    </row>
    <row r="205" spans="2:29" x14ac:dyDescent="0.2">
      <c r="M205" s="81"/>
      <c r="N205" s="81"/>
      <c r="O205" s="81"/>
      <c r="P205" s="81"/>
      <c r="Q205" s="81"/>
      <c r="T205" s="81"/>
      <c r="U205" s="81"/>
      <c r="V205" s="81"/>
      <c r="W205" s="81"/>
      <c r="X205" s="81"/>
      <c r="Y205" s="81"/>
      <c r="Z205" s="81"/>
      <c r="AA205" s="81"/>
      <c r="AC205" s="49"/>
    </row>
    <row r="206" spans="2:29" x14ac:dyDescent="0.2">
      <c r="B206" s="20" t="str">
        <f>B195</f>
        <v>AECO</v>
      </c>
      <c r="M206" s="81">
        <f>IF(L195=0,
IF(M195=0,0,IF(M195&gt;0,1,-1)),
(M195-L195)/ABS(L195)
)</f>
        <v>1</v>
      </c>
      <c r="N206" s="81">
        <f t="shared" ref="N206:Q206" si="184">IF(M195=0,
IF(N195=0,0,IF(N195&gt;0,1,-1)),
(N195-M195)/ABS(M195)
)</f>
        <v>0.1569324530218385</v>
      </c>
      <c r="O206" s="81">
        <f t="shared" si="184"/>
        <v>0.13257243195785778</v>
      </c>
      <c r="P206" s="81">
        <f t="shared" si="184"/>
        <v>0.13837209302325582</v>
      </c>
      <c r="Q206" s="81">
        <f t="shared" si="184"/>
        <v>0.21995233231188288</v>
      </c>
      <c r="T206" s="81">
        <f t="shared" ref="T206:AA210" si="185">IF(S195=0,
IF(T195=0,0,IF(T195&gt;0,1,-1)),
(T195-S195)/ABS(S195)
)</f>
        <v>1</v>
      </c>
      <c r="U206" s="81">
        <f t="shared" si="185"/>
        <v>6.3914780292942744E-2</v>
      </c>
      <c r="V206" s="81">
        <f t="shared" si="185"/>
        <v>1.2515644555694618E-2</v>
      </c>
      <c r="W206" s="81">
        <f t="shared" si="185"/>
        <v>8.5290482076637822E-2</v>
      </c>
      <c r="X206" s="81">
        <f t="shared" si="185"/>
        <v>4.8974943052391799E-2</v>
      </c>
      <c r="Y206" s="81">
        <f t="shared" si="185"/>
        <v>5.8631921824104233E-2</v>
      </c>
      <c r="Z206" s="81">
        <f t="shared" si="185"/>
        <v>-5.1282051282051282E-3</v>
      </c>
      <c r="AA206" s="81">
        <f t="shared" si="185"/>
        <v>6.0824742268041236E-2</v>
      </c>
      <c r="AC206" s="49"/>
    </row>
    <row r="207" spans="2:29" x14ac:dyDescent="0.2">
      <c r="B207" s="20" t="str">
        <f t="shared" ref="B207:B210" si="186">B196</f>
        <v>AutoCAD and AutoCAD LT</v>
      </c>
      <c r="M207" s="81">
        <f>IF(L196=0,
IF(M196=0,0,IF(M196&gt;0,1,-1)),
(M196-L196)/ABS(L196)
)</f>
        <v>1</v>
      </c>
      <c r="N207" s="81">
        <f>IF(M196=0,
IF(N196=0,0,IF(N196&gt;0,1,-1)),
(N196-M196)/ABS(M196)
)</f>
        <v>0.11495176848874598</v>
      </c>
      <c r="O207" s="81">
        <f t="shared" ref="O207:Q207" si="187">IF(N196=0,
IF(O196=0,0,IF(O196&gt;0,1,-1)),
(O196-N196)/ABS(N196)
)</f>
        <v>5.4073540014419608E-2</v>
      </c>
      <c r="P207" s="81">
        <f t="shared" si="187"/>
        <v>7.523939808481532E-2</v>
      </c>
      <c r="Q207" s="81">
        <f t="shared" si="187"/>
        <v>0.13676844783715011</v>
      </c>
      <c r="T207" s="81">
        <f t="shared" si="185"/>
        <v>1</v>
      </c>
      <c r="U207" s="81">
        <f t="shared" si="185"/>
        <v>2.7638190954773871E-2</v>
      </c>
      <c r="V207" s="81">
        <f t="shared" si="185"/>
        <v>4.8899755501222494E-3</v>
      </c>
      <c r="W207" s="81">
        <f t="shared" si="185"/>
        <v>7.0559610705596104E-2</v>
      </c>
      <c r="X207" s="81">
        <f t="shared" si="185"/>
        <v>4.0909090909090909E-2</v>
      </c>
      <c r="Y207" s="81">
        <f t="shared" si="185"/>
        <v>4.3668122270742356E-2</v>
      </c>
      <c r="Z207" s="81">
        <f t="shared" si="185"/>
        <v>-8.368200836820083E-3</v>
      </c>
      <c r="AA207" s="81">
        <f t="shared" si="185"/>
        <v>5.4852320675105488E-2</v>
      </c>
      <c r="AC207" s="49"/>
    </row>
    <row r="208" spans="2:29" x14ac:dyDescent="0.2">
      <c r="B208" s="20" t="str">
        <f t="shared" si="186"/>
        <v>Manufacturing</v>
      </c>
      <c r="M208" s="81">
        <f t="shared" ref="M208:Q210" si="188">IF(L197=0,
IF(M197=0,0,IF(M197&gt;0,1,-1)),
(M197-L197)/ABS(L197)
)</f>
        <v>1</v>
      </c>
      <c r="N208" s="81">
        <f t="shared" si="188"/>
        <v>0.11643835616438356</v>
      </c>
      <c r="O208" s="81">
        <f t="shared" si="188"/>
        <v>8.6912065439672795E-2</v>
      </c>
      <c r="P208" s="81">
        <f t="shared" si="188"/>
        <v>0.11853245531514581</v>
      </c>
      <c r="Q208" s="81">
        <f t="shared" si="188"/>
        <v>0.159798149705635</v>
      </c>
      <c r="T208" s="81">
        <f t="shared" si="185"/>
        <v>1</v>
      </c>
      <c r="U208" s="81">
        <f t="shared" si="185"/>
        <v>3.5830618892508145E-2</v>
      </c>
      <c r="V208" s="81">
        <f t="shared" si="185"/>
        <v>-2.8301886792452831E-2</v>
      </c>
      <c r="W208" s="81">
        <f t="shared" si="185"/>
        <v>8.0906148867313912E-2</v>
      </c>
      <c r="X208" s="81">
        <f t="shared" si="185"/>
        <v>6.2874251497005984E-2</v>
      </c>
      <c r="Y208" s="81">
        <f t="shared" si="185"/>
        <v>7.3239436619718309E-2</v>
      </c>
      <c r="Z208" s="81">
        <f t="shared" si="185"/>
        <v>-3.6745406824146981E-2</v>
      </c>
      <c r="AA208" s="81">
        <f t="shared" si="185"/>
        <v>4.9046321525885561E-2</v>
      </c>
      <c r="AC208" s="49"/>
    </row>
    <row r="209" spans="1:31" x14ac:dyDescent="0.2">
      <c r="B209" s="20" t="str">
        <f t="shared" si="186"/>
        <v>Media and Entertainment</v>
      </c>
      <c r="M209" s="81">
        <f t="shared" si="188"/>
        <v>1</v>
      </c>
      <c r="N209" s="81">
        <f t="shared" si="188"/>
        <v>0.12355212355212356</v>
      </c>
      <c r="O209" s="81">
        <f t="shared" si="188"/>
        <v>1.3745704467353952E-2</v>
      </c>
      <c r="P209" s="81">
        <f t="shared" si="188"/>
        <v>6.7796610169491525E-2</v>
      </c>
      <c r="Q209" s="81">
        <f t="shared" si="188"/>
        <v>5.3968253968253971E-2</v>
      </c>
      <c r="T209" s="81">
        <f t="shared" si="185"/>
        <v>1</v>
      </c>
      <c r="U209" s="81">
        <f t="shared" si="185"/>
        <v>1.2048192771084338E-2</v>
      </c>
      <c r="V209" s="81">
        <f t="shared" si="185"/>
        <v>-9.5238095238095233E-2</v>
      </c>
      <c r="W209" s="81">
        <f t="shared" si="185"/>
        <v>5.2631578947368418E-2</v>
      </c>
      <c r="X209" s="81">
        <f t="shared" si="185"/>
        <v>7.4999999999999997E-2</v>
      </c>
      <c r="Y209" s="81">
        <f t="shared" si="185"/>
        <v>4.6511627906976744E-2</v>
      </c>
      <c r="Z209" s="81">
        <f t="shared" si="185"/>
        <v>-4.4444444444444446E-2</v>
      </c>
      <c r="AA209" s="81">
        <f t="shared" si="185"/>
        <v>6.9767441860465115E-2</v>
      </c>
      <c r="AC209" s="49"/>
    </row>
    <row r="210" spans="1:31" x14ac:dyDescent="0.2">
      <c r="B210" s="20" t="str">
        <f t="shared" si="186"/>
        <v>Other</v>
      </c>
      <c r="M210" s="81">
        <f t="shared" si="188"/>
        <v>1</v>
      </c>
      <c r="N210" s="81">
        <f t="shared" si="188"/>
        <v>0.86842105263157898</v>
      </c>
      <c r="O210" s="81">
        <f t="shared" si="188"/>
        <v>0.36619718309859156</v>
      </c>
      <c r="P210" s="81">
        <f t="shared" si="188"/>
        <v>0.21649484536082475</v>
      </c>
      <c r="Q210" s="81">
        <f t="shared" si="188"/>
        <v>5.9322033898305086E-2</v>
      </c>
      <c r="T210" s="81">
        <f t="shared" si="185"/>
        <v>1</v>
      </c>
      <c r="U210" s="81">
        <f t="shared" si="185"/>
        <v>-6.4516129032258063E-2</v>
      </c>
      <c r="V210" s="81">
        <f t="shared" si="185"/>
        <v>-3.4482758620689655E-2</v>
      </c>
      <c r="W210" s="81">
        <f t="shared" si="185"/>
        <v>0.10714285714285714</v>
      </c>
      <c r="X210" s="81">
        <f t="shared" si="185"/>
        <v>6.4516129032258063E-2</v>
      </c>
      <c r="Y210" s="81">
        <f t="shared" si="185"/>
        <v>0</v>
      </c>
      <c r="Z210" s="81">
        <f t="shared" si="185"/>
        <v>0.12121212121212122</v>
      </c>
      <c r="AA210" s="81">
        <f t="shared" si="185"/>
        <v>8.1081081081081086E-2</v>
      </c>
      <c r="AC210" s="49"/>
    </row>
    <row r="212" spans="1:31" x14ac:dyDescent="0.2">
      <c r="B212" s="1"/>
    </row>
    <row r="213" spans="1:31" ht="17" thickBot="1" x14ac:dyDescent="0.25">
      <c r="B213" s="14" t="s">
        <v>311</v>
      </c>
      <c r="C213" s="169"/>
      <c r="D213" s="169"/>
      <c r="E213" s="169"/>
      <c r="F213" s="169"/>
      <c r="G213" s="169"/>
      <c r="H213" s="169"/>
      <c r="I213" s="169"/>
      <c r="J213" s="169"/>
      <c r="K213" s="169"/>
      <c r="L213" s="169"/>
      <c r="M213" s="169"/>
      <c r="N213" s="169"/>
      <c r="O213" s="169"/>
      <c r="P213" s="169"/>
      <c r="Q213" s="169"/>
      <c r="T213" s="169"/>
      <c r="U213" s="169"/>
      <c r="V213" s="169"/>
      <c r="W213" s="169"/>
      <c r="X213" s="169"/>
      <c r="Y213" s="169"/>
      <c r="Z213" s="169"/>
      <c r="AA213" s="169"/>
      <c r="AC213" s="169"/>
    </row>
    <row r="214" spans="1:31" x14ac:dyDescent="0.2">
      <c r="B214" s="20" t="s">
        <v>283</v>
      </c>
      <c r="C214" s="81"/>
      <c r="D214" s="81"/>
      <c r="E214" s="81"/>
      <c r="F214" s="81"/>
      <c r="G214" s="81"/>
      <c r="H214" s="81"/>
      <c r="I214" s="81"/>
      <c r="J214" s="81"/>
      <c r="K214" s="81"/>
      <c r="L214" s="81"/>
      <c r="M214" s="81">
        <f>IF(L65=0,
IF(M65=0,0,IF(M65&gt;0,1,-1)),
(M65-L65)/L65
)</f>
        <v>0</v>
      </c>
      <c r="N214" s="81">
        <f>IF(M65=0,
IF(N65=0,0,IF(N65&gt;0,1,-1)),
(N65-M65)/M65
)</f>
        <v>0</v>
      </c>
      <c r="O214" s="81">
        <f>IF(N65=0,
IF(O65=0,0,IF(O65&gt;0,1,-1)),
(O65-N65)/N65
)</f>
        <v>0</v>
      </c>
      <c r="P214" s="81">
        <f>IF(O65=0,
IF(P65=0,0,IF(P65&gt;0,1,-1)),
(P65-O65)/O65
)</f>
        <v>0</v>
      </c>
      <c r="Q214" s="81">
        <f>IF(P65=0,
IF(Q65=0,0,IF(Q65&gt;0,1,-1)),
(Q65-P65)/P65
)</f>
        <v>0</v>
      </c>
      <c r="T214" s="49"/>
      <c r="U214" s="49"/>
      <c r="V214" s="49"/>
      <c r="W214" s="49"/>
      <c r="X214" s="49"/>
      <c r="Y214" s="49"/>
      <c r="Z214" s="49"/>
      <c r="AA214" s="49"/>
      <c r="AC214" s="49"/>
    </row>
    <row r="216" spans="1:31" x14ac:dyDescent="0.2">
      <c r="B216" s="1"/>
    </row>
    <row r="217" spans="1:31" ht="17" thickBot="1" x14ac:dyDescent="0.25">
      <c r="B217" s="14" t="s">
        <v>345</v>
      </c>
      <c r="C217" s="169"/>
      <c r="D217" s="169"/>
      <c r="E217" s="169"/>
      <c r="F217" s="169"/>
      <c r="G217" s="169"/>
      <c r="H217" s="169"/>
      <c r="I217" s="169"/>
      <c r="J217" s="169"/>
      <c r="K217" s="169"/>
      <c r="L217" s="169"/>
      <c r="M217" s="169"/>
      <c r="N217" s="169"/>
      <c r="O217" s="169"/>
      <c r="P217" s="169"/>
      <c r="Q217" s="169"/>
      <c r="T217" s="169"/>
      <c r="U217" s="169"/>
      <c r="V217" s="169"/>
      <c r="W217" s="169"/>
      <c r="X217" s="169"/>
      <c r="Y217" s="169"/>
      <c r="Z217" s="169"/>
      <c r="AA217" s="169"/>
      <c r="AC217" s="169"/>
    </row>
    <row r="218" spans="1:31" x14ac:dyDescent="0.2">
      <c r="B218" s="20" t="s">
        <v>346</v>
      </c>
      <c r="M218" s="143">
        <v>100</v>
      </c>
      <c r="N218" s="143">
        <f>100*(1+((N118-$M118)/ABS($M118)))</f>
        <v>86.136354537811769</v>
      </c>
      <c r="O218" s="143">
        <f t="shared" ref="O218:Q218" si="189">100*(1+((O118-$M118)/ABS($M118)))</f>
        <v>101.60935185555869</v>
      </c>
      <c r="P218" s="143">
        <f t="shared" si="189"/>
        <v>124.58865446975457</v>
      </c>
      <c r="Q218" s="143">
        <f t="shared" si="189"/>
        <v>101.23303575003003</v>
      </c>
      <c r="T218" s="49"/>
      <c r="U218" s="49"/>
      <c r="V218" s="49"/>
      <c r="W218" s="49"/>
      <c r="X218" s="49"/>
      <c r="Y218" s="49"/>
      <c r="Z218" s="49"/>
      <c r="AA218" s="49"/>
      <c r="AC218" s="49"/>
    </row>
    <row r="219" spans="1:31" x14ac:dyDescent="0.2">
      <c r="B219" s="20" t="s">
        <v>347</v>
      </c>
      <c r="M219" s="143">
        <v>100</v>
      </c>
      <c r="N219" s="143">
        <f>100*(1+((N5-$M5)/ABS($M5)))</f>
        <v>114.11308709530323</v>
      </c>
      <c r="O219" s="143">
        <f t="shared" ref="O219:Q219" si="190">100*(1+((O5-$M5)/ABS($M5)))</f>
        <v>125.33059735522116</v>
      </c>
      <c r="P219" s="143">
        <f t="shared" si="190"/>
        <v>139.78568171454629</v>
      </c>
      <c r="Q219" s="143">
        <f t="shared" si="190"/>
        <v>164.2954856361149</v>
      </c>
      <c r="T219" s="49"/>
      <c r="U219" s="49"/>
      <c r="V219" s="49"/>
      <c r="W219" s="49"/>
      <c r="X219" s="49"/>
      <c r="Y219" s="49"/>
      <c r="Z219" s="49"/>
      <c r="AA219" s="49"/>
      <c r="AC219" s="49"/>
    </row>
    <row r="220" spans="1:31" x14ac:dyDescent="0.2">
      <c r="B220" s="20" t="s">
        <v>348</v>
      </c>
      <c r="M220" s="143">
        <v>100</v>
      </c>
      <c r="N220" s="143">
        <f>100*(1+((N27-$M27)/ABS($M27)))</f>
        <v>168.74999999999997</v>
      </c>
      <c r="O220" s="143">
        <f t="shared" ref="O220:Q220" si="191">100*(1+((O27-$M27)/ABS($M27)))</f>
        <v>187.05357142857144</v>
      </c>
      <c r="P220" s="143">
        <f t="shared" si="191"/>
        <v>228.57142857142856</v>
      </c>
      <c r="Q220" s="143">
        <f t="shared" si="191"/>
        <v>233.48214285714289</v>
      </c>
      <c r="T220" s="49"/>
      <c r="U220" s="49"/>
      <c r="V220" s="49"/>
      <c r="W220" s="49"/>
      <c r="X220" s="49"/>
      <c r="Y220" s="49"/>
      <c r="Z220" s="49"/>
      <c r="AA220" s="49"/>
      <c r="AC220" s="49"/>
    </row>
    <row r="222" spans="1:31" x14ac:dyDescent="0.2">
      <c r="B222" s="1"/>
    </row>
    <row r="223" spans="1:31" s="15" customFormat="1" ht="17" thickBot="1" x14ac:dyDescent="0.25">
      <c r="A223" s="11"/>
      <c r="B223" s="14" t="s">
        <v>109</v>
      </c>
      <c r="R223" s="1"/>
      <c r="S223" s="1"/>
      <c r="AB223" s="1"/>
      <c r="AD223" s="1"/>
      <c r="AE223" s="1"/>
    </row>
    <row r="224" spans="1:31" x14ac:dyDescent="0.2">
      <c r="C224" s="62"/>
      <c r="D224" s="62"/>
      <c r="E224" s="62"/>
      <c r="F224" s="62"/>
      <c r="G224" s="62"/>
      <c r="H224" s="62"/>
      <c r="I224" s="62"/>
      <c r="J224" s="62"/>
      <c r="K224" s="62"/>
      <c r="L224" s="62"/>
      <c r="M224" s="62"/>
      <c r="N224" s="62"/>
      <c r="O224" s="62"/>
      <c r="P224" s="62"/>
      <c r="Q224" s="62"/>
      <c r="T224" s="62"/>
      <c r="U224" s="62"/>
      <c r="V224" s="62"/>
      <c r="W224" s="62"/>
      <c r="X224" s="62"/>
      <c r="Y224" s="62"/>
      <c r="Z224" s="62"/>
      <c r="AA224" s="62"/>
      <c r="AC224" s="62"/>
    </row>
    <row r="225" spans="2:2" x14ac:dyDescent="0.2">
      <c r="B225" s="1"/>
    </row>
  </sheetData>
  <pageMargins left="0.7" right="0.7" top="0.75" bottom="0.75" header="0.3" footer="0.3"/>
  <ignoredErrors>
    <ignoredError sqref="AC24 AC82 AC54:AC58 AC60:AC63 AC12:AC20 AC65:AC67 AC5:AC10" formulaRange="1"/>
    <ignoredError sqref="AC21:AC22 AC25:AC26" formula="1" formulaRange="1"/>
    <ignoredError sqref="M125:Q125"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8" style="1" customWidth="1"/>
    <col min="9" max="16384" width="10.83203125" style="1"/>
  </cols>
  <sheetData>
    <row r="5" spans="2:8" x14ac:dyDescent="0.2">
      <c r="H5" s="134" t="s">
        <v>435</v>
      </c>
    </row>
    <row r="6" spans="2:8" x14ac:dyDescent="0.2">
      <c r="H6" s="237" t="s">
        <v>440</v>
      </c>
    </row>
    <row r="7" spans="2:8" x14ac:dyDescent="0.2">
      <c r="H7" s="237" t="s">
        <v>436</v>
      </c>
    </row>
    <row r="8" spans="2:8" x14ac:dyDescent="0.2">
      <c r="H8" s="237" t="s">
        <v>437</v>
      </c>
    </row>
    <row r="9" spans="2:8" x14ac:dyDescent="0.2">
      <c r="H9" s="237" t="s">
        <v>438</v>
      </c>
    </row>
    <row r="10" spans="2:8" x14ac:dyDescent="0.2">
      <c r="H10" s="238" t="s">
        <v>439</v>
      </c>
    </row>
    <row r="13" spans="2:8" s="4" customFormat="1" ht="49" x14ac:dyDescent="0.2">
      <c r="B13" s="3" t="s">
        <v>231</v>
      </c>
    </row>
  </sheetData>
  <hyperlinks>
    <hyperlink ref="H6" location="Overview!B3" display="Overview'!B3" xr:uid="{CECC5A3C-052F-194E-A17C-0CA5912D6036}"/>
    <hyperlink ref="H8" location="'Analysis -&gt;'!B13" display="'Analysis -&gt;'!B13" xr:uid="{39DEEBD0-B241-F540-ACFA-9E159BC0B081}"/>
    <hyperlink ref="H9" location="'Forecast -&gt;'!B13" display="'Forecast -&gt;'!B13" xr:uid="{8F54FD61-F3EA-B841-B0EF-CA76279C51CF}"/>
    <hyperlink ref="H10" location="'Valuation -&gt;'!B13" display="'Valuation -&gt;'!B13" xr:uid="{1210F6FC-253C-8741-8222-D7981B81890F}"/>
    <hyperlink ref="H7" location="'Financials -&gt;'!B13" display="'Financials -&gt;'!B13" xr:uid="{DACFBE39-6A45-4B4D-AD35-F054CFBC10F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zoomScale="173" workbookViewId="0">
      <selection activeCell="C53" sqref="C53"/>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2" t="s">
        <v>273</v>
      </c>
    </row>
    <row r="4" spans="2:7" x14ac:dyDescent="0.2">
      <c r="B4" s="242" t="s">
        <v>232</v>
      </c>
      <c r="C4" s="242"/>
      <c r="E4" s="242" t="s">
        <v>239</v>
      </c>
      <c r="F4" s="242"/>
      <c r="G4" s="242"/>
    </row>
    <row r="5" spans="2:7" x14ac:dyDescent="0.2">
      <c r="B5" s="20" t="s">
        <v>1</v>
      </c>
      <c r="C5" s="170">
        <f ca="1">Overview!C5</f>
        <v>233.54</v>
      </c>
      <c r="E5" s="12"/>
      <c r="F5" s="134" t="s">
        <v>240</v>
      </c>
      <c r="G5" s="134" t="s">
        <v>241</v>
      </c>
    </row>
    <row r="6" spans="2:7" x14ac:dyDescent="0.2">
      <c r="B6" s="20" t="s">
        <v>238</v>
      </c>
      <c r="C6" s="171">
        <f ca="1">Statement!AC154</f>
        <v>49043.4</v>
      </c>
      <c r="E6" s="20" t="s">
        <v>19</v>
      </c>
      <c r="F6" s="176">
        <f>IF(Statement!M5&lt;=0,"N/A",_xlfn.RRI(4,Statement!M5,Statement!Q5))</f>
        <v>0.13215635222408295</v>
      </c>
      <c r="G6" s="176" t="str">
        <f>IF(Statement!H5&lt;=0,"N/A",_xlfn.RRI(9,Statement!H5,Statement!Q5))</f>
        <v>N/A</v>
      </c>
    </row>
    <row r="7" spans="2:7" x14ac:dyDescent="0.2">
      <c r="B7" s="20" t="s">
        <v>187</v>
      </c>
      <c r="C7" s="171">
        <f ca="1">Statement!AC155</f>
        <v>48164.4</v>
      </c>
      <c r="E7" s="20" t="s">
        <v>31</v>
      </c>
      <c r="F7" s="176">
        <f>IF(OR(Statement!M19&lt;=0, Statement!Q19&lt;=0), "N/A", _xlfn.RRI(4, Statement!M19, Statement!Q19))</f>
        <v>0.22631624282314022</v>
      </c>
      <c r="G7" s="176" t="str">
        <f>IF(OR(Statement!H19&lt;=0, Statement!Q19&lt;=0), "N/A", _xlfn.RRI(9, Statement!H19, Statement!Q19))</f>
        <v>N/A</v>
      </c>
    </row>
    <row r="8" spans="2:7" x14ac:dyDescent="0.2">
      <c r="B8" s="20" t="s">
        <v>236</v>
      </c>
      <c r="C8" s="172">
        <f ca="1">Statement!AC151</f>
        <v>30.212160413971535</v>
      </c>
      <c r="E8" s="20" t="s">
        <v>242</v>
      </c>
      <c r="F8" s="176">
        <f>IF(OR(Statement!M27&lt;=0, Statement!Q27&lt;=0), "N/A", _xlfn.RRI(4, Statement!M27, Statement!Q27))</f>
        <v>0.23612792522461046</v>
      </c>
      <c r="G8" s="176" t="str">
        <f>IF(OR(Statement!H27&lt;=0, Statement!Q27&lt;=0), "N/A", _xlfn.RRI(9, Statement!H27, Statement!Q27))</f>
        <v>N/A</v>
      </c>
    </row>
    <row r="9" spans="2:7" x14ac:dyDescent="0.2">
      <c r="B9" s="20" t="s">
        <v>200</v>
      </c>
      <c r="C9" s="172">
        <f ca="1">Statement!AC152</f>
        <v>6.3856251604621308</v>
      </c>
      <c r="E9" s="20" t="s">
        <v>243</v>
      </c>
      <c r="F9" s="176" t="str">
        <f>IF(Statement!M83&lt;=0,"N/A",_xlfn.RRI(4,Statement!M83,Statement!Q83))</f>
        <v>N/A</v>
      </c>
      <c r="G9" s="176" t="str">
        <f>IF(Statement!H83&lt;=0,"N/A",_xlfn.RRI(9,Statement!H83,Statement!Q83))</f>
        <v>N/A</v>
      </c>
    </row>
    <row r="10" spans="2:7" x14ac:dyDescent="0.2">
      <c r="B10" s="20" t="s">
        <v>237</v>
      </c>
      <c r="C10" s="172">
        <f ca="1">Statement!AC153</f>
        <v>14.427981081879986</v>
      </c>
      <c r="E10" s="20" t="s">
        <v>1</v>
      </c>
      <c r="F10" s="176">
        <f>IF(Statement!M118&lt;=0,"N/A",_xlfn.RRI(4,Statement!M118,Statement!Q118))</f>
        <v>3.0684374995935126E-3</v>
      </c>
      <c r="G10" s="176" t="str">
        <f>IF(Statement!H118&lt;=0,"N/A",_xlfn.RRI(9,Statement!H118,Statement!Q118))</f>
        <v>N/A</v>
      </c>
    </row>
    <row r="11" spans="2:7" x14ac:dyDescent="0.2">
      <c r="B11" s="20" t="s">
        <v>259</v>
      </c>
      <c r="C11" s="172">
        <f ca="1">Statement!AC156</f>
        <v>6.182849807445443</v>
      </c>
    </row>
    <row r="12" spans="2:7" x14ac:dyDescent="0.2">
      <c r="B12" s="20" t="s">
        <v>203</v>
      </c>
      <c r="C12" s="172">
        <f ca="1">Statement!AC157</f>
        <v>23.598432141107303</v>
      </c>
    </row>
    <row r="15" spans="2:7" x14ac:dyDescent="0.2">
      <c r="B15" s="242" t="s">
        <v>77</v>
      </c>
      <c r="C15" s="242"/>
      <c r="E15" s="242" t="s">
        <v>245</v>
      </c>
      <c r="F15" s="242"/>
    </row>
    <row r="16" spans="2:7" x14ac:dyDescent="0.2">
      <c r="B16" s="20" t="s">
        <v>78</v>
      </c>
      <c r="C16" s="173">
        <f>Statement!AC102</f>
        <v>0.91245186136071887</v>
      </c>
      <c r="E16" s="20" t="s">
        <v>31</v>
      </c>
      <c r="F16" s="171">
        <f>Statement!AC19</f>
        <v>1642</v>
      </c>
    </row>
    <row r="17" spans="2:6" x14ac:dyDescent="0.2">
      <c r="B17" s="20" t="s">
        <v>79</v>
      </c>
      <c r="C17" s="173">
        <f>Statement!AC103</f>
        <v>0.262002567394095</v>
      </c>
      <c r="E17" s="20" t="s">
        <v>246</v>
      </c>
      <c r="F17" s="171">
        <f>Statement!AC60</f>
        <v>2896</v>
      </c>
    </row>
    <row r="18" spans="2:6" x14ac:dyDescent="0.2">
      <c r="B18" s="20" t="s">
        <v>80</v>
      </c>
      <c r="C18" s="173">
        <f>Statement!AC104</f>
        <v>0.21078305519897303</v>
      </c>
      <c r="E18" s="20" t="s">
        <v>253</v>
      </c>
      <c r="F18" s="175">
        <f>IF(OR(F16&lt;=0, F17&lt;=0),"N/A",F16-F17)</f>
        <v>-1254</v>
      </c>
    </row>
    <row r="21" spans="2:6" x14ac:dyDescent="0.2">
      <c r="B21" s="242" t="s">
        <v>244</v>
      </c>
      <c r="C21" s="242"/>
      <c r="E21" s="242" t="s">
        <v>248</v>
      </c>
      <c r="F21" s="242"/>
    </row>
    <row r="22" spans="2:6" x14ac:dyDescent="0.2">
      <c r="B22" s="20" t="s">
        <v>99</v>
      </c>
      <c r="C22" s="173">
        <f>Statement!AC122</f>
        <v>0.21078305519897303</v>
      </c>
      <c r="E22" s="20" t="s">
        <v>101</v>
      </c>
      <c r="F22" s="173">
        <f>C24</f>
        <v>0.12647308018177617</v>
      </c>
    </row>
    <row r="23" spans="2:6" x14ac:dyDescent="0.2">
      <c r="B23" s="20" t="s">
        <v>100</v>
      </c>
      <c r="C23" s="172">
        <f>Statement!AC123</f>
        <v>0.60001540476007087</v>
      </c>
      <c r="E23" s="20" t="s">
        <v>103</v>
      </c>
      <c r="F23" s="173">
        <f>C26</f>
        <v>0.48536801655335504</v>
      </c>
    </row>
    <row r="24" spans="2:6" x14ac:dyDescent="0.2">
      <c r="B24" s="32" t="s">
        <v>101</v>
      </c>
      <c r="C24" s="174">
        <f>Statement!AC124</f>
        <v>0.12647308018177617</v>
      </c>
      <c r="E24" s="20" t="s">
        <v>104</v>
      </c>
      <c r="F24" s="173">
        <f>Statement!AC141</f>
        <v>0.63581348227633894</v>
      </c>
    </row>
    <row r="25" spans="2:6" x14ac:dyDescent="0.2">
      <c r="B25" s="20" t="s">
        <v>102</v>
      </c>
      <c r="C25" s="172">
        <f>Statement!AC125</f>
        <v>3.8377180017735739</v>
      </c>
    </row>
    <row r="26" spans="2:6" x14ac:dyDescent="0.2">
      <c r="B26" s="32" t="s">
        <v>103</v>
      </c>
      <c r="C26" s="174">
        <f>Statement!AC126</f>
        <v>0.48536801655335504</v>
      </c>
    </row>
    <row r="29" spans="2:6" x14ac:dyDescent="0.2">
      <c r="B29" s="242" t="s">
        <v>249</v>
      </c>
      <c r="C29" s="242"/>
      <c r="E29" s="242" t="s">
        <v>255</v>
      </c>
      <c r="F29" s="242"/>
    </row>
    <row r="30" spans="2:6" x14ac:dyDescent="0.2">
      <c r="B30" s="20" t="s">
        <v>138</v>
      </c>
      <c r="C30" s="172">
        <f>Statement!AC142</f>
        <v>32.048780487804876</v>
      </c>
      <c r="E30" s="20" t="s">
        <v>256</v>
      </c>
      <c r="F30" s="178">
        <f>Statement!AC146</f>
        <v>1.028081584392551</v>
      </c>
    </row>
    <row r="31" spans="2:6" x14ac:dyDescent="0.2">
      <c r="B31" s="20" t="s">
        <v>139</v>
      </c>
      <c r="C31" s="172">
        <f>Statement!AC143</f>
        <v>0</v>
      </c>
      <c r="E31" s="20" t="s">
        <v>257</v>
      </c>
      <c r="F31" s="178">
        <f>Statement!AC147</f>
        <v>-0.25982855453739284</v>
      </c>
    </row>
    <row r="32" spans="2:6" x14ac:dyDescent="0.2">
      <c r="B32" s="20" t="s">
        <v>140</v>
      </c>
      <c r="C32" s="172">
        <f>Statement!AC144</f>
        <v>244.58211143695013</v>
      </c>
      <c r="E32" s="20" t="s">
        <v>252</v>
      </c>
      <c r="F32" s="178">
        <f>Statement!AC149</f>
        <v>0.85546167773083892</v>
      </c>
    </row>
    <row r="33" spans="2:6" x14ac:dyDescent="0.2">
      <c r="B33" s="20" t="s">
        <v>141</v>
      </c>
      <c r="C33" s="172">
        <f>Statement!AC145</f>
        <v>-212.53333094914524</v>
      </c>
      <c r="E33" s="20" t="s">
        <v>251</v>
      </c>
      <c r="F33" s="178">
        <f>Statement!AC148</f>
        <v>0.76056125528062768</v>
      </c>
    </row>
    <row r="34" spans="2:6" x14ac:dyDescent="0.2">
      <c r="E34" s="20" t="s">
        <v>258</v>
      </c>
      <c r="F34" s="180" t="str">
        <f>Statement!AC150</f>
        <v>N/A</v>
      </c>
    </row>
    <row r="37" spans="2:6" x14ac:dyDescent="0.2">
      <c r="B37" s="242" t="s">
        <v>267</v>
      </c>
      <c r="C37" s="242"/>
      <c r="E37" s="242" t="s">
        <v>270</v>
      </c>
      <c r="F37" s="242"/>
    </row>
    <row r="38" spans="2:6" x14ac:dyDescent="0.2">
      <c r="B38" s="20" t="s">
        <v>265</v>
      </c>
      <c r="C38" s="173">
        <f ca="1">Statement!AC163</f>
        <v>3.3099254945619598E-2</v>
      </c>
      <c r="E38" s="20" t="s">
        <v>269</v>
      </c>
      <c r="F38" s="173">
        <f>Statement!AC169</f>
        <v>0</v>
      </c>
    </row>
    <row r="39" spans="2:6" x14ac:dyDescent="0.2">
      <c r="B39" s="54" t="s">
        <v>268</v>
      </c>
      <c r="C39" s="213">
        <f ca="1">Statement!AC162</f>
        <v>4.277843705778963E-2</v>
      </c>
      <c r="E39" s="20" t="s">
        <v>271</v>
      </c>
      <c r="F39" s="173">
        <f>Statement!AC170</f>
        <v>0.75834127740705437</v>
      </c>
    </row>
    <row r="40" spans="2:6" x14ac:dyDescent="0.2">
      <c r="B40" s="20" t="s">
        <v>266</v>
      </c>
      <c r="C40" s="173">
        <f ca="1">Statement!AC164</f>
        <v>0</v>
      </c>
      <c r="E40" s="20" t="s">
        <v>272</v>
      </c>
      <c r="F40" s="173">
        <f>Statement!AC171</f>
        <v>0.75834127740705437</v>
      </c>
    </row>
    <row r="41" spans="2:6" x14ac:dyDescent="0.2">
      <c r="B41" s="20" t="s">
        <v>291</v>
      </c>
      <c r="C41" s="173">
        <f ca="1">Statement!AC165</f>
        <v>3.2440654603881458E-2</v>
      </c>
    </row>
    <row r="42" spans="2:6" x14ac:dyDescent="0.2">
      <c r="B42" s="20" t="s">
        <v>293</v>
      </c>
      <c r="C42" s="173">
        <f ca="1">Statement!AC166</f>
        <v>3.2440654603881458E-2</v>
      </c>
    </row>
    <row r="45" spans="2:6" x14ac:dyDescent="0.2">
      <c r="B45" s="242" t="s">
        <v>278</v>
      </c>
      <c r="C45" s="242"/>
      <c r="E45" s="242" t="s">
        <v>284</v>
      </c>
      <c r="F45" s="242"/>
    </row>
    <row r="46" spans="2:6" x14ac:dyDescent="0.2">
      <c r="B46" s="20" t="s">
        <v>276</v>
      </c>
      <c r="C46" s="173">
        <f>Statement!AC172</f>
        <v>4.7619047619047623E-3</v>
      </c>
      <c r="E46" s="20" t="s">
        <v>277</v>
      </c>
      <c r="F46" s="172">
        <f>Statement!AC173</f>
        <v>20.846889952153109</v>
      </c>
    </row>
    <row r="47" spans="2:6" x14ac:dyDescent="0.2">
      <c r="E47" s="20" t="s">
        <v>285</v>
      </c>
      <c r="F47" s="172">
        <f>Statement!AC176</f>
        <v>4.205741626794258</v>
      </c>
    </row>
    <row r="48" spans="2:6" x14ac:dyDescent="0.2">
      <c r="E48" s="20" t="s">
        <v>290</v>
      </c>
      <c r="F48" s="173">
        <f ca="1">Statement!AC177</f>
        <v>1.7922900940799374E-2</v>
      </c>
    </row>
    <row r="51" spans="2:6" x14ac:dyDescent="0.2">
      <c r="B51" s="242" t="s">
        <v>281</v>
      </c>
      <c r="C51" s="242"/>
      <c r="E51" s="242" t="s">
        <v>302</v>
      </c>
      <c r="F51" s="242"/>
    </row>
    <row r="52" spans="2:6" x14ac:dyDescent="0.2">
      <c r="B52" s="20" t="s">
        <v>279</v>
      </c>
      <c r="C52" s="173">
        <f>Statement!AC174</f>
        <v>0.24378453038674033</v>
      </c>
      <c r="E52" s="20" t="s">
        <v>303</v>
      </c>
      <c r="F52" s="173">
        <f>Statement!AC178</f>
        <v>1.1810012836970476E-2</v>
      </c>
    </row>
    <row r="53" spans="2:6" x14ac:dyDescent="0.2">
      <c r="B53" s="20" t="s">
        <v>280</v>
      </c>
      <c r="C53" s="173">
        <f>Statement!AC175</f>
        <v>9.0629011553273423E-2</v>
      </c>
      <c r="E53" s="20" t="s">
        <v>300</v>
      </c>
      <c r="F53" s="173">
        <f>Statement!AC179</f>
        <v>3.1767955801104975E-2</v>
      </c>
    </row>
    <row r="54" spans="2:6" x14ac:dyDescent="0.2">
      <c r="E54" s="20" t="s">
        <v>301</v>
      </c>
      <c r="F54" s="173">
        <f>Statement!AC180</f>
        <v>0.45771144278606968</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93"/>
  <sheetViews>
    <sheetView zoomScale="159" zoomScaleNormal="230" workbookViewId="0">
      <pane xSplit="2" ySplit="3" topLeftCell="C76" activePane="bottomRight" state="frozen"/>
      <selection pane="topRight" activeCell="C1" sqref="C1"/>
      <selection pane="bottomLeft" activeCell="A4" sqref="A4"/>
      <selection pane="bottomRight" activeCell="B90" sqref="B90"/>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31.01.2022</v>
      </c>
      <c r="D2" s="10" t="str">
        <f>Statement!N2</f>
        <v>31.01.2023</v>
      </c>
      <c r="E2" s="10" t="str">
        <f>Statement!O2</f>
        <v>31.01.2024</v>
      </c>
      <c r="F2" s="10" t="str">
        <f>Statement!P2</f>
        <v>31.01.2025</v>
      </c>
      <c r="G2" s="10" t="str">
        <f>Statement!Q2</f>
        <v>31.01.2026</v>
      </c>
      <c r="I2" s="10"/>
    </row>
    <row r="3" spans="2:9" x14ac:dyDescent="0.2">
      <c r="B3" s="10"/>
      <c r="C3" s="10">
        <f>Statement!M3</f>
        <v>2022</v>
      </c>
      <c r="D3" s="10">
        <f>Statement!N3</f>
        <v>2023</v>
      </c>
      <c r="E3" s="10">
        <f>Statement!O3</f>
        <v>2024</v>
      </c>
      <c r="F3" s="10">
        <f>Statement!P3</f>
        <v>2025</v>
      </c>
      <c r="G3" s="10">
        <f>Statement!Q3</f>
        <v>2026</v>
      </c>
      <c r="I3" s="10" t="str">
        <f>Statement!AC3</f>
        <v>TTM/YTD</v>
      </c>
    </row>
    <row r="5" spans="2:9" ht="17" thickBot="1" x14ac:dyDescent="0.25">
      <c r="B5" s="14" t="s">
        <v>232</v>
      </c>
      <c r="C5" s="14"/>
      <c r="D5" s="14"/>
      <c r="E5" s="14"/>
      <c r="F5" s="14"/>
      <c r="G5" s="14"/>
      <c r="I5" s="14"/>
    </row>
    <row r="6" spans="2:9" x14ac:dyDescent="0.2">
      <c r="B6" s="20" t="s">
        <v>1</v>
      </c>
      <c r="C6" s="170">
        <f>Statement!M117</f>
        <v>249.79</v>
      </c>
      <c r="D6" s="170">
        <f>Statement!N117</f>
        <v>215.16</v>
      </c>
      <c r="E6" s="170">
        <f>Statement!O117</f>
        <v>253.81</v>
      </c>
      <c r="F6" s="170">
        <f>Statement!P117</f>
        <v>311.20999999999998</v>
      </c>
      <c r="G6" s="170">
        <f>Statement!Q117</f>
        <v>252.87</v>
      </c>
      <c r="I6" s="170">
        <f ca="1">Statement!AC117</f>
        <v>233.54</v>
      </c>
    </row>
    <row r="7" spans="2:9" x14ac:dyDescent="0.2">
      <c r="B7" s="20" t="s">
        <v>238</v>
      </c>
      <c r="C7" s="171">
        <f>Statement!M154</f>
        <v>54704.009999999995</v>
      </c>
      <c r="D7" s="171">
        <f>Statement!N154</f>
        <v>46904.88</v>
      </c>
      <c r="E7" s="171">
        <f>Statement!O154</f>
        <v>54822.96</v>
      </c>
      <c r="F7" s="171">
        <f>Statement!P154</f>
        <v>67532.569999999992</v>
      </c>
      <c r="G7" s="171">
        <f>Statement!Q154</f>
        <v>54367.05</v>
      </c>
      <c r="I7" s="171">
        <f ca="1">Statement!AC154</f>
        <v>49043.4</v>
      </c>
    </row>
    <row r="8" spans="2:9" x14ac:dyDescent="0.2">
      <c r="B8" s="20" t="s">
        <v>187</v>
      </c>
      <c r="C8" s="171">
        <f>Statement!M155</f>
        <v>55175.009999999995</v>
      </c>
      <c r="D8" s="171">
        <f>Statement!N155</f>
        <v>47011.88</v>
      </c>
      <c r="E8" s="171">
        <f>Statement!O155</f>
        <v>54626.96</v>
      </c>
      <c r="F8" s="171">
        <f>Statement!P155</f>
        <v>67666.569999999992</v>
      </c>
      <c r="G8" s="171">
        <f>Statement!Q155</f>
        <v>53877.05</v>
      </c>
      <c r="I8" s="171">
        <f ca="1">Statement!AC155</f>
        <v>48164.4</v>
      </c>
    </row>
    <row r="9" spans="2:9" x14ac:dyDescent="0.2">
      <c r="B9" s="20" t="s">
        <v>236</v>
      </c>
      <c r="C9" s="172">
        <f>Statement!M151</f>
        <v>111.51339285714285</v>
      </c>
      <c r="D9" s="172">
        <f>Statement!N151</f>
        <v>56.920634920634924</v>
      </c>
      <c r="E9" s="172">
        <f>Statement!O151</f>
        <v>60.575178997613357</v>
      </c>
      <c r="F9" s="172">
        <f>Statement!P151</f>
        <v>60.783203124999993</v>
      </c>
      <c r="G9" s="172">
        <f>Statement!Q151</f>
        <v>48.349904397705544</v>
      </c>
      <c r="I9" s="172">
        <f ca="1">Statement!AC151</f>
        <v>30.212160413971535</v>
      </c>
    </row>
    <row r="10" spans="2:9" x14ac:dyDescent="0.2">
      <c r="B10" s="20" t="s">
        <v>200</v>
      </c>
      <c r="C10" s="172">
        <f>Statement!M152</f>
        <v>12.643269493844048</v>
      </c>
      <c r="D10" s="172">
        <f>Statement!N152</f>
        <v>9.3716043956043951</v>
      </c>
      <c r="E10" s="172">
        <f>Statement!O152</f>
        <v>9.9732508641076958</v>
      </c>
      <c r="F10" s="172">
        <f>Statement!P152</f>
        <v>11.014935573315935</v>
      </c>
      <c r="G10" s="172">
        <f>Statement!Q152</f>
        <v>7.5446919233971688</v>
      </c>
      <c r="I10" s="172">
        <f ca="1">Statement!AC152</f>
        <v>6.3856251604621308</v>
      </c>
    </row>
    <row r="11" spans="2:9" x14ac:dyDescent="0.2">
      <c r="B11" s="20" t="s">
        <v>237</v>
      </c>
      <c r="C11" s="172">
        <f>Statement!M153</f>
        <v>63.845029446407537</v>
      </c>
      <c r="D11" s="172">
        <f>Statement!N153</f>
        <v>40.58913537117904</v>
      </c>
      <c r="E11" s="172">
        <f>Statement!O153</f>
        <v>29.280506738544478</v>
      </c>
      <c r="F11" s="172">
        <f>Statement!P153</f>
        <v>25.528481495612361</v>
      </c>
      <c r="G11" s="172">
        <f>Statement!Q153</f>
        <v>17.688443349753694</v>
      </c>
      <c r="I11" s="172">
        <f ca="1">Statement!AC153</f>
        <v>14.427981081879986</v>
      </c>
    </row>
    <row r="12" spans="2:9" x14ac:dyDescent="0.2">
      <c r="B12" s="20" t="s">
        <v>259</v>
      </c>
      <c r="C12" s="172">
        <f>Statement!M156</f>
        <v>12.579801641586867</v>
      </c>
      <c r="D12" s="172">
        <f>Statement!N156</f>
        <v>9.3929830169830169</v>
      </c>
      <c r="E12" s="172">
        <f>Statement!O156</f>
        <v>9.9375950518464613</v>
      </c>
      <c r="F12" s="172">
        <f>Statement!P156</f>
        <v>11.036791714239111</v>
      </c>
      <c r="G12" s="172">
        <f>Statement!Q156</f>
        <v>7.4766930335831256</v>
      </c>
      <c r="I12" s="172">
        <f ca="1">Statement!AC156</f>
        <v>6.182849807445443</v>
      </c>
    </row>
    <row r="13" spans="2:9" x14ac:dyDescent="0.2">
      <c r="B13" s="20" t="s">
        <v>203</v>
      </c>
      <c r="C13" s="172">
        <f>Statement!M157</f>
        <v>89.27995145631067</v>
      </c>
      <c r="D13" s="172">
        <f>Statement!N157</f>
        <v>47.534762386248737</v>
      </c>
      <c r="E13" s="172">
        <f>Statement!O157</f>
        <v>48.428156028368797</v>
      </c>
      <c r="F13" s="172">
        <f>Statement!P157</f>
        <v>49.975310192023628</v>
      </c>
      <c r="G13" s="172">
        <f>Statement!Q157</f>
        <v>34.142617237008871</v>
      </c>
      <c r="I13" s="172">
        <f ca="1">Statement!AC157</f>
        <v>23.598432141107303</v>
      </c>
    </row>
    <row r="15" spans="2:9" ht="17" thickBot="1" x14ac:dyDescent="0.25">
      <c r="B15" s="14" t="s">
        <v>77</v>
      </c>
      <c r="C15" s="14"/>
      <c r="D15" s="14"/>
      <c r="E15" s="14"/>
      <c r="F15" s="14"/>
      <c r="G15" s="14"/>
      <c r="I15" s="14"/>
    </row>
    <row r="16" spans="2:9" x14ac:dyDescent="0.2">
      <c r="B16" s="20" t="s">
        <v>78</v>
      </c>
      <c r="C16" s="173">
        <f>Statement!M102</f>
        <v>0.90469676242590058</v>
      </c>
      <c r="D16" s="173">
        <f>Statement!N102</f>
        <v>0.90409590409590412</v>
      </c>
      <c r="E16" s="173">
        <f>Statement!O102</f>
        <v>0.90704020374749861</v>
      </c>
      <c r="F16" s="173">
        <f>Statement!P102</f>
        <v>0.90572500407763823</v>
      </c>
      <c r="G16" s="173">
        <f>Statement!Q102</f>
        <v>0.90979739106300306</v>
      </c>
      <c r="I16" s="173">
        <f>Statement!AC102</f>
        <v>0.91245186136071887</v>
      </c>
    </row>
    <row r="17" spans="2:9" x14ac:dyDescent="0.2">
      <c r="B17" s="20" t="s">
        <v>79</v>
      </c>
      <c r="C17" s="173">
        <f>Statement!M103</f>
        <v>0.1409028727770178</v>
      </c>
      <c r="D17" s="173">
        <f>Statement!N103</f>
        <v>0.19760239760239759</v>
      </c>
      <c r="E17" s="173">
        <f>Statement!O103</f>
        <v>0.20520283791158814</v>
      </c>
      <c r="F17" s="173">
        <f>Statement!P103</f>
        <v>0.22084488664165716</v>
      </c>
      <c r="G17" s="173">
        <f>Statement!Q103</f>
        <v>0.21898417985012489</v>
      </c>
      <c r="I17" s="173">
        <f>Statement!AC103</f>
        <v>0.262002567394095</v>
      </c>
    </row>
    <row r="18" spans="2:9" x14ac:dyDescent="0.2">
      <c r="B18" s="20" t="s">
        <v>80</v>
      </c>
      <c r="C18" s="173">
        <f>Statement!M104</f>
        <v>0.11331509347925217</v>
      </c>
      <c r="D18" s="173">
        <f>Statement!N104</f>
        <v>0.16443556443556442</v>
      </c>
      <c r="E18" s="173">
        <f>Statement!O104</f>
        <v>0.16481717300345644</v>
      </c>
      <c r="F18" s="173">
        <f>Statement!P104</f>
        <v>0.18137334855651607</v>
      </c>
      <c r="G18" s="173">
        <f>Statement!Q104</f>
        <v>0.15598112683874549</v>
      </c>
      <c r="I18" s="173">
        <f>Statement!AC104</f>
        <v>0.21078305519897303</v>
      </c>
    </row>
    <row r="20" spans="2:9" ht="17" thickBot="1" x14ac:dyDescent="0.25">
      <c r="B20" s="14" t="s">
        <v>245</v>
      </c>
      <c r="C20" s="14"/>
      <c r="D20" s="14"/>
      <c r="E20" s="14"/>
      <c r="F20" s="14"/>
      <c r="G20" s="14"/>
      <c r="I20" s="14"/>
    </row>
    <row r="21" spans="2:9" x14ac:dyDescent="0.2">
      <c r="B21" s="20" t="s">
        <v>31</v>
      </c>
      <c r="C21" s="175">
        <f>Statement!M19</f>
        <v>497</v>
      </c>
      <c r="D21" s="175">
        <f>Statement!N19</f>
        <v>823</v>
      </c>
      <c r="E21" s="175">
        <f>Statement!O19</f>
        <v>906</v>
      </c>
      <c r="F21" s="175">
        <f>Statement!P19</f>
        <v>1112</v>
      </c>
      <c r="G21" s="175">
        <f>Statement!Q19</f>
        <v>1124</v>
      </c>
      <c r="I21" s="175">
        <f>Statement!AC19</f>
        <v>1642</v>
      </c>
    </row>
    <row r="22" spans="2:9" x14ac:dyDescent="0.2">
      <c r="B22" s="20" t="s">
        <v>246</v>
      </c>
      <c r="C22" s="175">
        <f>Statement!M60</f>
        <v>1531</v>
      </c>
      <c r="D22" s="175">
        <f>Statement!N60</f>
        <v>2071</v>
      </c>
      <c r="E22" s="175">
        <f>Statement!O60</f>
        <v>1313</v>
      </c>
      <c r="F22" s="175">
        <f>Statement!P60</f>
        <v>1607</v>
      </c>
      <c r="G22" s="175">
        <f>Statement!Q60</f>
        <v>2452</v>
      </c>
      <c r="I22" s="175">
        <f>Statement!AC60</f>
        <v>2896</v>
      </c>
    </row>
    <row r="23" spans="2:9" x14ac:dyDescent="0.2">
      <c r="B23" s="20" t="s">
        <v>253</v>
      </c>
      <c r="C23" s="193">
        <f>IF(OR(C21&lt;=0, C22&lt;=0),"N/A",C21-C22)</f>
        <v>-1034</v>
      </c>
      <c r="D23" s="193">
        <f t="shared" ref="D23:I23" si="0">IF(OR(D21&lt;=0, D22&lt;=0),"N/A",D21-D22)</f>
        <v>-1248</v>
      </c>
      <c r="E23" s="193">
        <f t="shared" si="0"/>
        <v>-407</v>
      </c>
      <c r="F23" s="193">
        <f t="shared" si="0"/>
        <v>-495</v>
      </c>
      <c r="G23" s="193">
        <f t="shared" si="0"/>
        <v>-1328</v>
      </c>
      <c r="I23" s="193">
        <f t="shared" si="0"/>
        <v>-1254</v>
      </c>
    </row>
    <row r="25" spans="2:9" ht="17" thickBot="1" x14ac:dyDescent="0.25">
      <c r="B25" s="14" t="s">
        <v>244</v>
      </c>
      <c r="C25" s="14"/>
      <c r="D25" s="14"/>
      <c r="E25" s="14"/>
      <c r="F25" s="14"/>
      <c r="G25" s="14"/>
      <c r="I25" s="14"/>
    </row>
    <row r="26" spans="2:9" x14ac:dyDescent="0.2">
      <c r="B26" s="20" t="s">
        <v>99</v>
      </c>
      <c r="C26" s="173">
        <f>Statement!M122</f>
        <v>0.11331509347925217</v>
      </c>
      <c r="D26" s="173">
        <f>Statement!N122</f>
        <v>0.16443556443556442</v>
      </c>
      <c r="E26" s="173">
        <f>Statement!O122</f>
        <v>0.16481717300345644</v>
      </c>
      <c r="F26" s="173">
        <f>Statement!P122</f>
        <v>0.18137334855651607</v>
      </c>
      <c r="G26" s="173">
        <f>Statement!Q122</f>
        <v>0.15598112683874549</v>
      </c>
      <c r="I26" s="173">
        <f>Statement!AC122</f>
        <v>0.21078305519897303</v>
      </c>
    </row>
    <row r="27" spans="2:9" x14ac:dyDescent="0.2">
      <c r="B27" s="20" t="s">
        <v>100</v>
      </c>
      <c r="C27" s="212">
        <f>Statement!M123</f>
        <v>0.50958522133147444</v>
      </c>
      <c r="D27" s="212">
        <f>Statement!N123</f>
        <v>0.53030303030303028</v>
      </c>
      <c r="E27" s="212">
        <f>Statement!O123</f>
        <v>0.55458030669895075</v>
      </c>
      <c r="F27" s="212">
        <f>Statement!P123</f>
        <v>0.56595587556540206</v>
      </c>
      <c r="G27" s="212">
        <f>Statement!Q123</f>
        <v>0.57800593567016922</v>
      </c>
      <c r="I27" s="212">
        <f>Statement!AC123</f>
        <v>0.60001540476007087</v>
      </c>
    </row>
    <row r="28" spans="2:9" x14ac:dyDescent="0.2">
      <c r="B28" s="32" t="s">
        <v>101</v>
      </c>
      <c r="C28" s="174">
        <f>Statement!M124</f>
        <v>5.7743696990821436E-2</v>
      </c>
      <c r="D28" s="174">
        <f>Statement!N124</f>
        <v>8.7200678109769003E-2</v>
      </c>
      <c r="E28" s="174">
        <f>Statement!O124</f>
        <v>9.1404358353510906E-2</v>
      </c>
      <c r="F28" s="174">
        <f>Statement!P124</f>
        <v>0.1026493122865319</v>
      </c>
      <c r="G28" s="174">
        <f>Statement!Q124</f>
        <v>9.0158017165316434E-2</v>
      </c>
      <c r="I28" s="174">
        <f>Statement!AC124</f>
        <v>0.12647308018177617</v>
      </c>
    </row>
    <row r="29" spans="2:9" x14ac:dyDescent="0.2">
      <c r="B29" s="20" t="s">
        <v>102</v>
      </c>
      <c r="C29" s="212">
        <f>Statement!M125</f>
        <v>10.137809187279151</v>
      </c>
      <c r="D29" s="212">
        <f>Statement!N125</f>
        <v>8.2427947598253279</v>
      </c>
      <c r="E29" s="212">
        <f>Statement!O125</f>
        <v>5.343396226415094</v>
      </c>
      <c r="F29" s="212">
        <f>Statement!P125</f>
        <v>4.1331552842426555</v>
      </c>
      <c r="G29" s="212">
        <f>Statement!Q125</f>
        <v>4.0942528735632182</v>
      </c>
      <c r="I29" s="212">
        <f>Statement!AC125</f>
        <v>3.8377180017735739</v>
      </c>
    </row>
    <row r="30" spans="2:9" x14ac:dyDescent="0.2">
      <c r="B30" s="32" t="s">
        <v>103</v>
      </c>
      <c r="C30" s="174">
        <f>Statement!M126</f>
        <v>0.58539458186101301</v>
      </c>
      <c r="D30" s="174">
        <f>Statement!N126</f>
        <v>0.71877729257641909</v>
      </c>
      <c r="E30" s="174">
        <f>Statement!O126</f>
        <v>0.48840970350404317</v>
      </c>
      <c r="F30" s="174">
        <f>Statement!P126</f>
        <v>0.42426554750095385</v>
      </c>
      <c r="G30" s="174">
        <f>Statement!Q126</f>
        <v>0.36912972085385876</v>
      </c>
      <c r="I30" s="174">
        <f>Statement!AC126</f>
        <v>0.48536801655335504</v>
      </c>
    </row>
    <row r="32" spans="2:9" ht="17" thickBot="1" x14ac:dyDescent="0.25">
      <c r="B32" s="14" t="s">
        <v>304</v>
      </c>
      <c r="C32" s="14"/>
      <c r="D32" s="14"/>
      <c r="E32" s="14"/>
      <c r="F32" s="14"/>
      <c r="G32" s="14"/>
      <c r="I32" s="14"/>
    </row>
    <row r="33" spans="2:9" x14ac:dyDescent="0.2">
      <c r="B33" s="20" t="s">
        <v>101</v>
      </c>
      <c r="C33" s="173">
        <f>C28</f>
        <v>5.7743696990821436E-2</v>
      </c>
      <c r="D33" s="173">
        <f t="shared" ref="D33:G33" si="1">D28</f>
        <v>8.7200678109769003E-2</v>
      </c>
      <c r="E33" s="173">
        <f t="shared" si="1"/>
        <v>9.1404358353510906E-2</v>
      </c>
      <c r="F33" s="173">
        <f t="shared" si="1"/>
        <v>0.1026493122865319</v>
      </c>
      <c r="G33" s="173">
        <f t="shared" si="1"/>
        <v>9.0158017165316434E-2</v>
      </c>
      <c r="I33" s="173">
        <f>I28</f>
        <v>0.12647308018177617</v>
      </c>
    </row>
    <row r="34" spans="2:9" x14ac:dyDescent="0.2">
      <c r="B34" s="20" t="s">
        <v>103</v>
      </c>
      <c r="C34" s="173">
        <f>C30</f>
        <v>0.58539458186101301</v>
      </c>
      <c r="D34" s="173">
        <f t="shared" ref="D34:G34" si="2">D30</f>
        <v>0.71877729257641909</v>
      </c>
      <c r="E34" s="173">
        <f t="shared" si="2"/>
        <v>0.48840970350404317</v>
      </c>
      <c r="F34" s="173">
        <f t="shared" si="2"/>
        <v>0.42426554750095385</v>
      </c>
      <c r="G34" s="173">
        <f t="shared" si="2"/>
        <v>0.36912972085385876</v>
      </c>
      <c r="I34" s="173">
        <f>I30</f>
        <v>0.48536801655335504</v>
      </c>
    </row>
    <row r="35" spans="2:9" x14ac:dyDescent="0.2">
      <c r="B35" s="20" t="s">
        <v>104</v>
      </c>
      <c r="C35" s="173">
        <f>Statement!M141</f>
        <v>0.41183427192276745</v>
      </c>
      <c r="D35" s="173">
        <f>Statement!N141</f>
        <v>0.68722770839384251</v>
      </c>
      <c r="E35" s="173">
        <f>Statement!O141</f>
        <v>0.54226625576242271</v>
      </c>
      <c r="F35" s="173">
        <f>Statement!P141</f>
        <v>0.39488056397721433</v>
      </c>
      <c r="G35" s="173">
        <f>Statement!Q141</f>
        <v>0.43306080941678582</v>
      </c>
      <c r="I35" s="173">
        <f>Statement!AC141</f>
        <v>0.63581348227633894</v>
      </c>
    </row>
    <row r="37" spans="2:9" ht="17" thickBot="1" x14ac:dyDescent="0.25">
      <c r="B37" s="14" t="s">
        <v>249</v>
      </c>
      <c r="C37" s="14"/>
      <c r="D37" s="14"/>
      <c r="E37" s="14"/>
      <c r="F37" s="14"/>
      <c r="G37" s="14"/>
      <c r="I37" s="14"/>
    </row>
    <row r="38" spans="2:9" x14ac:dyDescent="0.2">
      <c r="B38" s="20" t="s">
        <v>138</v>
      </c>
      <c r="C38" s="172">
        <f>Statement!M142</f>
        <v>59.585043319653444</v>
      </c>
      <c r="D38" s="172">
        <f>Statement!N142</f>
        <v>70.082917082917078</v>
      </c>
      <c r="E38" s="172">
        <f>Statement!O142</f>
        <v>58.166272512279427</v>
      </c>
      <c r="F38" s="172">
        <f>Statement!P142</f>
        <v>60.009786331756644</v>
      </c>
      <c r="G38" s="172">
        <f>Statement!Q142</f>
        <v>72.888565084651674</v>
      </c>
      <c r="I38" s="172">
        <f>Statement!AC142</f>
        <v>32.048780487804876</v>
      </c>
    </row>
    <row r="39" spans="2:9" x14ac:dyDescent="0.2">
      <c r="B39" s="20" t="s">
        <v>139</v>
      </c>
      <c r="C39" s="172">
        <f>Statement!M143</f>
        <v>0</v>
      </c>
      <c r="D39" s="172">
        <f>Statement!N143</f>
        <v>0</v>
      </c>
      <c r="E39" s="172">
        <f>Statement!O143</f>
        <v>0</v>
      </c>
      <c r="F39" s="172">
        <f>Statement!P143</f>
        <v>0</v>
      </c>
      <c r="G39" s="172">
        <f>Statement!Q143</f>
        <v>0</v>
      </c>
      <c r="I39" s="172">
        <f>Statement!AC143</f>
        <v>0</v>
      </c>
    </row>
    <row r="40" spans="2:9" x14ac:dyDescent="0.2">
      <c r="B40" s="20" t="s">
        <v>140</v>
      </c>
      <c r="C40" s="172">
        <f>Statement!M144</f>
        <v>105.65789473684211</v>
      </c>
      <c r="D40" s="172">
        <f>Statement!N144</f>
        <v>77.5625</v>
      </c>
      <c r="E40" s="172">
        <f>Statement!O144</f>
        <v>71.428571428571431</v>
      </c>
      <c r="F40" s="172">
        <f>Statement!P144</f>
        <v>152.82006920415225</v>
      </c>
      <c r="G40" s="172">
        <f>Statement!Q144</f>
        <v>236.96923076923079</v>
      </c>
      <c r="I40" s="172">
        <f>Statement!AC144</f>
        <v>244.58211143695013</v>
      </c>
    </row>
    <row r="41" spans="2:9" x14ac:dyDescent="0.2">
      <c r="B41" s="20" t="s">
        <v>141</v>
      </c>
      <c r="C41" s="172">
        <f>Statement!M145</f>
        <v>-46.072851417188666</v>
      </c>
      <c r="D41" s="172">
        <f>Statement!N145</f>
        <v>-7.4795829170829222</v>
      </c>
      <c r="E41" s="172">
        <f>Statement!O145</f>
        <v>-13.262298916292004</v>
      </c>
      <c r="F41" s="172">
        <f>Statement!P145</f>
        <v>-92.810282872395604</v>
      </c>
      <c r="G41" s="172">
        <f>Statement!Q145</f>
        <v>-164.08066568457912</v>
      </c>
      <c r="I41" s="172">
        <f>Statement!AC145</f>
        <v>-212.53333094914524</v>
      </c>
    </row>
    <row r="43" spans="2:9" ht="17" thickBot="1" x14ac:dyDescent="0.25">
      <c r="B43" s="14" t="s">
        <v>255</v>
      </c>
      <c r="C43" s="14"/>
      <c r="D43" s="14"/>
      <c r="E43" s="14"/>
      <c r="F43" s="14"/>
      <c r="G43" s="14"/>
      <c r="I43" s="14"/>
    </row>
    <row r="44" spans="2:9" x14ac:dyDescent="0.2">
      <c r="B44" s="20" t="s">
        <v>256</v>
      </c>
      <c r="C44" s="178">
        <f>Statement!M146</f>
        <v>2.6855123674911661</v>
      </c>
      <c r="D44" s="178">
        <f>Statement!N146</f>
        <v>1.9921397379912664</v>
      </c>
      <c r="E44" s="178">
        <f>Statement!O146</f>
        <v>1.231266846361186</v>
      </c>
      <c r="F44" s="178">
        <f>Statement!P146</f>
        <v>0.8725677222434185</v>
      </c>
      <c r="G44" s="178">
        <f>Statement!Q146</f>
        <v>0.81543513957307057</v>
      </c>
      <c r="I44" s="178">
        <f>Statement!AC146</f>
        <v>1.028081584392551</v>
      </c>
    </row>
    <row r="45" spans="2:9" x14ac:dyDescent="0.2">
      <c r="B45" s="20" t="s">
        <v>257</v>
      </c>
      <c r="C45" s="178">
        <f>Statement!M147</f>
        <v>0.55477031802120136</v>
      </c>
      <c r="D45" s="178">
        <f>Statement!N147</f>
        <v>9.344978165938865E-2</v>
      </c>
      <c r="E45" s="178">
        <f>Statement!O147</f>
        <v>-0.10566037735849057</v>
      </c>
      <c r="F45" s="178">
        <f>Statement!P147</f>
        <v>5.1125524608927893E-2</v>
      </c>
      <c r="G45" s="178">
        <f>Statement!Q147</f>
        <v>-0.16091954022988506</v>
      </c>
      <c r="I45" s="178">
        <f>Statement!AC147</f>
        <v>-0.25982855453739284</v>
      </c>
    </row>
    <row r="46" spans="2:9" x14ac:dyDescent="0.2">
      <c r="B46" s="20" t="s">
        <v>251</v>
      </c>
      <c r="C46" s="178">
        <f>Statement!M148</f>
        <v>0.6298328760289349</v>
      </c>
      <c r="D46" s="178">
        <f>Statement!N148</f>
        <v>0.78374999999999995</v>
      </c>
      <c r="E46" s="178">
        <f>Statement!O148</f>
        <v>0.77131693863479656</v>
      </c>
      <c r="F46" s="178">
        <f>Statement!P148</f>
        <v>0.61366724907784898</v>
      </c>
      <c r="G46" s="178">
        <f>Statement!Q148</f>
        <v>0.75964187327823696</v>
      </c>
      <c r="I46" s="178">
        <f>Statement!AC148</f>
        <v>0.76056125528062768</v>
      </c>
    </row>
    <row r="47" spans="2:9" x14ac:dyDescent="0.2">
      <c r="B47" s="20" t="s">
        <v>252</v>
      </c>
      <c r="C47" s="178">
        <f>Statement!M149</f>
        <v>0.68944874033424797</v>
      </c>
      <c r="D47" s="178">
        <f>Statement!N149</f>
        <v>0.83525000000000005</v>
      </c>
      <c r="E47" s="178">
        <f>Statement!O149</f>
        <v>0.82256952424729946</v>
      </c>
      <c r="F47" s="178">
        <f>Statement!P149</f>
        <v>0.67598524558338191</v>
      </c>
      <c r="G47" s="178">
        <f>Statement!Q149</f>
        <v>0.85089531680440766</v>
      </c>
      <c r="I47" s="178">
        <f>Statement!AC149</f>
        <v>0.85546167773083892</v>
      </c>
    </row>
    <row r="48" spans="2:9" x14ac:dyDescent="0.2">
      <c r="B48" s="20" t="s">
        <v>258</v>
      </c>
      <c r="C48" s="180">
        <f>Statement!M150</f>
        <v>11.660377358490566</v>
      </c>
      <c r="D48" s="180">
        <f>Statement!N150</f>
        <v>23</v>
      </c>
      <c r="E48" s="180" t="str">
        <f>Statement!O150</f>
        <v>N/A</v>
      </c>
      <c r="F48" s="180" t="str">
        <f>Statement!P150</f>
        <v>N/A</v>
      </c>
      <c r="G48" s="180" t="str">
        <f>Statement!Q150</f>
        <v>N/A</v>
      </c>
      <c r="I48" s="180" t="str">
        <f>Statement!AC150</f>
        <v>N/A</v>
      </c>
    </row>
    <row r="50" spans="2:9" ht="17" thickBot="1" x14ac:dyDescent="0.25">
      <c r="B50" s="14" t="s">
        <v>267</v>
      </c>
      <c r="C50" s="14"/>
      <c r="D50" s="14"/>
      <c r="E50" s="14"/>
      <c r="F50" s="14"/>
      <c r="G50" s="14"/>
      <c r="I50" s="14"/>
    </row>
    <row r="51" spans="2:9" x14ac:dyDescent="0.2">
      <c r="B51" s="20" t="s">
        <v>265</v>
      </c>
      <c r="C51" s="173">
        <f>Statement!M163</f>
        <v>8.9675327274910937E-3</v>
      </c>
      <c r="D51" s="173">
        <f>Statement!N163</f>
        <v>1.7568321249302844E-2</v>
      </c>
      <c r="E51" s="173">
        <f>Statement!O163</f>
        <v>1.6508411804105436E-2</v>
      </c>
      <c r="F51" s="173">
        <f>Statement!P163</f>
        <v>1.6451913498923557E-2</v>
      </c>
      <c r="G51" s="173">
        <f>Statement!Q163</f>
        <v>2.0682564163404121E-2</v>
      </c>
      <c r="I51" s="173">
        <f ca="1">Statement!AC163</f>
        <v>3.3099254945619598E-2</v>
      </c>
    </row>
    <row r="52" spans="2:9" x14ac:dyDescent="0.2">
      <c r="B52" s="20" t="s">
        <v>268</v>
      </c>
      <c r="C52" s="173">
        <f>Statement!M162</f>
        <v>1.6616697752139194E-2</v>
      </c>
      <c r="D52" s="173">
        <f>Statement!N162</f>
        <v>2.9165408801813373E-2</v>
      </c>
      <c r="E52" s="173">
        <f>Statement!O162</f>
        <v>1.0014052506468094E-2</v>
      </c>
      <c r="F52" s="173">
        <f>Statement!P162</f>
        <v>1.2171904608398586E-2</v>
      </c>
      <c r="G52" s="173">
        <f>Statement!Q162</f>
        <v>2.9208868239126454E-2</v>
      </c>
      <c r="I52" s="173">
        <f ca="1">Statement!AC162</f>
        <v>4.277843705778963E-2</v>
      </c>
    </row>
    <row r="53" spans="2:9" x14ac:dyDescent="0.2">
      <c r="B53" s="20" t="s">
        <v>266</v>
      </c>
      <c r="C53" s="173">
        <f>Statement!M164</f>
        <v>0</v>
      </c>
      <c r="D53" s="173">
        <f>Statement!N164</f>
        <v>0</v>
      </c>
      <c r="E53" s="173">
        <f>Statement!O164</f>
        <v>0</v>
      </c>
      <c r="F53" s="173">
        <f>Statement!P164</f>
        <v>0</v>
      </c>
      <c r="G53" s="173">
        <f>Statement!Q164</f>
        <v>0</v>
      </c>
      <c r="I53" s="173">
        <f ca="1">Statement!AC164</f>
        <v>0</v>
      </c>
    </row>
    <row r="54" spans="2:9" x14ac:dyDescent="0.2">
      <c r="B54" s="20" t="s">
        <v>291</v>
      </c>
      <c r="C54" s="173">
        <f>Statement!M165</f>
        <v>1.9724330995113521E-2</v>
      </c>
      <c r="D54" s="173">
        <f>Statement!N165</f>
        <v>2.3473037347073483E-2</v>
      </c>
      <c r="E54" s="173">
        <f>Statement!O165</f>
        <v>1.4501223574940134E-2</v>
      </c>
      <c r="F54" s="173">
        <f>Statement!P165</f>
        <v>1.2616134703595615E-2</v>
      </c>
      <c r="G54" s="173">
        <f>Statement!Q165</f>
        <v>2.5787678382402576E-2</v>
      </c>
      <c r="I54" s="173">
        <f ca="1">Statement!AC165</f>
        <v>3.2440654603881458E-2</v>
      </c>
    </row>
    <row r="55" spans="2:9" x14ac:dyDescent="0.2">
      <c r="B55" s="20" t="s">
        <v>293</v>
      </c>
      <c r="C55" s="173">
        <f>Statement!M166</f>
        <v>1.9724330995113521E-2</v>
      </c>
      <c r="D55" s="173">
        <f>Statement!N166</f>
        <v>2.3473037347073483E-2</v>
      </c>
      <c r="E55" s="173">
        <f>Statement!O166</f>
        <v>1.4501223574940134E-2</v>
      </c>
      <c r="F55" s="173">
        <f>Statement!P166</f>
        <v>1.2616134703595615E-2</v>
      </c>
      <c r="G55" s="173">
        <f>Statement!Q166</f>
        <v>2.5787678382402576E-2</v>
      </c>
      <c r="I55" s="173">
        <f ca="1">Statement!AC166</f>
        <v>3.2440654603881458E-2</v>
      </c>
    </row>
    <row r="57" spans="2:9" ht="17" thickBot="1" x14ac:dyDescent="0.25">
      <c r="B57" s="14" t="s">
        <v>270</v>
      </c>
      <c r="C57" s="14"/>
      <c r="D57" s="14"/>
      <c r="E57" s="14"/>
      <c r="F57" s="14"/>
      <c r="G57" s="14"/>
      <c r="I57" s="14"/>
    </row>
    <row r="58" spans="2:9" x14ac:dyDescent="0.2">
      <c r="B58" s="20" t="s">
        <v>269</v>
      </c>
      <c r="C58" s="173">
        <f>Statement!M169</f>
        <v>0</v>
      </c>
      <c r="D58" s="173">
        <f>Statement!N169</f>
        <v>0</v>
      </c>
      <c r="E58" s="173">
        <f>Statement!O169</f>
        <v>0</v>
      </c>
      <c r="F58" s="173">
        <f>Statement!P169</f>
        <v>0</v>
      </c>
      <c r="G58" s="173">
        <f>Statement!Q169</f>
        <v>0</v>
      </c>
      <c r="I58" s="173">
        <f>Statement!AC169</f>
        <v>0</v>
      </c>
    </row>
    <row r="59" spans="2:9" x14ac:dyDescent="0.2">
      <c r="B59" s="20" t="s">
        <v>271</v>
      </c>
      <c r="C59" s="173">
        <f>Statement!M170</f>
        <v>1.187018701870187</v>
      </c>
      <c r="D59" s="173">
        <f>Statement!N170</f>
        <v>0.80482456140350878</v>
      </c>
      <c r="E59" s="173">
        <f>Statement!O170</f>
        <v>1.4480874316939891</v>
      </c>
      <c r="F59" s="173">
        <f>Statement!P170</f>
        <v>1.0364963503649636</v>
      </c>
      <c r="G59" s="173">
        <f>Statement!Q170</f>
        <v>0.88287153652392947</v>
      </c>
      <c r="I59" s="173">
        <f>Statement!AC170</f>
        <v>0.75834127740705437</v>
      </c>
    </row>
    <row r="60" spans="2:9" x14ac:dyDescent="0.2">
      <c r="B60" s="20" t="s">
        <v>272</v>
      </c>
      <c r="C60" s="173">
        <f>Statement!M171</f>
        <v>1.187018701870187</v>
      </c>
      <c r="D60" s="173">
        <f>Statement!N171</f>
        <v>0.80482456140350878</v>
      </c>
      <c r="E60" s="173">
        <f>Statement!O171</f>
        <v>1.4480874316939891</v>
      </c>
      <c r="F60" s="173">
        <f>Statement!P171</f>
        <v>1.0364963503649636</v>
      </c>
      <c r="G60" s="173">
        <f>Statement!Q171</f>
        <v>0.88287153652392947</v>
      </c>
      <c r="I60" s="173">
        <f>Statement!AC171</f>
        <v>0.75834127740705437</v>
      </c>
    </row>
    <row r="62" spans="2:9" ht="17" thickBot="1" x14ac:dyDescent="0.25">
      <c r="B62" s="14" t="s">
        <v>278</v>
      </c>
      <c r="C62" s="14"/>
      <c r="D62" s="14"/>
      <c r="E62" s="14"/>
      <c r="F62" s="14"/>
      <c r="G62" s="14"/>
      <c r="I62" s="14"/>
    </row>
    <row r="63" spans="2:9" x14ac:dyDescent="0.2">
      <c r="B63" s="20" t="s">
        <v>276</v>
      </c>
      <c r="C63" s="173">
        <f>Statement!M172</f>
        <v>4.5662100456621002E-3</v>
      </c>
      <c r="D63" s="173">
        <f>Statement!N172</f>
        <v>4.5871559633027525E-3</v>
      </c>
      <c r="E63" s="173">
        <f>Statement!O172</f>
        <v>4.6296296296296294E-3</v>
      </c>
      <c r="F63" s="173">
        <f>Statement!P172</f>
        <v>4.608294930875576E-3</v>
      </c>
      <c r="G63" s="173">
        <f>Statement!Q172</f>
        <v>4.6511627906976744E-3</v>
      </c>
      <c r="I63" s="173">
        <f>Statement!AC172</f>
        <v>4.7619047619047623E-3</v>
      </c>
    </row>
    <row r="65" spans="2:9" ht="17" thickBot="1" x14ac:dyDescent="0.25">
      <c r="B65" s="14" t="s">
        <v>284</v>
      </c>
      <c r="C65" s="14"/>
      <c r="D65" s="14"/>
      <c r="E65" s="14"/>
      <c r="F65" s="14"/>
      <c r="G65" s="14"/>
      <c r="I65" s="14"/>
    </row>
    <row r="66" spans="2:9" x14ac:dyDescent="0.2">
      <c r="B66" s="20" t="s">
        <v>277</v>
      </c>
      <c r="C66" s="172">
        <f>Statement!M173</f>
        <v>8.3364055299539164</v>
      </c>
      <c r="D66" s="172">
        <f>Statement!N173</f>
        <v>10.064814814814815</v>
      </c>
      <c r="E66" s="172">
        <f>Statement!O173</f>
        <v>11.588785046728972</v>
      </c>
      <c r="F66" s="172">
        <f>Statement!P173</f>
        <v>10.013953488372094</v>
      </c>
      <c r="G66" s="172">
        <f>Statement!Q173</f>
        <v>13.95774647887324</v>
      </c>
      <c r="I66" s="172">
        <f>Statement!AC173</f>
        <v>20.846889952153109</v>
      </c>
    </row>
    <row r="67" spans="2:9" x14ac:dyDescent="0.2">
      <c r="B67" s="20" t="s">
        <v>285</v>
      </c>
      <c r="C67" s="172">
        <f>Statement!M176</f>
        <v>-2.1705069124423964</v>
      </c>
      <c r="D67" s="172">
        <f>Statement!N176</f>
        <v>-0.49537037037037035</v>
      </c>
      <c r="E67" s="172">
        <f>Statement!O176</f>
        <v>0.91588785046728971</v>
      </c>
      <c r="F67" s="172">
        <f>Statement!P176</f>
        <v>-0.62325581395348839</v>
      </c>
      <c r="G67" s="172">
        <f>Statement!Q176</f>
        <v>2.300469483568075</v>
      </c>
      <c r="I67" s="172">
        <f>Statement!AC176</f>
        <v>4.205741626794258</v>
      </c>
    </row>
    <row r="68" spans="2:9" x14ac:dyDescent="0.2">
      <c r="B68" s="20" t="s">
        <v>290</v>
      </c>
      <c r="C68" s="194">
        <f>Statement!M177</f>
        <v>-8.6099721025935765E-3</v>
      </c>
      <c r="D68" s="194">
        <f>Statement!N177</f>
        <v>-2.2812125305511923E-3</v>
      </c>
      <c r="E68" s="194">
        <f>Statement!O177</f>
        <v>3.5751444285386999E-3</v>
      </c>
      <c r="F68" s="194">
        <f>Statement!P177</f>
        <v>-1.9842277585467283E-3</v>
      </c>
      <c r="G68" s="194">
        <f>Statement!Q177</f>
        <v>9.0128119881435539E-3</v>
      </c>
      <c r="I68" s="194">
        <f ca="1">Statement!AC177</f>
        <v>1.7922900940799374E-2</v>
      </c>
    </row>
    <row r="70" spans="2:9" ht="17" thickBot="1" x14ac:dyDescent="0.25">
      <c r="B70" s="14" t="s">
        <v>305</v>
      </c>
      <c r="C70" s="14"/>
      <c r="D70" s="14"/>
      <c r="E70" s="14"/>
      <c r="F70" s="14"/>
      <c r="G70" s="14"/>
      <c r="I70" s="14"/>
    </row>
    <row r="71" spans="2:9" x14ac:dyDescent="0.2">
      <c r="B71" s="20" t="s">
        <v>279</v>
      </c>
      <c r="C71" s="173">
        <f>Statement!M174</f>
        <v>0.36250816459830176</v>
      </c>
      <c r="D71" s="173">
        <f>Statement!N174</f>
        <v>0.31723804925156929</v>
      </c>
      <c r="E71" s="173">
        <f>Statement!O174</f>
        <v>0.53541507996953541</v>
      </c>
      <c r="F71" s="173">
        <f>Statement!P174</f>
        <v>0.42501555693839455</v>
      </c>
      <c r="G71" s="173">
        <f>Statement!Q174</f>
        <v>0.32137030995106036</v>
      </c>
      <c r="I71" s="173">
        <f>Statement!AC174</f>
        <v>0.24378453038674033</v>
      </c>
    </row>
    <row r="72" spans="2:9" x14ac:dyDescent="0.2">
      <c r="B72" s="20" t="s">
        <v>280</v>
      </c>
      <c r="C72" s="173">
        <f>Statement!M175</f>
        <v>0.12653898768809849</v>
      </c>
      <c r="D72" s="173">
        <f>Statement!N175</f>
        <v>0.13126873126873126</v>
      </c>
      <c r="E72" s="173">
        <f>Statement!O175</f>
        <v>0.12788793887575042</v>
      </c>
      <c r="F72" s="173">
        <f>Statement!P175</f>
        <v>0.11140107649649324</v>
      </c>
      <c r="G72" s="173">
        <f>Statement!Q175</f>
        <v>0.10935331668054399</v>
      </c>
      <c r="I72" s="173">
        <f>Statement!AC175</f>
        <v>9.0629011553273423E-2</v>
      </c>
    </row>
    <row r="74" spans="2:9" ht="17" thickBot="1" x14ac:dyDescent="0.25">
      <c r="B74" s="14" t="s">
        <v>306</v>
      </c>
      <c r="C74" s="14"/>
      <c r="D74" s="14"/>
      <c r="E74" s="14"/>
      <c r="F74" s="14"/>
      <c r="G74" s="14"/>
      <c r="I74" s="14"/>
    </row>
    <row r="75" spans="2:9" x14ac:dyDescent="0.2">
      <c r="B75" s="20" t="s">
        <v>303</v>
      </c>
      <c r="C75" s="173">
        <f>Statement!M178</f>
        <v>1.5275877792977656E-2</v>
      </c>
      <c r="D75" s="173">
        <f>Statement!N178</f>
        <v>9.1908091908091908E-3</v>
      </c>
      <c r="E75" s="173">
        <f>Statement!O178</f>
        <v>1.1096961979261416E-2</v>
      </c>
      <c r="F75" s="173">
        <f>Statement!P178</f>
        <v>1.6636763986299135E-2</v>
      </c>
      <c r="G75" s="173">
        <f>Statement!Q178</f>
        <v>1.0546766583402719E-2</v>
      </c>
      <c r="I75" s="173">
        <f>Statement!AC178</f>
        <v>1.1810012836970476E-2</v>
      </c>
    </row>
    <row r="76" spans="2:9" x14ac:dyDescent="0.2">
      <c r="B76" s="20" t="s">
        <v>300</v>
      </c>
      <c r="C76" s="173">
        <f>Statement!M179</f>
        <v>4.3762246897452645E-2</v>
      </c>
      <c r="D76" s="173">
        <f>Statement!N179</f>
        <v>2.221149203283438E-2</v>
      </c>
      <c r="E76" s="173">
        <f>Statement!O179</f>
        <v>4.6458492003046456E-2</v>
      </c>
      <c r="F76" s="173">
        <f>Statement!P179</f>
        <v>6.3472308649657749E-2</v>
      </c>
      <c r="G76" s="173">
        <f>Statement!Q179</f>
        <v>3.0995106035889071E-2</v>
      </c>
      <c r="I76" s="173">
        <f>Statement!AC179</f>
        <v>3.1767955801104975E-2</v>
      </c>
    </row>
    <row r="77" spans="2:9" x14ac:dyDescent="0.2">
      <c r="B77" s="20" t="s">
        <v>301</v>
      </c>
      <c r="C77" s="173">
        <f>Statement!M180</f>
        <v>0.45270270270270269</v>
      </c>
      <c r="D77" s="173">
        <f>Statement!N180</f>
        <v>0.30666666666666664</v>
      </c>
      <c r="E77" s="173">
        <f>Statement!O180</f>
        <v>0.43884892086330934</v>
      </c>
      <c r="F77" s="173">
        <f>Statement!P180</f>
        <v>0.56666666666666665</v>
      </c>
      <c r="G77" s="173">
        <f>Statement!Q180</f>
        <v>0.38974358974358975</v>
      </c>
      <c r="I77" s="173">
        <f>Statement!AC180</f>
        <v>0.45771144278606968</v>
      </c>
    </row>
    <row r="79" spans="2:9" ht="17" thickBot="1" x14ac:dyDescent="0.25">
      <c r="B79" s="14" t="s">
        <v>121</v>
      </c>
      <c r="C79" s="14"/>
      <c r="D79" s="14"/>
      <c r="E79" s="14"/>
      <c r="F79" s="14"/>
      <c r="G79" s="14"/>
      <c r="I79" s="14"/>
    </row>
    <row r="80" spans="2:9" x14ac:dyDescent="0.2">
      <c r="B80" s="20" t="s">
        <v>19</v>
      </c>
      <c r="C80" s="173">
        <f>Statement!M90</f>
        <v>1</v>
      </c>
      <c r="D80" s="173">
        <f>Statement!N90</f>
        <v>0.14113087095303237</v>
      </c>
      <c r="E80" s="173">
        <f>Statement!O90</f>
        <v>9.8301698301698298E-2</v>
      </c>
      <c r="F80" s="173">
        <f>Statement!P90</f>
        <v>0.11533563762052028</v>
      </c>
      <c r="G80" s="173">
        <f>Statement!Q90</f>
        <v>0.17533844397325068</v>
      </c>
      <c r="I80" s="195"/>
    </row>
    <row r="81" spans="2:9" x14ac:dyDescent="0.2">
      <c r="B81" s="20" t="s">
        <v>20</v>
      </c>
      <c r="C81" s="173">
        <f>Statement!M91</f>
        <v>1</v>
      </c>
      <c r="D81" s="173">
        <f>Statement!N91</f>
        <v>0.14832535885167464</v>
      </c>
      <c r="E81" s="173">
        <f>Statement!O91</f>
        <v>6.458333333333334E-2</v>
      </c>
      <c r="F81" s="173">
        <f>Statement!P91</f>
        <v>0.13111545988258316</v>
      </c>
      <c r="G81" s="173">
        <f>Statement!Q91</f>
        <v>0.1245674740484429</v>
      </c>
      <c r="I81" s="195"/>
    </row>
    <row r="82" spans="2:9" x14ac:dyDescent="0.2">
      <c r="B82" s="20" t="s">
        <v>21</v>
      </c>
      <c r="C82" s="173">
        <f>Statement!M92</f>
        <v>1</v>
      </c>
      <c r="D82" s="173">
        <f>Statement!N92</f>
        <v>0.14037298387096775</v>
      </c>
      <c r="E82" s="173">
        <f>Statement!O92</f>
        <v>0.10187845303867403</v>
      </c>
      <c r="F82" s="173">
        <f>Statement!P92</f>
        <v>0.11371841155234658</v>
      </c>
      <c r="G82" s="173">
        <f>Statement!Q92</f>
        <v>0.18062308661984514</v>
      </c>
      <c r="I82" s="195"/>
    </row>
    <row r="83" spans="2:9" x14ac:dyDescent="0.2">
      <c r="B83" s="20" t="s">
        <v>25</v>
      </c>
      <c r="C83" s="173">
        <f>Statement!M96</f>
        <v>1</v>
      </c>
      <c r="D83" s="173">
        <f>Statement!N96</f>
        <v>5.5522388059701493E-2</v>
      </c>
      <c r="E83" s="173">
        <f>Statement!O96</f>
        <v>9.1063348416289588E-2</v>
      </c>
      <c r="F83" s="173">
        <f>Statement!P96</f>
        <v>8.8387765681700356E-2</v>
      </c>
      <c r="G83" s="173">
        <f>Statement!Q96</f>
        <v>0.18552036199095023</v>
      </c>
      <c r="I83" s="195"/>
    </row>
    <row r="84" spans="2:9" x14ac:dyDescent="0.2">
      <c r="B84" s="20" t="s">
        <v>307</v>
      </c>
      <c r="C84" s="173">
        <f>Statement!M97</f>
        <v>1</v>
      </c>
      <c r="D84" s="173">
        <f>Statement!N97</f>
        <v>0.60032362459546929</v>
      </c>
      <c r="E84" s="173">
        <f>Statement!O97</f>
        <v>0.14054600606673406</v>
      </c>
      <c r="F84" s="173">
        <f>Statement!P97</f>
        <v>0.20035460992907803</v>
      </c>
      <c r="G84" s="173">
        <f>Statement!Q97</f>
        <v>0.16543574593796159</v>
      </c>
      <c r="I84" s="195"/>
    </row>
    <row r="85" spans="2:9" x14ac:dyDescent="0.2">
      <c r="B85" s="20" t="s">
        <v>308</v>
      </c>
      <c r="C85" s="173">
        <f>Statement!M99</f>
        <v>1</v>
      </c>
      <c r="D85" s="173">
        <f>Statement!N99</f>
        <v>0.65593561368209252</v>
      </c>
      <c r="E85" s="173">
        <f>Statement!O99</f>
        <v>0.10085054678007291</v>
      </c>
      <c r="F85" s="173">
        <f>Statement!P99</f>
        <v>0.22737306843267108</v>
      </c>
      <c r="G85" s="173">
        <f>Statement!Q99</f>
        <v>1.0791366906474821E-2</v>
      </c>
      <c r="I85" s="195"/>
    </row>
    <row r="88" spans="2:9" ht="17" thickBot="1" x14ac:dyDescent="0.25">
      <c r="B88" s="14" t="s">
        <v>309</v>
      </c>
      <c r="C88" s="14"/>
      <c r="D88" s="14"/>
      <c r="E88" s="14"/>
      <c r="F88" s="14"/>
      <c r="G88" s="14"/>
      <c r="I88" s="14"/>
    </row>
    <row r="89" spans="2:9" x14ac:dyDescent="0.2">
      <c r="B89" s="20" t="str">
        <f>Statement!B188</f>
        <v>Subscription</v>
      </c>
      <c r="C89" s="173">
        <f>Statement!M203</f>
        <v>1</v>
      </c>
      <c r="D89" s="173">
        <f>Statement!N203</f>
        <v>0.14023210831721469</v>
      </c>
      <c r="E89" s="173">
        <f>Statement!O203</f>
        <v>9.6268023748939779E-2</v>
      </c>
      <c r="F89" s="173">
        <f>Statement!P203</f>
        <v>0.1137330754352031</v>
      </c>
      <c r="G89" s="173">
        <f>Statement!Q203</f>
        <v>0.17679749913164294</v>
      </c>
      <c r="I89" s="195"/>
    </row>
    <row r="90" spans="2:9" x14ac:dyDescent="0.2">
      <c r="B90" s="20" t="str">
        <f>Statement!B189</f>
        <v>Other</v>
      </c>
      <c r="C90" s="173">
        <f>Statement!M204</f>
        <v>1</v>
      </c>
      <c r="D90" s="173">
        <f>Statement!N204</f>
        <v>0.156</v>
      </c>
      <c r="E90" s="173">
        <f>Statement!O204</f>
        <v>0.13148788927335639</v>
      </c>
      <c r="F90" s="173">
        <f>Statement!P204</f>
        <v>0.14067278287461774</v>
      </c>
      <c r="G90" s="173">
        <f>Statement!Q204</f>
        <v>0.15281501340482573</v>
      </c>
      <c r="I90" s="195"/>
    </row>
    <row r="92" spans="2:9" ht="17" thickBot="1" x14ac:dyDescent="0.25">
      <c r="B92" s="14" t="s">
        <v>311</v>
      </c>
      <c r="C92" s="14"/>
      <c r="D92" s="14"/>
      <c r="E92" s="14"/>
      <c r="F92" s="14"/>
      <c r="G92" s="14"/>
      <c r="I92" s="14"/>
    </row>
    <row r="93" spans="2:9" x14ac:dyDescent="0.2">
      <c r="B93" s="20" t="s">
        <v>283</v>
      </c>
      <c r="C93" s="173">
        <f>Statement!M214</f>
        <v>0</v>
      </c>
      <c r="D93" s="173">
        <f>Statement!N214</f>
        <v>0</v>
      </c>
      <c r="E93" s="173">
        <f>Statement!O214</f>
        <v>0</v>
      </c>
      <c r="F93" s="173">
        <f>Statement!P214</f>
        <v>0</v>
      </c>
      <c r="G93" s="173">
        <f>Statement!Q214</f>
        <v>0</v>
      </c>
      <c r="I93" s="19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38"/>
  <sheetViews>
    <sheetView topLeftCell="A27" zoomScale="180" workbookViewId="0">
      <selection activeCell="I30" sqref="I30"/>
    </sheetView>
  </sheetViews>
  <sheetFormatPr baseColWidth="10" defaultRowHeight="16" x14ac:dyDescent="0.2"/>
  <cols>
    <col min="1" max="1" width="3.6640625" style="1" customWidth="1"/>
    <col min="2" max="2" width="25.8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45" t="s">
        <v>312</v>
      </c>
      <c r="D3" s="246"/>
      <c r="F3" s="247" t="s">
        <v>313</v>
      </c>
      <c r="G3" s="246"/>
    </row>
    <row r="4" spans="2:7" x14ac:dyDescent="0.2">
      <c r="B4" s="8"/>
      <c r="C4" s="10" t="str">
        <f>Statement!Z2</f>
        <v>30.04.2026</v>
      </c>
      <c r="D4" s="201" t="str">
        <f>Statement!AA2</f>
        <v>31.07.2026</v>
      </c>
      <c r="F4" s="202" t="str">
        <f>Statement!W2</f>
        <v>31.07.2025</v>
      </c>
      <c r="G4" s="201" t="str">
        <f>Statement!AA2</f>
        <v>31.07.2026</v>
      </c>
    </row>
    <row r="5" spans="2:7" x14ac:dyDescent="0.2">
      <c r="B5" s="8" t="s">
        <v>318</v>
      </c>
      <c r="C5" s="10" t="str">
        <f>Statement!Z3</f>
        <v>Q1 2027</v>
      </c>
      <c r="D5" s="201" t="str">
        <f>Statement!AA3</f>
        <v>Q2 2027</v>
      </c>
      <c r="F5" s="202" t="str">
        <f>Statement!W3</f>
        <v>Q2 2026</v>
      </c>
      <c r="G5" s="201" t="str">
        <f>Statement!AA3</f>
        <v>Q2 2027</v>
      </c>
    </row>
    <row r="6" spans="2:7" x14ac:dyDescent="0.2">
      <c r="B6" s="203" t="s">
        <v>19</v>
      </c>
      <c r="C6" s="197">
        <f>Statement!Z5</f>
        <v>1934</v>
      </c>
      <c r="D6" s="196">
        <f>Statement!AA5</f>
        <v>2046</v>
      </c>
      <c r="F6" s="197">
        <f>Statement!W5</f>
        <v>1763</v>
      </c>
      <c r="G6" s="196">
        <f>Statement!AA5</f>
        <v>2046</v>
      </c>
    </row>
    <row r="7" spans="2:7" x14ac:dyDescent="0.2">
      <c r="B7" s="204" t="s">
        <v>314</v>
      </c>
      <c r="C7" s="243">
        <f>Statement!AA90</f>
        <v>5.7911065149948295E-2</v>
      </c>
      <c r="D7" s="244"/>
      <c r="F7" s="243">
        <f>IF(F6=0,
IF(G6=0,0,IF(G6&gt;0,1,-1)),
(G6-F6)/ABS(F6)
)</f>
        <v>0.1605218377765173</v>
      </c>
      <c r="G7" s="244"/>
    </row>
    <row r="8" spans="2:7" x14ac:dyDescent="0.2">
      <c r="B8" s="205" t="s">
        <v>20</v>
      </c>
      <c r="C8" s="198">
        <f>Statement!Z6</f>
        <v>175</v>
      </c>
      <c r="D8" s="196">
        <f>Statement!AA6</f>
        <v>176</v>
      </c>
      <c r="F8" s="198">
        <f>Statement!W6</f>
        <v>159</v>
      </c>
      <c r="G8" s="196">
        <f>Statement!AA6</f>
        <v>176</v>
      </c>
    </row>
    <row r="9" spans="2:7" x14ac:dyDescent="0.2">
      <c r="B9" s="204" t="s">
        <v>314</v>
      </c>
      <c r="C9" s="243">
        <f>Statement!AA91</f>
        <v>5.7142857142857143E-3</v>
      </c>
      <c r="D9" s="244"/>
      <c r="F9" s="243">
        <f>IF(F8=0,
IF(G8=0,0,IF(G8&gt;0,1,-1)),
(G8-F8)/ABS(F8)
)</f>
        <v>0.1069182389937107</v>
      </c>
      <c r="G9" s="244"/>
    </row>
    <row r="10" spans="2:7" x14ac:dyDescent="0.2">
      <c r="B10" s="205" t="s">
        <v>21</v>
      </c>
      <c r="C10" s="198">
        <f>Statement!Z7</f>
        <v>1759</v>
      </c>
      <c r="D10" s="196">
        <f>Statement!AA7</f>
        <v>1870</v>
      </c>
      <c r="F10" s="198">
        <f>Statement!W7</f>
        <v>1604</v>
      </c>
      <c r="G10" s="196">
        <f>Statement!AA7</f>
        <v>1870</v>
      </c>
    </row>
    <row r="11" spans="2:7" x14ac:dyDescent="0.2">
      <c r="B11" s="204" t="s">
        <v>314</v>
      </c>
      <c r="C11" s="243">
        <f>Statement!AA92</f>
        <v>6.3104036384309267E-2</v>
      </c>
      <c r="D11" s="244"/>
      <c r="F11" s="243">
        <f>IF(F10=0,
IF(G10=0,0,IF(G10&gt;0,1,-1)),
(G10-F10)/ABS(F10)
)</f>
        <v>0.16583541147132169</v>
      </c>
      <c r="G11" s="244"/>
    </row>
    <row r="12" spans="2:7" x14ac:dyDescent="0.2">
      <c r="B12" s="205" t="s">
        <v>25</v>
      </c>
      <c r="C12" s="198">
        <f>Statement!Z12</f>
        <v>1218</v>
      </c>
      <c r="D12" s="196">
        <f>Statement!AA12</f>
        <v>1271</v>
      </c>
      <c r="F12" s="198">
        <f>Statement!W12</f>
        <v>1160</v>
      </c>
      <c r="G12" s="196">
        <f>Statement!AA12</f>
        <v>1271</v>
      </c>
    </row>
    <row r="13" spans="2:7" x14ac:dyDescent="0.2">
      <c r="B13" s="204" t="s">
        <v>314</v>
      </c>
      <c r="C13" s="243">
        <f>Statement!AA96</f>
        <v>4.3513957307060758E-2</v>
      </c>
      <c r="D13" s="244"/>
      <c r="F13" s="243">
        <f>IF(F12=0,
IF(G12=0,0,IF(G12&gt;0,1,-1)),
(G12-F12)/ABS(F12)
)</f>
        <v>9.568965517241379E-2</v>
      </c>
      <c r="G13" s="244"/>
    </row>
    <row r="14" spans="2:7" x14ac:dyDescent="0.2">
      <c r="B14" s="205" t="s">
        <v>315</v>
      </c>
      <c r="C14" s="198">
        <f>Statement!Z13</f>
        <v>541</v>
      </c>
      <c r="D14" s="196">
        <f>Statement!AA13</f>
        <v>599</v>
      </c>
      <c r="F14" s="198">
        <f>Statement!W13</f>
        <v>444</v>
      </c>
      <c r="G14" s="196">
        <f>Statement!AA13</f>
        <v>599</v>
      </c>
    </row>
    <row r="15" spans="2:7" x14ac:dyDescent="0.2">
      <c r="B15" s="204" t="s">
        <v>314</v>
      </c>
      <c r="C15" s="243">
        <f>Statement!AA97</f>
        <v>0.10720887245841035</v>
      </c>
      <c r="D15" s="244"/>
      <c r="F15" s="243">
        <f>IF(F14=0,
IF(G14=0,0,IF(G14&gt;0,1,-1)),
(G14-F14)/ABS(F14)
)</f>
        <v>0.34909909909909909</v>
      </c>
      <c r="G15" s="244"/>
    </row>
    <row r="16" spans="2:7" x14ac:dyDescent="0.2">
      <c r="B16" s="205" t="s">
        <v>31</v>
      </c>
      <c r="C16" s="198">
        <f>Statement!Z19</f>
        <v>491</v>
      </c>
      <c r="D16" s="196">
        <f>Statement!AA19</f>
        <v>492</v>
      </c>
      <c r="F16" s="198">
        <f>Statement!W19</f>
        <v>313</v>
      </c>
      <c r="G16" s="196">
        <f>Statement!AA19</f>
        <v>492</v>
      </c>
    </row>
    <row r="17" spans="2:7" x14ac:dyDescent="0.2">
      <c r="B17" s="204" t="s">
        <v>314</v>
      </c>
      <c r="C17" s="243">
        <f>Statement!AA99</f>
        <v>2.0366598778004071E-3</v>
      </c>
      <c r="D17" s="244"/>
      <c r="F17" s="243">
        <f>IF(F16=0,
IF(G16=0,0,IF(G16&gt;0,1,-1)),
(G16-F16)/ABS(F16)
)</f>
        <v>0.5718849840255591</v>
      </c>
      <c r="G17" s="244"/>
    </row>
    <row r="18" spans="2:7" x14ac:dyDescent="0.2">
      <c r="B18" s="205" t="s">
        <v>316</v>
      </c>
      <c r="C18" s="198">
        <f>Statement!Z23</f>
        <v>212</v>
      </c>
      <c r="D18" s="196">
        <f>Statement!AA23</f>
        <v>211</v>
      </c>
      <c r="F18" s="198">
        <f>Statement!W23</f>
        <v>215</v>
      </c>
      <c r="G18" s="196">
        <f>Statement!AA23</f>
        <v>211</v>
      </c>
    </row>
    <row r="19" spans="2:7" x14ac:dyDescent="0.2">
      <c r="B19" s="204" t="s">
        <v>314</v>
      </c>
      <c r="C19" s="243">
        <f>IF(C18=0,
IF(D18=0,0,IF(D18&gt;0,1,-1)),
(D18-C18)/ABS(C18)
)</f>
        <v>-4.7169811320754715E-3</v>
      </c>
      <c r="D19" s="244"/>
      <c r="F19" s="243">
        <f>IF(F18=0,
IF(G18=0,0,IF(G18&gt;0,1,-1)),
(G18-F18)/ABS(F18)
)</f>
        <v>-1.8604651162790697E-2</v>
      </c>
      <c r="G19" s="244"/>
    </row>
    <row r="20" spans="2:7" x14ac:dyDescent="0.2">
      <c r="B20" s="205" t="s">
        <v>38</v>
      </c>
      <c r="C20" s="199">
        <f>Statement!Z27</f>
        <v>2.3199999999999998</v>
      </c>
      <c r="D20" s="200">
        <f>Statement!AA27</f>
        <v>2.33</v>
      </c>
      <c r="F20" s="199">
        <f>Statement!W27</f>
        <v>1.46</v>
      </c>
      <c r="G20" s="200">
        <f>Statement!AA27</f>
        <v>2.33</v>
      </c>
    </row>
    <row r="21" spans="2:7" x14ac:dyDescent="0.2">
      <c r="B21" s="204" t="s">
        <v>314</v>
      </c>
      <c r="C21" s="243">
        <f>IF(C20=0,
IF(D20=0,0,IF(D20&gt;0,1,-1)),
(D20-C20)/ABS(C20)
)</f>
        <v>4.3103448275863066E-3</v>
      </c>
      <c r="D21" s="244"/>
      <c r="F21" s="243">
        <f>IF(F20=0,
IF(G20=0,0,IF(G20&gt;0,1,-1)),
(G20-F20)/ABS(F20)
)</f>
        <v>0.59589041095890416</v>
      </c>
      <c r="G21" s="244"/>
    </row>
    <row r="23" spans="2:7" x14ac:dyDescent="0.2">
      <c r="B23" s="8" t="s">
        <v>317</v>
      </c>
      <c r="C23" s="10" t="str">
        <f>C5</f>
        <v>Q1 2027</v>
      </c>
      <c r="D23" s="201" t="str">
        <f>D5</f>
        <v>Q2 2027</v>
      </c>
      <c r="F23" s="202" t="str">
        <f>F5</f>
        <v>Q2 2026</v>
      </c>
      <c r="G23" s="201" t="str">
        <f>G5</f>
        <v>Q2 2027</v>
      </c>
    </row>
    <row r="24" spans="2:7" x14ac:dyDescent="0.2">
      <c r="B24" s="20" t="str">
        <f>Statement!B188</f>
        <v>Subscription</v>
      </c>
      <c r="C24" s="198">
        <f>Statement!Z188</f>
        <v>1836</v>
      </c>
      <c r="D24" s="196">
        <f>Statement!AA188</f>
        <v>1952</v>
      </c>
      <c r="F24" s="198">
        <f>Statement!W188</f>
        <v>1667</v>
      </c>
      <c r="G24" s="196">
        <f>Statement!AA188</f>
        <v>1952</v>
      </c>
    </row>
    <row r="25" spans="2:7" x14ac:dyDescent="0.2">
      <c r="B25" s="204" t="s">
        <v>314</v>
      </c>
      <c r="C25" s="243">
        <f>IF(C24=0,
IF(D24=0,0,IF(D24&gt;0,1,-1)),
(D24-C24)/ABS(C24)
)</f>
        <v>6.3180827886710242E-2</v>
      </c>
      <c r="D25" s="244"/>
      <c r="F25" s="243">
        <f>IF(F24=0,
IF(G24=0,0,IF(G24&gt;0,1,-1)),
(G24-F24)/ABS(F24)
)</f>
        <v>0.17096580683863227</v>
      </c>
      <c r="G25" s="244"/>
    </row>
    <row r="26" spans="2:7" x14ac:dyDescent="0.2">
      <c r="B26" s="20" t="str">
        <f>Statement!B189</f>
        <v>Other</v>
      </c>
      <c r="C26" s="198">
        <f>Statement!Z189</f>
        <v>98</v>
      </c>
      <c r="D26" s="196">
        <f>Statement!AA189</f>
        <v>94</v>
      </c>
      <c r="F26" s="198">
        <f>Statement!W189</f>
        <v>96</v>
      </c>
      <c r="G26" s="196">
        <f>Statement!AA189</f>
        <v>94</v>
      </c>
    </row>
    <row r="27" spans="2:7" x14ac:dyDescent="0.2">
      <c r="B27" s="204" t="s">
        <v>314</v>
      </c>
      <c r="C27" s="243">
        <f>IF(C26=0,
IF(D26=0,0,IF(D26&gt;0,1,-1)),
(D26-C26)/ABS(C26)
)</f>
        <v>-4.0816326530612242E-2</v>
      </c>
      <c r="D27" s="244"/>
      <c r="F27" s="243">
        <f>IF(F26=0,
IF(G26=0,0,IF(G26&gt;0,1,-1)),
(G26-F26)/ABS(F26)
)</f>
        <v>-2.0833333333333332E-2</v>
      </c>
      <c r="G27" s="244"/>
    </row>
    <row r="29" spans="2:7" x14ac:dyDescent="0.2">
      <c r="B29" s="205" t="str">
        <f>Statement!B195</f>
        <v>AECO</v>
      </c>
      <c r="C29" s="198">
        <f>Statement!Z195</f>
        <v>970</v>
      </c>
      <c r="D29" s="198">
        <f>Statement!AA195</f>
        <v>1029</v>
      </c>
      <c r="F29" s="198">
        <f>Statement!W195</f>
        <v>878</v>
      </c>
      <c r="G29" s="198">
        <f>Statement!AA195</f>
        <v>1029</v>
      </c>
    </row>
    <row r="30" spans="2:7" x14ac:dyDescent="0.2">
      <c r="B30" s="204" t="s">
        <v>314</v>
      </c>
      <c r="C30" s="243">
        <f>IF(C29=0,
IF(D29=0,0,IF(D29&gt;0,1,-1)),
(D29-C29)/ABS(C29)
)</f>
        <v>6.0824742268041236E-2</v>
      </c>
      <c r="D30" s="244"/>
      <c r="F30" s="243">
        <f>IF(F29=0,
IF(G29=0,0,IF(G29&gt;0,1,-1)),
(G29-F29)/ABS(F29)
)</f>
        <v>0.17198177676537585</v>
      </c>
      <c r="G30" s="244"/>
    </row>
    <row r="31" spans="2:7" x14ac:dyDescent="0.2">
      <c r="B31" s="20" t="str">
        <f>Statement!B196</f>
        <v>AutoCAD and AutoCAD LT</v>
      </c>
      <c r="C31" s="198">
        <f>Statement!Z196</f>
        <v>474</v>
      </c>
      <c r="D31" s="198">
        <f>Statement!AA196</f>
        <v>500</v>
      </c>
      <c r="F31" s="198">
        <f>Statement!W196</f>
        <v>440</v>
      </c>
      <c r="G31" s="196">
        <f>Statement!AA196</f>
        <v>500</v>
      </c>
    </row>
    <row r="32" spans="2:7" x14ac:dyDescent="0.2">
      <c r="B32" s="204" t="s">
        <v>314</v>
      </c>
      <c r="C32" s="243">
        <f>IF(C31=0,
IF(D31=0,0,IF(D31&gt;0,1,-1)),
(D31-C31)/ABS(C31)
)</f>
        <v>5.4852320675105488E-2</v>
      </c>
      <c r="D32" s="244"/>
      <c r="F32" s="243">
        <f>IF(F31=0,
IF(G31=0,0,IF(G31&gt;0,1,-1)),
(G31-F31)/ABS(F31)
)</f>
        <v>0.13636363636363635</v>
      </c>
      <c r="G32" s="244"/>
    </row>
    <row r="33" spans="2:7" x14ac:dyDescent="0.2">
      <c r="B33" s="20" t="str">
        <f>Statement!B197</f>
        <v>Manufacturing</v>
      </c>
      <c r="C33" s="198">
        <f>Statement!Z197</f>
        <v>367</v>
      </c>
      <c r="D33" s="198">
        <f>Statement!AA197</f>
        <v>385</v>
      </c>
      <c r="F33" s="198">
        <f>Statement!W197</f>
        <v>334</v>
      </c>
      <c r="G33" s="196">
        <f>Statement!AA197</f>
        <v>385</v>
      </c>
    </row>
    <row r="34" spans="2:7" x14ac:dyDescent="0.2">
      <c r="B34" s="204" t="s">
        <v>314</v>
      </c>
      <c r="C34" s="243">
        <f>IF(C33=0,
IF(D33=0,0,IF(D33&gt;0,1,-1)),
(D33-C33)/ABS(C33)
)</f>
        <v>4.9046321525885561E-2</v>
      </c>
      <c r="D34" s="244"/>
      <c r="F34" s="243">
        <f>IF(F33=0,
IF(G33=0,0,IF(G33&gt;0,1,-1)),
(G33-F33)/ABS(F33)
)</f>
        <v>0.15269461077844312</v>
      </c>
      <c r="G34" s="244"/>
    </row>
    <row r="35" spans="2:7" x14ac:dyDescent="0.2">
      <c r="B35" s="20" t="str">
        <f>Statement!B198</f>
        <v>Media and Entertainment</v>
      </c>
      <c r="C35" s="198">
        <f>Statement!Z198</f>
        <v>86</v>
      </c>
      <c r="D35" s="198">
        <f>Statement!AA198</f>
        <v>92</v>
      </c>
      <c r="F35" s="198">
        <f>Statement!W198</f>
        <v>80</v>
      </c>
      <c r="G35" s="196">
        <f>Statement!AA198</f>
        <v>92</v>
      </c>
    </row>
    <row r="36" spans="2:7" x14ac:dyDescent="0.2">
      <c r="B36" s="204" t="s">
        <v>314</v>
      </c>
      <c r="C36" s="243">
        <f>IF(C35=0,
IF(D35=0,0,IF(D35&gt;0,1,-1)),
(D35-C35)/ABS(C35)
)</f>
        <v>6.9767441860465115E-2</v>
      </c>
      <c r="D36" s="244"/>
      <c r="F36" s="243">
        <f>IF(F35=0,
IF(G35=0,0,IF(G35&gt;0,1,-1)),
(G35-F35)/ABS(F35)
)</f>
        <v>0.15</v>
      </c>
      <c r="G36" s="244"/>
    </row>
    <row r="37" spans="2:7" x14ac:dyDescent="0.2">
      <c r="B37" s="20" t="str">
        <f>Statement!B199</f>
        <v>Other</v>
      </c>
      <c r="C37" s="198">
        <f>Statement!Z199</f>
        <v>37</v>
      </c>
      <c r="D37" s="198">
        <f>Statement!AA199</f>
        <v>40</v>
      </c>
      <c r="F37" s="198">
        <f>Statement!W199</f>
        <v>31</v>
      </c>
      <c r="G37" s="196">
        <f>Statement!AA199</f>
        <v>40</v>
      </c>
    </row>
    <row r="38" spans="2:7" x14ac:dyDescent="0.2">
      <c r="B38" s="204" t="s">
        <v>314</v>
      </c>
      <c r="C38" s="243">
        <f>IF(C37=0,
IF(D37=0,0,IF(D37&gt;0,1,-1)),
(D37-C37)/ABS(C37)
)</f>
        <v>8.1081081081081086E-2</v>
      </c>
      <c r="D38" s="244"/>
      <c r="F38" s="243">
        <f>IF(F37=0,
IF(G37=0,0,IF(G37&gt;0,1,-1)),
(G37-F37)/ABS(F37)
)</f>
        <v>0.29032258064516131</v>
      </c>
      <c r="G38" s="244"/>
    </row>
  </sheetData>
  <mergeCells count="32">
    <mergeCell ref="C25:D25"/>
    <mergeCell ref="F25:G25"/>
    <mergeCell ref="C27:D27"/>
    <mergeCell ref="F27:G27"/>
    <mergeCell ref="C30:D30"/>
    <mergeCell ref="F30:G30"/>
    <mergeCell ref="C17:D17"/>
    <mergeCell ref="F17:G17"/>
    <mergeCell ref="F19:G19"/>
    <mergeCell ref="C19:D19"/>
    <mergeCell ref="C21:D21"/>
    <mergeCell ref="F21:G21"/>
    <mergeCell ref="C11:D11"/>
    <mergeCell ref="F11:G11"/>
    <mergeCell ref="C13:D13"/>
    <mergeCell ref="F13:G13"/>
    <mergeCell ref="C15:D15"/>
    <mergeCell ref="F15:G15"/>
    <mergeCell ref="C3:D3"/>
    <mergeCell ref="F3:G3"/>
    <mergeCell ref="C7:D7"/>
    <mergeCell ref="F7:G7"/>
    <mergeCell ref="C9:D9"/>
    <mergeCell ref="F9:G9"/>
    <mergeCell ref="C38:D38"/>
    <mergeCell ref="F38:G38"/>
    <mergeCell ref="C32:D32"/>
    <mergeCell ref="F32:G32"/>
    <mergeCell ref="C34:D34"/>
    <mergeCell ref="F34:G34"/>
    <mergeCell ref="C36:D36"/>
    <mergeCell ref="F36:G36"/>
  </mergeCells>
  <pageMargins left="0.7" right="0.7" top="0.75" bottom="0.75" header="0.3" footer="0.3"/>
  <ignoredErrors>
    <ignoredError sqref="F8 F10 F12 F14 F16 F18 C20 F20 C26 F26"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66:L88"/>
  <sheetViews>
    <sheetView topLeftCell="A49" zoomScale="159" workbookViewId="0">
      <selection activeCell="G62" sqref="G62"/>
    </sheetView>
  </sheetViews>
  <sheetFormatPr baseColWidth="10" defaultRowHeight="16" x14ac:dyDescent="0.2"/>
  <cols>
    <col min="1" max="1" width="2.6640625" style="1" customWidth="1"/>
    <col min="2" max="2" width="21" style="1" customWidth="1"/>
    <col min="3" max="16384" width="10.83203125" style="1"/>
  </cols>
  <sheetData>
    <row r="66" spans="2:12" x14ac:dyDescent="0.2">
      <c r="B66" s="10"/>
      <c r="C66" s="10">
        <f>Statement!H2</f>
        <v>0</v>
      </c>
      <c r="D66" s="10">
        <f>Statement!I2</f>
        <v>0</v>
      </c>
      <c r="E66" s="10">
        <f>Statement!J2</f>
        <v>0</v>
      </c>
      <c r="F66" s="10">
        <f>Statement!K2</f>
        <v>0</v>
      </c>
      <c r="G66" s="10">
        <f>Statement!L2</f>
        <v>0</v>
      </c>
      <c r="H66" s="10" t="str">
        <f>Statement!M2</f>
        <v>31.01.2022</v>
      </c>
      <c r="I66" s="10" t="str">
        <f>Statement!N2</f>
        <v>31.01.2023</v>
      </c>
      <c r="J66" s="10" t="str">
        <f>Statement!O2</f>
        <v>31.01.2024</v>
      </c>
      <c r="K66" s="10" t="str">
        <f>Statement!P2</f>
        <v>31.01.2025</v>
      </c>
      <c r="L66" s="10" t="str">
        <f>Statement!Q2</f>
        <v>31.01.2026</v>
      </c>
    </row>
    <row r="67" spans="2:12" x14ac:dyDescent="0.2">
      <c r="B67" s="10"/>
      <c r="C67" s="10">
        <f>Statement!H3</f>
        <v>0</v>
      </c>
      <c r="D67" s="10">
        <f>Statement!I3</f>
        <v>0</v>
      </c>
      <c r="E67" s="10">
        <f>Statement!J3</f>
        <v>0</v>
      </c>
      <c r="F67" s="10">
        <f>Statement!K3</f>
        <v>0</v>
      </c>
      <c r="G67" s="10">
        <f>Statement!L3</f>
        <v>0</v>
      </c>
      <c r="H67" s="10">
        <f>Statement!M3</f>
        <v>2022</v>
      </c>
      <c r="I67" s="10">
        <f>Statement!N3</f>
        <v>2023</v>
      </c>
      <c r="J67" s="10">
        <f>Statement!O3</f>
        <v>2024</v>
      </c>
      <c r="K67" s="10">
        <f>Statement!P3</f>
        <v>2025</v>
      </c>
      <c r="L67" s="10">
        <f>Statement!Q3</f>
        <v>2026</v>
      </c>
    </row>
    <row r="68" spans="2:12" x14ac:dyDescent="0.2">
      <c r="B68" s="20" t="s">
        <v>19</v>
      </c>
      <c r="C68" s="64">
        <f>Statement!H5</f>
        <v>0</v>
      </c>
      <c r="D68" s="64">
        <f>Statement!I5</f>
        <v>0</v>
      </c>
      <c r="E68" s="64">
        <f>Statement!J5</f>
        <v>0</v>
      </c>
      <c r="F68" s="64">
        <f>Statement!K5</f>
        <v>0</v>
      </c>
      <c r="G68" s="64">
        <f>Statement!L5</f>
        <v>0</v>
      </c>
      <c r="H68" s="24">
        <f>Statement!M5</f>
        <v>4386</v>
      </c>
      <c r="I68" s="24">
        <f>Statement!N5</f>
        <v>5005</v>
      </c>
      <c r="J68" s="24">
        <f>Statement!O5</f>
        <v>5497</v>
      </c>
      <c r="K68" s="24">
        <f>Statement!P5</f>
        <v>6131</v>
      </c>
      <c r="L68" s="24">
        <f>Statement!Q5</f>
        <v>7206</v>
      </c>
    </row>
    <row r="69" spans="2:12" x14ac:dyDescent="0.2">
      <c r="B69" s="20" t="s">
        <v>26</v>
      </c>
      <c r="C69" s="64">
        <f>Statement!H13</f>
        <v>0</v>
      </c>
      <c r="D69" s="64">
        <f>Statement!I13</f>
        <v>0</v>
      </c>
      <c r="E69" s="64">
        <f>Statement!J13</f>
        <v>0</v>
      </c>
      <c r="F69" s="64">
        <f>Statement!K13</f>
        <v>0</v>
      </c>
      <c r="G69" s="64">
        <f>Statement!L13</f>
        <v>0</v>
      </c>
      <c r="H69" s="64">
        <f>Statement!M13</f>
        <v>618</v>
      </c>
      <c r="I69" s="64">
        <f>Statement!N13</f>
        <v>989</v>
      </c>
      <c r="J69" s="64">
        <f>Statement!O13</f>
        <v>1128</v>
      </c>
      <c r="K69" s="64">
        <f>Statement!P13</f>
        <v>1354</v>
      </c>
      <c r="L69" s="64">
        <f>Statement!Q13</f>
        <v>1578</v>
      </c>
    </row>
    <row r="70" spans="2:12" x14ac:dyDescent="0.2">
      <c r="B70" s="20" t="s">
        <v>31</v>
      </c>
      <c r="C70" s="64">
        <f>Statement!H19</f>
        <v>0</v>
      </c>
      <c r="D70" s="64">
        <f>Statement!I19</f>
        <v>0</v>
      </c>
      <c r="E70" s="64">
        <f>Statement!J19</f>
        <v>0</v>
      </c>
      <c r="F70" s="64">
        <f>Statement!K19</f>
        <v>0</v>
      </c>
      <c r="G70" s="64">
        <f>Statement!L19</f>
        <v>0</v>
      </c>
      <c r="H70" s="64">
        <f>Statement!M19</f>
        <v>497</v>
      </c>
      <c r="I70" s="64">
        <f>Statement!N19</f>
        <v>823</v>
      </c>
      <c r="J70" s="64">
        <f>Statement!O19</f>
        <v>906</v>
      </c>
      <c r="K70" s="64">
        <f>Statement!P19</f>
        <v>1112</v>
      </c>
      <c r="L70" s="64">
        <f>Statement!Q19</f>
        <v>1124</v>
      </c>
    </row>
    <row r="71" spans="2:12" x14ac:dyDescent="0.2">
      <c r="B71" s="20" t="s">
        <v>260</v>
      </c>
      <c r="C71" s="64">
        <f>Statement!H158</f>
        <v>0</v>
      </c>
      <c r="D71" s="64">
        <f>Statement!I158</f>
        <v>0</v>
      </c>
      <c r="E71" s="64">
        <f>Statement!J158</f>
        <v>0</v>
      </c>
      <c r="F71" s="64">
        <f>Statement!K158</f>
        <v>0</v>
      </c>
      <c r="G71" s="64">
        <f>Statement!L158</f>
        <v>0</v>
      </c>
      <c r="H71" s="64">
        <f>Statement!M158</f>
        <v>909</v>
      </c>
      <c r="I71" s="64">
        <f>Statement!N158</f>
        <v>1368</v>
      </c>
      <c r="J71" s="64">
        <f>Statement!O158</f>
        <v>549</v>
      </c>
      <c r="K71" s="64">
        <f>Statement!P158</f>
        <v>822</v>
      </c>
      <c r="L71" s="64">
        <f>Statement!Q158</f>
        <v>1588</v>
      </c>
    </row>
    <row r="72" spans="2:12" x14ac:dyDescent="0.2">
      <c r="B72" s="20" t="s">
        <v>261</v>
      </c>
      <c r="C72" s="64">
        <f>Statement!H159</f>
        <v>0</v>
      </c>
      <c r="D72" s="64">
        <f>Statement!I159</f>
        <v>0</v>
      </c>
      <c r="E72" s="64">
        <f>Statement!J159</f>
        <v>0</v>
      </c>
      <c r="F72" s="64">
        <f>Statement!K159</f>
        <v>0</v>
      </c>
      <c r="G72" s="64">
        <f>Statement!L159</f>
        <v>0</v>
      </c>
      <c r="H72" s="64">
        <f>Statement!M159</f>
        <v>841.62123893805301</v>
      </c>
      <c r="I72" s="64">
        <f>Statement!N159</f>
        <v>1656.409090909091</v>
      </c>
      <c r="J72" s="64">
        <f>Statement!O159</f>
        <v>526.61971830985931</v>
      </c>
      <c r="K72" s="64">
        <f>Statement!P159</f>
        <v>707.89595375722547</v>
      </c>
      <c r="L72" s="64">
        <f>Statement!Q159</f>
        <v>724.47036805988773</v>
      </c>
    </row>
    <row r="73" spans="2:12" x14ac:dyDescent="0.2">
      <c r="B73" s="20" t="s">
        <v>78</v>
      </c>
      <c r="C73" s="58">
        <f>Statement!H102</f>
        <v>0</v>
      </c>
      <c r="D73" s="58">
        <f>Statement!I102</f>
        <v>0</v>
      </c>
      <c r="E73" s="58">
        <f>Statement!J102</f>
        <v>0</v>
      </c>
      <c r="F73" s="58">
        <f>Statement!K102</f>
        <v>0</v>
      </c>
      <c r="G73" s="58">
        <f>Statement!L102</f>
        <v>0</v>
      </c>
      <c r="H73" s="58">
        <f>Statement!M102</f>
        <v>0.90469676242590058</v>
      </c>
      <c r="I73" s="58">
        <f>Statement!N102</f>
        <v>0.90409590409590412</v>
      </c>
      <c r="J73" s="58">
        <f>Statement!O102</f>
        <v>0.90704020374749861</v>
      </c>
      <c r="K73" s="58">
        <f>Statement!P102</f>
        <v>0.90572500407763823</v>
      </c>
      <c r="L73" s="58">
        <f>Statement!Q102</f>
        <v>0.90979739106300306</v>
      </c>
    </row>
    <row r="74" spans="2:12" x14ac:dyDescent="0.2">
      <c r="B74" s="20" t="s">
        <v>79</v>
      </c>
      <c r="C74" s="58">
        <f>Statement!H103</f>
        <v>0</v>
      </c>
      <c r="D74" s="58">
        <f>Statement!I103</f>
        <v>0</v>
      </c>
      <c r="E74" s="58">
        <f>Statement!J103</f>
        <v>0</v>
      </c>
      <c r="F74" s="58">
        <f>Statement!K103</f>
        <v>0</v>
      </c>
      <c r="G74" s="58">
        <f>Statement!L103</f>
        <v>0</v>
      </c>
      <c r="H74" s="58">
        <f>Statement!M103</f>
        <v>0.1409028727770178</v>
      </c>
      <c r="I74" s="58">
        <f>Statement!N103</f>
        <v>0.19760239760239759</v>
      </c>
      <c r="J74" s="58">
        <f>Statement!O103</f>
        <v>0.20520283791158814</v>
      </c>
      <c r="K74" s="58">
        <f>Statement!P103</f>
        <v>0.22084488664165716</v>
      </c>
      <c r="L74" s="58">
        <f>Statement!Q103</f>
        <v>0.21898417985012489</v>
      </c>
    </row>
    <row r="75" spans="2:12" x14ac:dyDescent="0.2">
      <c r="B75" s="20" t="s">
        <v>80</v>
      </c>
      <c r="C75" s="58">
        <f>Statement!H104</f>
        <v>0</v>
      </c>
      <c r="D75" s="58">
        <f>Statement!I104</f>
        <v>0</v>
      </c>
      <c r="E75" s="58">
        <f>Statement!J104</f>
        <v>0</v>
      </c>
      <c r="F75" s="58">
        <f>Statement!K104</f>
        <v>0</v>
      </c>
      <c r="G75" s="58">
        <f>Statement!L104</f>
        <v>0</v>
      </c>
      <c r="H75" s="58">
        <f>Statement!M104</f>
        <v>0.11331509347925217</v>
      </c>
      <c r="I75" s="58">
        <f>Statement!N104</f>
        <v>0.16443556443556442</v>
      </c>
      <c r="J75" s="58">
        <f>Statement!O104</f>
        <v>0.16481717300345644</v>
      </c>
      <c r="K75" s="58">
        <f>Statement!P104</f>
        <v>0.18137334855651607</v>
      </c>
      <c r="L75" s="58">
        <f>Statement!Q104</f>
        <v>0.15598112683874549</v>
      </c>
    </row>
    <row r="76" spans="2:12" x14ac:dyDescent="0.2">
      <c r="B76" s="20" t="str">
        <f>"Revenue "&amp;Statement!B188</f>
        <v>Revenue Subscription</v>
      </c>
      <c r="C76" s="64">
        <f>Statement!H188</f>
        <v>0</v>
      </c>
      <c r="D76" s="64">
        <f>Statement!I188</f>
        <v>0</v>
      </c>
      <c r="E76" s="64">
        <f>Statement!J188</f>
        <v>0</v>
      </c>
      <c r="F76" s="64">
        <f>Statement!K188</f>
        <v>0</v>
      </c>
      <c r="G76" s="64">
        <f>Statement!L188</f>
        <v>0</v>
      </c>
      <c r="H76" s="64">
        <f>Statement!M188</f>
        <v>4136</v>
      </c>
      <c r="I76" s="64">
        <f>Statement!N188</f>
        <v>4716</v>
      </c>
      <c r="J76" s="64">
        <f>Statement!O188</f>
        <v>5170</v>
      </c>
      <c r="K76" s="64">
        <f>Statement!P188</f>
        <v>5758</v>
      </c>
      <c r="L76" s="64">
        <f>Statement!Q188</f>
        <v>6776</v>
      </c>
    </row>
    <row r="77" spans="2:12" x14ac:dyDescent="0.2">
      <c r="B77" s="20" t="str">
        <f>"Revenue "&amp;Statement!B189</f>
        <v>Revenue Other</v>
      </c>
      <c r="C77" s="64">
        <f>Statement!H189</f>
        <v>0</v>
      </c>
      <c r="D77" s="64">
        <f>Statement!I189</f>
        <v>0</v>
      </c>
      <c r="E77" s="64">
        <f>Statement!J189</f>
        <v>0</v>
      </c>
      <c r="F77" s="64">
        <f>Statement!K189</f>
        <v>0</v>
      </c>
      <c r="G77" s="64">
        <f>Statement!L189</f>
        <v>0</v>
      </c>
      <c r="H77" s="64">
        <f>Statement!M189</f>
        <v>250</v>
      </c>
      <c r="I77" s="64">
        <f>Statement!N189</f>
        <v>289</v>
      </c>
      <c r="J77" s="64">
        <f>Statement!O189</f>
        <v>327</v>
      </c>
      <c r="K77" s="64">
        <f>Statement!P189</f>
        <v>373</v>
      </c>
      <c r="L77" s="64">
        <f>Statement!Q189</f>
        <v>430</v>
      </c>
    </row>
    <row r="78" spans="2:12" x14ac:dyDescent="0.2">
      <c r="B78" s="20" t="str">
        <f>"Revenue "&amp;Statement!B195</f>
        <v>Revenue AECO</v>
      </c>
      <c r="C78" s="64">
        <f>Statement!H195</f>
        <v>0</v>
      </c>
      <c r="D78" s="64">
        <f>Statement!I195</f>
        <v>0</v>
      </c>
      <c r="E78" s="64">
        <f>Statement!J195</f>
        <v>0</v>
      </c>
      <c r="F78" s="64">
        <f>Statement!K195</f>
        <v>0</v>
      </c>
      <c r="G78" s="64">
        <f>Statement!L195</f>
        <v>0</v>
      </c>
      <c r="H78" s="64">
        <f>Statement!M195</f>
        <v>1969</v>
      </c>
      <c r="I78" s="64">
        <f>Statement!N195</f>
        <v>2278</v>
      </c>
      <c r="J78" s="64">
        <f>Statement!O195</f>
        <v>2580</v>
      </c>
      <c r="K78" s="64">
        <f>Statement!P195</f>
        <v>2937</v>
      </c>
      <c r="L78" s="64">
        <f>Statement!Q195</f>
        <v>3583</v>
      </c>
    </row>
    <row r="79" spans="2:12" x14ac:dyDescent="0.2">
      <c r="B79" s="20" t="str">
        <f>"Revenue "&amp;Statement!B196</f>
        <v>Revenue AutoCAD and AutoCAD LT</v>
      </c>
      <c r="C79" s="64">
        <f>Statement!H196</f>
        <v>0</v>
      </c>
      <c r="D79" s="64">
        <f>Statement!I196</f>
        <v>0</v>
      </c>
      <c r="E79" s="64">
        <f>Statement!J196</f>
        <v>0</v>
      </c>
      <c r="F79" s="64">
        <f>Statement!K196</f>
        <v>0</v>
      </c>
      <c r="G79" s="64">
        <f>Statement!L196</f>
        <v>0</v>
      </c>
      <c r="H79" s="64">
        <f>Statement!M196</f>
        <v>1244</v>
      </c>
      <c r="I79" s="64">
        <f>Statement!N196</f>
        <v>1387</v>
      </c>
      <c r="J79" s="64">
        <f>Statement!O196</f>
        <v>1462</v>
      </c>
      <c r="K79" s="64">
        <f>Statement!P196</f>
        <v>1572</v>
      </c>
      <c r="L79" s="64">
        <f>Statement!Q196</f>
        <v>1787</v>
      </c>
    </row>
    <row r="80" spans="2:12" x14ac:dyDescent="0.2">
      <c r="B80" s="20" t="str">
        <f>"Revenue "&amp;Statement!B197</f>
        <v>Revenue Manufacturing</v>
      </c>
      <c r="C80" s="64">
        <f>Statement!H197</f>
        <v>0</v>
      </c>
      <c r="D80" s="64">
        <f>Statement!I197</f>
        <v>0</v>
      </c>
      <c r="E80" s="64">
        <f>Statement!J197</f>
        <v>0</v>
      </c>
      <c r="F80" s="64">
        <f>Statement!K197</f>
        <v>0</v>
      </c>
      <c r="G80" s="64">
        <f>Statement!L197</f>
        <v>0</v>
      </c>
      <c r="H80" s="64">
        <f>Statement!M197</f>
        <v>876</v>
      </c>
      <c r="I80" s="64">
        <f>Statement!N197</f>
        <v>978</v>
      </c>
      <c r="J80" s="64">
        <f>Statement!O197</f>
        <v>1063</v>
      </c>
      <c r="K80" s="64">
        <f>Statement!P197</f>
        <v>1189</v>
      </c>
      <c r="L80" s="64">
        <f>Statement!Q197</f>
        <v>1379</v>
      </c>
    </row>
    <row r="81" spans="2:12" x14ac:dyDescent="0.2">
      <c r="B81" s="20" t="str">
        <f>"Revenue "&amp;Statement!B198</f>
        <v>Revenue Media and Entertainment</v>
      </c>
      <c r="C81" s="64">
        <f>Statement!H198</f>
        <v>0</v>
      </c>
      <c r="D81" s="64">
        <f>Statement!I198</f>
        <v>0</v>
      </c>
      <c r="E81" s="64">
        <f>Statement!J198</f>
        <v>0</v>
      </c>
      <c r="F81" s="64">
        <f>Statement!K198</f>
        <v>0</v>
      </c>
      <c r="G81" s="64">
        <f>Statement!L198</f>
        <v>0</v>
      </c>
      <c r="H81" s="64">
        <f>Statement!M198</f>
        <v>259</v>
      </c>
      <c r="I81" s="64">
        <f>Statement!N198</f>
        <v>291</v>
      </c>
      <c r="J81" s="64">
        <f>Statement!O198</f>
        <v>295</v>
      </c>
      <c r="K81" s="64">
        <f>Statement!P198</f>
        <v>315</v>
      </c>
      <c r="L81" s="64">
        <f>Statement!Q198</f>
        <v>332</v>
      </c>
    </row>
    <row r="82" spans="2:12" x14ac:dyDescent="0.2">
      <c r="B82" s="20" t="str">
        <f>"Revenue "&amp;Statement!B199</f>
        <v>Revenue Other</v>
      </c>
      <c r="C82" s="64">
        <f>Statement!H199</f>
        <v>0</v>
      </c>
      <c r="D82" s="64">
        <f>Statement!I199</f>
        <v>0</v>
      </c>
      <c r="E82" s="64">
        <f>Statement!J199</f>
        <v>0</v>
      </c>
      <c r="F82" s="64">
        <f>Statement!K199</f>
        <v>0</v>
      </c>
      <c r="G82" s="64">
        <f>Statement!L199</f>
        <v>0</v>
      </c>
      <c r="H82" s="64">
        <f>Statement!M199</f>
        <v>38</v>
      </c>
      <c r="I82" s="64">
        <f>Statement!N199</f>
        <v>71</v>
      </c>
      <c r="J82" s="64">
        <f>Statement!O199</f>
        <v>97</v>
      </c>
      <c r="K82" s="64">
        <f>Statement!P199</f>
        <v>118</v>
      </c>
      <c r="L82" s="64">
        <f>Statement!Q199</f>
        <v>125</v>
      </c>
    </row>
    <row r="83" spans="2:12" x14ac:dyDescent="0.2">
      <c r="B83" s="20" t="s">
        <v>101</v>
      </c>
      <c r="C83" s="216">
        <f>Statement!H124</f>
        <v>0</v>
      </c>
      <c r="D83" s="216">
        <f>Statement!I124</f>
        <v>0</v>
      </c>
      <c r="E83" s="216">
        <f>Statement!J124</f>
        <v>0</v>
      </c>
      <c r="F83" s="216">
        <f>Statement!K124</f>
        <v>0</v>
      </c>
      <c r="G83" s="216">
        <f>Statement!L124</f>
        <v>0</v>
      </c>
      <c r="H83" s="216">
        <f>Statement!M124</f>
        <v>5.7743696990821436E-2</v>
      </c>
      <c r="I83" s="216">
        <f>Statement!N124</f>
        <v>8.7200678109769003E-2</v>
      </c>
      <c r="J83" s="216">
        <f>Statement!O124</f>
        <v>9.1404358353510906E-2</v>
      </c>
      <c r="K83" s="216">
        <f>Statement!P124</f>
        <v>0.1026493122865319</v>
      </c>
      <c r="L83" s="216">
        <f>Statement!Q124</f>
        <v>9.0158017165316434E-2</v>
      </c>
    </row>
    <row r="84" spans="2:12" x14ac:dyDescent="0.2">
      <c r="B84" s="20" t="s">
        <v>103</v>
      </c>
      <c r="C84" s="216">
        <f>Statement!H126</f>
        <v>0</v>
      </c>
      <c r="D84" s="216">
        <f>Statement!I126</f>
        <v>0</v>
      </c>
      <c r="E84" s="216">
        <f>Statement!J126</f>
        <v>0</v>
      </c>
      <c r="F84" s="216">
        <f>Statement!K126</f>
        <v>0</v>
      </c>
      <c r="G84" s="216">
        <f>Statement!L126</f>
        <v>0</v>
      </c>
      <c r="H84" s="216">
        <f>Statement!M126</f>
        <v>0.58539458186101301</v>
      </c>
      <c r="I84" s="216">
        <f>Statement!N126</f>
        <v>0.71877729257641909</v>
      </c>
      <c r="J84" s="216">
        <f>Statement!O126</f>
        <v>0.48840970350404317</v>
      </c>
      <c r="K84" s="216">
        <f>Statement!P126</f>
        <v>0.42426554750095385</v>
      </c>
      <c r="L84" s="216">
        <f>Statement!Q126</f>
        <v>0.36912972085385876</v>
      </c>
    </row>
    <row r="85" spans="2:12" x14ac:dyDescent="0.2">
      <c r="B85" s="20" t="s">
        <v>104</v>
      </c>
      <c r="C85" s="216">
        <f>Statement!H141</f>
        <v>0</v>
      </c>
      <c r="D85" s="216">
        <f>Statement!I141</f>
        <v>0</v>
      </c>
      <c r="E85" s="216">
        <f>Statement!J141</f>
        <v>0</v>
      </c>
      <c r="F85" s="216">
        <f>Statement!K141</f>
        <v>0</v>
      </c>
      <c r="G85" s="216">
        <f>Statement!L141</f>
        <v>0</v>
      </c>
      <c r="H85" s="216">
        <f>Statement!M141</f>
        <v>0.41183427192276745</v>
      </c>
      <c r="I85" s="216">
        <f>Statement!N141</f>
        <v>0.68722770839384251</v>
      </c>
      <c r="J85" s="216">
        <f>Statement!O141</f>
        <v>0.54226625576242271</v>
      </c>
      <c r="K85" s="216">
        <f>Statement!P141</f>
        <v>0.39488056397721433</v>
      </c>
      <c r="L85" s="216">
        <f>Statement!Q141</f>
        <v>0.43306080941678582</v>
      </c>
    </row>
    <row r="86" spans="2:12" x14ac:dyDescent="0.2">
      <c r="B86" s="20" t="s">
        <v>346</v>
      </c>
      <c r="C86" s="225">
        <f>Statement!H218</f>
        <v>0</v>
      </c>
      <c r="D86" s="225">
        <f>Statement!I218</f>
        <v>0</v>
      </c>
      <c r="E86" s="225">
        <f>Statement!J218</f>
        <v>0</v>
      </c>
      <c r="F86" s="225">
        <f>Statement!K218</f>
        <v>0</v>
      </c>
      <c r="G86" s="225">
        <f>Statement!L218</f>
        <v>0</v>
      </c>
      <c r="H86" s="225">
        <f>Statement!M218</f>
        <v>100</v>
      </c>
      <c r="I86" s="225">
        <f>Statement!N218</f>
        <v>86.136354537811769</v>
      </c>
      <c r="J86" s="225">
        <f>Statement!O218</f>
        <v>101.60935185555869</v>
      </c>
      <c r="K86" s="225">
        <f>Statement!P218</f>
        <v>124.58865446975457</v>
      </c>
      <c r="L86" s="225">
        <f>Statement!Q218</f>
        <v>101.23303575003003</v>
      </c>
    </row>
    <row r="87" spans="2:12" x14ac:dyDescent="0.2">
      <c r="B87" s="20" t="s">
        <v>347</v>
      </c>
      <c r="C87" s="225">
        <f>Statement!H219</f>
        <v>0</v>
      </c>
      <c r="D87" s="225">
        <f>Statement!I219</f>
        <v>0</v>
      </c>
      <c r="E87" s="225">
        <f>Statement!J219</f>
        <v>0</v>
      </c>
      <c r="F87" s="225">
        <f>Statement!K219</f>
        <v>0</v>
      </c>
      <c r="G87" s="225">
        <f>Statement!L219</f>
        <v>0</v>
      </c>
      <c r="H87" s="225">
        <f>Statement!M219</f>
        <v>100</v>
      </c>
      <c r="I87" s="225">
        <f>Statement!N219</f>
        <v>114.11308709530323</v>
      </c>
      <c r="J87" s="225">
        <f>Statement!O219</f>
        <v>125.33059735522116</v>
      </c>
      <c r="K87" s="225">
        <f>Statement!P219</f>
        <v>139.78568171454629</v>
      </c>
      <c r="L87" s="225">
        <f>Statement!Q219</f>
        <v>164.2954856361149</v>
      </c>
    </row>
    <row r="88" spans="2:12" x14ac:dyDescent="0.2">
      <c r="B88" s="20" t="s">
        <v>348</v>
      </c>
      <c r="C88" s="225">
        <f>Statement!H220</f>
        <v>0</v>
      </c>
      <c r="D88" s="225">
        <f>Statement!I220</f>
        <v>0</v>
      </c>
      <c r="E88" s="225">
        <f>Statement!J220</f>
        <v>0</v>
      </c>
      <c r="F88" s="225">
        <f>Statement!K220</f>
        <v>0</v>
      </c>
      <c r="G88" s="225">
        <f>Statement!L220</f>
        <v>0</v>
      </c>
      <c r="H88" s="225">
        <f>Statement!M220</f>
        <v>100</v>
      </c>
      <c r="I88" s="225">
        <f>Statement!N220</f>
        <v>168.74999999999997</v>
      </c>
      <c r="J88" s="225">
        <f>Statement!O220</f>
        <v>187.05357142857144</v>
      </c>
      <c r="K88" s="225">
        <f>Statement!P220</f>
        <v>228.57142857142856</v>
      </c>
      <c r="L88" s="225">
        <f>Statement!Q220</f>
        <v>233.48214285714289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70"/>
  <sheetViews>
    <sheetView topLeftCell="A32" zoomScale="161" workbookViewId="0">
      <selection activeCell="G40" sqref="G40"/>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31.10.2024</v>
      </c>
      <c r="D55" s="10" t="str">
        <f>Statement!U2</f>
        <v>31.01.2025</v>
      </c>
      <c r="E55" s="10" t="str">
        <f>Statement!V2</f>
        <v>30.04.2025</v>
      </c>
      <c r="F55" s="10" t="str">
        <f>Statement!W2</f>
        <v>31.07.2025</v>
      </c>
      <c r="G55" s="10" t="str">
        <f>Statement!X2</f>
        <v>31.10.2025</v>
      </c>
      <c r="H55" s="10" t="str">
        <f>Statement!Y2</f>
        <v>31.01.2026</v>
      </c>
      <c r="I55" s="10" t="str">
        <f>Statement!Z2</f>
        <v>30.04.2026</v>
      </c>
      <c r="J55" s="10" t="str">
        <f>Statement!AA2</f>
        <v>31.07.2026</v>
      </c>
    </row>
    <row r="56" spans="2:10" x14ac:dyDescent="0.2">
      <c r="B56" s="10"/>
      <c r="C56" s="10" t="str">
        <f>Statement!T3</f>
        <v>Q3 2025</v>
      </c>
      <c r="D56" s="10" t="str">
        <f>Statement!U3</f>
        <v>Q4 2025</v>
      </c>
      <c r="E56" s="10" t="str">
        <f>Statement!V3</f>
        <v>Q1 2026</v>
      </c>
      <c r="F56" s="10" t="str">
        <f>Statement!W3</f>
        <v>Q2 2026</v>
      </c>
      <c r="G56" s="10" t="str">
        <f>Statement!X3</f>
        <v>Q3 2026</v>
      </c>
      <c r="H56" s="10" t="str">
        <f>Statement!Y3</f>
        <v>Q4 2026</v>
      </c>
      <c r="I56" s="10" t="str">
        <f>Statement!Z3</f>
        <v>Q1 2027</v>
      </c>
      <c r="J56" s="10" t="str">
        <f>Statement!AA3</f>
        <v>Q2 2027</v>
      </c>
    </row>
    <row r="57" spans="2:10" x14ac:dyDescent="0.2">
      <c r="B57" s="20" t="s">
        <v>19</v>
      </c>
      <c r="C57" s="64">
        <f>Statement!T5</f>
        <v>1570</v>
      </c>
      <c r="D57" s="64">
        <f>Statement!U5</f>
        <v>1639</v>
      </c>
      <c r="E57" s="64">
        <f>Statement!V5</f>
        <v>1633</v>
      </c>
      <c r="F57" s="64">
        <f>Statement!W5</f>
        <v>1763</v>
      </c>
      <c r="G57" s="64">
        <f>Statement!X5</f>
        <v>1853</v>
      </c>
      <c r="H57" s="64">
        <f>Statement!Y5</f>
        <v>1957</v>
      </c>
      <c r="I57" s="64">
        <f>Statement!Z5</f>
        <v>1934</v>
      </c>
      <c r="J57" s="64">
        <f>Statement!AA5</f>
        <v>2046</v>
      </c>
    </row>
    <row r="58" spans="2:10" x14ac:dyDescent="0.2">
      <c r="B58" s="20" t="s">
        <v>26</v>
      </c>
      <c r="C58" s="64">
        <f>Statement!T13</f>
        <v>346</v>
      </c>
      <c r="D58" s="64">
        <f>Statement!U13</f>
        <v>366</v>
      </c>
      <c r="E58" s="64">
        <f>Statement!V13</f>
        <v>233</v>
      </c>
      <c r="F58" s="64">
        <f>Statement!W13</f>
        <v>444</v>
      </c>
      <c r="G58" s="64">
        <f>Statement!X13</f>
        <v>470</v>
      </c>
      <c r="H58" s="64">
        <f>Statement!Y13</f>
        <v>431</v>
      </c>
      <c r="I58" s="64">
        <f>Statement!Z13</f>
        <v>541</v>
      </c>
      <c r="J58" s="64">
        <f>Statement!AA13</f>
        <v>599</v>
      </c>
    </row>
    <row r="59" spans="2:10" x14ac:dyDescent="0.2">
      <c r="B59" s="20" t="s">
        <v>31</v>
      </c>
      <c r="C59" s="64">
        <f>Statement!T19</f>
        <v>275</v>
      </c>
      <c r="D59" s="64">
        <f>Statement!U19</f>
        <v>303</v>
      </c>
      <c r="E59" s="64">
        <f>Statement!V19</f>
        <v>152</v>
      </c>
      <c r="F59" s="64">
        <f>Statement!W19</f>
        <v>313</v>
      </c>
      <c r="G59" s="64">
        <f>Statement!X19</f>
        <v>343</v>
      </c>
      <c r="H59" s="64">
        <f>Statement!Y19</f>
        <v>316</v>
      </c>
      <c r="I59" s="64">
        <f>Statement!Z19</f>
        <v>491</v>
      </c>
      <c r="J59" s="64">
        <f>Statement!AA19</f>
        <v>492</v>
      </c>
    </row>
    <row r="60" spans="2:10" x14ac:dyDescent="0.2">
      <c r="B60" s="20" t="s">
        <v>78</v>
      </c>
      <c r="C60" s="58">
        <f>Statement!T102</f>
        <v>0.90636942675159238</v>
      </c>
      <c r="D60" s="58">
        <f>Statement!U102</f>
        <v>0.90604026845637586</v>
      </c>
      <c r="E60" s="58">
        <f>Statement!V102</f>
        <v>0.90202082057562771</v>
      </c>
      <c r="F60" s="58">
        <f>Statement!W102</f>
        <v>0.90981281905842315</v>
      </c>
      <c r="G60" s="58">
        <f>Statement!X102</f>
        <v>0.91095520777118189</v>
      </c>
      <c r="H60" s="58">
        <f>Statement!Y102</f>
        <v>0.91517629024016356</v>
      </c>
      <c r="I60" s="58">
        <f>Statement!Z102</f>
        <v>0.90951396070320578</v>
      </c>
      <c r="J60" s="58">
        <f>Statement!AA102</f>
        <v>0.91397849462365588</v>
      </c>
    </row>
    <row r="61" spans="2:10" x14ac:dyDescent="0.2">
      <c r="B61" s="20" t="s">
        <v>79</v>
      </c>
      <c r="C61" s="58">
        <f>Statement!T103</f>
        <v>0.22038216560509555</v>
      </c>
      <c r="D61" s="58">
        <f>Statement!U103</f>
        <v>0.22330689444783405</v>
      </c>
      <c r="E61" s="58">
        <f>Statement!V103</f>
        <v>0.14268218003674218</v>
      </c>
      <c r="F61" s="58">
        <f>Statement!W103</f>
        <v>0.25184344866704483</v>
      </c>
      <c r="G61" s="58">
        <f>Statement!X103</f>
        <v>0.25364274150026983</v>
      </c>
      <c r="H61" s="58">
        <f>Statement!Y103</f>
        <v>0.22023505365355137</v>
      </c>
      <c r="I61" s="58">
        <f>Statement!Z103</f>
        <v>0.27973112719751808</v>
      </c>
      <c r="J61" s="58">
        <f>Statement!AA103</f>
        <v>0.29276637341153472</v>
      </c>
    </row>
    <row r="62" spans="2:10" x14ac:dyDescent="0.2">
      <c r="B62" s="20" t="s">
        <v>80</v>
      </c>
      <c r="C62" s="58">
        <f>Statement!T104</f>
        <v>0.1751592356687898</v>
      </c>
      <c r="D62" s="58">
        <f>Statement!U104</f>
        <v>0.18486882245271508</v>
      </c>
      <c r="E62" s="58">
        <f>Statement!V104</f>
        <v>9.30802204531537E-2</v>
      </c>
      <c r="F62" s="58">
        <f>Statement!W104</f>
        <v>0.17753828701077709</v>
      </c>
      <c r="G62" s="58">
        <f>Statement!X104</f>
        <v>0.18510523475445223</v>
      </c>
      <c r="H62" s="58">
        <f>Statement!Y104</f>
        <v>0.16147164026571281</v>
      </c>
      <c r="I62" s="58">
        <f>Statement!Z104</f>
        <v>0.25387797311271976</v>
      </c>
      <c r="J62" s="58">
        <f>Statement!AA104</f>
        <v>0.2404692082111437</v>
      </c>
    </row>
    <row r="63" spans="2:10" x14ac:dyDescent="0.2">
      <c r="B63" s="20" t="str">
        <f>"Revenue "&amp;Statement!B188</f>
        <v>Revenue Subscription</v>
      </c>
      <c r="C63" s="64">
        <f>Statement!T188</f>
        <v>1466</v>
      </c>
      <c r="D63" s="64">
        <f>Statement!U188</f>
        <v>1532</v>
      </c>
      <c r="E63" s="64">
        <f>Statement!V188</f>
        <v>1540</v>
      </c>
      <c r="F63" s="64">
        <f>Statement!W188</f>
        <v>1667</v>
      </c>
      <c r="G63" s="64">
        <f>Statement!X188</f>
        <v>1742</v>
      </c>
      <c r="H63" s="64">
        <f>Statement!Y188</f>
        <v>1827</v>
      </c>
      <c r="I63" s="64">
        <f>Statement!Z188</f>
        <v>1836</v>
      </c>
      <c r="J63" s="64">
        <f>Statement!AA188</f>
        <v>1952</v>
      </c>
    </row>
    <row r="64" spans="2:10" x14ac:dyDescent="0.2">
      <c r="B64" s="20" t="str">
        <f>"Revenue "&amp;Statement!B189</f>
        <v>Revenue Other</v>
      </c>
      <c r="C64" s="64">
        <f>Statement!T189</f>
        <v>104</v>
      </c>
      <c r="D64" s="64">
        <f>Statement!U189</f>
        <v>107</v>
      </c>
      <c r="E64" s="64">
        <f>Statement!V189</f>
        <v>93</v>
      </c>
      <c r="F64" s="64">
        <f>Statement!W189</f>
        <v>96</v>
      </c>
      <c r="G64" s="64">
        <f>Statement!X189</f>
        <v>111</v>
      </c>
      <c r="H64" s="64">
        <f>Statement!Y189</f>
        <v>130</v>
      </c>
      <c r="I64" s="64">
        <f>Statement!Z189</f>
        <v>98</v>
      </c>
      <c r="J64" s="64">
        <f>Statement!AA189</f>
        <v>94</v>
      </c>
    </row>
    <row r="65" spans="2:10" x14ac:dyDescent="0.2">
      <c r="B65" s="20" t="str">
        <f>"Revenue "&amp;Statement!B195</f>
        <v>Revenue AECO</v>
      </c>
      <c r="C65" s="64">
        <f>Statement!T195</f>
        <v>751</v>
      </c>
      <c r="D65" s="64">
        <f>Statement!U195</f>
        <v>799</v>
      </c>
      <c r="E65" s="64">
        <f>Statement!V195</f>
        <v>809</v>
      </c>
      <c r="F65" s="64">
        <f>Statement!W195</f>
        <v>878</v>
      </c>
      <c r="G65" s="64">
        <f>Statement!X195</f>
        <v>921</v>
      </c>
      <c r="H65" s="64">
        <f>Statement!Y195</f>
        <v>975</v>
      </c>
      <c r="I65" s="64">
        <f>Statement!Z195</f>
        <v>970</v>
      </c>
      <c r="J65" s="64">
        <f>Statement!AA195</f>
        <v>1029</v>
      </c>
    </row>
    <row r="66" spans="2:10" x14ac:dyDescent="0.2">
      <c r="B66" s="20" t="str">
        <f>"Revenue "&amp;Statement!B196</f>
        <v>Revenue AutoCAD and AutoCAD LT</v>
      </c>
      <c r="C66" s="64">
        <f>Statement!T196</f>
        <v>398</v>
      </c>
      <c r="D66" s="64">
        <f>Statement!U196</f>
        <v>409</v>
      </c>
      <c r="E66" s="64">
        <f>Statement!V196</f>
        <v>411</v>
      </c>
      <c r="F66" s="64">
        <f>Statement!W196</f>
        <v>440</v>
      </c>
      <c r="G66" s="64">
        <f>Statement!X196</f>
        <v>458</v>
      </c>
      <c r="H66" s="64">
        <f>Statement!Y196</f>
        <v>478</v>
      </c>
      <c r="I66" s="64">
        <f>Statement!Z196</f>
        <v>474</v>
      </c>
      <c r="J66" s="64">
        <f>Statement!AA196</f>
        <v>500</v>
      </c>
    </row>
    <row r="67" spans="2:10" x14ac:dyDescent="0.2">
      <c r="B67" s="20" t="str">
        <f>"Revenue "&amp;Statement!B197</f>
        <v>Revenue Manufacturing</v>
      </c>
      <c r="C67" s="64">
        <f>Statement!T197</f>
        <v>307</v>
      </c>
      <c r="D67" s="64">
        <f>Statement!U197</f>
        <v>318</v>
      </c>
      <c r="E67" s="64">
        <f>Statement!V197</f>
        <v>309</v>
      </c>
      <c r="F67" s="64">
        <f>Statement!W197</f>
        <v>334</v>
      </c>
      <c r="G67" s="64">
        <f>Statement!X197</f>
        <v>355</v>
      </c>
      <c r="H67" s="64">
        <f>Statement!Y197</f>
        <v>381</v>
      </c>
      <c r="I67" s="64">
        <f>Statement!Z197</f>
        <v>367</v>
      </c>
      <c r="J67" s="64">
        <f>Statement!AA197</f>
        <v>385</v>
      </c>
    </row>
    <row r="68" spans="2:10" x14ac:dyDescent="0.2">
      <c r="B68" s="20" t="str">
        <f>"Revenue "&amp;Statement!B198</f>
        <v>Revenue Media and Entertainment</v>
      </c>
      <c r="C68" s="64">
        <f>Statement!T198</f>
        <v>83</v>
      </c>
      <c r="D68" s="64">
        <f>Statement!U198</f>
        <v>84</v>
      </c>
      <c r="E68" s="64">
        <f>Statement!V198</f>
        <v>76</v>
      </c>
      <c r="F68" s="64">
        <f>Statement!W198</f>
        <v>80</v>
      </c>
      <c r="G68" s="64">
        <f>Statement!X198</f>
        <v>86</v>
      </c>
      <c r="H68" s="64">
        <f>Statement!Y198</f>
        <v>90</v>
      </c>
      <c r="I68" s="64">
        <f>Statement!Z198</f>
        <v>86</v>
      </c>
      <c r="J68" s="64">
        <f>Statement!AA198</f>
        <v>92</v>
      </c>
    </row>
    <row r="69" spans="2:10" x14ac:dyDescent="0.2">
      <c r="B69" s="20" t="str">
        <f>"Revenue "&amp;Statement!B199</f>
        <v>Revenue Other</v>
      </c>
      <c r="C69" s="64">
        <f>Statement!T199</f>
        <v>31</v>
      </c>
      <c r="D69" s="64">
        <f>Statement!U199</f>
        <v>29</v>
      </c>
      <c r="E69" s="64">
        <f>Statement!V199</f>
        <v>28</v>
      </c>
      <c r="F69" s="64">
        <f>Statement!W199</f>
        <v>31</v>
      </c>
      <c r="G69" s="64">
        <f>Statement!X199</f>
        <v>33</v>
      </c>
      <c r="H69" s="64">
        <f>Statement!Y199</f>
        <v>33</v>
      </c>
      <c r="I69" s="64">
        <f>Statement!Z199</f>
        <v>37</v>
      </c>
      <c r="J69" s="64">
        <f>Statement!AA199</f>
        <v>40</v>
      </c>
    </row>
    <row r="70" spans="2:10" x14ac:dyDescent="0.2">
      <c r="B70" s="20" t="s">
        <v>260</v>
      </c>
      <c r="C70" s="64">
        <f>Statement!T158</f>
        <v>0</v>
      </c>
      <c r="D70" s="64">
        <f>Statement!U158</f>
        <v>0</v>
      </c>
      <c r="E70" s="64">
        <f>Statement!V158</f>
        <v>319</v>
      </c>
      <c r="F70" s="64">
        <f>Statement!W158</f>
        <v>253</v>
      </c>
      <c r="G70" s="64">
        <f>Statement!X158</f>
        <v>231</v>
      </c>
      <c r="H70" s="64">
        <f>Statement!Y158</f>
        <v>785</v>
      </c>
      <c r="I70" s="64">
        <f>Statement!Z158</f>
        <v>712</v>
      </c>
      <c r="J70" s="64">
        <f>Statement!AA158</f>
        <v>370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5:H13"/>
  <sheetViews>
    <sheetView workbookViewId="0">
      <selection activeCell="H10" sqref="H5:H10"/>
    </sheetView>
  </sheetViews>
  <sheetFormatPr baseColWidth="10" defaultRowHeight="16" x14ac:dyDescent="0.2"/>
  <cols>
    <col min="1" max="7" width="10.83203125" style="1"/>
    <col min="8" max="8" width="18.5" style="1" customWidth="1"/>
    <col min="9" max="16384" width="10.83203125" style="1"/>
  </cols>
  <sheetData>
    <row r="5" spans="2:8" x14ac:dyDescent="0.2">
      <c r="H5" s="134" t="s">
        <v>435</v>
      </c>
    </row>
    <row r="6" spans="2:8" x14ac:dyDescent="0.2">
      <c r="H6" s="237" t="s">
        <v>440</v>
      </c>
    </row>
    <row r="7" spans="2:8" x14ac:dyDescent="0.2">
      <c r="H7" s="237" t="s">
        <v>436</v>
      </c>
    </row>
    <row r="8" spans="2:8" x14ac:dyDescent="0.2">
      <c r="H8" s="237" t="s">
        <v>437</v>
      </c>
    </row>
    <row r="9" spans="2:8" x14ac:dyDescent="0.2">
      <c r="H9" s="237" t="s">
        <v>438</v>
      </c>
    </row>
    <row r="10" spans="2:8" x14ac:dyDescent="0.2">
      <c r="H10" s="238" t="s">
        <v>439</v>
      </c>
    </row>
    <row r="13" spans="2:8" s="4" customFormat="1" ht="49" x14ac:dyDescent="0.2">
      <c r="B13" s="3" t="s">
        <v>110</v>
      </c>
    </row>
  </sheetData>
  <hyperlinks>
    <hyperlink ref="H6" location="Overview!B3" display="Overview'!B3" xr:uid="{AD7E74EC-B8D8-8A43-A375-64EBE06E0A03}"/>
    <hyperlink ref="H8" location="'Analysis -&gt;'!B13" display="'Analysis -&gt;'!B13" xr:uid="{0E406DBD-50D8-714F-8A42-D33BCB44E174}"/>
    <hyperlink ref="H9" location="'Forecast -&gt;'!B13" display="'Forecast -&gt;'!B13" xr:uid="{E6F95179-D9F9-D345-877D-C8D2E2DDD008}"/>
    <hyperlink ref="H10" location="'Valuation -&gt;'!B13" display="'Valuation -&gt;'!B13" xr:uid="{A457EABD-1994-474E-856F-AA4AE084E84C}"/>
    <hyperlink ref="H7" location="'Financials -&gt;'!B13" display="'Financials -&gt;'!B13" xr:uid="{4385EA5F-C232-F440-A016-4F8C3B01C07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33"/>
  <sheetViews>
    <sheetView topLeftCell="C8" zoomScale="184" zoomScaleNormal="75" workbookViewId="0">
      <selection activeCell="AA21" sqref="AA21"/>
    </sheetView>
  </sheetViews>
  <sheetFormatPr baseColWidth="10" defaultRowHeight="16" x14ac:dyDescent="0.2"/>
  <cols>
    <col min="1" max="1" width="2" style="83"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111</v>
      </c>
      <c r="O1" s="84"/>
    </row>
    <row r="2" spans="1:31" x14ac:dyDescent="0.2">
      <c r="A2" s="4"/>
      <c r="C2" s="242" t="s">
        <v>112</v>
      </c>
      <c r="D2" s="242"/>
      <c r="E2" s="242"/>
      <c r="F2" s="242"/>
      <c r="G2" s="251"/>
      <c r="H2" s="252" t="s">
        <v>113</v>
      </c>
      <c r="I2" s="242"/>
      <c r="J2" s="242"/>
      <c r="K2" s="242"/>
      <c r="L2" s="242"/>
      <c r="O2" s="5"/>
      <c r="S2" s="242" t="s">
        <v>112</v>
      </c>
      <c r="T2" s="242"/>
      <c r="U2" s="242"/>
      <c r="V2" s="242"/>
      <c r="W2" s="242"/>
      <c r="X2" s="242"/>
      <c r="Y2" s="242"/>
      <c r="Z2" s="242"/>
      <c r="AA2" s="242" t="s">
        <v>113</v>
      </c>
      <c r="AB2" s="242"/>
      <c r="AC2" s="242"/>
      <c r="AE2" s="85" t="s">
        <v>114</v>
      </c>
    </row>
    <row r="3" spans="1:31" ht="10" customHeight="1" x14ac:dyDescent="0.2">
      <c r="O3" s="5"/>
    </row>
    <row r="4" spans="1:31" ht="16" customHeight="1" x14ac:dyDescent="0.2">
      <c r="A4" s="86"/>
      <c r="B4" s="60"/>
      <c r="C4" s="248" t="s">
        <v>115</v>
      </c>
      <c r="D4" s="248"/>
      <c r="E4" s="248"/>
      <c r="F4" s="248"/>
      <c r="G4" s="248"/>
      <c r="H4" s="248"/>
      <c r="I4" s="248"/>
      <c r="J4" s="248"/>
      <c r="K4" s="248"/>
      <c r="L4" s="248"/>
      <c r="O4" s="5"/>
      <c r="S4" s="249" t="s">
        <v>115</v>
      </c>
      <c r="T4" s="250"/>
      <c r="U4" s="250"/>
      <c r="V4" s="250"/>
      <c r="W4" s="250"/>
      <c r="X4" s="250"/>
      <c r="Y4" s="250"/>
      <c r="Z4" s="250"/>
      <c r="AA4" s="250"/>
      <c r="AB4" s="250"/>
      <c r="AC4" s="250"/>
      <c r="AE4" s="87"/>
    </row>
    <row r="5" spans="1:31" x14ac:dyDescent="0.2">
      <c r="B5" s="16" t="s">
        <v>116</v>
      </c>
      <c r="C5" s="12">
        <f>Statement!M3</f>
        <v>2022</v>
      </c>
      <c r="D5" s="12">
        <f>Statement!N3</f>
        <v>2023</v>
      </c>
      <c r="E5" s="12">
        <f>Statement!O3</f>
        <v>2024</v>
      </c>
      <c r="F5" s="12">
        <f>Statement!P3</f>
        <v>2025</v>
      </c>
      <c r="G5" s="12">
        <f>Statement!Q3</f>
        <v>2026</v>
      </c>
      <c r="H5" s="12">
        <f>G5+1</f>
        <v>2027</v>
      </c>
      <c r="I5" s="12">
        <f t="shared" ref="I5:L5" si="0">H5+1</f>
        <v>2028</v>
      </c>
      <c r="J5" s="12">
        <f t="shared" si="0"/>
        <v>2029</v>
      </c>
      <c r="K5" s="12">
        <f t="shared" si="0"/>
        <v>2030</v>
      </c>
      <c r="L5" s="12">
        <f t="shared" si="0"/>
        <v>2031</v>
      </c>
      <c r="O5" s="5"/>
      <c r="R5" s="16" t="str">
        <f>B5</f>
        <v>Revenues (thousand)</v>
      </c>
      <c r="S5" s="12" t="str">
        <f>Statement!T3</f>
        <v>Q3 2025</v>
      </c>
      <c r="T5" s="12" t="str">
        <f>Statement!U3</f>
        <v>Q4 2025</v>
      </c>
      <c r="U5" s="12" t="str">
        <f>Statement!V3</f>
        <v>Q1 2026</v>
      </c>
      <c r="V5" s="12" t="str">
        <f>Statement!W3</f>
        <v>Q2 2026</v>
      </c>
      <c r="W5" s="12" t="str">
        <f>Statement!X3</f>
        <v>Q3 2026</v>
      </c>
      <c r="X5" s="12" t="str">
        <f>Statement!Y3</f>
        <v>Q4 2026</v>
      </c>
      <c r="Y5" s="12" t="str">
        <f>Statement!Z3</f>
        <v>Q1 2027</v>
      </c>
      <c r="Z5" s="12" t="str">
        <f>Statement!AA3</f>
        <v>Q2 2027</v>
      </c>
      <c r="AA5" s="12" t="s">
        <v>117</v>
      </c>
      <c r="AB5" s="12" t="s">
        <v>118</v>
      </c>
      <c r="AC5" s="12" t="s">
        <v>119</v>
      </c>
      <c r="AE5" s="8" t="s">
        <v>117</v>
      </c>
    </row>
    <row r="6" spans="1:31" x14ac:dyDescent="0.2">
      <c r="B6" s="1" t="str">
        <f>Statement!B188</f>
        <v>Subscription</v>
      </c>
      <c r="C6" s="88">
        <f>Statement!M188</f>
        <v>4136</v>
      </c>
      <c r="D6" s="88">
        <f>Statement!N188</f>
        <v>4716</v>
      </c>
      <c r="E6" s="88">
        <f>Statement!O188</f>
        <v>5170</v>
      </c>
      <c r="F6" s="88">
        <f>Statement!P188</f>
        <v>5758</v>
      </c>
      <c r="G6" s="89">
        <f>Statement!Q188</f>
        <v>6776</v>
      </c>
      <c r="H6" s="64">
        <f>H14-H7</f>
        <v>7878.2948999999999</v>
      </c>
      <c r="I6" s="64">
        <f t="shared" ref="I6:L6" si="1">I14-I7</f>
        <v>9167.4253439999975</v>
      </c>
      <c r="J6" s="64">
        <f t="shared" si="1"/>
        <v>10360.901518305001</v>
      </c>
      <c r="K6" s="64">
        <f t="shared" si="1"/>
        <v>11639.444561792501</v>
      </c>
      <c r="L6" s="64">
        <f t="shared" si="1"/>
        <v>12716.048523710273</v>
      </c>
      <c r="N6" s="90" t="s">
        <v>429</v>
      </c>
      <c r="O6" s="5"/>
      <c r="Q6" s="90" t="s">
        <v>429</v>
      </c>
      <c r="R6" s="1" t="str">
        <f>B6</f>
        <v>Subscription</v>
      </c>
      <c r="S6" s="88">
        <f>Statement!T188</f>
        <v>1466</v>
      </c>
      <c r="T6" s="88">
        <f>Statement!U188</f>
        <v>1532</v>
      </c>
      <c r="U6" s="88">
        <f>Statement!V188</f>
        <v>1540</v>
      </c>
      <c r="V6" s="88">
        <f>Statement!W188</f>
        <v>1667</v>
      </c>
      <c r="W6" s="88">
        <f>Statement!X188</f>
        <v>1742</v>
      </c>
      <c r="X6" s="88">
        <f>Statement!Y188</f>
        <v>1827</v>
      </c>
      <c r="Y6" s="88">
        <f>Statement!Z188</f>
        <v>1836</v>
      </c>
      <c r="Z6" s="89">
        <f>Statement!AA188</f>
        <v>1952</v>
      </c>
      <c r="AA6" s="64">
        <f>AA14-AA7</f>
        <v>2030.5584999999999</v>
      </c>
      <c r="AB6" s="64"/>
      <c r="AC6" s="64"/>
      <c r="AE6" s="64">
        <f>SUM(X6:AA6)</f>
        <v>7645.5585000000001</v>
      </c>
    </row>
    <row r="7" spans="1:31" x14ac:dyDescent="0.2">
      <c r="B7" s="1" t="str">
        <f>Statement!B189</f>
        <v>Other</v>
      </c>
      <c r="C7" s="88">
        <f>Statement!M189</f>
        <v>250</v>
      </c>
      <c r="D7" s="88">
        <f>Statement!N189</f>
        <v>289</v>
      </c>
      <c r="E7" s="88">
        <f>Statement!O189</f>
        <v>327</v>
      </c>
      <c r="F7" s="88">
        <f>Statement!P189</f>
        <v>373</v>
      </c>
      <c r="G7" s="89">
        <f>Statement!Q189</f>
        <v>430</v>
      </c>
      <c r="H7" s="64">
        <f>H14*H30</f>
        <v>458.52510000000001</v>
      </c>
      <c r="I7" s="64">
        <f t="shared" ref="I7:L7" si="2">I14*I30</f>
        <v>533.55385599999988</v>
      </c>
      <c r="J7" s="64">
        <f t="shared" si="2"/>
        <v>556.802926695</v>
      </c>
      <c r="K7" s="64">
        <f t="shared" si="2"/>
        <v>612.6023453575001</v>
      </c>
      <c r="L7" s="64">
        <f t="shared" si="2"/>
        <v>669.265711774225</v>
      </c>
      <c r="N7" s="90" t="s">
        <v>428</v>
      </c>
      <c r="O7" s="5"/>
      <c r="Q7" s="90" t="s">
        <v>428</v>
      </c>
      <c r="R7" s="1" t="str">
        <f t="shared" ref="R7:R13" si="3">B7</f>
        <v>Other</v>
      </c>
      <c r="S7" s="88">
        <f>Statement!T189</f>
        <v>104</v>
      </c>
      <c r="T7" s="88">
        <f>Statement!U189</f>
        <v>107</v>
      </c>
      <c r="U7" s="88">
        <f>Statement!V189</f>
        <v>93</v>
      </c>
      <c r="V7" s="88">
        <f>Statement!W189</f>
        <v>96</v>
      </c>
      <c r="W7" s="88">
        <f>Statement!X189</f>
        <v>111</v>
      </c>
      <c r="X7" s="88">
        <f>Statement!Y189</f>
        <v>130</v>
      </c>
      <c r="Y7" s="88">
        <f>Statement!Z189</f>
        <v>98</v>
      </c>
      <c r="Z7" s="89">
        <f>Statement!AA189</f>
        <v>94</v>
      </c>
      <c r="AA7" s="64">
        <f>AA14*AA30</f>
        <v>106.8715</v>
      </c>
      <c r="AB7" s="64"/>
      <c r="AC7" s="64"/>
      <c r="AE7" s="64">
        <f t="shared" ref="AE7:AE13" si="4">SUM(X7:AA7)</f>
        <v>428.87149999999997</v>
      </c>
    </row>
    <row r="8" spans="1:31" x14ac:dyDescent="0.2">
      <c r="C8" s="88"/>
      <c r="D8" s="88"/>
      <c r="E8" s="88"/>
      <c r="F8" s="88"/>
      <c r="G8" s="89"/>
      <c r="H8" s="64"/>
      <c r="I8" s="64"/>
      <c r="J8" s="64"/>
      <c r="K8" s="64"/>
      <c r="L8" s="64"/>
      <c r="N8" s="90"/>
      <c r="O8" s="5"/>
      <c r="Q8" s="90"/>
      <c r="S8" s="88"/>
      <c r="T8" s="88"/>
      <c r="U8" s="88"/>
      <c r="V8" s="88"/>
      <c r="W8" s="88"/>
      <c r="X8" s="88"/>
      <c r="Y8" s="88"/>
      <c r="Z8" s="89"/>
      <c r="AA8" s="64"/>
      <c r="AB8" s="64"/>
      <c r="AC8" s="64"/>
      <c r="AE8" s="64"/>
    </row>
    <row r="9" spans="1:31" x14ac:dyDescent="0.2">
      <c r="B9" s="1" t="str">
        <f>Statement!B195</f>
        <v>AECO</v>
      </c>
      <c r="C9" s="88">
        <f>Statement!M195</f>
        <v>1969</v>
      </c>
      <c r="D9" s="88">
        <f>Statement!N195</f>
        <v>2278</v>
      </c>
      <c r="E9" s="88">
        <f>Statement!O195</f>
        <v>2580</v>
      </c>
      <c r="F9" s="88">
        <f>Statement!P195</f>
        <v>2937</v>
      </c>
      <c r="G9" s="89">
        <f>Statement!Q195</f>
        <v>3583</v>
      </c>
      <c r="H9" s="64">
        <f>G9*(1+H21)</f>
        <v>4299.5999999999995</v>
      </c>
      <c r="I9" s="64">
        <f t="shared" ref="I9:L9" si="5">H9*(1+I21)</f>
        <v>5159.5199999999995</v>
      </c>
      <c r="J9" s="64">
        <f t="shared" si="5"/>
        <v>5933.4479999999994</v>
      </c>
      <c r="K9" s="64">
        <f t="shared" si="5"/>
        <v>6823.4651999999987</v>
      </c>
      <c r="L9" s="64">
        <f t="shared" si="5"/>
        <v>7505.8117199999988</v>
      </c>
      <c r="N9" s="90" t="s">
        <v>423</v>
      </c>
      <c r="O9" s="5"/>
      <c r="Q9" s="90" t="s">
        <v>423</v>
      </c>
      <c r="R9" s="1" t="str">
        <f t="shared" si="3"/>
        <v>AECO</v>
      </c>
      <c r="S9" s="88">
        <f>Statement!T195</f>
        <v>751</v>
      </c>
      <c r="T9" s="88">
        <f>Statement!U195</f>
        <v>799</v>
      </c>
      <c r="U9" s="88">
        <f>Statement!V195</f>
        <v>809</v>
      </c>
      <c r="V9" s="88">
        <f>Statement!W195</f>
        <v>878</v>
      </c>
      <c r="W9" s="88">
        <f>Statement!X195</f>
        <v>921</v>
      </c>
      <c r="X9" s="88">
        <f>Statement!Y195</f>
        <v>975</v>
      </c>
      <c r="Y9" s="88">
        <f>Statement!Z195</f>
        <v>970</v>
      </c>
      <c r="Z9" s="89">
        <f>Statement!AA195</f>
        <v>1029</v>
      </c>
      <c r="AA9" s="64">
        <f>Z9*(1+AA21)</f>
        <v>1075.3049999999998</v>
      </c>
      <c r="AB9" s="64"/>
      <c r="AC9" s="64"/>
      <c r="AE9" s="64">
        <f t="shared" si="4"/>
        <v>4049.3049999999998</v>
      </c>
    </row>
    <row r="10" spans="1:31" x14ac:dyDescent="0.2">
      <c r="B10" s="1" t="str">
        <f>Statement!B196</f>
        <v>AutoCAD and AutoCAD LT</v>
      </c>
      <c r="C10" s="88">
        <f>Statement!M196</f>
        <v>1244</v>
      </c>
      <c r="D10" s="88">
        <f>Statement!N196</f>
        <v>1387</v>
      </c>
      <c r="E10" s="88">
        <f>Statement!O196</f>
        <v>1462</v>
      </c>
      <c r="F10" s="88">
        <f>Statement!P196</f>
        <v>1572</v>
      </c>
      <c r="G10" s="89">
        <f>Statement!Q196</f>
        <v>1787</v>
      </c>
      <c r="H10" s="64">
        <f t="shared" ref="H10:L13" si="6">G10*(1+H22)</f>
        <v>1965.7</v>
      </c>
      <c r="I10" s="64">
        <f t="shared" si="6"/>
        <v>2201.5840000000003</v>
      </c>
      <c r="J10" s="64">
        <f t="shared" si="6"/>
        <v>2399.7265600000005</v>
      </c>
      <c r="K10" s="64">
        <f t="shared" si="6"/>
        <v>2615.7019504000009</v>
      </c>
      <c r="L10" s="64">
        <f t="shared" si="6"/>
        <v>2824.9581064320009</v>
      </c>
      <c r="N10" s="90" t="s">
        <v>424</v>
      </c>
      <c r="O10" s="5"/>
      <c r="Q10" s="90" t="s">
        <v>424</v>
      </c>
      <c r="R10" s="1" t="str">
        <f t="shared" si="3"/>
        <v>AutoCAD and AutoCAD LT</v>
      </c>
      <c r="S10" s="88">
        <f>Statement!T196</f>
        <v>398</v>
      </c>
      <c r="T10" s="88">
        <f>Statement!U196</f>
        <v>409</v>
      </c>
      <c r="U10" s="88">
        <f>Statement!V196</f>
        <v>411</v>
      </c>
      <c r="V10" s="88">
        <f>Statement!W196</f>
        <v>440</v>
      </c>
      <c r="W10" s="88">
        <f>Statement!X196</f>
        <v>458</v>
      </c>
      <c r="X10" s="88">
        <f>Statement!Y196</f>
        <v>478</v>
      </c>
      <c r="Y10" s="88">
        <f>Statement!Z196</f>
        <v>474</v>
      </c>
      <c r="Z10" s="89">
        <f>Statement!AA196</f>
        <v>500</v>
      </c>
      <c r="AA10" s="64">
        <f t="shared" ref="AA10:AA13" si="7">Z10*(1+AA22)</f>
        <v>520</v>
      </c>
      <c r="AB10" s="64"/>
      <c r="AC10" s="64"/>
      <c r="AE10" s="64">
        <f t="shared" si="4"/>
        <v>1972</v>
      </c>
    </row>
    <row r="11" spans="1:31" x14ac:dyDescent="0.2">
      <c r="B11" s="1" t="str">
        <f>Statement!B197</f>
        <v>Manufacturing</v>
      </c>
      <c r="C11" s="88">
        <f>Statement!M197</f>
        <v>876</v>
      </c>
      <c r="D11" s="88">
        <f>Statement!N197</f>
        <v>978</v>
      </c>
      <c r="E11" s="88">
        <f>Statement!O197</f>
        <v>1063</v>
      </c>
      <c r="F11" s="88">
        <f>Statement!P197</f>
        <v>1189</v>
      </c>
      <c r="G11" s="89">
        <f>Statement!Q197</f>
        <v>1379</v>
      </c>
      <c r="H11" s="64">
        <f t="shared" si="6"/>
        <v>1585.85</v>
      </c>
      <c r="I11" s="64">
        <f t="shared" si="6"/>
        <v>1823.7274999999997</v>
      </c>
      <c r="J11" s="64">
        <f t="shared" si="6"/>
        <v>2042.5747999999999</v>
      </c>
      <c r="K11" s="64">
        <f t="shared" si="6"/>
        <v>2246.8322800000001</v>
      </c>
      <c r="L11" s="64">
        <f t="shared" si="6"/>
        <v>2471.5155080000004</v>
      </c>
      <c r="N11" s="90" t="s">
        <v>425</v>
      </c>
      <c r="O11" s="5"/>
      <c r="Q11" s="90" t="s">
        <v>425</v>
      </c>
      <c r="R11" s="1" t="str">
        <f t="shared" si="3"/>
        <v>Manufacturing</v>
      </c>
      <c r="S11" s="88">
        <f>Statement!T197</f>
        <v>307</v>
      </c>
      <c r="T11" s="88">
        <f>Statement!U197</f>
        <v>318</v>
      </c>
      <c r="U11" s="88">
        <f>Statement!V197</f>
        <v>309</v>
      </c>
      <c r="V11" s="88">
        <f>Statement!W197</f>
        <v>334</v>
      </c>
      <c r="W11" s="88">
        <f>Statement!X197</f>
        <v>355</v>
      </c>
      <c r="X11" s="88">
        <f>Statement!Y197</f>
        <v>381</v>
      </c>
      <c r="Y11" s="88">
        <f>Statement!Z197</f>
        <v>367</v>
      </c>
      <c r="Z11" s="89">
        <f>Statement!AA197</f>
        <v>385</v>
      </c>
      <c r="AA11" s="64">
        <f t="shared" si="7"/>
        <v>402.32499999999999</v>
      </c>
      <c r="AB11" s="64"/>
      <c r="AC11" s="64"/>
      <c r="AE11" s="64">
        <f t="shared" si="4"/>
        <v>1535.325</v>
      </c>
    </row>
    <row r="12" spans="1:31" x14ac:dyDescent="0.2">
      <c r="B12" s="1" t="str">
        <f>Statement!B198</f>
        <v>Media and Entertainment</v>
      </c>
      <c r="C12" s="88">
        <f>Statement!M198</f>
        <v>259</v>
      </c>
      <c r="D12" s="88">
        <f>Statement!N198</f>
        <v>291</v>
      </c>
      <c r="E12" s="88">
        <f>Statement!O198</f>
        <v>295</v>
      </c>
      <c r="F12" s="88">
        <f>Statement!P198</f>
        <v>315</v>
      </c>
      <c r="G12" s="89">
        <f>Statement!Q198</f>
        <v>332</v>
      </c>
      <c r="H12" s="64">
        <f t="shared" si="6"/>
        <v>351.92</v>
      </c>
      <c r="I12" s="64">
        <f t="shared" si="6"/>
        <v>373.03520000000003</v>
      </c>
      <c r="J12" s="64">
        <f t="shared" si="6"/>
        <v>391.68696000000006</v>
      </c>
      <c r="K12" s="64">
        <f t="shared" si="6"/>
        <v>411.27130800000009</v>
      </c>
      <c r="L12" s="64">
        <f t="shared" si="6"/>
        <v>423.60944724000012</v>
      </c>
      <c r="N12" s="90" t="s">
        <v>426</v>
      </c>
      <c r="O12" s="5"/>
      <c r="Q12" s="90" t="s">
        <v>426</v>
      </c>
      <c r="R12" s="1" t="str">
        <f t="shared" si="3"/>
        <v>Media and Entertainment</v>
      </c>
      <c r="S12" s="88">
        <f>Statement!T198</f>
        <v>83</v>
      </c>
      <c r="T12" s="88">
        <f>Statement!U198</f>
        <v>84</v>
      </c>
      <c r="U12" s="88">
        <f>Statement!V198</f>
        <v>76</v>
      </c>
      <c r="V12" s="88">
        <f>Statement!W198</f>
        <v>80</v>
      </c>
      <c r="W12" s="88">
        <f>Statement!X198</f>
        <v>86</v>
      </c>
      <c r="X12" s="88">
        <f>Statement!Y198</f>
        <v>90</v>
      </c>
      <c r="Y12" s="88">
        <f>Statement!Z198</f>
        <v>86</v>
      </c>
      <c r="Z12" s="89">
        <f>Statement!AA198</f>
        <v>92</v>
      </c>
      <c r="AA12" s="64">
        <f t="shared" si="7"/>
        <v>96.600000000000009</v>
      </c>
      <c r="AB12" s="64"/>
      <c r="AC12" s="64"/>
      <c r="AE12" s="64">
        <f t="shared" si="4"/>
        <v>364.6</v>
      </c>
    </row>
    <row r="13" spans="1:31" x14ac:dyDescent="0.2">
      <c r="B13" s="1" t="str">
        <f>Statement!B199</f>
        <v>Other</v>
      </c>
      <c r="C13" s="88">
        <f>Statement!M199</f>
        <v>38</v>
      </c>
      <c r="D13" s="88">
        <f>Statement!N199</f>
        <v>71</v>
      </c>
      <c r="E13" s="88">
        <f>Statement!O199</f>
        <v>97</v>
      </c>
      <c r="F13" s="88">
        <f>Statement!P199</f>
        <v>118</v>
      </c>
      <c r="G13" s="89">
        <f>Statement!Q199</f>
        <v>125</v>
      </c>
      <c r="H13" s="64">
        <f t="shared" si="6"/>
        <v>133.75</v>
      </c>
      <c r="I13" s="64">
        <f t="shared" si="6"/>
        <v>143.11250000000001</v>
      </c>
      <c r="J13" s="64">
        <f t="shared" si="6"/>
        <v>150.26812500000003</v>
      </c>
      <c r="K13" s="64">
        <f t="shared" si="6"/>
        <v>154.77616875000004</v>
      </c>
      <c r="L13" s="64">
        <f t="shared" si="6"/>
        <v>159.41945381250005</v>
      </c>
      <c r="N13" s="90" t="s">
        <v>427</v>
      </c>
      <c r="O13" s="5"/>
      <c r="Q13" s="90" t="s">
        <v>427</v>
      </c>
      <c r="R13" s="1" t="str">
        <f t="shared" si="3"/>
        <v>Other</v>
      </c>
      <c r="S13" s="88">
        <f>Statement!T199</f>
        <v>31</v>
      </c>
      <c r="T13" s="88">
        <f>Statement!U199</f>
        <v>29</v>
      </c>
      <c r="U13" s="88">
        <f>Statement!V199</f>
        <v>28</v>
      </c>
      <c r="V13" s="88">
        <f>Statement!W199</f>
        <v>31</v>
      </c>
      <c r="W13" s="88">
        <f>Statement!X199</f>
        <v>33</v>
      </c>
      <c r="X13" s="88">
        <f>Statement!Y199</f>
        <v>33</v>
      </c>
      <c r="Y13" s="88">
        <f>Statement!Z199</f>
        <v>37</v>
      </c>
      <c r="Z13" s="89">
        <f>Statement!AA199</f>
        <v>40</v>
      </c>
      <c r="AA13" s="64">
        <f t="shared" si="7"/>
        <v>43.2</v>
      </c>
      <c r="AB13" s="64"/>
      <c r="AC13" s="64"/>
      <c r="AE13" s="64">
        <f t="shared" si="4"/>
        <v>153.19999999999999</v>
      </c>
    </row>
    <row r="14" spans="1:31" x14ac:dyDescent="0.2">
      <c r="B14" s="16" t="s">
        <v>120</v>
      </c>
      <c r="C14" s="92">
        <f>Statement!M5</f>
        <v>4386</v>
      </c>
      <c r="D14" s="92">
        <f>Statement!N5</f>
        <v>5005</v>
      </c>
      <c r="E14" s="92">
        <f>Statement!O5</f>
        <v>5497</v>
      </c>
      <c r="F14" s="92">
        <f>Statement!P5</f>
        <v>6131</v>
      </c>
      <c r="G14" s="93">
        <f>Statement!Q5</f>
        <v>7206</v>
      </c>
      <c r="H14" s="94">
        <f>SUM(H9:H13)</f>
        <v>8336.82</v>
      </c>
      <c r="I14" s="94">
        <f t="shared" ref="I14:L14" si="8">SUM(I9:I13)</f>
        <v>9700.9791999999979</v>
      </c>
      <c r="J14" s="94">
        <f t="shared" si="8"/>
        <v>10917.704445000001</v>
      </c>
      <c r="K14" s="94">
        <f t="shared" si="8"/>
        <v>12252.046907150001</v>
      </c>
      <c r="L14" s="94">
        <f t="shared" si="8"/>
        <v>13385.314235484499</v>
      </c>
      <c r="O14" s="5"/>
      <c r="R14" s="16" t="s">
        <v>120</v>
      </c>
      <c r="S14" s="92">
        <f>Statement!T5</f>
        <v>1570</v>
      </c>
      <c r="T14" s="92">
        <f>Statement!U5</f>
        <v>1639</v>
      </c>
      <c r="U14" s="92">
        <f>Statement!V5</f>
        <v>1633</v>
      </c>
      <c r="V14" s="92">
        <f>Statement!W5</f>
        <v>1763</v>
      </c>
      <c r="W14" s="92">
        <f>Statement!X5</f>
        <v>1853</v>
      </c>
      <c r="X14" s="92">
        <f>Statement!Y5</f>
        <v>1957</v>
      </c>
      <c r="Y14" s="92">
        <f>Statement!Z5</f>
        <v>1934</v>
      </c>
      <c r="Z14" s="93">
        <f>Statement!AA5</f>
        <v>2046</v>
      </c>
      <c r="AA14" s="94">
        <f>SUM(AA9:AA13)</f>
        <v>2137.4299999999998</v>
      </c>
      <c r="AB14" s="94"/>
      <c r="AC14" s="94"/>
      <c r="AE14" s="94">
        <f>SUM(X14:AA14)</f>
        <v>8074.43</v>
      </c>
    </row>
    <row r="15" spans="1:31" x14ac:dyDescent="0.2">
      <c r="O15" s="5"/>
      <c r="Q15" s="91"/>
    </row>
    <row r="16" spans="1:31" x14ac:dyDescent="0.2">
      <c r="C16" s="248" t="s">
        <v>121</v>
      </c>
      <c r="D16" s="248"/>
      <c r="E16" s="248"/>
      <c r="F16" s="248"/>
      <c r="G16" s="248"/>
      <c r="H16" s="248"/>
      <c r="I16" s="248"/>
      <c r="J16" s="248"/>
      <c r="K16" s="248"/>
      <c r="L16" s="248"/>
      <c r="O16" s="5"/>
      <c r="Q16" s="91"/>
      <c r="S16" s="249" t="s">
        <v>121</v>
      </c>
      <c r="T16" s="250"/>
      <c r="U16" s="250"/>
      <c r="V16" s="250"/>
      <c r="W16" s="250"/>
      <c r="X16" s="250"/>
      <c r="Y16" s="250"/>
      <c r="Z16" s="250"/>
      <c r="AA16" s="250"/>
      <c r="AB16" s="250"/>
      <c r="AC16" s="250"/>
    </row>
    <row r="17" spans="2:31" x14ac:dyDescent="0.2">
      <c r="B17" s="16" t="s">
        <v>122</v>
      </c>
      <c r="C17" s="12">
        <f t="shared" ref="C17:L17" si="9">C5</f>
        <v>2022</v>
      </c>
      <c r="D17" s="12">
        <f t="shared" si="9"/>
        <v>2023</v>
      </c>
      <c r="E17" s="12">
        <f t="shared" si="9"/>
        <v>2024</v>
      </c>
      <c r="F17" s="12">
        <f t="shared" si="9"/>
        <v>2025</v>
      </c>
      <c r="G17" s="12">
        <f t="shared" si="9"/>
        <v>2026</v>
      </c>
      <c r="H17" s="12">
        <f t="shared" si="9"/>
        <v>2027</v>
      </c>
      <c r="I17" s="12">
        <f t="shared" si="9"/>
        <v>2028</v>
      </c>
      <c r="J17" s="12">
        <f t="shared" si="9"/>
        <v>2029</v>
      </c>
      <c r="K17" s="12">
        <f t="shared" si="9"/>
        <v>2030</v>
      </c>
      <c r="L17" s="12">
        <f t="shared" si="9"/>
        <v>2031</v>
      </c>
      <c r="O17" s="5"/>
      <c r="Q17" s="91"/>
      <c r="R17" s="16" t="s">
        <v>122</v>
      </c>
      <c r="S17" s="12" t="str">
        <f t="shared" ref="S17:AC17" si="10">S5</f>
        <v>Q3 2025</v>
      </c>
      <c r="T17" s="12" t="str">
        <f t="shared" si="10"/>
        <v>Q4 2025</v>
      </c>
      <c r="U17" s="12" t="str">
        <f t="shared" si="10"/>
        <v>Q1 2026</v>
      </c>
      <c r="V17" s="12" t="str">
        <f t="shared" si="10"/>
        <v>Q2 2026</v>
      </c>
      <c r="W17" s="12" t="str">
        <f t="shared" si="10"/>
        <v>Q3 2026</v>
      </c>
      <c r="X17" s="12" t="str">
        <f t="shared" si="10"/>
        <v>Q4 2026</v>
      </c>
      <c r="Y17" s="12" t="str">
        <f t="shared" si="10"/>
        <v>Q1 2027</v>
      </c>
      <c r="Z17" s="12" t="str">
        <f t="shared" si="10"/>
        <v>Q2 2027</v>
      </c>
      <c r="AA17" s="12" t="str">
        <f t="shared" si="10"/>
        <v>FQ1</v>
      </c>
      <c r="AB17" s="12" t="str">
        <f t="shared" si="10"/>
        <v>FQ2</v>
      </c>
      <c r="AC17" s="12" t="str">
        <f t="shared" si="10"/>
        <v>FQ3</v>
      </c>
    </row>
    <row r="18" spans="2:31" x14ac:dyDescent="0.2">
      <c r="B18" s="1" t="str">
        <f>B6</f>
        <v>Subscription</v>
      </c>
      <c r="C18" s="47"/>
      <c r="D18" s="95">
        <f t="shared" ref="D18:G18" si="11">D6/C6-1</f>
        <v>0.14023210831721467</v>
      </c>
      <c r="E18" s="95">
        <f t="shared" si="11"/>
        <v>9.6268023748939724E-2</v>
      </c>
      <c r="F18" s="95">
        <f t="shared" si="11"/>
        <v>0.11373307543520306</v>
      </c>
      <c r="G18" s="96">
        <f t="shared" si="11"/>
        <v>0.176797499131643</v>
      </c>
      <c r="H18" s="95">
        <f t="shared" ref="H18:H19" si="12">H6/G6-1</f>
        <v>0.1626763429752065</v>
      </c>
      <c r="I18" s="95">
        <f t="shared" ref="I18:I19" si="13">I6/H6-1</f>
        <v>0.16363064093983049</v>
      </c>
      <c r="J18" s="95">
        <f t="shared" ref="J18:J19" si="14">J6/I6-1</f>
        <v>0.13018662596321273</v>
      </c>
      <c r="K18" s="95">
        <f t="shared" ref="K18:K19" si="15">K6/J6-1</f>
        <v>0.12340075245659365</v>
      </c>
      <c r="L18" s="95">
        <f t="shared" ref="L18:L19" si="16">L6/K6-1</f>
        <v>9.2496163043021662E-2</v>
      </c>
      <c r="O18" s="5"/>
      <c r="Q18" s="91"/>
      <c r="R18" s="1" t="str">
        <f>R6</f>
        <v>Subscription</v>
      </c>
      <c r="S18" s="47"/>
      <c r="T18" s="95">
        <f t="shared" ref="T18:Z19" si="17">T6/S6-1</f>
        <v>4.5020463847203374E-2</v>
      </c>
      <c r="U18" s="95">
        <f t="shared" si="17"/>
        <v>5.2219321148825326E-3</v>
      </c>
      <c r="V18" s="95">
        <f t="shared" si="17"/>
        <v>8.2467532467532578E-2</v>
      </c>
      <c r="W18" s="95">
        <f t="shared" si="17"/>
        <v>4.4991001799639996E-2</v>
      </c>
      <c r="X18" s="95">
        <f t="shared" si="17"/>
        <v>4.8794489092996551E-2</v>
      </c>
      <c r="Y18" s="95">
        <f t="shared" si="17"/>
        <v>4.9261083743843415E-3</v>
      </c>
      <c r="Z18" s="96">
        <f t="shared" si="17"/>
        <v>6.3180827886710311E-2</v>
      </c>
      <c r="AA18" s="95">
        <f t="shared" ref="AA18:AA19" si="18">AA6/Z6-1</f>
        <v>4.0245133196721294E-2</v>
      </c>
      <c r="AB18" s="95"/>
      <c r="AC18" s="95"/>
    </row>
    <row r="19" spans="2:31" x14ac:dyDescent="0.2">
      <c r="B19" s="1" t="str">
        <f>B7</f>
        <v>Other</v>
      </c>
      <c r="C19" s="47"/>
      <c r="D19" s="95">
        <f t="shared" ref="D19:G19" si="19">D7/C7-1</f>
        <v>0.15599999999999992</v>
      </c>
      <c r="E19" s="95">
        <f t="shared" si="19"/>
        <v>0.13148788927335642</v>
      </c>
      <c r="F19" s="95">
        <f t="shared" si="19"/>
        <v>0.14067278287461771</v>
      </c>
      <c r="G19" s="96">
        <f t="shared" si="19"/>
        <v>0.15281501340482584</v>
      </c>
      <c r="H19" s="95">
        <f t="shared" si="12"/>
        <v>6.6337441860465196E-2</v>
      </c>
      <c r="I19" s="95">
        <f t="shared" si="13"/>
        <v>0.16363064093983049</v>
      </c>
      <c r="J19" s="95">
        <f t="shared" si="14"/>
        <v>4.357399057950051E-2</v>
      </c>
      <c r="K19" s="95">
        <f t="shared" si="15"/>
        <v>0.10021394642033798</v>
      </c>
      <c r="L19" s="95">
        <f t="shared" si="16"/>
        <v>9.2496163043021884E-2</v>
      </c>
      <c r="O19" s="5"/>
      <c r="Q19" s="91"/>
      <c r="R19" s="1" t="str">
        <f>R7</f>
        <v>Other</v>
      </c>
      <c r="S19" s="47"/>
      <c r="T19" s="95">
        <f t="shared" si="17"/>
        <v>2.8846153846153744E-2</v>
      </c>
      <c r="U19" s="95">
        <f t="shared" si="17"/>
        <v>-0.13084112149532712</v>
      </c>
      <c r="V19" s="95">
        <f t="shared" si="17"/>
        <v>3.2258064516129004E-2</v>
      </c>
      <c r="W19" s="95">
        <f t="shared" si="17"/>
        <v>0.15625</v>
      </c>
      <c r="X19" s="95">
        <f t="shared" si="17"/>
        <v>0.1711711711711712</v>
      </c>
      <c r="Y19" s="95">
        <f t="shared" si="17"/>
        <v>-0.24615384615384617</v>
      </c>
      <c r="Z19" s="96">
        <f t="shared" si="17"/>
        <v>-4.081632653061229E-2</v>
      </c>
      <c r="AA19" s="95">
        <f t="shared" si="18"/>
        <v>0.13693085106382985</v>
      </c>
      <c r="AB19" s="95"/>
      <c r="AC19" s="95"/>
    </row>
    <row r="20" spans="2:31" x14ac:dyDescent="0.2">
      <c r="C20" s="47"/>
      <c r="D20" s="95"/>
      <c r="E20" s="95"/>
      <c r="F20" s="95"/>
      <c r="G20" s="96"/>
      <c r="H20" s="95"/>
      <c r="I20" s="95"/>
      <c r="J20" s="95"/>
      <c r="K20" s="95"/>
      <c r="L20" s="95"/>
      <c r="O20" s="5"/>
      <c r="Q20" s="91"/>
      <c r="S20" s="47"/>
      <c r="T20" s="95"/>
      <c r="U20" s="95"/>
      <c r="V20" s="95"/>
      <c r="W20" s="95"/>
      <c r="X20" s="95"/>
      <c r="Y20" s="95"/>
      <c r="Z20" s="96"/>
      <c r="AA20" s="95"/>
      <c r="AB20" s="95"/>
      <c r="AC20" s="95"/>
    </row>
    <row r="21" spans="2:31" x14ac:dyDescent="0.2">
      <c r="B21" s="1" t="str">
        <f>B9</f>
        <v>AECO</v>
      </c>
      <c r="C21" s="47"/>
      <c r="D21" s="95">
        <f t="shared" ref="D21:D25" si="20">D9/C9-1</f>
        <v>0.15693245302183856</v>
      </c>
      <c r="E21" s="95">
        <f t="shared" ref="E21:E25" si="21">E9/D9-1</f>
        <v>0.13257243195785784</v>
      </c>
      <c r="F21" s="95">
        <f t="shared" ref="F21:F25" si="22">F9/E9-1</f>
        <v>0.1383720930232557</v>
      </c>
      <c r="G21" s="96">
        <f t="shared" ref="G21:G25" si="23">G9/F9-1</f>
        <v>0.21995233231188283</v>
      </c>
      <c r="H21" s="97">
        <v>0.2</v>
      </c>
      <c r="I21" s="97">
        <v>0.2</v>
      </c>
      <c r="J21" s="97">
        <v>0.15</v>
      </c>
      <c r="K21" s="97">
        <v>0.15</v>
      </c>
      <c r="L21" s="97">
        <v>0.1</v>
      </c>
      <c r="O21" s="5"/>
      <c r="Q21" s="91"/>
      <c r="R21" s="1" t="str">
        <f t="shared" ref="R21:R25" si="24">R9</f>
        <v>AECO</v>
      </c>
      <c r="S21" s="47"/>
      <c r="T21" s="95">
        <f t="shared" ref="T21:Z21" si="25">T9/S9-1</f>
        <v>6.391478029294273E-2</v>
      </c>
      <c r="U21" s="95">
        <f t="shared" si="25"/>
        <v>1.2515644555694649E-2</v>
      </c>
      <c r="V21" s="95">
        <f t="shared" si="25"/>
        <v>8.5290482076637808E-2</v>
      </c>
      <c r="W21" s="95">
        <f t="shared" si="25"/>
        <v>4.8974943052391806E-2</v>
      </c>
      <c r="X21" s="95">
        <f t="shared" si="25"/>
        <v>5.8631921824104261E-2</v>
      </c>
      <c r="Y21" s="95">
        <f t="shared" si="25"/>
        <v>-5.12820512820511E-3</v>
      </c>
      <c r="Z21" s="96">
        <f t="shared" si="25"/>
        <v>6.0824742268041243E-2</v>
      </c>
      <c r="AA21" s="97">
        <v>4.4999999999999998E-2</v>
      </c>
      <c r="AB21" s="97"/>
      <c r="AC21" s="97"/>
    </row>
    <row r="22" spans="2:31" x14ac:dyDescent="0.2">
      <c r="B22" s="1" t="str">
        <f t="shared" ref="B22:B25" si="26">B10</f>
        <v>AutoCAD and AutoCAD LT</v>
      </c>
      <c r="C22" s="47"/>
      <c r="D22" s="95">
        <f t="shared" si="20"/>
        <v>0.114951768488746</v>
      </c>
      <c r="E22" s="95">
        <f t="shared" si="21"/>
        <v>5.4073540014419663E-2</v>
      </c>
      <c r="F22" s="95">
        <f t="shared" si="22"/>
        <v>7.523939808481539E-2</v>
      </c>
      <c r="G22" s="96">
        <f t="shared" si="23"/>
        <v>0.13676844783715003</v>
      </c>
      <c r="H22" s="97">
        <v>0.1</v>
      </c>
      <c r="I22" s="97">
        <v>0.12</v>
      </c>
      <c r="J22" s="97">
        <v>0.09</v>
      </c>
      <c r="K22" s="97">
        <v>0.09</v>
      </c>
      <c r="L22" s="97">
        <v>0.08</v>
      </c>
      <c r="O22" s="5"/>
      <c r="Q22" s="91"/>
      <c r="R22" s="1" t="str">
        <f t="shared" si="24"/>
        <v>AutoCAD and AutoCAD LT</v>
      </c>
      <c r="S22" s="47"/>
      <c r="T22" s="95">
        <f t="shared" ref="T22:Z22" si="27">T10/S10-1</f>
        <v>2.7638190954773822E-2</v>
      </c>
      <c r="U22" s="95">
        <f t="shared" si="27"/>
        <v>4.8899755501221609E-3</v>
      </c>
      <c r="V22" s="95">
        <f t="shared" si="27"/>
        <v>7.0559610705596132E-2</v>
      </c>
      <c r="W22" s="95">
        <f t="shared" si="27"/>
        <v>4.0909090909091006E-2</v>
      </c>
      <c r="X22" s="95">
        <f t="shared" si="27"/>
        <v>4.366812227074246E-2</v>
      </c>
      <c r="Y22" s="95">
        <f t="shared" si="27"/>
        <v>-8.3682008368201055E-3</v>
      </c>
      <c r="Z22" s="96">
        <f t="shared" si="27"/>
        <v>5.4852320675105481E-2</v>
      </c>
      <c r="AA22" s="97">
        <v>0.04</v>
      </c>
      <c r="AB22" s="97"/>
      <c r="AC22" s="97"/>
    </row>
    <row r="23" spans="2:31" x14ac:dyDescent="0.2">
      <c r="B23" s="1" t="str">
        <f t="shared" si="26"/>
        <v>Manufacturing</v>
      </c>
      <c r="C23" s="47"/>
      <c r="D23" s="95">
        <f t="shared" si="20"/>
        <v>0.11643835616438358</v>
      </c>
      <c r="E23" s="95">
        <f t="shared" si="21"/>
        <v>8.6912065439672892E-2</v>
      </c>
      <c r="F23" s="95">
        <f t="shared" si="22"/>
        <v>0.11853245531514589</v>
      </c>
      <c r="G23" s="96">
        <f t="shared" si="23"/>
        <v>0.15979814970563488</v>
      </c>
      <c r="H23" s="97">
        <v>0.15</v>
      </c>
      <c r="I23" s="97">
        <v>0.15</v>
      </c>
      <c r="J23" s="97">
        <v>0.12</v>
      </c>
      <c r="K23" s="97">
        <v>0.1</v>
      </c>
      <c r="L23" s="97">
        <v>0.1</v>
      </c>
      <c r="O23" s="5"/>
      <c r="Q23" s="91"/>
      <c r="R23" s="1" t="str">
        <f t="shared" si="24"/>
        <v>Manufacturing</v>
      </c>
      <c r="S23" s="47"/>
      <c r="T23" s="95">
        <f t="shared" ref="T23:Z23" si="28">T11/S11-1</f>
        <v>3.5830618892508159E-2</v>
      </c>
      <c r="U23" s="95">
        <f t="shared" si="28"/>
        <v>-2.8301886792452824E-2</v>
      </c>
      <c r="V23" s="95">
        <f t="shared" si="28"/>
        <v>8.0906148867313954E-2</v>
      </c>
      <c r="W23" s="95">
        <f t="shared" si="28"/>
        <v>6.2874251497005984E-2</v>
      </c>
      <c r="X23" s="95">
        <f t="shared" si="28"/>
        <v>7.3239436619718212E-2</v>
      </c>
      <c r="Y23" s="95">
        <f t="shared" si="28"/>
        <v>-3.6745406824146953E-2</v>
      </c>
      <c r="Z23" s="96">
        <f t="shared" si="28"/>
        <v>4.9046321525885617E-2</v>
      </c>
      <c r="AA23" s="97">
        <v>4.4999999999999998E-2</v>
      </c>
      <c r="AB23" s="97"/>
      <c r="AC23" s="97"/>
    </row>
    <row r="24" spans="2:31" x14ac:dyDescent="0.2">
      <c r="B24" s="1" t="str">
        <f t="shared" si="26"/>
        <v>Media and Entertainment</v>
      </c>
      <c r="C24" s="47"/>
      <c r="D24" s="95">
        <f t="shared" si="20"/>
        <v>0.12355212355212353</v>
      </c>
      <c r="E24" s="95">
        <f t="shared" si="21"/>
        <v>1.3745704467353903E-2</v>
      </c>
      <c r="F24" s="95">
        <f t="shared" si="22"/>
        <v>6.7796610169491567E-2</v>
      </c>
      <c r="G24" s="96">
        <f t="shared" si="23"/>
        <v>5.3968253968253999E-2</v>
      </c>
      <c r="H24" s="97">
        <v>0.06</v>
      </c>
      <c r="I24" s="97">
        <v>0.06</v>
      </c>
      <c r="J24" s="97">
        <v>0.05</v>
      </c>
      <c r="K24" s="97">
        <v>0.05</v>
      </c>
      <c r="L24" s="97">
        <v>0.03</v>
      </c>
      <c r="O24" s="5"/>
      <c r="Q24" s="91"/>
      <c r="R24" s="1" t="str">
        <f t="shared" si="24"/>
        <v>Media and Entertainment</v>
      </c>
      <c r="S24" s="47"/>
      <c r="T24" s="95">
        <f t="shared" ref="T24:Z24" si="29">T12/S12-1</f>
        <v>1.2048192771084265E-2</v>
      </c>
      <c r="U24" s="95">
        <f t="shared" si="29"/>
        <v>-9.5238095238095233E-2</v>
      </c>
      <c r="V24" s="95">
        <f t="shared" si="29"/>
        <v>5.2631578947368363E-2</v>
      </c>
      <c r="W24" s="95">
        <f t="shared" si="29"/>
        <v>7.4999999999999956E-2</v>
      </c>
      <c r="X24" s="95">
        <f t="shared" si="29"/>
        <v>4.6511627906976827E-2</v>
      </c>
      <c r="Y24" s="95">
        <f t="shared" si="29"/>
        <v>-4.4444444444444398E-2</v>
      </c>
      <c r="Z24" s="96">
        <f t="shared" si="29"/>
        <v>6.9767441860465018E-2</v>
      </c>
      <c r="AA24" s="97">
        <v>0.05</v>
      </c>
      <c r="AB24" s="97"/>
      <c r="AC24" s="97"/>
    </row>
    <row r="25" spans="2:31" x14ac:dyDescent="0.2">
      <c r="B25" s="1" t="str">
        <f t="shared" si="26"/>
        <v>Other</v>
      </c>
      <c r="C25" s="47"/>
      <c r="D25" s="95">
        <f t="shared" si="20"/>
        <v>0.86842105263157898</v>
      </c>
      <c r="E25" s="95">
        <f t="shared" si="21"/>
        <v>0.36619718309859151</v>
      </c>
      <c r="F25" s="95">
        <f t="shared" si="22"/>
        <v>0.21649484536082464</v>
      </c>
      <c r="G25" s="96">
        <f t="shared" si="23"/>
        <v>5.9322033898305149E-2</v>
      </c>
      <c r="H25" s="97">
        <v>7.0000000000000007E-2</v>
      </c>
      <c r="I25" s="97">
        <v>7.0000000000000007E-2</v>
      </c>
      <c r="J25" s="97">
        <v>0.05</v>
      </c>
      <c r="K25" s="97">
        <v>0.03</v>
      </c>
      <c r="L25" s="97">
        <v>0.03</v>
      </c>
      <c r="O25" s="5"/>
      <c r="Q25" s="91"/>
      <c r="R25" s="1" t="str">
        <f t="shared" si="24"/>
        <v>Other</v>
      </c>
      <c r="S25" s="47"/>
      <c r="T25" s="95">
        <f t="shared" ref="T25:Z25" si="30">T13/S13-1</f>
        <v>-6.4516129032258118E-2</v>
      </c>
      <c r="U25" s="95">
        <f t="shared" si="30"/>
        <v>-3.4482758620689613E-2</v>
      </c>
      <c r="V25" s="95">
        <f t="shared" si="30"/>
        <v>0.10714285714285721</v>
      </c>
      <c r="W25" s="95">
        <f t="shared" si="30"/>
        <v>6.4516129032258007E-2</v>
      </c>
      <c r="X25" s="95">
        <f t="shared" si="30"/>
        <v>0</v>
      </c>
      <c r="Y25" s="95">
        <f t="shared" si="30"/>
        <v>0.1212121212121211</v>
      </c>
      <c r="Z25" s="96">
        <f t="shared" si="30"/>
        <v>8.1081081081081141E-2</v>
      </c>
      <c r="AA25" s="97">
        <v>0.08</v>
      </c>
      <c r="AB25" s="97"/>
      <c r="AC25" s="97"/>
    </row>
    <row r="26" spans="2:31" x14ac:dyDescent="0.2">
      <c r="B26" s="16" t="str">
        <f>B14</f>
        <v>Total</v>
      </c>
      <c r="C26" s="47"/>
      <c r="D26" s="103">
        <f t="shared" ref="D26:L26" si="31">D14/C14-1</f>
        <v>0.14113087095303234</v>
      </c>
      <c r="E26" s="103">
        <f t="shared" si="31"/>
        <v>9.8301698301698215E-2</v>
      </c>
      <c r="F26" s="103">
        <f t="shared" si="31"/>
        <v>0.11533563762052035</v>
      </c>
      <c r="G26" s="104">
        <f t="shared" si="31"/>
        <v>0.1753384439732506</v>
      </c>
      <c r="H26" s="103">
        <f t="shared" si="31"/>
        <v>0.15692756036636135</v>
      </c>
      <c r="I26" s="103">
        <f t="shared" si="31"/>
        <v>0.16363064093983049</v>
      </c>
      <c r="J26" s="103">
        <f t="shared" si="31"/>
        <v>0.12542293101710844</v>
      </c>
      <c r="K26" s="103">
        <f t="shared" si="31"/>
        <v>0.12221822534874449</v>
      </c>
      <c r="L26" s="103">
        <f t="shared" si="31"/>
        <v>9.2496163043021884E-2</v>
      </c>
      <c r="O26" s="5"/>
      <c r="Q26" s="91"/>
      <c r="R26" s="16" t="str">
        <f>R14</f>
        <v>Total</v>
      </c>
      <c r="S26" s="47"/>
      <c r="T26" s="103">
        <f t="shared" ref="T26:AA26" si="32">T14/S14-1</f>
        <v>4.3949044585987362E-2</v>
      </c>
      <c r="U26" s="103">
        <f t="shared" si="32"/>
        <v>-3.6607687614399476E-3</v>
      </c>
      <c r="V26" s="103">
        <f t="shared" si="32"/>
        <v>7.9608083282302511E-2</v>
      </c>
      <c r="W26" s="103">
        <f t="shared" si="32"/>
        <v>5.1049347702779357E-2</v>
      </c>
      <c r="X26" s="103">
        <f t="shared" si="32"/>
        <v>5.6125202374527783E-2</v>
      </c>
      <c r="Y26" s="103">
        <f t="shared" si="32"/>
        <v>-1.1752682677567683E-2</v>
      </c>
      <c r="Z26" s="104">
        <f t="shared" si="32"/>
        <v>5.7911065149948371E-2</v>
      </c>
      <c r="AA26" s="103">
        <f t="shared" si="32"/>
        <v>4.4687194525904195E-2</v>
      </c>
      <c r="AB26" s="103"/>
      <c r="AC26" s="103"/>
    </row>
    <row r="27" spans="2:31" x14ac:dyDescent="0.2">
      <c r="O27" s="5"/>
      <c r="Q27" s="91"/>
    </row>
    <row r="28" spans="2:31" x14ac:dyDescent="0.2">
      <c r="C28" s="248" t="s">
        <v>422</v>
      </c>
      <c r="D28" s="248"/>
      <c r="E28" s="248"/>
      <c r="F28" s="248"/>
      <c r="G28" s="248"/>
      <c r="H28" s="248"/>
      <c r="I28" s="248"/>
      <c r="J28" s="248"/>
      <c r="K28" s="248"/>
      <c r="L28" s="248"/>
      <c r="O28" s="5"/>
      <c r="Q28" s="91"/>
      <c r="S28" s="249" t="s">
        <v>422</v>
      </c>
      <c r="T28" s="250"/>
      <c r="U28" s="250"/>
      <c r="V28" s="250"/>
      <c r="W28" s="250"/>
      <c r="X28" s="250"/>
      <c r="Y28" s="250"/>
      <c r="Z28" s="250"/>
      <c r="AA28" s="250"/>
      <c r="AB28" s="250"/>
      <c r="AC28" s="250"/>
      <c r="AE28" s="87"/>
    </row>
    <row r="29" spans="2:31" x14ac:dyDescent="0.2">
      <c r="B29" s="16"/>
      <c r="C29" s="12">
        <f t="shared" ref="C29:L29" si="33">C17</f>
        <v>2022</v>
      </c>
      <c r="D29" s="12">
        <f t="shared" si="33"/>
        <v>2023</v>
      </c>
      <c r="E29" s="12">
        <f t="shared" si="33"/>
        <v>2024</v>
      </c>
      <c r="F29" s="12">
        <f t="shared" si="33"/>
        <v>2025</v>
      </c>
      <c r="G29" s="12">
        <f t="shared" si="33"/>
        <v>2026</v>
      </c>
      <c r="H29" s="12">
        <f t="shared" si="33"/>
        <v>2027</v>
      </c>
      <c r="I29" s="12">
        <f t="shared" si="33"/>
        <v>2028</v>
      </c>
      <c r="J29" s="12">
        <f t="shared" si="33"/>
        <v>2029</v>
      </c>
      <c r="K29" s="12">
        <f t="shared" si="33"/>
        <v>2030</v>
      </c>
      <c r="L29" s="12">
        <f t="shared" si="33"/>
        <v>2031</v>
      </c>
      <c r="O29" s="5"/>
      <c r="Q29" s="91"/>
      <c r="R29" s="16"/>
      <c r="S29" s="12" t="str">
        <f t="shared" ref="S29:AC29" si="34">S17</f>
        <v>Q3 2025</v>
      </c>
      <c r="T29" s="12" t="str">
        <f t="shared" si="34"/>
        <v>Q4 2025</v>
      </c>
      <c r="U29" s="12" t="str">
        <f t="shared" si="34"/>
        <v>Q1 2026</v>
      </c>
      <c r="V29" s="12" t="str">
        <f t="shared" si="34"/>
        <v>Q2 2026</v>
      </c>
      <c r="W29" s="12" t="str">
        <f t="shared" si="34"/>
        <v>Q3 2026</v>
      </c>
      <c r="X29" s="12" t="str">
        <f t="shared" si="34"/>
        <v>Q4 2026</v>
      </c>
      <c r="Y29" s="12" t="str">
        <f t="shared" si="34"/>
        <v>Q1 2027</v>
      </c>
      <c r="Z29" s="12" t="str">
        <f t="shared" si="34"/>
        <v>Q2 2027</v>
      </c>
      <c r="AA29" s="12" t="str">
        <f t="shared" si="34"/>
        <v>FQ1</v>
      </c>
      <c r="AB29" s="12" t="str">
        <f t="shared" si="34"/>
        <v>FQ2</v>
      </c>
      <c r="AC29" s="12" t="str">
        <f t="shared" si="34"/>
        <v>FQ3</v>
      </c>
      <c r="AE29" s="8" t="s">
        <v>117</v>
      </c>
    </row>
    <row r="30" spans="2:31" x14ac:dyDescent="0.2">
      <c r="B30" s="1" t="str">
        <f>B7&amp;" % of revenue"</f>
        <v>Other % of revenue</v>
      </c>
      <c r="C30" s="95">
        <f>C7/C14</f>
        <v>5.699954400364797E-2</v>
      </c>
      <c r="D30" s="95">
        <f t="shared" ref="D30:G30" si="35">D7/D14</f>
        <v>5.774225774225774E-2</v>
      </c>
      <c r="E30" s="95">
        <f t="shared" si="35"/>
        <v>5.9486992905221033E-2</v>
      </c>
      <c r="F30" s="95">
        <f t="shared" si="35"/>
        <v>6.0838362420486056E-2</v>
      </c>
      <c r="G30" s="96">
        <f t="shared" si="35"/>
        <v>5.9672495142936439E-2</v>
      </c>
      <c r="H30" s="97">
        <v>5.5E-2</v>
      </c>
      <c r="I30" s="97">
        <v>5.5E-2</v>
      </c>
      <c r="J30" s="97">
        <v>5.0999999999999997E-2</v>
      </c>
      <c r="K30" s="97">
        <v>0.05</v>
      </c>
      <c r="L30" s="97">
        <v>0.05</v>
      </c>
      <c r="O30" s="5"/>
      <c r="Q30" s="91"/>
      <c r="R30" s="1" t="str">
        <f>R7&amp;" % of revenue"</f>
        <v>Other % of revenue</v>
      </c>
      <c r="S30" s="95">
        <f>S7/S14</f>
        <v>6.6242038216560509E-2</v>
      </c>
      <c r="T30" s="95">
        <f t="shared" ref="T30:Z30" si="36">T7/T14</f>
        <v>6.5283709579011598E-2</v>
      </c>
      <c r="U30" s="95">
        <f t="shared" si="36"/>
        <v>5.6950398040416413E-2</v>
      </c>
      <c r="V30" s="95">
        <f t="shared" si="36"/>
        <v>5.4452637549631311E-2</v>
      </c>
      <c r="W30" s="95">
        <f t="shared" si="36"/>
        <v>5.9902860226659471E-2</v>
      </c>
      <c r="X30" s="95">
        <f t="shared" si="36"/>
        <v>6.642820643842616E-2</v>
      </c>
      <c r="Y30" s="95">
        <f t="shared" si="36"/>
        <v>5.0672182006204755E-2</v>
      </c>
      <c r="Z30" s="96">
        <f t="shared" si="36"/>
        <v>4.5943304007820138E-2</v>
      </c>
      <c r="AA30" s="97">
        <v>0.05</v>
      </c>
      <c r="AB30" s="97"/>
      <c r="AC30" s="97"/>
      <c r="AE30" s="95">
        <f t="shared" ref="AE30" si="37">AE7/AE14</f>
        <v>5.3114770949776013E-2</v>
      </c>
    </row>
    <row r="31" spans="2:31" x14ac:dyDescent="0.2">
      <c r="O31" s="5"/>
      <c r="Q31" s="91"/>
    </row>
    <row r="32" spans="2:31" x14ac:dyDescent="0.2">
      <c r="O32" s="5"/>
      <c r="Q32" s="91"/>
    </row>
    <row r="33" spans="15:17" x14ac:dyDescent="0.2">
      <c r="O33" s="5"/>
      <c r="Q33" s="91"/>
    </row>
  </sheetData>
  <mergeCells count="10">
    <mergeCell ref="C28:L28"/>
    <mergeCell ref="S28:AC28"/>
    <mergeCell ref="C16:L16"/>
    <mergeCell ref="S16:AC16"/>
    <mergeCell ref="C2:G2"/>
    <mergeCell ref="H2:L2"/>
    <mergeCell ref="S2:Z2"/>
    <mergeCell ref="AA2:AC2"/>
    <mergeCell ref="C4:L4"/>
    <mergeCell ref="S4:AC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B30"/>
  <sheetViews>
    <sheetView topLeftCell="C21" zoomScale="178" zoomScaleNormal="100" workbookViewId="0">
      <selection activeCell="H27" sqref="H27"/>
    </sheetView>
  </sheetViews>
  <sheetFormatPr baseColWidth="10" defaultRowHeight="16" x14ac:dyDescent="0.2"/>
  <cols>
    <col min="1" max="1" width="2" style="83" customWidth="1"/>
    <col min="2" max="2" width="31.332031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30.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123</v>
      </c>
    </row>
    <row r="2" spans="1:28" x14ac:dyDescent="0.2">
      <c r="A2" s="4"/>
      <c r="C2" s="242" t="s">
        <v>112</v>
      </c>
      <c r="D2" s="242"/>
      <c r="E2" s="242"/>
      <c r="F2" s="242"/>
      <c r="G2" s="251"/>
      <c r="H2" s="252" t="s">
        <v>113</v>
      </c>
      <c r="I2" s="242"/>
      <c r="J2" s="242"/>
      <c r="K2" s="242"/>
      <c r="L2" s="242"/>
      <c r="P2" s="242" t="s">
        <v>112</v>
      </c>
      <c r="Q2" s="242"/>
      <c r="R2" s="242"/>
      <c r="S2" s="242"/>
      <c r="T2" s="242"/>
      <c r="U2" s="242"/>
      <c r="V2" s="242"/>
      <c r="W2" s="242"/>
      <c r="X2" s="242" t="s">
        <v>113</v>
      </c>
      <c r="Y2" s="242"/>
      <c r="Z2" s="242"/>
      <c r="AB2" s="85" t="s">
        <v>114</v>
      </c>
    </row>
    <row r="3" spans="1:28" ht="10" customHeight="1" x14ac:dyDescent="0.2"/>
    <row r="4" spans="1:28" ht="16" customHeight="1" x14ac:dyDescent="0.2">
      <c r="A4" s="86"/>
      <c r="B4" s="60"/>
      <c r="C4" s="248" t="s">
        <v>115</v>
      </c>
      <c r="D4" s="248"/>
      <c r="E4" s="248"/>
      <c r="F4" s="248"/>
      <c r="G4" s="248"/>
      <c r="H4" s="248"/>
      <c r="I4" s="248"/>
      <c r="J4" s="248"/>
      <c r="K4" s="248"/>
      <c r="L4" s="248"/>
      <c r="P4" s="250" t="s">
        <v>115</v>
      </c>
      <c r="Q4" s="250"/>
      <c r="R4" s="250"/>
      <c r="S4" s="250"/>
      <c r="T4" s="250"/>
      <c r="U4" s="250"/>
      <c r="V4" s="250"/>
      <c r="W4" s="250"/>
      <c r="X4" s="250"/>
      <c r="Y4" s="250"/>
      <c r="Z4" s="250"/>
      <c r="AB4" s="87"/>
    </row>
    <row r="5" spans="1:28" x14ac:dyDescent="0.2">
      <c r="B5" s="16" t="str">
        <f>Revenue!B5</f>
        <v>Revenues (thousand)</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O5" s="16" t="s">
        <v>116</v>
      </c>
      <c r="P5" s="12" t="str">
        <f>Revenue!S5</f>
        <v>Q3 2025</v>
      </c>
      <c r="Q5" s="12" t="str">
        <f>Revenue!T5</f>
        <v>Q4 2025</v>
      </c>
      <c r="R5" s="12" t="str">
        <f>Revenue!U5</f>
        <v>Q1 2026</v>
      </c>
      <c r="S5" s="12" t="str">
        <f>Revenue!V5</f>
        <v>Q2 2026</v>
      </c>
      <c r="T5" s="12" t="str">
        <f>Revenue!W5</f>
        <v>Q3 2026</v>
      </c>
      <c r="U5" s="12" t="str">
        <f>Revenue!X5</f>
        <v>Q4 2026</v>
      </c>
      <c r="V5" s="12" t="str">
        <f>Revenue!Y5</f>
        <v>Q1 2027</v>
      </c>
      <c r="W5" s="12" t="str">
        <f>Revenue!Z5</f>
        <v>Q2 2027</v>
      </c>
      <c r="X5" s="12" t="s">
        <v>117</v>
      </c>
      <c r="Y5" s="12" t="s">
        <v>118</v>
      </c>
      <c r="Z5" s="12" t="s">
        <v>119</v>
      </c>
      <c r="AB5" s="87" t="str">
        <f>Revenue!AE5</f>
        <v>FQ1</v>
      </c>
    </row>
    <row r="6" spans="1:28" x14ac:dyDescent="0.2">
      <c r="B6" s="16" t="s">
        <v>19</v>
      </c>
      <c r="C6" s="92">
        <f>Revenue!C14</f>
        <v>4386</v>
      </c>
      <c r="D6" s="92">
        <f>Revenue!D14</f>
        <v>5005</v>
      </c>
      <c r="E6" s="92">
        <f>Revenue!E14</f>
        <v>5497</v>
      </c>
      <c r="F6" s="92">
        <f>Revenue!F14</f>
        <v>6131</v>
      </c>
      <c r="G6" s="93">
        <f>Revenue!G14</f>
        <v>7206</v>
      </c>
      <c r="H6" s="92">
        <f>Revenue!H14</f>
        <v>8336.82</v>
      </c>
      <c r="I6" s="92">
        <f>Revenue!I14</f>
        <v>9700.9791999999979</v>
      </c>
      <c r="J6" s="92">
        <f>Revenue!J14</f>
        <v>10917.704445000001</v>
      </c>
      <c r="K6" s="92">
        <f>Revenue!K14</f>
        <v>12252.046907150001</v>
      </c>
      <c r="L6" s="92">
        <f>Revenue!L14</f>
        <v>13385.314235484499</v>
      </c>
      <c r="N6" s="91"/>
      <c r="O6" s="16" t="s">
        <v>19</v>
      </c>
      <c r="P6" s="92">
        <f>Revenue!S14</f>
        <v>1570</v>
      </c>
      <c r="Q6" s="92">
        <f>Revenue!T14</f>
        <v>1639</v>
      </c>
      <c r="R6" s="92">
        <f>Revenue!U14</f>
        <v>1633</v>
      </c>
      <c r="S6" s="92">
        <f>Revenue!V14</f>
        <v>1763</v>
      </c>
      <c r="T6" s="92">
        <f>Revenue!W14</f>
        <v>1853</v>
      </c>
      <c r="U6" s="92">
        <f>Revenue!X14</f>
        <v>1957</v>
      </c>
      <c r="V6" s="92">
        <f>Revenue!Y14</f>
        <v>1934</v>
      </c>
      <c r="W6" s="93">
        <f>Revenue!Z14</f>
        <v>2046</v>
      </c>
      <c r="X6" s="92">
        <f>Revenue!AA14</f>
        <v>2137.4299999999998</v>
      </c>
      <c r="Y6" s="94"/>
      <c r="Z6" s="94"/>
      <c r="AB6" s="92">
        <f>Revenue!AE14</f>
        <v>8074.43</v>
      </c>
    </row>
    <row r="7" spans="1:28" x14ac:dyDescent="0.2">
      <c r="N7" s="91"/>
    </row>
    <row r="8" spans="1:28" x14ac:dyDescent="0.2">
      <c r="N8" s="91"/>
    </row>
    <row r="9" spans="1:28" x14ac:dyDescent="0.2">
      <c r="C9" s="248" t="s">
        <v>124</v>
      </c>
      <c r="D9" s="248"/>
      <c r="E9" s="248"/>
      <c r="F9" s="248"/>
      <c r="G9" s="248"/>
      <c r="H9" s="248"/>
      <c r="I9" s="248"/>
      <c r="J9" s="248"/>
      <c r="K9" s="248"/>
      <c r="L9" s="248"/>
      <c r="N9" s="91"/>
      <c r="P9" s="250" t="s">
        <v>125</v>
      </c>
      <c r="Q9" s="250"/>
      <c r="R9" s="250"/>
      <c r="S9" s="250"/>
      <c r="T9" s="250"/>
      <c r="U9" s="250"/>
      <c r="V9" s="250"/>
      <c r="W9" s="250"/>
      <c r="X9" s="250"/>
      <c r="Y9" s="250"/>
      <c r="Z9" s="250"/>
      <c r="AB9" s="87"/>
    </row>
    <row r="10" spans="1:28" x14ac:dyDescent="0.2">
      <c r="B10" s="16" t="s">
        <v>129</v>
      </c>
      <c r="C10" s="12">
        <f t="shared" ref="C10:L10" si="1">C5</f>
        <v>2022</v>
      </c>
      <c r="D10" s="12">
        <f t="shared" si="1"/>
        <v>2023</v>
      </c>
      <c r="E10" s="12">
        <f t="shared" si="1"/>
        <v>2024</v>
      </c>
      <c r="F10" s="12">
        <f t="shared" si="1"/>
        <v>2025</v>
      </c>
      <c r="G10" s="12">
        <f t="shared" si="1"/>
        <v>2026</v>
      </c>
      <c r="H10" s="12">
        <f t="shared" si="1"/>
        <v>2027</v>
      </c>
      <c r="I10" s="12">
        <f t="shared" si="1"/>
        <v>2028</v>
      </c>
      <c r="J10" s="12">
        <f t="shared" si="1"/>
        <v>2029</v>
      </c>
      <c r="K10" s="12">
        <f t="shared" si="1"/>
        <v>2030</v>
      </c>
      <c r="L10" s="12">
        <f t="shared" si="1"/>
        <v>2031</v>
      </c>
      <c r="N10" s="91"/>
      <c r="O10" s="16" t="s">
        <v>126</v>
      </c>
      <c r="P10" s="12" t="str">
        <f t="shared" ref="P10:Z10" si="2">P5</f>
        <v>Q3 2025</v>
      </c>
      <c r="Q10" s="12" t="str">
        <f t="shared" si="2"/>
        <v>Q4 2025</v>
      </c>
      <c r="R10" s="12" t="str">
        <f t="shared" si="2"/>
        <v>Q1 2026</v>
      </c>
      <c r="S10" s="12" t="str">
        <f t="shared" si="2"/>
        <v>Q2 2026</v>
      </c>
      <c r="T10" s="12" t="str">
        <f t="shared" si="2"/>
        <v>Q3 2026</v>
      </c>
      <c r="U10" s="12" t="str">
        <f t="shared" si="2"/>
        <v>Q4 2026</v>
      </c>
      <c r="V10" s="12" t="str">
        <f t="shared" si="2"/>
        <v>Q1 2027</v>
      </c>
      <c r="W10" s="12" t="str">
        <f t="shared" si="2"/>
        <v>Q2 2027</v>
      </c>
      <c r="X10" s="12" t="str">
        <f t="shared" si="2"/>
        <v>FQ1</v>
      </c>
      <c r="Y10" s="12" t="str">
        <f t="shared" si="2"/>
        <v>FQ2</v>
      </c>
      <c r="Z10" s="12" t="str">
        <f t="shared" si="2"/>
        <v>FQ3</v>
      </c>
      <c r="AB10" s="8" t="str">
        <f>AB5</f>
        <v>FQ1</v>
      </c>
    </row>
    <row r="11" spans="1:28" x14ac:dyDescent="0.2">
      <c r="B11" s="39" t="str">
        <f>Statement!B191</f>
        <v>Subscription COGS</v>
      </c>
      <c r="C11" s="109">
        <f>Statement!M191</f>
        <v>299</v>
      </c>
      <c r="D11" s="109">
        <f>Statement!N191</f>
        <v>343</v>
      </c>
      <c r="E11" s="109">
        <f>Statement!O191</f>
        <v>381</v>
      </c>
      <c r="F11" s="109">
        <f>Statement!P191</f>
        <v>413</v>
      </c>
      <c r="G11" s="110">
        <f>Statement!Q191</f>
        <v>463</v>
      </c>
      <c r="H11" s="25">
        <f>H6*H23</f>
        <v>516.88283999999999</v>
      </c>
      <c r="I11" s="25">
        <f>I6*I23</f>
        <v>582.0587519999998</v>
      </c>
      <c r="J11" s="25">
        <f>J6*J23</f>
        <v>655.06226670000001</v>
      </c>
      <c r="K11" s="25">
        <f>K6*K23</f>
        <v>735.12281442900007</v>
      </c>
      <c r="L11" s="25">
        <f>L6*L23</f>
        <v>803.11885412906986</v>
      </c>
      <c r="N11" s="91"/>
      <c r="O11" s="39" t="str">
        <f>B11</f>
        <v>Subscription COGS</v>
      </c>
      <c r="P11" s="109">
        <f>Statement!T191</f>
        <v>105</v>
      </c>
      <c r="Q11" s="109">
        <f>Statement!U191</f>
        <v>108</v>
      </c>
      <c r="R11" s="109">
        <f>Statement!V191</f>
        <v>111</v>
      </c>
      <c r="S11" s="109">
        <f>Statement!W191</f>
        <v>114</v>
      </c>
      <c r="T11" s="109">
        <f>Statement!X191</f>
        <v>118</v>
      </c>
      <c r="U11" s="109">
        <f>Statement!Y191</f>
        <v>120</v>
      </c>
      <c r="V11" s="109">
        <f>Statement!Z191</f>
        <v>129</v>
      </c>
      <c r="W11" s="110">
        <f>Statement!AA191</f>
        <v>130</v>
      </c>
      <c r="X11" s="25">
        <f>X23*X$6</f>
        <v>192.36869999999999</v>
      </c>
      <c r="Y11" s="25"/>
      <c r="Z11" s="25"/>
      <c r="AB11" s="24">
        <f>SUM(U11:X11)</f>
        <v>571.36869999999999</v>
      </c>
    </row>
    <row r="12" spans="1:28" x14ac:dyDescent="0.2">
      <c r="B12" s="39" t="str">
        <f>Statement!B192</f>
        <v>Other COGS</v>
      </c>
      <c r="C12" s="109">
        <f>Statement!M192</f>
        <v>67</v>
      </c>
      <c r="D12" s="109">
        <f>Statement!N192</f>
        <v>79</v>
      </c>
      <c r="E12" s="109">
        <f>Statement!O192</f>
        <v>82</v>
      </c>
      <c r="F12" s="109">
        <f>Statement!P192</f>
        <v>80</v>
      </c>
      <c r="G12" s="110">
        <f>Statement!Q192</f>
        <v>90</v>
      </c>
      <c r="H12" s="25">
        <f>H6*H24</f>
        <v>100.04183999999999</v>
      </c>
      <c r="I12" s="25">
        <f>I6*I24</f>
        <v>116.41175039999997</v>
      </c>
      <c r="J12" s="25">
        <f>J6*J24</f>
        <v>131.01245334000001</v>
      </c>
      <c r="K12" s="25">
        <f>K6*K24</f>
        <v>147.02456288580001</v>
      </c>
      <c r="L12" s="25">
        <f>L6*L24</f>
        <v>160.62377082581398</v>
      </c>
      <c r="N12" s="91"/>
      <c r="O12" s="39" t="str">
        <f t="shared" ref="O12:O18" si="3">B12</f>
        <v>Other COGS</v>
      </c>
      <c r="P12" s="109">
        <f>Statement!T192</f>
        <v>19</v>
      </c>
      <c r="Q12" s="109">
        <f>Statement!U192</f>
        <v>23</v>
      </c>
      <c r="R12" s="109">
        <f>Statement!V192</f>
        <v>24</v>
      </c>
      <c r="S12" s="109">
        <f>Statement!W192</f>
        <v>22</v>
      </c>
      <c r="T12" s="109">
        <f>Statement!X192</f>
        <v>22</v>
      </c>
      <c r="U12" s="109">
        <f>Statement!Y192</f>
        <v>22</v>
      </c>
      <c r="V12" s="109">
        <f>Statement!Z192</f>
        <v>21</v>
      </c>
      <c r="W12" s="110">
        <f>Statement!AA192</f>
        <v>22</v>
      </c>
      <c r="X12" s="25">
        <f>X24*X$6</f>
        <v>2.1374299999999997</v>
      </c>
      <c r="Y12" s="25"/>
      <c r="Z12" s="25"/>
      <c r="AB12" s="24">
        <f>SUM(U12:X12)</f>
        <v>67.137429999999995</v>
      </c>
    </row>
    <row r="13" spans="1:28" x14ac:dyDescent="0.2">
      <c r="B13" s="39" t="str">
        <f>Statement!B193</f>
        <v>Amortization of developed tech COGS</v>
      </c>
      <c r="C13" s="109">
        <f>Statement!M193</f>
        <v>52</v>
      </c>
      <c r="D13" s="109">
        <f>Statement!N193</f>
        <v>58</v>
      </c>
      <c r="E13" s="109">
        <f>Statement!O193</f>
        <v>48</v>
      </c>
      <c r="F13" s="109">
        <f>Statement!P193</f>
        <v>85</v>
      </c>
      <c r="G13" s="110">
        <f>Statement!Q193</f>
        <v>97</v>
      </c>
      <c r="H13" s="25">
        <f>H6*H25</f>
        <v>100.04183999999999</v>
      </c>
      <c r="I13" s="25">
        <f>I6*I25</f>
        <v>106.71077119999997</v>
      </c>
      <c r="J13" s="25">
        <f>J6*J25</f>
        <v>120.09474889500001</v>
      </c>
      <c r="K13" s="25">
        <f>K6*K25</f>
        <v>134.77251597865001</v>
      </c>
      <c r="L13" s="25">
        <f>L6*L25</f>
        <v>147.23845659032946</v>
      </c>
      <c r="N13" s="91"/>
      <c r="O13" s="39" t="str">
        <f t="shared" si="3"/>
        <v>Amortization of developed tech COGS</v>
      </c>
      <c r="P13" s="109">
        <f>Statement!T193</f>
        <v>23</v>
      </c>
      <c r="Q13" s="109">
        <f>Statement!U193</f>
        <v>23</v>
      </c>
      <c r="R13" s="109">
        <f>Statement!V193</f>
        <v>25</v>
      </c>
      <c r="S13" s="109">
        <f>Statement!W193</f>
        <v>23</v>
      </c>
      <c r="T13" s="109">
        <f>Statement!X193</f>
        <v>25</v>
      </c>
      <c r="U13" s="109">
        <f>Statement!Y193</f>
        <v>24</v>
      </c>
      <c r="V13" s="109">
        <f>Statement!Z193</f>
        <v>25</v>
      </c>
      <c r="W13" s="110">
        <f>Statement!AA193</f>
        <v>24</v>
      </c>
      <c r="X13" s="25">
        <f>X25*X$6</f>
        <v>38.473739999999992</v>
      </c>
      <c r="Y13" s="25"/>
      <c r="Z13" s="25"/>
      <c r="AB13" s="24">
        <f>SUM(U13:X13)</f>
        <v>111.47373999999999</v>
      </c>
    </row>
    <row r="14" spans="1:28" x14ac:dyDescent="0.2">
      <c r="B14" s="16" t="s">
        <v>20</v>
      </c>
      <c r="C14" s="106">
        <f>Statement!M6</f>
        <v>418</v>
      </c>
      <c r="D14" s="106">
        <f>Statement!N6</f>
        <v>480</v>
      </c>
      <c r="E14" s="106">
        <f>Statement!O6</f>
        <v>511</v>
      </c>
      <c r="F14" s="106">
        <f>Statement!P6</f>
        <v>578</v>
      </c>
      <c r="G14" s="107">
        <f>Statement!Q6</f>
        <v>650</v>
      </c>
      <c r="H14" s="108">
        <f>SUM(H11:H13)</f>
        <v>716.96651999999995</v>
      </c>
      <c r="I14" s="108">
        <f t="shared" ref="I14:L14" si="4">SUM(I11:I13)</f>
        <v>805.18127359999971</v>
      </c>
      <c r="J14" s="108">
        <f t="shared" si="4"/>
        <v>906.16946893499994</v>
      </c>
      <c r="K14" s="108">
        <f t="shared" si="4"/>
        <v>1016.9198932934501</v>
      </c>
      <c r="L14" s="108">
        <f t="shared" si="4"/>
        <v>1110.9810815452133</v>
      </c>
      <c r="N14" s="91"/>
      <c r="O14" s="16" t="str">
        <f t="shared" si="3"/>
        <v>COGS</v>
      </c>
      <c r="P14" s="106">
        <f>Statement!T6</f>
        <v>147</v>
      </c>
      <c r="Q14" s="106">
        <f>Statement!U6</f>
        <v>154</v>
      </c>
      <c r="R14" s="106">
        <f>Statement!V6</f>
        <v>160</v>
      </c>
      <c r="S14" s="106">
        <f>Statement!W6</f>
        <v>159</v>
      </c>
      <c r="T14" s="106">
        <f>Statement!X6</f>
        <v>165</v>
      </c>
      <c r="U14" s="106">
        <f>Statement!Y6</f>
        <v>166</v>
      </c>
      <c r="V14" s="106">
        <f>Statement!Z6</f>
        <v>175</v>
      </c>
      <c r="W14" s="107">
        <f>Statement!AA6</f>
        <v>176</v>
      </c>
      <c r="X14" s="108">
        <f>SUM(X11:X13)</f>
        <v>232.97986999999998</v>
      </c>
      <c r="Y14" s="108"/>
      <c r="Z14" s="108"/>
      <c r="AB14" s="108">
        <f>SUM(AB11:AB13)</f>
        <v>749.97987000000001</v>
      </c>
    </row>
    <row r="15" spans="1:28" x14ac:dyDescent="0.2">
      <c r="B15" s="1" t="str">
        <f>Statement!B8</f>
        <v>Sales and marketing</v>
      </c>
      <c r="C15" s="98">
        <f>Statement!M8</f>
        <v>1623</v>
      </c>
      <c r="D15" s="98">
        <f>Statement!N8</f>
        <v>1745</v>
      </c>
      <c r="E15" s="98">
        <f>Statement!O8</f>
        <v>1823</v>
      </c>
      <c r="F15" s="98">
        <f>Statement!P8</f>
        <v>2000</v>
      </c>
      <c r="G15" s="99">
        <f>Statement!Q8</f>
        <v>2373</v>
      </c>
      <c r="H15" s="24">
        <f>H6*H27</f>
        <v>2709.4665</v>
      </c>
      <c r="I15" s="24">
        <f>I6*I27</f>
        <v>3104.3133439999992</v>
      </c>
      <c r="J15" s="24">
        <f>J6*J27</f>
        <v>3493.6654224000004</v>
      </c>
      <c r="K15" s="24">
        <f>K6*K27</f>
        <v>3798.1345412165001</v>
      </c>
      <c r="L15" s="24">
        <f>L6*L27</f>
        <v>4149.4474130001945</v>
      </c>
      <c r="N15" s="91"/>
      <c r="O15" s="39" t="str">
        <f t="shared" si="3"/>
        <v>Sales and marketing</v>
      </c>
      <c r="P15" s="98">
        <f>Statement!T8</f>
        <v>525</v>
      </c>
      <c r="Q15" s="98">
        <f>Statement!U8</f>
        <v>526</v>
      </c>
      <c r="R15" s="98">
        <f>Statement!V8</f>
        <v>566</v>
      </c>
      <c r="S15" s="98">
        <f>Statement!W8</f>
        <v>559</v>
      </c>
      <c r="T15" s="98">
        <f>Statement!X8</f>
        <v>612</v>
      </c>
      <c r="U15" s="98">
        <f>Statement!Y8</f>
        <v>636</v>
      </c>
      <c r="V15" s="98">
        <f>Statement!Z8</f>
        <v>593</v>
      </c>
      <c r="W15" s="99">
        <f>Statement!AA8</f>
        <v>616</v>
      </c>
      <c r="X15" s="25">
        <f>X27*X$6</f>
        <v>384.73739999999998</v>
      </c>
      <c r="Y15" s="24"/>
      <c r="Z15" s="24"/>
      <c r="AB15" s="24">
        <f t="shared" ref="AB15:AB18" si="5">SUM(U15:X15)</f>
        <v>2229.7374</v>
      </c>
    </row>
    <row r="16" spans="1:28" x14ac:dyDescent="0.2">
      <c r="B16" s="1" t="str">
        <f>Statement!B9</f>
        <v>R&amp;D</v>
      </c>
      <c r="C16" s="98">
        <f>Statement!M9</f>
        <v>1115</v>
      </c>
      <c r="D16" s="98">
        <f>Statement!N9</f>
        <v>1219</v>
      </c>
      <c r="E16" s="98">
        <f>Statement!O9</f>
        <v>1373</v>
      </c>
      <c r="F16" s="98">
        <f>Statement!P9</f>
        <v>1485</v>
      </c>
      <c r="G16" s="99">
        <f>Statement!Q9</f>
        <v>1643</v>
      </c>
      <c r="H16" s="24">
        <f>H6*H28</f>
        <v>1834.1004</v>
      </c>
      <c r="I16" s="24">
        <f>I6*I28</f>
        <v>2134.2154239999995</v>
      </c>
      <c r="J16" s="24">
        <f>J6*J28</f>
        <v>2292.7179334500001</v>
      </c>
      <c r="K16" s="24">
        <f>K6*K28</f>
        <v>2572.9298505014999</v>
      </c>
      <c r="L16" s="24">
        <f>L6*L28</f>
        <v>2810.9159894517447</v>
      </c>
      <c r="M16" s="90"/>
      <c r="N16" s="90"/>
      <c r="O16" s="39" t="str">
        <f t="shared" si="3"/>
        <v>R&amp;D</v>
      </c>
      <c r="P16" s="98">
        <f>Statement!T9</f>
        <v>378</v>
      </c>
      <c r="Q16" s="98">
        <f>Statement!U9</f>
        <v>393</v>
      </c>
      <c r="R16" s="98">
        <f>Statement!V9</f>
        <v>394</v>
      </c>
      <c r="S16" s="98">
        <f>Statement!W9</f>
        <v>413</v>
      </c>
      <c r="T16" s="98">
        <f>Statement!X9</f>
        <v>416</v>
      </c>
      <c r="U16" s="98">
        <f>Statement!Y9</f>
        <v>420</v>
      </c>
      <c r="V16" s="98">
        <f>Statement!Z9</f>
        <v>421</v>
      </c>
      <c r="W16" s="99">
        <f>Statement!AA9</f>
        <v>464</v>
      </c>
      <c r="X16" s="25">
        <f>X28*X$6</f>
        <v>577.10609999999997</v>
      </c>
      <c r="Y16" s="24"/>
      <c r="Z16" s="24"/>
      <c r="AB16" s="24">
        <f t="shared" si="5"/>
        <v>1882.1061</v>
      </c>
    </row>
    <row r="17" spans="2:28" x14ac:dyDescent="0.2">
      <c r="B17" s="1" t="str">
        <f>Statement!B10</f>
        <v>General and administrative</v>
      </c>
      <c r="C17" s="98">
        <f>Statement!M10</f>
        <v>572</v>
      </c>
      <c r="D17" s="98">
        <f>Statement!N10</f>
        <v>532</v>
      </c>
      <c r="E17" s="98">
        <f>Statement!O10</f>
        <v>620</v>
      </c>
      <c r="F17" s="98">
        <f>Statement!P10</f>
        <v>650</v>
      </c>
      <c r="G17" s="99">
        <f>Statement!Q10</f>
        <v>693</v>
      </c>
      <c r="H17" s="24">
        <f>H6*H29</f>
        <v>875.36609999999996</v>
      </c>
      <c r="I17" s="24">
        <f>I6*I29</f>
        <v>1067.1077119999998</v>
      </c>
      <c r="J17" s="24">
        <f>J6*J29</f>
        <v>1200.9474889500002</v>
      </c>
      <c r="K17" s="24">
        <f>K6*K29</f>
        <v>1225.2046907150002</v>
      </c>
      <c r="L17" s="24">
        <f>L6*L29</f>
        <v>1338.53142354845</v>
      </c>
      <c r="M17" s="90"/>
      <c r="N17" s="90"/>
      <c r="O17" s="39" t="str">
        <f t="shared" si="3"/>
        <v>General and administrative</v>
      </c>
      <c r="P17" s="98">
        <f>Statement!T10</f>
        <v>161</v>
      </c>
      <c r="Q17" s="98">
        <f>Statement!U10</f>
        <v>173</v>
      </c>
      <c r="R17" s="98">
        <f>Statement!V10</f>
        <v>162</v>
      </c>
      <c r="S17" s="98">
        <f>Statement!W10</f>
        <v>168</v>
      </c>
      <c r="T17" s="98">
        <f>Statement!X10</f>
        <v>172</v>
      </c>
      <c r="U17" s="98">
        <f>Statement!Y10</f>
        <v>191</v>
      </c>
      <c r="V17" s="98">
        <f>Statement!Z10</f>
        <v>162</v>
      </c>
      <c r="W17" s="99">
        <f>Statement!AA10</f>
        <v>179</v>
      </c>
      <c r="X17" s="25">
        <f>X29*X$6</f>
        <v>168.85696999999999</v>
      </c>
      <c r="Y17" s="24"/>
      <c r="Z17" s="24"/>
      <c r="AB17" s="24">
        <f t="shared" si="5"/>
        <v>700.85697000000005</v>
      </c>
    </row>
    <row r="18" spans="2:28" x14ac:dyDescent="0.2">
      <c r="B18" s="16" t="s">
        <v>25</v>
      </c>
      <c r="C18" s="106">
        <f>Statement!M12</f>
        <v>3350</v>
      </c>
      <c r="D18" s="106">
        <f>Statement!N12</f>
        <v>3536</v>
      </c>
      <c r="E18" s="106">
        <f>Statement!O12</f>
        <v>3858</v>
      </c>
      <c r="F18" s="106">
        <f>Statement!P12</f>
        <v>4199</v>
      </c>
      <c r="G18" s="107">
        <f>Statement!Q12</f>
        <v>4978</v>
      </c>
      <c r="H18" s="108">
        <f>SUM(H15:H17)</f>
        <v>5418.933</v>
      </c>
      <c r="I18" s="108">
        <f>SUM(I15:I17)</f>
        <v>6305.6364799999983</v>
      </c>
      <c r="J18" s="108">
        <f>SUM(J15:J17)</f>
        <v>6987.3308448000007</v>
      </c>
      <c r="K18" s="108">
        <f>SUM(K15:K17)</f>
        <v>7596.2690824330002</v>
      </c>
      <c r="L18" s="108">
        <f>SUM(L15:L17)</f>
        <v>8298.894826000389</v>
      </c>
      <c r="M18" s="90"/>
      <c r="N18" s="90"/>
      <c r="O18" s="16" t="str">
        <f t="shared" si="3"/>
        <v>OpEx</v>
      </c>
      <c r="P18" s="106">
        <f>Statement!T12</f>
        <v>1077</v>
      </c>
      <c r="Q18" s="106">
        <f>Statement!U12</f>
        <v>1119</v>
      </c>
      <c r="R18" s="106">
        <f>Statement!V12</f>
        <v>1240</v>
      </c>
      <c r="S18" s="106">
        <f>Statement!W12</f>
        <v>1160</v>
      </c>
      <c r="T18" s="106">
        <f>Statement!X12</f>
        <v>1218</v>
      </c>
      <c r="U18" s="106">
        <f>Statement!Y12</f>
        <v>1360</v>
      </c>
      <c r="V18" s="106">
        <f>Statement!Z12</f>
        <v>1218</v>
      </c>
      <c r="W18" s="107">
        <f>Statement!AA12</f>
        <v>1271</v>
      </c>
      <c r="X18" s="108">
        <f>SUM(X15:X17)</f>
        <v>1130.70047</v>
      </c>
      <c r="Y18" s="108"/>
      <c r="Z18" s="108"/>
      <c r="AB18" s="108">
        <f t="shared" si="5"/>
        <v>4979.7004699999998</v>
      </c>
    </row>
    <row r="21" spans="2:28" x14ac:dyDescent="0.2">
      <c r="C21" s="248" t="s">
        <v>127</v>
      </c>
      <c r="D21" s="248"/>
      <c r="E21" s="248"/>
      <c r="F21" s="248"/>
      <c r="G21" s="248"/>
      <c r="H21" s="248"/>
      <c r="I21" s="248"/>
      <c r="J21" s="248"/>
      <c r="K21" s="248"/>
      <c r="L21" s="248"/>
      <c r="P21" s="250" t="s">
        <v>127</v>
      </c>
      <c r="Q21" s="250"/>
      <c r="R21" s="250"/>
      <c r="S21" s="250"/>
      <c r="T21" s="250"/>
      <c r="U21" s="250"/>
      <c r="V21" s="250"/>
      <c r="W21" s="250"/>
      <c r="X21" s="250"/>
      <c r="Y21" s="250"/>
      <c r="Z21" s="250"/>
    </row>
    <row r="22" spans="2:28" x14ac:dyDescent="0.2">
      <c r="B22" s="16" t="s">
        <v>128</v>
      </c>
      <c r="C22" s="12">
        <f t="shared" ref="C22:L22" si="6">C5</f>
        <v>2022</v>
      </c>
      <c r="D22" s="12">
        <f t="shared" si="6"/>
        <v>2023</v>
      </c>
      <c r="E22" s="12">
        <f t="shared" si="6"/>
        <v>2024</v>
      </c>
      <c r="F22" s="12">
        <f t="shared" si="6"/>
        <v>2025</v>
      </c>
      <c r="G22" s="12">
        <f t="shared" si="6"/>
        <v>2026</v>
      </c>
      <c r="H22" s="12">
        <f t="shared" si="6"/>
        <v>2027</v>
      </c>
      <c r="I22" s="12">
        <f t="shared" si="6"/>
        <v>2028</v>
      </c>
      <c r="J22" s="12">
        <f t="shared" si="6"/>
        <v>2029</v>
      </c>
      <c r="K22" s="12">
        <f t="shared" si="6"/>
        <v>2030</v>
      </c>
      <c r="L22" s="12">
        <f t="shared" si="6"/>
        <v>2031</v>
      </c>
      <c r="O22" s="16" t="s">
        <v>128</v>
      </c>
      <c r="P22" s="12" t="str">
        <f t="shared" ref="P22:Z22" si="7">P5</f>
        <v>Q3 2025</v>
      </c>
      <c r="Q22" s="12" t="str">
        <f t="shared" si="7"/>
        <v>Q4 2025</v>
      </c>
      <c r="R22" s="12" t="str">
        <f t="shared" si="7"/>
        <v>Q1 2026</v>
      </c>
      <c r="S22" s="12" t="str">
        <f t="shared" si="7"/>
        <v>Q2 2026</v>
      </c>
      <c r="T22" s="12" t="str">
        <f t="shared" si="7"/>
        <v>Q3 2026</v>
      </c>
      <c r="U22" s="12" t="str">
        <f t="shared" si="7"/>
        <v>Q4 2026</v>
      </c>
      <c r="V22" s="12" t="str">
        <f t="shared" si="7"/>
        <v>Q1 2027</v>
      </c>
      <c r="W22" s="12" t="str">
        <f t="shared" si="7"/>
        <v>Q2 2027</v>
      </c>
      <c r="X22" s="12" t="str">
        <f t="shared" si="7"/>
        <v>FQ1</v>
      </c>
      <c r="Y22" s="12" t="str">
        <f t="shared" si="7"/>
        <v>FQ2</v>
      </c>
      <c r="Z22" s="12" t="str">
        <f t="shared" si="7"/>
        <v>FQ3</v>
      </c>
    </row>
    <row r="23" spans="2:28" x14ac:dyDescent="0.2">
      <c r="B23" s="1" t="str">
        <f t="shared" ref="B23:B29" si="8">B11</f>
        <v>Subscription COGS</v>
      </c>
      <c r="C23" s="95">
        <f t="shared" ref="C23:G29" si="9">C11/C$6</f>
        <v>6.8171454628362979E-2</v>
      </c>
      <c r="D23" s="95">
        <f t="shared" si="9"/>
        <v>6.8531468531468534E-2</v>
      </c>
      <c r="E23" s="95">
        <f t="shared" si="9"/>
        <v>6.9310533018009823E-2</v>
      </c>
      <c r="F23" s="95">
        <f t="shared" si="9"/>
        <v>6.7362583591583758E-2</v>
      </c>
      <c r="G23" s="96">
        <f t="shared" si="9"/>
        <v>6.4252012212045517E-2</v>
      </c>
      <c r="H23" s="97">
        <v>6.2E-2</v>
      </c>
      <c r="I23" s="97">
        <v>0.06</v>
      </c>
      <c r="J23" s="97">
        <v>0.06</v>
      </c>
      <c r="K23" s="97">
        <v>0.06</v>
      </c>
      <c r="L23" s="97">
        <v>0.06</v>
      </c>
      <c r="O23" s="1" t="str">
        <f t="shared" ref="O23:O29" si="10">O11</f>
        <v>Subscription COGS</v>
      </c>
      <c r="P23" s="95">
        <f t="shared" ref="P23:W29" si="11">P11/P$6</f>
        <v>6.6878980891719744E-2</v>
      </c>
      <c r="Q23" s="95">
        <f t="shared" si="11"/>
        <v>6.5893837705918237E-2</v>
      </c>
      <c r="R23" s="95">
        <f t="shared" si="11"/>
        <v>6.7973055725658302E-2</v>
      </c>
      <c r="S23" s="95">
        <f t="shared" si="11"/>
        <v>6.4662507090187185E-2</v>
      </c>
      <c r="T23" s="95">
        <f t="shared" si="11"/>
        <v>6.3680518078791146E-2</v>
      </c>
      <c r="U23" s="95">
        <f t="shared" si="11"/>
        <v>6.1318344404701075E-2</v>
      </c>
      <c r="V23" s="95">
        <f t="shared" si="11"/>
        <v>6.6701137538779737E-2</v>
      </c>
      <c r="W23" s="96">
        <f t="shared" si="11"/>
        <v>6.3538611925708699E-2</v>
      </c>
      <c r="X23" s="97">
        <v>0.09</v>
      </c>
      <c r="Y23" s="97"/>
      <c r="Z23" s="97"/>
    </row>
    <row r="24" spans="2:28" x14ac:dyDescent="0.2">
      <c r="B24" s="1" t="str">
        <f t="shared" si="8"/>
        <v>Other COGS</v>
      </c>
      <c r="C24" s="95">
        <f t="shared" si="9"/>
        <v>1.5275877792977656E-2</v>
      </c>
      <c r="D24" s="95">
        <f t="shared" si="9"/>
        <v>1.5784215784215783E-2</v>
      </c>
      <c r="E24" s="95">
        <f t="shared" si="9"/>
        <v>1.491722757867928E-2</v>
      </c>
      <c r="F24" s="95">
        <f t="shared" si="9"/>
        <v>1.3048442342195401E-2</v>
      </c>
      <c r="G24" s="96">
        <f t="shared" si="9"/>
        <v>1.2489592006661115E-2</v>
      </c>
      <c r="H24" s="97">
        <v>1.2E-2</v>
      </c>
      <c r="I24" s="97">
        <v>1.2E-2</v>
      </c>
      <c r="J24" s="97">
        <v>1.2E-2</v>
      </c>
      <c r="K24" s="97">
        <v>1.2E-2</v>
      </c>
      <c r="L24" s="97">
        <v>1.2E-2</v>
      </c>
      <c r="O24" s="1" t="str">
        <f t="shared" si="10"/>
        <v>Other COGS</v>
      </c>
      <c r="P24" s="95">
        <f t="shared" si="11"/>
        <v>1.2101910828025478E-2</v>
      </c>
      <c r="Q24" s="95">
        <f t="shared" si="11"/>
        <v>1.4032946918852958E-2</v>
      </c>
      <c r="R24" s="95">
        <f t="shared" si="11"/>
        <v>1.4696876913655848E-2</v>
      </c>
      <c r="S24" s="95">
        <f t="shared" si="11"/>
        <v>1.2478729438457176E-2</v>
      </c>
      <c r="T24" s="95">
        <f t="shared" si="11"/>
        <v>1.1872638963842417E-2</v>
      </c>
      <c r="U24" s="95">
        <f t="shared" si="11"/>
        <v>1.1241696474195196E-2</v>
      </c>
      <c r="V24" s="95">
        <f t="shared" si="11"/>
        <v>1.0858324715615306E-2</v>
      </c>
      <c r="W24" s="96">
        <f t="shared" si="11"/>
        <v>1.0752688172043012E-2</v>
      </c>
      <c r="X24" s="97">
        <v>1E-3</v>
      </c>
      <c r="Y24" s="97"/>
      <c r="Z24" s="97"/>
    </row>
    <row r="25" spans="2:28" x14ac:dyDescent="0.2">
      <c r="B25" s="1" t="str">
        <f t="shared" si="8"/>
        <v>Amortization of developed tech COGS</v>
      </c>
      <c r="C25" s="95">
        <f t="shared" si="9"/>
        <v>1.1855905152758778E-2</v>
      </c>
      <c r="D25" s="95">
        <f t="shared" si="9"/>
        <v>1.1588411588411588E-2</v>
      </c>
      <c r="E25" s="95">
        <f t="shared" si="9"/>
        <v>8.7320356558122612E-3</v>
      </c>
      <c r="F25" s="95">
        <f t="shared" si="9"/>
        <v>1.3863969988582614E-2</v>
      </c>
      <c r="G25" s="96">
        <f t="shared" si="9"/>
        <v>1.3461004718290313E-2</v>
      </c>
      <c r="H25" s="97">
        <v>1.2E-2</v>
      </c>
      <c r="I25" s="97">
        <v>1.0999999999999999E-2</v>
      </c>
      <c r="J25" s="97">
        <v>1.0999999999999999E-2</v>
      </c>
      <c r="K25" s="97">
        <v>1.0999999999999999E-2</v>
      </c>
      <c r="L25" s="97">
        <v>1.0999999999999999E-2</v>
      </c>
      <c r="O25" s="1" t="str">
        <f t="shared" si="10"/>
        <v>Amortization of developed tech COGS</v>
      </c>
      <c r="P25" s="95">
        <f t="shared" si="11"/>
        <v>1.4649681528662421E-2</v>
      </c>
      <c r="Q25" s="95">
        <f t="shared" si="11"/>
        <v>1.4032946918852958E-2</v>
      </c>
      <c r="R25" s="95">
        <f t="shared" si="11"/>
        <v>1.5309246785058175E-2</v>
      </c>
      <c r="S25" s="95">
        <f t="shared" si="11"/>
        <v>1.3045944412932501E-2</v>
      </c>
      <c r="T25" s="95">
        <f t="shared" si="11"/>
        <v>1.3491635186184566E-2</v>
      </c>
      <c r="U25" s="95">
        <f t="shared" si="11"/>
        <v>1.2263668880940215E-2</v>
      </c>
      <c r="V25" s="95">
        <f t="shared" si="11"/>
        <v>1.2926577042399173E-2</v>
      </c>
      <c r="W25" s="96">
        <f t="shared" si="11"/>
        <v>1.1730205278592375E-2</v>
      </c>
      <c r="X25" s="97">
        <v>1.7999999999999999E-2</v>
      </c>
      <c r="Y25" s="97"/>
      <c r="Z25" s="97"/>
    </row>
    <row r="26" spans="2:28" x14ac:dyDescent="0.2">
      <c r="B26" s="16" t="str">
        <f t="shared" si="8"/>
        <v>COGS</v>
      </c>
      <c r="C26" s="103">
        <f t="shared" si="9"/>
        <v>9.5303237574099406E-2</v>
      </c>
      <c r="D26" s="103">
        <f t="shared" si="9"/>
        <v>9.5904095904095904E-2</v>
      </c>
      <c r="E26" s="103">
        <f t="shared" si="9"/>
        <v>9.2959796252501364E-2</v>
      </c>
      <c r="F26" s="103">
        <f t="shared" si="9"/>
        <v>9.4274995922361771E-2</v>
      </c>
      <c r="G26" s="104">
        <f t="shared" si="9"/>
        <v>9.0202608936996942E-2</v>
      </c>
      <c r="H26" s="103">
        <f>H14/H$6</f>
        <v>8.5999999999999993E-2</v>
      </c>
      <c r="I26" s="103">
        <f>I14/I$6</f>
        <v>8.299999999999999E-2</v>
      </c>
      <c r="J26" s="103">
        <f>J14/J$6</f>
        <v>8.299999999999999E-2</v>
      </c>
      <c r="K26" s="103">
        <f>K14/K$6</f>
        <v>8.3000000000000004E-2</v>
      </c>
      <c r="L26" s="103">
        <f>L14/L$6</f>
        <v>8.299999999999999E-2</v>
      </c>
      <c r="O26" s="16" t="str">
        <f t="shared" si="10"/>
        <v>COGS</v>
      </c>
      <c r="P26" s="103">
        <f t="shared" si="11"/>
        <v>9.3630573248407636E-2</v>
      </c>
      <c r="Q26" s="103">
        <f t="shared" si="11"/>
        <v>9.3959731543624164E-2</v>
      </c>
      <c r="R26" s="103">
        <f t="shared" si="11"/>
        <v>9.7979179424372315E-2</v>
      </c>
      <c r="S26" s="103">
        <f t="shared" si="11"/>
        <v>9.0187180941576864E-2</v>
      </c>
      <c r="T26" s="103">
        <f t="shared" si="11"/>
        <v>8.9044792228818129E-2</v>
      </c>
      <c r="U26" s="103">
        <f t="shared" si="11"/>
        <v>8.4823709759836483E-2</v>
      </c>
      <c r="V26" s="103">
        <f t="shared" si="11"/>
        <v>9.0486039296794205E-2</v>
      </c>
      <c r="W26" s="104">
        <f t="shared" si="11"/>
        <v>8.6021505376344093E-2</v>
      </c>
      <c r="X26" s="103">
        <f>X14/X$6</f>
        <v>0.109</v>
      </c>
      <c r="Y26" s="16"/>
      <c r="Z26" s="16"/>
    </row>
    <row r="27" spans="2:28" x14ac:dyDescent="0.2">
      <c r="B27" s="1" t="str">
        <f t="shared" si="8"/>
        <v>Sales and marketing</v>
      </c>
      <c r="C27" s="95">
        <f t="shared" si="9"/>
        <v>0.37004103967168261</v>
      </c>
      <c r="D27" s="95">
        <f t="shared" si="9"/>
        <v>0.34865134865134867</v>
      </c>
      <c r="E27" s="95">
        <f t="shared" si="9"/>
        <v>0.33163543751136981</v>
      </c>
      <c r="F27" s="95">
        <f t="shared" si="9"/>
        <v>0.32621105855488503</v>
      </c>
      <c r="G27" s="96">
        <f t="shared" si="9"/>
        <v>0.32930890924229811</v>
      </c>
      <c r="H27" s="97">
        <v>0.32500000000000001</v>
      </c>
      <c r="I27" s="97">
        <v>0.32</v>
      </c>
      <c r="J27" s="97">
        <v>0.32</v>
      </c>
      <c r="K27" s="97">
        <v>0.31</v>
      </c>
      <c r="L27" s="97">
        <v>0.31</v>
      </c>
      <c r="O27" s="1" t="str">
        <f t="shared" si="10"/>
        <v>Sales and marketing</v>
      </c>
      <c r="P27" s="95">
        <f t="shared" si="11"/>
        <v>0.33439490445859871</v>
      </c>
      <c r="Q27" s="95">
        <f t="shared" si="11"/>
        <v>0.32092739475289811</v>
      </c>
      <c r="R27" s="95">
        <f t="shared" si="11"/>
        <v>0.3466013472137171</v>
      </c>
      <c r="S27" s="95">
        <f t="shared" si="11"/>
        <v>0.31707317073170732</v>
      </c>
      <c r="T27" s="95">
        <f t="shared" si="11"/>
        <v>0.33027522935779818</v>
      </c>
      <c r="U27" s="95">
        <f t="shared" si="11"/>
        <v>0.3249872253449157</v>
      </c>
      <c r="V27" s="95">
        <f t="shared" si="11"/>
        <v>0.3066184074457084</v>
      </c>
      <c r="W27" s="96">
        <f t="shared" si="11"/>
        <v>0.30107526881720431</v>
      </c>
      <c r="X27" s="97">
        <v>0.18</v>
      </c>
      <c r="Y27" s="97"/>
      <c r="Z27" s="97"/>
    </row>
    <row r="28" spans="2:28" x14ac:dyDescent="0.2">
      <c r="B28" s="1" t="str">
        <f t="shared" si="8"/>
        <v>R&amp;D</v>
      </c>
      <c r="C28" s="95">
        <f t="shared" si="9"/>
        <v>0.25421796625626997</v>
      </c>
      <c r="D28" s="95">
        <f t="shared" si="9"/>
        <v>0.24355644355644357</v>
      </c>
      <c r="E28" s="95">
        <f t="shared" si="9"/>
        <v>0.24977260323812989</v>
      </c>
      <c r="F28" s="95">
        <f t="shared" si="9"/>
        <v>0.24221171097700211</v>
      </c>
      <c r="G28" s="96">
        <f t="shared" si="9"/>
        <v>0.22800444074382459</v>
      </c>
      <c r="H28" s="97">
        <v>0.22</v>
      </c>
      <c r="I28" s="97">
        <v>0.22</v>
      </c>
      <c r="J28" s="97">
        <v>0.21</v>
      </c>
      <c r="K28" s="97">
        <v>0.21</v>
      </c>
      <c r="L28" s="97">
        <v>0.21</v>
      </c>
      <c r="O28" s="1" t="str">
        <f t="shared" si="10"/>
        <v>R&amp;D</v>
      </c>
      <c r="P28" s="95">
        <f t="shared" si="11"/>
        <v>0.24076433121019108</v>
      </c>
      <c r="Q28" s="95">
        <f t="shared" si="11"/>
        <v>0.2397803538743136</v>
      </c>
      <c r="R28" s="95">
        <f t="shared" si="11"/>
        <v>0.24127372933251684</v>
      </c>
      <c r="S28" s="95">
        <f t="shared" si="11"/>
        <v>0.23425978445830969</v>
      </c>
      <c r="T28" s="95">
        <f t="shared" si="11"/>
        <v>0.22450080949811116</v>
      </c>
      <c r="U28" s="95">
        <f t="shared" si="11"/>
        <v>0.21461420541645376</v>
      </c>
      <c r="V28" s="95">
        <f t="shared" si="11"/>
        <v>0.21768355739400208</v>
      </c>
      <c r="W28" s="96">
        <f t="shared" si="11"/>
        <v>0.22678396871945258</v>
      </c>
      <c r="X28" s="97">
        <v>0.27</v>
      </c>
      <c r="Y28" s="97"/>
      <c r="Z28" s="97"/>
    </row>
    <row r="29" spans="2:28" x14ac:dyDescent="0.2">
      <c r="B29" s="1" t="str">
        <f t="shared" si="8"/>
        <v>General and administrative</v>
      </c>
      <c r="C29" s="95">
        <f t="shared" si="9"/>
        <v>0.13041495668034656</v>
      </c>
      <c r="D29" s="95">
        <f t="shared" si="9"/>
        <v>0.1062937062937063</v>
      </c>
      <c r="E29" s="95">
        <f t="shared" si="9"/>
        <v>0.11278879388757504</v>
      </c>
      <c r="F29" s="95">
        <f t="shared" si="9"/>
        <v>0.10601859403033763</v>
      </c>
      <c r="G29" s="96">
        <f t="shared" si="9"/>
        <v>9.6169858451290585E-2</v>
      </c>
      <c r="H29" s="97">
        <v>0.105</v>
      </c>
      <c r="I29" s="97">
        <v>0.11</v>
      </c>
      <c r="J29" s="97">
        <v>0.11</v>
      </c>
      <c r="K29" s="97">
        <v>0.1</v>
      </c>
      <c r="L29" s="97">
        <v>0.1</v>
      </c>
      <c r="O29" s="1" t="str">
        <f t="shared" si="10"/>
        <v>General and administrative</v>
      </c>
      <c r="P29" s="95">
        <f t="shared" si="11"/>
        <v>0.10254777070063695</v>
      </c>
      <c r="Q29" s="95">
        <f t="shared" si="11"/>
        <v>0.10555216595485052</v>
      </c>
      <c r="R29" s="95">
        <f t="shared" si="11"/>
        <v>9.9203919167176968E-2</v>
      </c>
      <c r="S29" s="95">
        <f t="shared" si="11"/>
        <v>9.5292115711854794E-2</v>
      </c>
      <c r="T29" s="95">
        <f t="shared" si="11"/>
        <v>9.2822450080949817E-2</v>
      </c>
      <c r="U29" s="95">
        <f t="shared" si="11"/>
        <v>9.7598364844149202E-2</v>
      </c>
      <c r="V29" s="95">
        <f t="shared" si="11"/>
        <v>8.376421923474664E-2</v>
      </c>
      <c r="W29" s="96">
        <f t="shared" si="11"/>
        <v>8.7487781036168139E-2</v>
      </c>
      <c r="X29" s="97">
        <v>7.9000000000000001E-2</v>
      </c>
      <c r="Y29" s="97"/>
      <c r="Z29" s="97"/>
    </row>
    <row r="30" spans="2:28" x14ac:dyDescent="0.2">
      <c r="B30" s="16" t="str">
        <f t="shared" ref="B30" si="12">B18</f>
        <v>OpEx</v>
      </c>
      <c r="C30" s="103">
        <f>C18/C$6</f>
        <v>0.76379388964888284</v>
      </c>
      <c r="D30" s="103">
        <f t="shared" ref="D30:L30" si="13">D18/D$6</f>
        <v>0.70649350649350651</v>
      </c>
      <c r="E30" s="103">
        <f t="shared" si="13"/>
        <v>0.7018373658359105</v>
      </c>
      <c r="F30" s="103">
        <f t="shared" si="13"/>
        <v>0.6848801174359811</v>
      </c>
      <c r="G30" s="104">
        <f t="shared" si="13"/>
        <v>0.6908132112128782</v>
      </c>
      <c r="H30" s="103">
        <f t="shared" si="13"/>
        <v>0.65</v>
      </c>
      <c r="I30" s="103">
        <f t="shared" si="13"/>
        <v>0.64999999999999991</v>
      </c>
      <c r="J30" s="103">
        <f t="shared" si="13"/>
        <v>0.64</v>
      </c>
      <c r="K30" s="103">
        <f t="shared" si="13"/>
        <v>0.62</v>
      </c>
      <c r="L30" s="103">
        <f t="shared" si="13"/>
        <v>0.62</v>
      </c>
      <c r="O30" s="16" t="str">
        <f t="shared" ref="O30" si="14">O18</f>
        <v>OpEx</v>
      </c>
      <c r="P30" s="103">
        <f t="shared" ref="P30:V30" si="15">P18/P$6</f>
        <v>0.68598726114649677</v>
      </c>
      <c r="Q30" s="103">
        <f t="shared" si="15"/>
        <v>0.68273337400854184</v>
      </c>
      <c r="R30" s="103">
        <f t="shared" si="15"/>
        <v>0.75933864053888545</v>
      </c>
      <c r="S30" s="103">
        <f t="shared" si="15"/>
        <v>0.65796937039137837</v>
      </c>
      <c r="T30" s="103">
        <f t="shared" si="15"/>
        <v>0.657312466270912</v>
      </c>
      <c r="U30" s="103">
        <f t="shared" si="15"/>
        <v>0.69494123658661211</v>
      </c>
      <c r="V30" s="103">
        <f t="shared" si="15"/>
        <v>0.62978283350568764</v>
      </c>
      <c r="W30" s="104">
        <f t="shared" ref="W30:X30" si="16">W18/W$6</f>
        <v>0.62121212121212122</v>
      </c>
      <c r="X30" s="103">
        <f t="shared" si="16"/>
        <v>0.52900000000000003</v>
      </c>
      <c r="Y30" s="16"/>
      <c r="Z30" s="16"/>
    </row>
  </sheetData>
  <mergeCells count="10">
    <mergeCell ref="C9:L9"/>
    <mergeCell ref="P9:Z9"/>
    <mergeCell ref="C21:L21"/>
    <mergeCell ref="P21:Z21"/>
    <mergeCell ref="C2:G2"/>
    <mergeCell ref="H2:L2"/>
    <mergeCell ref="P2:W2"/>
    <mergeCell ref="X2:Z2"/>
    <mergeCell ref="C4:L4"/>
    <mergeCell ref="P4:Z4"/>
  </mergeCells>
  <pageMargins left="0.7" right="0.7" top="0.75" bottom="0.75" header="0.3" footer="0.3"/>
  <ignoredErrors>
    <ignoredError sqref="AB14 X14" formula="1"/>
  </ignoredError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C38" zoomScale="189" zoomScaleNormal="100" workbookViewId="0">
      <selection activeCell="I46" sqref="I46"/>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130</v>
      </c>
    </row>
    <row r="2" spans="1:28" s="83" customFormat="1" ht="18" customHeight="1" x14ac:dyDescent="0.2">
      <c r="A2" s="4"/>
      <c r="B2" s="82"/>
    </row>
    <row r="3" spans="1:28" x14ac:dyDescent="0.2">
      <c r="A3" s="4"/>
      <c r="C3" s="242" t="s">
        <v>112</v>
      </c>
      <c r="D3" s="242"/>
      <c r="E3" s="242"/>
      <c r="F3" s="242"/>
      <c r="G3" s="251"/>
      <c r="H3" s="252" t="s">
        <v>113</v>
      </c>
      <c r="I3" s="242"/>
      <c r="J3" s="242"/>
      <c r="K3" s="242"/>
      <c r="L3" s="242"/>
      <c r="P3" s="253"/>
      <c r="Q3" s="253"/>
      <c r="R3" s="253"/>
      <c r="S3" s="253"/>
      <c r="T3" s="253"/>
      <c r="U3" s="253"/>
      <c r="V3" s="253"/>
      <c r="W3" s="253"/>
      <c r="X3" s="253"/>
      <c r="Y3" s="253"/>
      <c r="Z3" s="253"/>
      <c r="AB3" s="111"/>
    </row>
    <row r="4" spans="1:28" ht="10" customHeight="1" x14ac:dyDescent="0.2"/>
    <row r="5" spans="1:28" ht="16" customHeight="1" x14ac:dyDescent="0.2">
      <c r="A5" s="86"/>
      <c r="B5" s="60"/>
      <c r="C5" s="248" t="s">
        <v>115</v>
      </c>
      <c r="D5" s="248"/>
      <c r="E5" s="248"/>
      <c r="F5" s="248"/>
      <c r="G5" s="248"/>
      <c r="H5" s="248"/>
      <c r="I5" s="248"/>
      <c r="J5" s="248"/>
      <c r="K5" s="248"/>
      <c r="L5" s="248"/>
      <c r="P5" s="253"/>
      <c r="Q5" s="253"/>
      <c r="R5" s="253"/>
      <c r="S5" s="253"/>
      <c r="T5" s="253"/>
      <c r="U5" s="253"/>
      <c r="V5" s="253"/>
      <c r="W5" s="253"/>
      <c r="X5" s="253"/>
      <c r="Y5" s="253"/>
      <c r="Z5" s="253"/>
      <c r="AB5" s="112"/>
    </row>
    <row r="6" spans="1:28" x14ac:dyDescent="0.2">
      <c r="B6" s="16" t="s">
        <v>116</v>
      </c>
      <c r="C6" s="12">
        <f>Revenue!C5</f>
        <v>2022</v>
      </c>
      <c r="D6" s="12">
        <f>Revenue!D5</f>
        <v>2023</v>
      </c>
      <c r="E6" s="12">
        <f>Revenue!E5</f>
        <v>2024</v>
      </c>
      <c r="F6" s="12">
        <f>Revenue!F5</f>
        <v>2025</v>
      </c>
      <c r="G6" s="12">
        <f>Revenue!G5</f>
        <v>2026</v>
      </c>
      <c r="H6" s="12">
        <f>G6+1</f>
        <v>2027</v>
      </c>
      <c r="I6" s="12">
        <f t="shared" ref="I6:L6" si="0">H6+1</f>
        <v>2028</v>
      </c>
      <c r="J6" s="12">
        <f t="shared" si="0"/>
        <v>2029</v>
      </c>
      <c r="K6" s="12">
        <f t="shared" si="0"/>
        <v>2030</v>
      </c>
      <c r="L6" s="12">
        <f t="shared" si="0"/>
        <v>2031</v>
      </c>
      <c r="O6" s="16"/>
      <c r="P6" s="113"/>
      <c r="Q6" s="113"/>
      <c r="R6" s="113"/>
      <c r="S6" s="113"/>
      <c r="T6" s="113"/>
      <c r="U6" s="113"/>
      <c r="V6" s="113"/>
      <c r="W6" s="113"/>
      <c r="X6" s="113"/>
      <c r="Y6" s="113"/>
      <c r="Z6" s="113"/>
      <c r="AB6" s="112"/>
    </row>
    <row r="7" spans="1:28" x14ac:dyDescent="0.2">
      <c r="B7" s="16" t="s">
        <v>19</v>
      </c>
      <c r="C7" s="92">
        <f>Revenue!C14</f>
        <v>4386</v>
      </c>
      <c r="D7" s="92">
        <f>Revenue!D14</f>
        <v>5005</v>
      </c>
      <c r="E7" s="92">
        <f>Revenue!E14</f>
        <v>5497</v>
      </c>
      <c r="F7" s="92">
        <f>Revenue!F14</f>
        <v>6131</v>
      </c>
      <c r="G7" s="93">
        <f>Revenue!G14</f>
        <v>7206</v>
      </c>
      <c r="H7" s="92">
        <f>Revenue!H14</f>
        <v>8336.82</v>
      </c>
      <c r="I7" s="92">
        <f>Revenue!I14</f>
        <v>9700.9791999999979</v>
      </c>
      <c r="J7" s="92">
        <f>Revenue!J14</f>
        <v>10917.704445000001</v>
      </c>
      <c r="K7" s="92">
        <f>Revenue!K14</f>
        <v>12252.046907150001</v>
      </c>
      <c r="L7" s="92">
        <f>Revenue!L14</f>
        <v>13385.314235484499</v>
      </c>
      <c r="N7" s="91"/>
      <c r="O7" s="16"/>
      <c r="P7" s="92"/>
      <c r="Q7" s="92"/>
      <c r="R7" s="92"/>
      <c r="S7" s="92"/>
      <c r="T7" s="92"/>
      <c r="U7" s="92"/>
      <c r="V7" s="92"/>
      <c r="W7" s="92"/>
      <c r="X7" s="94"/>
      <c r="Y7" s="94"/>
      <c r="Z7" s="94"/>
      <c r="AB7" s="94"/>
    </row>
    <row r="8" spans="1:28" x14ac:dyDescent="0.2">
      <c r="B8" s="39" t="s">
        <v>20</v>
      </c>
      <c r="C8" s="114">
        <f>'COGS &amp; OpEx'!C14</f>
        <v>418</v>
      </c>
      <c r="D8" s="114">
        <f>'COGS &amp; OpEx'!D14</f>
        <v>480</v>
      </c>
      <c r="E8" s="114">
        <f>'COGS &amp; OpEx'!E14</f>
        <v>511</v>
      </c>
      <c r="F8" s="114">
        <f>'COGS &amp; OpEx'!F14</f>
        <v>578</v>
      </c>
      <c r="G8" s="115">
        <f>'COGS &amp; OpEx'!G14</f>
        <v>650</v>
      </c>
      <c r="H8" s="114">
        <f>'COGS &amp; OpEx'!H14</f>
        <v>716.96651999999995</v>
      </c>
      <c r="I8" s="114">
        <f>'COGS &amp; OpEx'!I14</f>
        <v>805.18127359999971</v>
      </c>
      <c r="J8" s="114">
        <f>'COGS &amp; OpEx'!J14</f>
        <v>906.16946893499994</v>
      </c>
      <c r="K8" s="114">
        <f>'COGS &amp; OpEx'!K14</f>
        <v>1016.9198932934501</v>
      </c>
      <c r="L8" s="114">
        <f>'COGS &amp; OpEx'!L14</f>
        <v>1110.9810815452133</v>
      </c>
      <c r="N8" s="91"/>
      <c r="O8" s="16"/>
      <c r="P8" s="92"/>
      <c r="Q8" s="92"/>
      <c r="R8" s="92"/>
      <c r="S8" s="92"/>
      <c r="T8" s="92"/>
      <c r="U8" s="92"/>
      <c r="V8" s="92"/>
      <c r="W8" s="92"/>
      <c r="X8" s="94"/>
      <c r="Y8" s="94"/>
      <c r="Z8" s="94"/>
      <c r="AB8" s="94"/>
    </row>
    <row r="9" spans="1:28" x14ac:dyDescent="0.2">
      <c r="N9" s="91"/>
    </row>
    <row r="10" spans="1:28" x14ac:dyDescent="0.2">
      <c r="N10" s="91"/>
    </row>
    <row r="11" spans="1:28" x14ac:dyDescent="0.2">
      <c r="C11" s="248" t="s">
        <v>131</v>
      </c>
      <c r="D11" s="248"/>
      <c r="E11" s="248"/>
      <c r="F11" s="248"/>
      <c r="G11" s="248"/>
      <c r="H11" s="248"/>
      <c r="I11" s="248"/>
      <c r="J11" s="248"/>
      <c r="K11" s="248"/>
      <c r="L11" s="248"/>
      <c r="N11" s="91"/>
      <c r="P11" s="253"/>
      <c r="Q11" s="253"/>
      <c r="R11" s="253"/>
      <c r="S11" s="253"/>
      <c r="T11" s="253"/>
      <c r="U11" s="253"/>
      <c r="V11" s="253"/>
      <c r="W11" s="253"/>
      <c r="X11" s="253"/>
      <c r="Y11" s="253"/>
      <c r="Z11" s="253"/>
      <c r="AB11" s="112"/>
    </row>
    <row r="12" spans="1:28" x14ac:dyDescent="0.2">
      <c r="B12" s="16" t="s">
        <v>132</v>
      </c>
      <c r="C12" s="12">
        <f t="shared" ref="C12:L12" si="1">C6</f>
        <v>2022</v>
      </c>
      <c r="D12" s="12">
        <f t="shared" si="1"/>
        <v>2023</v>
      </c>
      <c r="E12" s="12">
        <f t="shared" si="1"/>
        <v>2024</v>
      </c>
      <c r="F12" s="12">
        <f t="shared" si="1"/>
        <v>2025</v>
      </c>
      <c r="G12" s="12">
        <f t="shared" si="1"/>
        <v>2026</v>
      </c>
      <c r="H12" s="12">
        <f t="shared" si="1"/>
        <v>2027</v>
      </c>
      <c r="I12" s="12">
        <f t="shared" si="1"/>
        <v>2028</v>
      </c>
      <c r="J12" s="12">
        <f t="shared" si="1"/>
        <v>2029</v>
      </c>
      <c r="K12" s="12">
        <f t="shared" si="1"/>
        <v>2030</v>
      </c>
      <c r="L12" s="12">
        <f t="shared" si="1"/>
        <v>2031</v>
      </c>
      <c r="N12" s="91"/>
      <c r="O12" s="16"/>
      <c r="P12" s="113"/>
      <c r="Q12" s="113"/>
      <c r="R12" s="113"/>
      <c r="S12" s="113"/>
      <c r="T12" s="113"/>
      <c r="U12" s="113"/>
      <c r="V12" s="113"/>
      <c r="W12" s="113"/>
      <c r="X12" s="113"/>
      <c r="Y12" s="113"/>
      <c r="Z12" s="113"/>
      <c r="AB12" s="112"/>
    </row>
    <row r="13" spans="1:28" x14ac:dyDescent="0.2">
      <c r="B13" s="39" t="s">
        <v>133</v>
      </c>
      <c r="C13" s="116">
        <f>Statement!M31</f>
        <v>716</v>
      </c>
      <c r="D13" s="116">
        <f>Statement!N31</f>
        <v>961</v>
      </c>
      <c r="E13" s="116">
        <f>Statement!O31</f>
        <v>876</v>
      </c>
      <c r="F13" s="116">
        <f>Statement!P31</f>
        <v>1008</v>
      </c>
      <c r="G13" s="117">
        <f>Statement!Q31</f>
        <v>1439</v>
      </c>
      <c r="H13" s="25">
        <f>H20*H7/365</f>
        <v>799.42109589041104</v>
      </c>
      <c r="I13" s="25">
        <f>I20*I7/365</f>
        <v>930.23088219178067</v>
      </c>
      <c r="J13" s="25">
        <f>J20*J7/365</f>
        <v>2093.8063319178086</v>
      </c>
      <c r="K13" s="25">
        <f>K20*K7/365</f>
        <v>2181.8713670267125</v>
      </c>
      <c r="L13" s="25">
        <f>L20*L7/365</f>
        <v>2200.3256277508767</v>
      </c>
      <c r="N13" s="91"/>
      <c r="O13" s="16"/>
      <c r="P13" s="118"/>
      <c r="Q13" s="118"/>
      <c r="R13" s="118"/>
      <c r="S13" s="118"/>
      <c r="T13" s="118"/>
      <c r="U13" s="118"/>
      <c r="V13" s="118"/>
      <c r="W13" s="118"/>
      <c r="X13" s="108"/>
      <c r="Y13" s="108"/>
      <c r="Z13" s="108"/>
      <c r="AB13" s="24"/>
    </row>
    <row r="14" spans="1:28" x14ac:dyDescent="0.2">
      <c r="B14" s="39" t="s">
        <v>134</v>
      </c>
      <c r="C14" s="116">
        <f>Statement!M32</f>
        <v>0</v>
      </c>
      <c r="D14" s="116">
        <f>Statement!N32</f>
        <v>0</v>
      </c>
      <c r="E14" s="116">
        <f>Statement!O32</f>
        <v>0</v>
      </c>
      <c r="F14" s="116">
        <f>Statement!P32</f>
        <v>0</v>
      </c>
      <c r="G14" s="117">
        <f>Statement!Q32</f>
        <v>0</v>
      </c>
      <c r="H14" s="128">
        <f>H21*H8/365</f>
        <v>0</v>
      </c>
      <c r="I14" s="128">
        <f t="shared" ref="I14:L14" si="2">I21*I8/365</f>
        <v>0</v>
      </c>
      <c r="J14" s="128">
        <f t="shared" si="2"/>
        <v>0</v>
      </c>
      <c r="K14" s="128">
        <f t="shared" si="2"/>
        <v>0</v>
      </c>
      <c r="L14" s="128">
        <f t="shared" si="2"/>
        <v>0</v>
      </c>
      <c r="N14" s="91"/>
      <c r="O14" s="16"/>
      <c r="P14" s="118"/>
      <c r="Q14" s="118"/>
      <c r="R14" s="118"/>
      <c r="S14" s="118"/>
      <c r="T14" s="118"/>
      <c r="U14" s="118"/>
      <c r="V14" s="118"/>
      <c r="W14" s="118"/>
      <c r="X14" s="108"/>
      <c r="Y14" s="108"/>
      <c r="Z14" s="108"/>
      <c r="AB14" s="24"/>
    </row>
    <row r="15" spans="1:28" x14ac:dyDescent="0.2">
      <c r="B15" s="1" t="s">
        <v>135</v>
      </c>
      <c r="C15" s="116">
        <f>Statement!M39</f>
        <v>121</v>
      </c>
      <c r="D15" s="116">
        <f>Statement!N39</f>
        <v>102</v>
      </c>
      <c r="E15" s="116">
        <f>Statement!O39</f>
        <v>100</v>
      </c>
      <c r="F15" s="116">
        <f>Statement!P39</f>
        <v>242</v>
      </c>
      <c r="G15" s="117">
        <f>Statement!Q39</f>
        <v>422</v>
      </c>
      <c r="H15" s="24">
        <f>H22*H8/365</f>
        <v>471.43004054794517</v>
      </c>
      <c r="I15" s="24">
        <f>I22*I8/365</f>
        <v>529.43426209315055</v>
      </c>
      <c r="J15" s="24">
        <f>J22*J8/365</f>
        <v>546.18433744027391</v>
      </c>
      <c r="K15" s="24">
        <f>K22*K8/365</f>
        <v>417.91228491511646</v>
      </c>
      <c r="L15" s="24">
        <f>L22*L8/365</f>
        <v>319.59729743081482</v>
      </c>
      <c r="N15" s="91"/>
      <c r="P15" s="119"/>
      <c r="Q15" s="119"/>
      <c r="R15" s="119"/>
      <c r="S15" s="119"/>
      <c r="T15" s="119"/>
      <c r="U15" s="119"/>
      <c r="V15" s="119"/>
      <c r="W15" s="119"/>
      <c r="X15" s="25"/>
      <c r="Y15" s="24"/>
      <c r="Z15" s="24"/>
      <c r="AB15" s="24"/>
    </row>
    <row r="16" spans="1:28" x14ac:dyDescent="0.2">
      <c r="D16" s="24"/>
    </row>
    <row r="18" spans="2:12" x14ac:dyDescent="0.2">
      <c r="C18" s="248" t="s">
        <v>136</v>
      </c>
      <c r="D18" s="248"/>
      <c r="E18" s="248"/>
      <c r="F18" s="248"/>
      <c r="G18" s="248"/>
      <c r="H18" s="248"/>
      <c r="I18" s="248"/>
      <c r="J18" s="248"/>
      <c r="K18" s="248"/>
      <c r="L18" s="248"/>
    </row>
    <row r="19" spans="2:12" x14ac:dyDescent="0.2">
      <c r="B19" s="16" t="s">
        <v>137</v>
      </c>
      <c r="C19" s="12">
        <f t="shared" ref="C19:L19" si="3">C6</f>
        <v>2022</v>
      </c>
      <c r="D19" s="12">
        <f t="shared" si="3"/>
        <v>2023</v>
      </c>
      <c r="E19" s="12">
        <f t="shared" si="3"/>
        <v>2024</v>
      </c>
      <c r="F19" s="12">
        <f t="shared" si="3"/>
        <v>2025</v>
      </c>
      <c r="G19" s="12">
        <f t="shared" si="3"/>
        <v>2026</v>
      </c>
      <c r="H19" s="12">
        <f t="shared" si="3"/>
        <v>2027</v>
      </c>
      <c r="I19" s="12">
        <f t="shared" si="3"/>
        <v>2028</v>
      </c>
      <c r="J19" s="12">
        <f t="shared" si="3"/>
        <v>2029</v>
      </c>
      <c r="K19" s="12">
        <f t="shared" si="3"/>
        <v>2030</v>
      </c>
      <c r="L19" s="12">
        <f t="shared" si="3"/>
        <v>2031</v>
      </c>
    </row>
    <row r="20" spans="2:12" x14ac:dyDescent="0.2">
      <c r="B20" s="1" t="s">
        <v>138</v>
      </c>
      <c r="C20" s="120">
        <f>C13/C7*365</f>
        <v>59.585043319653444</v>
      </c>
      <c r="D20" s="120">
        <f>D13/D7*365</f>
        <v>70.082917082917078</v>
      </c>
      <c r="E20" s="120">
        <f>E13/E7*365</f>
        <v>58.166272512279427</v>
      </c>
      <c r="F20" s="120">
        <f>F13/F7*365</f>
        <v>60.009786331756644</v>
      </c>
      <c r="G20" s="121">
        <f>G13/G7*365</f>
        <v>72.888565084651674</v>
      </c>
      <c r="H20" s="102">
        <v>35</v>
      </c>
      <c r="I20" s="102">
        <v>35</v>
      </c>
      <c r="J20" s="102">
        <v>70</v>
      </c>
      <c r="K20" s="102">
        <v>65</v>
      </c>
      <c r="L20" s="102">
        <v>60</v>
      </c>
    </row>
    <row r="21" spans="2:12" x14ac:dyDescent="0.2">
      <c r="B21" s="1" t="s">
        <v>139</v>
      </c>
      <c r="C21" s="120">
        <f>C14/C8*365</f>
        <v>0</v>
      </c>
      <c r="D21" s="120">
        <f t="shared" ref="D21:G21" si="4">D14/D8*365</f>
        <v>0</v>
      </c>
      <c r="E21" s="120">
        <f t="shared" si="4"/>
        <v>0</v>
      </c>
      <c r="F21" s="120">
        <f t="shared" si="4"/>
        <v>0</v>
      </c>
      <c r="G21" s="121">
        <f t="shared" si="4"/>
        <v>0</v>
      </c>
      <c r="H21" s="102">
        <v>0</v>
      </c>
      <c r="I21" s="102">
        <v>0</v>
      </c>
      <c r="J21" s="102">
        <v>0</v>
      </c>
      <c r="K21" s="102">
        <v>0</v>
      </c>
      <c r="L21" s="102">
        <v>0</v>
      </c>
    </row>
    <row r="22" spans="2:12" x14ac:dyDescent="0.2">
      <c r="B22" s="1" t="s">
        <v>140</v>
      </c>
      <c r="C22" s="120">
        <f>C15/C8*365</f>
        <v>105.65789473684211</v>
      </c>
      <c r="D22" s="120">
        <f>D15/D8*365</f>
        <v>77.5625</v>
      </c>
      <c r="E22" s="120">
        <f>E15/E8*365</f>
        <v>71.428571428571431</v>
      </c>
      <c r="F22" s="120">
        <f>F15/F8*365</f>
        <v>152.82006920415225</v>
      </c>
      <c r="G22" s="121">
        <f>G15/G8*365</f>
        <v>236.96923076923079</v>
      </c>
      <c r="H22" s="102">
        <v>240</v>
      </c>
      <c r="I22" s="102">
        <v>240</v>
      </c>
      <c r="J22" s="102">
        <v>220</v>
      </c>
      <c r="K22" s="102">
        <v>150</v>
      </c>
      <c r="L22" s="102">
        <v>105</v>
      </c>
    </row>
    <row r="23" spans="2:12" x14ac:dyDescent="0.2">
      <c r="B23" s="1" t="s">
        <v>141</v>
      </c>
      <c r="C23" s="120">
        <f>C20+C21-C22</f>
        <v>-46.072851417188666</v>
      </c>
      <c r="D23" s="120">
        <f t="shared" ref="D23:L23" si="5">D20+D21-D22</f>
        <v>-7.4795829170829222</v>
      </c>
      <c r="E23" s="120">
        <f t="shared" si="5"/>
        <v>-13.262298916292004</v>
      </c>
      <c r="F23" s="120">
        <f t="shared" si="5"/>
        <v>-92.810282872395604</v>
      </c>
      <c r="G23" s="121">
        <f t="shared" si="5"/>
        <v>-164.08066568457912</v>
      </c>
      <c r="H23" s="120">
        <f t="shared" si="5"/>
        <v>-205</v>
      </c>
      <c r="I23" s="120">
        <f t="shared" si="5"/>
        <v>-205</v>
      </c>
      <c r="J23" s="120">
        <f t="shared" si="5"/>
        <v>-150</v>
      </c>
      <c r="K23" s="120">
        <f t="shared" si="5"/>
        <v>-85</v>
      </c>
      <c r="L23" s="120">
        <f t="shared" si="5"/>
        <v>-45</v>
      </c>
    </row>
    <row r="25" spans="2:12" x14ac:dyDescent="0.2">
      <c r="B25" s="253"/>
      <c r="C25" s="253"/>
    </row>
    <row r="26" spans="2:12" x14ac:dyDescent="0.2">
      <c r="B26" s="111"/>
      <c r="C26" s="248" t="s">
        <v>142</v>
      </c>
      <c r="D26" s="248"/>
      <c r="E26" s="248"/>
      <c r="F26" s="248"/>
      <c r="G26" s="248"/>
      <c r="H26" s="248"/>
      <c r="I26" s="248"/>
      <c r="J26" s="248"/>
      <c r="K26" s="248"/>
      <c r="L26" s="248"/>
    </row>
    <row r="27" spans="2:12" x14ac:dyDescent="0.2">
      <c r="B27" s="16" t="s">
        <v>132</v>
      </c>
      <c r="C27" s="12">
        <f t="shared" ref="C27:L27" si="6">C6</f>
        <v>2022</v>
      </c>
      <c r="D27" s="12">
        <f t="shared" si="6"/>
        <v>2023</v>
      </c>
      <c r="E27" s="12">
        <f t="shared" si="6"/>
        <v>2024</v>
      </c>
      <c r="F27" s="12">
        <f t="shared" si="6"/>
        <v>2025</v>
      </c>
      <c r="G27" s="12">
        <f t="shared" si="6"/>
        <v>2026</v>
      </c>
      <c r="H27" s="12">
        <f t="shared" si="6"/>
        <v>2027</v>
      </c>
      <c r="I27" s="12">
        <f t="shared" si="6"/>
        <v>2028</v>
      </c>
      <c r="J27" s="12">
        <f t="shared" si="6"/>
        <v>2029</v>
      </c>
      <c r="K27" s="12">
        <f t="shared" si="6"/>
        <v>2030</v>
      </c>
      <c r="L27" s="12">
        <f t="shared" si="6"/>
        <v>2031</v>
      </c>
    </row>
    <row r="28" spans="2:12" x14ac:dyDescent="0.2">
      <c r="B28" s="1" t="s">
        <v>143</v>
      </c>
      <c r="C28" s="116">
        <f>Statement!M56</f>
        <v>-66</v>
      </c>
      <c r="D28" s="116">
        <f>Statement!N56</f>
        <v>-247</v>
      </c>
      <c r="E28" s="116">
        <f>Statement!O56</f>
        <v>86</v>
      </c>
      <c r="F28" s="116">
        <f>Statement!P56</f>
        <v>-132</v>
      </c>
      <c r="G28" s="117">
        <f>Statement!Q56</f>
        <v>-431</v>
      </c>
      <c r="H28" s="128">
        <f>-(H13-G13)</f>
        <v>639.57890410958896</v>
      </c>
      <c r="I28" s="128">
        <f t="shared" ref="I28:L29" si="7">-(I13-H13)</f>
        <v>-130.80978630136963</v>
      </c>
      <c r="J28" s="128">
        <f t="shared" si="7"/>
        <v>-1163.575449726028</v>
      </c>
      <c r="K28" s="128">
        <f t="shared" si="7"/>
        <v>-88.065035108903885</v>
      </c>
      <c r="L28" s="128">
        <f t="shared" si="7"/>
        <v>-18.454260724164214</v>
      </c>
    </row>
    <row r="29" spans="2:12" x14ac:dyDescent="0.2">
      <c r="B29" s="1" t="s">
        <v>144</v>
      </c>
      <c r="C29" s="116">
        <f>Statement!M57</f>
        <v>0</v>
      </c>
      <c r="D29" s="116">
        <f>Statement!N57</f>
        <v>0</v>
      </c>
      <c r="E29" s="116">
        <f>Statement!O57</f>
        <v>0</v>
      </c>
      <c r="F29" s="116">
        <f>Statement!P57</f>
        <v>0</v>
      </c>
      <c r="G29" s="117">
        <f>Statement!Q57</f>
        <v>0</v>
      </c>
      <c r="H29" s="128">
        <f>-(H14-G14)</f>
        <v>0</v>
      </c>
      <c r="I29" s="128">
        <f t="shared" si="7"/>
        <v>0</v>
      </c>
      <c r="J29" s="128">
        <f t="shared" si="7"/>
        <v>0</v>
      </c>
      <c r="K29" s="128">
        <f t="shared" si="7"/>
        <v>0</v>
      </c>
      <c r="L29" s="128">
        <f t="shared" si="7"/>
        <v>0</v>
      </c>
    </row>
    <row r="30" spans="2:12" x14ac:dyDescent="0.2">
      <c r="B30" s="1" t="s">
        <v>145</v>
      </c>
      <c r="C30" s="116">
        <f>Statement!M58</f>
        <v>10</v>
      </c>
      <c r="D30" s="116">
        <f>Statement!N58</f>
        <v>-5</v>
      </c>
      <c r="E30" s="116">
        <f>Statement!O58</f>
        <v>27</v>
      </c>
      <c r="F30" s="116">
        <f>Statement!P58</f>
        <v>238</v>
      </c>
      <c r="G30" s="117">
        <f>Statement!Q58</f>
        <v>455</v>
      </c>
      <c r="H30" s="64">
        <f>H15-G15</f>
        <v>49.430040547945168</v>
      </c>
      <c r="I30" s="64">
        <f t="shared" ref="I30:L30" si="8">I15-H15</f>
        <v>58.004221545205382</v>
      </c>
      <c r="J30" s="64">
        <f t="shared" si="8"/>
        <v>16.750075347123357</v>
      </c>
      <c r="K30" s="64">
        <f t="shared" si="8"/>
        <v>-128.27205252515745</v>
      </c>
      <c r="L30" s="64">
        <f t="shared" si="8"/>
        <v>-98.314987484301639</v>
      </c>
    </row>
    <row r="31" spans="2:12" x14ac:dyDescent="0.2">
      <c r="B31" s="111"/>
      <c r="C31" s="111"/>
    </row>
    <row r="32" spans="2:12" x14ac:dyDescent="0.2">
      <c r="B32" s="111"/>
      <c r="C32" s="111"/>
    </row>
    <row r="33" spans="2:12" x14ac:dyDescent="0.2">
      <c r="B33" s="111"/>
      <c r="C33" s="248" t="s">
        <v>146</v>
      </c>
      <c r="D33" s="248"/>
      <c r="E33" s="248"/>
      <c r="F33" s="248"/>
      <c r="G33" s="248"/>
      <c r="H33" s="248"/>
      <c r="I33" s="248"/>
      <c r="J33" s="248"/>
      <c r="K33" s="248"/>
      <c r="L33" s="248"/>
    </row>
    <row r="34" spans="2:12" x14ac:dyDescent="0.2">
      <c r="B34" s="16" t="s">
        <v>132</v>
      </c>
      <c r="C34" s="12">
        <f t="shared" ref="C34:L34" si="9">C6</f>
        <v>2022</v>
      </c>
      <c r="D34" s="12">
        <f t="shared" si="9"/>
        <v>2023</v>
      </c>
      <c r="E34" s="12">
        <f t="shared" si="9"/>
        <v>2024</v>
      </c>
      <c r="F34" s="12">
        <f t="shared" si="9"/>
        <v>2025</v>
      </c>
      <c r="G34" s="12">
        <f t="shared" si="9"/>
        <v>2026</v>
      </c>
      <c r="H34" s="12">
        <f t="shared" si="9"/>
        <v>2027</v>
      </c>
      <c r="I34" s="12">
        <f t="shared" si="9"/>
        <v>2028</v>
      </c>
      <c r="J34" s="12">
        <f t="shared" si="9"/>
        <v>2029</v>
      </c>
      <c r="K34" s="12">
        <f t="shared" si="9"/>
        <v>2030</v>
      </c>
      <c r="L34" s="12">
        <f t="shared" si="9"/>
        <v>2031</v>
      </c>
    </row>
    <row r="35" spans="2:12" x14ac:dyDescent="0.2">
      <c r="B35" s="1" t="s">
        <v>147</v>
      </c>
      <c r="C35" s="116">
        <f>Statement!M56+Statement!M57+Statement!M58+Statement!M59</f>
        <v>217</v>
      </c>
      <c r="D35" s="116">
        <f>Statement!N56+Statement!N57+Statement!N58+Statement!N59</f>
        <v>692</v>
      </c>
      <c r="E35" s="116">
        <f>Statement!O56+Statement!O57+Statement!O58+Statement!O59</f>
        <v>-451</v>
      </c>
      <c r="F35" s="116">
        <f>Statement!P56+Statement!P57+Statement!P58+Statement!P59</f>
        <v>-458</v>
      </c>
      <c r="G35" s="117">
        <f>Statement!Q56+Statement!Q57+Statement!Q58+Statement!Q59</f>
        <v>-501</v>
      </c>
      <c r="H35" s="128">
        <f>H36+H28+H29+H30</f>
        <v>188.79974465753418</v>
      </c>
      <c r="I35" s="128">
        <f t="shared" ref="I35:L35" si="10">I36+I28+I29+I30</f>
        <v>-654.86431675616404</v>
      </c>
      <c r="J35" s="128">
        <f t="shared" si="10"/>
        <v>-1801.8876410789046</v>
      </c>
      <c r="K35" s="128">
        <f t="shared" si="10"/>
        <v>-951.45990206306146</v>
      </c>
      <c r="L35" s="128">
        <f t="shared" si="10"/>
        <v>-919.88810233753566</v>
      </c>
    </row>
    <row r="36" spans="2:12" x14ac:dyDescent="0.2">
      <c r="B36" s="1" t="s">
        <v>148</v>
      </c>
      <c r="C36" s="122">
        <f>C35-C28-C29-C30</f>
        <v>273</v>
      </c>
      <c r="D36" s="122">
        <f t="shared" ref="D36:G36" si="11">D35-D28-D29-D30</f>
        <v>944</v>
      </c>
      <c r="E36" s="122">
        <f t="shared" si="11"/>
        <v>-564</v>
      </c>
      <c r="F36" s="122">
        <f t="shared" si="11"/>
        <v>-564</v>
      </c>
      <c r="G36" s="123">
        <f t="shared" si="11"/>
        <v>-525</v>
      </c>
      <c r="H36" s="64">
        <f>H7*H37</f>
        <v>-500.20919999999995</v>
      </c>
      <c r="I36" s="64">
        <f>I7*I37</f>
        <v>-582.0587519999998</v>
      </c>
      <c r="J36" s="64">
        <f>J7*J37</f>
        <v>-655.06226670000001</v>
      </c>
      <c r="K36" s="64">
        <f>K7*K37</f>
        <v>-735.12281442900007</v>
      </c>
      <c r="L36" s="64">
        <f>L7*L37</f>
        <v>-803.11885412906986</v>
      </c>
    </row>
    <row r="37" spans="2:12" x14ac:dyDescent="0.2">
      <c r="B37" s="124" t="s">
        <v>128</v>
      </c>
      <c r="C37" s="125">
        <f>C36/C7</f>
        <v>6.2243502051983583E-2</v>
      </c>
      <c r="D37" s="125">
        <f>D36/D7</f>
        <v>0.18861138861138863</v>
      </c>
      <c r="E37" s="125">
        <f>E36/E7</f>
        <v>-0.10260141895579407</v>
      </c>
      <c r="F37" s="125">
        <f>F36/F7</f>
        <v>-9.1991518512477569E-2</v>
      </c>
      <c r="G37" s="126">
        <f>G36/G7</f>
        <v>-7.2855953372189836E-2</v>
      </c>
      <c r="H37" s="97">
        <v>-0.06</v>
      </c>
      <c r="I37" s="97">
        <v>-0.06</v>
      </c>
      <c r="J37" s="97">
        <v>-0.06</v>
      </c>
      <c r="K37" s="97">
        <v>-0.06</v>
      </c>
      <c r="L37" s="97">
        <v>-0.06</v>
      </c>
    </row>
    <row r="38" spans="2:12" x14ac:dyDescent="0.2">
      <c r="C38" s="64"/>
    </row>
    <row r="39" spans="2:12" x14ac:dyDescent="0.2">
      <c r="C39" s="127"/>
    </row>
    <row r="40" spans="2:12" x14ac:dyDescent="0.2">
      <c r="C40" s="248" t="s">
        <v>149</v>
      </c>
      <c r="D40" s="248"/>
      <c r="E40" s="248"/>
      <c r="F40" s="248"/>
      <c r="G40" s="248"/>
      <c r="H40" s="248"/>
      <c r="I40" s="248"/>
      <c r="J40" s="248"/>
      <c r="K40" s="248"/>
      <c r="L40" s="248"/>
    </row>
    <row r="41" spans="2:12" x14ac:dyDescent="0.2">
      <c r="B41" s="16" t="s">
        <v>132</v>
      </c>
      <c r="C41" s="12">
        <f t="shared" ref="C41:L41" si="12">C6</f>
        <v>2022</v>
      </c>
      <c r="D41" s="12">
        <f t="shared" si="12"/>
        <v>2023</v>
      </c>
      <c r="E41" s="12">
        <f t="shared" si="12"/>
        <v>2024</v>
      </c>
      <c r="F41" s="12">
        <f t="shared" si="12"/>
        <v>2025</v>
      </c>
      <c r="G41" s="12">
        <f t="shared" si="12"/>
        <v>2026</v>
      </c>
      <c r="H41" s="12">
        <f t="shared" si="12"/>
        <v>2027</v>
      </c>
      <c r="I41" s="12">
        <f t="shared" si="12"/>
        <v>2028</v>
      </c>
      <c r="J41" s="12">
        <f t="shared" si="12"/>
        <v>2029</v>
      </c>
      <c r="K41" s="12">
        <f t="shared" si="12"/>
        <v>2030</v>
      </c>
      <c r="L41" s="12">
        <f t="shared" si="12"/>
        <v>2031</v>
      </c>
    </row>
    <row r="42" spans="2:12" x14ac:dyDescent="0.2">
      <c r="B42" s="1" t="s">
        <v>57</v>
      </c>
      <c r="C42" s="116">
        <f>Statement!M54</f>
        <v>148</v>
      </c>
      <c r="D42" s="116">
        <f>Statement!N54</f>
        <v>150</v>
      </c>
      <c r="E42" s="116">
        <f>Statement!O54</f>
        <v>139</v>
      </c>
      <c r="F42" s="116">
        <f>Statement!P54</f>
        <v>180</v>
      </c>
      <c r="G42" s="117">
        <f>Statement!Q54</f>
        <v>195</v>
      </c>
      <c r="H42" s="25">
        <f>H7*H43</f>
        <v>216.75731999999999</v>
      </c>
      <c r="I42" s="25">
        <f>I7*I43</f>
        <v>271.62741759999994</v>
      </c>
      <c r="J42" s="25">
        <f>J7*J43</f>
        <v>327.53113335</v>
      </c>
      <c r="K42" s="25">
        <f>K7*K43</f>
        <v>343.05731340020003</v>
      </c>
      <c r="L42" s="25">
        <f>L7*L43</f>
        <v>401.55942706453493</v>
      </c>
    </row>
    <row r="43" spans="2:12" x14ac:dyDescent="0.2">
      <c r="B43" s="124" t="s">
        <v>150</v>
      </c>
      <c r="C43" s="125">
        <f>C42/C7</f>
        <v>3.3743730050159598E-2</v>
      </c>
      <c r="D43" s="125">
        <f>D42/D7</f>
        <v>2.9970029970029972E-2</v>
      </c>
      <c r="E43" s="125">
        <f>E42/E7</f>
        <v>2.5286519919956341E-2</v>
      </c>
      <c r="F43" s="125">
        <f>F42/F7</f>
        <v>2.9358995269939649E-2</v>
      </c>
      <c r="G43" s="126">
        <f>G42/G7</f>
        <v>2.7060782681099085E-2</v>
      </c>
      <c r="H43" s="97">
        <v>2.5999999999999999E-2</v>
      </c>
      <c r="I43" s="97">
        <v>2.8000000000000001E-2</v>
      </c>
      <c r="J43" s="97">
        <v>0.03</v>
      </c>
      <c r="K43" s="97">
        <v>2.8000000000000001E-2</v>
      </c>
      <c r="L43" s="97">
        <v>0.03</v>
      </c>
    </row>
    <row r="44" spans="2:12" x14ac:dyDescent="0.2">
      <c r="B44" s="124" t="s">
        <v>151</v>
      </c>
      <c r="C44" s="125">
        <f>C42/C45</f>
        <v>2.2089552238805972</v>
      </c>
      <c r="D44" s="125">
        <f t="shared" ref="D44:L44" si="13">D42/D45</f>
        <v>3.2608695652173911</v>
      </c>
      <c r="E44" s="125">
        <f t="shared" si="13"/>
        <v>2.278688524590164</v>
      </c>
      <c r="F44" s="125">
        <f t="shared" si="13"/>
        <v>1.7647058823529411</v>
      </c>
      <c r="G44" s="126">
        <f t="shared" si="13"/>
        <v>2.5657894736842106</v>
      </c>
      <c r="H44" s="125">
        <f t="shared" si="13"/>
        <v>2.5999999999999996</v>
      </c>
      <c r="I44" s="125">
        <f t="shared" si="13"/>
        <v>2.5454545454545459</v>
      </c>
      <c r="J44" s="125">
        <f t="shared" si="13"/>
        <v>2.3076923076923075</v>
      </c>
      <c r="K44" s="125">
        <f t="shared" si="13"/>
        <v>2.5454545454545454</v>
      </c>
      <c r="L44" s="125">
        <f t="shared" si="13"/>
        <v>2.5</v>
      </c>
    </row>
    <row r="45" spans="2:12" x14ac:dyDescent="0.2">
      <c r="B45" s="1" t="s">
        <v>60</v>
      </c>
      <c r="C45" s="116">
        <f>-Statement!M111</f>
        <v>67</v>
      </c>
      <c r="D45" s="116">
        <f>-Statement!N111</f>
        <v>46</v>
      </c>
      <c r="E45" s="116">
        <f>-Statement!O111</f>
        <v>61</v>
      </c>
      <c r="F45" s="116">
        <f>-Statement!P111</f>
        <v>102</v>
      </c>
      <c r="G45" s="117">
        <f>-Statement!Q111</f>
        <v>76</v>
      </c>
      <c r="H45" s="25">
        <f>H7*H46</f>
        <v>83.368200000000002</v>
      </c>
      <c r="I45" s="25">
        <f>I7*I46</f>
        <v>106.71077119999997</v>
      </c>
      <c r="J45" s="25">
        <f>J7*J46</f>
        <v>141.93015778500001</v>
      </c>
      <c r="K45" s="25">
        <f>K7*K46</f>
        <v>134.77251597865001</v>
      </c>
      <c r="L45" s="25">
        <f>L7*L46</f>
        <v>160.62377082581398</v>
      </c>
    </row>
    <row r="46" spans="2:12" x14ac:dyDescent="0.2">
      <c r="B46" s="124" t="s">
        <v>150</v>
      </c>
      <c r="C46" s="125">
        <f>C45/C7</f>
        <v>1.5275877792977656E-2</v>
      </c>
      <c r="D46" s="125">
        <f>D45/D7</f>
        <v>9.1908091908091908E-3</v>
      </c>
      <c r="E46" s="125">
        <f>E45/E7</f>
        <v>1.1096961979261416E-2</v>
      </c>
      <c r="F46" s="125">
        <f>F45/F7</f>
        <v>1.6636763986299135E-2</v>
      </c>
      <c r="G46" s="126">
        <f>G45/G7</f>
        <v>1.0546766583402719E-2</v>
      </c>
      <c r="H46" s="97">
        <v>0.01</v>
      </c>
      <c r="I46" s="97">
        <v>1.0999999999999999E-2</v>
      </c>
      <c r="J46" s="97">
        <v>1.2999999999999999E-2</v>
      </c>
      <c r="K46" s="97">
        <v>1.0999999999999999E-2</v>
      </c>
      <c r="L46" s="97">
        <v>1.2E-2</v>
      </c>
    </row>
  </sheetData>
  <mergeCells count="13">
    <mergeCell ref="C40:L40"/>
    <mergeCell ref="C11:L11"/>
    <mergeCell ref="P11:Z11"/>
    <mergeCell ref="C18:L18"/>
    <mergeCell ref="B25:C25"/>
    <mergeCell ref="C26:L26"/>
    <mergeCell ref="C33:L33"/>
    <mergeCell ref="C3:G3"/>
    <mergeCell ref="H3:L3"/>
    <mergeCell ref="P3:W3"/>
    <mergeCell ref="X3:Z3"/>
    <mergeCell ref="C5:L5"/>
    <mergeCell ref="P5:Z5"/>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B26" zoomScale="183" workbookViewId="0">
      <selection activeCell="H34" sqref="H34"/>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152</v>
      </c>
    </row>
    <row r="2" spans="1:31" x14ac:dyDescent="0.2">
      <c r="A2" s="4"/>
      <c r="C2" s="242" t="s">
        <v>112</v>
      </c>
      <c r="D2" s="242"/>
      <c r="E2" s="242"/>
      <c r="F2" s="242"/>
      <c r="G2" s="251"/>
      <c r="H2" s="252" t="s">
        <v>113</v>
      </c>
      <c r="I2" s="242"/>
      <c r="J2" s="242"/>
      <c r="K2" s="242"/>
      <c r="L2" s="242"/>
      <c r="S2" s="253"/>
      <c r="T2" s="253"/>
      <c r="U2" s="253"/>
      <c r="V2" s="253"/>
      <c r="W2" s="253"/>
      <c r="X2" s="253"/>
      <c r="Y2" s="253"/>
      <c r="Z2" s="253"/>
      <c r="AA2" s="253"/>
      <c r="AB2" s="253"/>
      <c r="AC2" s="253"/>
      <c r="AE2" s="111"/>
    </row>
    <row r="3" spans="1:31" ht="10" customHeight="1" x14ac:dyDescent="0.2"/>
    <row r="4" spans="1:31" ht="16" customHeight="1" x14ac:dyDescent="0.2">
      <c r="A4" s="86"/>
      <c r="B4" s="60"/>
      <c r="C4" s="248" t="s">
        <v>18</v>
      </c>
      <c r="D4" s="248"/>
      <c r="E4" s="248"/>
      <c r="F4" s="248"/>
      <c r="G4" s="248"/>
      <c r="H4" s="248"/>
      <c r="I4" s="248"/>
      <c r="J4" s="248"/>
      <c r="K4" s="248"/>
      <c r="L4" s="248"/>
      <c r="S4" s="253"/>
      <c r="T4" s="253"/>
      <c r="U4" s="253"/>
      <c r="V4" s="253"/>
      <c r="W4" s="253"/>
      <c r="X4" s="253"/>
      <c r="Y4" s="253"/>
      <c r="Z4" s="253"/>
      <c r="AA4" s="253"/>
      <c r="AB4" s="253"/>
      <c r="AC4" s="253"/>
      <c r="AE4" s="112"/>
    </row>
    <row r="5" spans="1:31" x14ac:dyDescent="0.2">
      <c r="B5" s="16" t="s">
        <v>132</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R5" s="16"/>
      <c r="S5" s="113"/>
      <c r="T5" s="113"/>
      <c r="U5" s="113"/>
      <c r="V5" s="113"/>
      <c r="W5" s="113"/>
      <c r="X5" s="113"/>
      <c r="Y5" s="113"/>
      <c r="Z5" s="113"/>
      <c r="AA5" s="113"/>
      <c r="AB5" s="113"/>
      <c r="AC5" s="113"/>
      <c r="AE5" s="112"/>
    </row>
    <row r="6" spans="1:31" x14ac:dyDescent="0.2">
      <c r="B6" s="16" t="s">
        <v>19</v>
      </c>
      <c r="C6" s="92">
        <f>Revenue!C14</f>
        <v>4386</v>
      </c>
      <c r="D6" s="92">
        <f>Revenue!D14</f>
        <v>5005</v>
      </c>
      <c r="E6" s="92">
        <f>Revenue!E14</f>
        <v>5497</v>
      </c>
      <c r="F6" s="92">
        <f>Revenue!F14</f>
        <v>6131</v>
      </c>
      <c r="G6" s="93">
        <f>Revenue!G14</f>
        <v>7206</v>
      </c>
      <c r="H6" s="92">
        <f>Revenue!H14</f>
        <v>8336.82</v>
      </c>
      <c r="I6" s="92">
        <f>Revenue!I14</f>
        <v>9700.9791999999979</v>
      </c>
      <c r="J6" s="92">
        <f>Revenue!J14</f>
        <v>10917.704445000001</v>
      </c>
      <c r="K6" s="92">
        <f>Revenue!K14</f>
        <v>12252.046907150001</v>
      </c>
      <c r="L6" s="92">
        <f>Revenue!L14</f>
        <v>13385.314235484499</v>
      </c>
      <c r="N6" s="90" t="s">
        <v>153</v>
      </c>
      <c r="Q6" s="90"/>
      <c r="S6" s="88"/>
      <c r="T6" s="88"/>
      <c r="U6" s="88"/>
      <c r="V6" s="88"/>
      <c r="W6" s="88"/>
      <c r="X6" s="88"/>
      <c r="Y6" s="88"/>
      <c r="Z6" s="88"/>
      <c r="AA6" s="64"/>
      <c r="AB6" s="64"/>
      <c r="AC6" s="64"/>
      <c r="AE6" s="64"/>
    </row>
    <row r="7" spans="1:31" x14ac:dyDescent="0.2">
      <c r="B7" s="1" t="s">
        <v>20</v>
      </c>
      <c r="C7" s="88">
        <f>'COGS &amp; OpEx'!C14</f>
        <v>418</v>
      </c>
      <c r="D7" s="88">
        <f>'COGS &amp; OpEx'!D14</f>
        <v>480</v>
      </c>
      <c r="E7" s="88">
        <f>'COGS &amp; OpEx'!E14</f>
        <v>511</v>
      </c>
      <c r="F7" s="88">
        <f>'COGS &amp; OpEx'!F14</f>
        <v>578</v>
      </c>
      <c r="G7" s="89">
        <f>'COGS &amp; OpEx'!G14</f>
        <v>650</v>
      </c>
      <c r="H7" s="114">
        <f>'COGS &amp; OpEx'!H14</f>
        <v>716.96651999999995</v>
      </c>
      <c r="I7" s="114">
        <f>'COGS &amp; OpEx'!I14</f>
        <v>805.18127359999971</v>
      </c>
      <c r="J7" s="114">
        <f>'COGS &amp; OpEx'!J14</f>
        <v>906.16946893499994</v>
      </c>
      <c r="K7" s="114">
        <f>'COGS &amp; OpEx'!K14</f>
        <v>1016.9198932934501</v>
      </c>
      <c r="L7" s="114">
        <f>'COGS &amp; OpEx'!L14</f>
        <v>1110.9810815452133</v>
      </c>
      <c r="N7" s="90" t="s">
        <v>154</v>
      </c>
      <c r="Q7" s="90"/>
      <c r="S7" s="88"/>
      <c r="T7" s="88"/>
      <c r="U7" s="88"/>
      <c r="V7" s="88"/>
      <c r="W7" s="88"/>
      <c r="X7" s="88"/>
      <c r="Y7" s="88"/>
      <c r="Z7" s="88"/>
      <c r="AA7" s="64"/>
      <c r="AB7" s="64"/>
      <c r="AC7" s="64"/>
      <c r="AE7" s="64"/>
    </row>
    <row r="8" spans="1:31" x14ac:dyDescent="0.2">
      <c r="B8" s="16" t="s">
        <v>155</v>
      </c>
      <c r="C8" s="94">
        <f>C6-C7</f>
        <v>3968</v>
      </c>
      <c r="D8" s="94">
        <f t="shared" ref="D8:L8" si="1">D6-D7</f>
        <v>4525</v>
      </c>
      <c r="E8" s="94">
        <f t="shared" si="1"/>
        <v>4986</v>
      </c>
      <c r="F8" s="94">
        <f t="shared" si="1"/>
        <v>5553</v>
      </c>
      <c r="G8" s="129">
        <f t="shared" si="1"/>
        <v>6556</v>
      </c>
      <c r="H8" s="94">
        <f t="shared" si="1"/>
        <v>7619.8534799999998</v>
      </c>
      <c r="I8" s="94">
        <f t="shared" si="1"/>
        <v>8895.7979263999987</v>
      </c>
      <c r="J8" s="94">
        <f t="shared" si="1"/>
        <v>10011.534976065001</v>
      </c>
      <c r="K8" s="94">
        <f t="shared" si="1"/>
        <v>11235.127013856551</v>
      </c>
      <c r="L8" s="94">
        <f t="shared" si="1"/>
        <v>12274.333153939286</v>
      </c>
      <c r="N8" s="90"/>
      <c r="Q8" s="90"/>
      <c r="S8" s="88"/>
      <c r="T8" s="88"/>
      <c r="U8" s="88"/>
      <c r="V8" s="88"/>
      <c r="W8" s="88"/>
      <c r="X8" s="88"/>
      <c r="Y8" s="88"/>
      <c r="Z8" s="88"/>
      <c r="AA8" s="64"/>
      <c r="AB8" s="64"/>
      <c r="AC8" s="64"/>
      <c r="AE8" s="64"/>
    </row>
    <row r="9" spans="1:31" x14ac:dyDescent="0.2">
      <c r="B9" s="1" t="s">
        <v>25</v>
      </c>
      <c r="C9" s="88">
        <f>'COGS &amp; OpEx'!C18</f>
        <v>3350</v>
      </c>
      <c r="D9" s="88">
        <f>'COGS &amp; OpEx'!D18</f>
        <v>3536</v>
      </c>
      <c r="E9" s="88">
        <f>'COGS &amp; OpEx'!E18</f>
        <v>3858</v>
      </c>
      <c r="F9" s="88">
        <f>'COGS &amp; OpEx'!F18</f>
        <v>4199</v>
      </c>
      <c r="G9" s="89">
        <f>'COGS &amp; OpEx'!G18</f>
        <v>4978</v>
      </c>
      <c r="H9" s="114">
        <f>'COGS &amp; OpEx'!H18</f>
        <v>5418.933</v>
      </c>
      <c r="I9" s="114">
        <f>'COGS &amp; OpEx'!I18</f>
        <v>6305.6364799999983</v>
      </c>
      <c r="J9" s="114">
        <f>'COGS &amp; OpEx'!J18</f>
        <v>6987.3308448000007</v>
      </c>
      <c r="K9" s="114">
        <f>'COGS &amp; OpEx'!K18</f>
        <v>7596.2690824330002</v>
      </c>
      <c r="L9" s="114">
        <f>'COGS &amp; OpEx'!L18</f>
        <v>8298.894826000389</v>
      </c>
      <c r="N9" s="130" t="s">
        <v>154</v>
      </c>
      <c r="Q9" s="90"/>
      <c r="S9" s="88"/>
      <c r="T9" s="88"/>
      <c r="U9" s="88"/>
      <c r="V9" s="88"/>
      <c r="W9" s="88"/>
      <c r="X9" s="88"/>
      <c r="Y9" s="88"/>
      <c r="Z9" s="88"/>
      <c r="AA9" s="64"/>
      <c r="AB9" s="64"/>
      <c r="AC9" s="64"/>
      <c r="AE9" s="64"/>
    </row>
    <row r="10" spans="1:31" x14ac:dyDescent="0.2">
      <c r="B10" s="16" t="s">
        <v>156</v>
      </c>
      <c r="C10" s="94">
        <f t="shared" ref="C10:L10" si="2">C8-C9</f>
        <v>618</v>
      </c>
      <c r="D10" s="94">
        <f t="shared" si="2"/>
        <v>989</v>
      </c>
      <c r="E10" s="94">
        <f t="shared" si="2"/>
        <v>1128</v>
      </c>
      <c r="F10" s="94">
        <f t="shared" si="2"/>
        <v>1354</v>
      </c>
      <c r="G10" s="129">
        <f t="shared" si="2"/>
        <v>1578</v>
      </c>
      <c r="H10" s="94">
        <f t="shared" si="2"/>
        <v>2200.9204799999998</v>
      </c>
      <c r="I10" s="94">
        <f t="shared" si="2"/>
        <v>2590.1614464000004</v>
      </c>
      <c r="J10" s="94">
        <f t="shared" si="2"/>
        <v>3024.2041312649999</v>
      </c>
      <c r="K10" s="94">
        <f t="shared" si="2"/>
        <v>3638.8579314235503</v>
      </c>
      <c r="L10" s="94">
        <f t="shared" si="2"/>
        <v>3975.4383279388967</v>
      </c>
      <c r="N10" s="90"/>
      <c r="Q10" s="90"/>
      <c r="S10" s="88"/>
      <c r="T10" s="88"/>
      <c r="U10" s="88"/>
      <c r="V10" s="88"/>
      <c r="W10" s="88"/>
      <c r="X10" s="88"/>
      <c r="Y10" s="88"/>
      <c r="Z10" s="88"/>
      <c r="AA10" s="64"/>
      <c r="AB10" s="64"/>
      <c r="AC10" s="64"/>
      <c r="AE10" s="64"/>
    </row>
    <row r="13" spans="1:31" x14ac:dyDescent="0.2">
      <c r="C13" s="248" t="s">
        <v>157</v>
      </c>
      <c r="D13" s="248"/>
      <c r="E13" s="248"/>
      <c r="F13" s="248"/>
      <c r="G13" s="248"/>
      <c r="H13" s="248"/>
      <c r="I13" s="248"/>
      <c r="J13" s="248"/>
      <c r="K13" s="248"/>
      <c r="L13" s="248"/>
    </row>
    <row r="14" spans="1:31" x14ac:dyDescent="0.2">
      <c r="C14" s="12">
        <f t="shared" ref="C14:L14" si="3">C5</f>
        <v>2022</v>
      </c>
      <c r="D14" s="12">
        <f t="shared" si="3"/>
        <v>2023</v>
      </c>
      <c r="E14" s="12">
        <f t="shared" si="3"/>
        <v>2024</v>
      </c>
      <c r="F14" s="12">
        <f t="shared" si="3"/>
        <v>2025</v>
      </c>
      <c r="G14" s="12">
        <f t="shared" si="3"/>
        <v>2026</v>
      </c>
      <c r="H14" s="12">
        <f t="shared" si="3"/>
        <v>2027</v>
      </c>
      <c r="I14" s="12">
        <f t="shared" si="3"/>
        <v>2028</v>
      </c>
      <c r="J14" s="12">
        <f t="shared" si="3"/>
        <v>2029</v>
      </c>
      <c r="K14" s="12">
        <f t="shared" si="3"/>
        <v>2030</v>
      </c>
      <c r="L14" s="12">
        <f t="shared" si="3"/>
        <v>2031</v>
      </c>
    </row>
    <row r="15" spans="1:31" x14ac:dyDescent="0.2">
      <c r="B15" s="1" t="s">
        <v>73</v>
      </c>
      <c r="C15" s="131">
        <f>Statement!M84</f>
        <v>0.12035398230088495</v>
      </c>
      <c r="D15" s="131">
        <f>Statement!N84</f>
        <v>0.13002114164904863</v>
      </c>
      <c r="E15" s="131">
        <f>Statement!O84</f>
        <v>0.20246478873239437</v>
      </c>
      <c r="F15" s="131">
        <f>Statement!P84</f>
        <v>0.19653179190751446</v>
      </c>
      <c r="G15" s="132">
        <f>Statement!Q84</f>
        <v>0.29881472239550844</v>
      </c>
      <c r="H15" s="131">
        <f>Overview!$C$26</f>
        <v>0.21</v>
      </c>
      <c r="I15" s="131">
        <f>Overview!$C$26</f>
        <v>0.21</v>
      </c>
      <c r="J15" s="131">
        <f>Overview!$C$26</f>
        <v>0.21</v>
      </c>
      <c r="K15" s="131">
        <f>Overview!$C$26</f>
        <v>0.21</v>
      </c>
      <c r="L15" s="131">
        <f>Overview!$C$26</f>
        <v>0.21</v>
      </c>
      <c r="N15" s="1" t="s">
        <v>162</v>
      </c>
    </row>
    <row r="18" spans="2:14" x14ac:dyDescent="0.2">
      <c r="C18" s="248" t="s">
        <v>158</v>
      </c>
      <c r="D18" s="248"/>
      <c r="E18" s="248"/>
      <c r="F18" s="248"/>
      <c r="G18" s="248"/>
      <c r="H18" s="248"/>
      <c r="I18" s="248"/>
      <c r="J18" s="248"/>
      <c r="K18" s="248"/>
      <c r="L18" s="248"/>
    </row>
    <row r="19" spans="2:14" x14ac:dyDescent="0.2">
      <c r="B19" s="16" t="s">
        <v>132</v>
      </c>
      <c r="C19" s="12">
        <f t="shared" ref="C19:L19" si="4">C5</f>
        <v>2022</v>
      </c>
      <c r="D19" s="12">
        <f t="shared" si="4"/>
        <v>2023</v>
      </c>
      <c r="E19" s="12">
        <f t="shared" si="4"/>
        <v>2024</v>
      </c>
      <c r="F19" s="12">
        <f t="shared" si="4"/>
        <v>2025</v>
      </c>
      <c r="G19" s="12">
        <f t="shared" si="4"/>
        <v>2026</v>
      </c>
      <c r="H19" s="12">
        <f t="shared" si="4"/>
        <v>2027</v>
      </c>
      <c r="I19" s="12">
        <f t="shared" si="4"/>
        <v>2028</v>
      </c>
      <c r="J19" s="12">
        <f t="shared" si="4"/>
        <v>2029</v>
      </c>
      <c r="K19" s="12">
        <f t="shared" si="4"/>
        <v>2030</v>
      </c>
      <c r="L19" s="12">
        <f t="shared" si="4"/>
        <v>2031</v>
      </c>
    </row>
    <row r="20" spans="2:14" x14ac:dyDescent="0.2">
      <c r="B20" s="1" t="s">
        <v>57</v>
      </c>
      <c r="C20" s="88">
        <f>'WC &amp; Investments'!C42</f>
        <v>148</v>
      </c>
      <c r="D20" s="88">
        <f>'WC &amp; Investments'!D42</f>
        <v>150</v>
      </c>
      <c r="E20" s="88">
        <f>'WC &amp; Investments'!E42</f>
        <v>139</v>
      </c>
      <c r="F20" s="88">
        <f>'WC &amp; Investments'!F42</f>
        <v>180</v>
      </c>
      <c r="G20" s="89">
        <f>'WC &amp; Investments'!G42</f>
        <v>195</v>
      </c>
      <c r="H20" s="88">
        <f>'WC &amp; Investments'!H42</f>
        <v>216.75731999999999</v>
      </c>
      <c r="I20" s="88">
        <f>'WC &amp; Investments'!I42</f>
        <v>271.62741759999994</v>
      </c>
      <c r="J20" s="88">
        <f>'WC &amp; Investments'!J42</f>
        <v>327.53113335</v>
      </c>
      <c r="K20" s="88">
        <f>'WC &amp; Investments'!K42</f>
        <v>343.05731340020003</v>
      </c>
      <c r="L20" s="88">
        <f>'WC &amp; Investments'!L42</f>
        <v>401.55942706453493</v>
      </c>
      <c r="N20" s="1" t="s">
        <v>159</v>
      </c>
    </row>
    <row r="21" spans="2:14" x14ac:dyDescent="0.2">
      <c r="B21" s="1" t="s">
        <v>60</v>
      </c>
      <c r="C21" s="88">
        <f>'WC &amp; Investments'!C45</f>
        <v>67</v>
      </c>
      <c r="D21" s="88">
        <f>'WC &amp; Investments'!D45</f>
        <v>46</v>
      </c>
      <c r="E21" s="88">
        <f>'WC &amp; Investments'!E45</f>
        <v>61</v>
      </c>
      <c r="F21" s="88">
        <f>'WC &amp; Investments'!F45</f>
        <v>102</v>
      </c>
      <c r="G21" s="89">
        <f>'WC &amp; Investments'!G45</f>
        <v>76</v>
      </c>
      <c r="H21" s="88">
        <f>'WC &amp; Investments'!H45</f>
        <v>83.368200000000002</v>
      </c>
      <c r="I21" s="88">
        <f>'WC &amp; Investments'!I45</f>
        <v>106.71077119999997</v>
      </c>
      <c r="J21" s="88">
        <f>'WC &amp; Investments'!J45</f>
        <v>141.93015778500001</v>
      </c>
      <c r="K21" s="88">
        <f>'WC &amp; Investments'!K45</f>
        <v>134.77251597865001</v>
      </c>
      <c r="L21" s="88">
        <f>'WC &amp; Investments'!L45</f>
        <v>160.62377082581398</v>
      </c>
      <c r="N21" s="1" t="s">
        <v>159</v>
      </c>
    </row>
    <row r="22" spans="2:14" x14ac:dyDescent="0.2">
      <c r="B22" s="1" t="s">
        <v>160</v>
      </c>
      <c r="C22" s="88">
        <f>'WC &amp; Investments'!C35</f>
        <v>217</v>
      </c>
      <c r="D22" s="88">
        <f>'WC &amp; Investments'!D35</f>
        <v>692</v>
      </c>
      <c r="E22" s="88">
        <f>'WC &amp; Investments'!E35</f>
        <v>-451</v>
      </c>
      <c r="F22" s="88">
        <f>'WC &amp; Investments'!F35</f>
        <v>-458</v>
      </c>
      <c r="G22" s="89">
        <f>'WC &amp; Investments'!G35</f>
        <v>-501</v>
      </c>
      <c r="H22" s="88">
        <f>'WC &amp; Investments'!H35</f>
        <v>188.79974465753418</v>
      </c>
      <c r="I22" s="88">
        <f>'WC &amp; Investments'!I35</f>
        <v>-654.86431675616404</v>
      </c>
      <c r="J22" s="88">
        <f>'WC &amp; Investments'!J35</f>
        <v>-1801.8876410789046</v>
      </c>
      <c r="K22" s="88">
        <f>'WC &amp; Investments'!K35</f>
        <v>-951.45990206306146</v>
      </c>
      <c r="L22" s="88">
        <f>'WC &amp; Investments'!L35</f>
        <v>-919.88810233753566</v>
      </c>
      <c r="N22" s="1" t="s">
        <v>159</v>
      </c>
    </row>
    <row r="25" spans="2:14" x14ac:dyDescent="0.2">
      <c r="C25" s="248" t="s">
        <v>261</v>
      </c>
      <c r="D25" s="248"/>
      <c r="E25" s="248"/>
      <c r="F25" s="248"/>
      <c r="G25" s="248"/>
      <c r="H25" s="248"/>
      <c r="I25" s="248"/>
      <c r="J25" s="248"/>
      <c r="K25" s="248"/>
      <c r="L25" s="248"/>
    </row>
    <row r="26" spans="2:14" x14ac:dyDescent="0.2">
      <c r="B26" s="16" t="s">
        <v>132</v>
      </c>
      <c r="C26" s="12">
        <f t="shared" ref="C26:L26" si="5">C5</f>
        <v>2022</v>
      </c>
      <c r="D26" s="12">
        <f t="shared" si="5"/>
        <v>2023</v>
      </c>
      <c r="E26" s="12">
        <f t="shared" si="5"/>
        <v>2024</v>
      </c>
      <c r="F26" s="12">
        <f t="shared" si="5"/>
        <v>2025</v>
      </c>
      <c r="G26" s="12">
        <f t="shared" si="5"/>
        <v>2026</v>
      </c>
      <c r="H26" s="12">
        <f t="shared" si="5"/>
        <v>2027</v>
      </c>
      <c r="I26" s="12">
        <f t="shared" si="5"/>
        <v>2028</v>
      </c>
      <c r="J26" s="12">
        <f t="shared" si="5"/>
        <v>2029</v>
      </c>
      <c r="K26" s="12">
        <f t="shared" si="5"/>
        <v>2030</v>
      </c>
      <c r="L26" s="12">
        <f t="shared" si="5"/>
        <v>2031</v>
      </c>
    </row>
    <row r="27" spans="2:14" x14ac:dyDescent="0.2">
      <c r="B27" s="1" t="s">
        <v>161</v>
      </c>
      <c r="C27" s="128">
        <f>C10*(1-C15)</f>
        <v>543.62123893805301</v>
      </c>
      <c r="D27" s="128">
        <f t="shared" ref="D27:L27" si="6">D10*(1-D15)</f>
        <v>860.40909090909088</v>
      </c>
      <c r="E27" s="128">
        <f t="shared" si="6"/>
        <v>899.61971830985919</v>
      </c>
      <c r="F27" s="128">
        <f t="shared" si="6"/>
        <v>1087.8959537572255</v>
      </c>
      <c r="G27" s="133">
        <f t="shared" si="6"/>
        <v>1106.4703680598877</v>
      </c>
      <c r="H27" s="128">
        <f t="shared" si="6"/>
        <v>1738.7271791999999</v>
      </c>
      <c r="I27" s="128">
        <f t="shared" si="6"/>
        <v>2046.2275426560004</v>
      </c>
      <c r="J27" s="128">
        <f t="shared" si="6"/>
        <v>2389.12126369935</v>
      </c>
      <c r="K27" s="128">
        <f t="shared" si="6"/>
        <v>2874.6977658246051</v>
      </c>
      <c r="L27" s="128">
        <f t="shared" si="6"/>
        <v>3140.5962790717285</v>
      </c>
    </row>
    <row r="28" spans="2:14" x14ac:dyDescent="0.2">
      <c r="B28" s="16" t="s">
        <v>261</v>
      </c>
      <c r="C28" s="94">
        <f>C27+C20-C21+C22</f>
        <v>841.62123893805301</v>
      </c>
      <c r="D28" s="94">
        <f t="shared" ref="D28:L28" si="7">D27+D20-D21+D22</f>
        <v>1656.409090909091</v>
      </c>
      <c r="E28" s="94">
        <f t="shared" si="7"/>
        <v>526.61971830985931</v>
      </c>
      <c r="F28" s="94">
        <f t="shared" si="7"/>
        <v>707.89595375722547</v>
      </c>
      <c r="G28" s="129">
        <f t="shared" si="7"/>
        <v>724.47036805988773</v>
      </c>
      <c r="H28" s="94">
        <f t="shared" si="7"/>
        <v>2060.9160438575341</v>
      </c>
      <c r="I28" s="94">
        <f t="shared" si="7"/>
        <v>1556.2798722998364</v>
      </c>
      <c r="J28" s="94">
        <f t="shared" si="7"/>
        <v>772.8345981854452</v>
      </c>
      <c r="K28" s="94">
        <f t="shared" si="7"/>
        <v>2131.522661183094</v>
      </c>
      <c r="L28" s="94">
        <f t="shared" si="7"/>
        <v>2461.643832972914</v>
      </c>
    </row>
    <row r="31" spans="2:14" x14ac:dyDescent="0.2">
      <c r="C31" s="248" t="s">
        <v>77</v>
      </c>
      <c r="D31" s="248"/>
      <c r="E31" s="248"/>
      <c r="F31" s="248"/>
      <c r="G31" s="248"/>
      <c r="H31" s="248"/>
      <c r="I31" s="248"/>
      <c r="J31" s="248"/>
      <c r="K31" s="248"/>
      <c r="L31" s="248"/>
    </row>
    <row r="32" spans="2:14" x14ac:dyDescent="0.2">
      <c r="B32" s="16" t="s">
        <v>331</v>
      </c>
      <c r="C32" s="12">
        <f>C5</f>
        <v>2022</v>
      </c>
      <c r="D32" s="12">
        <f t="shared" ref="D32:L32" si="8">D5</f>
        <v>2023</v>
      </c>
      <c r="E32" s="12">
        <f t="shared" si="8"/>
        <v>2024</v>
      </c>
      <c r="F32" s="12">
        <f t="shared" si="8"/>
        <v>2025</v>
      </c>
      <c r="G32" s="12">
        <f t="shared" si="8"/>
        <v>2026</v>
      </c>
      <c r="H32" s="12">
        <f t="shared" si="8"/>
        <v>2027</v>
      </c>
      <c r="I32" s="12">
        <f t="shared" si="8"/>
        <v>2028</v>
      </c>
      <c r="J32" s="12">
        <f t="shared" si="8"/>
        <v>2029</v>
      </c>
      <c r="K32" s="12">
        <f t="shared" si="8"/>
        <v>2030</v>
      </c>
      <c r="L32" s="12">
        <f t="shared" si="8"/>
        <v>2031</v>
      </c>
    </row>
    <row r="33" spans="2:12" x14ac:dyDescent="0.2">
      <c r="B33" s="1" t="s">
        <v>78</v>
      </c>
      <c r="C33" s="131">
        <f>Statement!M102</f>
        <v>0.90469676242590058</v>
      </c>
      <c r="D33" s="131">
        <f>Statement!N102</f>
        <v>0.90409590409590412</v>
      </c>
      <c r="E33" s="131">
        <f>Statement!O102</f>
        <v>0.90704020374749861</v>
      </c>
      <c r="F33" s="131">
        <f>Statement!P102</f>
        <v>0.90572500407763823</v>
      </c>
      <c r="G33" s="132">
        <f>Statement!Q102</f>
        <v>0.90979739106300306</v>
      </c>
      <c r="H33" s="214">
        <f>H8/H6</f>
        <v>0.91400000000000003</v>
      </c>
      <c r="I33" s="214">
        <f t="shared" ref="I33:L33" si="9">I8/I6</f>
        <v>0.91700000000000004</v>
      </c>
      <c r="J33" s="214">
        <f t="shared" si="9"/>
        <v>0.91699999999999993</v>
      </c>
      <c r="K33" s="214">
        <f t="shared" si="9"/>
        <v>0.91699999999999993</v>
      </c>
      <c r="L33" s="214">
        <f t="shared" si="9"/>
        <v>0.91700000000000004</v>
      </c>
    </row>
    <row r="34" spans="2:12" x14ac:dyDescent="0.2">
      <c r="B34" s="1" t="s">
        <v>79</v>
      </c>
      <c r="C34" s="131">
        <f>Statement!M103</f>
        <v>0.1409028727770178</v>
      </c>
      <c r="D34" s="131">
        <f>Statement!N103</f>
        <v>0.19760239760239759</v>
      </c>
      <c r="E34" s="131">
        <f>Statement!O103</f>
        <v>0.20520283791158814</v>
      </c>
      <c r="F34" s="131">
        <f>Statement!P103</f>
        <v>0.22084488664165716</v>
      </c>
      <c r="G34" s="132">
        <f>Statement!Q103</f>
        <v>0.21898417985012489</v>
      </c>
      <c r="H34" s="214">
        <f>H10/H6</f>
        <v>0.26399999999999996</v>
      </c>
      <c r="I34" s="214">
        <f t="shared" ref="I34:L34" si="10">I10/I6</f>
        <v>0.26700000000000007</v>
      </c>
      <c r="J34" s="214">
        <f t="shared" si="10"/>
        <v>0.27699999999999997</v>
      </c>
      <c r="K34" s="214">
        <f t="shared" si="10"/>
        <v>0.29699999999999999</v>
      </c>
      <c r="L34" s="214">
        <f t="shared" si="10"/>
        <v>0.29700000000000004</v>
      </c>
    </row>
  </sheetData>
  <mergeCells count="10">
    <mergeCell ref="C31:L31"/>
    <mergeCell ref="C25:L25"/>
    <mergeCell ref="C2:G2"/>
    <mergeCell ref="H2:L2"/>
    <mergeCell ref="S2:Z2"/>
    <mergeCell ref="AA2:AC2"/>
    <mergeCell ref="C4:L4"/>
    <mergeCell ref="S4:AC4"/>
    <mergeCell ref="C13:L13"/>
    <mergeCell ref="C18:L18"/>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7" style="1" customWidth="1"/>
    <col min="9" max="16384" width="10.83203125" style="1"/>
  </cols>
  <sheetData>
    <row r="5" spans="2:8" x14ac:dyDescent="0.2">
      <c r="H5" s="134" t="s">
        <v>435</v>
      </c>
    </row>
    <row r="6" spans="2:8" x14ac:dyDescent="0.2">
      <c r="H6" s="237" t="s">
        <v>440</v>
      </c>
    </row>
    <row r="7" spans="2:8" x14ac:dyDescent="0.2">
      <c r="H7" s="237" t="s">
        <v>436</v>
      </c>
    </row>
    <row r="8" spans="2:8" x14ac:dyDescent="0.2">
      <c r="H8" s="237" t="s">
        <v>437</v>
      </c>
    </row>
    <row r="9" spans="2:8" x14ac:dyDescent="0.2">
      <c r="H9" s="237" t="s">
        <v>438</v>
      </c>
    </row>
    <row r="10" spans="2:8" x14ac:dyDescent="0.2">
      <c r="H10" s="238" t="s">
        <v>439</v>
      </c>
    </row>
    <row r="13" spans="2:8" s="4" customFormat="1" ht="49" x14ac:dyDescent="0.2">
      <c r="B13" s="3" t="s">
        <v>163</v>
      </c>
    </row>
  </sheetData>
  <hyperlinks>
    <hyperlink ref="H6" location="Overview!B3" display="Overview'!B3" xr:uid="{3F1BD722-EB05-7242-9EDC-1F73528A64FB}"/>
    <hyperlink ref="H8" location="'Analysis -&gt;'!B13" display="'Analysis -&gt;'!B13" xr:uid="{F95DEF6B-BD13-2A4F-B51B-3125CDE9F316}"/>
    <hyperlink ref="H9" location="'Forecast -&gt;'!B13" display="'Forecast -&gt;'!B13" xr:uid="{9E581C8E-6290-CC41-BA81-976C5BB26121}"/>
    <hyperlink ref="H10" location="'Valuation -&gt;'!B13" display="'Valuation -&gt;'!B13" xr:uid="{81F63A6C-25C5-A94E-AF54-5E57564326C4}"/>
    <hyperlink ref="H7" location="'Financials -&gt;'!B13" display="'Financials -&gt;'!B13" xr:uid="{993BE835-95C3-AC40-ABD4-B3D7AA93404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14" zoomScale="171" zoomScaleNormal="65" workbookViewId="0">
      <selection activeCell="C19" sqref="C19"/>
    </sheetView>
  </sheetViews>
  <sheetFormatPr baseColWidth="10" defaultRowHeight="16" x14ac:dyDescent="0.2"/>
  <cols>
    <col min="1" max="1" width="2" style="83"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3" customFormat="1" ht="18" customHeight="1" x14ac:dyDescent="0.2">
      <c r="A1" s="4"/>
      <c r="B1" s="82" t="s">
        <v>164</v>
      </c>
    </row>
    <row r="2" spans="1:3" s="83" customFormat="1" ht="18" customHeight="1" x14ac:dyDescent="0.2">
      <c r="A2" s="4"/>
      <c r="B2" s="82"/>
    </row>
    <row r="3" spans="1:3" ht="17" customHeight="1" x14ac:dyDescent="0.2"/>
    <row r="4" spans="1:3" ht="17" customHeight="1" x14ac:dyDescent="0.2">
      <c r="B4" s="242" t="s">
        <v>165</v>
      </c>
      <c r="C4" s="242"/>
    </row>
    <row r="5" spans="1:3" ht="17" customHeight="1" x14ac:dyDescent="0.2">
      <c r="B5" s="1" t="s">
        <v>166</v>
      </c>
      <c r="C5" s="138">
        <f>Statement!AC79</f>
        <v>210</v>
      </c>
    </row>
    <row r="6" spans="1:3" ht="17" customHeight="1" x14ac:dyDescent="0.2">
      <c r="B6" s="1" t="s">
        <v>1</v>
      </c>
      <c r="C6" s="135">
        <f ca="1">Overview!C5</f>
        <v>233.54</v>
      </c>
    </row>
    <row r="7" spans="1:3" ht="17" customHeight="1" x14ac:dyDescent="0.2">
      <c r="B7" s="1" t="s">
        <v>167</v>
      </c>
      <c r="C7" s="136">
        <f ca="1">C5*C6</f>
        <v>49043.4</v>
      </c>
    </row>
    <row r="8" spans="1:3" ht="17" customHeight="1" x14ac:dyDescent="0.2">
      <c r="B8" s="1" t="s">
        <v>168</v>
      </c>
      <c r="C8" s="114">
        <f>Statement!AC109</f>
        <v>3478</v>
      </c>
    </row>
    <row r="9" spans="1:3" ht="17" customHeight="1" x14ac:dyDescent="0.2">
      <c r="B9" s="1" t="s">
        <v>169</v>
      </c>
      <c r="C9" s="137">
        <f ca="1">Overview!F27</f>
        <v>5.2440000000000001E-2</v>
      </c>
    </row>
    <row r="10" spans="1:3" ht="17" customHeight="1" x14ac:dyDescent="0.2">
      <c r="B10" s="1" t="s">
        <v>9</v>
      </c>
      <c r="C10" s="135">
        <f ca="1">Overview!C13</f>
        <v>1.3194999999999999</v>
      </c>
    </row>
    <row r="11" spans="1:3" ht="17" customHeight="1" x14ac:dyDescent="0.2">
      <c r="B11" s="1" t="s">
        <v>170</v>
      </c>
      <c r="C11" s="137">
        <f>[1]Sheet1!$C$12</f>
        <v>4.4999999999999998E-2</v>
      </c>
    </row>
    <row r="12" spans="1:3" ht="17" customHeight="1" x14ac:dyDescent="0.2">
      <c r="B12" s="1" t="s">
        <v>73</v>
      </c>
      <c r="C12" s="137">
        <f>Overview!C26</f>
        <v>0.21</v>
      </c>
    </row>
    <row r="13" spans="1:3" ht="17" customHeight="1" x14ac:dyDescent="0.2">
      <c r="B13" s="1" t="s">
        <v>171</v>
      </c>
      <c r="C13" s="137">
        <f>Overview!C27</f>
        <v>6.0999999999999999E-2</v>
      </c>
    </row>
    <row r="14" spans="1:3" ht="17" customHeight="1" x14ac:dyDescent="0.2"/>
    <row r="15" spans="1:3" ht="17" customHeight="1" x14ac:dyDescent="0.2">
      <c r="B15" s="242" t="s">
        <v>172</v>
      </c>
      <c r="C15" s="242"/>
    </row>
    <row r="16" spans="1:3" ht="17" customHeight="1" x14ac:dyDescent="0.2">
      <c r="B16" s="1" t="s">
        <v>173</v>
      </c>
      <c r="C16" s="46">
        <f ca="1">C8/(C8+C7)</f>
        <v>6.6220626259010609E-2</v>
      </c>
    </row>
    <row r="17" spans="2:3" ht="17" customHeight="1" x14ac:dyDescent="0.2">
      <c r="B17" s="1" t="s">
        <v>174</v>
      </c>
      <c r="C17" s="46">
        <f ca="1">C7/(C8+C7)</f>
        <v>0.9337793737409894</v>
      </c>
    </row>
    <row r="18" spans="2:3" ht="17" customHeight="1" x14ac:dyDescent="0.2">
      <c r="B18" s="1" t="s">
        <v>175</v>
      </c>
      <c r="C18" s="46">
        <f>C13*(1-C12)</f>
        <v>4.8190000000000004E-2</v>
      </c>
    </row>
    <row r="19" spans="2:3" ht="17" customHeight="1" x14ac:dyDescent="0.2">
      <c r="B19" s="1" t="s">
        <v>176</v>
      </c>
      <c r="C19" s="46">
        <f ca="1">C9+C10*C11</f>
        <v>0.11181749999999999</v>
      </c>
    </row>
    <row r="20" spans="2:3" ht="17" customHeight="1" x14ac:dyDescent="0.2">
      <c r="B20" s="1" t="s">
        <v>164</v>
      </c>
      <c r="C20" s="46">
        <f ca="1">(C17*C19)+(C16*C18)</f>
        <v>0.10760404710270478</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A18" zoomScale="188" zoomScaleNormal="100" workbookViewId="0">
      <selection activeCell="D25" sqref="D25"/>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178</v>
      </c>
    </row>
    <row r="2" spans="1:28" s="83" customFormat="1" ht="18" customHeight="1" x14ac:dyDescent="0.2">
      <c r="A2" s="4"/>
      <c r="B2" s="82"/>
    </row>
    <row r="3" spans="1:28" x14ac:dyDescent="0.2">
      <c r="A3" s="4"/>
      <c r="C3" s="242" t="s">
        <v>112</v>
      </c>
      <c r="D3" s="242"/>
      <c r="E3" s="242"/>
      <c r="F3" s="242"/>
      <c r="G3" s="251"/>
      <c r="H3" s="252" t="s">
        <v>113</v>
      </c>
      <c r="I3" s="242"/>
      <c r="J3" s="242"/>
      <c r="K3" s="242"/>
      <c r="L3" s="242"/>
      <c r="P3" s="253"/>
      <c r="Q3" s="253"/>
      <c r="R3" s="253"/>
      <c r="S3" s="253"/>
      <c r="T3" s="253"/>
      <c r="U3" s="253"/>
      <c r="V3" s="253"/>
      <c r="W3" s="253"/>
      <c r="X3" s="253"/>
      <c r="Y3" s="253"/>
      <c r="Z3" s="253"/>
      <c r="AB3" s="111"/>
    </row>
    <row r="4" spans="1:28" ht="10" customHeight="1" x14ac:dyDescent="0.2"/>
    <row r="5" spans="1:28" ht="16" customHeight="1" x14ac:dyDescent="0.2">
      <c r="A5" s="86"/>
      <c r="B5" s="60"/>
      <c r="C5" s="248" t="s">
        <v>179</v>
      </c>
      <c r="D5" s="248"/>
      <c r="E5" s="248"/>
      <c r="F5" s="248"/>
      <c r="G5" s="248"/>
      <c r="H5" s="248"/>
      <c r="I5" s="248"/>
      <c r="J5" s="248"/>
      <c r="K5" s="248"/>
      <c r="L5" s="248"/>
      <c r="P5" s="253"/>
      <c r="Q5" s="253"/>
      <c r="R5" s="253"/>
      <c r="S5" s="253"/>
      <c r="T5" s="253"/>
      <c r="U5" s="253"/>
      <c r="V5" s="253"/>
      <c r="W5" s="253"/>
      <c r="X5" s="253"/>
      <c r="Y5" s="253"/>
      <c r="Z5" s="253"/>
      <c r="AB5" s="112"/>
    </row>
    <row r="6" spans="1:28" x14ac:dyDescent="0.2">
      <c r="B6" s="16" t="s">
        <v>132</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3"/>
      <c r="Q6" s="113"/>
      <c r="R6" s="113"/>
      <c r="S6" s="113"/>
      <c r="T6" s="113"/>
      <c r="U6" s="113"/>
      <c r="V6" s="113"/>
      <c r="W6" s="113"/>
      <c r="X6" s="113"/>
      <c r="Y6" s="113"/>
      <c r="Z6" s="113"/>
      <c r="AB6" s="112"/>
    </row>
    <row r="7" spans="1:28" x14ac:dyDescent="0.2">
      <c r="B7" s="39" t="s">
        <v>261</v>
      </c>
      <c r="C7" s="114">
        <f>'FCF &amp; Other'!C28</f>
        <v>841.62123893805301</v>
      </c>
      <c r="D7" s="114">
        <f>'FCF &amp; Other'!D28</f>
        <v>1656.409090909091</v>
      </c>
      <c r="E7" s="114">
        <f>'FCF &amp; Other'!E28</f>
        <v>526.61971830985931</v>
      </c>
      <c r="F7" s="114">
        <f>'FCF &amp; Other'!F28</f>
        <v>707.89595375722547</v>
      </c>
      <c r="G7" s="115">
        <f>'FCF &amp; Other'!G28</f>
        <v>724.47036805988773</v>
      </c>
      <c r="H7" s="114">
        <f>'FCF &amp; Other'!H28</f>
        <v>2060.9160438575341</v>
      </c>
      <c r="I7" s="114">
        <f>'FCF &amp; Other'!I28</f>
        <v>1556.2798722998364</v>
      </c>
      <c r="J7" s="114">
        <f>'FCF &amp; Other'!J28</f>
        <v>772.8345981854452</v>
      </c>
      <c r="K7" s="114">
        <f>'FCF &amp; Other'!K28</f>
        <v>2131.522661183094</v>
      </c>
      <c r="L7" s="114">
        <f>'FCF &amp; Other'!L28</f>
        <v>2461.643832972914</v>
      </c>
      <c r="N7" s="91"/>
      <c r="O7" s="16"/>
      <c r="P7" s="92"/>
      <c r="Q7" s="92"/>
      <c r="R7" s="92"/>
      <c r="S7" s="92"/>
      <c r="T7" s="92"/>
      <c r="U7" s="92"/>
      <c r="V7" s="92"/>
      <c r="W7" s="92"/>
      <c r="X7" s="94"/>
      <c r="Y7" s="94"/>
      <c r="Z7" s="94"/>
      <c r="AB7" s="94"/>
    </row>
    <row r="8" spans="1:28" x14ac:dyDescent="0.2">
      <c r="B8" s="39" t="s">
        <v>180</v>
      </c>
      <c r="C8" s="128">
        <v>0</v>
      </c>
      <c r="D8" s="128">
        <v>0</v>
      </c>
      <c r="E8" s="128">
        <v>0</v>
      </c>
      <c r="F8" s="128">
        <v>0</v>
      </c>
      <c r="G8" s="133">
        <v>0</v>
      </c>
      <c r="H8" s="128">
        <v>0</v>
      </c>
      <c r="I8" s="128">
        <v>0</v>
      </c>
      <c r="J8" s="128">
        <v>0</v>
      </c>
      <c r="K8" s="128">
        <v>0</v>
      </c>
      <c r="L8" s="128">
        <f ca="1">L7*(1+C14)/(C15-C14)</f>
        <v>28661.651974693403</v>
      </c>
      <c r="N8" s="91"/>
      <c r="O8" s="16"/>
      <c r="P8" s="92"/>
      <c r="Q8" s="92"/>
      <c r="R8" s="92"/>
      <c r="S8" s="92"/>
      <c r="T8" s="92"/>
      <c r="U8" s="92"/>
      <c r="V8" s="92"/>
      <c r="W8" s="92"/>
      <c r="X8" s="94"/>
      <c r="Y8" s="94"/>
      <c r="Z8" s="94"/>
      <c r="AB8" s="94"/>
    </row>
    <row r="9" spans="1:28" x14ac:dyDescent="0.2">
      <c r="B9" s="1" t="s">
        <v>181</v>
      </c>
      <c r="C9" s="139"/>
      <c r="D9" s="139"/>
      <c r="E9" s="139"/>
      <c r="F9" s="139"/>
      <c r="G9" s="140"/>
      <c r="H9" s="141">
        <v>1</v>
      </c>
      <c r="I9" s="141">
        <v>2</v>
      </c>
      <c r="J9" s="141">
        <v>3</v>
      </c>
      <c r="K9" s="141">
        <v>4</v>
      </c>
      <c r="L9" s="141">
        <v>5</v>
      </c>
      <c r="N9" s="91"/>
    </row>
    <row r="10" spans="1:28" x14ac:dyDescent="0.2">
      <c r="B10" s="1" t="s">
        <v>319</v>
      </c>
      <c r="C10" s="139"/>
      <c r="D10" s="139"/>
      <c r="E10" s="139"/>
      <c r="F10" s="139"/>
      <c r="G10" s="140"/>
      <c r="H10" s="128">
        <f ca="1">H7/(1+$C$15)^H9</f>
        <v>1860.6974660742021</v>
      </c>
      <c r="I10" s="128">
        <f t="shared" ref="I10:L10" ca="1" si="0">I7/(1+$C$15)^I9</f>
        <v>1268.5822567072785</v>
      </c>
      <c r="J10" s="128">
        <f t="shared" ca="1" si="0"/>
        <v>568.76511916793174</v>
      </c>
      <c r="K10" s="128">
        <f t="shared" ca="1" si="0"/>
        <v>1416.2887921641759</v>
      </c>
      <c r="L10" s="128">
        <f t="shared" ca="1" si="0"/>
        <v>1476.7349270781838</v>
      </c>
      <c r="N10" s="91"/>
    </row>
    <row r="11" spans="1:28" x14ac:dyDescent="0.2">
      <c r="B11" s="1" t="s">
        <v>182</v>
      </c>
      <c r="C11" s="139"/>
      <c r="D11" s="139"/>
      <c r="E11" s="139"/>
      <c r="F11" s="139"/>
      <c r="G11" s="140"/>
      <c r="H11" s="139"/>
      <c r="I11" s="139"/>
      <c r="J11" s="139"/>
      <c r="K11" s="139"/>
      <c r="L11" s="128">
        <f ca="1">L8/(1+C15)^L9</f>
        <v>17194.064377571904</v>
      </c>
    </row>
    <row r="13" spans="1:28" x14ac:dyDescent="0.2">
      <c r="B13" s="242" t="s">
        <v>183</v>
      </c>
      <c r="C13" s="242"/>
    </row>
    <row r="14" spans="1:28" x14ac:dyDescent="0.2">
      <c r="B14" s="1" t="s">
        <v>184</v>
      </c>
      <c r="C14" s="142">
        <v>0.02</v>
      </c>
    </row>
    <row r="15" spans="1:28" x14ac:dyDescent="0.2">
      <c r="B15" s="1" t="s">
        <v>164</v>
      </c>
      <c r="C15" s="137">
        <f ca="1">IF(Overview!C28&gt;0,Overview!C28,WACC!C20)</f>
        <v>0.10760404710270478</v>
      </c>
    </row>
    <row r="18" spans="2:3" x14ac:dyDescent="0.2">
      <c r="B18" s="242" t="s">
        <v>185</v>
      </c>
      <c r="C18" s="242"/>
    </row>
    <row r="19" spans="2:3" x14ac:dyDescent="0.2">
      <c r="B19" s="1" t="s">
        <v>186</v>
      </c>
      <c r="C19" s="64">
        <f ca="1">SUM(H10:L10)</f>
        <v>6591.0685611917725</v>
      </c>
    </row>
    <row r="20" spans="2:3" x14ac:dyDescent="0.2">
      <c r="B20" s="1" t="s">
        <v>182</v>
      </c>
      <c r="C20" s="64">
        <f ca="1">L11</f>
        <v>17194.064377571904</v>
      </c>
    </row>
    <row r="21" spans="2:3" x14ac:dyDescent="0.2">
      <c r="B21" s="16" t="s">
        <v>187</v>
      </c>
      <c r="C21" s="94">
        <f ca="1">C19+C20</f>
        <v>23785.132938763676</v>
      </c>
    </row>
    <row r="22" spans="2:3" x14ac:dyDescent="0.2">
      <c r="B22" s="1" t="s">
        <v>188</v>
      </c>
      <c r="C22" s="88">
        <f>Statement!AC108</f>
        <v>4357</v>
      </c>
    </row>
    <row r="23" spans="2:3" x14ac:dyDescent="0.2">
      <c r="B23" s="1" t="s">
        <v>189</v>
      </c>
      <c r="C23" s="88">
        <f>Statement!AC109</f>
        <v>3478</v>
      </c>
    </row>
    <row r="24" spans="2:3" x14ac:dyDescent="0.2">
      <c r="B24" s="16" t="s">
        <v>190</v>
      </c>
      <c r="C24" s="94">
        <f ca="1">C21+C22-C23</f>
        <v>24664.132938763676</v>
      </c>
    </row>
    <row r="25" spans="2:3" x14ac:dyDescent="0.2">
      <c r="B25" s="1" t="s">
        <v>69</v>
      </c>
      <c r="C25" s="88">
        <f>Statement!AC79</f>
        <v>210</v>
      </c>
    </row>
    <row r="26" spans="2:3" x14ac:dyDescent="0.2">
      <c r="B26" s="233" t="s">
        <v>191</v>
      </c>
      <c r="C26" s="234">
        <f ca="1">C24/C25</f>
        <v>117.44825208935085</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E11" zoomScale="192" zoomScaleNormal="100" workbookViewId="0">
      <selection activeCell="L20" sqref="L20"/>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192</v>
      </c>
    </row>
    <row r="2" spans="1:14" x14ac:dyDescent="0.2">
      <c r="A2" s="4"/>
      <c r="C2" s="242" t="s">
        <v>112</v>
      </c>
      <c r="D2" s="242"/>
      <c r="E2" s="242"/>
      <c r="F2" s="242"/>
      <c r="G2" s="251"/>
      <c r="H2" s="252" t="s">
        <v>113</v>
      </c>
      <c r="I2" s="242"/>
      <c r="J2" s="242"/>
      <c r="K2" s="242"/>
      <c r="L2" s="242"/>
    </row>
    <row r="3" spans="1:14" ht="10" customHeight="1" x14ac:dyDescent="0.2"/>
    <row r="4" spans="1:14" ht="16" customHeight="1" x14ac:dyDescent="0.2">
      <c r="A4" s="86"/>
      <c r="B4" s="60"/>
      <c r="C4" s="248" t="s">
        <v>193</v>
      </c>
      <c r="D4" s="248"/>
      <c r="E4" s="248"/>
      <c r="F4" s="248"/>
      <c r="G4" s="248"/>
      <c r="H4" s="248"/>
      <c r="I4" s="248"/>
      <c r="J4" s="248"/>
      <c r="K4" s="248"/>
      <c r="L4" s="248"/>
    </row>
    <row r="5" spans="1:14" x14ac:dyDescent="0.2">
      <c r="B5" s="16" t="s">
        <v>116</v>
      </c>
      <c r="C5" s="12">
        <f>Revenue!C5</f>
        <v>2022</v>
      </c>
      <c r="D5" s="12">
        <f>Revenue!D5</f>
        <v>2023</v>
      </c>
      <c r="E5" s="12">
        <f>Revenue!E5</f>
        <v>2024</v>
      </c>
      <c r="F5" s="12">
        <f>Revenue!F5</f>
        <v>2025</v>
      </c>
      <c r="G5" s="12">
        <f>Revenue!G5</f>
        <v>2026</v>
      </c>
      <c r="H5" s="12">
        <f>Revenue!H5</f>
        <v>2027</v>
      </c>
      <c r="I5" s="12">
        <f>Revenue!I5</f>
        <v>2028</v>
      </c>
      <c r="J5" s="12">
        <f>Revenue!J5</f>
        <v>2029</v>
      </c>
      <c r="K5" s="12">
        <f>Revenue!K5</f>
        <v>2030</v>
      </c>
      <c r="L5" s="12">
        <f>Revenue!L5</f>
        <v>2031</v>
      </c>
    </row>
    <row r="6" spans="1:14" x14ac:dyDescent="0.2">
      <c r="B6" s="16" t="s">
        <v>19</v>
      </c>
      <c r="C6" s="92">
        <f>Revenue!C14</f>
        <v>4386</v>
      </c>
      <c r="D6" s="92">
        <f>Revenue!D14</f>
        <v>5005</v>
      </c>
      <c r="E6" s="92">
        <f>Revenue!E14</f>
        <v>5497</v>
      </c>
      <c r="F6" s="92">
        <f>Revenue!F14</f>
        <v>6131</v>
      </c>
      <c r="G6" s="93">
        <f>Revenue!G14</f>
        <v>7206</v>
      </c>
      <c r="H6" s="92">
        <f>Revenue!H14</f>
        <v>8336.82</v>
      </c>
      <c r="I6" s="92">
        <f>Revenue!I14</f>
        <v>9700.9791999999979</v>
      </c>
      <c r="J6" s="92">
        <f>Revenue!J14</f>
        <v>10917.704445000001</v>
      </c>
      <c r="K6" s="92">
        <f>Revenue!K14</f>
        <v>12252.046907150001</v>
      </c>
      <c r="L6" s="92">
        <f>Revenue!L14</f>
        <v>13385.314235484499</v>
      </c>
      <c r="N6" s="91"/>
    </row>
    <row r="7" spans="1:14" x14ac:dyDescent="0.2">
      <c r="B7" s="16" t="s">
        <v>156</v>
      </c>
      <c r="C7" s="92">
        <f>'FCF &amp; Other'!C10</f>
        <v>618</v>
      </c>
      <c r="D7" s="92">
        <f>'FCF &amp; Other'!D10</f>
        <v>989</v>
      </c>
      <c r="E7" s="92">
        <f>'FCF &amp; Other'!E10</f>
        <v>1128</v>
      </c>
      <c r="F7" s="92">
        <f>'FCF &amp; Other'!F10</f>
        <v>1354</v>
      </c>
      <c r="G7" s="93">
        <f>'FCF &amp; Other'!G10</f>
        <v>1578</v>
      </c>
      <c r="H7" s="92">
        <f>'FCF &amp; Other'!H10</f>
        <v>2200.9204799999998</v>
      </c>
      <c r="I7" s="92">
        <f>'FCF &amp; Other'!I10</f>
        <v>2590.1614464000004</v>
      </c>
      <c r="J7" s="92">
        <f>'FCF &amp; Other'!J10</f>
        <v>3024.2041312649999</v>
      </c>
      <c r="K7" s="92">
        <f>'FCF &amp; Other'!K10</f>
        <v>3638.8579314235503</v>
      </c>
      <c r="L7" s="92">
        <f>'FCF &amp; Other'!L10</f>
        <v>3975.4383279388967</v>
      </c>
      <c r="N7" s="91"/>
    </row>
    <row r="8" spans="1:14" x14ac:dyDescent="0.2">
      <c r="B8" s="16" t="s">
        <v>261</v>
      </c>
      <c r="C8" s="92">
        <f>'FCF &amp; Other'!C28</f>
        <v>841.62123893805301</v>
      </c>
      <c r="D8" s="92">
        <f>'FCF &amp; Other'!D28</f>
        <v>1656.409090909091</v>
      </c>
      <c r="E8" s="92">
        <f>'FCF &amp; Other'!E28</f>
        <v>526.61971830985931</v>
      </c>
      <c r="F8" s="92">
        <f>'FCF &amp; Other'!F28</f>
        <v>707.89595375722547</v>
      </c>
      <c r="G8" s="93">
        <f>'FCF &amp; Other'!G28</f>
        <v>724.47036805988773</v>
      </c>
      <c r="H8" s="92">
        <f>'FCF &amp; Other'!H28</f>
        <v>2060.9160438575341</v>
      </c>
      <c r="I8" s="92">
        <f>'FCF &amp; Other'!I28</f>
        <v>1556.2798722998364</v>
      </c>
      <c r="J8" s="92">
        <f>'FCF &amp; Other'!J28</f>
        <v>772.8345981854452</v>
      </c>
      <c r="K8" s="92">
        <f>'FCF &amp; Other'!K28</f>
        <v>2131.522661183094</v>
      </c>
      <c r="L8" s="92">
        <f>'FCF &amp; Other'!L28</f>
        <v>2461.643832972914</v>
      </c>
      <c r="N8" s="91"/>
    </row>
    <row r="9" spans="1:14" x14ac:dyDescent="0.2">
      <c r="B9" s="16" t="s">
        <v>319</v>
      </c>
      <c r="C9" s="139"/>
      <c r="D9" s="139"/>
      <c r="E9" s="139"/>
      <c r="F9" s="139"/>
      <c r="G9" s="140"/>
      <c r="H9" s="92">
        <f ca="1">DCF!H10</f>
        <v>1860.6974660742021</v>
      </c>
      <c r="I9" s="92">
        <f ca="1">DCF!I10</f>
        <v>1268.5822567072785</v>
      </c>
      <c r="J9" s="92">
        <f ca="1">DCF!J10</f>
        <v>568.76511916793174</v>
      </c>
      <c r="K9" s="92">
        <f ca="1">DCF!K10</f>
        <v>1416.2887921641759</v>
      </c>
      <c r="L9" s="92">
        <f ca="1">DCF!L10</f>
        <v>1476.7349270781838</v>
      </c>
      <c r="N9" s="91"/>
    </row>
    <row r="10" spans="1:14" x14ac:dyDescent="0.2">
      <c r="N10" s="91"/>
    </row>
    <row r="11" spans="1:14" x14ac:dyDescent="0.2">
      <c r="C11" s="248" t="s">
        <v>121</v>
      </c>
      <c r="D11" s="248"/>
      <c r="E11" s="248"/>
      <c r="F11" s="248"/>
      <c r="G11" s="248"/>
      <c r="H11" s="248"/>
      <c r="I11" s="248"/>
      <c r="J11" s="248"/>
      <c r="K11" s="248"/>
      <c r="L11" s="248"/>
      <c r="N11" s="91"/>
    </row>
    <row r="12" spans="1:14" x14ac:dyDescent="0.2">
      <c r="B12" s="16" t="s">
        <v>194</v>
      </c>
      <c r="C12" s="12">
        <f>C5</f>
        <v>2022</v>
      </c>
      <c r="D12" s="12">
        <f t="shared" ref="D12:L12" si="0">D5</f>
        <v>2023</v>
      </c>
      <c r="E12" s="12">
        <f t="shared" si="0"/>
        <v>2024</v>
      </c>
      <c r="F12" s="12">
        <f t="shared" si="0"/>
        <v>2025</v>
      </c>
      <c r="G12" s="12">
        <f t="shared" si="0"/>
        <v>2026</v>
      </c>
      <c r="H12" s="12">
        <f t="shared" si="0"/>
        <v>2027</v>
      </c>
      <c r="I12" s="12">
        <f t="shared" si="0"/>
        <v>2028</v>
      </c>
      <c r="J12" s="12">
        <f t="shared" si="0"/>
        <v>2029</v>
      </c>
      <c r="K12" s="12">
        <f t="shared" si="0"/>
        <v>2030</v>
      </c>
      <c r="L12" s="12">
        <f t="shared" si="0"/>
        <v>2031</v>
      </c>
      <c r="N12" s="91"/>
    </row>
    <row r="13" spans="1:14" x14ac:dyDescent="0.2">
      <c r="B13" s="1" t="s">
        <v>19</v>
      </c>
      <c r="C13" s="139"/>
      <c r="D13" s="95">
        <f>(D6-C6)/C6</f>
        <v>0.14113087095303237</v>
      </c>
      <c r="E13" s="95">
        <f t="shared" ref="E13:L13" si="1">(E6-D6)/D6</f>
        <v>9.8301698301698298E-2</v>
      </c>
      <c r="F13" s="95">
        <f t="shared" si="1"/>
        <v>0.11533563762052028</v>
      </c>
      <c r="G13" s="96">
        <f t="shared" si="1"/>
        <v>0.17533844397325068</v>
      </c>
      <c r="H13" s="95">
        <f t="shared" si="1"/>
        <v>0.15692756036636132</v>
      </c>
      <c r="I13" s="95">
        <f t="shared" si="1"/>
        <v>0.16363064093983057</v>
      </c>
      <c r="J13" s="95">
        <f t="shared" si="1"/>
        <v>0.12542293101710841</v>
      </c>
      <c r="K13" s="95">
        <f t="shared" si="1"/>
        <v>0.12221822534874452</v>
      </c>
      <c r="L13" s="95">
        <f t="shared" si="1"/>
        <v>9.2496163043021801E-2</v>
      </c>
      <c r="N13" s="91"/>
    </row>
    <row r="14" spans="1:14" x14ac:dyDescent="0.2">
      <c r="B14" s="1" t="s">
        <v>156</v>
      </c>
      <c r="C14" s="139"/>
      <c r="D14" s="95">
        <f>IF(C7=0,
IF(D7=0,0,IF(D7&gt;0,1,-1)),
(D7-C7)/ABS(C7)
)</f>
        <v>0.60032362459546929</v>
      </c>
      <c r="E14" s="95">
        <f t="shared" ref="E14:L14" si="2">IF(D7=0,
IF(E7=0,0,IF(E7&gt;0,1,-1)),
(E7-D7)/ABS(D7)
)</f>
        <v>0.14054600606673406</v>
      </c>
      <c r="F14" s="95">
        <f t="shared" si="2"/>
        <v>0.20035460992907803</v>
      </c>
      <c r="G14" s="96">
        <f t="shared" si="2"/>
        <v>0.16543574593796159</v>
      </c>
      <c r="H14" s="95">
        <f t="shared" si="2"/>
        <v>0.39475315589353599</v>
      </c>
      <c r="I14" s="95">
        <f t="shared" si="2"/>
        <v>0.17685371640505643</v>
      </c>
      <c r="J14" s="95">
        <f t="shared" si="2"/>
        <v>0.1675736025907823</v>
      </c>
      <c r="K14" s="95">
        <f t="shared" si="2"/>
        <v>0.20324481201652408</v>
      </c>
      <c r="L14" s="95">
        <f t="shared" si="2"/>
        <v>9.2496163043021967E-2</v>
      </c>
      <c r="N14" s="91"/>
    </row>
    <row r="15" spans="1:14" x14ac:dyDescent="0.2">
      <c r="B15" s="1" t="s">
        <v>261</v>
      </c>
      <c r="C15" s="139"/>
      <c r="D15" s="95">
        <f>IF(C8=0,
IF(D8=0,0,IF(D8&gt;0,1,-1)),
(D8-C8)/ABS(C8)
)</f>
        <v>0.96811702732113436</v>
      </c>
      <c r="E15" s="95">
        <f t="shared" ref="E15:L15" si="3">IF(D8=0,
IF(E8=0,0,IF(E8&gt;0,1,-1)),
(E8-D8)/ABS(D8)
)</f>
        <v>-0.68207146338418523</v>
      </c>
      <c r="F15" s="95">
        <f t="shared" si="3"/>
        <v>0.34422606891583296</v>
      </c>
      <c r="G15" s="96">
        <f t="shared" si="3"/>
        <v>2.3413630512636743E-2</v>
      </c>
      <c r="H15" s="95">
        <f t="shared" si="3"/>
        <v>1.8447209640562832</v>
      </c>
      <c r="I15" s="95">
        <f t="shared" si="3"/>
        <v>-0.24486013055298528</v>
      </c>
      <c r="J15" s="95">
        <f t="shared" si="3"/>
        <v>-0.50340898707160742</v>
      </c>
      <c r="K15" s="95">
        <f t="shared" si="3"/>
        <v>1.7580580193844082</v>
      </c>
      <c r="L15" s="95">
        <f t="shared" si="3"/>
        <v>0.1548757504677841</v>
      </c>
      <c r="N15" s="91"/>
    </row>
    <row r="16" spans="1:14" x14ac:dyDescent="0.2">
      <c r="N16" s="91"/>
    </row>
    <row r="17" spans="2:14" x14ac:dyDescent="0.2">
      <c r="C17" s="248" t="s">
        <v>195</v>
      </c>
      <c r="D17" s="248"/>
      <c r="E17" s="248"/>
      <c r="F17" s="248"/>
      <c r="G17" s="248"/>
      <c r="H17" s="248"/>
      <c r="I17" s="248"/>
      <c r="J17" s="248"/>
      <c r="K17" s="248"/>
      <c r="L17" s="248"/>
      <c r="N17" s="91"/>
    </row>
    <row r="18" spans="2:14" x14ac:dyDescent="0.2">
      <c r="C18" s="12">
        <f t="shared" ref="C18:L18" si="4">C5</f>
        <v>2022</v>
      </c>
      <c r="D18" s="12">
        <f t="shared" si="4"/>
        <v>2023</v>
      </c>
      <c r="E18" s="12">
        <f t="shared" si="4"/>
        <v>2024</v>
      </c>
      <c r="F18" s="12">
        <f t="shared" si="4"/>
        <v>2025</v>
      </c>
      <c r="G18" s="12">
        <f t="shared" si="4"/>
        <v>2026</v>
      </c>
      <c r="H18" s="12">
        <f t="shared" si="4"/>
        <v>2027</v>
      </c>
      <c r="I18" s="12">
        <f t="shared" si="4"/>
        <v>2028</v>
      </c>
      <c r="J18" s="12">
        <f t="shared" si="4"/>
        <v>2029</v>
      </c>
      <c r="K18" s="12">
        <f t="shared" si="4"/>
        <v>2030</v>
      </c>
      <c r="L18" s="12">
        <f t="shared" si="4"/>
        <v>2031</v>
      </c>
      <c r="N18" s="91"/>
    </row>
    <row r="19" spans="2:14" x14ac:dyDescent="0.2">
      <c r="B19" s="1" t="s">
        <v>196</v>
      </c>
      <c r="C19" s="100">
        <f>Statement!M23</f>
        <v>222</v>
      </c>
      <c r="D19" s="100">
        <f>Statement!N23</f>
        <v>218</v>
      </c>
      <c r="E19" s="100">
        <f>Statement!O23</f>
        <v>216</v>
      </c>
      <c r="F19" s="100">
        <f>Statement!P23</f>
        <v>217</v>
      </c>
      <c r="G19" s="101">
        <f>Statement!Q23</f>
        <v>215</v>
      </c>
      <c r="H19" s="143">
        <f>G19*(1+H20)</f>
        <v>213.28</v>
      </c>
      <c r="I19" s="143">
        <f t="shared" ref="I19:L19" si="5">H19*(1+I20)</f>
        <v>211.36048</v>
      </c>
      <c r="J19" s="143">
        <f t="shared" si="5"/>
        <v>210.30367759999999</v>
      </c>
      <c r="K19" s="143">
        <f t="shared" si="5"/>
        <v>209.25215921199998</v>
      </c>
      <c r="L19" s="143">
        <f t="shared" si="5"/>
        <v>209.25215921199998</v>
      </c>
      <c r="N19" s="91"/>
    </row>
    <row r="20" spans="2:14" x14ac:dyDescent="0.2">
      <c r="B20" s="1" t="s">
        <v>197</v>
      </c>
      <c r="C20" s="139"/>
      <c r="D20" s="144">
        <f>D19/C19-1</f>
        <v>-1.8018018018018056E-2</v>
      </c>
      <c r="E20" s="144">
        <f t="shared" ref="E20:G20" si="6">E19/D19-1</f>
        <v>-9.1743119266054496E-3</v>
      </c>
      <c r="F20" s="144">
        <f t="shared" si="6"/>
        <v>4.6296296296295392E-3</v>
      </c>
      <c r="G20" s="145">
        <f t="shared" si="6"/>
        <v>-9.2165898617511122E-3</v>
      </c>
      <c r="H20" s="146">
        <v>-8.0000000000000002E-3</v>
      </c>
      <c r="I20" s="97">
        <v>-8.9999999999999993E-3</v>
      </c>
      <c r="J20" s="97">
        <v>-5.0000000000000001E-3</v>
      </c>
      <c r="K20" s="97">
        <v>-5.0000000000000001E-3</v>
      </c>
      <c r="L20" s="97">
        <v>0</v>
      </c>
      <c r="N20" s="91"/>
    </row>
    <row r="21" spans="2:14" x14ac:dyDescent="0.2">
      <c r="N21" s="91"/>
    </row>
    <row r="22" spans="2:14" x14ac:dyDescent="0.2">
      <c r="C22" s="248" t="s">
        <v>198</v>
      </c>
      <c r="D22" s="248"/>
      <c r="E22" s="248"/>
      <c r="F22" s="248"/>
      <c r="G22" s="248"/>
      <c r="H22" s="248"/>
      <c r="I22" s="248"/>
      <c r="J22" s="248"/>
      <c r="K22" s="248"/>
      <c r="L22" s="248"/>
      <c r="N22" s="91"/>
    </row>
    <row r="23" spans="2:14" x14ac:dyDescent="0.2">
      <c r="C23" s="12">
        <f>C5</f>
        <v>2022</v>
      </c>
      <c r="D23" s="12">
        <f t="shared" ref="D23:L23" si="7">D5</f>
        <v>2023</v>
      </c>
      <c r="E23" s="12">
        <f t="shared" si="7"/>
        <v>2024</v>
      </c>
      <c r="F23" s="12">
        <f t="shared" si="7"/>
        <v>2025</v>
      </c>
      <c r="G23" s="12">
        <f t="shared" si="7"/>
        <v>2026</v>
      </c>
      <c r="H23" s="12">
        <f t="shared" si="7"/>
        <v>2027</v>
      </c>
      <c r="I23" s="12">
        <f t="shared" si="7"/>
        <v>2028</v>
      </c>
      <c r="J23" s="12">
        <f t="shared" si="7"/>
        <v>2029</v>
      </c>
      <c r="K23" s="12">
        <f t="shared" si="7"/>
        <v>2030</v>
      </c>
      <c r="L23" s="12">
        <f t="shared" si="7"/>
        <v>2031</v>
      </c>
      <c r="N23" s="91"/>
    </row>
    <row r="24" spans="2:14" x14ac:dyDescent="0.2">
      <c r="B24" s="1" t="s">
        <v>1</v>
      </c>
      <c r="C24" s="147">
        <f>Statement!M117</f>
        <v>249.79</v>
      </c>
      <c r="D24" s="147">
        <f>Statement!N117</f>
        <v>215.16</v>
      </c>
      <c r="E24" s="147">
        <f>Statement!O117</f>
        <v>253.81</v>
      </c>
      <c r="F24" s="147">
        <f>Statement!P117</f>
        <v>311.20999999999998</v>
      </c>
      <c r="G24" s="148">
        <f>Statement!Q117</f>
        <v>252.87</v>
      </c>
      <c r="H24" s="139"/>
      <c r="I24" s="139"/>
      <c r="J24" s="139"/>
      <c r="K24" s="139"/>
      <c r="L24" s="139"/>
      <c r="N24" s="91"/>
    </row>
    <row r="25" spans="2:14" x14ac:dyDescent="0.2">
      <c r="N25" s="91"/>
    </row>
    <row r="26" spans="2:14" x14ac:dyDescent="0.2">
      <c r="N26" s="91"/>
    </row>
    <row r="27" spans="2:14" x14ac:dyDescent="0.2">
      <c r="C27" s="248" t="s">
        <v>199</v>
      </c>
      <c r="D27" s="248"/>
      <c r="E27" s="248"/>
      <c r="F27" s="248"/>
      <c r="G27" s="248"/>
      <c r="H27" s="248"/>
      <c r="I27" s="248"/>
      <c r="J27" s="248"/>
      <c r="K27" s="248"/>
      <c r="L27" s="248"/>
      <c r="N27" s="91"/>
    </row>
    <row r="28" spans="2:14" x14ac:dyDescent="0.2">
      <c r="C28" s="12">
        <f>C5</f>
        <v>2022</v>
      </c>
      <c r="D28" s="12">
        <f t="shared" ref="D28:L28" si="8">D5</f>
        <v>2023</v>
      </c>
      <c r="E28" s="12">
        <f t="shared" si="8"/>
        <v>2024</v>
      </c>
      <c r="F28" s="12">
        <f t="shared" si="8"/>
        <v>2025</v>
      </c>
      <c r="G28" s="12">
        <f t="shared" si="8"/>
        <v>2026</v>
      </c>
      <c r="H28" s="12">
        <f t="shared" si="8"/>
        <v>2027</v>
      </c>
      <c r="I28" s="12">
        <f t="shared" si="8"/>
        <v>2028</v>
      </c>
      <c r="J28" s="12">
        <f t="shared" si="8"/>
        <v>2029</v>
      </c>
      <c r="K28" s="12">
        <f t="shared" si="8"/>
        <v>2030</v>
      </c>
      <c r="L28" s="12">
        <f t="shared" si="8"/>
        <v>2031</v>
      </c>
      <c r="N28" s="91"/>
    </row>
    <row r="29" spans="2:14" x14ac:dyDescent="0.2">
      <c r="B29" s="16" t="s">
        <v>200</v>
      </c>
      <c r="C29" s="149">
        <f>C24/(C6/C19)</f>
        <v>12.643269493844048</v>
      </c>
      <c r="D29" s="149">
        <f t="shared" ref="D29:G29" si="9">D24/(D6/D19)</f>
        <v>9.3716043956043951</v>
      </c>
      <c r="E29" s="149">
        <f t="shared" si="9"/>
        <v>9.9732508641076958</v>
      </c>
      <c r="F29" s="149">
        <f t="shared" si="9"/>
        <v>11.014935573315935</v>
      </c>
      <c r="G29" s="150">
        <f t="shared" si="9"/>
        <v>7.5446919233971688</v>
      </c>
      <c r="H29" s="139"/>
      <c r="I29" s="139"/>
      <c r="J29" s="139"/>
      <c r="K29" s="139"/>
      <c r="L29" s="139"/>
      <c r="N29" s="91"/>
    </row>
    <row r="30" spans="2:14" x14ac:dyDescent="0.2">
      <c r="B30" s="1" t="s">
        <v>201</v>
      </c>
      <c r="C30" s="143">
        <f>C24*C19</f>
        <v>55453.38</v>
      </c>
      <c r="D30" s="143">
        <f t="shared" ref="D30:G30" si="10">D24*D19</f>
        <v>46904.88</v>
      </c>
      <c r="E30" s="143">
        <f t="shared" si="10"/>
        <v>54822.96</v>
      </c>
      <c r="F30" s="143">
        <f t="shared" si="10"/>
        <v>67532.569999999992</v>
      </c>
      <c r="G30" s="151">
        <f t="shared" si="10"/>
        <v>54367.05</v>
      </c>
      <c r="H30" s="139"/>
      <c r="I30" s="139"/>
      <c r="J30" s="139"/>
      <c r="K30" s="139"/>
      <c r="L30" s="139"/>
      <c r="N30" s="91"/>
    </row>
    <row r="31" spans="2:14" x14ac:dyDescent="0.2">
      <c r="B31" s="1" t="s">
        <v>168</v>
      </c>
      <c r="C31" s="88">
        <f>Statement!M109</f>
        <v>2280</v>
      </c>
      <c r="D31" s="152">
        <f>Statement!N109</f>
        <v>2281</v>
      </c>
      <c r="E31" s="152">
        <f>Statement!O109</f>
        <v>2284</v>
      </c>
      <c r="F31" s="152">
        <f>Statement!P109</f>
        <v>2287</v>
      </c>
      <c r="G31" s="153">
        <f>Statement!Q109</f>
        <v>2483</v>
      </c>
      <c r="H31" s="139"/>
      <c r="I31" s="139"/>
      <c r="J31" s="139"/>
      <c r="K31" s="139"/>
      <c r="L31" s="139"/>
      <c r="N31" s="91"/>
    </row>
    <row r="32" spans="2:14" x14ac:dyDescent="0.2">
      <c r="B32" s="1" t="s">
        <v>177</v>
      </c>
      <c r="C32" s="152">
        <f>Statement!M108</f>
        <v>1809</v>
      </c>
      <c r="D32" s="152">
        <f>Statement!N108</f>
        <v>2174</v>
      </c>
      <c r="E32" s="152">
        <f>Statement!O108</f>
        <v>2480</v>
      </c>
      <c r="F32" s="152">
        <f>Statement!P108</f>
        <v>2153</v>
      </c>
      <c r="G32" s="153">
        <f>Statement!Q108</f>
        <v>2973</v>
      </c>
      <c r="H32" s="139"/>
      <c r="I32" s="139"/>
      <c r="J32" s="139"/>
      <c r="K32" s="139"/>
      <c r="L32" s="139"/>
      <c r="N32" s="91"/>
    </row>
    <row r="33" spans="2:14" x14ac:dyDescent="0.2">
      <c r="B33" s="1" t="s">
        <v>202</v>
      </c>
      <c r="C33" s="143">
        <f>C30+C31-C32</f>
        <v>55924.38</v>
      </c>
      <c r="D33" s="143">
        <f t="shared" ref="D33:G33" si="11">D30+D31-D32</f>
        <v>47011.88</v>
      </c>
      <c r="E33" s="143">
        <f t="shared" si="11"/>
        <v>54626.96</v>
      </c>
      <c r="F33" s="143">
        <f t="shared" si="11"/>
        <v>67666.569999999992</v>
      </c>
      <c r="G33" s="151">
        <f t="shared" si="11"/>
        <v>53877.05</v>
      </c>
      <c r="H33" s="139"/>
      <c r="I33" s="139"/>
      <c r="J33" s="139"/>
      <c r="K33" s="139"/>
      <c r="L33" s="139"/>
      <c r="N33" s="91"/>
    </row>
    <row r="34" spans="2:14" x14ac:dyDescent="0.2">
      <c r="B34" s="16" t="s">
        <v>203</v>
      </c>
      <c r="C34" s="149">
        <f>C33/C7</f>
        <v>90.492524271844658</v>
      </c>
      <c r="D34" s="149">
        <f t="shared" ref="D34:G34" si="12">D33/D7</f>
        <v>47.534762386248737</v>
      </c>
      <c r="E34" s="149">
        <f t="shared" si="12"/>
        <v>48.428156028368797</v>
      </c>
      <c r="F34" s="149">
        <f t="shared" si="12"/>
        <v>49.975310192023628</v>
      </c>
      <c r="G34" s="150">
        <f t="shared" si="12"/>
        <v>34.142617237008871</v>
      </c>
      <c r="H34" s="139"/>
      <c r="I34" s="139"/>
      <c r="J34" s="139"/>
      <c r="K34" s="139"/>
      <c r="L34" s="139"/>
      <c r="N34" s="91"/>
    </row>
    <row r="35" spans="2:14" x14ac:dyDescent="0.2">
      <c r="B35" s="16" t="s">
        <v>320</v>
      </c>
      <c r="C35" s="149">
        <f>C33/C8</f>
        <v>66.448394375793882</v>
      </c>
      <c r="D35" s="149">
        <f t="shared" ref="D35:G35" si="13">D33/D8</f>
        <v>28.381805109629262</v>
      </c>
      <c r="E35" s="149">
        <f t="shared" si="13"/>
        <v>103.73132281358649</v>
      </c>
      <c r="F35" s="149">
        <f t="shared" si="13"/>
        <v>95.588298874789729</v>
      </c>
      <c r="G35" s="150">
        <f t="shared" si="13"/>
        <v>74.367499866531887</v>
      </c>
      <c r="H35" s="139"/>
      <c r="I35" s="139"/>
      <c r="J35" s="139"/>
      <c r="K35" s="139"/>
      <c r="L35" s="139"/>
      <c r="N35" s="91"/>
    </row>
    <row r="36" spans="2:14" x14ac:dyDescent="0.2">
      <c r="B36" s="16" t="s">
        <v>378</v>
      </c>
      <c r="C36" s="149">
        <f>C33/C6</f>
        <v>12.750656634746921</v>
      </c>
      <c r="D36" s="149">
        <f t="shared" ref="D36:G36" si="14">D33/D6</f>
        <v>9.3929830169830169</v>
      </c>
      <c r="E36" s="149">
        <f t="shared" si="14"/>
        <v>9.9375950518464613</v>
      </c>
      <c r="F36" s="149">
        <f t="shared" si="14"/>
        <v>11.036791714239111</v>
      </c>
      <c r="G36" s="150">
        <f t="shared" si="14"/>
        <v>7.4766930335831256</v>
      </c>
      <c r="H36" s="139"/>
      <c r="I36" s="139"/>
      <c r="J36" s="139"/>
      <c r="K36" s="139"/>
      <c r="L36" s="139"/>
      <c r="N36" s="91"/>
    </row>
    <row r="37" spans="2:14" x14ac:dyDescent="0.2">
      <c r="N37" s="91"/>
    </row>
    <row r="38" spans="2:14" x14ac:dyDescent="0.2">
      <c r="N38" s="91"/>
    </row>
    <row r="39" spans="2:14" x14ac:dyDescent="0.2">
      <c r="B39" s="242" t="s">
        <v>204</v>
      </c>
      <c r="C39" s="242"/>
      <c r="N39" s="91"/>
    </row>
    <row r="40" spans="2:14" x14ac:dyDescent="0.2">
      <c r="B40" s="1" t="s">
        <v>205</v>
      </c>
      <c r="C40" s="64">
        <f>L7</f>
        <v>3975.4383279388967</v>
      </c>
    </row>
    <row r="41" spans="2:14" x14ac:dyDescent="0.2">
      <c r="B41" s="1" t="s">
        <v>164</v>
      </c>
      <c r="C41" s="137">
        <f ca="1">IF(Overview!C28&gt;0,Overview!C28,WACC!C20)</f>
        <v>0.10760404710270478</v>
      </c>
    </row>
    <row r="42" spans="2:14" x14ac:dyDescent="0.2">
      <c r="B42" s="39" t="s">
        <v>206</v>
      </c>
      <c r="C42" s="105">
        <v>28</v>
      </c>
    </row>
    <row r="43" spans="2:14" x14ac:dyDescent="0.2">
      <c r="B43" s="1" t="s">
        <v>374</v>
      </c>
      <c r="C43" s="24">
        <f>(C40*C42)</f>
        <v>111312.27318228911</v>
      </c>
    </row>
    <row r="44" spans="2:14" x14ac:dyDescent="0.2">
      <c r="B44" s="1" t="s">
        <v>375</v>
      </c>
      <c r="C44" s="24">
        <f ca="1">C43/(1+C41)^5</f>
        <v>66775.99716862179</v>
      </c>
    </row>
    <row r="45" spans="2:14" x14ac:dyDescent="0.2">
      <c r="B45" s="16" t="s">
        <v>376</v>
      </c>
      <c r="C45" s="108">
        <f ca="1">SUM(H9:K9)+C44</f>
        <v>71890.330802735378</v>
      </c>
    </row>
    <row r="46" spans="2:14" x14ac:dyDescent="0.2">
      <c r="B46" s="1" t="s">
        <v>188</v>
      </c>
      <c r="C46" s="88">
        <f>Statement!AC108</f>
        <v>4357</v>
      </c>
    </row>
    <row r="47" spans="2:14" x14ac:dyDescent="0.2">
      <c r="B47" s="1" t="s">
        <v>189</v>
      </c>
      <c r="C47" s="88">
        <f>Statement!AC109</f>
        <v>3478</v>
      </c>
    </row>
    <row r="48" spans="2:14" x14ac:dyDescent="0.2">
      <c r="B48" s="16" t="s">
        <v>190</v>
      </c>
      <c r="C48" s="108">
        <f ca="1">C45+C46-C47</f>
        <v>72769.330802735378</v>
      </c>
    </row>
    <row r="49" spans="2:3" x14ac:dyDescent="0.2">
      <c r="B49" s="1" t="s">
        <v>69</v>
      </c>
      <c r="C49" s="88">
        <f>Statement!AC79</f>
        <v>210</v>
      </c>
    </row>
    <row r="50" spans="2:3" x14ac:dyDescent="0.2">
      <c r="B50" s="233" t="s">
        <v>208</v>
      </c>
      <c r="C50" s="234">
        <f ca="1">C48/C49</f>
        <v>346.52062287016844</v>
      </c>
    </row>
    <row r="52" spans="2:3" x14ac:dyDescent="0.2">
      <c r="B52" s="242" t="s">
        <v>209</v>
      </c>
      <c r="C52" s="242"/>
    </row>
    <row r="53" spans="2:3" x14ac:dyDescent="0.2">
      <c r="B53" s="1" t="s">
        <v>210</v>
      </c>
      <c r="C53" s="64">
        <f>L6</f>
        <v>13385.314235484499</v>
      </c>
    </row>
    <row r="54" spans="2:3" x14ac:dyDescent="0.2">
      <c r="B54" s="1" t="s">
        <v>343</v>
      </c>
      <c r="C54" s="137">
        <f ca="1">IF(Overview!C29&gt;0,Overview!C29,WACC!C19)</f>
        <v>0.11181749999999999</v>
      </c>
    </row>
    <row r="55" spans="2:3" x14ac:dyDescent="0.2">
      <c r="B55" s="39" t="s">
        <v>211</v>
      </c>
      <c r="C55" s="105">
        <v>5</v>
      </c>
    </row>
    <row r="56" spans="2:3" x14ac:dyDescent="0.2">
      <c r="B56" s="1" t="s">
        <v>207</v>
      </c>
      <c r="C56" s="24">
        <f>L19</f>
        <v>209.25215921199998</v>
      </c>
    </row>
    <row r="57" spans="2:3" x14ac:dyDescent="0.2">
      <c r="B57" s="1" t="s">
        <v>191</v>
      </c>
      <c r="C57" s="24">
        <f>(C53*C55)/C56</f>
        <v>319.8369442372973</v>
      </c>
    </row>
    <row r="58" spans="2:3" x14ac:dyDescent="0.2">
      <c r="B58" s="233" t="s">
        <v>208</v>
      </c>
      <c r="C58" s="234">
        <f ca="1">C57/(1+C54)^5</f>
        <v>188.26132013643894</v>
      </c>
    </row>
    <row r="60" spans="2:3" x14ac:dyDescent="0.2">
      <c r="B60" s="242" t="s">
        <v>321</v>
      </c>
      <c r="C60" s="242"/>
    </row>
    <row r="61" spans="2:3" x14ac:dyDescent="0.2">
      <c r="B61" s="1" t="s">
        <v>377</v>
      </c>
      <c r="C61" s="64">
        <f>L8</f>
        <v>2461.643832972914</v>
      </c>
    </row>
    <row r="62" spans="2:3" x14ac:dyDescent="0.2">
      <c r="B62" s="1" t="s">
        <v>164</v>
      </c>
      <c r="C62" s="137">
        <f ca="1">IF(Overview!C28&gt;0,Overview!C28,WACC!C20)</f>
        <v>0.10760404710270478</v>
      </c>
    </row>
    <row r="63" spans="2:3" x14ac:dyDescent="0.2">
      <c r="B63" s="39" t="s">
        <v>344</v>
      </c>
      <c r="C63" s="105">
        <v>45</v>
      </c>
    </row>
    <row r="64" spans="2:3" x14ac:dyDescent="0.2">
      <c r="B64" s="1" t="s">
        <v>374</v>
      </c>
      <c r="C64" s="24">
        <f>(C61*C63)</f>
        <v>110773.97248378112</v>
      </c>
    </row>
    <row r="65" spans="2:3" x14ac:dyDescent="0.2">
      <c r="B65" s="1" t="s">
        <v>375</v>
      </c>
      <c r="C65" s="24">
        <f ca="1">C64/(1+C62)^5</f>
        <v>66453.071718518273</v>
      </c>
    </row>
    <row r="66" spans="2:3" x14ac:dyDescent="0.2">
      <c r="B66" s="16" t="s">
        <v>376</v>
      </c>
      <c r="C66" s="108">
        <f ca="1">SUM(H9:K9)+C65</f>
        <v>71567.40535263186</v>
      </c>
    </row>
    <row r="67" spans="2:3" x14ac:dyDescent="0.2">
      <c r="B67" s="1" t="s">
        <v>188</v>
      </c>
      <c r="C67" s="88">
        <f>Statement!AC108</f>
        <v>4357</v>
      </c>
    </row>
    <row r="68" spans="2:3" x14ac:dyDescent="0.2">
      <c r="B68" s="1" t="s">
        <v>189</v>
      </c>
      <c r="C68" s="88">
        <f>Statement!AC109</f>
        <v>3478</v>
      </c>
    </row>
    <row r="69" spans="2:3" x14ac:dyDescent="0.2">
      <c r="B69" s="16" t="s">
        <v>190</v>
      </c>
      <c r="C69" s="108">
        <f ca="1">C66+C67-C68</f>
        <v>72446.40535263186</v>
      </c>
    </row>
    <row r="70" spans="2:3" x14ac:dyDescent="0.2">
      <c r="B70" s="1" t="s">
        <v>69</v>
      </c>
      <c r="C70" s="88">
        <f>Statement!AC79</f>
        <v>210</v>
      </c>
    </row>
    <row r="71" spans="2:3" x14ac:dyDescent="0.2">
      <c r="B71" s="233" t="s">
        <v>208</v>
      </c>
      <c r="C71" s="234">
        <f ca="1">C69/C70</f>
        <v>344.98288263158031</v>
      </c>
    </row>
    <row r="73" spans="2:3" x14ac:dyDescent="0.2">
      <c r="B73" s="242" t="s">
        <v>379</v>
      </c>
      <c r="C73" s="242"/>
    </row>
    <row r="74" spans="2:3" x14ac:dyDescent="0.2">
      <c r="B74" s="1" t="s">
        <v>380</v>
      </c>
      <c r="C74" s="64">
        <f>L6</f>
        <v>13385.314235484499</v>
      </c>
    </row>
    <row r="75" spans="2:3" x14ac:dyDescent="0.2">
      <c r="B75" s="1" t="s">
        <v>164</v>
      </c>
      <c r="C75" s="137">
        <f ca="1">IF(Overview!C28&gt;0,Overview!C28,WACC!C20)</f>
        <v>0.10760404710270478</v>
      </c>
    </row>
    <row r="76" spans="2:3" x14ac:dyDescent="0.2">
      <c r="B76" s="39" t="s">
        <v>381</v>
      </c>
      <c r="C76" s="105">
        <v>5</v>
      </c>
    </row>
    <row r="77" spans="2:3" x14ac:dyDescent="0.2">
      <c r="B77" s="1" t="s">
        <v>374</v>
      </c>
      <c r="C77" s="24">
        <f>(C74*C76)</f>
        <v>66926.571177422491</v>
      </c>
    </row>
    <row r="78" spans="2:3" x14ac:dyDescent="0.2">
      <c r="B78" s="1" t="s">
        <v>375</v>
      </c>
      <c r="C78" s="24">
        <f ca="1">C77/(1+C75)^5</f>
        <v>40149.108446742284</v>
      </c>
    </row>
    <row r="79" spans="2:3" x14ac:dyDescent="0.2">
      <c r="B79" s="16" t="s">
        <v>376</v>
      </c>
      <c r="C79" s="108">
        <f ca="1">SUM(H9:K9)+C78</f>
        <v>45263.442080855872</v>
      </c>
    </row>
    <row r="80" spans="2:3" x14ac:dyDescent="0.2">
      <c r="B80" s="1" t="s">
        <v>188</v>
      </c>
      <c r="C80" s="88">
        <f>Statement!AC108</f>
        <v>4357</v>
      </c>
    </row>
    <row r="81" spans="2:3" x14ac:dyDescent="0.2">
      <c r="B81" s="1" t="s">
        <v>189</v>
      </c>
      <c r="C81" s="88">
        <f>Statement!AC109</f>
        <v>3478</v>
      </c>
    </row>
    <row r="82" spans="2:3" x14ac:dyDescent="0.2">
      <c r="B82" s="16" t="s">
        <v>190</v>
      </c>
      <c r="C82" s="108">
        <f ca="1">C79+C80-C81</f>
        <v>46142.442080855872</v>
      </c>
    </row>
    <row r="83" spans="2:3" x14ac:dyDescent="0.2">
      <c r="B83" s="1" t="s">
        <v>69</v>
      </c>
      <c r="C83" s="88">
        <f>Statement!AC79</f>
        <v>210</v>
      </c>
    </row>
    <row r="84" spans="2:3" x14ac:dyDescent="0.2">
      <c r="B84" s="233" t="s">
        <v>208</v>
      </c>
      <c r="C84" s="234">
        <f ca="1">C82/C83</f>
        <v>219.72591467074224</v>
      </c>
    </row>
  </sheetData>
  <mergeCells count="11">
    <mergeCell ref="B73:C73"/>
    <mergeCell ref="C27:L27"/>
    <mergeCell ref="B39:C39"/>
    <mergeCell ref="B52:C52"/>
    <mergeCell ref="B60:C60"/>
    <mergeCell ref="C22:L22"/>
    <mergeCell ref="C2:G2"/>
    <mergeCell ref="H2:L2"/>
    <mergeCell ref="C4:L4"/>
    <mergeCell ref="C11:L11"/>
    <mergeCell ref="C17:L17"/>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212</v>
      </c>
    </row>
    <row r="2" spans="1:14" x14ac:dyDescent="0.2">
      <c r="N2" s="91"/>
    </row>
    <row r="3" spans="1:14" x14ac:dyDescent="0.2">
      <c r="N3" s="91"/>
    </row>
    <row r="4" spans="1:14" x14ac:dyDescent="0.2">
      <c r="B4" s="242" t="s">
        <v>213</v>
      </c>
      <c r="C4" s="242"/>
      <c r="N4" s="91"/>
    </row>
    <row r="5" spans="1:14" x14ac:dyDescent="0.2">
      <c r="B5" s="1" t="s">
        <v>214</v>
      </c>
      <c r="C5" s="135">
        <f ca="1">DCF!C26</f>
        <v>117.44825208935085</v>
      </c>
    </row>
    <row r="6" spans="1:14" x14ac:dyDescent="0.2">
      <c r="B6" s="1" t="s">
        <v>215</v>
      </c>
      <c r="C6" s="135">
        <f ca="1">Multiples!C50</f>
        <v>346.52062287016844</v>
      </c>
    </row>
    <row r="7" spans="1:14" x14ac:dyDescent="0.2">
      <c r="B7" s="1" t="s">
        <v>216</v>
      </c>
      <c r="C7" s="135">
        <f ca="1">Multiples!C58</f>
        <v>188.26132013643894</v>
      </c>
    </row>
    <row r="8" spans="1:14" x14ac:dyDescent="0.2">
      <c r="B8" s="1" t="s">
        <v>322</v>
      </c>
      <c r="C8" s="135">
        <f ca="1">Multiples!C71</f>
        <v>344.98288263158031</v>
      </c>
    </row>
    <row r="9" spans="1:14" x14ac:dyDescent="0.2">
      <c r="B9" s="1" t="s">
        <v>382</v>
      </c>
      <c r="C9" s="135">
        <f ca="1">Multiples!C84</f>
        <v>219.72591467074224</v>
      </c>
    </row>
    <row r="10" spans="1:14" x14ac:dyDescent="0.2">
      <c r="B10" s="233" t="s">
        <v>217</v>
      </c>
      <c r="C10" s="234">
        <f ca="1">AVERAGE(C5:C9)</f>
        <v>243.38779847965617</v>
      </c>
    </row>
    <row r="11" spans="1:14" x14ac:dyDescent="0.2">
      <c r="B11" s="1" t="s">
        <v>218</v>
      </c>
      <c r="C11" s="135">
        <f ca="1">Overview!C5</f>
        <v>233.54</v>
      </c>
    </row>
    <row r="12" spans="1:14" x14ac:dyDescent="0.2">
      <c r="B12" s="1" t="s">
        <v>219</v>
      </c>
      <c r="C12" s="154">
        <f ca="1">(C10-C11)/C11</f>
        <v>4.2167502267946293E-2</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E4A1-F7CC-5043-8E79-210959816CC1}">
  <dimension ref="A1:N26"/>
  <sheetViews>
    <sheetView topLeftCell="A18" zoomScale="192" zoomScaleNormal="100" workbookViewId="0">
      <selection activeCell="C5" sqref="C5"/>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365</v>
      </c>
    </row>
    <row r="2" spans="1:14" x14ac:dyDescent="0.2">
      <c r="A2" s="4"/>
      <c r="C2" s="242" t="s">
        <v>112</v>
      </c>
      <c r="D2" s="242"/>
      <c r="E2" s="242"/>
      <c r="F2" s="242"/>
      <c r="G2" s="251"/>
      <c r="H2" s="252" t="s">
        <v>113</v>
      </c>
      <c r="I2" s="242"/>
      <c r="J2" s="242"/>
      <c r="K2" s="242"/>
      <c r="L2" s="242"/>
    </row>
    <row r="3" spans="1:14" ht="10" customHeight="1" x14ac:dyDescent="0.2"/>
    <row r="4" spans="1:14" ht="16" customHeight="1" x14ac:dyDescent="0.2">
      <c r="A4" s="86"/>
      <c r="B4" s="60"/>
      <c r="C4" s="248" t="s">
        <v>193</v>
      </c>
      <c r="D4" s="248"/>
      <c r="E4" s="248"/>
      <c r="F4" s="248"/>
      <c r="G4" s="248"/>
      <c r="H4" s="248"/>
      <c r="I4" s="248"/>
      <c r="J4" s="248"/>
      <c r="K4" s="248"/>
      <c r="L4" s="248"/>
    </row>
    <row r="5" spans="1:14" x14ac:dyDescent="0.2">
      <c r="B5" s="16" t="s">
        <v>116</v>
      </c>
      <c r="C5" s="12">
        <f>Revenue!C5</f>
        <v>2022</v>
      </c>
      <c r="D5" s="12">
        <f>Revenue!D5</f>
        <v>2023</v>
      </c>
      <c r="E5" s="12">
        <f>Revenue!E5</f>
        <v>2024</v>
      </c>
      <c r="F5" s="12">
        <f>Revenue!F5</f>
        <v>2025</v>
      </c>
      <c r="G5" s="12">
        <f>Revenue!G5</f>
        <v>2026</v>
      </c>
      <c r="H5" s="12">
        <f>Revenue!H5</f>
        <v>2027</v>
      </c>
      <c r="I5" s="12">
        <f>Revenue!I5</f>
        <v>2028</v>
      </c>
      <c r="J5" s="12">
        <f>Revenue!J5</f>
        <v>2029</v>
      </c>
      <c r="K5" s="12">
        <f>Revenue!K5</f>
        <v>2030</v>
      </c>
      <c r="L5" s="12">
        <f>Revenue!L5</f>
        <v>2031</v>
      </c>
    </row>
    <row r="6" spans="1:14" x14ac:dyDescent="0.2">
      <c r="B6" s="16" t="s">
        <v>242</v>
      </c>
      <c r="C6" s="228">
        <f>Statement!M27</f>
        <v>2.2400000000000002</v>
      </c>
      <c r="D6" s="228">
        <f>Statement!N27</f>
        <v>3.78</v>
      </c>
      <c r="E6" s="228">
        <f>Statement!O27</f>
        <v>4.1900000000000004</v>
      </c>
      <c r="F6" s="228">
        <f>Statement!P27</f>
        <v>5.12</v>
      </c>
      <c r="G6" s="229">
        <f>Statement!Q27</f>
        <v>5.23</v>
      </c>
      <c r="H6" s="139"/>
      <c r="I6" s="139"/>
      <c r="J6" s="139"/>
      <c r="K6" s="139"/>
      <c r="L6" s="139"/>
      <c r="N6" s="91"/>
    </row>
    <row r="7" spans="1:14" x14ac:dyDescent="0.2">
      <c r="B7" s="16" t="s">
        <v>366</v>
      </c>
      <c r="C7" s="228">
        <f>Statement!M83</f>
        <v>0</v>
      </c>
      <c r="D7" s="228">
        <f>Statement!N83</f>
        <v>0</v>
      </c>
      <c r="E7" s="228">
        <f>Statement!O83</f>
        <v>0</v>
      </c>
      <c r="F7" s="228">
        <f>Statement!P83</f>
        <v>0</v>
      </c>
      <c r="G7" s="229">
        <f>Statement!Q83</f>
        <v>0</v>
      </c>
      <c r="H7" s="139"/>
      <c r="I7" s="139"/>
      <c r="J7" s="139"/>
      <c r="K7" s="139"/>
      <c r="L7" s="139"/>
      <c r="N7" s="91"/>
    </row>
    <row r="8" spans="1:14" x14ac:dyDescent="0.2">
      <c r="N8" s="91"/>
    </row>
    <row r="9" spans="1:14" x14ac:dyDescent="0.2">
      <c r="C9" s="248" t="s">
        <v>121</v>
      </c>
      <c r="D9" s="248"/>
      <c r="E9" s="248"/>
      <c r="F9" s="248"/>
      <c r="G9" s="248"/>
      <c r="H9" s="248"/>
      <c r="I9" s="248"/>
      <c r="J9" s="248"/>
      <c r="K9" s="248"/>
      <c r="L9" s="248"/>
      <c r="N9" s="91"/>
    </row>
    <row r="10" spans="1:14" x14ac:dyDescent="0.2">
      <c r="B10" s="16" t="s">
        <v>194</v>
      </c>
      <c r="C10" s="12">
        <f t="shared" ref="C10:L10" si="0">C5</f>
        <v>2022</v>
      </c>
      <c r="D10" s="12">
        <f t="shared" si="0"/>
        <v>2023</v>
      </c>
      <c r="E10" s="12">
        <f t="shared" si="0"/>
        <v>2024</v>
      </c>
      <c r="F10" s="12">
        <f t="shared" si="0"/>
        <v>2025</v>
      </c>
      <c r="G10" s="12">
        <f t="shared" si="0"/>
        <v>2026</v>
      </c>
      <c r="H10" s="12">
        <f t="shared" si="0"/>
        <v>2027</v>
      </c>
      <c r="I10" s="12">
        <f t="shared" si="0"/>
        <v>2028</v>
      </c>
      <c r="J10" s="12">
        <f t="shared" si="0"/>
        <v>2029</v>
      </c>
      <c r="K10" s="12">
        <f t="shared" si="0"/>
        <v>2030</v>
      </c>
      <c r="L10" s="12">
        <f t="shared" si="0"/>
        <v>2031</v>
      </c>
      <c r="N10" s="91"/>
    </row>
    <row r="11" spans="1:14" x14ac:dyDescent="0.2">
      <c r="B11" s="1" t="s">
        <v>242</v>
      </c>
      <c r="C11" s="139"/>
      <c r="D11" s="95">
        <f>(D6-C6)/C6</f>
        <v>0.68749999999999978</v>
      </c>
      <c r="E11" s="95">
        <f>(E6-D6)/D6</f>
        <v>0.10846560846560863</v>
      </c>
      <c r="F11" s="95">
        <f>(F6-E6)/E6</f>
        <v>0.22195704057279228</v>
      </c>
      <c r="G11" s="96">
        <f>(G6-F6)/F6</f>
        <v>2.1484375000000062E-2</v>
      </c>
      <c r="H11" s="139"/>
      <c r="I11" s="139"/>
      <c r="J11" s="139"/>
      <c r="K11" s="139"/>
      <c r="L11" s="139"/>
      <c r="N11" s="91"/>
    </row>
    <row r="12" spans="1:14" x14ac:dyDescent="0.2">
      <c r="B12" s="1" t="s">
        <v>243</v>
      </c>
      <c r="C12" s="139"/>
      <c r="D12" s="95">
        <f>IF(C7=0,
IF(D7=0,0,IF(D7&gt;0,1,-1)),
(D7-C7)/ABS(C7)
)</f>
        <v>0</v>
      </c>
      <c r="E12" s="95">
        <f>IF(D7=0,
IF(E7=0,0,IF(E7&gt;0,1,-1)),
(E7-D7)/ABS(D7)
)</f>
        <v>0</v>
      </c>
      <c r="F12" s="95">
        <f>IF(E7=0,
IF(F7=0,0,IF(F7&gt;0,1,-1)),
(F7-E7)/ABS(E7)
)</f>
        <v>0</v>
      </c>
      <c r="G12" s="96">
        <f>IF(F7=0,
IF(G7=0,0,IF(G7&gt;0,1,-1)),
(G7-F7)/ABS(F7)
)</f>
        <v>0</v>
      </c>
      <c r="H12" s="139"/>
      <c r="I12" s="139"/>
      <c r="J12" s="139"/>
      <c r="K12" s="139"/>
      <c r="L12" s="139"/>
      <c r="N12" s="91"/>
    </row>
    <row r="13" spans="1:14" x14ac:dyDescent="0.2">
      <c r="N13" s="91"/>
    </row>
    <row r="14" spans="1:14" x14ac:dyDescent="0.2">
      <c r="C14" s="248" t="s">
        <v>367</v>
      </c>
      <c r="D14" s="248"/>
      <c r="E14" s="248"/>
      <c r="F14" s="248"/>
      <c r="G14" s="248"/>
      <c r="H14" s="248"/>
      <c r="I14" s="248"/>
      <c r="J14" s="248"/>
      <c r="K14" s="248"/>
      <c r="L14" s="248"/>
      <c r="N14" s="91"/>
    </row>
    <row r="15" spans="1:14" x14ac:dyDescent="0.2">
      <c r="B15" s="16" t="s">
        <v>331</v>
      </c>
      <c r="C15" s="12">
        <f>C5</f>
        <v>2022</v>
      </c>
      <c r="D15" s="12">
        <f t="shared" ref="D15:L15" si="1">D5</f>
        <v>2023</v>
      </c>
      <c r="E15" s="12">
        <f t="shared" si="1"/>
        <v>2024</v>
      </c>
      <c r="F15" s="12">
        <f t="shared" si="1"/>
        <v>2025</v>
      </c>
      <c r="G15" s="12">
        <f t="shared" si="1"/>
        <v>2026</v>
      </c>
      <c r="H15" s="12">
        <f t="shared" si="1"/>
        <v>2027</v>
      </c>
      <c r="I15" s="12">
        <f t="shared" si="1"/>
        <v>2028</v>
      </c>
      <c r="J15" s="12">
        <f t="shared" si="1"/>
        <v>2029</v>
      </c>
      <c r="K15" s="12">
        <f t="shared" si="1"/>
        <v>2030</v>
      </c>
      <c r="L15" s="12">
        <f t="shared" si="1"/>
        <v>2031</v>
      </c>
      <c r="N15" s="91"/>
    </row>
    <row r="16" spans="1:14" x14ac:dyDescent="0.2">
      <c r="B16" s="1" t="s">
        <v>368</v>
      </c>
      <c r="C16" s="95">
        <f>C7/C6</f>
        <v>0</v>
      </c>
      <c r="D16" s="95">
        <f t="shared" ref="D16:G16" si="2">D7/D6</f>
        <v>0</v>
      </c>
      <c r="E16" s="95">
        <f t="shared" si="2"/>
        <v>0</v>
      </c>
      <c r="F16" s="95">
        <f t="shared" si="2"/>
        <v>0</v>
      </c>
      <c r="G16" s="96">
        <f t="shared" si="2"/>
        <v>0</v>
      </c>
      <c r="H16" s="139"/>
      <c r="I16" s="139"/>
      <c r="J16" s="139"/>
      <c r="K16" s="139"/>
      <c r="L16" s="139"/>
      <c r="N16" s="91"/>
    </row>
    <row r="17" spans="2:14" x14ac:dyDescent="0.2">
      <c r="N17" s="91"/>
    </row>
    <row r="18" spans="2:14" x14ac:dyDescent="0.2">
      <c r="N18" s="91"/>
    </row>
    <row r="19" spans="2:14" x14ac:dyDescent="0.2">
      <c r="N19" s="91"/>
    </row>
    <row r="20" spans="2:14" x14ac:dyDescent="0.2">
      <c r="B20" s="242" t="s">
        <v>369</v>
      </c>
      <c r="C20" s="242"/>
      <c r="N20" s="91"/>
    </row>
    <row r="21" spans="2:14" x14ac:dyDescent="0.2">
      <c r="B21" s="1" t="s">
        <v>370</v>
      </c>
      <c r="C21" s="230">
        <f>G7</f>
        <v>0</v>
      </c>
    </row>
    <row r="22" spans="2:14" x14ac:dyDescent="0.2">
      <c r="B22" s="1" t="s">
        <v>371</v>
      </c>
      <c r="C22" s="231">
        <v>0</v>
      </c>
    </row>
    <row r="23" spans="2:14" x14ac:dyDescent="0.2">
      <c r="B23" s="39" t="s">
        <v>372</v>
      </c>
      <c r="C23" s="232">
        <f>C21*(1+C22)</f>
        <v>0</v>
      </c>
    </row>
    <row r="24" spans="2:14" x14ac:dyDescent="0.2">
      <c r="B24" s="1" t="s">
        <v>343</v>
      </c>
      <c r="C24" s="137">
        <f ca="1">IF(Overview!C29&gt;0,Overview!C29,WACC!C19)</f>
        <v>0.11181749999999999</v>
      </c>
    </row>
    <row r="25" spans="2:14" x14ac:dyDescent="0.2">
      <c r="B25" s="39" t="s">
        <v>373</v>
      </c>
      <c r="C25" s="231">
        <v>0</v>
      </c>
    </row>
    <row r="26" spans="2:14" x14ac:dyDescent="0.2">
      <c r="B26" s="233" t="s">
        <v>208</v>
      </c>
      <c r="C26" s="234">
        <f ca="1">C23/(C24-C25)</f>
        <v>0</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topLeftCell="B1" zoomScale="176" zoomScaleNormal="100" workbookViewId="0">
      <selection activeCell="C17" sqref="C17"/>
    </sheetView>
  </sheetViews>
  <sheetFormatPr baseColWidth="10" defaultRowHeight="16" x14ac:dyDescent="0.2"/>
  <cols>
    <col min="1" max="1" width="2" style="83"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220</v>
      </c>
    </row>
    <row r="2" spans="1:28" s="83" customFormat="1" ht="18" customHeight="1" x14ac:dyDescent="0.2">
      <c r="A2" s="4"/>
      <c r="B2" s="82"/>
    </row>
    <row r="3" spans="1:28" x14ac:dyDescent="0.2">
      <c r="A3" s="4"/>
      <c r="C3" s="242" t="s">
        <v>112</v>
      </c>
      <c r="D3" s="242"/>
      <c r="E3" s="242"/>
      <c r="F3" s="242"/>
      <c r="G3" s="251"/>
      <c r="H3" s="252" t="s">
        <v>113</v>
      </c>
      <c r="I3" s="242"/>
      <c r="J3" s="242"/>
      <c r="K3" s="242"/>
      <c r="L3" s="242"/>
      <c r="P3" s="253"/>
      <c r="Q3" s="253"/>
      <c r="R3" s="253"/>
      <c r="S3" s="253"/>
      <c r="T3" s="253"/>
      <c r="U3" s="253"/>
      <c r="V3" s="253"/>
      <c r="W3" s="253"/>
      <c r="X3" s="253"/>
      <c r="Y3" s="253"/>
      <c r="Z3" s="253"/>
      <c r="AB3" s="111"/>
    </row>
    <row r="4" spans="1:28" ht="10" customHeight="1" x14ac:dyDescent="0.2"/>
    <row r="5" spans="1:28" ht="16" customHeight="1" x14ac:dyDescent="0.2">
      <c r="A5" s="86"/>
      <c r="B5" s="60"/>
      <c r="C5" s="248" t="s">
        <v>179</v>
      </c>
      <c r="D5" s="248"/>
      <c r="E5" s="248"/>
      <c r="F5" s="248"/>
      <c r="G5" s="248"/>
      <c r="H5" s="248"/>
      <c r="I5" s="248"/>
      <c r="J5" s="248"/>
      <c r="K5" s="248"/>
      <c r="L5" s="248"/>
      <c r="P5" s="253"/>
      <c r="Q5" s="253"/>
      <c r="R5" s="253"/>
      <c r="S5" s="253"/>
      <c r="T5" s="253"/>
      <c r="U5" s="253"/>
      <c r="V5" s="253"/>
      <c r="W5" s="253"/>
      <c r="X5" s="253"/>
      <c r="Y5" s="253"/>
      <c r="Z5" s="253"/>
      <c r="AB5" s="112"/>
    </row>
    <row r="6" spans="1:28" x14ac:dyDescent="0.2">
      <c r="B6" s="16" t="s">
        <v>132</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3"/>
      <c r="Q6" s="113"/>
      <c r="R6" s="113"/>
      <c r="S6" s="113"/>
      <c r="T6" s="113"/>
      <c r="U6" s="113"/>
      <c r="V6" s="113"/>
      <c r="W6" s="113"/>
      <c r="X6" s="113"/>
      <c r="Y6" s="113"/>
      <c r="Z6" s="113"/>
      <c r="AB6" s="112"/>
    </row>
    <row r="7" spans="1:28" x14ac:dyDescent="0.2">
      <c r="B7" s="39" t="s">
        <v>261</v>
      </c>
      <c r="C7" s="114">
        <f>'FCF &amp; Other'!C28</f>
        <v>841.62123893805301</v>
      </c>
      <c r="D7" s="114">
        <f>'FCF &amp; Other'!D28</f>
        <v>1656.409090909091</v>
      </c>
      <c r="E7" s="114">
        <f>'FCF &amp; Other'!E28</f>
        <v>526.61971830985931</v>
      </c>
      <c r="F7" s="114">
        <f>'FCF &amp; Other'!F28</f>
        <v>707.89595375722547</v>
      </c>
      <c r="G7" s="115">
        <f>'FCF &amp; Other'!G28</f>
        <v>724.47036805988773</v>
      </c>
      <c r="H7" s="128">
        <f>G7*(1+$C$17)</f>
        <v>1061.3490892077357</v>
      </c>
      <c r="I7" s="128">
        <f t="shared" ref="I7:L7" si="0">H7*(1+$C$17)</f>
        <v>1554.8764156893328</v>
      </c>
      <c r="J7" s="128">
        <f t="shared" si="0"/>
        <v>2277.8939489848726</v>
      </c>
      <c r="K7" s="128">
        <f t="shared" si="0"/>
        <v>3337.1146352628384</v>
      </c>
      <c r="L7" s="128">
        <f t="shared" si="0"/>
        <v>4888.8729406600587</v>
      </c>
      <c r="N7" s="91"/>
      <c r="O7" s="16"/>
      <c r="P7" s="92"/>
      <c r="Q7" s="92"/>
      <c r="R7" s="92"/>
      <c r="S7" s="92"/>
      <c r="T7" s="92"/>
      <c r="U7" s="92"/>
      <c r="V7" s="92"/>
      <c r="W7" s="92"/>
      <c r="X7" s="94"/>
      <c r="Y7" s="94"/>
      <c r="Z7" s="94"/>
      <c r="AB7" s="94"/>
    </row>
    <row r="8" spans="1:28" x14ac:dyDescent="0.2">
      <c r="B8" s="39" t="s">
        <v>180</v>
      </c>
      <c r="C8" s="139"/>
      <c r="D8" s="139"/>
      <c r="E8" s="139"/>
      <c r="F8" s="139"/>
      <c r="G8" s="140"/>
      <c r="H8" s="139"/>
      <c r="I8" s="139"/>
      <c r="J8" s="139"/>
      <c r="K8" s="139"/>
      <c r="L8" s="128">
        <f ca="1">L7*(1+C20)/(C21-C20)</f>
        <v>56922.603057676512</v>
      </c>
      <c r="N8" s="91"/>
      <c r="O8" s="16"/>
      <c r="P8" s="92"/>
      <c r="Q8" s="92"/>
      <c r="R8" s="92"/>
      <c r="S8" s="92"/>
      <c r="T8" s="92"/>
      <c r="U8" s="92"/>
      <c r="V8" s="92"/>
      <c r="W8" s="92"/>
      <c r="X8" s="94"/>
      <c r="Y8" s="94"/>
      <c r="Z8" s="94"/>
      <c r="AB8" s="94"/>
    </row>
    <row r="9" spans="1:28" x14ac:dyDescent="0.2">
      <c r="B9" s="1" t="s">
        <v>181</v>
      </c>
      <c r="C9" s="139"/>
      <c r="D9" s="139"/>
      <c r="E9" s="139"/>
      <c r="F9" s="139"/>
      <c r="G9" s="140"/>
      <c r="H9" s="141">
        <v>1</v>
      </c>
      <c r="I9" s="141">
        <v>2</v>
      </c>
      <c r="J9" s="141">
        <v>3</v>
      </c>
      <c r="K9" s="141">
        <v>4</v>
      </c>
      <c r="L9" s="141">
        <v>5</v>
      </c>
      <c r="N9" s="91"/>
    </row>
    <row r="10" spans="1:28" x14ac:dyDescent="0.2">
      <c r="B10" s="1" t="s">
        <v>319</v>
      </c>
      <c r="C10" s="139"/>
      <c r="D10" s="139"/>
      <c r="E10" s="139"/>
      <c r="F10" s="139"/>
      <c r="G10" s="140"/>
      <c r="H10" s="128">
        <f ca="1">H7/(1+$C$21)^H9</f>
        <v>958.23872437450552</v>
      </c>
      <c r="I10" s="128">
        <f t="shared" ref="I10:L10" ca="1" si="1">I7/(1+$C$21)^I9</f>
        <v>1267.438246439053</v>
      </c>
      <c r="J10" s="128">
        <f t="shared" ca="1" si="1"/>
        <v>1676.4086731989319</v>
      </c>
      <c r="K10" s="128">
        <f t="shared" ca="1" si="1"/>
        <v>2217.3435648422683</v>
      </c>
      <c r="L10" s="128">
        <f t="shared" ca="1" si="1"/>
        <v>2932.8245332717784</v>
      </c>
      <c r="N10" s="91"/>
    </row>
    <row r="11" spans="1:28" x14ac:dyDescent="0.2">
      <c r="B11" s="1" t="s">
        <v>182</v>
      </c>
      <c r="C11" s="139"/>
      <c r="D11" s="139"/>
      <c r="E11" s="139"/>
      <c r="F11" s="139"/>
      <c r="G11" s="140"/>
      <c r="H11" s="139"/>
      <c r="I11" s="139"/>
      <c r="J11" s="139"/>
      <c r="K11" s="139"/>
      <c r="L11" s="128">
        <f ca="1">L8/(1+C21)^L9</f>
        <v>34147.749138005885</v>
      </c>
    </row>
    <row r="13" spans="1:28" ht="17" thickBot="1" x14ac:dyDescent="0.25"/>
    <row r="14" spans="1:28" x14ac:dyDescent="0.2">
      <c r="B14" s="254" t="s">
        <v>221</v>
      </c>
      <c r="C14" s="255"/>
    </row>
    <row r="15" spans="1:28" x14ac:dyDescent="0.2">
      <c r="B15" s="155" t="s">
        <v>222</v>
      </c>
      <c r="C15" s="156">
        <f ca="1">Overview!C5</f>
        <v>233.54</v>
      </c>
    </row>
    <row r="16" spans="1:28" x14ac:dyDescent="0.2">
      <c r="B16" s="155" t="s">
        <v>223</v>
      </c>
      <c r="C16" s="156">
        <f ca="1">C36</f>
        <v>210.90432000063359</v>
      </c>
    </row>
    <row r="17" spans="2:9" ht="17" thickBot="1" x14ac:dyDescent="0.25">
      <c r="B17" s="157" t="s">
        <v>323</v>
      </c>
      <c r="C17" s="158">
        <v>0.46500000000000002</v>
      </c>
      <c r="E17" s="256" t="s">
        <v>224</v>
      </c>
      <c r="F17" s="256"/>
      <c r="G17" s="256"/>
      <c r="H17" s="256"/>
      <c r="I17" s="256"/>
    </row>
    <row r="18" spans="2:9" ht="17" thickBot="1" x14ac:dyDescent="0.25"/>
    <row r="19" spans="2:9" x14ac:dyDescent="0.2">
      <c r="B19" s="254" t="s">
        <v>183</v>
      </c>
      <c r="C19" s="255"/>
    </row>
    <row r="20" spans="2:9" x14ac:dyDescent="0.2">
      <c r="B20" s="159" t="s">
        <v>184</v>
      </c>
      <c r="C20" s="160">
        <v>0.02</v>
      </c>
    </row>
    <row r="21" spans="2:9" x14ac:dyDescent="0.2">
      <c r="B21" s="159" t="s">
        <v>164</v>
      </c>
      <c r="C21" s="220">
        <f ca="1">IF(Overview!C28&gt;0,Overview!C28,WACC!C20)</f>
        <v>0.10760404710270478</v>
      </c>
    </row>
    <row r="22" spans="2:9" x14ac:dyDescent="0.2">
      <c r="B22" s="159" t="s">
        <v>69</v>
      </c>
      <c r="C22" s="221">
        <f>Statement!AC76</f>
        <v>209</v>
      </c>
    </row>
    <row r="23" spans="2:9" x14ac:dyDescent="0.2">
      <c r="B23" s="159" t="s">
        <v>225</v>
      </c>
      <c r="C23" s="161">
        <f ca="1">C15*C22</f>
        <v>48809.86</v>
      </c>
    </row>
    <row r="24" spans="2:9" x14ac:dyDescent="0.2">
      <c r="B24" s="159" t="s">
        <v>177</v>
      </c>
      <c r="C24" s="221">
        <f>Statement!AC108</f>
        <v>4357</v>
      </c>
    </row>
    <row r="25" spans="2:9" x14ac:dyDescent="0.2">
      <c r="B25" s="159" t="s">
        <v>168</v>
      </c>
      <c r="C25" s="221">
        <f>Statement!AC109</f>
        <v>3478</v>
      </c>
    </row>
    <row r="26" spans="2:9" ht="17" thickBot="1" x14ac:dyDescent="0.25">
      <c r="B26" s="157" t="s">
        <v>226</v>
      </c>
      <c r="C26" s="162">
        <f ca="1">C23+C25-C24</f>
        <v>47930.86</v>
      </c>
    </row>
    <row r="27" spans="2:9" ht="17" thickBot="1" x14ac:dyDescent="0.25"/>
    <row r="28" spans="2:9" x14ac:dyDescent="0.2">
      <c r="B28" s="254" t="s">
        <v>185</v>
      </c>
      <c r="C28" s="255"/>
    </row>
    <row r="29" spans="2:9" x14ac:dyDescent="0.2">
      <c r="B29" s="159" t="s">
        <v>186</v>
      </c>
      <c r="C29" s="161">
        <f ca="1">SUM(H10:L10)</f>
        <v>9052.253742126537</v>
      </c>
    </row>
    <row r="30" spans="2:9" x14ac:dyDescent="0.2">
      <c r="B30" s="159" t="s">
        <v>182</v>
      </c>
      <c r="C30" s="161">
        <f ca="1">L11</f>
        <v>34147.749138005885</v>
      </c>
    </row>
    <row r="31" spans="2:9" x14ac:dyDescent="0.2">
      <c r="B31" s="163" t="s">
        <v>187</v>
      </c>
      <c r="C31" s="164">
        <f ca="1">C29+C30</f>
        <v>43200.002880132422</v>
      </c>
    </row>
    <row r="32" spans="2:9" x14ac:dyDescent="0.2">
      <c r="B32" s="159" t="s">
        <v>188</v>
      </c>
      <c r="C32" s="165">
        <f>C24</f>
        <v>4357</v>
      </c>
    </row>
    <row r="33" spans="2:3" x14ac:dyDescent="0.2">
      <c r="B33" s="159" t="s">
        <v>189</v>
      </c>
      <c r="C33" s="165">
        <f>C25</f>
        <v>3478</v>
      </c>
    </row>
    <row r="34" spans="2:3" x14ac:dyDescent="0.2">
      <c r="B34" s="163" t="s">
        <v>190</v>
      </c>
      <c r="C34" s="164">
        <f ca="1">C31+C32-C33</f>
        <v>44079.002880132422</v>
      </c>
    </row>
    <row r="35" spans="2:3" x14ac:dyDescent="0.2">
      <c r="B35" s="159" t="s">
        <v>69</v>
      </c>
      <c r="C35" s="161">
        <f>C22</f>
        <v>209</v>
      </c>
    </row>
    <row r="36" spans="2:3" ht="17" thickBot="1" x14ac:dyDescent="0.25">
      <c r="B36" s="166" t="s">
        <v>191</v>
      </c>
      <c r="C36" s="167">
        <f ca="1">C34/C35</f>
        <v>210.90432000063359</v>
      </c>
    </row>
  </sheetData>
  <mergeCells count="10">
    <mergeCell ref="E17:I17"/>
    <mergeCell ref="B19:C19"/>
    <mergeCell ref="B28:C28"/>
    <mergeCell ref="C3:G3"/>
    <mergeCell ref="H3:L3"/>
    <mergeCell ref="P3:W3"/>
    <mergeCell ref="X3:Z3"/>
    <mergeCell ref="C5:L5"/>
    <mergeCell ref="P5:Z5"/>
    <mergeCell ref="B14:C14"/>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2026-10-12T20:37:43Z</dcterms:modified>
</cp:coreProperties>
</file>