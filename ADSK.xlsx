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1DDC700-FF78-C84F-BA35-3D8B3A54D7B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AC159" i="3"/>
  <c r="L5" i="2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9" i="17"/>
  <c r="B98"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9" i="17"/>
  <c r="D99" i="17"/>
  <c r="C99" i="17"/>
  <c r="G98" i="17"/>
  <c r="F20" i="18"/>
  <c r="C20" i="18"/>
  <c r="F18" i="18"/>
  <c r="C18" i="18"/>
  <c r="F12" i="18"/>
  <c r="C12" i="18"/>
  <c r="F10" i="18"/>
  <c r="C10" i="18"/>
  <c r="F99" i="17"/>
  <c r="E99" i="17"/>
  <c r="F98" i="17"/>
  <c r="E98" i="17"/>
  <c r="D98" i="17"/>
  <c r="C98"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I18" i="1" s="1"/>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I17" i="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<sst xmlns="http://schemas.openxmlformats.org/spreadsheetml/2006/main" count="827" uniqueCount="446">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</sst>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320</v>
    <v>185.5</v>
    <v>1.2979000000000001</v>
    <v>-7.35</v>
    <v>-2.9464999999999998E-2</v>
    <v>0.05</v>
    <v>2.065E-4</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248.54</v>
    <v>Software &amp; IT Services</v>
    <v>Stock</v>
    <v>46322.912133876562</v>
    <v>0</v>
    <v>241.78</v>
    <v>50598900000</v>
    <v>AUTODESK, INC.</v>
    <v>AUTODESK, INC.</v>
    <v>245.66</v>
    <v>31.388999999999999</v>
    <v>249.45</v>
    <v>242.1</v>
    <v>242.15</v>
    <v>209000000</v>
    <v>ADSK</v>
    <v>AUTODESK, INC. (XNAS:ADSK)</v>
    <v>1438146</v>
    <v>1822054</v>
    <v>1994</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71"/>
  <sheetViews>
    <sheetView tabSelected="1" topLeftCell="A2" zoomScale="181"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286</v>
      </c>
      <c r="F2" s="243"/>
      <c r="H2" s="242" t="s">
        <v>324</v>
      </c>
      <c r="I2" s="243"/>
      <c r="K2" s="134" t="s">
        <v>435</v>
      </c>
    </row>
    <row r="3" spans="2:11" x14ac:dyDescent="0.2">
      <c r="B3" s="183" t="s">
        <v>11</v>
      </c>
      <c r="C3" s="215" t="e" vm="1">
        <v>#VALUE!</v>
      </c>
      <c r="D3" s="2"/>
      <c r="E3" s="183" t="s">
        <v>238</v>
      </c>
      <c r="F3" s="185">
        <f ca="1">Statement!AC154</f>
        <v>50841</v>
      </c>
      <c r="H3" s="183" t="str">
        <f>'AVG target price'!B5</f>
        <v>DCF price</v>
      </c>
      <c r="I3" s="209">
        <f ca="1">'AVG target price'!C5</f>
        <v>122.03382006490071</v>
      </c>
      <c r="K3" s="237" t="s">
        <v>436</v>
      </c>
    </row>
    <row r="4" spans="2:11" x14ac:dyDescent="0.2">
      <c r="B4" s="183" t="s">
        <v>0</v>
      </c>
      <c r="C4" s="187" t="str" cm="1">
        <f t="array" aca="1" ref="C4" ca="1">_FV(C3,"Ticker symbol",TRUE)</f>
        <v>ADSK</v>
      </c>
      <c r="E4" s="184" t="s">
        <v>187</v>
      </c>
      <c r="F4" s="186">
        <f ca="1">Statement!AC155</f>
        <v>49962</v>
      </c>
      <c r="H4" s="183" t="str">
        <f>'AVG target price'!B6</f>
        <v>EV/EBIT price</v>
      </c>
      <c r="I4" s="209">
        <f ca="1">'AVG target price'!C6</f>
        <v>351.29449944402205</v>
      </c>
      <c r="K4" s="237" t="s">
        <v>437</v>
      </c>
    </row>
    <row r="5" spans="2:11" x14ac:dyDescent="0.2">
      <c r="B5" s="183" t="s">
        <v>1</v>
      </c>
      <c r="C5" s="206" cm="1">
        <f t="array" aca="1" ref="C5" ca="1">_FV(C3,"Price",TRUE)</f>
        <v>242.1</v>
      </c>
      <c r="E5" s="183" t="s">
        <v>242</v>
      </c>
      <c r="F5" s="187">
        <f>Statement!AC27</f>
        <v>7.73</v>
      </c>
      <c r="H5" s="183" t="str">
        <f>'AVG target price'!B7</f>
        <v>PS price</v>
      </c>
      <c r="I5" s="209">
        <f ca="1">'AVG target price'!C7</f>
        <v>191.29761592497329</v>
      </c>
      <c r="K5" s="237" t="s">
        <v>438</v>
      </c>
    </row>
    <row r="6" spans="2:11" x14ac:dyDescent="0.2">
      <c r="B6" s="183" t="s">
        <v>2</v>
      </c>
      <c r="C6" s="206" cm="1">
        <f t="array" aca="1" ref="C6" ca="1">_FV(C3,"Price (Extended hours)",TRUE)</f>
        <v>242.15</v>
      </c>
      <c r="E6" s="183" t="s">
        <v>236</v>
      </c>
      <c r="F6" s="188">
        <f ca="1">Statement!AC151</f>
        <v>31.319534282018108</v>
      </c>
      <c r="H6" s="183" t="str">
        <f>'AVG target price'!B8</f>
        <v>EV/FCFF price</v>
      </c>
      <c r="I6" s="209">
        <f ca="1">'AVG target price'!C8</f>
        <v>349.73445681378689</v>
      </c>
      <c r="K6" s="238" t="s">
        <v>439</v>
      </c>
    </row>
    <row r="7" spans="2:11" x14ac:dyDescent="0.2">
      <c r="B7" s="183" t="s">
        <v>3</v>
      </c>
      <c r="C7" s="6" cm="1">
        <f t="array" aca="1" ref="C7" ca="1">_FV(C3,"Change")</f>
        <v>-7.35</v>
      </c>
      <c r="E7" s="184" t="s">
        <v>200</v>
      </c>
      <c r="F7" s="189">
        <f ca="1">Statement!AC152</f>
        <v>6.6196790757381265</v>
      </c>
      <c r="H7" s="183" t="str">
        <f>'AVG target price'!B9</f>
        <v>EV/Sales price</v>
      </c>
      <c r="I7" s="209">
        <f ca="1">'AVG target price'!C9</f>
        <v>222.66084265623115</v>
      </c>
    </row>
    <row r="8" spans="2:11" x14ac:dyDescent="0.2">
      <c r="B8" s="183" t="s">
        <v>4</v>
      </c>
      <c r="C8" s="6" cm="1">
        <f t="array" aca="1" ref="C8" ca="1">_FV(C3,"Change (extended hours)",TRUE)</f>
        <v>0.05</v>
      </c>
      <c r="E8" s="183" t="s">
        <v>264</v>
      </c>
      <c r="F8" s="190">
        <f ca="1">Statement!AC162</f>
        <v>4.1265907436911158E-2</v>
      </c>
      <c r="H8" s="182" t="str">
        <f>'AVG target price'!B10</f>
        <v>AVG price</v>
      </c>
      <c r="I8" s="210">
        <f ca="1">'AVG target price'!C10</f>
        <v>247.40424698078283</v>
      </c>
    </row>
    <row r="9" spans="2:11" x14ac:dyDescent="0.2">
      <c r="B9" s="183" t="s">
        <v>5</v>
      </c>
      <c r="C9" s="73" cm="1">
        <f t="array" aca="1" ref="C9" ca="1">_FV(C3,"Change (%)",TRUE)</f>
        <v>-2.9464999999999998E-2</v>
      </c>
      <c r="E9" s="183" t="s">
        <v>287</v>
      </c>
      <c r="F9" s="190">
        <f ca="1">Statement!AC163</f>
        <v>3.1928954977282119E-2</v>
      </c>
      <c r="H9" s="182" t="str">
        <f>'AVG target price'!B12</f>
        <v>Upside/Downside</v>
      </c>
      <c r="I9" s="211">
        <f ca="1">'AVG target price'!C12</f>
        <v>2.1909322514592464E-2</v>
      </c>
    </row>
    <row r="10" spans="2:11" x14ac:dyDescent="0.2">
      <c r="B10" s="183" t="s">
        <v>6</v>
      </c>
      <c r="C10" s="73" cm="1">
        <f t="array" aca="1" ref="C10" ca="1">_FV(C3,"Change % (extended hours)",TRUE)</f>
        <v>2.065E-4</v>
      </c>
      <c r="E10" s="183" t="s">
        <v>292</v>
      </c>
      <c r="F10" s="190">
        <f ca="1">Statement!AC165</f>
        <v>3.1293640959068468E-2</v>
      </c>
    </row>
    <row r="11" spans="2:11" x14ac:dyDescent="0.2">
      <c r="B11" s="183" t="s">
        <v>7</v>
      </c>
      <c r="C11" s="207" cm="1">
        <f t="array" aca="1" ref="C11" ca="1">_FV(C3,"52 week high",TRUE)</f>
        <v>320</v>
      </c>
      <c r="E11" s="184" t="s">
        <v>288</v>
      </c>
      <c r="F11" s="191">
        <f ca="1">Statement!AC164</f>
        <v>0</v>
      </c>
      <c r="H11" s="182" t="s">
        <v>364</v>
      </c>
      <c r="I11" s="210">
        <f ca="1">DDM!C26</f>
        <v>0</v>
      </c>
    </row>
    <row r="12" spans="2:11" x14ac:dyDescent="0.2">
      <c r="B12" s="183" t="s">
        <v>8</v>
      </c>
      <c r="C12" s="207" cm="1">
        <f t="array" aca="1" ref="C12" ca="1">_FV(C3,"52 week low",TRUE)</f>
        <v>185.5</v>
      </c>
      <c r="E12" s="183" t="s">
        <v>101</v>
      </c>
      <c r="F12" s="190">
        <f>Statement!AC124</f>
        <v>0.12647308018177617</v>
      </c>
    </row>
    <row r="13" spans="2:11" x14ac:dyDescent="0.2">
      <c r="B13" s="183" t="s">
        <v>9</v>
      </c>
      <c r="C13" s="207" cm="1">
        <f t="array" aca="1" ref="C13" ca="1">_FV(C3,"Beta")</f>
        <v>1.2979000000000001</v>
      </c>
      <c r="E13" s="183" t="s">
        <v>103</v>
      </c>
      <c r="F13" s="190">
        <f>Statement!AC126</f>
        <v>0.48536801655335504</v>
      </c>
      <c r="H13" s="241" t="s">
        <v>383</v>
      </c>
      <c r="I13" s="239">
        <f>'Reverse DCF'!C17</f>
        <v>0.51</v>
      </c>
    </row>
    <row r="14" spans="2:11" x14ac:dyDescent="0.2">
      <c r="B14" s="184" t="s">
        <v>10</v>
      </c>
      <c r="C14" s="208" cm="1">
        <f t="array" aca="1" ref="C14" ca="1">_FV(C3,"Volume average",TRUE)</f>
        <v>1822054</v>
      </c>
      <c r="E14" s="184" t="s">
        <v>104</v>
      </c>
      <c r="F14" s="191">
        <f>Statement!AC141</f>
        <v>0.63581348227633894</v>
      </c>
      <c r="H14" s="184" t="s">
        <v>441</v>
      </c>
      <c r="I14" s="240">
        <f ca="1">'Reverse DCF'!C16</f>
        <v>253.05971544825422</v>
      </c>
    </row>
    <row r="15" spans="2:11" x14ac:dyDescent="0.2">
      <c r="E15" s="183" t="s">
        <v>289</v>
      </c>
      <c r="F15" s="190">
        <f ca="1">Statement!AC177</f>
        <v>1.7289195727857438E-2</v>
      </c>
    </row>
    <row r="16" spans="2:11" x14ac:dyDescent="0.2">
      <c r="E16" s="184" t="s">
        <v>294</v>
      </c>
      <c r="F16" s="189">
        <f>Statement!AC176</f>
        <v>4.205741626794258</v>
      </c>
      <c r="H16" s="242" t="s">
        <v>433</v>
      </c>
      <c r="I16" s="243"/>
    </row>
    <row r="17" spans="2:9" x14ac:dyDescent="0.2">
      <c r="B17" s="244" t="s">
        <v>89</v>
      </c>
      <c r="C17" s="244"/>
      <c r="E17" s="182" t="s">
        <v>295</v>
      </c>
      <c r="F17" s="192">
        <f>Statement!AC172</f>
        <v>4.7619047619047623E-3</v>
      </c>
      <c r="H17" s="183" t="s">
        <v>164</v>
      </c>
      <c r="I17" s="235">
        <f ca="1">DCF!C15</f>
        <v>0.10441891613431764</v>
      </c>
    </row>
    <row r="18" spans="2:9" x14ac:dyDescent="0.2">
      <c r="B18" s="182" t="s">
        <v>12</v>
      </c>
      <c r="C18" s="69" t="s">
        <v>354</v>
      </c>
      <c r="E18" s="183" t="s">
        <v>296</v>
      </c>
      <c r="F18" s="188">
        <f>Statement!AC145</f>
        <v>-212.53333094914524</v>
      </c>
      <c r="H18" s="184" t="s">
        <v>434</v>
      </c>
      <c r="I18" s="236">
        <f ca="1">Multiples!C54</f>
        <v>0.1082655</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44" t="s">
        <v>106</v>
      </c>
      <c r="C25" s="244"/>
      <c r="E25" s="242" t="s">
        <v>337</v>
      </c>
      <c r="F25" s="243"/>
    </row>
    <row r="26" spans="2:9" x14ac:dyDescent="0.2">
      <c r="B26" s="182" t="s">
        <v>107</v>
      </c>
      <c r="C26" s="168">
        <v>0.21</v>
      </c>
      <c r="E26" s="183" t="e" vm="2">
        <v>#VALUE!</v>
      </c>
      <c r="F26" s="217" cm="1">
        <f t="array" aca="1" ref="F26" ca="1">_FV(E26,"Price")</f>
        <v>49.86</v>
      </c>
    </row>
    <row r="27" spans="2:9" x14ac:dyDescent="0.2">
      <c r="B27" s="182" t="s">
        <v>171</v>
      </c>
      <c r="C27" s="219">
        <v>6.0999999999999999E-2</v>
      </c>
      <c r="E27" s="184" t="s">
        <v>338</v>
      </c>
      <c r="F27" s="218">
        <f ca="1">F26/1000</f>
        <v>4.9860000000000002E-2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362CAA9-8511-1147-87FF-4ACF12A3D9A8}"/>
    <hyperlink ref="K4" location="'Analysis -&gt;'!B13" display="'Analysis -&gt;'!B13" xr:uid="{C9467FF6-CFF6-214A-93C7-45D507C7A6BB}"/>
    <hyperlink ref="K5" location="'Forecast -&gt;'!B13" display="'Forecast -&gt;'!B13" xr:uid="{DD466B6E-3A26-9A47-AD60-D0651981787C}"/>
    <hyperlink ref="K6" location="'Valuation -&gt;'!B13" display="'Valuation -&gt;'!B13" xr:uid="{E4DA1016-67A4-544F-BD13-5C30B0A455D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14</v>
      </c>
    </row>
  </sheetData>
  <hyperlinks>
    <hyperlink ref="H6" location="Overview!B3" display="Overview'!B3" xr:uid="{91129D30-5528-2248-85DB-C9607A2D03AD}"/>
    <hyperlink ref="H8" location="'Analysis -&gt;'!B13" display="'Analysis -&gt;'!B13" xr:uid="{4617514C-0F58-7C45-9397-29D85A4DFCAC}"/>
    <hyperlink ref="H9" location="'Forecast -&gt;'!B13" display="'Forecast -&gt;'!B13" xr:uid="{6076256E-B478-D248-A480-D7855B180EE4}"/>
    <hyperlink ref="H10" location="'Valuation -&gt;'!B13" display="'Valuation -&gt;'!B13" xr:uid="{9559CE97-633C-314C-8A02-98D2E6E533A5}"/>
    <hyperlink ref="H7" location="'Financials -&gt;'!B13" display="'Financials -&gt;'!B13" xr:uid="{4E254FFE-5ADE-A24D-A746-D07E81A1B57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160" activePane="bottomRight" state="frozen"/>
      <selection pane="topRight" activeCell="C1" sqref="C1"/>
      <selection pane="bottomLeft" activeCell="A4" sqref="A4"/>
      <selection pane="bottomRight" activeCell="AC159" sqref="AC15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242.1</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242.1</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31.319534282018108</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6.6196790757381265</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14.956813479160507</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50841</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49962</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6.413607188703466</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24.479176874081332</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AC110+AC54+AC111+AC56+AC58+AC59+AC57</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24.23307912297426</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41.084570844606809</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4.1265907436911158E-2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3.1928954977282119E-2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3.1293640959068468E-2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3.1293640959068468E-2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1.7289195727857438E-2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 t="shared" ref="M203:Q204" si="182">IF(L188=0,
IF(M188=0,0,IF(M188&gt;0,1,-1)),
(M188-L188)/ABS(L188)
)</f>
        <v>1</v>
      </c>
      <c r="N203" s="81">
        <f t="shared" si="182"/>
        <v>0.14023210831721469</v>
      </c>
      <c r="O203" s="81">
        <f t="shared" si="182"/>
        <v>9.6268023748939779E-2</v>
      </c>
      <c r="P203" s="81">
        <f t="shared" si="182"/>
        <v>0.1137330754352031</v>
      </c>
      <c r="Q203" s="81">
        <f t="shared" si="182"/>
        <v>0.17679749913164294</v>
      </c>
      <c r="T203" s="81">
        <f t="shared" ref="T203:AA204" si="183">IF(S188=0,
IF(T188=0,0,IF(T188&gt;0,1,-1)),
(T188-S188)/ABS(S188)
)</f>
        <v>1</v>
      </c>
      <c r="U203" s="81">
        <f t="shared" si="183"/>
        <v>4.5020463847203276E-2</v>
      </c>
      <c r="V203" s="81">
        <f t="shared" si="183"/>
        <v>5.2219321148825066E-3</v>
      </c>
      <c r="W203" s="81">
        <f t="shared" si="183"/>
        <v>8.2467532467532467E-2</v>
      </c>
      <c r="X203" s="81">
        <f t="shared" si="183"/>
        <v>4.4991001799640072E-2</v>
      </c>
      <c r="Y203" s="81">
        <f t="shared" si="183"/>
        <v>4.8794489092996558E-2</v>
      </c>
      <c r="Z203" s="81">
        <f t="shared" si="183"/>
        <v>4.9261083743842365E-3</v>
      </c>
      <c r="AA203" s="81">
        <f t="shared" si="183"/>
        <v>6.3180827886710242E-2</v>
      </c>
      <c r="AC203" s="49"/>
    </row>
    <row r="204" spans="2:29" x14ac:dyDescent="0.2">
      <c r="B204" s="20" t="str">
        <f>B189</f>
        <v>Other</v>
      </c>
      <c r="M204" s="81">
        <f t="shared" si="182"/>
        <v>1</v>
      </c>
      <c r="N204" s="81">
        <f t="shared" si="182"/>
        <v>0.156</v>
      </c>
      <c r="O204" s="81">
        <f t="shared" si="182"/>
        <v>0.13148788927335639</v>
      </c>
      <c r="P204" s="81">
        <f t="shared" si="182"/>
        <v>0.14067278287461774</v>
      </c>
      <c r="Q204" s="81">
        <f t="shared" si="182"/>
        <v>0.15281501340482573</v>
      </c>
      <c r="T204" s="81">
        <f t="shared" si="183"/>
        <v>1</v>
      </c>
      <c r="U204" s="81">
        <f t="shared" si="183"/>
        <v>2.8846153846153848E-2</v>
      </c>
      <c r="V204" s="81">
        <f t="shared" si="183"/>
        <v>-0.13084112149532709</v>
      </c>
      <c r="W204" s="81">
        <f t="shared" si="183"/>
        <v>3.2258064516129031E-2</v>
      </c>
      <c r="X204" s="81">
        <f t="shared" si="183"/>
        <v>0.15625</v>
      </c>
      <c r="Y204" s="81">
        <f t="shared" si="183"/>
        <v>0.17117117117117117</v>
      </c>
      <c r="Z204" s="81">
        <f t="shared" si="183"/>
        <v>-0.24615384615384617</v>
      </c>
      <c r="AA204" s="81">
        <f t="shared" si="183"/>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4">IF(M195=0,
IF(N195=0,0,IF(N195&gt;0,1,-1)),
(N195-M195)/ABS(M195)
)</f>
        <v>0.1569324530218385</v>
      </c>
      <c r="O206" s="81">
        <f t="shared" si="184"/>
        <v>0.13257243195785778</v>
      </c>
      <c r="P206" s="81">
        <f t="shared" si="184"/>
        <v>0.13837209302325582</v>
      </c>
      <c r="Q206" s="81">
        <f t="shared" si="184"/>
        <v>0.21995233231188288</v>
      </c>
      <c r="T206" s="81">
        <f t="shared" ref="T206:AA210" si="185">IF(S195=0,
IF(T195=0,0,IF(T195&gt;0,1,-1)),
(T195-S195)/ABS(S195)
)</f>
        <v>1</v>
      </c>
      <c r="U206" s="81">
        <f t="shared" si="185"/>
        <v>6.3914780292942744E-2</v>
      </c>
      <c r="V206" s="81">
        <f t="shared" si="185"/>
        <v>1.2515644555694618E-2</v>
      </c>
      <c r="W206" s="81">
        <f t="shared" si="185"/>
        <v>8.5290482076637822E-2</v>
      </c>
      <c r="X206" s="81">
        <f t="shared" si="185"/>
        <v>4.8974943052391799E-2</v>
      </c>
      <c r="Y206" s="81">
        <f t="shared" si="185"/>
        <v>5.8631921824104233E-2</v>
      </c>
      <c r="Z206" s="81">
        <f t="shared" si="185"/>
        <v>-5.1282051282051282E-3</v>
      </c>
      <c r="AA206" s="81">
        <f t="shared" si="185"/>
        <v>6.0824742268041236E-2</v>
      </c>
      <c r="AC206" s="49"/>
    </row>
    <row r="207" spans="2:29" x14ac:dyDescent="0.2">
      <c r="B207" s="20" t="str">
        <f t="shared" ref="B207:B210" si="186">B196</f>
        <v>AutoCAD and AutoCAD LT</v>
      </c>
      <c r="M207" s="81">
        <f>IF(L196=0,
IF(M196=0,0,IF(M196&gt;0,1,-1)),
(M196-L196)/ABS(L196)
)</f>
        <v>1</v>
      </c>
      <c r="N207" s="81">
        <f>IF(M196=0,
IF(N196=0,0,IF(N196&gt;0,1,-1)),
(N196-M196)/ABS(M196)
)</f>
        <v>0.11495176848874598</v>
      </c>
      <c r="O207" s="81">
        <f t="shared" ref="O207:Q207" si="187">IF(N196=0,
IF(O196=0,0,IF(O196&gt;0,1,-1)),
(O196-N196)/ABS(N196)
)</f>
        <v>5.4073540014419608E-2</v>
      </c>
      <c r="P207" s="81">
        <f t="shared" si="187"/>
        <v>7.523939808481532E-2</v>
      </c>
      <c r="Q207" s="81">
        <f t="shared" si="187"/>
        <v>0.13676844783715011</v>
      </c>
      <c r="T207" s="81">
        <f t="shared" si="185"/>
        <v>1</v>
      </c>
      <c r="U207" s="81">
        <f t="shared" si="185"/>
        <v>2.7638190954773871E-2</v>
      </c>
      <c r="V207" s="81">
        <f t="shared" si="185"/>
        <v>4.8899755501222494E-3</v>
      </c>
      <c r="W207" s="81">
        <f t="shared" si="185"/>
        <v>7.0559610705596104E-2</v>
      </c>
      <c r="X207" s="81">
        <f t="shared" si="185"/>
        <v>4.0909090909090909E-2</v>
      </c>
      <c r="Y207" s="81">
        <f t="shared" si="185"/>
        <v>4.3668122270742356E-2</v>
      </c>
      <c r="Z207" s="81">
        <f t="shared" si="185"/>
        <v>-8.368200836820083E-3</v>
      </c>
      <c r="AA207" s="81">
        <f t="shared" si="185"/>
        <v>5.4852320675105488E-2</v>
      </c>
      <c r="AC207" s="49"/>
    </row>
    <row r="208" spans="2:29" x14ac:dyDescent="0.2">
      <c r="B208" s="20" t="str">
        <f t="shared" si="186"/>
        <v>Manufacturing</v>
      </c>
      <c r="M208" s="81">
        <f t="shared" ref="M208:Q210" si="188">IF(L197=0,
IF(M197=0,0,IF(M197&gt;0,1,-1)),
(M197-L197)/ABS(L197)
)</f>
        <v>1</v>
      </c>
      <c r="N208" s="81">
        <f t="shared" si="188"/>
        <v>0.11643835616438356</v>
      </c>
      <c r="O208" s="81">
        <f t="shared" si="188"/>
        <v>8.6912065439672795E-2</v>
      </c>
      <c r="P208" s="81">
        <f t="shared" si="188"/>
        <v>0.11853245531514581</v>
      </c>
      <c r="Q208" s="81">
        <f t="shared" si="188"/>
        <v>0.159798149705635</v>
      </c>
      <c r="T208" s="81">
        <f t="shared" si="185"/>
        <v>1</v>
      </c>
      <c r="U208" s="81">
        <f t="shared" si="185"/>
        <v>3.5830618892508145E-2</v>
      </c>
      <c r="V208" s="81">
        <f t="shared" si="185"/>
        <v>-2.8301886792452831E-2</v>
      </c>
      <c r="W208" s="81">
        <f t="shared" si="185"/>
        <v>8.0906148867313912E-2</v>
      </c>
      <c r="X208" s="81">
        <f t="shared" si="185"/>
        <v>6.2874251497005984E-2</v>
      </c>
      <c r="Y208" s="81">
        <f t="shared" si="185"/>
        <v>7.3239436619718309E-2</v>
      </c>
      <c r="Z208" s="81">
        <f t="shared" si="185"/>
        <v>-3.6745406824146981E-2</v>
      </c>
      <c r="AA208" s="81">
        <f t="shared" si="185"/>
        <v>4.9046321525885561E-2</v>
      </c>
      <c r="AC208" s="49"/>
    </row>
    <row r="209" spans="1:31" x14ac:dyDescent="0.2">
      <c r="B209" s="20" t="str">
        <f t="shared" si="186"/>
        <v>Media and Entertainment</v>
      </c>
      <c r="M209" s="81">
        <f t="shared" si="188"/>
        <v>1</v>
      </c>
      <c r="N209" s="81">
        <f t="shared" si="188"/>
        <v>0.12355212355212356</v>
      </c>
      <c r="O209" s="81">
        <f t="shared" si="188"/>
        <v>1.3745704467353952E-2</v>
      </c>
      <c r="P209" s="81">
        <f t="shared" si="188"/>
        <v>6.7796610169491525E-2</v>
      </c>
      <c r="Q209" s="81">
        <f t="shared" si="188"/>
        <v>5.3968253968253971E-2</v>
      </c>
      <c r="T209" s="81">
        <f t="shared" si="185"/>
        <v>1</v>
      </c>
      <c r="U209" s="81">
        <f t="shared" si="185"/>
        <v>1.2048192771084338E-2</v>
      </c>
      <c r="V209" s="81">
        <f t="shared" si="185"/>
        <v>-9.5238095238095233E-2</v>
      </c>
      <c r="W209" s="81">
        <f t="shared" si="185"/>
        <v>5.2631578947368418E-2</v>
      </c>
      <c r="X209" s="81">
        <f t="shared" si="185"/>
        <v>7.4999999999999997E-2</v>
      </c>
      <c r="Y209" s="81">
        <f t="shared" si="185"/>
        <v>4.6511627906976744E-2</v>
      </c>
      <c r="Z209" s="81">
        <f t="shared" si="185"/>
        <v>-4.4444444444444446E-2</v>
      </c>
      <c r="AA209" s="81">
        <f t="shared" si="185"/>
        <v>6.9767441860465115E-2</v>
      </c>
      <c r="AC209" s="49"/>
    </row>
    <row r="210" spans="1:31" x14ac:dyDescent="0.2">
      <c r="B210" s="20" t="str">
        <f t="shared" si="186"/>
        <v>Other</v>
      </c>
      <c r="M210" s="81">
        <f t="shared" si="188"/>
        <v>1</v>
      </c>
      <c r="N210" s="81">
        <f t="shared" si="188"/>
        <v>0.86842105263157898</v>
      </c>
      <c r="O210" s="81">
        <f t="shared" si="188"/>
        <v>0.36619718309859156</v>
      </c>
      <c r="P210" s="81">
        <f t="shared" si="188"/>
        <v>0.21649484536082475</v>
      </c>
      <c r="Q210" s="81">
        <f t="shared" si="188"/>
        <v>5.9322033898305086E-2</v>
      </c>
      <c r="T210" s="81">
        <f t="shared" si="185"/>
        <v>1</v>
      </c>
      <c r="U210" s="81">
        <f t="shared" si="185"/>
        <v>-6.4516129032258063E-2</v>
      </c>
      <c r="V210" s="81">
        <f t="shared" si="185"/>
        <v>-3.4482758620689655E-2</v>
      </c>
      <c r="W210" s="81">
        <f t="shared" si="185"/>
        <v>0.10714285714285714</v>
      </c>
      <c r="X210" s="81">
        <f t="shared" si="185"/>
        <v>6.4516129032258063E-2</v>
      </c>
      <c r="Y210" s="81">
        <f t="shared" si="185"/>
        <v>0</v>
      </c>
      <c r="Z210" s="81">
        <f t="shared" si="185"/>
        <v>0.12121212121212122</v>
      </c>
      <c r="AA210" s="81">
        <f t="shared" si="185"/>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9">100*(1+((O118-$M118)/ABS($M118)))</f>
        <v>101.60935185555869</v>
      </c>
      <c r="P218" s="143">
        <f t="shared" si="189"/>
        <v>124.58865446975457</v>
      </c>
      <c r="Q218" s="143">
        <f t="shared" si="189"/>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90">100*(1+((O5-$M5)/ABS($M5)))</f>
        <v>125.33059735522116</v>
      </c>
      <c r="P219" s="143">
        <f t="shared" si="190"/>
        <v>139.78568171454629</v>
      </c>
      <c r="Q219" s="143">
        <f t="shared" si="190"/>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91">100*(1+((O27-$M27)/ABS($M27)))</f>
        <v>187.05357142857144</v>
      </c>
      <c r="P220" s="143">
        <f t="shared" si="191"/>
        <v>228.57142857142856</v>
      </c>
      <c r="Q220" s="143">
        <f t="shared" si="191"/>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231</v>
      </c>
    </row>
  </sheetData>
  <hyperlinks>
    <hyperlink ref="H6" location="Overview!B3" display="Overview'!B3" xr:uid="{CECC5A3C-052F-194E-A17C-0CA5912D6036}"/>
    <hyperlink ref="H8" location="'Analysis -&gt;'!B13" display="'Analysis -&gt;'!B13" xr:uid="{39DEEBD0-B241-F540-ACFA-9E159BC0B081}"/>
    <hyperlink ref="H9" location="'Forecast -&gt;'!B13" display="'Forecast -&gt;'!B13" xr:uid="{8F54FD61-F3EA-B841-B0EF-CA76279C51CF}"/>
    <hyperlink ref="H10" location="'Valuation -&gt;'!B13" display="'Valuation -&gt;'!B13" xr:uid="{1210F6FC-253C-8741-8222-D7981B81890F}"/>
    <hyperlink ref="H7" location="'Financials -&gt;'!B13" display="'Financials -&gt;'!B13" xr:uid="{DACFBE39-6A45-4B4D-AD35-F054CFBC10F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2"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5" t="s">
        <v>232</v>
      </c>
      <c r="C4" s="245"/>
      <c r="E4" s="245" t="s">
        <v>239</v>
      </c>
      <c r="F4" s="245"/>
      <c r="G4" s="245"/>
    </row>
    <row r="5" spans="2:7" x14ac:dyDescent="0.2">
      <c r="B5" s="20" t="s">
        <v>1</v>
      </c>
      <c r="C5" s="170">
        <f ca="1">Overview!C5</f>
        <v>242.1</v>
      </c>
      <c r="E5" s="12"/>
      <c r="F5" s="134" t="s">
        <v>240</v>
      </c>
      <c r="G5" s="134" t="s">
        <v>241</v>
      </c>
    </row>
    <row r="6" spans="2:7" x14ac:dyDescent="0.2">
      <c r="B6" s="20" t="s">
        <v>238</v>
      </c>
      <c r="C6" s="171">
        <f ca="1">Statement!AC154</f>
        <v>50841</v>
      </c>
      <c r="E6" s="20" t="s">
        <v>19</v>
      </c>
      <c r="F6" s="176">
        <f>IF(Statement!M5&lt;=0,"N/A",_xlfn.RRI(4,Statement!M5,Statement!Q5))</f>
        <v>0.13215635222408295</v>
      </c>
      <c r="G6" s="176" t="str">
        <f>IF(Statement!H5&lt;=0,"N/A",_xlfn.RRI(9,Statement!H5,Statement!Q5))</f>
        <v>N/A</v>
      </c>
    </row>
    <row r="7" spans="2:7" x14ac:dyDescent="0.2">
      <c r="B7" s="20" t="s">
        <v>187</v>
      </c>
      <c r="C7" s="171">
        <f ca="1">Statement!AC155</f>
        <v>49962</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31.319534282018108</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6.6196790757381265</v>
      </c>
      <c r="E9" s="20" t="s">
        <v>243</v>
      </c>
      <c r="F9" s="176" t="str">
        <f>IF(Statement!M83&lt;=0,"N/A",_xlfn.RRI(4,Statement!M83,Statement!Q83))</f>
        <v>N/A</v>
      </c>
      <c r="G9" s="176" t="str">
        <f>IF(Statement!H83&lt;=0,"N/A",_xlfn.RRI(9,Statement!H83,Statement!Q83))</f>
        <v>N/A</v>
      </c>
    </row>
    <row r="10" spans="2:7" x14ac:dyDescent="0.2">
      <c r="B10" s="20" t="s">
        <v>237</v>
      </c>
      <c r="C10" s="172">
        <f ca="1">Statement!AC153</f>
        <v>14.956813479160507</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6.413607188703466</v>
      </c>
    </row>
    <row r="12" spans="2:7" x14ac:dyDescent="0.2">
      <c r="B12" s="20" t="s">
        <v>203</v>
      </c>
      <c r="C12" s="172">
        <f ca="1">Statement!AC157</f>
        <v>24.479176874081332</v>
      </c>
    </row>
    <row r="15" spans="2:7" x14ac:dyDescent="0.2">
      <c r="B15" s="245" t="s">
        <v>77</v>
      </c>
      <c r="C15" s="245"/>
      <c r="E15" s="245" t="s">
        <v>245</v>
      </c>
      <c r="F15" s="245"/>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45" t="s">
        <v>244</v>
      </c>
      <c r="C21" s="245"/>
      <c r="E21" s="245" t="s">
        <v>248</v>
      </c>
      <c r="F21" s="245"/>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45" t="s">
        <v>249</v>
      </c>
      <c r="C29" s="245"/>
      <c r="E29" s="245" t="s">
        <v>255</v>
      </c>
      <c r="F29" s="245"/>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45" t="s">
        <v>267</v>
      </c>
      <c r="C37" s="245"/>
      <c r="E37" s="245" t="s">
        <v>270</v>
      </c>
      <c r="F37" s="245"/>
    </row>
    <row r="38" spans="2:6" x14ac:dyDescent="0.2">
      <c r="B38" s="20" t="s">
        <v>265</v>
      </c>
      <c r="C38" s="173">
        <f ca="1">Statement!AC163</f>
        <v>3.1928954977282119E-2</v>
      </c>
      <c r="E38" s="20" t="s">
        <v>269</v>
      </c>
      <c r="F38" s="173">
        <f>Statement!AC169</f>
        <v>0</v>
      </c>
    </row>
    <row r="39" spans="2:6" x14ac:dyDescent="0.2">
      <c r="B39" s="54" t="s">
        <v>268</v>
      </c>
      <c r="C39" s="213">
        <f ca="1">Statement!AC162</f>
        <v>4.1265907436911158E-2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3.1293640959068468E-2</v>
      </c>
    </row>
    <row r="42" spans="2:6" x14ac:dyDescent="0.2">
      <c r="B42" s="20" t="s">
        <v>293</v>
      </c>
      <c r="C42" s="173">
        <f ca="1">Statement!AC166</f>
        <v>3.1293640959068468E-2</v>
      </c>
    </row>
    <row r="45" spans="2:6" x14ac:dyDescent="0.2">
      <c r="B45" s="245" t="s">
        <v>278</v>
      </c>
      <c r="C45" s="245"/>
      <c r="E45" s="245" t="s">
        <v>284</v>
      </c>
      <c r="F45" s="245"/>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1.7289195727857438E-2</v>
      </c>
    </row>
    <row r="51" spans="2:6" x14ac:dyDescent="0.2">
      <c r="B51" s="245" t="s">
        <v>281</v>
      </c>
      <c r="C51" s="245"/>
      <c r="E51" s="245" t="s">
        <v>302</v>
      </c>
      <c r="F51" s="245"/>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row r="57" spans="2:6" x14ac:dyDescent="0.2">
      <c r="B57" s="245" t="s">
        <v>442</v>
      </c>
      <c r="C57" s="245"/>
    </row>
    <row r="58" spans="2:6" x14ac:dyDescent="0.2">
      <c r="B58" s="20" t="s">
        <v>262</v>
      </c>
      <c r="C58" s="172">
        <f ca="1">Statement!AC160</f>
        <v>24.23307912297426</v>
      </c>
    </row>
    <row r="59" spans="2:6" x14ac:dyDescent="0.2">
      <c r="B59" s="20" t="s">
        <v>263</v>
      </c>
      <c r="C59" s="172">
        <f ca="1">Statement!AC161</f>
        <v>41.084570844606809</v>
      </c>
    </row>
    <row r="60" spans="2:6" x14ac:dyDescent="0.2">
      <c r="B60" s="20" t="s">
        <v>443</v>
      </c>
      <c r="C60" s="173">
        <f>Statement!AC167</f>
        <v>0.15610744025930073</v>
      </c>
    </row>
    <row r="61" spans="2:6" x14ac:dyDescent="0.2">
      <c r="B61" s="20" t="s">
        <v>444</v>
      </c>
      <c r="C61" s="173">
        <f>Statement!AC168</f>
        <v>0.26931964056482671</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91" activePane="bottomRight" state="frozen"/>
      <selection pane="topRight" activeCell="C1" sqref="C1"/>
      <selection pane="bottomLeft" activeCell="A4" sqref="A4"/>
      <selection pane="bottomRight" activeCell="B100" sqref="B10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242.1</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50841</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49962</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31.319534282018108</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6.6196790757381265</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14.956813479160507</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6.413607188703466</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24.479176874081332</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3.1928954977282119E-2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4.1265907436911158E-2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3.1293640959068468E-2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3.1293640959068468E-2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1.7289195727857438E-2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7" spans="2:9" ht="17" thickBot="1" x14ac:dyDescent="0.25">
      <c r="B87" s="14" t="s">
        <v>442</v>
      </c>
      <c r="C87" s="14"/>
      <c r="D87" s="14"/>
      <c r="E87" s="14"/>
      <c r="F87" s="14"/>
      <c r="G87" s="14"/>
      <c r="I87" s="14"/>
    </row>
    <row r="88" spans="2:9" x14ac:dyDescent="0.2">
      <c r="B88" s="20" t="s">
        <v>262</v>
      </c>
      <c r="C88" s="172">
        <f>Statement!M160</f>
        <v>60.180429042904287</v>
      </c>
      <c r="D88" s="172">
        <f>Statement!N160</f>
        <v>34.287192982456141</v>
      </c>
      <c r="E88" s="172">
        <f>Statement!O160</f>
        <v>99.859672131147533</v>
      </c>
      <c r="F88" s="172">
        <f>Statement!P160</f>
        <v>82.156411192214108</v>
      </c>
      <c r="G88" s="172">
        <f>Statement!Q160</f>
        <v>34.236177581863984</v>
      </c>
      <c r="I88" s="172">
        <f ca="1">Statement!AC160</f>
        <v>24.23307912297426</v>
      </c>
    </row>
    <row r="89" spans="2:9" x14ac:dyDescent="0.2">
      <c r="B89" s="20" t="s">
        <v>263</v>
      </c>
      <c r="C89" s="172">
        <f>Statement!M161</f>
        <v>65.558005724307904</v>
      </c>
      <c r="D89" s="172">
        <f>Statement!N161</f>
        <v>28.381805109629262</v>
      </c>
      <c r="E89" s="172">
        <f>Statement!O161</f>
        <v>103.73132281358649</v>
      </c>
      <c r="F89" s="172">
        <f>Statement!P161</f>
        <v>95.588298874789729</v>
      </c>
      <c r="G89" s="172">
        <f>Statement!Q161</f>
        <v>74.367499866531887</v>
      </c>
      <c r="I89" s="172">
        <f ca="1">Statement!AC161</f>
        <v>41.084570844606809</v>
      </c>
    </row>
    <row r="90" spans="2:9" x14ac:dyDescent="0.2">
      <c r="B90" s="20" t="s">
        <v>443</v>
      </c>
      <c r="C90" s="173">
        <f>Statement!M167</f>
        <v>0.19188810737301709</v>
      </c>
      <c r="D90" s="173">
        <f>Statement!N167</f>
        <v>0.33095086731450368</v>
      </c>
      <c r="E90" s="173">
        <f>Statement!O167</f>
        <v>9.5801294944489593E-2</v>
      </c>
      <c r="F90" s="173">
        <f>Statement!P167</f>
        <v>0.11546174421093222</v>
      </c>
      <c r="G90" s="173">
        <f>Statement!Q167</f>
        <v>0.10053710353315122</v>
      </c>
      <c r="I90" s="173">
        <f>Statement!AC167</f>
        <v>0.15610744025930073</v>
      </c>
    </row>
    <row r="91" spans="2:9" x14ac:dyDescent="0.2">
      <c r="B91" s="20" t="s">
        <v>444</v>
      </c>
      <c r="C91" s="173">
        <f>Statement!M168</f>
        <v>0.20725034199726403</v>
      </c>
      <c r="D91" s="173">
        <f>Statement!N168</f>
        <v>0.27332667332667332</v>
      </c>
      <c r="E91" s="173">
        <f>Statement!O168</f>
        <v>9.9872657813352736E-2</v>
      </c>
      <c r="F91" s="173">
        <f>Statement!P168</f>
        <v>0.13407274506605774</v>
      </c>
      <c r="G91" s="173">
        <f>Statement!Q168</f>
        <v>0.22037191229530947</v>
      </c>
      <c r="I91" s="173">
        <f>Statement!AC168</f>
        <v>0.26931964056482671</v>
      </c>
    </row>
    <row r="93" spans="2:9" ht="17" thickBot="1" x14ac:dyDescent="0.25">
      <c r="B93" s="14" t="s">
        <v>445</v>
      </c>
      <c r="C93" s="14"/>
      <c r="D93" s="14"/>
      <c r="E93" s="14"/>
      <c r="F93" s="14"/>
      <c r="G93" s="14"/>
      <c r="I93" s="14"/>
    </row>
    <row r="94" spans="2:9" x14ac:dyDescent="0.2">
      <c r="B94" s="20" t="s">
        <v>283</v>
      </c>
      <c r="C94" s="173">
        <f>Statement!M214</f>
        <v>0</v>
      </c>
      <c r="D94" s="173">
        <f>Statement!N214</f>
        <v>0</v>
      </c>
      <c r="E94" s="173">
        <f>Statement!O214</f>
        <v>0</v>
      </c>
      <c r="F94" s="173">
        <f>Statement!P214</f>
        <v>0</v>
      </c>
      <c r="G94" s="173">
        <f>Statement!Q214</f>
        <v>0</v>
      </c>
      <c r="I94" s="195"/>
    </row>
    <row r="97" spans="2:9" ht="17" thickBot="1" x14ac:dyDescent="0.25">
      <c r="B97" s="14" t="s">
        <v>309</v>
      </c>
      <c r="C97" s="14"/>
      <c r="D97" s="14"/>
      <c r="E97" s="14"/>
      <c r="F97" s="14"/>
      <c r="G97" s="14"/>
      <c r="I97" s="14"/>
    </row>
    <row r="98" spans="2:9" x14ac:dyDescent="0.2">
      <c r="B98" s="20" t="str">
        <f>Statement!B188</f>
        <v>Subscription</v>
      </c>
      <c r="C98" s="173">
        <f>Statement!M203</f>
        <v>1</v>
      </c>
      <c r="D98" s="173">
        <f>Statement!N203</f>
        <v>0.14023210831721469</v>
      </c>
      <c r="E98" s="173">
        <f>Statement!O203</f>
        <v>9.6268023748939779E-2</v>
      </c>
      <c r="F98" s="173">
        <f>Statement!P203</f>
        <v>0.1137330754352031</v>
      </c>
      <c r="G98" s="173">
        <f>Statement!Q203</f>
        <v>0.17679749913164294</v>
      </c>
      <c r="I98" s="195"/>
    </row>
    <row r="99" spans="2:9" x14ac:dyDescent="0.2">
      <c r="B99" s="20" t="str">
        <f>Statement!B189</f>
        <v>Other</v>
      </c>
      <c r="C99" s="173">
        <f>Statement!M204</f>
        <v>1</v>
      </c>
      <c r="D99" s="173">
        <f>Statement!N204</f>
        <v>0.156</v>
      </c>
      <c r="E99" s="173">
        <f>Statement!O204</f>
        <v>0.13148788927335639</v>
      </c>
      <c r="F99" s="173">
        <f>Statement!P204</f>
        <v>0.14067278287461774</v>
      </c>
      <c r="G99" s="173">
        <f>Statement!Q204</f>
        <v>0.15281501340482573</v>
      </c>
      <c r="I99"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312</v>
      </c>
      <c r="D3" s="249"/>
      <c r="F3" s="250" t="s">
        <v>313</v>
      </c>
      <c r="G3" s="249"/>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46">
        <f>Statement!AA90</f>
        <v>5.7911065149948295E-2</v>
      </c>
      <c r="D7" s="247"/>
      <c r="F7" s="246">
        <f>IF(F6=0,
IF(G6=0,0,IF(G6&gt;0,1,-1)),
(G6-F6)/ABS(F6)
)</f>
        <v>0.1605218377765173</v>
      </c>
      <c r="G7" s="247"/>
    </row>
    <row r="8" spans="2:7" x14ac:dyDescent="0.2">
      <c r="B8" s="205" t="s">
        <v>20</v>
      </c>
      <c r="C8" s="198">
        <f>Statement!Z6</f>
        <v>175</v>
      </c>
      <c r="D8" s="196">
        <f>Statement!AA6</f>
        <v>176</v>
      </c>
      <c r="F8" s="198">
        <f>Statement!W6</f>
        <v>159</v>
      </c>
      <c r="G8" s="196">
        <f>Statement!AA6</f>
        <v>176</v>
      </c>
    </row>
    <row r="9" spans="2:7" x14ac:dyDescent="0.2">
      <c r="B9" s="204" t="s">
        <v>314</v>
      </c>
      <c r="C9" s="246">
        <f>Statement!AA91</f>
        <v>5.7142857142857143E-3</v>
      </c>
      <c r="D9" s="247"/>
      <c r="F9" s="246">
        <f>IF(F8=0,
IF(G8=0,0,IF(G8&gt;0,1,-1)),
(G8-F8)/ABS(F8)
)</f>
        <v>0.1069182389937107</v>
      </c>
      <c r="G9" s="247"/>
    </row>
    <row r="10" spans="2:7" x14ac:dyDescent="0.2">
      <c r="B10" s="205" t="s">
        <v>21</v>
      </c>
      <c r="C10" s="198">
        <f>Statement!Z7</f>
        <v>1759</v>
      </c>
      <c r="D10" s="196">
        <f>Statement!AA7</f>
        <v>1870</v>
      </c>
      <c r="F10" s="198">
        <f>Statement!W7</f>
        <v>1604</v>
      </c>
      <c r="G10" s="196">
        <f>Statement!AA7</f>
        <v>1870</v>
      </c>
    </row>
    <row r="11" spans="2:7" x14ac:dyDescent="0.2">
      <c r="B11" s="204" t="s">
        <v>314</v>
      </c>
      <c r="C11" s="246">
        <f>Statement!AA92</f>
        <v>6.3104036384309267E-2</v>
      </c>
      <c r="D11" s="247"/>
      <c r="F11" s="246">
        <f>IF(F10=0,
IF(G10=0,0,IF(G10&gt;0,1,-1)),
(G10-F10)/ABS(F10)
)</f>
        <v>0.16583541147132169</v>
      </c>
      <c r="G11" s="247"/>
    </row>
    <row r="12" spans="2:7" x14ac:dyDescent="0.2">
      <c r="B12" s="205" t="s">
        <v>25</v>
      </c>
      <c r="C12" s="198">
        <f>Statement!Z12</f>
        <v>1218</v>
      </c>
      <c r="D12" s="196">
        <f>Statement!AA12</f>
        <v>1271</v>
      </c>
      <c r="F12" s="198">
        <f>Statement!W12</f>
        <v>1160</v>
      </c>
      <c r="G12" s="196">
        <f>Statement!AA12</f>
        <v>1271</v>
      </c>
    </row>
    <row r="13" spans="2:7" x14ac:dyDescent="0.2">
      <c r="B13" s="204" t="s">
        <v>314</v>
      </c>
      <c r="C13" s="246">
        <f>Statement!AA96</f>
        <v>4.3513957307060758E-2</v>
      </c>
      <c r="D13" s="247"/>
      <c r="F13" s="246">
        <f>IF(F12=0,
IF(G12=0,0,IF(G12&gt;0,1,-1)),
(G12-F12)/ABS(F12)
)</f>
        <v>9.568965517241379E-2</v>
      </c>
      <c r="G13" s="247"/>
    </row>
    <row r="14" spans="2:7" x14ac:dyDescent="0.2">
      <c r="B14" s="205" t="s">
        <v>315</v>
      </c>
      <c r="C14" s="198">
        <f>Statement!Z13</f>
        <v>541</v>
      </c>
      <c r="D14" s="196">
        <f>Statement!AA13</f>
        <v>599</v>
      </c>
      <c r="F14" s="198">
        <f>Statement!W13</f>
        <v>444</v>
      </c>
      <c r="G14" s="196">
        <f>Statement!AA13</f>
        <v>599</v>
      </c>
    </row>
    <row r="15" spans="2:7" x14ac:dyDescent="0.2">
      <c r="B15" s="204" t="s">
        <v>314</v>
      </c>
      <c r="C15" s="246">
        <f>Statement!AA97</f>
        <v>0.10720887245841035</v>
      </c>
      <c r="D15" s="247"/>
      <c r="F15" s="246">
        <f>IF(F14=0,
IF(G14=0,0,IF(G14&gt;0,1,-1)),
(G14-F14)/ABS(F14)
)</f>
        <v>0.34909909909909909</v>
      </c>
      <c r="G15" s="247"/>
    </row>
    <row r="16" spans="2:7" x14ac:dyDescent="0.2">
      <c r="B16" s="205" t="s">
        <v>31</v>
      </c>
      <c r="C16" s="198">
        <f>Statement!Z19</f>
        <v>491</v>
      </c>
      <c r="D16" s="196">
        <f>Statement!AA19</f>
        <v>492</v>
      </c>
      <c r="F16" s="198">
        <f>Statement!W19</f>
        <v>313</v>
      </c>
      <c r="G16" s="196">
        <f>Statement!AA19</f>
        <v>492</v>
      </c>
    </row>
    <row r="17" spans="2:7" x14ac:dyDescent="0.2">
      <c r="B17" s="204" t="s">
        <v>314</v>
      </c>
      <c r="C17" s="246">
        <f>Statement!AA99</f>
        <v>2.0366598778004071E-3</v>
      </c>
      <c r="D17" s="247"/>
      <c r="F17" s="246">
        <f>IF(F16=0,
IF(G16=0,0,IF(G16&gt;0,1,-1)),
(G16-F16)/ABS(F16)
)</f>
        <v>0.5718849840255591</v>
      </c>
      <c r="G17" s="247"/>
    </row>
    <row r="18" spans="2:7" x14ac:dyDescent="0.2">
      <c r="B18" s="205" t="s">
        <v>316</v>
      </c>
      <c r="C18" s="198">
        <f>Statement!Z23</f>
        <v>212</v>
      </c>
      <c r="D18" s="196">
        <f>Statement!AA23</f>
        <v>211</v>
      </c>
      <c r="F18" s="198">
        <f>Statement!W23</f>
        <v>215</v>
      </c>
      <c r="G18" s="196">
        <f>Statement!AA23</f>
        <v>211</v>
      </c>
    </row>
    <row r="19" spans="2:7" x14ac:dyDescent="0.2">
      <c r="B19" s="204" t="s">
        <v>314</v>
      </c>
      <c r="C19" s="246">
        <f>IF(C18=0,
IF(D18=0,0,IF(D18&gt;0,1,-1)),
(D18-C18)/ABS(C18)
)</f>
        <v>-4.7169811320754715E-3</v>
      </c>
      <c r="D19" s="247"/>
      <c r="F19" s="246">
        <f>IF(F18=0,
IF(G18=0,0,IF(G18&gt;0,1,-1)),
(G18-F18)/ABS(F18)
)</f>
        <v>-1.8604651162790697E-2</v>
      </c>
      <c r="G19" s="247"/>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46">
        <f>IF(C20=0,
IF(D20=0,0,IF(D20&gt;0,1,-1)),
(D20-C20)/ABS(C20)
)</f>
        <v>4.3103448275863066E-3</v>
      </c>
      <c r="D21" s="247"/>
      <c r="F21" s="246">
        <f>IF(F20=0,
IF(G20=0,0,IF(G20&gt;0,1,-1)),
(G20-F20)/ABS(F20)
)</f>
        <v>0.59589041095890416</v>
      </c>
      <c r="G21" s="247"/>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46">
        <f>IF(C24=0,
IF(D24=0,0,IF(D24&gt;0,1,-1)),
(D24-C24)/ABS(C24)
)</f>
        <v>6.3180827886710242E-2</v>
      </c>
      <c r="D25" s="247"/>
      <c r="F25" s="246">
        <f>IF(F24=0,
IF(G24=0,0,IF(G24&gt;0,1,-1)),
(G24-F24)/ABS(F24)
)</f>
        <v>0.17096580683863227</v>
      </c>
      <c r="G25" s="247"/>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46">
        <f>IF(C26=0,
IF(D26=0,0,IF(D26&gt;0,1,-1)),
(D26-C26)/ABS(C26)
)</f>
        <v>-4.0816326530612242E-2</v>
      </c>
      <c r="D27" s="247"/>
      <c r="F27" s="246">
        <f>IF(F26=0,
IF(G26=0,0,IF(G26&gt;0,1,-1)),
(G26-F26)/ABS(F26)
)</f>
        <v>-2.0833333333333332E-2</v>
      </c>
      <c r="G27" s="247"/>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46">
        <f>IF(C29=0,
IF(D29=0,0,IF(D29&gt;0,1,-1)),
(D29-C29)/ABS(C29)
)</f>
        <v>6.0824742268041236E-2</v>
      </c>
      <c r="D30" s="247"/>
      <c r="F30" s="246">
        <f>IF(F29=0,
IF(G29=0,0,IF(G29&gt;0,1,-1)),
(G29-F29)/ABS(F29)
)</f>
        <v>0.17198177676537585</v>
      </c>
      <c r="G30" s="247"/>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46">
        <f>IF(C31=0,
IF(D31=0,0,IF(D31&gt;0,1,-1)),
(D31-C31)/ABS(C31)
)</f>
        <v>5.4852320675105488E-2</v>
      </c>
      <c r="D32" s="247"/>
      <c r="F32" s="246">
        <f>IF(F31=0,
IF(G31=0,0,IF(G31&gt;0,1,-1)),
(G31-F31)/ABS(F31)
)</f>
        <v>0.13636363636363635</v>
      </c>
      <c r="G32" s="247"/>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46">
        <f>IF(C33=0,
IF(D33=0,0,IF(D33&gt;0,1,-1)),
(D33-C33)/ABS(C33)
)</f>
        <v>4.9046321525885561E-2</v>
      </c>
      <c r="D34" s="247"/>
      <c r="F34" s="246">
        <f>IF(F33=0,
IF(G33=0,0,IF(G33&gt;0,1,-1)),
(G33-F33)/ABS(F33)
)</f>
        <v>0.15269461077844312</v>
      </c>
      <c r="G34" s="247"/>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46">
        <f>IF(C35=0,
IF(D35=0,0,IF(D35&gt;0,1,-1)),
(D35-C35)/ABS(C35)
)</f>
        <v>6.9767441860465115E-2</v>
      </c>
      <c r="D36" s="247"/>
      <c r="F36" s="246">
        <f>IF(F35=0,
IF(G35=0,0,IF(G35&gt;0,1,-1)),
(G35-F35)/ABS(F35)
)</f>
        <v>0.15</v>
      </c>
      <c r="G36" s="247"/>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46">
        <f>IF(C37=0,
IF(D37=0,0,IF(D37&gt;0,1,-1)),
(D37-C37)/ABS(C37)
)</f>
        <v>8.1081081081081086E-2</v>
      </c>
      <c r="D38" s="247"/>
      <c r="F38" s="246">
        <f>IF(F37=0,
IF(G37=0,0,IF(G37&gt;0,1,-1)),
(G37-F37)/ABS(F37)
)</f>
        <v>0.29032258064516131</v>
      </c>
      <c r="G38" s="247"/>
    </row>
  </sheetData>
  <mergeCells count="32">
    <mergeCell ref="C38:D38"/>
    <mergeCell ref="F38:G38"/>
    <mergeCell ref="C32:D32"/>
    <mergeCell ref="F32:G32"/>
    <mergeCell ref="C34:D34"/>
    <mergeCell ref="F34:G34"/>
    <mergeCell ref="C36:D36"/>
    <mergeCell ref="F36:G3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30:D30"/>
    <mergeCell ref="F30:G30"/>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5"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110</v>
      </c>
    </row>
  </sheetData>
  <hyperlinks>
    <hyperlink ref="H6" location="Overview!B3" display="Overview'!B3" xr:uid="{AD7E74EC-B8D8-8A43-A375-64EBE06E0A03}"/>
    <hyperlink ref="H8" location="'Analysis -&gt;'!B13" display="'Analysis -&gt;'!B13" xr:uid="{0E406DBD-50D8-714F-8A42-D33BCB44E174}"/>
    <hyperlink ref="H9" location="'Forecast -&gt;'!B13" display="'Forecast -&gt;'!B13" xr:uid="{E6F95179-D9F9-D345-877D-C8D2E2DDD008}"/>
    <hyperlink ref="H10" location="'Valuation -&gt;'!B13" display="'Valuation -&gt;'!B13" xr:uid="{A457EABD-1994-474E-856F-AA4AE084E84C}"/>
    <hyperlink ref="H7" location="'Financials -&gt;'!B13" display="'Financials -&gt;'!B13" xr:uid="{4385EA5F-C232-F440-A016-4F8C3B01C07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5" t="s">
        <v>112</v>
      </c>
      <c r="D2" s="245"/>
      <c r="E2" s="245"/>
      <c r="F2" s="245"/>
      <c r="G2" s="254"/>
      <c r="H2" s="255" t="s">
        <v>113</v>
      </c>
      <c r="I2" s="245"/>
      <c r="J2" s="245"/>
      <c r="K2" s="245"/>
      <c r="L2" s="245"/>
      <c r="O2" s="5"/>
      <c r="S2" s="245" t="s">
        <v>112</v>
      </c>
      <c r="T2" s="245"/>
      <c r="U2" s="245"/>
      <c r="V2" s="245"/>
      <c r="W2" s="245"/>
      <c r="X2" s="245"/>
      <c r="Y2" s="245"/>
      <c r="Z2" s="245"/>
      <c r="AA2" s="245" t="s">
        <v>113</v>
      </c>
      <c r="AB2" s="245"/>
      <c r="AC2" s="245"/>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51" t="s">
        <v>121</v>
      </c>
      <c r="D16" s="251"/>
      <c r="E16" s="251"/>
      <c r="F16" s="251"/>
      <c r="G16" s="251"/>
      <c r="H16" s="251"/>
      <c r="I16" s="251"/>
      <c r="J16" s="251"/>
      <c r="K16" s="251"/>
      <c r="L16" s="251"/>
      <c r="O16" s="5"/>
      <c r="Q16" s="91"/>
      <c r="S16" s="252" t="s">
        <v>121</v>
      </c>
      <c r="T16" s="253"/>
      <c r="U16" s="253"/>
      <c r="V16" s="253"/>
      <c r="W16" s="253"/>
      <c r="X16" s="253"/>
      <c r="Y16" s="253"/>
      <c r="Z16" s="253"/>
      <c r="AA16" s="253"/>
      <c r="AB16" s="253"/>
      <c r="AC16" s="253"/>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 t="shared" ref="T18:Z19" si="17">T6/S6-1</f>
        <v>4.5020463847203374E-2</v>
      </c>
      <c r="U18" s="95">
        <f t="shared" si="17"/>
        <v>5.2219321148825326E-3</v>
      </c>
      <c r="V18" s="95">
        <f t="shared" si="17"/>
        <v>8.2467532467532578E-2</v>
      </c>
      <c r="W18" s="95">
        <f t="shared" si="17"/>
        <v>4.4991001799639996E-2</v>
      </c>
      <c r="X18" s="95">
        <f t="shared" si="17"/>
        <v>4.8794489092996551E-2</v>
      </c>
      <c r="Y18" s="95">
        <f t="shared" si="17"/>
        <v>4.9261083743843415E-3</v>
      </c>
      <c r="Z18" s="96">
        <f t="shared" si="17"/>
        <v>6.3180827886710311E-2</v>
      </c>
      <c r="AA18" s="95">
        <f t="shared" ref="AA18:AA19" si="18">AA6/Z6-1</f>
        <v>4.0245133196721294E-2</v>
      </c>
      <c r="AB18" s="95"/>
      <c r="AC18" s="95"/>
    </row>
    <row r="19" spans="2:31" x14ac:dyDescent="0.2">
      <c r="B19" s="1" t="str">
        <f>B7</f>
        <v>Other</v>
      </c>
      <c r="C19" s="47"/>
      <c r="D19" s="95">
        <f t="shared" ref="D19:G19" si="19">D7/C7-1</f>
        <v>0.15599999999999992</v>
      </c>
      <c r="E19" s="95">
        <f t="shared" si="19"/>
        <v>0.13148788927335642</v>
      </c>
      <c r="F19" s="95">
        <f t="shared" si="19"/>
        <v>0.14067278287461771</v>
      </c>
      <c r="G19" s="96">
        <f t="shared" si="19"/>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 t="shared" si="17"/>
        <v>2.8846153846153744E-2</v>
      </c>
      <c r="U19" s="95">
        <f t="shared" si="17"/>
        <v>-0.13084112149532712</v>
      </c>
      <c r="V19" s="95">
        <f t="shared" si="17"/>
        <v>3.2258064516129004E-2</v>
      </c>
      <c r="W19" s="95">
        <f t="shared" si="17"/>
        <v>0.15625</v>
      </c>
      <c r="X19" s="95">
        <f t="shared" si="17"/>
        <v>0.1711711711711712</v>
      </c>
      <c r="Y19" s="95">
        <f t="shared" si="17"/>
        <v>-0.24615384615384617</v>
      </c>
      <c r="Z19" s="96">
        <f t="shared" si="17"/>
        <v>-4.081632653061229E-2</v>
      </c>
      <c r="AA19" s="95">
        <f t="shared" si="18"/>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20">D9/C9-1</f>
        <v>0.15693245302183856</v>
      </c>
      <c r="E21" s="95">
        <f t="shared" ref="E21:E25" si="21">E9/D9-1</f>
        <v>0.13257243195785784</v>
      </c>
      <c r="F21" s="95">
        <f t="shared" ref="F21:F25" si="22">F9/E9-1</f>
        <v>0.1383720930232557</v>
      </c>
      <c r="G21" s="96">
        <f t="shared" ref="G21:G25" si="23">G9/F9-1</f>
        <v>0.21995233231188283</v>
      </c>
      <c r="H21" s="97">
        <v>0.2</v>
      </c>
      <c r="I21" s="97">
        <v>0.2</v>
      </c>
      <c r="J21" s="97">
        <v>0.15</v>
      </c>
      <c r="K21" s="97">
        <v>0.15</v>
      </c>
      <c r="L21" s="97">
        <v>0.1</v>
      </c>
      <c r="O21" s="5"/>
      <c r="Q21" s="91"/>
      <c r="R21" s="1" t="str">
        <f t="shared" ref="R21:R25" si="24">R9</f>
        <v>AECO</v>
      </c>
      <c r="S21" s="47"/>
      <c r="T21" s="95">
        <f t="shared" ref="T21:Z21" si="25">T9/S9-1</f>
        <v>6.391478029294273E-2</v>
      </c>
      <c r="U21" s="95">
        <f t="shared" si="25"/>
        <v>1.2515644555694649E-2</v>
      </c>
      <c r="V21" s="95">
        <f t="shared" si="25"/>
        <v>8.5290482076637808E-2</v>
      </c>
      <c r="W21" s="95">
        <f t="shared" si="25"/>
        <v>4.8974943052391806E-2</v>
      </c>
      <c r="X21" s="95">
        <f t="shared" si="25"/>
        <v>5.8631921824104261E-2</v>
      </c>
      <c r="Y21" s="95">
        <f t="shared" si="25"/>
        <v>-5.12820512820511E-3</v>
      </c>
      <c r="Z21" s="96">
        <f t="shared" si="25"/>
        <v>6.0824742268041243E-2</v>
      </c>
      <c r="AA21" s="97">
        <v>4.4999999999999998E-2</v>
      </c>
      <c r="AB21" s="97"/>
      <c r="AC21" s="97"/>
    </row>
    <row r="22" spans="2:31" x14ac:dyDescent="0.2">
      <c r="B22" s="1" t="str">
        <f t="shared" ref="B22:B25" si="26">B10</f>
        <v>AutoCAD and AutoCAD LT</v>
      </c>
      <c r="C22" s="47"/>
      <c r="D22" s="95">
        <f t="shared" si="20"/>
        <v>0.114951768488746</v>
      </c>
      <c r="E22" s="95">
        <f t="shared" si="21"/>
        <v>5.4073540014419663E-2</v>
      </c>
      <c r="F22" s="95">
        <f t="shared" si="22"/>
        <v>7.523939808481539E-2</v>
      </c>
      <c r="G22" s="96">
        <f t="shared" si="23"/>
        <v>0.13676844783715003</v>
      </c>
      <c r="H22" s="97">
        <v>0.1</v>
      </c>
      <c r="I22" s="97">
        <v>0.12</v>
      </c>
      <c r="J22" s="97">
        <v>0.09</v>
      </c>
      <c r="K22" s="97">
        <v>0.09</v>
      </c>
      <c r="L22" s="97">
        <v>0.08</v>
      </c>
      <c r="O22" s="5"/>
      <c r="Q22" s="91"/>
      <c r="R22" s="1" t="str">
        <f t="shared" si="24"/>
        <v>AutoCAD and AutoCAD LT</v>
      </c>
      <c r="S22" s="47"/>
      <c r="T22" s="95">
        <f t="shared" ref="T22:Z22" si="27">T10/S10-1</f>
        <v>2.7638190954773822E-2</v>
      </c>
      <c r="U22" s="95">
        <f t="shared" si="27"/>
        <v>4.8899755501221609E-3</v>
      </c>
      <c r="V22" s="95">
        <f t="shared" si="27"/>
        <v>7.0559610705596132E-2</v>
      </c>
      <c r="W22" s="95">
        <f t="shared" si="27"/>
        <v>4.0909090909091006E-2</v>
      </c>
      <c r="X22" s="95">
        <f t="shared" si="27"/>
        <v>4.366812227074246E-2</v>
      </c>
      <c r="Y22" s="95">
        <f t="shared" si="27"/>
        <v>-8.3682008368201055E-3</v>
      </c>
      <c r="Z22" s="96">
        <f t="shared" si="27"/>
        <v>5.4852320675105481E-2</v>
      </c>
      <c r="AA22" s="97">
        <v>0.04</v>
      </c>
      <c r="AB22" s="97"/>
      <c r="AC22" s="97"/>
    </row>
    <row r="23" spans="2:31" x14ac:dyDescent="0.2">
      <c r="B23" s="1" t="str">
        <f t="shared" si="26"/>
        <v>Manufacturing</v>
      </c>
      <c r="C23" s="47"/>
      <c r="D23" s="95">
        <f t="shared" si="20"/>
        <v>0.11643835616438358</v>
      </c>
      <c r="E23" s="95">
        <f t="shared" si="21"/>
        <v>8.6912065439672892E-2</v>
      </c>
      <c r="F23" s="95">
        <f t="shared" si="22"/>
        <v>0.11853245531514589</v>
      </c>
      <c r="G23" s="96">
        <f t="shared" si="23"/>
        <v>0.15979814970563488</v>
      </c>
      <c r="H23" s="97">
        <v>0.15</v>
      </c>
      <c r="I23" s="97">
        <v>0.15</v>
      </c>
      <c r="J23" s="97">
        <v>0.12</v>
      </c>
      <c r="K23" s="97">
        <v>0.1</v>
      </c>
      <c r="L23" s="97">
        <v>0.1</v>
      </c>
      <c r="O23" s="5"/>
      <c r="Q23" s="91"/>
      <c r="R23" s="1" t="str">
        <f t="shared" si="24"/>
        <v>Manufacturing</v>
      </c>
      <c r="S23" s="47"/>
      <c r="T23" s="95">
        <f t="shared" ref="T23:Z23" si="28">T11/S11-1</f>
        <v>3.5830618892508159E-2</v>
      </c>
      <c r="U23" s="95">
        <f t="shared" si="28"/>
        <v>-2.8301886792452824E-2</v>
      </c>
      <c r="V23" s="95">
        <f t="shared" si="28"/>
        <v>8.0906148867313954E-2</v>
      </c>
      <c r="W23" s="95">
        <f t="shared" si="28"/>
        <v>6.2874251497005984E-2</v>
      </c>
      <c r="X23" s="95">
        <f t="shared" si="28"/>
        <v>7.3239436619718212E-2</v>
      </c>
      <c r="Y23" s="95">
        <f t="shared" si="28"/>
        <v>-3.6745406824146953E-2</v>
      </c>
      <c r="Z23" s="96">
        <f t="shared" si="28"/>
        <v>4.9046321525885617E-2</v>
      </c>
      <c r="AA23" s="97">
        <v>4.4999999999999998E-2</v>
      </c>
      <c r="AB23" s="97"/>
      <c r="AC23" s="97"/>
    </row>
    <row r="24" spans="2:31" x14ac:dyDescent="0.2">
      <c r="B24" s="1" t="str">
        <f t="shared" si="26"/>
        <v>Media and Entertainment</v>
      </c>
      <c r="C24" s="47"/>
      <c r="D24" s="95">
        <f t="shared" si="20"/>
        <v>0.12355212355212353</v>
      </c>
      <c r="E24" s="95">
        <f t="shared" si="21"/>
        <v>1.3745704467353903E-2</v>
      </c>
      <c r="F24" s="95">
        <f t="shared" si="22"/>
        <v>6.7796610169491567E-2</v>
      </c>
      <c r="G24" s="96">
        <f t="shared" si="23"/>
        <v>5.3968253968253999E-2</v>
      </c>
      <c r="H24" s="97">
        <v>0.06</v>
      </c>
      <c r="I24" s="97">
        <v>0.06</v>
      </c>
      <c r="J24" s="97">
        <v>0.05</v>
      </c>
      <c r="K24" s="97">
        <v>0.05</v>
      </c>
      <c r="L24" s="97">
        <v>0.03</v>
      </c>
      <c r="O24" s="5"/>
      <c r="Q24" s="91"/>
      <c r="R24" s="1" t="str">
        <f t="shared" si="24"/>
        <v>Media and Entertainment</v>
      </c>
      <c r="S24" s="47"/>
      <c r="T24" s="95">
        <f t="shared" ref="T24:Z24" si="29">T12/S12-1</f>
        <v>1.2048192771084265E-2</v>
      </c>
      <c r="U24" s="95">
        <f t="shared" si="29"/>
        <v>-9.5238095238095233E-2</v>
      </c>
      <c r="V24" s="95">
        <f t="shared" si="29"/>
        <v>5.2631578947368363E-2</v>
      </c>
      <c r="W24" s="95">
        <f t="shared" si="29"/>
        <v>7.4999999999999956E-2</v>
      </c>
      <c r="X24" s="95">
        <f t="shared" si="29"/>
        <v>4.6511627906976827E-2</v>
      </c>
      <c r="Y24" s="95">
        <f t="shared" si="29"/>
        <v>-4.4444444444444398E-2</v>
      </c>
      <c r="Z24" s="96">
        <f t="shared" si="29"/>
        <v>6.9767441860465018E-2</v>
      </c>
      <c r="AA24" s="97">
        <v>0.05</v>
      </c>
      <c r="AB24" s="97"/>
      <c r="AC24" s="97"/>
    </row>
    <row r="25" spans="2:31" x14ac:dyDescent="0.2">
      <c r="B25" s="1" t="str">
        <f t="shared" si="26"/>
        <v>Other</v>
      </c>
      <c r="C25" s="47"/>
      <c r="D25" s="95">
        <f t="shared" si="20"/>
        <v>0.86842105263157898</v>
      </c>
      <c r="E25" s="95">
        <f t="shared" si="21"/>
        <v>0.36619718309859151</v>
      </c>
      <c r="F25" s="95">
        <f t="shared" si="22"/>
        <v>0.21649484536082464</v>
      </c>
      <c r="G25" s="96">
        <f t="shared" si="23"/>
        <v>5.9322033898305149E-2</v>
      </c>
      <c r="H25" s="97">
        <v>7.0000000000000007E-2</v>
      </c>
      <c r="I25" s="97">
        <v>7.0000000000000007E-2</v>
      </c>
      <c r="J25" s="97">
        <v>0.05</v>
      </c>
      <c r="K25" s="97">
        <v>0.03</v>
      </c>
      <c r="L25" s="97">
        <v>0.03</v>
      </c>
      <c r="O25" s="5"/>
      <c r="Q25" s="91"/>
      <c r="R25" s="1" t="str">
        <f t="shared" si="24"/>
        <v>Other</v>
      </c>
      <c r="S25" s="47"/>
      <c r="T25" s="95">
        <f t="shared" ref="T25:Z25" si="30">T13/S13-1</f>
        <v>-6.4516129032258118E-2</v>
      </c>
      <c r="U25" s="95">
        <f t="shared" si="30"/>
        <v>-3.4482758620689613E-2</v>
      </c>
      <c r="V25" s="95">
        <f t="shared" si="30"/>
        <v>0.10714285714285721</v>
      </c>
      <c r="W25" s="95">
        <f t="shared" si="30"/>
        <v>6.4516129032258007E-2</v>
      </c>
      <c r="X25" s="95">
        <f t="shared" si="30"/>
        <v>0</v>
      </c>
      <c r="Y25" s="95">
        <f t="shared" si="30"/>
        <v>0.1212121212121211</v>
      </c>
      <c r="Z25" s="96">
        <f t="shared" si="30"/>
        <v>8.1081081081081141E-2</v>
      </c>
      <c r="AA25" s="97">
        <v>0.08</v>
      </c>
      <c r="AB25" s="97"/>
      <c r="AC25" s="97"/>
    </row>
    <row r="26" spans="2:31" x14ac:dyDescent="0.2">
      <c r="B26" s="16" t="str">
        <f>B14</f>
        <v>Total</v>
      </c>
      <c r="C26" s="47"/>
      <c r="D26" s="103">
        <f t="shared" ref="D26:L26" si="31">D14/C14-1</f>
        <v>0.14113087095303234</v>
      </c>
      <c r="E26" s="103">
        <f t="shared" si="31"/>
        <v>9.8301698301698215E-2</v>
      </c>
      <c r="F26" s="103">
        <f t="shared" si="31"/>
        <v>0.11533563762052035</v>
      </c>
      <c r="G26" s="104">
        <f t="shared" si="31"/>
        <v>0.1753384439732506</v>
      </c>
      <c r="H26" s="103">
        <f t="shared" si="31"/>
        <v>0.15692756036636135</v>
      </c>
      <c r="I26" s="103">
        <f t="shared" si="31"/>
        <v>0.16363064093983049</v>
      </c>
      <c r="J26" s="103">
        <f t="shared" si="31"/>
        <v>0.12542293101710844</v>
      </c>
      <c r="K26" s="103">
        <f t="shared" si="31"/>
        <v>0.12221822534874449</v>
      </c>
      <c r="L26" s="103">
        <f t="shared" si="31"/>
        <v>9.2496163043021884E-2</v>
      </c>
      <c r="O26" s="5"/>
      <c r="Q26" s="91"/>
      <c r="R26" s="16" t="str">
        <f>R14</f>
        <v>Total</v>
      </c>
      <c r="S26" s="47"/>
      <c r="T26" s="103">
        <f t="shared" ref="T26:AA26" si="32">T14/S14-1</f>
        <v>4.3949044585987362E-2</v>
      </c>
      <c r="U26" s="103">
        <f t="shared" si="32"/>
        <v>-3.6607687614399476E-3</v>
      </c>
      <c r="V26" s="103">
        <f t="shared" si="32"/>
        <v>7.9608083282302511E-2</v>
      </c>
      <c r="W26" s="103">
        <f t="shared" si="32"/>
        <v>5.1049347702779357E-2</v>
      </c>
      <c r="X26" s="103">
        <f t="shared" si="32"/>
        <v>5.6125202374527783E-2</v>
      </c>
      <c r="Y26" s="103">
        <f t="shared" si="32"/>
        <v>-1.1752682677567683E-2</v>
      </c>
      <c r="Z26" s="104">
        <f t="shared" si="32"/>
        <v>5.7911065149948371E-2</v>
      </c>
      <c r="AA26" s="103">
        <f t="shared" si="32"/>
        <v>4.4687194525904195E-2</v>
      </c>
      <c r="AB26" s="103"/>
      <c r="AC26" s="103"/>
    </row>
    <row r="27" spans="2:31" x14ac:dyDescent="0.2">
      <c r="O27" s="5"/>
      <c r="Q27" s="91"/>
    </row>
    <row r="28" spans="2:31" x14ac:dyDescent="0.2">
      <c r="C28" s="251" t="s">
        <v>422</v>
      </c>
      <c r="D28" s="251"/>
      <c r="E28" s="251"/>
      <c r="F28" s="251"/>
      <c r="G28" s="251"/>
      <c r="H28" s="251"/>
      <c r="I28" s="251"/>
      <c r="J28" s="251"/>
      <c r="K28" s="251"/>
      <c r="L28" s="251"/>
      <c r="O28" s="5"/>
      <c r="Q28" s="91"/>
      <c r="S28" s="252" t="s">
        <v>422</v>
      </c>
      <c r="T28" s="253"/>
      <c r="U28" s="253"/>
      <c r="V28" s="253"/>
      <c r="W28" s="253"/>
      <c r="X28" s="253"/>
      <c r="Y28" s="253"/>
      <c r="Z28" s="253"/>
      <c r="AA28" s="253"/>
      <c r="AB28" s="253"/>
      <c r="AC28" s="253"/>
      <c r="AE28" s="87"/>
    </row>
    <row r="29" spans="2:31" x14ac:dyDescent="0.2">
      <c r="B29" s="16"/>
      <c r="C29" s="12">
        <f t="shared" ref="C29:L29" si="33">C17</f>
        <v>2022</v>
      </c>
      <c r="D29" s="12">
        <f t="shared" si="33"/>
        <v>2023</v>
      </c>
      <c r="E29" s="12">
        <f t="shared" si="33"/>
        <v>2024</v>
      </c>
      <c r="F29" s="12">
        <f t="shared" si="33"/>
        <v>2025</v>
      </c>
      <c r="G29" s="12">
        <f t="shared" si="33"/>
        <v>2026</v>
      </c>
      <c r="H29" s="12">
        <f t="shared" si="33"/>
        <v>2027</v>
      </c>
      <c r="I29" s="12">
        <f t="shared" si="33"/>
        <v>2028</v>
      </c>
      <c r="J29" s="12">
        <f t="shared" si="33"/>
        <v>2029</v>
      </c>
      <c r="K29" s="12">
        <f t="shared" si="33"/>
        <v>2030</v>
      </c>
      <c r="L29" s="12">
        <f t="shared" si="33"/>
        <v>2031</v>
      </c>
      <c r="O29" s="5"/>
      <c r="Q29" s="91"/>
      <c r="R29" s="16"/>
      <c r="S29" s="12" t="str">
        <f t="shared" ref="S29:AC29" si="34">S17</f>
        <v>Q3 2025</v>
      </c>
      <c r="T29" s="12" t="str">
        <f t="shared" si="34"/>
        <v>Q4 2025</v>
      </c>
      <c r="U29" s="12" t="str">
        <f t="shared" si="34"/>
        <v>Q1 2026</v>
      </c>
      <c r="V29" s="12" t="str">
        <f t="shared" si="34"/>
        <v>Q2 2026</v>
      </c>
      <c r="W29" s="12" t="str">
        <f t="shared" si="34"/>
        <v>Q3 2026</v>
      </c>
      <c r="X29" s="12" t="str">
        <f t="shared" si="34"/>
        <v>Q4 2026</v>
      </c>
      <c r="Y29" s="12" t="str">
        <f t="shared" si="34"/>
        <v>Q1 2027</v>
      </c>
      <c r="Z29" s="12" t="str">
        <f t="shared" si="34"/>
        <v>Q2 2027</v>
      </c>
      <c r="AA29" s="12" t="str">
        <f t="shared" si="34"/>
        <v>FQ1</v>
      </c>
      <c r="AB29" s="12" t="str">
        <f t="shared" si="34"/>
        <v>FQ2</v>
      </c>
      <c r="AC29" s="12" t="str">
        <f t="shared" si="34"/>
        <v>FQ3</v>
      </c>
      <c r="AE29" s="8" t="s">
        <v>117</v>
      </c>
    </row>
    <row r="30" spans="2:31" x14ac:dyDescent="0.2">
      <c r="B30" s="1" t="str">
        <f>B7&amp;" % of revenue"</f>
        <v>Other % of revenue</v>
      </c>
      <c r="C30" s="95">
        <f>C7/C14</f>
        <v>5.699954400364797E-2</v>
      </c>
      <c r="D30" s="95">
        <f t="shared" ref="D30:G30" si="35">D7/D14</f>
        <v>5.774225774225774E-2</v>
      </c>
      <c r="E30" s="95">
        <f t="shared" si="35"/>
        <v>5.9486992905221033E-2</v>
      </c>
      <c r="F30" s="95">
        <f t="shared" si="35"/>
        <v>6.0838362420486056E-2</v>
      </c>
      <c r="G30" s="96">
        <f t="shared" si="35"/>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6">T7/T14</f>
        <v>6.5283709579011598E-2</v>
      </c>
      <c r="U30" s="95">
        <f t="shared" si="36"/>
        <v>5.6950398040416413E-2</v>
      </c>
      <c r="V30" s="95">
        <f t="shared" si="36"/>
        <v>5.4452637549631311E-2</v>
      </c>
      <c r="W30" s="95">
        <f t="shared" si="36"/>
        <v>5.9902860226659471E-2</v>
      </c>
      <c r="X30" s="95">
        <f t="shared" si="36"/>
        <v>6.642820643842616E-2</v>
      </c>
      <c r="Y30" s="95">
        <f t="shared" si="36"/>
        <v>5.0672182006204755E-2</v>
      </c>
      <c r="Z30" s="96">
        <f t="shared" si="36"/>
        <v>4.5943304007820138E-2</v>
      </c>
      <c r="AA30" s="97">
        <v>0.05</v>
      </c>
      <c r="AB30" s="97"/>
      <c r="AC30" s="97"/>
      <c r="AE30" s="95">
        <f t="shared" ref="AE30" si="37">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45" t="s">
        <v>112</v>
      </c>
      <c r="D2" s="245"/>
      <c r="E2" s="245"/>
      <c r="F2" s="245"/>
      <c r="G2" s="254"/>
      <c r="H2" s="255" t="s">
        <v>113</v>
      </c>
      <c r="I2" s="245"/>
      <c r="J2" s="245"/>
      <c r="K2" s="245"/>
      <c r="L2" s="245"/>
      <c r="P2" s="245" t="s">
        <v>112</v>
      </c>
      <c r="Q2" s="245"/>
      <c r="R2" s="245"/>
      <c r="S2" s="245"/>
      <c r="T2" s="245"/>
      <c r="U2" s="245"/>
      <c r="V2" s="245"/>
      <c r="W2" s="245"/>
      <c r="X2" s="245" t="s">
        <v>113</v>
      </c>
      <c r="Y2" s="245"/>
      <c r="Z2" s="245"/>
      <c r="AB2" s="85" t="s">
        <v>114</v>
      </c>
    </row>
    <row r="3" spans="1:28" ht="10" customHeight="1" x14ac:dyDescent="0.2"/>
    <row r="4" spans="1:28"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51" t="s">
        <v>127</v>
      </c>
      <c r="D21" s="251"/>
      <c r="E21" s="251"/>
      <c r="F21" s="251"/>
      <c r="G21" s="251"/>
      <c r="H21" s="251"/>
      <c r="I21" s="251"/>
      <c r="J21" s="251"/>
      <c r="K21" s="251"/>
      <c r="L21" s="251"/>
      <c r="P21" s="253" t="s">
        <v>127</v>
      </c>
      <c r="Q21" s="253"/>
      <c r="R21" s="253"/>
      <c r="S21" s="253"/>
      <c r="T21" s="253"/>
      <c r="U21" s="253"/>
      <c r="V21" s="253"/>
      <c r="W21" s="253"/>
      <c r="X21" s="253"/>
      <c r="Y21" s="253"/>
      <c r="Z21" s="253"/>
    </row>
    <row r="22" spans="2:28" x14ac:dyDescent="0.2">
      <c r="B22" s="16" t="s">
        <v>128</v>
      </c>
      <c r="C22" s="12">
        <f t="shared" ref="C22:L22" si="6">C5</f>
        <v>2022</v>
      </c>
      <c r="D22" s="12">
        <f t="shared" si="6"/>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O22" s="16" t="s">
        <v>128</v>
      </c>
      <c r="P22" s="12" t="str">
        <f t="shared" ref="P22:Z22" si="7">P5</f>
        <v>Q3 2025</v>
      </c>
      <c r="Q22" s="12" t="str">
        <f t="shared" si="7"/>
        <v>Q4 2025</v>
      </c>
      <c r="R22" s="12" t="str">
        <f t="shared" si="7"/>
        <v>Q1 2026</v>
      </c>
      <c r="S22" s="12" t="str">
        <f t="shared" si="7"/>
        <v>Q2 2026</v>
      </c>
      <c r="T22" s="12" t="str">
        <f t="shared" si="7"/>
        <v>Q3 2026</v>
      </c>
      <c r="U22" s="12" t="str">
        <f t="shared" si="7"/>
        <v>Q4 2026</v>
      </c>
      <c r="V22" s="12" t="str">
        <f t="shared" si="7"/>
        <v>Q1 2027</v>
      </c>
      <c r="W22" s="12" t="str">
        <f t="shared" si="7"/>
        <v>Q2 2027</v>
      </c>
      <c r="X22" s="12" t="str">
        <f t="shared" si="7"/>
        <v>FQ1</v>
      </c>
      <c r="Y22" s="12" t="str">
        <f t="shared" si="7"/>
        <v>FQ2</v>
      </c>
      <c r="Z22" s="12" t="str">
        <f t="shared" si="7"/>
        <v>FQ3</v>
      </c>
    </row>
    <row r="23" spans="2:28" x14ac:dyDescent="0.2">
      <c r="B23" s="1" t="str">
        <f t="shared" ref="B23:B29" si="8">B11</f>
        <v>Subscription COGS</v>
      </c>
      <c r="C23" s="95">
        <f t="shared" ref="C23:G29" si="9">C11/C$6</f>
        <v>6.8171454628362979E-2</v>
      </c>
      <c r="D23" s="95">
        <f t="shared" si="9"/>
        <v>6.8531468531468534E-2</v>
      </c>
      <c r="E23" s="95">
        <f t="shared" si="9"/>
        <v>6.9310533018009823E-2</v>
      </c>
      <c r="F23" s="95">
        <f t="shared" si="9"/>
        <v>6.7362583591583758E-2</v>
      </c>
      <c r="G23" s="96">
        <f t="shared" si="9"/>
        <v>6.4252012212045517E-2</v>
      </c>
      <c r="H23" s="97">
        <v>6.2E-2</v>
      </c>
      <c r="I23" s="97">
        <v>0.06</v>
      </c>
      <c r="J23" s="97">
        <v>0.06</v>
      </c>
      <c r="K23" s="97">
        <v>0.06</v>
      </c>
      <c r="L23" s="97">
        <v>0.06</v>
      </c>
      <c r="O23" s="1" t="str">
        <f t="shared" ref="O23:O29" si="10">O11</f>
        <v>Subscription COGS</v>
      </c>
      <c r="P23" s="95">
        <f t="shared" ref="P23:W29" si="11">P11/P$6</f>
        <v>6.6878980891719744E-2</v>
      </c>
      <c r="Q23" s="95">
        <f t="shared" si="11"/>
        <v>6.5893837705918237E-2</v>
      </c>
      <c r="R23" s="95">
        <f t="shared" si="11"/>
        <v>6.7973055725658302E-2</v>
      </c>
      <c r="S23" s="95">
        <f t="shared" si="11"/>
        <v>6.4662507090187185E-2</v>
      </c>
      <c r="T23" s="95">
        <f t="shared" si="11"/>
        <v>6.3680518078791146E-2</v>
      </c>
      <c r="U23" s="95">
        <f t="shared" si="11"/>
        <v>6.1318344404701075E-2</v>
      </c>
      <c r="V23" s="95">
        <f t="shared" si="11"/>
        <v>6.6701137538779737E-2</v>
      </c>
      <c r="W23" s="96">
        <f t="shared" si="11"/>
        <v>6.3538611925708699E-2</v>
      </c>
      <c r="X23" s="97">
        <v>0.09</v>
      </c>
      <c r="Y23" s="97"/>
      <c r="Z23" s="97"/>
    </row>
    <row r="24" spans="2:28" x14ac:dyDescent="0.2">
      <c r="B24" s="1" t="str">
        <f t="shared" si="8"/>
        <v>Other COGS</v>
      </c>
      <c r="C24" s="95">
        <f t="shared" si="9"/>
        <v>1.5275877792977656E-2</v>
      </c>
      <c r="D24" s="95">
        <f t="shared" si="9"/>
        <v>1.5784215784215783E-2</v>
      </c>
      <c r="E24" s="95">
        <f t="shared" si="9"/>
        <v>1.491722757867928E-2</v>
      </c>
      <c r="F24" s="95">
        <f t="shared" si="9"/>
        <v>1.3048442342195401E-2</v>
      </c>
      <c r="G24" s="96">
        <f t="shared" si="9"/>
        <v>1.2489592006661115E-2</v>
      </c>
      <c r="H24" s="97">
        <v>1.2E-2</v>
      </c>
      <c r="I24" s="97">
        <v>1.2E-2</v>
      </c>
      <c r="J24" s="97">
        <v>1.2E-2</v>
      </c>
      <c r="K24" s="97">
        <v>1.2E-2</v>
      </c>
      <c r="L24" s="97">
        <v>1.2E-2</v>
      </c>
      <c r="O24" s="1" t="str">
        <f t="shared" si="10"/>
        <v>Other COGS</v>
      </c>
      <c r="P24" s="95">
        <f t="shared" si="11"/>
        <v>1.2101910828025478E-2</v>
      </c>
      <c r="Q24" s="95">
        <f t="shared" si="11"/>
        <v>1.4032946918852958E-2</v>
      </c>
      <c r="R24" s="95">
        <f t="shared" si="11"/>
        <v>1.4696876913655848E-2</v>
      </c>
      <c r="S24" s="95">
        <f t="shared" si="11"/>
        <v>1.2478729438457176E-2</v>
      </c>
      <c r="T24" s="95">
        <f t="shared" si="11"/>
        <v>1.1872638963842417E-2</v>
      </c>
      <c r="U24" s="95">
        <f t="shared" si="11"/>
        <v>1.1241696474195196E-2</v>
      </c>
      <c r="V24" s="95">
        <f t="shared" si="11"/>
        <v>1.0858324715615306E-2</v>
      </c>
      <c r="W24" s="96">
        <f t="shared" si="11"/>
        <v>1.0752688172043012E-2</v>
      </c>
      <c r="X24" s="97">
        <v>1E-3</v>
      </c>
      <c r="Y24" s="97"/>
      <c r="Z24" s="97"/>
    </row>
    <row r="25" spans="2:28" x14ac:dyDescent="0.2">
      <c r="B25" s="1" t="str">
        <f t="shared" si="8"/>
        <v>Amortization of developed tech COGS</v>
      </c>
      <c r="C25" s="95">
        <f t="shared" si="9"/>
        <v>1.1855905152758778E-2</v>
      </c>
      <c r="D25" s="95">
        <f t="shared" si="9"/>
        <v>1.1588411588411588E-2</v>
      </c>
      <c r="E25" s="95">
        <f t="shared" si="9"/>
        <v>8.7320356558122612E-3</v>
      </c>
      <c r="F25" s="95">
        <f t="shared" si="9"/>
        <v>1.3863969988582614E-2</v>
      </c>
      <c r="G25" s="96">
        <f t="shared" si="9"/>
        <v>1.3461004718290313E-2</v>
      </c>
      <c r="H25" s="97">
        <v>1.2E-2</v>
      </c>
      <c r="I25" s="97">
        <v>1.0999999999999999E-2</v>
      </c>
      <c r="J25" s="97">
        <v>1.0999999999999999E-2</v>
      </c>
      <c r="K25" s="97">
        <v>1.0999999999999999E-2</v>
      </c>
      <c r="L25" s="97">
        <v>1.0999999999999999E-2</v>
      </c>
      <c r="O25" s="1" t="str">
        <f t="shared" si="10"/>
        <v>Amortization of developed tech COGS</v>
      </c>
      <c r="P25" s="95">
        <f t="shared" si="11"/>
        <v>1.4649681528662421E-2</v>
      </c>
      <c r="Q25" s="95">
        <f t="shared" si="11"/>
        <v>1.4032946918852958E-2</v>
      </c>
      <c r="R25" s="95">
        <f t="shared" si="11"/>
        <v>1.5309246785058175E-2</v>
      </c>
      <c r="S25" s="95">
        <f t="shared" si="11"/>
        <v>1.3045944412932501E-2</v>
      </c>
      <c r="T25" s="95">
        <f t="shared" si="11"/>
        <v>1.3491635186184566E-2</v>
      </c>
      <c r="U25" s="95">
        <f t="shared" si="11"/>
        <v>1.2263668880940215E-2</v>
      </c>
      <c r="V25" s="95">
        <f t="shared" si="11"/>
        <v>1.2926577042399173E-2</v>
      </c>
      <c r="W25" s="96">
        <f t="shared" si="11"/>
        <v>1.1730205278592375E-2</v>
      </c>
      <c r="X25" s="97">
        <v>1.7999999999999999E-2</v>
      </c>
      <c r="Y25" s="97"/>
      <c r="Z25" s="97"/>
    </row>
    <row r="26" spans="2:28" x14ac:dyDescent="0.2">
      <c r="B26" s="16" t="str">
        <f t="shared" si="8"/>
        <v>COGS</v>
      </c>
      <c r="C26" s="103">
        <f t="shared" si="9"/>
        <v>9.5303237574099406E-2</v>
      </c>
      <c r="D26" s="103">
        <f t="shared" si="9"/>
        <v>9.5904095904095904E-2</v>
      </c>
      <c r="E26" s="103">
        <f t="shared" si="9"/>
        <v>9.2959796252501364E-2</v>
      </c>
      <c r="F26" s="103">
        <f t="shared" si="9"/>
        <v>9.4274995922361771E-2</v>
      </c>
      <c r="G26" s="104">
        <f t="shared" si="9"/>
        <v>9.0202608936996942E-2</v>
      </c>
      <c r="H26" s="103">
        <f>H14/H$6</f>
        <v>8.5999999999999993E-2</v>
      </c>
      <c r="I26" s="103">
        <f>I14/I$6</f>
        <v>8.299999999999999E-2</v>
      </c>
      <c r="J26" s="103">
        <f>J14/J$6</f>
        <v>8.299999999999999E-2</v>
      </c>
      <c r="K26" s="103">
        <f>K14/K$6</f>
        <v>8.3000000000000004E-2</v>
      </c>
      <c r="L26" s="103">
        <f>L14/L$6</f>
        <v>8.299999999999999E-2</v>
      </c>
      <c r="O26" s="16" t="str">
        <f t="shared" si="10"/>
        <v>COGS</v>
      </c>
      <c r="P26" s="103">
        <f t="shared" si="11"/>
        <v>9.3630573248407636E-2</v>
      </c>
      <c r="Q26" s="103">
        <f t="shared" si="11"/>
        <v>9.3959731543624164E-2</v>
      </c>
      <c r="R26" s="103">
        <f t="shared" si="11"/>
        <v>9.7979179424372315E-2</v>
      </c>
      <c r="S26" s="103">
        <f t="shared" si="11"/>
        <v>9.0187180941576864E-2</v>
      </c>
      <c r="T26" s="103">
        <f t="shared" si="11"/>
        <v>8.9044792228818129E-2</v>
      </c>
      <c r="U26" s="103">
        <f t="shared" si="11"/>
        <v>8.4823709759836483E-2</v>
      </c>
      <c r="V26" s="103">
        <f t="shared" si="11"/>
        <v>9.0486039296794205E-2</v>
      </c>
      <c r="W26" s="104">
        <f t="shared" si="11"/>
        <v>8.6021505376344093E-2</v>
      </c>
      <c r="X26" s="103">
        <f>X14/X$6</f>
        <v>0.109</v>
      </c>
      <c r="Y26" s="16"/>
      <c r="Z26" s="16"/>
    </row>
    <row r="27" spans="2:28" x14ac:dyDescent="0.2">
      <c r="B27" s="1" t="str">
        <f t="shared" si="8"/>
        <v>Sales and marketing</v>
      </c>
      <c r="C27" s="95">
        <f t="shared" si="9"/>
        <v>0.37004103967168261</v>
      </c>
      <c r="D27" s="95">
        <f t="shared" si="9"/>
        <v>0.34865134865134867</v>
      </c>
      <c r="E27" s="95">
        <f t="shared" si="9"/>
        <v>0.33163543751136981</v>
      </c>
      <c r="F27" s="95">
        <f t="shared" si="9"/>
        <v>0.32621105855488503</v>
      </c>
      <c r="G27" s="96">
        <f t="shared" si="9"/>
        <v>0.32930890924229811</v>
      </c>
      <c r="H27" s="97">
        <v>0.32500000000000001</v>
      </c>
      <c r="I27" s="97">
        <v>0.32</v>
      </c>
      <c r="J27" s="97">
        <v>0.32</v>
      </c>
      <c r="K27" s="97">
        <v>0.31</v>
      </c>
      <c r="L27" s="97">
        <v>0.31</v>
      </c>
      <c r="O27" s="1" t="str">
        <f t="shared" si="10"/>
        <v>Sales and marketing</v>
      </c>
      <c r="P27" s="95">
        <f t="shared" si="11"/>
        <v>0.33439490445859871</v>
      </c>
      <c r="Q27" s="95">
        <f t="shared" si="11"/>
        <v>0.32092739475289811</v>
      </c>
      <c r="R27" s="95">
        <f t="shared" si="11"/>
        <v>0.3466013472137171</v>
      </c>
      <c r="S27" s="95">
        <f t="shared" si="11"/>
        <v>0.31707317073170732</v>
      </c>
      <c r="T27" s="95">
        <f t="shared" si="11"/>
        <v>0.33027522935779818</v>
      </c>
      <c r="U27" s="95">
        <f t="shared" si="11"/>
        <v>0.3249872253449157</v>
      </c>
      <c r="V27" s="95">
        <f t="shared" si="11"/>
        <v>0.3066184074457084</v>
      </c>
      <c r="W27" s="96">
        <f t="shared" si="11"/>
        <v>0.30107526881720431</v>
      </c>
      <c r="X27" s="97">
        <v>0.18</v>
      </c>
      <c r="Y27" s="97"/>
      <c r="Z27" s="97"/>
    </row>
    <row r="28" spans="2:28" x14ac:dyDescent="0.2">
      <c r="B28" s="1" t="str">
        <f t="shared" si="8"/>
        <v>R&amp;D</v>
      </c>
      <c r="C28" s="95">
        <f t="shared" si="9"/>
        <v>0.25421796625626997</v>
      </c>
      <c r="D28" s="95">
        <f t="shared" si="9"/>
        <v>0.24355644355644357</v>
      </c>
      <c r="E28" s="95">
        <f t="shared" si="9"/>
        <v>0.24977260323812989</v>
      </c>
      <c r="F28" s="95">
        <f t="shared" si="9"/>
        <v>0.24221171097700211</v>
      </c>
      <c r="G28" s="96">
        <f t="shared" si="9"/>
        <v>0.22800444074382459</v>
      </c>
      <c r="H28" s="97">
        <v>0.22</v>
      </c>
      <c r="I28" s="97">
        <v>0.22</v>
      </c>
      <c r="J28" s="97">
        <v>0.21</v>
      </c>
      <c r="K28" s="97">
        <v>0.21</v>
      </c>
      <c r="L28" s="97">
        <v>0.21</v>
      </c>
      <c r="O28" s="1" t="str">
        <f t="shared" si="10"/>
        <v>R&amp;D</v>
      </c>
      <c r="P28" s="95">
        <f t="shared" si="11"/>
        <v>0.24076433121019108</v>
      </c>
      <c r="Q28" s="95">
        <f t="shared" si="11"/>
        <v>0.2397803538743136</v>
      </c>
      <c r="R28" s="95">
        <f t="shared" si="11"/>
        <v>0.24127372933251684</v>
      </c>
      <c r="S28" s="95">
        <f t="shared" si="11"/>
        <v>0.23425978445830969</v>
      </c>
      <c r="T28" s="95">
        <f t="shared" si="11"/>
        <v>0.22450080949811116</v>
      </c>
      <c r="U28" s="95">
        <f t="shared" si="11"/>
        <v>0.21461420541645376</v>
      </c>
      <c r="V28" s="95">
        <f t="shared" si="11"/>
        <v>0.21768355739400208</v>
      </c>
      <c r="W28" s="96">
        <f t="shared" si="11"/>
        <v>0.22678396871945258</v>
      </c>
      <c r="X28" s="97">
        <v>0.27</v>
      </c>
      <c r="Y28" s="97"/>
      <c r="Z28" s="97"/>
    </row>
    <row r="29" spans="2:28" x14ac:dyDescent="0.2">
      <c r="B29" s="1" t="str">
        <f t="shared" si="8"/>
        <v>General and administrative</v>
      </c>
      <c r="C29" s="95">
        <f t="shared" si="9"/>
        <v>0.13041495668034656</v>
      </c>
      <c r="D29" s="95">
        <f t="shared" si="9"/>
        <v>0.1062937062937063</v>
      </c>
      <c r="E29" s="95">
        <f t="shared" si="9"/>
        <v>0.11278879388757504</v>
      </c>
      <c r="F29" s="95">
        <f t="shared" si="9"/>
        <v>0.10601859403033763</v>
      </c>
      <c r="G29" s="96">
        <f t="shared" si="9"/>
        <v>9.6169858451290585E-2</v>
      </c>
      <c r="H29" s="97">
        <v>0.105</v>
      </c>
      <c r="I29" s="97">
        <v>0.11</v>
      </c>
      <c r="J29" s="97">
        <v>0.11</v>
      </c>
      <c r="K29" s="97">
        <v>0.1</v>
      </c>
      <c r="L29" s="97">
        <v>0.1</v>
      </c>
      <c r="O29" s="1" t="str">
        <f t="shared" si="10"/>
        <v>General and administrative</v>
      </c>
      <c r="P29" s="95">
        <f t="shared" si="11"/>
        <v>0.10254777070063695</v>
      </c>
      <c r="Q29" s="95">
        <f t="shared" si="11"/>
        <v>0.10555216595485052</v>
      </c>
      <c r="R29" s="95">
        <f t="shared" si="11"/>
        <v>9.9203919167176968E-2</v>
      </c>
      <c r="S29" s="95">
        <f t="shared" si="11"/>
        <v>9.5292115711854794E-2</v>
      </c>
      <c r="T29" s="95">
        <f t="shared" si="11"/>
        <v>9.2822450080949817E-2</v>
      </c>
      <c r="U29" s="95">
        <f t="shared" si="11"/>
        <v>9.7598364844149202E-2</v>
      </c>
      <c r="V29" s="95">
        <f t="shared" si="11"/>
        <v>8.376421923474664E-2</v>
      </c>
      <c r="W29" s="96">
        <f t="shared" si="11"/>
        <v>8.7487781036168139E-2</v>
      </c>
      <c r="X29" s="97">
        <v>7.9000000000000001E-2</v>
      </c>
      <c r="Y29" s="97"/>
      <c r="Z29" s="97"/>
    </row>
    <row r="30" spans="2:28" x14ac:dyDescent="0.2">
      <c r="B30" s="16" t="str">
        <f t="shared" ref="B30" si="12">B18</f>
        <v>OpEx</v>
      </c>
      <c r="C30" s="103">
        <f>C18/C$6</f>
        <v>0.76379388964888284</v>
      </c>
      <c r="D30" s="103">
        <f t="shared" ref="D30:L30" si="13">D18/D$6</f>
        <v>0.70649350649350651</v>
      </c>
      <c r="E30" s="103">
        <f t="shared" si="13"/>
        <v>0.7018373658359105</v>
      </c>
      <c r="F30" s="103">
        <f t="shared" si="13"/>
        <v>0.6848801174359811</v>
      </c>
      <c r="G30" s="104">
        <f t="shared" si="13"/>
        <v>0.6908132112128782</v>
      </c>
      <c r="H30" s="103">
        <f t="shared" si="13"/>
        <v>0.65</v>
      </c>
      <c r="I30" s="103">
        <f t="shared" si="13"/>
        <v>0.64999999999999991</v>
      </c>
      <c r="J30" s="103">
        <f t="shared" si="13"/>
        <v>0.64</v>
      </c>
      <c r="K30" s="103">
        <f t="shared" si="13"/>
        <v>0.62</v>
      </c>
      <c r="L30" s="103">
        <f t="shared" si="13"/>
        <v>0.62</v>
      </c>
      <c r="O30" s="16" t="str">
        <f t="shared" ref="O30" si="14">O18</f>
        <v>OpEx</v>
      </c>
      <c r="P30" s="103">
        <f t="shared" ref="P30:V30" si="15">P18/P$6</f>
        <v>0.68598726114649677</v>
      </c>
      <c r="Q30" s="103">
        <f t="shared" si="15"/>
        <v>0.68273337400854184</v>
      </c>
      <c r="R30" s="103">
        <f t="shared" si="15"/>
        <v>0.75933864053888545</v>
      </c>
      <c r="S30" s="103">
        <f t="shared" si="15"/>
        <v>0.65796937039137837</v>
      </c>
      <c r="T30" s="103">
        <f t="shared" si="15"/>
        <v>0.657312466270912</v>
      </c>
      <c r="U30" s="103">
        <f t="shared" si="15"/>
        <v>0.69494123658661211</v>
      </c>
      <c r="V30" s="103">
        <f t="shared" si="15"/>
        <v>0.62978283350568764</v>
      </c>
      <c r="W30" s="104">
        <f t="shared" ref="W30:X30" si="16">W18/W$6</f>
        <v>0.62121212121212122</v>
      </c>
      <c r="X30" s="103">
        <f t="shared" si="16"/>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56"/>
      <c r="C25" s="256"/>
    </row>
    <row r="26" spans="2:12" x14ac:dyDescent="0.2">
      <c r="B26" s="111"/>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3"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5" t="s">
        <v>112</v>
      </c>
      <c r="D2" s="245"/>
      <c r="E2" s="245"/>
      <c r="F2" s="245"/>
      <c r="G2" s="254"/>
      <c r="H2" s="255" t="s">
        <v>113</v>
      </c>
      <c r="I2" s="245"/>
      <c r="J2" s="245"/>
      <c r="K2" s="245"/>
      <c r="L2" s="245"/>
      <c r="S2" s="256"/>
      <c r="T2" s="256"/>
      <c r="U2" s="256"/>
      <c r="V2" s="256"/>
      <c r="W2" s="256"/>
      <c r="X2" s="256"/>
      <c r="Y2" s="256"/>
      <c r="Z2" s="256"/>
      <c r="AA2" s="256"/>
      <c r="AB2" s="256"/>
      <c r="AC2" s="256"/>
      <c r="AE2" s="111"/>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51" t="s">
        <v>261</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51" t="s">
        <v>77</v>
      </c>
      <c r="D31" s="251"/>
      <c r="E31" s="251"/>
      <c r="F31" s="251"/>
      <c r="G31" s="251"/>
      <c r="H31" s="251"/>
      <c r="I31" s="251"/>
      <c r="J31" s="251"/>
      <c r="K31" s="251"/>
      <c r="L31" s="251"/>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 style="1" customWidth="1"/>
    <col min="9" max="16384" width="10.83203125" style="1"/>
  </cols>
  <sheetData>
    <row r="5" spans="2:8" x14ac:dyDescent="0.2">
      <c r="H5" s="134" t="s">
        <v>435</v>
      </c>
    </row>
    <row r="6" spans="2:8" x14ac:dyDescent="0.2">
      <c r="H6" s="237" t="s">
        <v>440</v>
      </c>
    </row>
    <row r="7" spans="2:8" x14ac:dyDescent="0.2">
      <c r="H7" s="237" t="s">
        <v>436</v>
      </c>
    </row>
    <row r="8" spans="2:8" x14ac:dyDescent="0.2">
      <c r="H8" s="237" t="s">
        <v>437</v>
      </c>
    </row>
    <row r="9" spans="2:8" x14ac:dyDescent="0.2">
      <c r="H9" s="237" t="s">
        <v>438</v>
      </c>
    </row>
    <row r="10" spans="2:8" x14ac:dyDescent="0.2">
      <c r="H10" s="238" t="s">
        <v>439</v>
      </c>
    </row>
    <row r="13" spans="2:8" s="4" customFormat="1" ht="49" x14ac:dyDescent="0.2">
      <c r="B13" s="3" t="s">
        <v>163</v>
      </c>
    </row>
  </sheetData>
  <hyperlinks>
    <hyperlink ref="H6" location="Overview!B3" display="Overview'!B3" xr:uid="{3F1BD722-EB05-7242-9EDC-1F73528A64FB}"/>
    <hyperlink ref="H8" location="'Analysis -&gt;'!B13" display="'Analysis -&gt;'!B13" xr:uid="{F95DEF6B-BD13-2A4F-B51B-3125CDE9F316}"/>
    <hyperlink ref="H9" location="'Forecast -&gt;'!B13" display="'Forecast -&gt;'!B13" xr:uid="{9E581C8E-6290-CC41-BA81-976C5BB26121}"/>
    <hyperlink ref="H10" location="'Valuation -&gt;'!B13" display="'Valuation -&gt;'!B13" xr:uid="{81F63A6C-25C5-A94E-AF54-5E57564326C4}"/>
    <hyperlink ref="H7" location="'Financials -&gt;'!B13" display="'Financials -&gt;'!B13" xr:uid="{993BE835-95C3-AC40-ABD4-B3D7AA93404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5" t="s">
        <v>165</v>
      </c>
      <c r="C4" s="245"/>
    </row>
    <row r="5" spans="1:3" ht="17" customHeight="1" x14ac:dyDescent="0.2">
      <c r="B5" s="1" t="s">
        <v>166</v>
      </c>
      <c r="C5" s="138">
        <f>Statement!AC79</f>
        <v>210</v>
      </c>
    </row>
    <row r="6" spans="1:3" ht="17" customHeight="1" x14ac:dyDescent="0.2">
      <c r="B6" s="1" t="s">
        <v>1</v>
      </c>
      <c r="C6" s="135">
        <f ca="1">Overview!C5</f>
        <v>242.1</v>
      </c>
    </row>
    <row r="7" spans="1:3" ht="17" customHeight="1" x14ac:dyDescent="0.2">
      <c r="B7" s="1" t="s">
        <v>167</v>
      </c>
      <c r="C7" s="136">
        <f ca="1">C5*C6</f>
        <v>50841</v>
      </c>
    </row>
    <row r="8" spans="1:3" ht="17" customHeight="1" x14ac:dyDescent="0.2">
      <c r="B8" s="1" t="s">
        <v>168</v>
      </c>
      <c r="C8" s="114">
        <f>Statement!AC109</f>
        <v>3478</v>
      </c>
    </row>
    <row r="9" spans="1:3" ht="17" customHeight="1" x14ac:dyDescent="0.2">
      <c r="B9" s="1" t="s">
        <v>169</v>
      </c>
      <c r="C9" s="137">
        <f ca="1">Overview!F27</f>
        <v>4.9860000000000002E-2</v>
      </c>
    </row>
    <row r="10" spans="1:3" ht="17" customHeight="1" x14ac:dyDescent="0.2">
      <c r="B10" s="1" t="s">
        <v>9</v>
      </c>
      <c r="C10" s="135">
        <f ca="1">Overview!C13</f>
        <v>1.2979000000000001</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45" t="s">
        <v>172</v>
      </c>
      <c r="C15" s="245"/>
    </row>
    <row r="16" spans="1:3" ht="17" customHeight="1" x14ac:dyDescent="0.2">
      <c r="B16" s="1" t="s">
        <v>173</v>
      </c>
      <c r="C16" s="46">
        <f ca="1">C8/(C8+C7)</f>
        <v>6.4029161067029952E-2</v>
      </c>
    </row>
    <row r="17" spans="2:3" ht="17" customHeight="1" x14ac:dyDescent="0.2">
      <c r="B17" s="1" t="s">
        <v>174</v>
      </c>
      <c r="C17" s="46">
        <f ca="1">C7/(C8+C7)</f>
        <v>0.93597083893297006</v>
      </c>
    </row>
    <row r="18" spans="2:3" ht="17" customHeight="1" x14ac:dyDescent="0.2">
      <c r="B18" s="1" t="s">
        <v>175</v>
      </c>
      <c r="C18" s="46">
        <f>C13*(1-C12)</f>
        <v>4.8190000000000004E-2</v>
      </c>
    </row>
    <row r="19" spans="2:3" ht="17" customHeight="1" x14ac:dyDescent="0.2">
      <c r="B19" s="1" t="s">
        <v>176</v>
      </c>
      <c r="C19" s="46">
        <f ca="1">C9+C10*C11</f>
        <v>0.1082655</v>
      </c>
    </row>
    <row r="20" spans="2:3" ht="17" customHeight="1" x14ac:dyDescent="0.2">
      <c r="B20" s="1" t="s">
        <v>164</v>
      </c>
      <c r="C20" s="46">
        <f ca="1">(C17*C19)+(C16*C18)</f>
        <v>0.10441891613431764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7"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29743.057890453783</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1866.063695351347</v>
      </c>
      <c r="I10" s="128">
        <f t="shared" ref="I10:L10" ca="1" si="0">I7/(1+$C$15)^I9</f>
        <v>1275.909960162302</v>
      </c>
      <c r="J10" s="128">
        <f t="shared" ca="1" si="0"/>
        <v>573.70026016954296</v>
      </c>
      <c r="K10" s="128">
        <f t="shared" ca="1" si="0"/>
        <v>1432.6978469563744</v>
      </c>
      <c r="L10" s="128">
        <f t="shared" ca="1" si="0"/>
        <v>1498.1525370723487</v>
      </c>
      <c r="N10" s="91"/>
    </row>
    <row r="11" spans="1:28" x14ac:dyDescent="0.2">
      <c r="B11" s="1" t="s">
        <v>182</v>
      </c>
      <c r="C11" s="139"/>
      <c r="D11" s="139"/>
      <c r="E11" s="139"/>
      <c r="F11" s="139"/>
      <c r="G11" s="140"/>
      <c r="H11" s="139"/>
      <c r="I11" s="139"/>
      <c r="J11" s="139"/>
      <c r="K11" s="139"/>
      <c r="L11" s="128">
        <f ca="1">L8/(1+C15)^L9</f>
        <v>18101.577913917237</v>
      </c>
    </row>
    <row r="13" spans="1:28" x14ac:dyDescent="0.2">
      <c r="B13" s="245" t="s">
        <v>183</v>
      </c>
      <c r="C13" s="245"/>
    </row>
    <row r="14" spans="1:28" x14ac:dyDescent="0.2">
      <c r="B14" s="1" t="s">
        <v>184</v>
      </c>
      <c r="C14" s="142">
        <v>0.02</v>
      </c>
    </row>
    <row r="15" spans="1:28" x14ac:dyDescent="0.2">
      <c r="B15" s="1" t="s">
        <v>164</v>
      </c>
      <c r="C15" s="137">
        <f ca="1">IF(Overview!C28&gt;0,Overview!C28,WACC!C20)</f>
        <v>0.10441891613431764</v>
      </c>
    </row>
    <row r="18" spans="2:3" x14ac:dyDescent="0.2">
      <c r="B18" s="245" t="s">
        <v>185</v>
      </c>
      <c r="C18" s="245"/>
    </row>
    <row r="19" spans="2:3" x14ac:dyDescent="0.2">
      <c r="B19" s="1" t="s">
        <v>186</v>
      </c>
      <c r="C19" s="64">
        <f ca="1">SUM(H10:L10)</f>
        <v>6646.5242997119149</v>
      </c>
    </row>
    <row r="20" spans="2:3" x14ac:dyDescent="0.2">
      <c r="B20" s="1" t="s">
        <v>182</v>
      </c>
      <c r="C20" s="64">
        <f ca="1">L11</f>
        <v>18101.577913917237</v>
      </c>
    </row>
    <row r="21" spans="2:3" x14ac:dyDescent="0.2">
      <c r="B21" s="16" t="s">
        <v>187</v>
      </c>
      <c r="C21" s="94">
        <f ca="1">C19+C20</f>
        <v>24748.10221362915</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25627.10221362915</v>
      </c>
    </row>
    <row r="25" spans="2:3" x14ac:dyDescent="0.2">
      <c r="B25" s="1" t="s">
        <v>69</v>
      </c>
      <c r="C25" s="88">
        <f>Statement!AC79</f>
        <v>210</v>
      </c>
    </row>
    <row r="26" spans="2:3" x14ac:dyDescent="0.2">
      <c r="B26" s="233" t="s">
        <v>191</v>
      </c>
      <c r="C26" s="234">
        <f ca="1">C24/C25</f>
        <v>122.03382006490071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4"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1866.063695351347</v>
      </c>
      <c r="I9" s="92">
        <f ca="1">DCF!I10</f>
        <v>1275.909960162302</v>
      </c>
      <c r="J9" s="92">
        <f ca="1">DCF!J10</f>
        <v>573.70026016954296</v>
      </c>
      <c r="K9" s="92">
        <f ca="1">DCF!K10</f>
        <v>1432.6978469563744</v>
      </c>
      <c r="L9" s="92">
        <f ca="1">DCF!L10</f>
        <v>1498.1525370723487</v>
      </c>
      <c r="N9" s="91"/>
    </row>
    <row r="10" spans="1:14" x14ac:dyDescent="0.2">
      <c r="N10" s="91"/>
    </row>
    <row r="11" spans="1:14" x14ac:dyDescent="0.2">
      <c r="C11" s="251" t="s">
        <v>121</v>
      </c>
      <c r="D11" s="251"/>
      <c r="E11" s="251"/>
      <c r="F11" s="251"/>
      <c r="G11" s="251"/>
      <c r="H11" s="251"/>
      <c r="I11" s="251"/>
      <c r="J11" s="251"/>
      <c r="K11" s="251"/>
      <c r="L11" s="251"/>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51" t="s">
        <v>195</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51" t="s">
        <v>198</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51" t="s">
        <v>199</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45" t="s">
        <v>204</v>
      </c>
      <c r="C39" s="245"/>
      <c r="N39" s="91"/>
    </row>
    <row r="40" spans="2:14" x14ac:dyDescent="0.2">
      <c r="B40" s="1" t="s">
        <v>205</v>
      </c>
      <c r="C40" s="64">
        <f>L7</f>
        <v>3975.4383279388967</v>
      </c>
    </row>
    <row r="41" spans="2:14" x14ac:dyDescent="0.2">
      <c r="B41" s="1" t="s">
        <v>164</v>
      </c>
      <c r="C41" s="137">
        <f ca="1">IF(Overview!C28&gt;0,Overview!C28,WACC!C20)</f>
        <v>0.10441891613431764</v>
      </c>
    </row>
    <row r="42" spans="2:14" x14ac:dyDescent="0.2">
      <c r="B42" s="39" t="s">
        <v>206</v>
      </c>
      <c r="C42" s="105">
        <v>28</v>
      </c>
    </row>
    <row r="43" spans="2:14" x14ac:dyDescent="0.2">
      <c r="B43" s="1" t="s">
        <v>374</v>
      </c>
      <c r="C43" s="24">
        <f>(C40*C42)</f>
        <v>111312.27318228911</v>
      </c>
    </row>
    <row r="44" spans="2:14" x14ac:dyDescent="0.2">
      <c r="B44" s="1" t="s">
        <v>375</v>
      </c>
      <c r="C44" s="24">
        <f ca="1">C43/(1+C41)^5</f>
        <v>67744.473120605064</v>
      </c>
    </row>
    <row r="45" spans="2:14" x14ac:dyDescent="0.2">
      <c r="B45" s="16" t="s">
        <v>376</v>
      </c>
      <c r="C45" s="108">
        <f ca="1">SUM(H9:K9)+C44</f>
        <v>72892.84488324463</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73771.84488324463</v>
      </c>
    </row>
    <row r="49" spans="2:3" x14ac:dyDescent="0.2">
      <c r="B49" s="1" t="s">
        <v>69</v>
      </c>
      <c r="C49" s="88">
        <f>Statement!AC79</f>
        <v>210</v>
      </c>
    </row>
    <row r="50" spans="2:3" x14ac:dyDescent="0.2">
      <c r="B50" s="233" t="s">
        <v>208</v>
      </c>
      <c r="C50" s="234">
        <f ca="1">C48/C49</f>
        <v>351.29449944402205</v>
      </c>
    </row>
    <row r="52" spans="2:3" x14ac:dyDescent="0.2">
      <c r="B52" s="245" t="s">
        <v>209</v>
      </c>
      <c r="C52" s="245"/>
    </row>
    <row r="53" spans="2:3" x14ac:dyDescent="0.2">
      <c r="B53" s="1" t="s">
        <v>210</v>
      </c>
      <c r="C53" s="64">
        <f>L6</f>
        <v>13385.314235484499</v>
      </c>
    </row>
    <row r="54" spans="2:3" x14ac:dyDescent="0.2">
      <c r="B54" s="1" t="s">
        <v>343</v>
      </c>
      <c r="C54" s="137">
        <f ca="1">IF(Overview!C29&gt;0,Overview!C29,WACC!C19)</f>
        <v>0.1082655</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191.29761592497329</v>
      </c>
    </row>
    <row r="60" spans="2:3" x14ac:dyDescent="0.2">
      <c r="B60" s="245" t="s">
        <v>321</v>
      </c>
      <c r="C60" s="245"/>
    </row>
    <row r="61" spans="2:3" x14ac:dyDescent="0.2">
      <c r="B61" s="1" t="s">
        <v>377</v>
      </c>
      <c r="C61" s="64">
        <f>L8</f>
        <v>2461.643832972914</v>
      </c>
    </row>
    <row r="62" spans="2:3" x14ac:dyDescent="0.2">
      <c r="B62" s="1" t="s">
        <v>164</v>
      </c>
      <c r="C62" s="137">
        <f ca="1">IF(Overview!C28&gt;0,Overview!C28,WACC!C20)</f>
        <v>0.10441891613431764</v>
      </c>
    </row>
    <row r="63" spans="2:3" x14ac:dyDescent="0.2">
      <c r="B63" s="39" t="s">
        <v>344</v>
      </c>
      <c r="C63" s="105">
        <v>45</v>
      </c>
    </row>
    <row r="64" spans="2:3" x14ac:dyDescent="0.2">
      <c r="B64" s="1" t="s">
        <v>374</v>
      </c>
      <c r="C64" s="24">
        <f>(C61*C63)</f>
        <v>110773.97248378112</v>
      </c>
    </row>
    <row r="65" spans="2:3" x14ac:dyDescent="0.2">
      <c r="B65" s="1" t="s">
        <v>375</v>
      </c>
      <c r="C65" s="24">
        <f ca="1">C64/(1+C62)^5</f>
        <v>67416.864168255677</v>
      </c>
    </row>
    <row r="66" spans="2:3" x14ac:dyDescent="0.2">
      <c r="B66" s="16" t="s">
        <v>376</v>
      </c>
      <c r="C66" s="108">
        <f ca="1">SUM(H9:K9)+C65</f>
        <v>72565.235930895244</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73444.235930895244</v>
      </c>
    </row>
    <row r="70" spans="2:3" x14ac:dyDescent="0.2">
      <c r="B70" s="1" t="s">
        <v>69</v>
      </c>
      <c r="C70" s="88">
        <f>Statement!AC79</f>
        <v>210</v>
      </c>
    </row>
    <row r="71" spans="2:3" x14ac:dyDescent="0.2">
      <c r="B71" s="233" t="s">
        <v>208</v>
      </c>
      <c r="C71" s="234">
        <f ca="1">C69/C70</f>
        <v>349.73445681378689</v>
      </c>
    </row>
    <row r="73" spans="2:3" x14ac:dyDescent="0.2">
      <c r="B73" s="245" t="s">
        <v>379</v>
      </c>
      <c r="C73" s="245"/>
    </row>
    <row r="74" spans="2:3" x14ac:dyDescent="0.2">
      <c r="B74" s="1" t="s">
        <v>380</v>
      </c>
      <c r="C74" s="64">
        <f>L6</f>
        <v>13385.314235484499</v>
      </c>
    </row>
    <row r="75" spans="2:3" x14ac:dyDescent="0.2">
      <c r="B75" s="1" t="s">
        <v>164</v>
      </c>
      <c r="C75" s="137">
        <f ca="1">IF(Overview!C28&gt;0,Overview!C28,WACC!C20)</f>
        <v>0.10441891613431764</v>
      </c>
    </row>
    <row r="76" spans="2:3" x14ac:dyDescent="0.2">
      <c r="B76" s="39" t="s">
        <v>381</v>
      </c>
      <c r="C76" s="105">
        <v>5</v>
      </c>
    </row>
    <row r="77" spans="2:3" x14ac:dyDescent="0.2">
      <c r="B77" s="1" t="s">
        <v>374</v>
      </c>
      <c r="C77" s="24">
        <f>(C74*C76)</f>
        <v>66926.571177422491</v>
      </c>
    </row>
    <row r="78" spans="2:3" x14ac:dyDescent="0.2">
      <c r="B78" s="1" t="s">
        <v>375</v>
      </c>
      <c r="C78" s="24">
        <f ca="1">C77/(1+C75)^5</f>
        <v>40731.405195168976</v>
      </c>
    </row>
    <row r="79" spans="2:3" x14ac:dyDescent="0.2">
      <c r="B79" s="16" t="s">
        <v>376</v>
      </c>
      <c r="C79" s="108">
        <f ca="1">SUM(H9:K9)+C78</f>
        <v>45879.776957808543</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46758.776957808543</v>
      </c>
    </row>
    <row r="83" spans="2:3" x14ac:dyDescent="0.2">
      <c r="B83" s="1" t="s">
        <v>69</v>
      </c>
      <c r="C83" s="88">
        <f>Statement!AC79</f>
        <v>210</v>
      </c>
    </row>
    <row r="84" spans="2:3" x14ac:dyDescent="0.2">
      <c r="B84" s="233" t="s">
        <v>208</v>
      </c>
      <c r="C84" s="234">
        <f ca="1">C82/C83</f>
        <v>222.66084265623115</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5" t="s">
        <v>213</v>
      </c>
      <c r="C4" s="245"/>
      <c r="N4" s="91"/>
    </row>
    <row r="5" spans="1:14" x14ac:dyDescent="0.2">
      <c r="B5" s="1" t="s">
        <v>214</v>
      </c>
      <c r="C5" s="135">
        <f ca="1">DCF!C26</f>
        <v>122.03382006490071</v>
      </c>
    </row>
    <row r="6" spans="1:14" x14ac:dyDescent="0.2">
      <c r="B6" s="1" t="s">
        <v>215</v>
      </c>
      <c r="C6" s="135">
        <f ca="1">Multiples!C50</f>
        <v>351.29449944402205</v>
      </c>
    </row>
    <row r="7" spans="1:14" x14ac:dyDescent="0.2">
      <c r="B7" s="1" t="s">
        <v>216</v>
      </c>
      <c r="C7" s="135">
        <f ca="1">Multiples!C58</f>
        <v>191.29761592497329</v>
      </c>
    </row>
    <row r="8" spans="1:14" x14ac:dyDescent="0.2">
      <c r="B8" s="1" t="s">
        <v>322</v>
      </c>
      <c r="C8" s="135">
        <f ca="1">Multiples!C71</f>
        <v>349.73445681378689</v>
      </c>
    </row>
    <row r="9" spans="1:14" x14ac:dyDescent="0.2">
      <c r="B9" s="1" t="s">
        <v>382</v>
      </c>
      <c r="C9" s="135">
        <f ca="1">Multiples!C84</f>
        <v>222.66084265623115</v>
      </c>
    </row>
    <row r="10" spans="1:14" x14ac:dyDescent="0.2">
      <c r="B10" s="233" t="s">
        <v>217</v>
      </c>
      <c r="C10" s="234">
        <f ca="1">AVERAGE(C5:C9)</f>
        <v>247.40424698078283</v>
      </c>
    </row>
    <row r="11" spans="1:14" x14ac:dyDescent="0.2">
      <c r="B11" s="1" t="s">
        <v>218</v>
      </c>
      <c r="C11" s="135">
        <f ca="1">Overview!C5</f>
        <v>242.1</v>
      </c>
    </row>
    <row r="12" spans="1:14" x14ac:dyDescent="0.2">
      <c r="B12" s="1" t="s">
        <v>219</v>
      </c>
      <c r="C12" s="154">
        <f ca="1">(C10-C11)/C11</f>
        <v>2.1909322514592464E-2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1" t="s">
        <v>367</v>
      </c>
      <c r="D14" s="251"/>
      <c r="E14" s="251"/>
      <c r="F14" s="251"/>
      <c r="G14" s="251"/>
      <c r="H14" s="251"/>
      <c r="I14" s="251"/>
      <c r="J14" s="251"/>
      <c r="K14" s="251"/>
      <c r="L14" s="251"/>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5" t="s">
        <v>369</v>
      </c>
      <c r="C20" s="245"/>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0.1082655</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1093.9502557704304</v>
      </c>
      <c r="I7" s="128">
        <f t="shared" ref="I7:L7" si="0">H7*(1+$C$17)</f>
        <v>1651.86488621335</v>
      </c>
      <c r="J7" s="128">
        <f t="shared" si="0"/>
        <v>2494.3159781821587</v>
      </c>
      <c r="K7" s="128">
        <f t="shared" si="0"/>
        <v>3766.4171270550596</v>
      </c>
      <c r="L7" s="128">
        <f t="shared" si="0"/>
        <v>5687.2898618531399</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68717.248748612983</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990.52111457803574</v>
      </c>
      <c r="I10" s="128">
        <f t="shared" ref="I10:L10" ca="1" si="1">I7/(1+$C$21)^I9</f>
        <v>1354.2749595851101</v>
      </c>
      <c r="J10" s="128">
        <f t="shared" ca="1" si="1"/>
        <v>1851.6118830445785</v>
      </c>
      <c r="K10" s="128">
        <f t="shared" ca="1" si="1"/>
        <v>2531.5882429681933</v>
      </c>
      <c r="L10" s="128">
        <f t="shared" ca="1" si="1"/>
        <v>3461.2756002606006</v>
      </c>
      <c r="N10" s="91"/>
    </row>
    <row r="11" spans="1:28" x14ac:dyDescent="0.2">
      <c r="B11" s="1" t="s">
        <v>182</v>
      </c>
      <c r="C11" s="139"/>
      <c r="D11" s="139"/>
      <c r="E11" s="139"/>
      <c r="F11" s="139"/>
      <c r="G11" s="140"/>
      <c r="H11" s="139"/>
      <c r="I11" s="139"/>
      <c r="J11" s="139"/>
      <c r="K11" s="139"/>
      <c r="L11" s="128">
        <f ca="1">L8/(1+C21)^L9</f>
        <v>41821.208728248617</v>
      </c>
    </row>
    <row r="13" spans="1:28" ht="17" thickBot="1" x14ac:dyDescent="0.25"/>
    <row r="14" spans="1:28" x14ac:dyDescent="0.2">
      <c r="B14" s="258" t="s">
        <v>221</v>
      </c>
      <c r="C14" s="259"/>
    </row>
    <row r="15" spans="1:28" x14ac:dyDescent="0.2">
      <c r="B15" s="155" t="s">
        <v>222</v>
      </c>
      <c r="C15" s="156">
        <f ca="1">Overview!C5</f>
        <v>242.1</v>
      </c>
    </row>
    <row r="16" spans="1:28" x14ac:dyDescent="0.2">
      <c r="B16" s="155" t="s">
        <v>223</v>
      </c>
      <c r="C16" s="156">
        <f ca="1">C36</f>
        <v>253.05971544825422</v>
      </c>
    </row>
    <row r="17" spans="2:9" ht="17" thickBot="1" x14ac:dyDescent="0.25">
      <c r="B17" s="157" t="s">
        <v>323</v>
      </c>
      <c r="C17" s="158">
        <v>0.51</v>
      </c>
      <c r="E17" s="257" t="s">
        <v>224</v>
      </c>
      <c r="F17" s="257"/>
      <c r="G17" s="257"/>
      <c r="H17" s="257"/>
      <c r="I17" s="257"/>
    </row>
    <row r="18" spans="2:9" ht="17" thickBot="1" x14ac:dyDescent="0.25"/>
    <row r="19" spans="2:9" x14ac:dyDescent="0.2">
      <c r="B19" s="258" t="s">
        <v>183</v>
      </c>
      <c r="C19" s="259"/>
    </row>
    <row r="20" spans="2:9" x14ac:dyDescent="0.2">
      <c r="B20" s="159" t="s">
        <v>184</v>
      </c>
      <c r="C20" s="160">
        <v>0.02</v>
      </c>
    </row>
    <row r="21" spans="2:9" x14ac:dyDescent="0.2">
      <c r="B21" s="159" t="s">
        <v>164</v>
      </c>
      <c r="C21" s="220">
        <f ca="1">IF(Overview!C28&gt;0,Overview!C28,WACC!C20)</f>
        <v>0.10441891613431764</v>
      </c>
    </row>
    <row r="22" spans="2:9" x14ac:dyDescent="0.2">
      <c r="B22" s="159" t="s">
        <v>69</v>
      </c>
      <c r="C22" s="221">
        <f>Statement!AC76</f>
        <v>209</v>
      </c>
    </row>
    <row r="23" spans="2:9" x14ac:dyDescent="0.2">
      <c r="B23" s="159" t="s">
        <v>225</v>
      </c>
      <c r="C23" s="161">
        <f ca="1">C15*C22</f>
        <v>50598.9</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49719.9</v>
      </c>
    </row>
    <row r="27" spans="2:9" ht="17" thickBot="1" x14ac:dyDescent="0.25"/>
    <row r="28" spans="2:9" x14ac:dyDescent="0.2">
      <c r="B28" s="258" t="s">
        <v>185</v>
      </c>
      <c r="C28" s="259"/>
    </row>
    <row r="29" spans="2:9" x14ac:dyDescent="0.2">
      <c r="B29" s="159" t="s">
        <v>186</v>
      </c>
      <c r="C29" s="161">
        <f ca="1">SUM(H10:L10)</f>
        <v>10189.271800436518</v>
      </c>
    </row>
    <row r="30" spans="2:9" x14ac:dyDescent="0.2">
      <c r="B30" s="159" t="s">
        <v>182</v>
      </c>
      <c r="C30" s="161">
        <f ca="1">L11</f>
        <v>41821.208728248617</v>
      </c>
    </row>
    <row r="31" spans="2:9" x14ac:dyDescent="0.2">
      <c r="B31" s="163" t="s">
        <v>187</v>
      </c>
      <c r="C31" s="164">
        <f ca="1">C29+C30</f>
        <v>52010.480528685133</v>
      </c>
    </row>
    <row r="32" spans="2:9" x14ac:dyDescent="0.2">
      <c r="B32" s="159" t="s">
        <v>188</v>
      </c>
      <c r="C32" s="165">
        <f>C24</f>
        <v>4357</v>
      </c>
    </row>
    <row r="33" spans="2:3" x14ac:dyDescent="0.2">
      <c r="B33" s="159" t="s">
        <v>189</v>
      </c>
      <c r="C33" s="165">
        <f>C25</f>
        <v>3478</v>
      </c>
    </row>
    <row r="34" spans="2:3" x14ac:dyDescent="0.2">
      <c r="B34" s="163" t="s">
        <v>190</v>
      </c>
      <c r="C34" s="164">
        <f ca="1">C31+C32-C33</f>
        <v>52889.480528685133</v>
      </c>
    </row>
    <row r="35" spans="2:3" x14ac:dyDescent="0.2">
      <c r="B35" s="159" t="s">
        <v>69</v>
      </c>
      <c r="C35" s="161">
        <f>C22</f>
        <v>209</v>
      </c>
    </row>
    <row r="36" spans="2:3" ht="17" thickBot="1" x14ac:dyDescent="0.25">
      <c r="B36" s="166" t="s">
        <v>191</v>
      </c>
      <c r="C36" s="167">
        <f ca="1">C34/C35</f>
        <v>253.05971544825422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2026-10-27T22:19:28Z</dcterms:modified>
</cp:coreProperties>
</file>