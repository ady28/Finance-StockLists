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8A8BBA0-A261-D441-A705-76A9D16852C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18" i="3" l="1"/>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1"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4" i="12"/>
  <c r="C44"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1" i="3"/>
  <c r="Q141" i="3"/>
  <c r="N141" i="3"/>
  <c r="P141" i="3"/>
  <c r="O141" i="3"/>
  <c r="M141" i="3"/>
  <c r="C30"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3" i="12"/>
  <c r="C43" i="12"/>
  <c r="AC163" i="3"/>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J7" i="5" l="1"/>
  <c r="J44" i="5"/>
  <c r="L28" i="5"/>
  <c r="K38" i="5"/>
  <c r="K47" i="5" s="1"/>
  <c r="K9" i="5"/>
  <c r="K18" i="5" s="1"/>
  <c r="L27" i="5"/>
  <c r="J6" i="5"/>
  <c r="J43" i="5"/>
  <c r="K34" i="5"/>
  <c r="K35" i="5" s="1"/>
  <c r="L32" i="5"/>
  <c r="L34" i="5" s="1"/>
  <c r="H7" i="14"/>
  <c r="G41" i="14"/>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K7" i="5" l="1"/>
  <c r="K44" i="5"/>
  <c r="L9" i="5"/>
  <c r="L18" i="5" s="1"/>
  <c r="L38" i="5"/>
  <c r="L47" i="5" s="1"/>
  <c r="K43" i="5"/>
  <c r="K6" i="5"/>
  <c r="L6" i="5"/>
  <c r="L43" i="5"/>
  <c r="L35" i="5"/>
  <c r="G45" i="14"/>
  <c r="G43" i="14"/>
  <c r="I7" i="14"/>
  <c r="I10" i="14" s="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I16" i="5"/>
  <c r="L14" i="5"/>
  <c r="L24" i="5"/>
  <c r="L41" i="5"/>
  <c r="J16" i="5"/>
  <c r="L44" i="5" l="1"/>
  <c r="L7" i="5"/>
  <c r="J7" i="14"/>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11" i="6" s="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11" i="6" s="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<sst xmlns="http://schemas.openxmlformats.org/spreadsheetml/2006/main" count="845" uniqueCount="438">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</sst>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1.0487</v>
    <v>-1.48</v>
    <v>-1.0196E-2</v>
    <v>0.52</v>
    <v>3.6189999999999998E-3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146.44999999999999</v>
    <v>Software &amp; IT Services</v>
    <v>Stock</v>
    <v>46276.983224698437</v>
    <v>0</v>
    <v>141.53</v>
    <v>6722251273</v>
    <v>DUOLINGO, INC.</v>
    <v>DUOLINGO, INC.</v>
    <v>145.06</v>
    <v>17.302600000000002</v>
    <v>145.16</v>
    <v>143.68</v>
    <v>144.19999999999999</v>
    <v>46786270</v>
    <v>DUOL</v>
    <v>DUOLINGO, INC. (XNAS:DUOL)</v>
    <v>980262</v>
    <v>1311929</v>
    <v>2011</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topLeftCell="A5" zoomScale="160" zoomScaleNormal="160" workbookViewId="0">
      <selection activeCell="C47" sqref="C4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7" t="s">
        <v>18</v>
      </c>
      <c r="C2" s="258"/>
      <c r="E2" s="257" t="s">
        <v>296</v>
      </c>
      <c r="F2" s="258"/>
      <c r="H2" s="257" t="s">
        <v>338</v>
      </c>
      <c r="I2" s="258"/>
    </row>
    <row r="3" spans="2:9" x14ac:dyDescent="0.2">
      <c r="B3" s="187" t="s">
        <v>11</v>
      </c>
      <c r="C3" s="219" t="e" vm="1">
        <v>#VALUE!</v>
      </c>
      <c r="D3" s="2"/>
      <c r="E3" s="187" t="s">
        <v>248</v>
      </c>
      <c r="F3" s="189">
        <f ca="1">Statement!AC149</f>
        <v>7201528.96</v>
      </c>
      <c r="H3" s="187" t="str">
        <f>'AVG target price'!B5</f>
        <v>DCF price</v>
      </c>
      <c r="I3" s="213">
        <f>'AVG target price'!C5</f>
        <v>128.63343872974008</v>
      </c>
    </row>
    <row r="4" spans="2:9" x14ac:dyDescent="0.2">
      <c r="B4" s="187" t="s">
        <v>0</v>
      </c>
      <c r="C4" s="191" t="str" cm="1">
        <f t="array" aca="1" ref="C4" ca="1">_FV(C3,"Ticker symbol",TRUE)</f>
        <v>DUOL</v>
      </c>
      <c r="E4" s="188" t="s">
        <v>192</v>
      </c>
      <c r="F4" s="190">
        <f ca="1">Statement!AC150</f>
        <v>5784969.96</v>
      </c>
      <c r="H4" s="187" t="str">
        <f>'AVG target price'!B6</f>
        <v>EV/EBIT price</v>
      </c>
      <c r="I4" s="213">
        <f>'AVG target price'!C6</f>
        <v>198.00560438758581</v>
      </c>
    </row>
    <row r="5" spans="2:9" x14ac:dyDescent="0.2">
      <c r="B5" s="187" t="s">
        <v>1</v>
      </c>
      <c r="C5" s="210" cm="1">
        <f t="array" aca="1" ref="C5" ca="1">_FV(C3,"Price",TRUE)</f>
        <v>143.68</v>
      </c>
      <c r="E5" s="187" t="s">
        <v>252</v>
      </c>
      <c r="F5" s="192">
        <f>Statement!AC26</f>
        <v>3.1405969152350979</v>
      </c>
      <c r="H5" s="187" t="str">
        <f>'AVG target price'!B7</f>
        <v>PS price</v>
      </c>
      <c r="I5" s="213">
        <f>'AVG target price'!C7</f>
        <v>128.29487349465373</v>
      </c>
    </row>
    <row r="6" spans="2:9" x14ac:dyDescent="0.2">
      <c r="B6" s="187" t="s">
        <v>2</v>
      </c>
      <c r="C6" s="210" cm="1">
        <f t="array" aca="1" ref="C6" ca="1">_FV(C3,"Price (Extended hours)",TRUE)</f>
        <v>144.19999999999999</v>
      </c>
      <c r="E6" s="187" t="s">
        <v>246</v>
      </c>
      <c r="F6" s="192">
        <f ca="1">Statement!AC146</f>
        <v>45.749264830200104</v>
      </c>
      <c r="H6" s="187" t="str">
        <f>'AVG target price'!B8</f>
        <v>EV/FCFF price</v>
      </c>
      <c r="I6" s="213">
        <f>'AVG target price'!C8</f>
        <v>203.22832760480804</v>
      </c>
    </row>
    <row r="7" spans="2:9" x14ac:dyDescent="0.2">
      <c r="B7" s="187" t="s">
        <v>3</v>
      </c>
      <c r="C7" s="6" cm="1">
        <f t="array" aca="1" ref="C7" ca="1">_FV(C3,"Change")</f>
        <v>-1.48</v>
      </c>
      <c r="E7" s="188" t="s">
        <v>205</v>
      </c>
      <c r="F7" s="193">
        <f ca="1">Statement!AC147</f>
        <v>6.1702618801045945</v>
      </c>
      <c r="H7" s="186" t="str">
        <f>'AVG target price'!B9</f>
        <v>AVG price</v>
      </c>
      <c r="I7" s="214">
        <f>'AVG target price'!C9</f>
        <v>164.54056105419693</v>
      </c>
    </row>
    <row r="8" spans="2:9" x14ac:dyDescent="0.2">
      <c r="B8" s="187" t="s">
        <v>4</v>
      </c>
      <c r="C8" s="6" cm="1">
        <f t="array" aca="1" ref="C8" ca="1">_FV(C3,"Change (extended hours)",TRUE)</f>
        <v>0.52</v>
      </c>
      <c r="E8" s="187" t="s">
        <v>274</v>
      </c>
      <c r="F8" s="194">
        <f ca="1">Statement!AC157</f>
        <v>3.5106433842626662E-2</v>
      </c>
      <c r="H8" s="186" t="str">
        <f>'AVG target price'!B11</f>
        <v>Upside/Downside</v>
      </c>
      <c r="I8" s="215">
        <f ca="1">'AVG target price'!C11</f>
        <v>0.14518764653533492</v>
      </c>
    </row>
    <row r="9" spans="2:9" x14ac:dyDescent="0.2">
      <c r="B9" s="187" t="s">
        <v>5</v>
      </c>
      <c r="C9" s="73" cm="1">
        <f t="array" aca="1" ref="C9" ca="1">_FV(C3,"Change (%)",TRUE)</f>
        <v>-1.0196E-2</v>
      </c>
      <c r="E9" s="187" t="s">
        <v>297</v>
      </c>
      <c r="F9" s="194">
        <f ca="1">Statement!AC158</f>
        <v>2.1858274744119555E-2</v>
      </c>
    </row>
    <row r="10" spans="2:9" x14ac:dyDescent="0.2">
      <c r="B10" s="187" t="s">
        <v>6</v>
      </c>
      <c r="C10" s="73" cm="1">
        <f t="array" aca="1" ref="C10" ca="1">_FV(C3,"Change % (extended hours)",TRUE)</f>
        <v>3.6189999999999998E-3</v>
      </c>
      <c r="E10" s="187" t="s">
        <v>302</v>
      </c>
      <c r="F10" s="194">
        <f ca="1">Statement!AC160</f>
        <v>9.665030910324909E-3</v>
      </c>
      <c r="H10" s="186" t="s">
        <v>429</v>
      </c>
      <c r="I10" s="214">
        <f>DDM!C26</f>
        <v>0</v>
      </c>
    </row>
    <row r="11" spans="2:9" x14ac:dyDescent="0.2">
      <c r="B11" s="187" t="s">
        <v>7</v>
      </c>
      <c r="C11" s="211" cm="1">
        <f t="array" aca="1" ref="C11" ca="1">_FV(C3,"52 week high",TRUE)</f>
        <v>353</v>
      </c>
      <c r="E11" s="188" t="s">
        <v>298</v>
      </c>
      <c r="F11" s="195">
        <f ca="1">Statement!AC159</f>
        <v>0</v>
      </c>
    </row>
    <row r="12" spans="2:9" x14ac:dyDescent="0.2">
      <c r="B12" s="187" t="s">
        <v>8</v>
      </c>
      <c r="C12" s="211" cm="1">
        <f t="array" aca="1" ref="C12" ca="1">_FV(C3,"52 week low",TRUE)</f>
        <v>87.89</v>
      </c>
      <c r="E12" s="187" t="s">
        <v>102</v>
      </c>
      <c r="F12" s="194">
        <f>Statement!AC123</f>
        <v>7.428664005404173E-2</v>
      </c>
    </row>
    <row r="13" spans="2:9" x14ac:dyDescent="0.2">
      <c r="B13" s="187" t="s">
        <v>9</v>
      </c>
      <c r="C13" s="211" cm="1">
        <f t="array" aca="1" ref="C13" ca="1">_FV(C3,"Beta")</f>
        <v>1.0487</v>
      </c>
      <c r="E13" s="187" t="s">
        <v>104</v>
      </c>
      <c r="F13" s="194">
        <f>Statement!AC125</f>
        <v>0.10928737315054812</v>
      </c>
    </row>
    <row r="14" spans="2:9" x14ac:dyDescent="0.2">
      <c r="B14" s="188" t="s">
        <v>10</v>
      </c>
      <c r="C14" s="212" cm="1">
        <f t="array" aca="1" ref="C14" ca="1">_FV(C3,"Volume average",TRUE)</f>
        <v>1311929</v>
      </c>
      <c r="E14" s="188" t="s">
        <v>105</v>
      </c>
      <c r="F14" s="195">
        <f>Statement!AC136</f>
        <v>-17.586668123511064</v>
      </c>
    </row>
    <row r="15" spans="2:9" x14ac:dyDescent="0.2">
      <c r="E15" s="187" t="s">
        <v>299</v>
      </c>
      <c r="F15" s="194">
        <f ca="1">Statement!AC172</f>
        <v>0.1967025346795245</v>
      </c>
    </row>
    <row r="16" spans="2:9" x14ac:dyDescent="0.2">
      <c r="E16" s="188" t="s">
        <v>304</v>
      </c>
      <c r="F16" s="193">
        <f>Statement!AC171</f>
        <v>30.277412046338647</v>
      </c>
    </row>
    <row r="17" spans="2:9" x14ac:dyDescent="0.2">
      <c r="B17" s="259" t="s">
        <v>90</v>
      </c>
      <c r="C17" s="259"/>
      <c r="E17" s="186" t="s">
        <v>305</v>
      </c>
      <c r="F17" s="196">
        <f>Statement!AC167</f>
        <v>0.14520569809664419</v>
      </c>
    </row>
    <row r="18" spans="2:9" x14ac:dyDescent="0.2">
      <c r="B18" s="186" t="s">
        <v>12</v>
      </c>
      <c r="C18" s="69" t="s">
        <v>14</v>
      </c>
      <c r="E18" s="187" t="s">
        <v>306</v>
      </c>
      <c r="F18" s="192">
        <f>Statement!AC140</f>
        <v>22.829226659561293</v>
      </c>
      <c r="I18" s="50"/>
    </row>
    <row r="19" spans="2:9" x14ac:dyDescent="0.2">
      <c r="B19" s="186" t="s">
        <v>13</v>
      </c>
      <c r="C19" s="70">
        <v>1000</v>
      </c>
      <c r="E19" s="187" t="s">
        <v>267</v>
      </c>
      <c r="F19" s="192">
        <f>Statement!AC142</f>
        <v>-1.00483563659166</v>
      </c>
    </row>
    <row r="20" spans="2:9" x14ac:dyDescent="0.2">
      <c r="B20" s="186" t="s">
        <v>91</v>
      </c>
      <c r="C20" s="69" t="s">
        <v>92</v>
      </c>
      <c r="E20" s="188" t="s">
        <v>307</v>
      </c>
      <c r="F20" s="193">
        <f>Statement!AC143</f>
        <v>2.6781751821027875</v>
      </c>
    </row>
    <row r="21" spans="2:9" x14ac:dyDescent="0.2">
      <c r="B21" s="186" t="s">
        <v>93</v>
      </c>
      <c r="C21" s="69" t="s">
        <v>94</v>
      </c>
      <c r="I21" s="50"/>
    </row>
    <row r="22" spans="2:9" x14ac:dyDescent="0.2">
      <c r="B22" s="186" t="s">
        <v>95</v>
      </c>
      <c r="C22" s="69" t="s">
        <v>94</v>
      </c>
    </row>
    <row r="25" spans="2:9" x14ac:dyDescent="0.2">
      <c r="B25" s="259" t="s">
        <v>107</v>
      </c>
      <c r="C25" s="259"/>
      <c r="E25" s="257" t="s">
        <v>351</v>
      </c>
      <c r="F25" s="258"/>
    </row>
    <row r="26" spans="2:9" x14ac:dyDescent="0.2">
      <c r="B26" s="186" t="s">
        <v>108</v>
      </c>
      <c r="C26" s="172">
        <v>0.21</v>
      </c>
      <c r="E26" s="187" t="e" vm="2">
        <v>#VALUE!</v>
      </c>
      <c r="F26" s="221" cm="1">
        <f t="array" aca="1" ref="F26" ca="1">_FV(E26,"Price")</f>
        <v>47.84</v>
      </c>
    </row>
    <row r="27" spans="2:9" x14ac:dyDescent="0.2">
      <c r="B27" s="186" t="s">
        <v>176</v>
      </c>
      <c r="C27" s="223">
        <v>0</v>
      </c>
      <c r="E27" s="188" t="s">
        <v>352</v>
      </c>
      <c r="F27" s="222">
        <f ca="1">F26/1000</f>
        <v>4.7840000000000001E-2</v>
      </c>
    </row>
    <row r="28" spans="2:9" x14ac:dyDescent="0.2">
      <c r="B28" s="186" t="s">
        <v>356</v>
      </c>
      <c r="C28" s="223">
        <v>0.11</v>
      </c>
    </row>
    <row r="29" spans="2:9" x14ac:dyDescent="0.2">
      <c r="B29" s="186" t="s">
        <v>419</v>
      </c>
      <c r="C29" s="223">
        <v>0.12</v>
      </c>
    </row>
    <row r="33" spans="2:8" x14ac:dyDescent="0.2">
      <c r="B33" s="256" t="s">
        <v>346</v>
      </c>
      <c r="C33" s="256"/>
      <c r="D33" s="256"/>
      <c r="E33" s="256"/>
      <c r="F33" s="256"/>
      <c r="G33" s="256"/>
      <c r="H33" s="256"/>
    </row>
    <row r="35" spans="2:8" x14ac:dyDescent="0.2">
      <c r="B35" s="16" t="s">
        <v>347</v>
      </c>
      <c r="C35" s="1" t="s">
        <v>417</v>
      </c>
    </row>
    <row r="36" spans="2:8" x14ac:dyDescent="0.2">
      <c r="B36" s="16" t="s">
        <v>348</v>
      </c>
      <c r="C36" s="1" t="s">
        <v>418</v>
      </c>
    </row>
    <row r="39" spans="2:8" ht="6" customHeight="1" x14ac:dyDescent="0.2">
      <c r="B39" s="256"/>
      <c r="C39" s="256"/>
      <c r="D39" s="256"/>
      <c r="E39" s="256"/>
      <c r="F39" s="256"/>
      <c r="G39" s="256"/>
      <c r="H39" s="256"/>
    </row>
    <row r="42" spans="2:8" x14ac:dyDescent="0.2">
      <c r="B42" s="256" t="s">
        <v>349</v>
      </c>
      <c r="C42" s="256"/>
      <c r="D42" s="256"/>
      <c r="E42" s="256"/>
      <c r="F42" s="256"/>
      <c r="G42" s="256"/>
      <c r="H42" s="256"/>
    </row>
    <row r="44" spans="2:8" x14ac:dyDescent="0.2">
      <c r="B44" s="41" t="s">
        <v>350</v>
      </c>
      <c r="C44" s="41" t="s">
        <v>434</v>
      </c>
      <c r="D44" s="41"/>
      <c r="E44" s="41" t="s">
        <v>433</v>
      </c>
    </row>
    <row r="45" spans="2:8" x14ac:dyDescent="0.2">
      <c r="B45" s="1" t="s">
        <v>375</v>
      </c>
      <c r="C45" s="1" t="s">
        <v>435</v>
      </c>
    </row>
    <row r="46" spans="2:8" x14ac:dyDescent="0.2">
      <c r="B46" s="1" t="s">
        <v>375</v>
      </c>
      <c r="C46" s="1" t="s">
        <v>436</v>
      </c>
    </row>
    <row r="47" spans="2:8" x14ac:dyDescent="0.2">
      <c r="B47" s="1" t="s">
        <v>375</v>
      </c>
      <c r="C47" s="1" t="s">
        <v>437</v>
      </c>
    </row>
    <row r="50" spans="2:8" ht="5" customHeight="1" x14ac:dyDescent="0.2">
      <c r="B50" s="256"/>
      <c r="C50" s="256"/>
      <c r="D50" s="256"/>
      <c r="E50" s="256"/>
      <c r="F50" s="256"/>
      <c r="G50" s="256"/>
      <c r="H50" s="256"/>
    </row>
    <row r="53" spans="2:8" x14ac:dyDescent="0.2">
      <c r="B53" s="256" t="s">
        <v>109</v>
      </c>
      <c r="C53" s="256"/>
      <c r="D53" s="256"/>
      <c r="E53" s="256"/>
      <c r="F53" s="256"/>
      <c r="G53" s="256"/>
      <c r="H53" s="256"/>
    </row>
    <row r="58" spans="2:8" x14ac:dyDescent="0.2">
      <c r="B58" s="41" t="s">
        <v>350</v>
      </c>
      <c r="C58" s="41" t="s">
        <v>373</v>
      </c>
      <c r="D58" s="41"/>
      <c r="E58" s="41" t="s">
        <v>374</v>
      </c>
    </row>
    <row r="59" spans="2:8" x14ac:dyDescent="0.2">
      <c r="B59" s="1" t="s">
        <v>375</v>
      </c>
      <c r="C59" s="1" t="s">
        <v>376</v>
      </c>
      <c r="E59" s="1" t="s">
        <v>377</v>
      </c>
    </row>
    <row r="60" spans="2:8" x14ac:dyDescent="0.2">
      <c r="B60" s="1" t="s">
        <v>375</v>
      </c>
      <c r="C60" s="1" t="s">
        <v>378</v>
      </c>
      <c r="E60" s="1" t="s">
        <v>379</v>
      </c>
    </row>
    <row r="62" spans="2:8" x14ac:dyDescent="0.2">
      <c r="B62" s="41" t="s">
        <v>350</v>
      </c>
      <c r="C62" s="41" t="s">
        <v>397</v>
      </c>
      <c r="D62" s="41"/>
      <c r="E62" s="41" t="s">
        <v>87</v>
      </c>
    </row>
    <row r="63" spans="2:8" x14ac:dyDescent="0.2">
      <c r="B63" s="1" t="s">
        <v>375</v>
      </c>
      <c r="C63" s="1" t="s">
        <v>376</v>
      </c>
      <c r="E63" s="1" t="s">
        <v>377</v>
      </c>
    </row>
    <row r="64" spans="2:8" x14ac:dyDescent="0.2">
      <c r="B64" s="1" t="s">
        <v>375</v>
      </c>
      <c r="C64" s="1" t="s">
        <v>378</v>
      </c>
      <c r="E64" s="1" t="s">
        <v>379</v>
      </c>
    </row>
    <row r="66" spans="2:8" ht="5" customHeight="1" x14ac:dyDescent="0.2">
      <c r="B66" s="256"/>
      <c r="C66" s="256"/>
      <c r="D66" s="256"/>
      <c r="E66" s="256"/>
      <c r="F66" s="256"/>
      <c r="G66" s="256"/>
      <c r="H66" s="256"/>
    </row>
  </sheetData>
  <mergeCells count="12">
    <mergeCell ref="B2:C2"/>
    <mergeCell ref="B17:C17"/>
    <mergeCell ref="B25:C25"/>
    <mergeCell ref="E2:F2"/>
    <mergeCell ref="H2:I2"/>
    <mergeCell ref="E25:F25"/>
    <mergeCell ref="B53:H53"/>
    <mergeCell ref="B66:H66"/>
    <mergeCell ref="B33:H33"/>
    <mergeCell ref="B39:H39"/>
    <mergeCell ref="B42:H42"/>
    <mergeCell ref="B50:H50"/>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W13"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369</v>
      </c>
      <c r="N2" s="10" t="s">
        <v>370</v>
      </c>
      <c r="O2" s="10" t="s">
        <v>371</v>
      </c>
      <c r="P2" s="10" t="s">
        <v>372</v>
      </c>
      <c r="Q2" s="10" t="s">
        <v>373</v>
      </c>
      <c r="R2" s="7"/>
      <c r="S2" s="7"/>
      <c r="T2" s="10" t="s">
        <v>394</v>
      </c>
      <c r="U2" s="10" t="s">
        <v>372</v>
      </c>
      <c r="V2" s="10" t="s">
        <v>395</v>
      </c>
      <c r="W2" s="10" t="s">
        <v>396</v>
      </c>
      <c r="X2" s="205" t="s">
        <v>397</v>
      </c>
      <c r="Y2" s="205" t="s">
        <v>373</v>
      </c>
      <c r="Z2" s="205" t="s">
        <v>398</v>
      </c>
      <c r="AA2" s="205" t="s">
        <v>431</v>
      </c>
      <c r="AB2" s="7"/>
      <c r="AD2" s="7"/>
      <c r="AE2" s="7"/>
    </row>
    <row r="3" spans="1:31" s="13" customFormat="1" x14ac:dyDescent="0.2">
      <c r="A3" s="11"/>
      <c r="B3" s="12" t="s">
        <v>17</v>
      </c>
      <c r="M3" s="13">
        <v>2021</v>
      </c>
      <c r="N3" s="13">
        <v>2022</v>
      </c>
      <c r="O3" s="13">
        <v>2023</v>
      </c>
      <c r="P3" s="13">
        <v>2024</v>
      </c>
      <c r="Q3" s="13">
        <v>2025</v>
      </c>
      <c r="R3" s="11"/>
      <c r="S3" s="11"/>
      <c r="T3" s="10" t="s">
        <v>399</v>
      </c>
      <c r="U3" s="10" t="s">
        <v>400</v>
      </c>
      <c r="V3" s="10" t="s">
        <v>401</v>
      </c>
      <c r="W3" s="10" t="s">
        <v>88</v>
      </c>
      <c r="X3" s="205" t="s">
        <v>87</v>
      </c>
      <c r="Y3" s="205" t="s">
        <v>86</v>
      </c>
      <c r="Z3" s="205" t="s">
        <v>89</v>
      </c>
      <c r="AA3" s="205" t="s">
        <v>430</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364</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343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344</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342</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244</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245</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340</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341</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143.68</v>
      </c>
    </row>
    <row r="117" spans="1:31" x14ac:dyDescent="0.2">
      <c r="B117" s="20" t="s">
        <v>353</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143.68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239</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Y132" si="120">IF(T131&gt;T130, "BEAT", IF(T131&lt;T129, "MISSED", "MET"))</f>
        <v>BEAT</v>
      </c>
      <c r="U132" s="227" t="str">
        <f t="shared" si="120"/>
        <v>BEAT</v>
      </c>
      <c r="V132" s="227" t="str">
        <f t="shared" si="120"/>
        <v>BEAT</v>
      </c>
      <c r="W132" s="227" t="str">
        <f t="shared" si="120"/>
        <v>BEAT</v>
      </c>
      <c r="X132" s="227" t="str">
        <f t="shared" si="120"/>
        <v>BEAT</v>
      </c>
      <c r="Y132" s="227" t="str">
        <f t="shared" si="120"/>
        <v>BEAT</v>
      </c>
      <c r="Z132" s="227" t="str">
        <f>IF(Z131&gt;Z130, "BEAT", IF(Z131&lt;Z129, "MISSED", "MET"))</f>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260</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Z142" si="138">(T108-T107)/T49</f>
        <v>-1.1381695975332329</v>
      </c>
      <c r="U142" s="181">
        <f t="shared" si="138"/>
        <v>-1.1835995391425627</v>
      </c>
      <c r="V142" s="181">
        <f t="shared" si="138"/>
        <v>-1.2112223184378168</v>
      </c>
      <c r="W142" s="181">
        <f t="shared" si="138"/>
        <v>-1.2008267905521934</v>
      </c>
      <c r="X142" s="181">
        <f t="shared" si="138"/>
        <v>-0.93319510928545912</v>
      </c>
      <c r="Y142" s="181">
        <f t="shared" si="138"/>
        <v>-0.94696311671959887</v>
      </c>
      <c r="Z142" s="181">
        <f t="shared" si="138"/>
        <v>-1.0000409552194194</v>
      </c>
      <c r="AA142" s="181">
        <f t="shared" ref="AA142" si="139">(AA108-AA107)/AA49</f>
        <v>-1.00483563659166</v>
      </c>
      <c r="AC142" s="181">
        <f>(AC108-AC107)/AC49</f>
        <v>-1.00483563659166</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Z145" si="144">IF(T13&gt;=0,"N/A",IF(T12&lt;=0,"N/A",T12/-T13))</f>
        <v>N/A</v>
      </c>
      <c r="U145" s="183" t="str">
        <f t="shared" si="144"/>
        <v>N/A</v>
      </c>
      <c r="V145" s="183" t="str">
        <f t="shared" si="144"/>
        <v>N/A</v>
      </c>
      <c r="W145" s="183" t="str">
        <f t="shared" si="144"/>
        <v>N/A</v>
      </c>
      <c r="X145" s="183" t="str">
        <f t="shared" si="144"/>
        <v>N/A</v>
      </c>
      <c r="Y145" s="183" t="str">
        <f t="shared" si="144"/>
        <v>N/A</v>
      </c>
      <c r="Z145" s="183" t="str">
        <f t="shared" si="144"/>
        <v>N/A</v>
      </c>
      <c r="AA145" s="183" t="str">
        <f t="shared" ref="AA145" si="145">IF(AA13&gt;=0,"N/A",IF(AA12&lt;=0,"N/A",AA12/-AA13))</f>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45.749264830200104</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6.1702618801045945</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4.7683990971397607</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145">
        <f>Statement!T117*Statement!T78</f>
        <v>13606336.92</v>
      </c>
      <c r="U149" s="145">
        <f>Statement!U117*Statement!U78</f>
        <v>15882768</v>
      </c>
      <c r="V149" s="145">
        <f>Statement!V117*Statement!V78</f>
        <v>15155594.16</v>
      </c>
      <c r="W149" s="145">
        <f>Statement!W117*Statement!W78</f>
        <v>20177904.239999998</v>
      </c>
      <c r="X149" s="145">
        <f>Statement!X117*Statement!X78</f>
        <v>15905976.479999999</v>
      </c>
      <c r="Y149" s="145">
        <f>Statement!Y117*Statement!Y78</f>
        <v>8845485.8999999985</v>
      </c>
      <c r="Z149" s="145">
        <f>Statement!Z117*Statement!Z78</f>
        <v>4808934.59</v>
      </c>
      <c r="AA149" s="145">
        <f>Statement!AA117*Statement!AA78</f>
        <v>5765032.4399999995</v>
      </c>
      <c r="AC149" s="145">
        <f ca="1">Statement!AC117*Statement!AC78</f>
        <v>7201528.96</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145">
        <f t="shared" ref="T150:Z150" si="146">T149+T108-T107+T48+T45</f>
        <v>12670245.92</v>
      </c>
      <c r="U150" s="145">
        <f t="shared" si="146"/>
        <v>14906831</v>
      </c>
      <c r="V150" s="145">
        <f t="shared" si="146"/>
        <v>14072972.16</v>
      </c>
      <c r="W150" s="145">
        <f t="shared" si="146"/>
        <v>19004659.239999998</v>
      </c>
      <c r="X150" s="145">
        <f t="shared" si="146"/>
        <v>14685787.479999999</v>
      </c>
      <c r="Y150" s="145">
        <f t="shared" si="146"/>
        <v>7569920.8999999985</v>
      </c>
      <c r="Z150" s="145">
        <f t="shared" si="146"/>
        <v>3417113.59</v>
      </c>
      <c r="AA150" s="145">
        <f t="shared" ref="AA150" si="147">AA149+AA108-AA107+AA48+AA45</f>
        <v>4348473.4399999995</v>
      </c>
      <c r="AC150" s="145">
        <f ca="1">AC149+AC108-AC107+AC48+AC45</f>
        <v>5784969.96</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5.052366685822383</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36.827004233376833</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272</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28.484807214619096</v>
      </c>
    </row>
    <row r="156" spans="2:29" x14ac:dyDescent="0.2">
      <c r="B156" s="20" t="s">
        <v>273</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34.696361055846559</v>
      </c>
    </row>
    <row r="157" spans="2:29" x14ac:dyDescent="0.2">
      <c r="B157" s="20" t="s">
        <v>274</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3.5106433842626662E-2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2.1858274744119555E-2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9.665030910324909E-3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9.665030910324909E-3</v>
      </c>
    </row>
    <row r="162" spans="2:29" x14ac:dyDescent="0.2">
      <c r="B162" s="20" t="s">
        <v>354</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0.14561661603907672</v>
      </c>
    </row>
    <row r="163" spans="2:29" x14ac:dyDescent="0.2">
      <c r="B163" s="20" t="s">
        <v>355</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0.22080310776749734</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0.27530654220393957</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0.27530654220393957</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0.14520569809664419</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Z169" si="157">T54/T59</f>
        <v>0.51467112161657813</v>
      </c>
      <c r="U169" s="156">
        <f t="shared" si="157"/>
        <v>0.357398253023613</v>
      </c>
      <c r="V169" s="156">
        <f t="shared" si="157"/>
        <v>0.29364485804356677</v>
      </c>
      <c r="W169" s="156">
        <f t="shared" si="157"/>
        <v>0.38149434794596088</v>
      </c>
      <c r="X169" s="156">
        <f t="shared" si="157"/>
        <v>0.42219162145799449</v>
      </c>
      <c r="Y169" s="156">
        <f t="shared" si="157"/>
        <v>0.33801897872816422</v>
      </c>
      <c r="Z169" s="156">
        <f t="shared" si="157"/>
        <v>0.22979883399327458</v>
      </c>
      <c r="AA169" s="156">
        <f t="shared" ref="AA169" si="158">AA54/AA59</f>
        <v>0.43292544754135509</v>
      </c>
      <c r="AC169" s="156">
        <f>AC54/AC59</f>
        <v>0.33604615513252878</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Z170" si="159">T54/T5</f>
        <v>0.15036293965544098</v>
      </c>
      <c r="U170" s="156">
        <f t="shared" si="159"/>
        <v>0.14214745884037222</v>
      </c>
      <c r="V170" s="156">
        <f t="shared" si="159"/>
        <v>0.13442661315836232</v>
      </c>
      <c r="W170" s="156">
        <f t="shared" si="159"/>
        <v>0.13712564168632194</v>
      </c>
      <c r="X170" s="156">
        <f t="shared" si="159"/>
        <v>0.13089178655419506</v>
      </c>
      <c r="Y170" s="156">
        <f t="shared" si="159"/>
        <v>0.1281940693185514</v>
      </c>
      <c r="Z170" s="156">
        <f t="shared" si="159"/>
        <v>0.11866752064445639</v>
      </c>
      <c r="AA170" s="156">
        <f t="shared" ref="AA170" si="160">AA54/AA5</f>
        <v>0.12802642953352947</v>
      </c>
      <c r="AC170" s="156">
        <f>AC54/AC5</f>
        <v>0.12636135133388413</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0.1967025346795245</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Z173" si="163">-T110/T5</f>
        <v>2.60807709482123E-2</v>
      </c>
      <c r="U173" s="156">
        <f t="shared" si="163"/>
        <v>1.1643999045573849E-2</v>
      </c>
      <c r="V173" s="156">
        <f t="shared" si="163"/>
        <v>1.1350290149647009E-2</v>
      </c>
      <c r="W173" s="156">
        <f t="shared" si="163"/>
        <v>1.7247735516223019E-2</v>
      </c>
      <c r="X173" s="156">
        <f t="shared" si="163"/>
        <v>2.5331875913187814E-2</v>
      </c>
      <c r="Y173" s="156">
        <f t="shared" si="163"/>
        <v>4.7888060862310337E-2</v>
      </c>
      <c r="Z173" s="156">
        <f t="shared" si="163"/>
        <v>1.0223758164450092E-2</v>
      </c>
      <c r="AA173" s="156">
        <f t="shared" ref="AA173" si="164">-AA110/AA5</f>
        <v>3.2266278890549296E-2</v>
      </c>
      <c r="AC173" s="156">
        <f>-AC110/AC5</f>
        <v>2.8859338236963777E-2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Z174" si="165">-(T110/T59)</f>
        <v>8.9270798158778683E-2</v>
      </c>
      <c r="U174" s="156">
        <f t="shared" si="165"/>
        <v>2.9276252639662124E-2</v>
      </c>
      <c r="V174" s="156">
        <f t="shared" si="165"/>
        <v>2.4793857863695316E-2</v>
      </c>
      <c r="W174" s="156">
        <f t="shared" si="165"/>
        <v>4.7984560242624756E-2</v>
      </c>
      <c r="X174" s="156">
        <f t="shared" si="165"/>
        <v>8.1707997483350947E-2</v>
      </c>
      <c r="Y174" s="156">
        <f t="shared" si="165"/>
        <v>0.12627006469173549</v>
      </c>
      <c r="Z174" s="156">
        <f t="shared" si="165"/>
        <v>1.9798237061503871E-2</v>
      </c>
      <c r="AA174" s="156">
        <f t="shared" ref="AA174" si="166">-(AA110/AA59)</f>
        <v>0.10910944935418083</v>
      </c>
      <c r="AC174" s="156">
        <f>-(AC110/AC59)</f>
        <v>7.6748701654635487E-2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Z175" si="167">-T110/T53</f>
        <v>1.7465229485396383</v>
      </c>
      <c r="U175" s="156">
        <f t="shared" si="167"/>
        <v>0.66648456705818082</v>
      </c>
      <c r="V175" s="156">
        <f t="shared" si="167"/>
        <v>0.7295264623955432</v>
      </c>
      <c r="W175" s="156">
        <f t="shared" si="167"/>
        <v>1.2648255813953488</v>
      </c>
      <c r="X175" s="156">
        <f t="shared" si="167"/>
        <v>1.9372361384745285</v>
      </c>
      <c r="Y175" s="156">
        <f t="shared" si="167"/>
        <v>3.5572478991596639</v>
      </c>
      <c r="Z175" s="156">
        <f t="shared" si="167"/>
        <v>0.71224051539012168</v>
      </c>
      <c r="AA175" s="156">
        <f t="shared" ref="AA175" si="168">-AA110/AA53</f>
        <v>2.2674829291264422</v>
      </c>
      <c r="AC175" s="156">
        <f>-AC110/AC53</f>
        <v>2.0915247800493701</v>
      </c>
    </row>
    <row r="176" spans="2:29" x14ac:dyDescent="0.2">
      <c r="B176" s="20" t="s">
        <v>368</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0.55208676377912136</v>
      </c>
    </row>
    <row r="177" spans="1:31" x14ac:dyDescent="0.2">
      <c r="B177" s="20" t="s">
        <v>365</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366</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367</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380</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381</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382</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383</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384</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380</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381</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382</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383</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384</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360</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361</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362</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363</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385</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386</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387</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388</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31" t="s">
        <v>389</v>
      </c>
      <c r="M213" s="232">
        <f>M183/M211</f>
        <v>72.279200000000003</v>
      </c>
      <c r="N213" s="232">
        <f t="shared" ref="N213:Q213" si="194">N183/N211</f>
        <v>65.120714285714286</v>
      </c>
      <c r="O213" s="232">
        <f t="shared" si="194"/>
        <v>61.315757575757573</v>
      </c>
      <c r="P213" s="232">
        <f t="shared" si="194"/>
        <v>63.950631578947366</v>
      </c>
      <c r="Q213" s="232">
        <f t="shared" si="194"/>
        <v>71.593606557377043</v>
      </c>
      <c r="T213" s="232">
        <f t="shared" ref="T213:Z213" si="195">T183/T211</f>
        <v>18.327558139534883</v>
      </c>
      <c r="U213" s="232">
        <f t="shared" si="195"/>
        <v>18.349157894736841</v>
      </c>
      <c r="V213" s="232">
        <f t="shared" si="195"/>
        <v>18.542427184466021</v>
      </c>
      <c r="W213" s="232">
        <f t="shared" si="195"/>
        <v>19.328256880733946</v>
      </c>
      <c r="X213" s="232">
        <f t="shared" si="195"/>
        <v>19.955739130434782</v>
      </c>
      <c r="Y213" s="232">
        <f t="shared" si="195"/>
        <v>19.859508196721311</v>
      </c>
      <c r="Z213" s="232">
        <f t="shared" si="195"/>
        <v>20.07264</v>
      </c>
      <c r="AA213" s="232">
        <f t="shared" ref="AA213:AC213" si="196">AA183/AA211</f>
        <v>20.317716535433071</v>
      </c>
      <c r="AC213" s="232">
        <f t="shared" si="196"/>
        <v>77.222047244094483</v>
      </c>
    </row>
    <row r="214" spans="2:29" x14ac:dyDescent="0.2">
      <c r="B214" s="231" t="s">
        <v>390</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31" t="s">
        <v>391</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31" t="s">
        <v>392</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31" t="s">
        <v>393</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31" t="s">
        <v>432</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6" t="s">
        <v>242</v>
      </c>
      <c r="C4" s="256"/>
      <c r="E4" s="256" t="s">
        <v>249</v>
      </c>
      <c r="F4" s="256"/>
      <c r="G4" s="256"/>
    </row>
    <row r="5" spans="2:7" x14ac:dyDescent="0.2">
      <c r="B5" s="20" t="s">
        <v>1</v>
      </c>
      <c r="C5" s="174">
        <f ca="1">Overview!C5</f>
        <v>143.68</v>
      </c>
      <c r="E5" s="12"/>
      <c r="F5" s="134" t="s">
        <v>250</v>
      </c>
      <c r="G5" s="134" t="s">
        <v>251</v>
      </c>
    </row>
    <row r="6" spans="2:7" x14ac:dyDescent="0.2">
      <c r="B6" s="20" t="s">
        <v>248</v>
      </c>
      <c r="C6" s="175">
        <f ca="1">Statement!AC149</f>
        <v>7201528.96</v>
      </c>
      <c r="E6" s="20" t="s">
        <v>20</v>
      </c>
      <c r="F6" s="180">
        <f>IF(Statement!M5&lt;=0,"N/A",_xlfn.RRI(4,Statement!M5,Statement!Q5))</f>
        <v>0.42622018562456243</v>
      </c>
      <c r="G6" s="180" t="str">
        <f>IF(Statement!H5&lt;=0,"N/A",_xlfn.RRI(9,Statement!H5,Statement!Q5))</f>
        <v>N/A</v>
      </c>
    </row>
    <row r="7" spans="2:7" x14ac:dyDescent="0.2">
      <c r="B7" s="20" t="s">
        <v>192</v>
      </c>
      <c r="C7" s="175">
        <f ca="1">Statement!AC150</f>
        <v>5784969.96</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45.749264830200104</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6.1702618801045945</v>
      </c>
      <c r="E9" s="20" t="s">
        <v>253</v>
      </c>
      <c r="F9" s="180" t="str">
        <f>IF(Statement!M82&lt;=0,"N/A",_xlfn.RRI(4,Statement!M82,Statement!Q82))</f>
        <v>N/A</v>
      </c>
      <c r="G9" s="180" t="str">
        <f>IF(Statement!H82&lt;=0,"N/A",_xlfn.RRI(9,Statement!H82,Statement!Q82))</f>
        <v>N/A</v>
      </c>
    </row>
    <row r="10" spans="2:7" x14ac:dyDescent="0.2">
      <c r="B10" s="20" t="s">
        <v>247</v>
      </c>
      <c r="C10" s="176">
        <f ca="1">Statement!AC148</f>
        <v>4.7683990971397607</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5.052366685822383</v>
      </c>
    </row>
    <row r="12" spans="2:7" x14ac:dyDescent="0.2">
      <c r="B12" s="20" t="s">
        <v>208</v>
      </c>
      <c r="C12" s="176">
        <f ca="1">Statement!AC152</f>
        <v>36.827004233376833</v>
      </c>
    </row>
    <row r="15" spans="2:7" x14ac:dyDescent="0.2">
      <c r="B15" s="256" t="s">
        <v>78</v>
      </c>
      <c r="C15" s="256"/>
      <c r="E15" s="256" t="s">
        <v>255</v>
      </c>
      <c r="F15" s="256"/>
    </row>
    <row r="16" spans="2:7" x14ac:dyDescent="0.2">
      <c r="B16" s="20" t="s">
        <v>79</v>
      </c>
      <c r="C16" s="177">
        <f>Statement!AC101</f>
        <v>0.7271742756781211</v>
      </c>
      <c r="E16" s="20" t="s">
        <v>32</v>
      </c>
      <c r="F16" s="175">
        <f>Statement!AC18</f>
        <v>154067</v>
      </c>
    </row>
    <row r="17" spans="2:6" x14ac:dyDescent="0.2">
      <c r="B17" s="20" t="s">
        <v>80</v>
      </c>
      <c r="C17" s="177">
        <f>Statement!AC102</f>
        <v>0.13719190010148455</v>
      </c>
      <c r="E17" s="20" t="s">
        <v>256</v>
      </c>
      <c r="F17" s="175">
        <f>Statement!AC59</f>
        <v>430548</v>
      </c>
    </row>
    <row r="18" spans="2:6" x14ac:dyDescent="0.2">
      <c r="B18" s="20" t="s">
        <v>81</v>
      </c>
      <c r="C18" s="177">
        <f>Statement!AC103</f>
        <v>0.13455609684524569</v>
      </c>
      <c r="E18" s="20" t="s">
        <v>263</v>
      </c>
      <c r="F18" s="179">
        <f>IF(OR(F16&lt;=0, F17&lt;=0),"N/A",F16-F17)</f>
        <v>-276481</v>
      </c>
    </row>
    <row r="21" spans="2:6" x14ac:dyDescent="0.2">
      <c r="B21" s="256" t="s">
        <v>254</v>
      </c>
      <c r="C21" s="256"/>
      <c r="E21" s="256" t="s">
        <v>258</v>
      </c>
      <c r="F21" s="256"/>
    </row>
    <row r="22" spans="2:6" x14ac:dyDescent="0.2">
      <c r="B22" s="20" t="s">
        <v>100</v>
      </c>
      <c r="C22" s="177">
        <f>Statement!AC121</f>
        <v>0.13455609684524569</v>
      </c>
      <c r="E22" s="20" t="s">
        <v>102</v>
      </c>
      <c r="F22" s="177">
        <f>C24</f>
        <v>7.428664005404173E-2</v>
      </c>
    </row>
    <row r="23" spans="2:6" x14ac:dyDescent="0.2">
      <c r="B23" s="20" t="s">
        <v>101</v>
      </c>
      <c r="C23" s="176">
        <f>Statement!AC122</f>
        <v>0.55208676377912136</v>
      </c>
      <c r="E23" s="20" t="s">
        <v>104</v>
      </c>
      <c r="F23" s="177">
        <f>C26</f>
        <v>0.10928737315054812</v>
      </c>
    </row>
    <row r="24" spans="2:6" x14ac:dyDescent="0.2">
      <c r="B24" s="32" t="s">
        <v>102</v>
      </c>
      <c r="C24" s="178">
        <f>Statement!AC123</f>
        <v>7.428664005404173E-2</v>
      </c>
      <c r="E24" s="20" t="s">
        <v>105</v>
      </c>
      <c r="F24" s="177">
        <f>Statement!AC136</f>
        <v>-17.586668123511064</v>
      </c>
    </row>
    <row r="25" spans="2:6" x14ac:dyDescent="0.2">
      <c r="B25" s="20" t="s">
        <v>103</v>
      </c>
      <c r="C25" s="176">
        <f>Statement!AC124</f>
        <v>1.4711578430663199</v>
      </c>
    </row>
    <row r="26" spans="2:6" x14ac:dyDescent="0.2">
      <c r="B26" s="32" t="s">
        <v>104</v>
      </c>
      <c r="C26" s="178">
        <f>Statement!AC125</f>
        <v>0.10928737315054812</v>
      </c>
    </row>
    <row r="29" spans="2:6" x14ac:dyDescent="0.2">
      <c r="B29" s="256" t="s">
        <v>259</v>
      </c>
      <c r="C29" s="256"/>
      <c r="E29" s="256" t="s">
        <v>265</v>
      </c>
      <c r="F29" s="256"/>
    </row>
    <row r="30" spans="2:6" x14ac:dyDescent="0.2">
      <c r="B30" s="20" t="s">
        <v>143</v>
      </c>
      <c r="C30" s="176">
        <f>Statement!AC137</f>
        <v>41.753058073261009</v>
      </c>
      <c r="E30" s="20" t="s">
        <v>266</v>
      </c>
      <c r="F30" s="182">
        <f>Statement!AC141</f>
        <v>0</v>
      </c>
    </row>
    <row r="31" spans="2:6" x14ac:dyDescent="0.2">
      <c r="B31" s="20" t="s">
        <v>144</v>
      </c>
      <c r="C31" s="176">
        <f>Statement!AC138</f>
        <v>0</v>
      </c>
      <c r="E31" s="20" t="s">
        <v>267</v>
      </c>
      <c r="F31" s="182">
        <f>Statement!AC142</f>
        <v>-1.00483563659166</v>
      </c>
    </row>
    <row r="32" spans="2:6" x14ac:dyDescent="0.2">
      <c r="B32" s="20" t="s">
        <v>145</v>
      </c>
      <c r="C32" s="176">
        <f>Statement!AC139</f>
        <v>18.923831413699716</v>
      </c>
      <c r="E32" s="20" t="s">
        <v>262</v>
      </c>
      <c r="F32" s="182">
        <f>Statement!AC144</f>
        <v>2.8920362803785871</v>
      </c>
    </row>
    <row r="33" spans="2:6" x14ac:dyDescent="0.2">
      <c r="B33" s="20" t="s">
        <v>146</v>
      </c>
      <c r="C33" s="176">
        <f>Statement!AC140</f>
        <v>22.829226659561293</v>
      </c>
      <c r="E33" s="20" t="s">
        <v>261</v>
      </c>
      <c r="F33" s="182">
        <f>Statement!AC143</f>
        <v>2.6781751821027875</v>
      </c>
    </row>
    <row r="34" spans="2:6" x14ac:dyDescent="0.2">
      <c r="E34" s="20" t="s">
        <v>268</v>
      </c>
      <c r="F34" s="184" t="str">
        <f>Statement!AC145</f>
        <v>N/A</v>
      </c>
    </row>
    <row r="37" spans="2:6" x14ac:dyDescent="0.2">
      <c r="B37" s="256" t="s">
        <v>277</v>
      </c>
      <c r="C37" s="256"/>
      <c r="E37" s="256" t="s">
        <v>280</v>
      </c>
      <c r="F37" s="256"/>
    </row>
    <row r="38" spans="2:6" x14ac:dyDescent="0.2">
      <c r="B38" s="20" t="s">
        <v>275</v>
      </c>
      <c r="C38" s="177">
        <f ca="1">Statement!AC158</f>
        <v>2.1858274744119555E-2</v>
      </c>
      <c r="E38" s="20" t="s">
        <v>279</v>
      </c>
      <c r="F38" s="177">
        <f>Statement!AC164</f>
        <v>0</v>
      </c>
    </row>
    <row r="39" spans="2:6" x14ac:dyDescent="0.2">
      <c r="B39" s="54" t="s">
        <v>278</v>
      </c>
      <c r="C39" s="217">
        <f ca="1">Statement!AC157</f>
        <v>3.5106433842626662E-2</v>
      </c>
      <c r="E39" s="20" t="s">
        <v>281</v>
      </c>
      <c r="F39" s="177">
        <f>Statement!AC165</f>
        <v>0.27530654220393957</v>
      </c>
    </row>
    <row r="40" spans="2:6" x14ac:dyDescent="0.2">
      <c r="B40" s="20" t="s">
        <v>276</v>
      </c>
      <c r="C40" s="177">
        <f ca="1">Statement!AC159</f>
        <v>0</v>
      </c>
      <c r="E40" s="20" t="s">
        <v>282</v>
      </c>
      <c r="F40" s="177">
        <f>Statement!AC166</f>
        <v>0.27530654220393957</v>
      </c>
    </row>
    <row r="41" spans="2:6" x14ac:dyDescent="0.2">
      <c r="B41" s="20" t="s">
        <v>301</v>
      </c>
      <c r="C41" s="177">
        <f ca="1">Statement!AC160</f>
        <v>9.665030910324909E-3</v>
      </c>
    </row>
    <row r="42" spans="2:6" x14ac:dyDescent="0.2">
      <c r="B42" s="20" t="s">
        <v>303</v>
      </c>
      <c r="C42" s="177">
        <f ca="1">Statement!AC161</f>
        <v>9.665030910324909E-3</v>
      </c>
    </row>
    <row r="45" spans="2:6" x14ac:dyDescent="0.2">
      <c r="B45" s="256" t="s">
        <v>288</v>
      </c>
      <c r="C45" s="256"/>
      <c r="E45" s="256" t="s">
        <v>294</v>
      </c>
      <c r="F45" s="256"/>
    </row>
    <row r="46" spans="2:6" x14ac:dyDescent="0.2">
      <c r="B46" s="20" t="s">
        <v>286</v>
      </c>
      <c r="C46" s="177">
        <f>Statement!AC167</f>
        <v>0.14520569809664419</v>
      </c>
      <c r="E46" s="20" t="s">
        <v>287</v>
      </c>
      <c r="F46" s="176">
        <f>Statement!AC168</f>
        <v>30.277412046338647</v>
      </c>
    </row>
    <row r="47" spans="2:6" x14ac:dyDescent="0.2">
      <c r="E47" s="20" t="s">
        <v>295</v>
      </c>
      <c r="F47" s="176">
        <f>Statement!AC171</f>
        <v>30.277412046338647</v>
      </c>
    </row>
    <row r="48" spans="2:6" x14ac:dyDescent="0.2">
      <c r="E48" s="20" t="s">
        <v>300</v>
      </c>
      <c r="F48" s="177">
        <f ca="1">Statement!AC172</f>
        <v>0.1967025346795245</v>
      </c>
    </row>
    <row r="51" spans="2:6" x14ac:dyDescent="0.2">
      <c r="B51" s="256" t="s">
        <v>291</v>
      </c>
      <c r="C51" s="256"/>
      <c r="E51" s="256" t="s">
        <v>312</v>
      </c>
      <c r="F51" s="256"/>
    </row>
    <row r="52" spans="2:6" x14ac:dyDescent="0.2">
      <c r="B52" s="20" t="s">
        <v>289</v>
      </c>
      <c r="C52" s="177">
        <f>Statement!AC169</f>
        <v>0.33604615513252878</v>
      </c>
      <c r="E52" s="20" t="s">
        <v>313</v>
      </c>
      <c r="F52" s="177">
        <f>Statement!AC173</f>
        <v>2.8859338236963777E-2</v>
      </c>
    </row>
    <row r="53" spans="2:6" x14ac:dyDescent="0.2">
      <c r="B53" s="20" t="s">
        <v>290</v>
      </c>
      <c r="C53" s="177">
        <f>Statement!AC170</f>
        <v>0.12636135133388413</v>
      </c>
      <c r="E53" s="20" t="s">
        <v>310</v>
      </c>
      <c r="F53" s="177">
        <f>Statement!AC174</f>
        <v>7.6748701654635487E-2</v>
      </c>
    </row>
    <row r="54" spans="2:6" x14ac:dyDescent="0.2">
      <c r="E54" s="20" t="s">
        <v>311</v>
      </c>
      <c r="F54" s="177">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143.68</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7201528.96</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5784969.96</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45.749264830200104</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6.1702618801045945</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4.7683990971397607</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5.052366685822383</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36.827004233376833</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0.7271742756781211</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0.13719190010148455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0.13455609684524569</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154067</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430548</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-276481</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0.13455609684524569</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0.55208676377912136</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7.428664005404173E-2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1.4711578430663199</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0.10928737315054812</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7.428664005404173E-2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0.10928737315054812</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-17.586668123511064</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41.753058073261009</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18.923831413699716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22.829226659561293</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-1.00483563659166</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2.6781751821027875</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2.8920362803785871</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2.1858274744119555E-2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3.5106433842626662E-2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9.665030910324909E-3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9.665030910324909E-3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0.27530654220393957</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0.27530654220393957</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0.14520569809664419</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30.277412046338647</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30.277412046338647</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0.1967025346795245</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0.33604615513252878</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0.12636135133388413</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2.8859338236963777E-2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7.6748701654635487E-2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2.0915247800493701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0" t="s">
        <v>322</v>
      </c>
      <c r="D3" s="261"/>
      <c r="F3" s="262" t="s">
        <v>323</v>
      </c>
      <c r="G3" s="261"/>
    </row>
    <row r="4" spans="2:7" x14ac:dyDescent="0.2">
      <c r="B4" s="8"/>
      <c r="C4" s="10" t="str">
        <f>Statement!Z2</f>
        <v>31.03.2026</v>
      </c>
      <c r="D4" s="205" t="str">
        <f>Statement!AA2</f>
        <v>30.06.2026</v>
      </c>
      <c r="F4" s="206" t="str">
        <f>Statement!W2</f>
        <v>30.06.2025</v>
      </c>
      <c r="G4" s="205" t="str">
        <f>Statement!AA2</f>
        <v>30.06.2026</v>
      </c>
    </row>
    <row r="5" spans="2:7" x14ac:dyDescent="0.2">
      <c r="B5" s="8" t="s">
        <v>328</v>
      </c>
      <c r="C5" s="10" t="str">
        <f>Statement!Z3</f>
        <v>Q1 2026</v>
      </c>
      <c r="D5" s="205" t="str">
        <f>Statement!AA3</f>
        <v>Q2 2026</v>
      </c>
      <c r="F5" s="206" t="str">
        <f>Statement!W3</f>
        <v>Q2 2025</v>
      </c>
      <c r="G5" s="205" t="str">
        <f>Statement!AA3</f>
        <v>Q2 2026</v>
      </c>
    </row>
    <row r="6" spans="2:7" x14ac:dyDescent="0.2">
      <c r="B6" s="207" t="s">
        <v>20</v>
      </c>
      <c r="C6" s="201">
        <f>Statement!Z5</f>
        <v>291967</v>
      </c>
      <c r="D6" s="200">
        <f>Statement!AA5</f>
        <v>298454</v>
      </c>
      <c r="F6" s="201">
        <f>Statement!W5</f>
        <v>252265</v>
      </c>
      <c r="G6" s="200">
        <f>Statement!AA5</f>
        <v>298454</v>
      </c>
    </row>
    <row r="7" spans="2:7" x14ac:dyDescent="0.2">
      <c r="B7" s="208" t="s">
        <v>324</v>
      </c>
      <c r="C7" s="263">
        <f>Statement!AA89</f>
        <v>2.2218264392893719E-2</v>
      </c>
      <c r="D7" s="264"/>
      <c r="F7" s="263">
        <f>IF(F6=0,
IF(G6=0,0,IF(G6&gt;0,1,-1)),
(G6-F6)/ABS(F6)
)</f>
        <v>0.18309713991239371</v>
      </c>
      <c r="G7" s="264"/>
    </row>
    <row r="8" spans="2:7" x14ac:dyDescent="0.2">
      <c r="B8" s="209" t="s">
        <v>21</v>
      </c>
      <c r="C8" s="202">
        <f>Statement!Z6</f>
        <v>78871</v>
      </c>
      <c r="D8" s="200">
        <f>Statement!AA6</f>
        <v>81714</v>
      </c>
      <c r="F8" s="202">
        <f>Statement!W6</f>
        <v>69684</v>
      </c>
      <c r="G8" s="200">
        <f>Statement!AA6</f>
        <v>81714</v>
      </c>
    </row>
    <row r="9" spans="2:7" x14ac:dyDescent="0.2">
      <c r="B9" s="208" t="s">
        <v>324</v>
      </c>
      <c r="C9" s="263">
        <f>Statement!AA90</f>
        <v>3.6046202026093238E-2</v>
      </c>
      <c r="D9" s="264"/>
      <c r="F9" s="263">
        <f>IF(F8=0,
IF(G8=0,0,IF(G8&gt;0,1,-1)),
(G8-F8)/ABS(F8)
)</f>
        <v>0.17263647322197348</v>
      </c>
      <c r="G9" s="264"/>
    </row>
    <row r="10" spans="2:7" x14ac:dyDescent="0.2">
      <c r="B10" s="209" t="s">
        <v>22</v>
      </c>
      <c r="C10" s="202">
        <f>Statement!Z7</f>
        <v>213096</v>
      </c>
      <c r="D10" s="200">
        <f>Statement!AA7</f>
        <v>216740</v>
      </c>
      <c r="F10" s="202">
        <f>Statement!W7</f>
        <v>182581</v>
      </c>
      <c r="G10" s="200">
        <f>Statement!AA7</f>
        <v>216740</v>
      </c>
    </row>
    <row r="11" spans="2:7" x14ac:dyDescent="0.2">
      <c r="B11" s="208" t="s">
        <v>324</v>
      </c>
      <c r="C11" s="263">
        <f>Statement!AA91</f>
        <v>1.710027405488606E-2</v>
      </c>
      <c r="D11" s="264"/>
      <c r="F11" s="263">
        <f>IF(F10=0,
IF(G10=0,0,IF(G10&gt;0,1,-1)),
(G10-F10)/ABS(F10)
)</f>
        <v>0.1870895657269924</v>
      </c>
      <c r="G11" s="264"/>
    </row>
    <row r="12" spans="2:7" x14ac:dyDescent="0.2">
      <c r="B12" s="209" t="s">
        <v>26</v>
      </c>
      <c r="C12" s="202">
        <f>Statement!Z11</f>
        <v>168569</v>
      </c>
      <c r="D12" s="200">
        <f>Statement!AA11</f>
        <v>182795</v>
      </c>
      <c r="F12" s="202">
        <f>Statement!W11</f>
        <v>149218</v>
      </c>
      <c r="G12" s="200">
        <f>Statement!AA11</f>
        <v>182795</v>
      </c>
    </row>
    <row r="13" spans="2:7" x14ac:dyDescent="0.2">
      <c r="B13" s="208" t="s">
        <v>324</v>
      </c>
      <c r="C13" s="263">
        <f>Statement!AA95</f>
        <v>8.4392741251357012E-2</v>
      </c>
      <c r="D13" s="264"/>
      <c r="F13" s="263">
        <f>IF(F12=0,
IF(G12=0,0,IF(G12&gt;0,1,-1)),
(G12-F12)/ABS(F12)
)</f>
        <v>0.22501976973287405</v>
      </c>
      <c r="G13" s="264"/>
    </row>
    <row r="14" spans="2:7" x14ac:dyDescent="0.2">
      <c r="B14" s="209" t="s">
        <v>325</v>
      </c>
      <c r="C14" s="202">
        <f>Statement!Z12</f>
        <v>44527</v>
      </c>
      <c r="D14" s="200">
        <f>Statement!AA12</f>
        <v>33945</v>
      </c>
      <c r="F14" s="202">
        <f>Statement!W12</f>
        <v>33363</v>
      </c>
      <c r="G14" s="200">
        <f>Statement!AA12</f>
        <v>33945</v>
      </c>
    </row>
    <row r="15" spans="2:7" x14ac:dyDescent="0.2">
      <c r="B15" s="208" t="s">
        <v>324</v>
      </c>
      <c r="C15" s="263">
        <f>Statement!AA96</f>
        <v>-0.23765355851505829</v>
      </c>
      <c r="D15" s="264"/>
      <c r="F15" s="263">
        <f>IF(F14=0,
IF(G14=0,0,IF(G14&gt;0,1,-1)),
(G14-F14)/ABS(F14)
)</f>
        <v>1.7444474417768186E-2</v>
      </c>
      <c r="G15" s="264"/>
    </row>
    <row r="16" spans="2:7" x14ac:dyDescent="0.2">
      <c r="B16" s="209" t="s">
        <v>32</v>
      </c>
      <c r="C16" s="202">
        <f>Statement!Z18</f>
        <v>43460</v>
      </c>
      <c r="D16" s="200">
        <f>Statement!AA18</f>
        <v>33158</v>
      </c>
      <c r="F16" s="202">
        <f>Statement!W18</f>
        <v>44781</v>
      </c>
      <c r="G16" s="200">
        <f>Statement!AA18</f>
        <v>33158</v>
      </c>
    </row>
    <row r="17" spans="2:7" x14ac:dyDescent="0.2">
      <c r="B17" s="208" t="s">
        <v>324</v>
      </c>
      <c r="C17" s="263">
        <f>Statement!AA98</f>
        <v>-0.23704555913483663</v>
      </c>
      <c r="D17" s="264"/>
      <c r="F17" s="263">
        <f>IF(F16=0,
IF(G16=0,0,IF(G16&gt;0,1,-1)),
(G16-F16)/ABS(F16)
)</f>
        <v>-0.25955204216073779</v>
      </c>
      <c r="G17" s="264"/>
    </row>
    <row r="18" spans="2:7" x14ac:dyDescent="0.2">
      <c r="B18" s="209" t="s">
        <v>326</v>
      </c>
      <c r="C18" s="202">
        <f>Statement!Z22</f>
        <v>48987</v>
      </c>
      <c r="D18" s="200">
        <f>Statement!AA22</f>
        <v>50239.393939393936</v>
      </c>
      <c r="F18" s="202">
        <f>Statement!W22</f>
        <v>49000</v>
      </c>
      <c r="G18" s="200">
        <f>Statement!AA22</f>
        <v>50239.393939393936</v>
      </c>
    </row>
    <row r="19" spans="2:7" x14ac:dyDescent="0.2">
      <c r="B19" s="208" t="s">
        <v>324</v>
      </c>
      <c r="C19" s="263">
        <f>IF(C18=0,
IF(D18=0,0,IF(D18&gt;0,1,-1)),
(D18-C18)/ABS(C18)
)</f>
        <v>2.5565842762241744E-2</v>
      </c>
      <c r="D19" s="264"/>
      <c r="F19" s="263">
        <f>IF(F18=0,
IF(G18=0,0,IF(G18&gt;0,1,-1)),
(G18-F18)/ABS(F18)
)</f>
        <v>2.5293753865182372E-2</v>
      </c>
      <c r="G19" s="264"/>
    </row>
    <row r="20" spans="2:7" x14ac:dyDescent="0.2">
      <c r="B20" s="209" t="s">
        <v>39</v>
      </c>
      <c r="C20" s="203">
        <f>Statement!Z26</f>
        <v>0.89</v>
      </c>
      <c r="D20" s="204">
        <f>Statement!AA26</f>
        <v>0.66</v>
      </c>
      <c r="F20" s="203">
        <f>Statement!W26</f>
        <v>0.91</v>
      </c>
      <c r="G20" s="204">
        <f>Statement!AA26</f>
        <v>0.66</v>
      </c>
    </row>
    <row r="21" spans="2:7" x14ac:dyDescent="0.2">
      <c r="B21" s="208" t="s">
        <v>324</v>
      </c>
      <c r="C21" s="263">
        <f>IF(C20=0,
IF(D20=0,0,IF(D20&gt;0,1,-1)),
(D20-C20)/ABS(C20)
)</f>
        <v>-0.2584269662921348</v>
      </c>
      <c r="D21" s="264"/>
      <c r="F21" s="263">
        <f>IF(F20=0,
IF(G20=0,0,IF(G20&gt;0,1,-1)),
(G20-F20)/ABS(F20)
)</f>
        <v>-0.27472527472527469</v>
      </c>
      <c r="G21" s="264"/>
    </row>
    <row r="23" spans="2:7" x14ac:dyDescent="0.2">
      <c r="B23" s="8" t="s">
        <v>327</v>
      </c>
      <c r="C23" s="10" t="str">
        <f>C5</f>
        <v>Q1 2026</v>
      </c>
      <c r="D23" s="205" t="str">
        <f>D5</f>
        <v>Q2 2026</v>
      </c>
      <c r="F23" s="206" t="str">
        <f>F5</f>
        <v>Q2 2025</v>
      </c>
      <c r="G23" s="205" t="str">
        <f>G5</f>
        <v>Q2 2026</v>
      </c>
    </row>
    <row r="24" spans="2:7" x14ac:dyDescent="0.2">
      <c r="B24" s="20" t="str">
        <f>Statement!B183</f>
        <v>Subscription</v>
      </c>
      <c r="C24" s="202">
        <f>Statement!Z183</f>
        <v>250908</v>
      </c>
      <c r="D24" s="200">
        <f>Statement!AA183</f>
        <v>258035</v>
      </c>
      <c r="F24" s="202">
        <f>Statement!W183</f>
        <v>210678</v>
      </c>
      <c r="G24" s="200">
        <f>Statement!AA183</f>
        <v>258035</v>
      </c>
    </row>
    <row r="25" spans="2:7" x14ac:dyDescent="0.2">
      <c r="B25" s="208" t="s">
        <v>324</v>
      </c>
      <c r="C25" s="263">
        <f>IF(C24=0,
IF(D24=0,0,IF(D24&gt;0,1,-1)),
(D24-C24)/ABS(C24)
)</f>
        <v>2.840483364420425E-2</v>
      </c>
      <c r="D25" s="264"/>
      <c r="F25" s="263">
        <f>IF(F24=0,
IF(G24=0,0,IF(G24&gt;0,1,-1)),
(G24-F24)/ABS(F24)
)</f>
        <v>0.22478379327694395</v>
      </c>
      <c r="G25" s="264"/>
    </row>
    <row r="26" spans="2:7" x14ac:dyDescent="0.2">
      <c r="B26" s="20" t="str">
        <f>Statement!B184</f>
        <v>Advertising</v>
      </c>
      <c r="C26" s="202">
        <f>Statement!Z184</f>
        <v>20614</v>
      </c>
      <c r="D26" s="200">
        <f>Statement!AA184</f>
        <v>21052</v>
      </c>
      <c r="F26" s="202">
        <f>Statement!W184</f>
        <v>20603</v>
      </c>
      <c r="G26" s="200">
        <f>Statement!AA184</f>
        <v>21052</v>
      </c>
    </row>
    <row r="27" spans="2:7" x14ac:dyDescent="0.2">
      <c r="B27" s="208" t="s">
        <v>324</v>
      </c>
      <c r="C27" s="263">
        <f>IF(C26=0,
IF(D26=0,0,IF(D26&gt;0,1,-1)),
(D26-C26)/ABS(C26)
)</f>
        <v>2.1247695740758708E-2</v>
      </c>
      <c r="D27" s="264"/>
      <c r="F27" s="263">
        <f>IF(F26=0,
IF(G26=0,0,IF(G26&gt;0,1,-1)),
(G26-F26)/ABS(F26)
)</f>
        <v>2.1792942775323981E-2</v>
      </c>
      <c r="G27" s="264"/>
    </row>
    <row r="28" spans="2:7" x14ac:dyDescent="0.2">
      <c r="B28" s="20" t="str">
        <f>Statement!B185</f>
        <v>English test</v>
      </c>
      <c r="C28" s="202">
        <f>Statement!Z185</f>
        <v>11317</v>
      </c>
      <c r="D28" s="200">
        <f>Statement!AA185</f>
        <v>10109</v>
      </c>
      <c r="F28" s="202">
        <f>Statement!W185</f>
        <v>10088</v>
      </c>
      <c r="G28" s="200">
        <f>Statement!AA185</f>
        <v>10109</v>
      </c>
    </row>
    <row r="29" spans="2:7" x14ac:dyDescent="0.2">
      <c r="B29" s="208" t="s">
        <v>324</v>
      </c>
      <c r="C29" s="263">
        <f>IF(C28=0,
IF(D28=0,0,IF(D28&gt;0,1,-1)),
(D28-C28)/ABS(C28)
)</f>
        <v>-0.10674206945303526</v>
      </c>
      <c r="D29" s="264"/>
      <c r="F29" s="263">
        <f>IF(F28=0,
IF(G28=0,0,IF(G28&gt;0,1,-1)),
(G28-F28)/ABS(F28)
)</f>
        <v>2.0816812053925456E-3</v>
      </c>
      <c r="G29" s="264"/>
    </row>
    <row r="30" spans="2:7" x14ac:dyDescent="0.2">
      <c r="B30" s="20" t="str">
        <f>Statement!B186</f>
        <v>In-App purchases</v>
      </c>
      <c r="C30" s="202">
        <f>Statement!Z186</f>
        <v>8446</v>
      </c>
      <c r="D30" s="200">
        <f>Statement!AA186</f>
        <v>8002</v>
      </c>
      <c r="F30" s="202">
        <f>Statement!W186</f>
        <v>10390</v>
      </c>
      <c r="G30" s="200">
        <f>Statement!AA186</f>
        <v>8002</v>
      </c>
    </row>
    <row r="31" spans="2:7" x14ac:dyDescent="0.2">
      <c r="B31" s="208" t="s">
        <v>324</v>
      </c>
      <c r="C31" s="263">
        <f>IF(C30=0,
IF(D30=0,0,IF(D30&gt;0,1,-1)),
(D30-C30)/ABS(C30)
)</f>
        <v>-5.2569263556713236E-2</v>
      </c>
      <c r="D31" s="264"/>
      <c r="F31" s="263">
        <f>IF(F30=0,
IF(G30=0,0,IF(G30&gt;0,1,-1)),
(G30-F30)/ABS(F30)
)</f>
        <v>-0.22983638113570742</v>
      </c>
      <c r="G31" s="264"/>
    </row>
    <row r="32" spans="2:7" x14ac:dyDescent="0.2">
      <c r="B32" s="20" t="str">
        <f>Statement!B187</f>
        <v>Other</v>
      </c>
      <c r="C32" s="202">
        <f>Statement!Z187</f>
        <v>682</v>
      </c>
      <c r="D32" s="200">
        <f>Statement!AA187</f>
        <v>1256</v>
      </c>
      <c r="F32" s="202">
        <f>Statement!W187</f>
        <v>506</v>
      </c>
      <c r="G32" s="200">
        <f>Statement!AA187</f>
        <v>1256</v>
      </c>
    </row>
    <row r="33" spans="2:7" x14ac:dyDescent="0.2">
      <c r="B33" s="208" t="s">
        <v>324</v>
      </c>
      <c r="C33" s="263">
        <f>IF(C32=0,
IF(D32=0,0,IF(D32&gt;0,1,-1)),
(D32-C32)/ABS(C32)
)</f>
        <v>0.84164222873900296</v>
      </c>
      <c r="D33" s="264"/>
      <c r="F33" s="263">
        <f>IF(F32=0,
IF(G32=0,0,IF(G32&gt;0,1,-1)),
(G32-F32)/ABS(F32)
)</f>
        <v>1.482213438735178</v>
      </c>
      <c r="G33" s="264"/>
    </row>
    <row r="35" spans="2:7" x14ac:dyDescent="0.2">
      <c r="B35" s="8" t="s">
        <v>329</v>
      </c>
      <c r="C35" s="10" t="str">
        <f>C5</f>
        <v>Q1 2026</v>
      </c>
      <c r="D35" s="10" t="str">
        <f>D5</f>
        <v>Q2 2026</v>
      </c>
      <c r="F35" s="10" t="str">
        <f>F5</f>
        <v>Q2 2025</v>
      </c>
      <c r="G35" s="10" t="str">
        <f>G5</f>
        <v>Q2 2026</v>
      </c>
    </row>
    <row r="36" spans="2:7" x14ac:dyDescent="0.2">
      <c r="B36" s="20" t="str">
        <f>Statement!B209</f>
        <v>DAU</v>
      </c>
      <c r="C36" s="202">
        <f>Statement!Z209</f>
        <v>56500</v>
      </c>
      <c r="D36" s="202">
        <f>Statement!AA209</f>
        <v>58700</v>
      </c>
      <c r="F36" s="202">
        <f>Statement!W209</f>
        <v>47700</v>
      </c>
      <c r="G36" s="200">
        <f>Statement!AA209</f>
        <v>58700</v>
      </c>
    </row>
    <row r="37" spans="2:7" x14ac:dyDescent="0.2">
      <c r="B37" s="208" t="s">
        <v>324</v>
      </c>
      <c r="C37" s="263">
        <f>IF(C36=0,
IF(D36=0,0,IF(D36&gt;0,1,-1)),
(D36-C36)/ABS(C36)
)</f>
        <v>3.8938053097345132E-2</v>
      </c>
      <c r="D37" s="264"/>
      <c r="F37" s="263">
        <f>IF(F36=0,
IF(G36=0,0,IF(G36&gt;0,1,-1)),
(G36-F36)/ABS(F36)
)</f>
        <v>0.23060796645702306</v>
      </c>
      <c r="G37" s="264"/>
    </row>
    <row r="38" spans="2:7" x14ac:dyDescent="0.2">
      <c r="B38" s="20" t="str">
        <f>Statement!B210</f>
        <v>MAU</v>
      </c>
      <c r="C38" s="202">
        <f>Statement!Z210</f>
        <v>137800</v>
      </c>
      <c r="D38" s="202">
        <f>Statement!AA210</f>
        <v>140600</v>
      </c>
      <c r="F38" s="202">
        <f>Statement!W210</f>
        <v>128300</v>
      </c>
      <c r="G38" s="200">
        <f>Statement!AA210</f>
        <v>140600</v>
      </c>
    </row>
    <row r="39" spans="2:7" x14ac:dyDescent="0.2">
      <c r="B39" s="208" t="s">
        <v>324</v>
      </c>
      <c r="C39" s="263">
        <f>IF(C38=0,
IF(D38=0,0,IF(D38&gt;0,1,-1)),
(D38-C38)/ABS(C38)
)</f>
        <v>2.0319303338171262E-2</v>
      </c>
      <c r="D39" s="264"/>
      <c r="F39" s="263">
        <f>IF(F38=0,
IF(G38=0,0,IF(G38&gt;0,1,-1)),
(G38-F38)/ABS(F38)
)</f>
        <v>9.5869056897895558E-2</v>
      </c>
      <c r="G39" s="264"/>
    </row>
    <row r="40" spans="2:7" x14ac:dyDescent="0.2">
      <c r="B40" s="20" t="str">
        <f>Statement!B211</f>
        <v>Paid subscriberrs</v>
      </c>
      <c r="C40" s="202">
        <f>Statement!Z211</f>
        <v>12500</v>
      </c>
      <c r="D40" s="202">
        <f>Statement!AA211</f>
        <v>12700</v>
      </c>
      <c r="F40" s="202">
        <f>Statement!W211</f>
        <v>10900</v>
      </c>
      <c r="G40" s="200">
        <f>Statement!AA211</f>
        <v>12700</v>
      </c>
    </row>
    <row r="41" spans="2:7" x14ac:dyDescent="0.2">
      <c r="B41" s="208" t="s">
        <v>324</v>
      </c>
      <c r="C41" s="263">
        <f>IF(C40=0,
IF(D40=0,0,IF(D40&gt;0,1,-1)),
(D40-C40)/ABS(C40)
)</f>
        <v>1.6E-2</v>
      </c>
      <c r="D41" s="264"/>
      <c r="F41" s="263">
        <f>IF(F40=0,
IF(G40=0,0,IF(G40&gt;0,1,-1)),
(G40-F40)/ABS(F40)
)</f>
        <v>0.16513761467889909</v>
      </c>
      <c r="G41" s="264"/>
    </row>
    <row r="42" spans="2:7" x14ac:dyDescent="0.2">
      <c r="B42" s="20" t="str">
        <f>Statement!B212</f>
        <v>Free users</v>
      </c>
      <c r="C42" s="202">
        <f>Statement!Z212</f>
        <v>125300</v>
      </c>
      <c r="D42" s="202">
        <f>Statement!AA212</f>
        <v>127900</v>
      </c>
      <c r="F42" s="202">
        <f>Statement!W212</f>
        <v>117400</v>
      </c>
      <c r="G42" s="200">
        <f>Statement!AA212</f>
        <v>127900</v>
      </c>
    </row>
    <row r="43" spans="2:7" x14ac:dyDescent="0.2">
      <c r="B43" s="208" t="s">
        <v>324</v>
      </c>
      <c r="C43" s="263">
        <f>IF(C42=0,
IF(D42=0,0,IF(D42&gt;0,1,-1)),
(D42-C42)/ABS(C42)
)</f>
        <v>2.0750199521149242E-2</v>
      </c>
      <c r="D43" s="264"/>
      <c r="F43" s="263">
        <f>IF(F42=0,
IF(G42=0,0,IF(G42&gt;0,1,-1)),
(G42-F42)/ABS(F42)
)</f>
        <v>8.9437819420783646E-2</v>
      </c>
      <c r="G43" s="264"/>
    </row>
    <row r="44" spans="2:7" x14ac:dyDescent="0.2">
      <c r="B44" s="20" t="str">
        <f>Statement!B213</f>
        <v>Average revenue per paid user</v>
      </c>
      <c r="C44" s="233">
        <f>Statement!Z213</f>
        <v>20.07264</v>
      </c>
      <c r="D44" s="233">
        <f>Statement!AA213</f>
        <v>20.317716535433071</v>
      </c>
      <c r="F44" s="233">
        <f>Statement!W213</f>
        <v>19.328256880733946</v>
      </c>
      <c r="G44" s="234">
        <f>Statement!AA213</f>
        <v>20.317716535433071</v>
      </c>
    </row>
    <row r="45" spans="2:7" x14ac:dyDescent="0.2">
      <c r="B45" s="208" t="s">
        <v>324</v>
      </c>
      <c r="C45" s="263">
        <f>IF(C44=0,
IF(D44=0,0,IF(D44&gt;0,1,-1)),
(D44-C44)/ABS(C44)
)</f>
        <v>1.2209481933271921E-2</v>
      </c>
      <c r="D45" s="264"/>
      <c r="F45" s="263">
        <f>IF(F44=0,
IF(G44=0,0,IF(G44&gt;0,1,-1)),
(G44-F44)/ABS(F44)
)</f>
        <v>5.119238950540856E-2</v>
      </c>
      <c r="G45" s="264"/>
    </row>
    <row r="46" spans="2:7" x14ac:dyDescent="0.2">
      <c r="B46" s="20" t="str">
        <f>Statement!B214</f>
        <v>DAU to MAU ratio</v>
      </c>
      <c r="C46" s="235">
        <f>Statement!Z214</f>
        <v>0.41001451378809867</v>
      </c>
      <c r="D46" s="235">
        <f>Statement!AA214</f>
        <v>0.41749644381223328</v>
      </c>
      <c r="F46" s="235">
        <f>Statement!W214</f>
        <v>0.37178487918939984</v>
      </c>
      <c r="G46" s="236">
        <f>Statement!AA214</f>
        <v>0.41749644381223328</v>
      </c>
    </row>
    <row r="47" spans="2:7" x14ac:dyDescent="0.2">
      <c r="B47" s="208" t="s">
        <v>324</v>
      </c>
      <c r="C47" s="263">
        <f>IF(C46=0,
IF(D46=0,0,IF(D46&gt;0,1,-1)),
(D46-C46)/ABS(C46)
)</f>
        <v>1.8247963846473435E-2</v>
      </c>
      <c r="D47" s="264"/>
      <c r="F47" s="263">
        <f>IF(F46=0,
IF(G46=0,0,IF(G46&gt;0,1,-1)),
(G46-F46)/ABS(F46)
)</f>
        <v>0.1229516507570132</v>
      </c>
      <c r="G47" s="264"/>
    </row>
    <row r="48" spans="2:7" x14ac:dyDescent="0.2">
      <c r="B48" s="20" t="str">
        <f>Statement!B215</f>
        <v>Subscribers to MAU ratio</v>
      </c>
      <c r="C48" s="235">
        <f>Statement!Z215</f>
        <v>9.071117561683599E-2</v>
      </c>
      <c r="D48" s="235">
        <f>Statement!AA215</f>
        <v>9.0327169274537697E-2</v>
      </c>
      <c r="F48" s="235">
        <f>Statement!W215</f>
        <v>8.4957131722525336E-2</v>
      </c>
      <c r="G48" s="236">
        <f>Statement!AA215</f>
        <v>9.0327169274537697E-2</v>
      </c>
    </row>
    <row r="49" spans="2:7" x14ac:dyDescent="0.2">
      <c r="B49" s="208" t="s">
        <v>324</v>
      </c>
      <c r="C49" s="263">
        <f>IF(C48=0,
IF(D48=0,0,IF(D48&gt;0,1,-1)),
(D48-C48)/ABS(C48)
)</f>
        <v>-4.2332859174963834E-3</v>
      </c>
      <c r="D49" s="264"/>
      <c r="F49" s="263">
        <f>IF(F48=0,
IF(G48=0,0,IF(G48&gt;0,1,-1)),
(G48-F48)/ABS(F48)
)</f>
        <v>6.3208790635154666E-2</v>
      </c>
      <c r="G49" s="264"/>
    </row>
    <row r="50" spans="2:7" x14ac:dyDescent="0.2">
      <c r="B50" s="20" t="str">
        <f>Statement!B216</f>
        <v>Ad revenue per free user</v>
      </c>
      <c r="C50" s="237">
        <f>Statement!Z216</f>
        <v>0.1645171588188348</v>
      </c>
      <c r="D50" s="237">
        <f>Statement!AA216</f>
        <v>0.16459734167318218</v>
      </c>
      <c r="F50" s="237">
        <f>Statement!W216</f>
        <v>0.17549403747870529</v>
      </c>
      <c r="G50" s="238">
        <f>Statement!AA216</f>
        <v>0.16459734167318218</v>
      </c>
    </row>
    <row r="51" spans="2:7" x14ac:dyDescent="0.2">
      <c r="B51" s="208" t="s">
        <v>324</v>
      </c>
      <c r="C51" s="263">
        <f>IF(C50=0,
IF(D50=0,0,IF(D50&gt;0,1,-1)),
(D50-C50)/ABS(C50)
)</f>
        <v>4.8738292663854846E-4</v>
      </c>
      <c r="D51" s="264"/>
      <c r="F51" s="263">
        <f>IF(F50=0,
IF(G50=0,0,IF(G50&gt;0,1,-1)),
(G50-F50)/ABS(F50)
)</f>
        <v>-6.2091544317255373E-2</v>
      </c>
      <c r="G51" s="264"/>
    </row>
    <row r="52" spans="2:7" x14ac:dyDescent="0.2">
      <c r="B52" s="20" t="str">
        <f>Statement!B217</f>
        <v>In-app purchases % of DAU</v>
      </c>
      <c r="C52" s="235">
        <f>Statement!Z217</f>
        <v>0.14948672566371682</v>
      </c>
      <c r="D52" s="235">
        <f>Statement!AA217</f>
        <v>0.13632027257240203</v>
      </c>
      <c r="F52" s="235">
        <f>Statement!W217</f>
        <v>0.21781970649895177</v>
      </c>
      <c r="G52" s="236">
        <f>Statement!AA217</f>
        <v>0.13632027257240203</v>
      </c>
    </row>
    <row r="53" spans="2:7" x14ac:dyDescent="0.2">
      <c r="B53" s="208" t="s">
        <v>324</v>
      </c>
      <c r="C53" s="263">
        <f>IF(C52=0,
IF(D52=0,0,IF(D52&gt;0,1,-1)),
(D52-C52)/ABS(C52)
)</f>
        <v>-8.8077740902117604E-2</v>
      </c>
      <c r="D53" s="264"/>
      <c r="F53" s="263">
        <f>IF(F52=0,
IF(G52=0,0,IF(G52&gt;0,1,-1)),
(G52-F52)/ABS(F52)
)</f>
        <v>-0.37416005758387127</v>
      </c>
      <c r="G53" s="264"/>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361</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362</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363</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270</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6" t="s">
        <v>113</v>
      </c>
      <c r="D2" s="256"/>
      <c r="E2" s="256"/>
      <c r="F2" s="256"/>
      <c r="G2" s="268"/>
      <c r="H2" s="269" t="s">
        <v>114</v>
      </c>
      <c r="I2" s="256"/>
      <c r="J2" s="256"/>
      <c r="K2" s="256"/>
      <c r="L2" s="256"/>
      <c r="O2" s="5"/>
      <c r="S2" s="256" t="s">
        <v>113</v>
      </c>
      <c r="T2" s="256"/>
      <c r="U2" s="256"/>
      <c r="V2" s="256"/>
      <c r="W2" s="256"/>
      <c r="X2" s="256"/>
      <c r="Y2" s="256"/>
      <c r="Z2" s="256"/>
      <c r="AA2" s="256" t="s">
        <v>114</v>
      </c>
      <c r="AB2" s="256"/>
      <c r="AC2" s="256"/>
      <c r="AE2" s="86" t="s">
        <v>85</v>
      </c>
    </row>
    <row r="3" spans="1:31" ht="10" customHeight="1" x14ac:dyDescent="0.2">
      <c r="O3" s="5"/>
    </row>
    <row r="4" spans="1:31" ht="16" customHeight="1" x14ac:dyDescent="0.2">
      <c r="A4" s="87"/>
      <c r="B4" s="60"/>
      <c r="C4" s="265" t="s">
        <v>116</v>
      </c>
      <c r="D4" s="265"/>
      <c r="E4" s="265"/>
      <c r="F4" s="265"/>
      <c r="G4" s="265"/>
      <c r="H4" s="265"/>
      <c r="I4" s="265"/>
      <c r="J4" s="265"/>
      <c r="K4" s="265"/>
      <c r="L4" s="265"/>
      <c r="O4" s="5"/>
      <c r="S4" s="266" t="s">
        <v>116</v>
      </c>
      <c r="T4" s="267"/>
      <c r="U4" s="267"/>
      <c r="V4" s="267"/>
      <c r="W4" s="267"/>
      <c r="X4" s="267"/>
      <c r="Y4" s="267"/>
      <c r="Z4" s="267"/>
      <c r="AA4" s="267"/>
      <c r="AB4" s="267"/>
      <c r="AC4" s="267"/>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402</v>
      </c>
      <c r="O6" s="5"/>
      <c r="Q6" s="130" t="s">
        <v>402</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403</v>
      </c>
      <c r="O7" s="5"/>
      <c r="Q7" s="130" t="s">
        <v>403</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404</v>
      </c>
      <c r="O8" s="5"/>
      <c r="Q8" s="130" t="s">
        <v>404</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405</v>
      </c>
      <c r="O9" s="5"/>
      <c r="Q9" s="130" t="s">
        <v>405</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406</v>
      </c>
      <c r="O10" s="5"/>
      <c r="Q10" s="130" t="s">
        <v>406</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5" t="s">
        <v>122</v>
      </c>
      <c r="D13" s="265"/>
      <c r="E13" s="265"/>
      <c r="F13" s="265"/>
      <c r="G13" s="265"/>
      <c r="H13" s="265"/>
      <c r="I13" s="265"/>
      <c r="J13" s="265"/>
      <c r="K13" s="265"/>
      <c r="L13" s="265"/>
      <c r="O13" s="5"/>
      <c r="Q13" s="92"/>
      <c r="S13" s="266" t="s">
        <v>122</v>
      </c>
      <c r="T13" s="267"/>
      <c r="U13" s="267"/>
      <c r="V13" s="267"/>
      <c r="W13" s="267"/>
      <c r="X13" s="267"/>
      <c r="Y13" s="267"/>
      <c r="Z13" s="267"/>
      <c r="AA13" s="267"/>
      <c r="AB13" s="267"/>
      <c r="AC13" s="267"/>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5" t="s">
        <v>124</v>
      </c>
      <c r="D23" s="265"/>
      <c r="E23" s="265"/>
      <c r="F23" s="265"/>
      <c r="G23" s="265"/>
      <c r="H23" s="265"/>
      <c r="I23" s="265"/>
      <c r="J23" s="265"/>
      <c r="K23" s="265"/>
      <c r="L23" s="265"/>
      <c r="O23" s="5"/>
      <c r="Q23" s="92"/>
      <c r="S23" s="266" t="s">
        <v>124</v>
      </c>
      <c r="T23" s="267"/>
      <c r="U23" s="267"/>
      <c r="V23" s="267"/>
      <c r="W23" s="267"/>
      <c r="X23" s="267"/>
      <c r="Y23" s="267"/>
      <c r="Z23" s="267"/>
      <c r="AA23" s="267"/>
      <c r="AB23" s="267"/>
      <c r="AC23" s="267"/>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404</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404</v>
      </c>
      <c r="S25" s="47"/>
      <c r="T25" s="146">
        <f>T17</f>
        <v>5.9691793538804383E-2</v>
      </c>
      <c r="U25" s="239">
        <f t="shared" ref="U25:Z25" si="27">U17</f>
        <v>5.0021901007446301E-2</v>
      </c>
      <c r="V25" s="239">
        <f t="shared" si="27"/>
        <v>-0.15835140997830799</v>
      </c>
      <c r="W25" s="239">
        <f t="shared" si="27"/>
        <v>-4.3517049960348886E-2</v>
      </c>
      <c r="X25" s="239">
        <f t="shared" si="27"/>
        <v>6.5706290807337586E-2</v>
      </c>
      <c r="Y25" s="239">
        <f t="shared" si="27"/>
        <v>0.10055431294369344</v>
      </c>
      <c r="Z25" s="240">
        <f t="shared" si="27"/>
        <v>-0.10674206945303522</v>
      </c>
      <c r="AA25" s="98">
        <v>0.05</v>
      </c>
      <c r="AB25" s="98"/>
      <c r="AC25" s="98"/>
      <c r="AE25" s="47"/>
    </row>
    <row r="26" spans="2:31" x14ac:dyDescent="0.2">
      <c r="B26" s="1" t="s">
        <v>406</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406</v>
      </c>
      <c r="S26" s="47"/>
      <c r="T26" s="146">
        <f>T19</f>
        <v>-1.2853470437018011E-2</v>
      </c>
      <c r="U26" s="239">
        <f t="shared" ref="U26:Z26" si="29">U19</f>
        <v>0.16145833333333326</v>
      </c>
      <c r="V26" s="239">
        <f t="shared" si="29"/>
        <v>0.13452914798206272</v>
      </c>
      <c r="W26" s="239">
        <f t="shared" si="29"/>
        <v>-9.4861660079051391E-2</v>
      </c>
      <c r="X26" s="239">
        <f t="shared" si="29"/>
        <v>0.15065502183406121</v>
      </c>
      <c r="Y26" s="239">
        <f t="shared" si="29"/>
        <v>0.29411764705882359</v>
      </c>
      <c r="Z26" s="240">
        <f t="shared" si="29"/>
        <v>0.84164222873900285</v>
      </c>
      <c r="AA26" s="98">
        <v>-0.09</v>
      </c>
      <c r="AB26" s="98"/>
      <c r="AC26" s="98"/>
      <c r="AE26" s="47"/>
    </row>
    <row r="27" spans="2:31" x14ac:dyDescent="0.2">
      <c r="B27" s="1" t="s">
        <v>385</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407</v>
      </c>
      <c r="O27" s="5"/>
      <c r="Q27" s="130" t="s">
        <v>407</v>
      </c>
      <c r="R27" s="1" t="s">
        <v>385</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386</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408</v>
      </c>
      <c r="O28" s="5"/>
      <c r="Q28" s="130" t="s">
        <v>408</v>
      </c>
      <c r="R28" s="1" t="s">
        <v>386</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407</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407</v>
      </c>
      <c r="S29" s="47"/>
      <c r="T29" s="146">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408</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408</v>
      </c>
      <c r="S30" s="47"/>
      <c r="T30" s="146">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409</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409</v>
      </c>
      <c r="S31" s="241">
        <f>Statement!T216</f>
        <v>0.13784688995215311</v>
      </c>
      <c r="T31" s="248">
        <f>Statement!U216</f>
        <v>0.13332089552238807</v>
      </c>
      <c r="U31" s="241">
        <f>Statement!V216</f>
        <v>0.14914095079232695</v>
      </c>
      <c r="V31" s="241">
        <f>Statement!W216</f>
        <v>0.17549403747870529</v>
      </c>
      <c r="W31" s="241">
        <f>Statement!X216</f>
        <v>0.16978190630048465</v>
      </c>
      <c r="X31" s="241">
        <f>Statement!Y216</f>
        <v>0.1672539288668321</v>
      </c>
      <c r="Y31" s="241">
        <f>Statement!Z216</f>
        <v>0.1645171588188348</v>
      </c>
      <c r="Z31" s="242">
        <f>Statement!AA216</f>
        <v>0.16459734167318218</v>
      </c>
      <c r="AA31" s="106">
        <v>0.17</v>
      </c>
      <c r="AB31" s="106"/>
      <c r="AC31" s="106"/>
      <c r="AE31" s="72">
        <f>AE7/AE35</f>
        <v>0.63433767786593298</v>
      </c>
    </row>
    <row r="32" spans="2:31" x14ac:dyDescent="0.2">
      <c r="B32" s="1" t="s">
        <v>391</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8.7993989481592774E-2</v>
      </c>
      <c r="I32" s="156">
        <f t="shared" ref="I32:L32" si="36">H32*(1+I33)</f>
        <v>8.2714350112697205E-2</v>
      </c>
      <c r="J32" s="156">
        <f t="shared" si="36"/>
        <v>8.6850067618332069E-2</v>
      </c>
      <c r="K32" s="156">
        <f t="shared" si="36"/>
        <v>9.3798073027798634E-2</v>
      </c>
      <c r="L32" s="156">
        <f t="shared" si="36"/>
        <v>0.10411586106085649</v>
      </c>
      <c r="N32" s="91" t="s">
        <v>410</v>
      </c>
      <c r="O32" s="5"/>
      <c r="Q32" s="91" t="s">
        <v>410</v>
      </c>
      <c r="R32" s="1" t="s">
        <v>391</v>
      </c>
      <c r="S32" s="243">
        <f>Statement!T215</f>
        <v>7.6038903625110524E-2</v>
      </c>
      <c r="T32" s="249">
        <f>Statement!U215</f>
        <v>8.1405312767780638E-2</v>
      </c>
      <c r="U32" s="243">
        <f>Statement!V215</f>
        <v>7.9109062980030717E-2</v>
      </c>
      <c r="V32" s="243">
        <f>Statement!W215</f>
        <v>8.4957131722525336E-2</v>
      </c>
      <c r="W32" s="243">
        <f>Statement!X215</f>
        <v>8.4996304508499626E-2</v>
      </c>
      <c r="X32" s="243">
        <f>Statement!Y215</f>
        <v>9.1660405709992482E-2</v>
      </c>
      <c r="Y32" s="243">
        <f>Statement!Z215</f>
        <v>9.071117561683599E-2</v>
      </c>
      <c r="Z32" s="244">
        <f>Statement!AA215</f>
        <v>9.0327169274537697E-2</v>
      </c>
      <c r="AA32" s="156">
        <f>Z32*(1+AA33)</f>
        <v>8.8520625889046939E-2</v>
      </c>
      <c r="AB32" s="156"/>
      <c r="AC32" s="156"/>
      <c r="AE32" s="47"/>
    </row>
    <row r="33" spans="2:31" x14ac:dyDescent="0.2">
      <c r="B33" s="1" t="s">
        <v>410</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410</v>
      </c>
      <c r="S33" s="47"/>
      <c r="T33" s="146">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411</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414</v>
      </c>
      <c r="O34" s="5"/>
      <c r="Q34" s="91" t="s">
        <v>414</v>
      </c>
      <c r="R34" s="1" t="s">
        <v>411</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388</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415</v>
      </c>
      <c r="O35" s="5"/>
      <c r="Q35" s="91" t="s">
        <v>415</v>
      </c>
      <c r="R35" s="1" t="s">
        <v>388</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412</v>
      </c>
      <c r="C36" s="243">
        <f>Statement!M217</f>
        <v>0.72031250000000002</v>
      </c>
      <c r="D36" s="243">
        <f>Statement!N217</f>
        <v>1.1373619631901841</v>
      </c>
      <c r="E36" s="243">
        <f>Statement!O217</f>
        <v>1.2889591078066915</v>
      </c>
      <c r="F36" s="243">
        <f>Statement!P217</f>
        <v>0.95439506172839506</v>
      </c>
      <c r="G36" s="244">
        <f>Statement!Q217</f>
        <v>0.76810246679316885</v>
      </c>
      <c r="H36" s="245">
        <v>0.71</v>
      </c>
      <c r="I36" s="245">
        <v>0.65</v>
      </c>
      <c r="J36" s="245">
        <v>0.6</v>
      </c>
      <c r="K36" s="245">
        <v>0.65</v>
      </c>
      <c r="L36" s="245">
        <v>0.65</v>
      </c>
      <c r="O36" s="5"/>
      <c r="R36" s="1" t="s">
        <v>412</v>
      </c>
      <c r="S36" s="243">
        <f>Statement!T217</f>
        <v>0.25298387096774194</v>
      </c>
      <c r="T36" s="249">
        <f>Statement!U217</f>
        <v>0.2257283950617284</v>
      </c>
      <c r="U36" s="243">
        <f>Statement!V217</f>
        <v>0.20261802575107296</v>
      </c>
      <c r="V36" s="243">
        <f>Statement!W217</f>
        <v>0.21781970649895177</v>
      </c>
      <c r="W36" s="243">
        <f>Statement!X217</f>
        <v>0.21972277227722772</v>
      </c>
      <c r="X36" s="243">
        <f>Statement!Y217</f>
        <v>0.18123339658444024</v>
      </c>
      <c r="Y36" s="243">
        <f>Statement!Z217</f>
        <v>0.14948672566371682</v>
      </c>
      <c r="Z36" s="244">
        <f>Statement!AA217</f>
        <v>0.13632027257240203</v>
      </c>
      <c r="AA36" s="245">
        <v>0.12</v>
      </c>
      <c r="AB36" s="245"/>
      <c r="AC36" s="245"/>
      <c r="AE36" s="47"/>
    </row>
    <row r="37" spans="2:31" x14ac:dyDescent="0.2">
      <c r="B37" s="1" t="s">
        <v>413</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413</v>
      </c>
      <c r="S37" s="246">
        <f>Statement!T213</f>
        <v>18.327558139534883</v>
      </c>
      <c r="T37" s="250">
        <f>Statement!U213</f>
        <v>18.349157894736841</v>
      </c>
      <c r="U37" s="246">
        <f>Statement!V213</f>
        <v>18.542427184466021</v>
      </c>
      <c r="V37" s="246">
        <f>Statement!W213</f>
        <v>19.328256880733946</v>
      </c>
      <c r="W37" s="246">
        <f>Statement!X213</f>
        <v>19.955739130434782</v>
      </c>
      <c r="X37" s="246">
        <f>Statement!Y213</f>
        <v>19.859508196721311</v>
      </c>
      <c r="Y37" s="246">
        <f>Statement!Z213</f>
        <v>20.07264</v>
      </c>
      <c r="Z37" s="247">
        <f>Statement!AA213</f>
        <v>20.317716535433071</v>
      </c>
      <c r="AA37" s="103">
        <v>20</v>
      </c>
      <c r="AB37" s="103"/>
      <c r="AC37" s="103"/>
      <c r="AE37" s="47"/>
    </row>
    <row r="38" spans="2:31" x14ac:dyDescent="0.2">
      <c r="B38" s="1" t="s">
        <v>390</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416</v>
      </c>
      <c r="O38" s="5"/>
      <c r="Q38" s="1" t="s">
        <v>416</v>
      </c>
      <c r="R38" s="1" t="s">
        <v>390</v>
      </c>
      <c r="S38" s="243">
        <f>Statement!T214</f>
        <v>0.32891246684350134</v>
      </c>
      <c r="T38" s="249">
        <f>Statement!U214</f>
        <v>0.34704370179948585</v>
      </c>
      <c r="U38" s="243">
        <f>Statement!V214</f>
        <v>0.3579109062980031</v>
      </c>
      <c r="V38" s="243">
        <f>Statement!W214</f>
        <v>0.37178487918939984</v>
      </c>
      <c r="W38" s="243">
        <f>Statement!X214</f>
        <v>0.37324464153732445</v>
      </c>
      <c r="X38" s="243">
        <f>Statement!Y214</f>
        <v>0.3959429000751315</v>
      </c>
      <c r="Y38" s="243">
        <f>Statement!Z214</f>
        <v>0.41001451378809867</v>
      </c>
      <c r="Z38" s="244">
        <f>Statement!AA214</f>
        <v>0.41749644381223328</v>
      </c>
      <c r="AA38" s="156">
        <f>AA27/AA28</f>
        <v>0.43355399934347305</v>
      </c>
      <c r="AB38" s="156"/>
      <c r="AC38" s="156"/>
      <c r="AE38" s="47"/>
    </row>
    <row r="39" spans="2:31" x14ac:dyDescent="0.2">
      <c r="O39" s="5"/>
    </row>
    <row r="40" spans="2:31" x14ac:dyDescent="0.2">
      <c r="C40" s="265" t="s">
        <v>126</v>
      </c>
      <c r="D40" s="265"/>
      <c r="E40" s="265"/>
      <c r="F40" s="265"/>
      <c r="G40" s="265"/>
      <c r="H40" s="265"/>
      <c r="I40" s="265"/>
      <c r="J40" s="265"/>
      <c r="K40" s="265"/>
      <c r="L40" s="265"/>
      <c r="O40" s="5"/>
      <c r="S40" s="266" t="s">
        <v>126</v>
      </c>
      <c r="T40" s="267"/>
      <c r="U40" s="267"/>
      <c r="V40" s="267"/>
      <c r="W40" s="267"/>
      <c r="X40" s="267"/>
      <c r="Y40" s="267"/>
      <c r="Z40" s="267"/>
      <c r="AA40" s="267"/>
      <c r="AB40" s="267"/>
      <c r="AC40" s="267"/>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409</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409</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411</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411</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388</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388</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412</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412</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413</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413</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390</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390</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6" t="s">
        <v>113</v>
      </c>
      <c r="D2" s="256"/>
      <c r="E2" s="256"/>
      <c r="F2" s="256"/>
      <c r="G2" s="268"/>
      <c r="H2" s="269" t="s">
        <v>114</v>
      </c>
      <c r="I2" s="256"/>
      <c r="J2" s="256"/>
      <c r="K2" s="256"/>
      <c r="L2" s="256"/>
      <c r="P2" s="256" t="s">
        <v>113</v>
      </c>
      <c r="Q2" s="256"/>
      <c r="R2" s="256"/>
      <c r="S2" s="256"/>
      <c r="T2" s="256"/>
      <c r="U2" s="256"/>
      <c r="V2" s="256"/>
      <c r="W2" s="256"/>
      <c r="X2" s="256" t="s">
        <v>114</v>
      </c>
      <c r="Y2" s="256"/>
      <c r="Z2" s="256"/>
      <c r="AB2" s="86" t="s">
        <v>115</v>
      </c>
    </row>
    <row r="3" spans="1:28" ht="10" customHeight="1" x14ac:dyDescent="0.2"/>
    <row r="4" spans="1:28" ht="16" customHeight="1" x14ac:dyDescent="0.2">
      <c r="A4" s="87"/>
      <c r="B4" s="60"/>
      <c r="C4" s="265" t="s">
        <v>116</v>
      </c>
      <c r="D4" s="265"/>
      <c r="E4" s="265"/>
      <c r="F4" s="265"/>
      <c r="G4" s="265"/>
      <c r="H4" s="265"/>
      <c r="I4" s="265"/>
      <c r="J4" s="265"/>
      <c r="K4" s="265"/>
      <c r="L4" s="265"/>
      <c r="P4" s="267" t="s">
        <v>116</v>
      </c>
      <c r="Q4" s="267"/>
      <c r="R4" s="267"/>
      <c r="S4" s="267"/>
      <c r="T4" s="267"/>
      <c r="U4" s="267"/>
      <c r="V4" s="267"/>
      <c r="W4" s="267"/>
      <c r="X4" s="267"/>
      <c r="Y4" s="267"/>
      <c r="Z4" s="267"/>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5" t="s">
        <v>129</v>
      </c>
      <c r="D9" s="265"/>
      <c r="E9" s="265"/>
      <c r="F9" s="265"/>
      <c r="G9" s="265"/>
      <c r="H9" s="265"/>
      <c r="I9" s="265"/>
      <c r="J9" s="265"/>
      <c r="K9" s="265"/>
      <c r="L9" s="265"/>
      <c r="N9" s="92"/>
      <c r="P9" s="267" t="s">
        <v>130</v>
      </c>
      <c r="Q9" s="267"/>
      <c r="R9" s="267"/>
      <c r="S9" s="267"/>
      <c r="T9" s="267"/>
      <c r="U9" s="267"/>
      <c r="V9" s="267"/>
      <c r="W9" s="267"/>
      <c r="X9" s="267"/>
      <c r="Y9" s="267"/>
      <c r="Z9" s="267"/>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5" t="s">
        <v>132</v>
      </c>
      <c r="D18" s="265"/>
      <c r="E18" s="265"/>
      <c r="F18" s="265"/>
      <c r="G18" s="265"/>
      <c r="H18" s="265"/>
      <c r="I18" s="265"/>
      <c r="J18" s="265"/>
      <c r="K18" s="265"/>
      <c r="L18" s="265"/>
      <c r="P18" s="267" t="s">
        <v>132</v>
      </c>
      <c r="Q18" s="267"/>
      <c r="R18" s="267"/>
      <c r="S18" s="267"/>
      <c r="T18" s="267"/>
      <c r="U18" s="267"/>
      <c r="V18" s="267"/>
      <c r="W18" s="267"/>
      <c r="X18" s="267"/>
      <c r="Y18" s="267"/>
      <c r="Z18" s="267"/>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116</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5" t="s">
        <v>136</v>
      </c>
      <c r="D11" s="265"/>
      <c r="E11" s="265"/>
      <c r="F11" s="265"/>
      <c r="G11" s="265"/>
      <c r="H11" s="265"/>
      <c r="I11" s="265"/>
      <c r="J11" s="265"/>
      <c r="K11" s="265"/>
      <c r="L11" s="265"/>
      <c r="N11" s="92"/>
      <c r="P11" s="270"/>
      <c r="Q11" s="270"/>
      <c r="R11" s="270"/>
      <c r="S11" s="270"/>
      <c r="T11" s="270"/>
      <c r="U11" s="270"/>
      <c r="V11" s="270"/>
      <c r="W11" s="270"/>
      <c r="X11" s="270"/>
      <c r="Y11" s="270"/>
      <c r="Z11" s="270"/>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5" t="s">
        <v>141</v>
      </c>
      <c r="D18" s="265"/>
      <c r="E18" s="265"/>
      <c r="F18" s="265"/>
      <c r="G18" s="265"/>
      <c r="H18" s="265"/>
      <c r="I18" s="265"/>
      <c r="J18" s="265"/>
      <c r="K18" s="265"/>
      <c r="L18" s="265"/>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0"/>
      <c r="C25" s="270"/>
    </row>
    <row r="26" spans="2:12" x14ac:dyDescent="0.2">
      <c r="B26" s="111"/>
      <c r="C26" s="265" t="s">
        <v>147</v>
      </c>
      <c r="D26" s="265"/>
      <c r="E26" s="265"/>
      <c r="F26" s="265"/>
      <c r="G26" s="265"/>
      <c r="H26" s="265"/>
      <c r="I26" s="265"/>
      <c r="J26" s="265"/>
      <c r="K26" s="265"/>
      <c r="L26" s="265"/>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5" t="s">
        <v>151</v>
      </c>
      <c r="D33" s="265"/>
      <c r="E33" s="265"/>
      <c r="F33" s="265"/>
      <c r="G33" s="265"/>
      <c r="H33" s="265"/>
      <c r="I33" s="265"/>
      <c r="J33" s="265"/>
      <c r="K33" s="265"/>
      <c r="L33" s="265"/>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5" t="s">
        <v>154</v>
      </c>
      <c r="D40" s="265"/>
      <c r="E40" s="265"/>
      <c r="F40" s="265"/>
      <c r="G40" s="265"/>
      <c r="H40" s="265"/>
      <c r="I40" s="265"/>
      <c r="J40" s="265"/>
      <c r="K40" s="265"/>
      <c r="L40" s="265"/>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5"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6" t="s">
        <v>113</v>
      </c>
      <c r="D2" s="256"/>
      <c r="E2" s="256"/>
      <c r="F2" s="256"/>
      <c r="G2" s="268"/>
      <c r="H2" s="269" t="s">
        <v>114</v>
      </c>
      <c r="I2" s="256"/>
      <c r="J2" s="256"/>
      <c r="K2" s="256"/>
      <c r="L2" s="256"/>
      <c r="S2" s="270"/>
      <c r="T2" s="270"/>
      <c r="U2" s="270"/>
      <c r="V2" s="270"/>
      <c r="W2" s="270"/>
      <c r="X2" s="270"/>
      <c r="Y2" s="270"/>
      <c r="Z2" s="270"/>
      <c r="AA2" s="270"/>
      <c r="AB2" s="270"/>
      <c r="AC2" s="270"/>
      <c r="AE2" s="111"/>
    </row>
    <row r="3" spans="1:31" ht="10" customHeight="1" x14ac:dyDescent="0.2"/>
    <row r="4" spans="1:31" ht="16" customHeight="1" x14ac:dyDescent="0.2">
      <c r="A4" s="87"/>
      <c r="B4" s="60"/>
      <c r="C4" s="265" t="s">
        <v>19</v>
      </c>
      <c r="D4" s="265"/>
      <c r="E4" s="265"/>
      <c r="F4" s="265"/>
      <c r="G4" s="265"/>
      <c r="H4" s="265"/>
      <c r="I4" s="265"/>
      <c r="J4" s="265"/>
      <c r="K4" s="265"/>
      <c r="L4" s="265"/>
      <c r="S4" s="270"/>
      <c r="T4" s="270"/>
      <c r="U4" s="270"/>
      <c r="V4" s="270"/>
      <c r="W4" s="270"/>
      <c r="X4" s="270"/>
      <c r="Y4" s="270"/>
      <c r="Z4" s="270"/>
      <c r="AA4" s="270"/>
      <c r="AB4" s="270"/>
      <c r="AC4" s="270"/>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5" t="s">
        <v>162</v>
      </c>
      <c r="D13" s="265"/>
      <c r="E13" s="265"/>
      <c r="F13" s="265"/>
      <c r="G13" s="265"/>
      <c r="H13" s="265"/>
      <c r="I13" s="265"/>
      <c r="J13" s="265"/>
      <c r="K13" s="265"/>
      <c r="L13" s="26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5" t="s">
        <v>163</v>
      </c>
      <c r="D18" s="265"/>
      <c r="E18" s="265"/>
      <c r="F18" s="265"/>
      <c r="G18" s="265"/>
      <c r="H18" s="265"/>
      <c r="I18" s="265"/>
      <c r="J18" s="265"/>
      <c r="K18" s="265"/>
      <c r="L18" s="265"/>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5" t="s">
        <v>271</v>
      </c>
      <c r="D25" s="265"/>
      <c r="E25" s="265"/>
      <c r="F25" s="265"/>
      <c r="G25" s="265"/>
      <c r="H25" s="265"/>
      <c r="I25" s="265"/>
      <c r="J25" s="265"/>
      <c r="K25" s="265"/>
      <c r="L25" s="265"/>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5" t="s">
        <v>78</v>
      </c>
      <c r="D31" s="265"/>
      <c r="E31" s="265"/>
      <c r="F31" s="265"/>
      <c r="G31" s="265"/>
      <c r="H31" s="265"/>
      <c r="I31" s="265"/>
      <c r="J31" s="265"/>
      <c r="K31" s="265"/>
      <c r="L31" s="265"/>
    </row>
    <row r="32" spans="2:14" x14ac:dyDescent="0.2">
      <c r="B32" s="16" t="s">
        <v>345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0.71999999999999986</v>
      </c>
      <c r="I33" s="218">
        <f t="shared" ref="I33:L33" si="9">I8/I6</f>
        <v>0.72500000000000009</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5.999999999999988E-2</v>
      </c>
      <c r="I34" s="218">
        <f t="shared" ref="I34:L34" si="10">I10/I6</f>
        <v>0.13000000000000009</v>
      </c>
      <c r="J34" s="218">
        <f t="shared" si="10"/>
        <v>0.14000000000000007</v>
      </c>
      <c r="K34" s="218">
        <f t="shared" si="10"/>
        <v>0.13200000000000003</v>
      </c>
      <c r="L34" s="218">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6" t="s">
        <v>170</v>
      </c>
      <c r="C4" s="256"/>
    </row>
    <row r="5" spans="1:3" ht="17" customHeight="1" x14ac:dyDescent="0.2">
      <c r="B5" s="1" t="s">
        <v>171</v>
      </c>
      <c r="C5" s="138">
        <f>Statement!AC78</f>
        <v>50122</v>
      </c>
    </row>
    <row r="6" spans="1:3" ht="17" customHeight="1" x14ac:dyDescent="0.2">
      <c r="B6" s="1" t="s">
        <v>1</v>
      </c>
      <c r="C6" s="135">
        <f ca="1">Overview!C5</f>
        <v>143.68</v>
      </c>
    </row>
    <row r="7" spans="1:3" ht="17" customHeight="1" x14ac:dyDescent="0.2">
      <c r="B7" s="1" t="s">
        <v>172</v>
      </c>
      <c r="C7" s="136">
        <f ca="1">C5*C6</f>
        <v>7201528.96</v>
      </c>
    </row>
    <row r="8" spans="1:3" ht="17" customHeight="1" x14ac:dyDescent="0.2">
      <c r="B8" s="1" t="s">
        <v>173</v>
      </c>
      <c r="C8" s="114">
        <f>Statement!AC108</f>
        <v>0</v>
      </c>
    </row>
    <row r="9" spans="1:3" ht="17" customHeight="1" x14ac:dyDescent="0.2">
      <c r="B9" s="1" t="s">
        <v>174</v>
      </c>
      <c r="C9" s="137">
        <f ca="1">Overview!F27</f>
        <v>4.7840000000000001E-2</v>
      </c>
    </row>
    <row r="10" spans="1:3" ht="17" customHeight="1" x14ac:dyDescent="0.2">
      <c r="B10" s="1" t="s">
        <v>9</v>
      </c>
      <c r="C10" s="135">
        <f ca="1">Overview!C13</f>
        <v>1.0487</v>
      </c>
    </row>
    <row r="11" spans="1:3" ht="17" customHeight="1" x14ac:dyDescent="0.2">
      <c r="B11" s="1" t="s">
        <v>175</v>
      </c>
      <c r="C11" s="137">
        <f>[1]Sheet1!$C$12</f>
        <v>4.3999999999999997E-2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6" t="s">
        <v>177</v>
      </c>
      <c r="C15" s="256"/>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9.3982800000000005E-2</v>
      </c>
    </row>
    <row r="20" spans="2:3" ht="17" customHeight="1" x14ac:dyDescent="0.2">
      <c r="B20" s="1" t="s">
        <v>169</v>
      </c>
      <c r="C20" s="46">
        <f ca="1">(C17*C19)+(C16*C18)</f>
        <v>9.3982800000000005E-2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184</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6" t="s">
        <v>188</v>
      </c>
      <c r="C13" s="256"/>
    </row>
    <row r="14" spans="1:28" x14ac:dyDescent="0.2">
      <c r="B14" s="1" t="s">
        <v>189</v>
      </c>
      <c r="C14" s="142">
        <v>0.02</v>
      </c>
    </row>
    <row r="15" spans="1:28" x14ac:dyDescent="0.2">
      <c r="B15" s="1" t="s">
        <v>169</v>
      </c>
      <c r="C15" s="137">
        <f>IF(Overview!C28&gt;0,Overview!C28,WACC!C20)</f>
        <v>0.11</v>
      </c>
    </row>
    <row r="18" spans="2:3" x14ac:dyDescent="0.2">
      <c r="B18" s="256" t="s">
        <v>190</v>
      </c>
      <c r="C18" s="256"/>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143" t="s">
        <v>196</v>
      </c>
      <c r="C26" s="14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4"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6" t="s">
        <v>113</v>
      </c>
      <c r="D2" s="256"/>
      <c r="E2" s="256"/>
      <c r="F2" s="256"/>
      <c r="G2" s="268"/>
      <c r="H2" s="269" t="s">
        <v>114</v>
      </c>
      <c r="I2" s="256"/>
      <c r="J2" s="256"/>
      <c r="K2" s="256"/>
      <c r="L2" s="256"/>
    </row>
    <row r="3" spans="1:14" ht="10" customHeight="1" x14ac:dyDescent="0.2"/>
    <row r="4" spans="1:14" ht="16" customHeight="1" x14ac:dyDescent="0.2">
      <c r="A4" s="87"/>
      <c r="B4" s="60"/>
      <c r="C4" s="265" t="s">
        <v>198</v>
      </c>
      <c r="D4" s="265"/>
      <c r="E4" s="265"/>
      <c r="F4" s="265"/>
      <c r="G4" s="265"/>
      <c r="H4" s="265"/>
      <c r="I4" s="265"/>
      <c r="J4" s="265"/>
      <c r="K4" s="265"/>
      <c r="L4" s="265"/>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N9" s="92"/>
    </row>
    <row r="10" spans="1:14" x14ac:dyDescent="0.2">
      <c r="C10" s="265" t="s">
        <v>122</v>
      </c>
      <c r="D10" s="265"/>
      <c r="E10" s="265"/>
      <c r="F10" s="265"/>
      <c r="G10" s="265"/>
      <c r="H10" s="265"/>
      <c r="I10" s="265"/>
      <c r="J10" s="265"/>
      <c r="K10" s="265"/>
      <c r="L10" s="265"/>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0.16917299046154066</v>
      </c>
      <c r="I12" s="96">
        <f t="shared" si="1"/>
        <v>0.14105673332087346</v>
      </c>
      <c r="J12" s="96">
        <f t="shared" si="1"/>
        <v>0.25988387652786737</v>
      </c>
      <c r="K12" s="96">
        <f t="shared" si="1"/>
        <v>0.34840825640002887</v>
      </c>
      <c r="L12" s="96">
        <f t="shared" si="1"/>
        <v>0.34607134693492164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-0.46310199867227392</v>
      </c>
      <c r="I13" s="96">
        <f t="shared" si="2"/>
        <v>1.4722895888618988</v>
      </c>
      <c r="J13" s="96">
        <f t="shared" si="2"/>
        <v>0.35679802087616463</v>
      </c>
      <c r="K13" s="96">
        <f t="shared" si="2"/>
        <v>0.27135635603431257</v>
      </c>
      <c r="L13" s="96">
        <f t="shared" si="2"/>
        <v>0.5704165714240742</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-4.9271998561848156E-2</v>
      </c>
      <c r="I14" s="96">
        <f t="shared" si="3"/>
        <v>0.33051765983665388</v>
      </c>
      <c r="J14" s="96">
        <f t="shared" si="3"/>
        <v>0.25348228802377476</v>
      </c>
      <c r="K14" s="96">
        <f t="shared" si="3"/>
        <v>0.26413174676433321</v>
      </c>
      <c r="L14" s="96">
        <f t="shared" si="3"/>
        <v>0.50607201128728641</v>
      </c>
      <c r="N14" s="92"/>
    </row>
    <row r="15" spans="1:14" x14ac:dyDescent="0.2">
      <c r="N15" s="92"/>
    </row>
    <row r="16" spans="1:14" x14ac:dyDescent="0.2">
      <c r="C16" s="265" t="s">
        <v>200</v>
      </c>
      <c r="D16" s="265"/>
      <c r="E16" s="265"/>
      <c r="F16" s="265"/>
      <c r="G16" s="265"/>
      <c r="H16" s="265"/>
      <c r="I16" s="265"/>
      <c r="J16" s="265"/>
      <c r="K16" s="265"/>
      <c r="L16" s="265"/>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5" t="s">
        <v>203</v>
      </c>
      <c r="D21" s="265"/>
      <c r="E21" s="265"/>
      <c r="F21" s="265"/>
      <c r="G21" s="265"/>
      <c r="H21" s="265"/>
      <c r="I21" s="265"/>
      <c r="J21" s="265"/>
      <c r="K21" s="265"/>
      <c r="L21" s="265"/>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5" t="s">
        <v>204</v>
      </c>
      <c r="D26" s="265"/>
      <c r="E26" s="265"/>
      <c r="F26" s="265"/>
      <c r="G26" s="265"/>
      <c r="H26" s="265"/>
      <c r="I26" s="265"/>
      <c r="J26" s="265"/>
      <c r="K26" s="265"/>
      <c r="L26" s="265"/>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6" t="s">
        <v>209</v>
      </c>
      <c r="C37" s="256"/>
      <c r="N37" s="92"/>
    </row>
    <row r="38" spans="2:14" x14ac:dyDescent="0.2">
      <c r="B38" s="1" t="s">
        <v>210</v>
      </c>
      <c r="C38" s="64">
        <f>L7</f>
        <v>487474.713505127</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12186867.837628175</v>
      </c>
    </row>
    <row r="42" spans="2:14" x14ac:dyDescent="0.2">
      <c r="B42" s="1" t="s">
        <v>358</v>
      </c>
      <c r="C42" s="24">
        <f>C41/(1+C39)^5-G30+G31</f>
        <v>8507877.9031145759</v>
      </c>
    </row>
    <row r="43" spans="2:14" x14ac:dyDescent="0.2">
      <c r="B43" s="1" t="s">
        <v>193</v>
      </c>
      <c r="C43" s="89">
        <f>Statement!AC107</f>
        <v>1416559</v>
      </c>
    </row>
    <row r="44" spans="2:14" x14ac:dyDescent="0.2">
      <c r="B44" s="1" t="s">
        <v>194</v>
      </c>
      <c r="C44" s="89">
        <f>Statement!AC108</f>
        <v>0</v>
      </c>
    </row>
    <row r="45" spans="2:14" x14ac:dyDescent="0.2">
      <c r="B45" s="1" t="s">
        <v>195</v>
      </c>
      <c r="C45" s="24">
        <f>C42+C43-C44</f>
        <v>9924436.9031145759</v>
      </c>
    </row>
    <row r="46" spans="2:14" x14ac:dyDescent="0.2">
      <c r="B46" s="1" t="s">
        <v>70</v>
      </c>
      <c r="C46" s="89">
        <f>Statement!AC78</f>
        <v>50122</v>
      </c>
    </row>
    <row r="47" spans="2:14" x14ac:dyDescent="0.2">
      <c r="B47" s="143" t="s">
        <v>213</v>
      </c>
      <c r="C47" s="144">
        <f>C45/C46</f>
        <v>198.00560438758581</v>
      </c>
    </row>
    <row r="49" spans="2:3" x14ac:dyDescent="0.2">
      <c r="B49" s="256" t="s">
        <v>214</v>
      </c>
      <c r="C49" s="256"/>
    </row>
    <row r="50" spans="2:3" x14ac:dyDescent="0.2">
      <c r="B50" s="1" t="s">
        <v>215</v>
      </c>
      <c r="C50" s="64">
        <f>L6</f>
        <v>3165420.2175657614</v>
      </c>
    </row>
    <row r="51" spans="2:3" x14ac:dyDescent="0.2">
      <c r="B51" s="1" t="s">
        <v>357</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226.09940330049918</v>
      </c>
    </row>
    <row r="55" spans="2:3" x14ac:dyDescent="0.2">
      <c r="B55" s="143" t="s">
        <v>213</v>
      </c>
      <c r="C55" s="144">
        <f>C54/(1+C51)^5</f>
        <v>128.29487349465373</v>
      </c>
    </row>
    <row r="57" spans="2:3" x14ac:dyDescent="0.2">
      <c r="B57" s="256" t="s">
        <v>332</v>
      </c>
      <c r="C57" s="256"/>
    </row>
    <row r="58" spans="2:3" x14ac:dyDescent="0.2">
      <c r="B58" s="1" t="s">
        <v>217</v>
      </c>
      <c r="C58" s="64">
        <f>L8</f>
        <v>573998.68760660361</v>
      </c>
    </row>
    <row r="59" spans="2:3" x14ac:dyDescent="0.2">
      <c r="B59" s="1" t="s">
        <v>169</v>
      </c>
      <c r="C59" s="137">
        <f>IF(Overview!C28&gt;0,Overview!C28,WACC!C20)</f>
        <v>0.11</v>
      </c>
    </row>
    <row r="60" spans="2:3" x14ac:dyDescent="0.2">
      <c r="B60" s="39" t="s">
        <v>359</v>
      </c>
      <c r="C60" s="106">
        <v>22</v>
      </c>
    </row>
    <row r="61" spans="2:3" x14ac:dyDescent="0.2">
      <c r="B61" s="1" t="s">
        <v>207</v>
      </c>
      <c r="C61" s="24">
        <f>(C58*C60)</f>
        <v>12627971.127345279</v>
      </c>
    </row>
    <row r="62" spans="2:3" x14ac:dyDescent="0.2">
      <c r="B62" s="1" t="s">
        <v>358</v>
      </c>
      <c r="C62" s="24">
        <f>C61/(1+C59)^5-G30+G31</f>
        <v>8769651.2362081893</v>
      </c>
    </row>
    <row r="63" spans="2:3" x14ac:dyDescent="0.2">
      <c r="B63" s="1" t="s">
        <v>193</v>
      </c>
      <c r="C63" s="89">
        <f>Statement!AC107</f>
        <v>1416559</v>
      </c>
    </row>
    <row r="64" spans="2:3" x14ac:dyDescent="0.2">
      <c r="B64" s="1" t="s">
        <v>194</v>
      </c>
      <c r="C64" s="89">
        <f>Statement!AC108</f>
        <v>0</v>
      </c>
    </row>
    <row r="65" spans="2:3" x14ac:dyDescent="0.2">
      <c r="B65" s="1" t="s">
        <v>195</v>
      </c>
      <c r="C65" s="24">
        <f>C62+C63-C64</f>
        <v>10186210.236208189</v>
      </c>
    </row>
    <row r="66" spans="2:3" x14ac:dyDescent="0.2">
      <c r="B66" s="1" t="s">
        <v>70</v>
      </c>
      <c r="C66" s="89">
        <f>Statement!AC78</f>
        <v>50122</v>
      </c>
    </row>
    <row r="67" spans="2:3" x14ac:dyDescent="0.2">
      <c r="B67" s="143" t="s">
        <v>213</v>
      </c>
      <c r="C67" s="144">
        <f>C65/C66</f>
        <v>203.22832760480804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6" t="s">
        <v>219</v>
      </c>
      <c r="C4" s="256"/>
      <c r="N4" s="92"/>
    </row>
    <row r="5" spans="1:14" x14ac:dyDescent="0.2">
      <c r="B5" s="1" t="s">
        <v>220</v>
      </c>
      <c r="C5" s="135">
        <f>DCF!C26</f>
        <v>128.63343872974008</v>
      </c>
    </row>
    <row r="6" spans="1:14" x14ac:dyDescent="0.2">
      <c r="B6" s="1" t="s">
        <v>221</v>
      </c>
      <c r="C6" s="135">
        <f>Multiples!C47</f>
        <v>198.00560438758581</v>
      </c>
    </row>
    <row r="7" spans="1:14" x14ac:dyDescent="0.2">
      <c r="B7" s="1" t="s">
        <v>222</v>
      </c>
      <c r="C7" s="135">
        <f>Multiples!C55</f>
        <v>128.29487349465373</v>
      </c>
    </row>
    <row r="8" spans="1:14" x14ac:dyDescent="0.2">
      <c r="B8" s="1" t="s">
        <v>333</v>
      </c>
      <c r="C8" s="135">
        <f>Multiples!C67</f>
        <v>203.22832760480804</v>
      </c>
    </row>
    <row r="9" spans="1:14" x14ac:dyDescent="0.2">
      <c r="B9" s="143" t="s">
        <v>223</v>
      </c>
      <c r="C9" s="144">
        <f>AVERAGE(C5:C8)</f>
        <v>164.54056105419693</v>
      </c>
    </row>
    <row r="10" spans="1:14" x14ac:dyDescent="0.2">
      <c r="B10" s="1" t="s">
        <v>224</v>
      </c>
      <c r="C10" s="135">
        <f ca="1">Overview!C5</f>
        <v>143.68</v>
      </c>
    </row>
    <row r="11" spans="1:14" x14ac:dyDescent="0.2">
      <c r="B11" s="1" t="s">
        <v>225</v>
      </c>
      <c r="C11" s="156">
        <f ca="1">(C9-C10)/C10</f>
        <v>0.14518764653533492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420</v>
      </c>
    </row>
    <row r="2" spans="1:14" x14ac:dyDescent="0.2">
      <c r="A2" s="4"/>
      <c r="C2" s="256" t="s">
        <v>113</v>
      </c>
      <c r="D2" s="256"/>
      <c r="E2" s="256"/>
      <c r="F2" s="256"/>
      <c r="G2" s="268"/>
      <c r="H2" s="269" t="s">
        <v>114</v>
      </c>
      <c r="I2" s="256"/>
      <c r="J2" s="256"/>
      <c r="K2" s="256"/>
      <c r="L2" s="256"/>
    </row>
    <row r="3" spans="1:14" ht="10" customHeight="1" x14ac:dyDescent="0.2"/>
    <row r="4" spans="1:14" ht="16" customHeight="1" x14ac:dyDescent="0.2">
      <c r="A4" s="87"/>
      <c r="B4" s="60"/>
      <c r="C4" s="265" t="s">
        <v>198</v>
      </c>
      <c r="D4" s="265"/>
      <c r="E4" s="265"/>
      <c r="F4" s="265"/>
      <c r="G4" s="265"/>
      <c r="H4" s="265"/>
      <c r="I4" s="265"/>
      <c r="J4" s="265"/>
      <c r="K4" s="265"/>
      <c r="L4" s="26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51">
        <f>Statement!M26</f>
        <v>-2.57</v>
      </c>
      <c r="D6" s="251">
        <f>Statement!N26</f>
        <v>-1.51</v>
      </c>
      <c r="E6" s="251">
        <f>Statement!O26</f>
        <v>0.35</v>
      </c>
      <c r="F6" s="251">
        <f>Statement!P26</f>
        <v>1.88</v>
      </c>
      <c r="G6" s="252">
        <f>Statement!Q26</f>
        <v>3.2570201538405805</v>
      </c>
      <c r="H6" s="139"/>
      <c r="I6" s="139"/>
      <c r="J6" s="139"/>
      <c r="K6" s="139"/>
      <c r="L6" s="139"/>
      <c r="N6" s="92"/>
    </row>
    <row r="7" spans="1:14" x14ac:dyDescent="0.2">
      <c r="B7" s="16" t="s">
        <v>421</v>
      </c>
      <c r="C7" s="251">
        <f>Statement!M82</f>
        <v>0</v>
      </c>
      <c r="D7" s="251">
        <f>Statement!N82</f>
        <v>0</v>
      </c>
      <c r="E7" s="251">
        <f>Statement!O82</f>
        <v>0</v>
      </c>
      <c r="F7" s="251">
        <f>Statement!P82</f>
        <v>0</v>
      </c>
      <c r="G7" s="252">
        <f>Statement!Q82</f>
        <v>0</v>
      </c>
      <c r="H7" s="139"/>
      <c r="I7" s="139"/>
      <c r="J7" s="139"/>
      <c r="K7" s="139"/>
      <c r="L7" s="139"/>
      <c r="N7" s="92"/>
    </row>
    <row r="8" spans="1:14" x14ac:dyDescent="0.2">
      <c r="N8" s="92"/>
    </row>
    <row r="9" spans="1:14" x14ac:dyDescent="0.2">
      <c r="C9" s="265" t="s">
        <v>122</v>
      </c>
      <c r="D9" s="265"/>
      <c r="E9" s="265"/>
      <c r="F9" s="265"/>
      <c r="G9" s="265"/>
      <c r="H9" s="265"/>
      <c r="I9" s="265"/>
      <c r="J9" s="265"/>
      <c r="K9" s="265"/>
      <c r="L9" s="265"/>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5" t="s">
        <v>422</v>
      </c>
      <c r="D14" s="265"/>
      <c r="E14" s="265"/>
      <c r="F14" s="265"/>
      <c r="G14" s="265"/>
      <c r="H14" s="265"/>
      <c r="I14" s="265"/>
      <c r="J14" s="265"/>
      <c r="K14" s="265"/>
      <c r="L14" s="265"/>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423</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6" t="s">
        <v>424</v>
      </c>
      <c r="C20" s="256"/>
      <c r="N20" s="92"/>
    </row>
    <row r="21" spans="2:14" x14ac:dyDescent="0.2">
      <c r="B21" s="1" t="s">
        <v>425</v>
      </c>
      <c r="C21" s="253">
        <f>G7</f>
        <v>0</v>
      </c>
    </row>
    <row r="22" spans="2:14" x14ac:dyDescent="0.2">
      <c r="B22" s="1" t="s">
        <v>426</v>
      </c>
      <c r="C22" s="254">
        <v>0</v>
      </c>
    </row>
    <row r="23" spans="2:14" x14ac:dyDescent="0.2">
      <c r="B23" s="39" t="s">
        <v>427</v>
      </c>
      <c r="C23" s="255">
        <f>C21*(1+C22)</f>
        <v>0</v>
      </c>
    </row>
    <row r="24" spans="2:14" x14ac:dyDescent="0.2">
      <c r="B24" s="1" t="s">
        <v>357</v>
      </c>
      <c r="C24" s="137">
        <f>IF(Overview!C29&gt;0,Overview!C29,WACC!C19)</f>
        <v>0.12</v>
      </c>
    </row>
    <row r="25" spans="2:14" x14ac:dyDescent="0.2">
      <c r="B25" s="39" t="s">
        <v>428</v>
      </c>
      <c r="C25" s="254">
        <v>0</v>
      </c>
    </row>
    <row r="26" spans="2:14" x14ac:dyDescent="0.2">
      <c r="B26" s="143" t="s">
        <v>213</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6" t="s">
        <v>113</v>
      </c>
      <c r="D3" s="256"/>
      <c r="E3" s="256"/>
      <c r="F3" s="256"/>
      <c r="G3" s="268"/>
      <c r="H3" s="269" t="s">
        <v>114</v>
      </c>
      <c r="I3" s="256"/>
      <c r="J3" s="256"/>
      <c r="K3" s="256"/>
      <c r="L3" s="256"/>
      <c r="P3" s="270"/>
      <c r="Q3" s="270"/>
      <c r="R3" s="270"/>
      <c r="S3" s="270"/>
      <c r="T3" s="270"/>
      <c r="U3" s="270"/>
      <c r="V3" s="270"/>
      <c r="W3" s="270"/>
      <c r="X3" s="270"/>
      <c r="Y3" s="270"/>
      <c r="Z3" s="270"/>
      <c r="AB3" s="111"/>
    </row>
    <row r="4" spans="1:28" ht="10" customHeight="1" x14ac:dyDescent="0.2"/>
    <row r="5" spans="1:28" ht="16" customHeight="1" x14ac:dyDescent="0.2">
      <c r="A5" s="87"/>
      <c r="B5" s="60"/>
      <c r="C5" s="265" t="s">
        <v>184</v>
      </c>
      <c r="D5" s="265"/>
      <c r="E5" s="265"/>
      <c r="F5" s="265"/>
      <c r="G5" s="265"/>
      <c r="H5" s="265"/>
      <c r="I5" s="265"/>
      <c r="J5" s="265"/>
      <c r="K5" s="265"/>
      <c r="L5" s="265"/>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71" t="s">
        <v>227</v>
      </c>
      <c r="C14" s="272"/>
    </row>
    <row r="15" spans="1:28" x14ac:dyDescent="0.2">
      <c r="B15" s="157" t="s">
        <v>228</v>
      </c>
      <c r="C15" s="158">
        <f ca="1">Overview!C5</f>
        <v>143.68</v>
      </c>
    </row>
    <row r="16" spans="1:28" x14ac:dyDescent="0.2">
      <c r="B16" s="157" t="s">
        <v>229</v>
      </c>
      <c r="C16" s="158">
        <f>C36</f>
        <v>124.12445469218233</v>
      </c>
    </row>
    <row r="17" spans="2:9" ht="17" thickBot="1" x14ac:dyDescent="0.25">
      <c r="B17" s="159" t="s">
        <v>334</v>
      </c>
      <c r="C17" s="160">
        <v>0.2</v>
      </c>
      <c r="E17" s="273" t="s">
        <v>230</v>
      </c>
      <c r="F17" s="273"/>
      <c r="G17" s="273"/>
      <c r="H17" s="273"/>
      <c r="I17" s="273"/>
    </row>
    <row r="18" spans="2:9" ht="17" thickBot="1" x14ac:dyDescent="0.25"/>
    <row r="19" spans="2:9" x14ac:dyDescent="0.2">
      <c r="B19" s="271" t="s">
        <v>188</v>
      </c>
      <c r="C19" s="272"/>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46786</v>
      </c>
    </row>
    <row r="23" spans="2:9" x14ac:dyDescent="0.2">
      <c r="B23" s="161" t="s">
        <v>231</v>
      </c>
      <c r="C23" s="163">
        <f ca="1">C15*C22</f>
        <v>6722212.4800000004</v>
      </c>
    </row>
    <row r="24" spans="2:9" x14ac:dyDescent="0.2">
      <c r="B24" s="161" t="s">
        <v>182</v>
      </c>
      <c r="C24" s="225">
        <f>Statement!AC107</f>
        <v>1416559</v>
      </c>
    </row>
    <row r="25" spans="2:9" x14ac:dyDescent="0.2">
      <c r="B25" s="161" t="s">
        <v>173</v>
      </c>
      <c r="C25" s="225">
        <f>Statement!AC108</f>
        <v>0</v>
      </c>
    </row>
    <row r="26" spans="2:9" ht="17" thickBot="1" x14ac:dyDescent="0.25">
      <c r="B26" s="159" t="s">
        <v>232</v>
      </c>
      <c r="C26" s="164">
        <f ca="1">C23+C25-C24</f>
        <v>5305653.4800000004</v>
      </c>
    </row>
    <row r="27" spans="2:9" ht="17" thickBot="1" x14ac:dyDescent="0.25"/>
    <row r="28" spans="2:9" x14ac:dyDescent="0.2">
      <c r="B28" s="271" t="s">
        <v>190</v>
      </c>
      <c r="C28" s="272"/>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1416559</v>
      </c>
    </row>
    <row r="33" spans="2:12" x14ac:dyDescent="0.2">
      <c r="B33" s="161" t="s">
        <v>194</v>
      </c>
      <c r="C33" s="167">
        <f>C25</f>
        <v>0</v>
      </c>
    </row>
    <row r="34" spans="2:12" x14ac:dyDescent="0.2">
      <c r="B34" s="165" t="s">
        <v>195</v>
      </c>
      <c r="C34" s="166">
        <f>C31+C32-C33</f>
        <v>5807286.737228442</v>
      </c>
    </row>
    <row r="35" spans="2:12" x14ac:dyDescent="0.2">
      <c r="B35" s="161" t="s">
        <v>70</v>
      </c>
      <c r="C35" s="163">
        <f>C22</f>
        <v>46786</v>
      </c>
    </row>
    <row r="36" spans="2:12" ht="17" thickBot="1" x14ac:dyDescent="0.25">
      <c r="B36" s="168" t="s">
        <v>196</v>
      </c>
      <c r="C36" s="169">
        <f>C34/C35</f>
        <v>124.12445469218233</v>
      </c>
    </row>
    <row r="39" spans="2:12" x14ac:dyDescent="0.2">
      <c r="C39" s="265" t="s">
        <v>233</v>
      </c>
      <c r="D39" s="265"/>
      <c r="E39" s="265"/>
      <c r="F39" s="265"/>
      <c r="G39" s="265"/>
      <c r="H39" s="265"/>
      <c r="I39" s="265"/>
      <c r="J39" s="265"/>
      <c r="K39" s="265"/>
      <c r="L39" s="26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2026-09-13T21:44:20Z</dcterms:modified>
</cp:coreProperties>
</file>