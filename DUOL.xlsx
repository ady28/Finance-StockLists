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F7D4504-2662-D449-BE25-BAAAA074165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49"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4" i="12"/>
  <c r="C61"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41" i="12"/>
  <c r="C51"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H7" i="14" l="1"/>
  <c r="G41" i="14"/>
  <c r="G45" i="14" s="1"/>
  <c r="K6" i="14"/>
  <c r="K40" i="14" s="1"/>
  <c r="K5" i="12"/>
  <c r="K6" i="11"/>
  <c r="F13" i="12"/>
  <c r="J26" i="8"/>
  <c r="J19" i="8"/>
  <c r="J14" i="8"/>
  <c r="K5" i="8"/>
  <c r="K32" i="8" s="1"/>
  <c r="C57"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I7" i="14" l="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7" i="5"/>
  <c r="I16" i="5"/>
  <c r="L14" i="5"/>
  <c r="L24" i="5"/>
  <c r="L41" i="5"/>
  <c r="J16" i="5"/>
  <c r="J7" i="14" l="1"/>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C31" i="14" s="1"/>
  <c r="C34" i="14" s="1"/>
  <c r="C36" i="14" s="1"/>
  <c r="C16" i="14" s="1"/>
  <c r="L8" i="14"/>
  <c r="L11" i="14" s="1"/>
  <c r="C30" i="14" s="1"/>
  <c r="J47" i="14"/>
  <c r="J49" i="14"/>
  <c r="AC66" i="3"/>
  <c r="K47" i="14" l="1"/>
  <c r="K49" i="14"/>
  <c r="L46" i="14"/>
  <c r="L42" i="14"/>
  <c r="L44" i="14"/>
  <c r="L48" i="14" s="1"/>
  <c r="H11" i="5"/>
  <c r="H15" i="5"/>
  <c r="L47" i="14" l="1"/>
  <c r="L49" i="14"/>
  <c r="H20" i="5"/>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48" i="12"/>
  <c r="C52" i="12" s="1"/>
  <c r="C53"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2" i="12" s="1"/>
  <c r="C43" i="12" s="1"/>
  <c r="C45" i="12" s="1"/>
  <c r="C6" i="13" s="1"/>
  <c r="I4" i="1" s="1"/>
  <c r="L8" i="12" l="1"/>
  <c r="L7" i="11"/>
  <c r="L10" i="11" l="1"/>
  <c r="C19" i="11" s="1"/>
  <c r="L8" i="11"/>
  <c r="L11" i="11" s="1"/>
  <c r="C20" i="11" s="1"/>
  <c r="C56" i="12"/>
  <c r="C59" i="12" s="1"/>
  <c r="C60" i="12" s="1"/>
  <c r="C62" i="12" s="1"/>
  <c r="C8" i="13" s="1"/>
  <c r="I6" i="1" s="1"/>
  <c r="L14" i="12"/>
  <c r="C21" i="11" l="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<sst xmlns="http://schemas.openxmlformats.org/spreadsheetml/2006/main" count="811" uniqueCount="423">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</sst>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0.87080000000000002</v>
    <v>4.5449999999999999</v>
    <v>3.7495000000000001E-2</v>
    <v>-0.56000000000000005</v>
    <v>-4.4529999999999995E-3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126.88</v>
    <v>Software &amp; IT Services</v>
    <v>Stock</v>
    <v>46205.99772239531</v>
    <v>0</v>
    <v>115.51</v>
    <v>5859550771</v>
    <v>DUOLINGO, INC.</v>
    <v>DUOLINGO, INC.</v>
    <v>119.99</v>
    <v>14.028499999999999</v>
    <v>121.215</v>
    <v>125.76</v>
    <v>125.2</v>
    <v>46593120</v>
    <v>DUOL</v>
    <v>DUOLINGO, INC. (XNAS:DUOL)</v>
    <v>1002431</v>
    <v>1530289</v>
    <v>2011</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tabSelected="1" zoomScale="160" zoomScaleNormal="160" workbookViewId="0">
      <selection activeCell="I7" sqref="I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18</v>
      </c>
      <c r="C2" s="253"/>
      <c r="E2" s="252" t="s">
        <v>296</v>
      </c>
      <c r="F2" s="253"/>
      <c r="H2" s="252" t="s">
        <v>338</v>
      </c>
      <c r="I2" s="253"/>
    </row>
    <row r="3" spans="2:9" x14ac:dyDescent="0.2">
      <c r="B3" s="187" t="s">
        <v>11</v>
      </c>
      <c r="C3" s="219" t="e" vm="1">
        <v>#VALUE!</v>
      </c>
      <c r="D3" s="2"/>
      <c r="E3" s="187" t="s">
        <v>248</v>
      </c>
      <c r="F3" s="189">
        <f ca="1">Statement!AC149</f>
        <v>6135453.1200000001</v>
      </c>
      <c r="H3" s="187" t="str">
        <f>'AVG target price'!B5</f>
        <v>DCF price</v>
      </c>
      <c r="I3" s="213">
        <f>'AVG target price'!C5</f>
        <v>124.42492665170388</v>
      </c>
    </row>
    <row r="4" spans="2:9" x14ac:dyDescent="0.2">
      <c r="B4" s="187" t="s">
        <v>0</v>
      </c>
      <c r="C4" s="191" t="str" cm="1">
        <f t="array" aca="1" ref="C4" ca="1">_FV(C3,"Ticker symbol",TRUE)</f>
        <v>DUOL</v>
      </c>
      <c r="E4" s="188" t="s">
        <v>192</v>
      </c>
      <c r="F4" s="190">
        <f ca="1">Statement!AC150</f>
        <v>4743632.12</v>
      </c>
      <c r="H4" s="187" t="str">
        <f>'AVG target price'!B6</f>
        <v>EV/EBIT price</v>
      </c>
      <c r="I4" s="213">
        <f>'AVG target price'!C6</f>
        <v>171.70850800265185</v>
      </c>
    </row>
    <row r="5" spans="2:9" x14ac:dyDescent="0.2">
      <c r="B5" s="187" t="s">
        <v>1</v>
      </c>
      <c r="C5" s="210" cm="1">
        <f t="array" aca="1" ref="C5" ca="1">_FV(C3,"Price",TRUE)</f>
        <v>125.76</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125.2</v>
      </c>
      <c r="E6" s="187" t="s">
        <v>246</v>
      </c>
      <c r="F6" s="192">
        <f ca="1">Statement!AC146</f>
        <v>37.090814138040948</v>
      </c>
      <c r="H6" s="187" t="str">
        <f>'AVG target price'!B8</f>
        <v>EV/FCFF price</v>
      </c>
      <c r="I6" s="213">
        <f>'AVG target price'!C8</f>
        <v>169.62212640275894</v>
      </c>
    </row>
    <row r="7" spans="2:9" x14ac:dyDescent="0.2">
      <c r="B7" s="187" t="s">
        <v>3</v>
      </c>
      <c r="C7" s="6" cm="1">
        <f t="array" aca="1" ref="C7" ca="1">_FV(C3,"Change")</f>
        <v>4.5449999999999999</v>
      </c>
      <c r="E7" s="188" t="s">
        <v>205</v>
      </c>
      <c r="F7" s="193">
        <f ca="1">Statement!AC147</f>
        <v>5.5922547639428393</v>
      </c>
      <c r="H7" s="186" t="str">
        <f>'AVG target price'!B9</f>
        <v>AVG price</v>
      </c>
      <c r="I7" s="214">
        <f>'AVG target price'!C9</f>
        <v>147.93282798351726</v>
      </c>
    </row>
    <row r="8" spans="2:9" x14ac:dyDescent="0.2">
      <c r="B8" s="187" t="s">
        <v>4</v>
      </c>
      <c r="C8" s="6" cm="1">
        <f t="array" aca="1" ref="C8" ca="1">_FV(C3,"Change (extended hours)",TRUE)</f>
        <v>-0.56000000000000005</v>
      </c>
      <c r="E8" s="187" t="s">
        <v>274</v>
      </c>
      <c r="F8" s="194">
        <f ca="1">Statement!AC157</f>
        <v>4.3050121129439907E-2</v>
      </c>
      <c r="H8" s="186" t="str">
        <f>'AVG target price'!B11</f>
        <v>Upside/Downside</v>
      </c>
      <c r="I8" s="215">
        <f ca="1">'AVG target price'!C11</f>
        <v>0.17631065508521987</v>
      </c>
    </row>
    <row r="9" spans="2:9" x14ac:dyDescent="0.2">
      <c r="B9" s="187" t="s">
        <v>5</v>
      </c>
      <c r="C9" s="73" cm="1">
        <f t="array" aca="1" ref="C9" ca="1">_FV(C3,"Change (%)",TRUE)</f>
        <v>3.7495000000000001E-2</v>
      </c>
      <c r="E9" s="187" t="s">
        <v>297</v>
      </c>
      <c r="F9" s="194">
        <f ca="1">Statement!AC158</f>
        <v>2.6960853333612422E-2</v>
      </c>
    </row>
    <row r="10" spans="2:9" x14ac:dyDescent="0.2">
      <c r="B10" s="187" t="s">
        <v>6</v>
      </c>
      <c r="C10" s="73" cm="1">
        <f t="array" aca="1" ref="C10" ca="1">_FV(C3,"Change % (extended hours)",TRUE)</f>
        <v>-4.4529999999999995E-3</v>
      </c>
      <c r="E10" s="187" t="s">
        <v>302</v>
      </c>
      <c r="F10" s="194">
        <f ca="1">Statement!AC160</f>
        <v>3.9656402753184107E-3</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0.87080000000000002</v>
      </c>
      <c r="E13" s="187" t="s">
        <v>104</v>
      </c>
      <c r="F13" s="194">
        <f>Statement!AC125</f>
        <v>0.11905035623855768</v>
      </c>
    </row>
    <row r="14" spans="2:9" x14ac:dyDescent="0.2">
      <c r="B14" s="188" t="s">
        <v>10</v>
      </c>
      <c r="C14" s="212" cm="1">
        <f t="array" aca="1" ref="C14" ca="1">_FV(C3,"Volume average",TRUE)</f>
        <v>1530289</v>
      </c>
      <c r="E14" s="188" t="s">
        <v>105</v>
      </c>
      <c r="F14" s="195">
        <f>Statement!AC136</f>
        <v>-2241.5620934999406</v>
      </c>
    </row>
    <row r="15" spans="2:9" x14ac:dyDescent="0.2">
      <c r="E15" s="187" t="s">
        <v>299</v>
      </c>
      <c r="F15" s="194">
        <f ca="1">Statement!AC172</f>
        <v>0.22684893401972567</v>
      </c>
    </row>
    <row r="16" spans="2:9" x14ac:dyDescent="0.2">
      <c r="E16" s="188" t="s">
        <v>304</v>
      </c>
      <c r="F16" s="193">
        <f>Statement!AC171</f>
        <v>29.871890627347454</v>
      </c>
    </row>
    <row r="17" spans="2:9" x14ac:dyDescent="0.2">
      <c r="B17" s="254" t="s">
        <v>90</v>
      </c>
      <c r="C17" s="254"/>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4" t="s">
        <v>107</v>
      </c>
      <c r="C25" s="254"/>
      <c r="E25" s="252" t="s">
        <v>353</v>
      </c>
      <c r="F25" s="253"/>
    </row>
    <row r="26" spans="2:9" x14ac:dyDescent="0.2">
      <c r="B26" s="186" t="s">
        <v>108</v>
      </c>
      <c r="C26" s="172">
        <v>0.21</v>
      </c>
      <c r="E26" s="187" t="e" vm="2">
        <v>#VALUE!</v>
      </c>
      <c r="F26" s="221" cm="1">
        <f t="array" aca="1" ref="F26" ca="1">_FV(E26,"Price")</f>
        <v>44.85</v>
      </c>
    </row>
    <row r="27" spans="2:9" x14ac:dyDescent="0.2">
      <c r="B27" s="186" t="s">
        <v>176</v>
      </c>
      <c r="C27" s="223">
        <v>0</v>
      </c>
      <c r="E27" s="188" t="s">
        <v>354</v>
      </c>
      <c r="F27" s="222">
        <f ca="1">F26/1000</f>
        <v>4.4850000000000001E-2</v>
      </c>
    </row>
    <row r="28" spans="2:9" x14ac:dyDescent="0.2">
      <c r="B28" s="186" t="s">
        <v>358</v>
      </c>
      <c r="C28" s="223">
        <v>0.11</v>
      </c>
    </row>
    <row r="29" spans="2:9" x14ac:dyDescent="0.2">
      <c r="B29" s="186" t="s">
        <v>359</v>
      </c>
      <c r="C29" s="223">
        <v>0.12</v>
      </c>
    </row>
    <row r="33" spans="2:8" x14ac:dyDescent="0.2">
      <c r="B33" s="251" t="s">
        <v>348</v>
      </c>
      <c r="C33" s="251"/>
      <c r="D33" s="251"/>
      <c r="E33" s="251"/>
      <c r="F33" s="251"/>
      <c r="G33" s="251"/>
      <c r="H33" s="251"/>
    </row>
    <row r="35" spans="2:8" x14ac:dyDescent="0.2">
      <c r="B35" s="16" t="s">
        <v>349</v>
      </c>
      <c r="C35" s="1" t="s">
        <v>421</v>
      </c>
    </row>
    <row r="36" spans="2:8" x14ac:dyDescent="0.2">
      <c r="B36" s="16" t="s">
        <v>350</v>
      </c>
      <c r="C36" s="1" t="s">
        <v>422</v>
      </c>
    </row>
    <row r="39" spans="2:8" ht="6" customHeight="1" x14ac:dyDescent="0.2">
      <c r="B39" s="251"/>
      <c r="C39" s="251"/>
      <c r="D39" s="251"/>
      <c r="E39" s="251"/>
      <c r="F39" s="251"/>
      <c r="G39" s="251"/>
      <c r="H39" s="251"/>
    </row>
    <row r="42" spans="2:8" x14ac:dyDescent="0.2">
      <c r="B42" s="251" t="s">
        <v>351</v>
      </c>
      <c r="C42" s="251"/>
      <c r="D42" s="251"/>
      <c r="E42" s="251"/>
      <c r="F42" s="251"/>
      <c r="G42" s="251"/>
      <c r="H42" s="251"/>
    </row>
    <row r="44" spans="2:8" x14ac:dyDescent="0.2">
      <c r="B44" s="41" t="s">
        <v>352</v>
      </c>
      <c r="C44" s="41" t="s">
        <v>339</v>
      </c>
      <c r="D44" s="41"/>
      <c r="E44" s="41" t="s">
        <v>340</v>
      </c>
    </row>
    <row r="49" spans="2:8" ht="5" customHeight="1" x14ac:dyDescent="0.2">
      <c r="B49" s="251"/>
      <c r="C49" s="251"/>
      <c r="D49" s="251"/>
      <c r="E49" s="251"/>
      <c r="F49" s="251"/>
      <c r="G49" s="251"/>
      <c r="H49" s="251"/>
    </row>
    <row r="52" spans="2:8" x14ac:dyDescent="0.2">
      <c r="B52" s="251" t="s">
        <v>109</v>
      </c>
      <c r="C52" s="251"/>
      <c r="D52" s="251"/>
      <c r="E52" s="251"/>
      <c r="F52" s="251"/>
      <c r="G52" s="251"/>
      <c r="H52" s="251"/>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1"/>
      <c r="C65" s="251"/>
      <c r="D65" s="251"/>
      <c r="E65" s="251"/>
      <c r="F65" s="251"/>
      <c r="G65" s="251"/>
      <c r="H65" s="251"/>
    </row>
  </sheetData>
  <mergeCells count="12">
    <mergeCell ref="B2:C2"/>
    <mergeCell ref="B17:C17"/>
    <mergeCell ref="B25:C25"/>
    <mergeCell ref="E2:F2"/>
    <mergeCell ref="H2:I2"/>
    <mergeCell ref="E25:F25"/>
    <mergeCell ref="B52:H52"/>
    <mergeCell ref="B65:H65"/>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L59" activePane="bottomRight" state="frozen"/>
      <selection pane="topRight" activeCell="C1" sqref="C1"/>
      <selection pane="bottomLeft" activeCell="A4" sqref="A4"/>
      <selection pane="bottomRight" activeCell="Q110" sqref="Q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125.76</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125.76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37.090814138040948</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5.5922547639428393</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4.2101503415809001</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6135453.1200000001</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4743632.12</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4.3170513272049025</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30.31016734503492</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23.228738358093683</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25.391180489330232</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4.3050121129439907E-2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2.6960853333612422E-2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3.9656402753184107E-3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3.9656402753184107E-3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0.22684893401972567</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1" t="s">
        <v>242</v>
      </c>
      <c r="C4" s="251"/>
      <c r="E4" s="251" t="s">
        <v>249</v>
      </c>
      <c r="F4" s="251"/>
      <c r="G4" s="251"/>
    </row>
    <row r="5" spans="2:7" x14ac:dyDescent="0.2">
      <c r="B5" s="20" t="s">
        <v>1</v>
      </c>
      <c r="C5" s="174">
        <f ca="1">Overview!C5</f>
        <v>125.76</v>
      </c>
      <c r="E5" s="12"/>
      <c r="F5" s="134" t="s">
        <v>250</v>
      </c>
      <c r="G5" s="134" t="s">
        <v>251</v>
      </c>
    </row>
    <row r="6" spans="2:7" x14ac:dyDescent="0.2">
      <c r="B6" s="20" t="s">
        <v>248</v>
      </c>
      <c r="C6" s="175">
        <f ca="1">Statement!AC149</f>
        <v>6135453.1200000001</v>
      </c>
      <c r="E6" s="20" t="s">
        <v>20</v>
      </c>
      <c r="F6" s="180">
        <f>IF(Statement!M5&lt;=0,"N/A",_xlfn.RRI(4,Statement!M5,Statement!Q5))</f>
        <v>0.42622018562456243</v>
      </c>
      <c r="G6" s="180" t="str">
        <f>IF(Statement!H5&lt;=0,"N/A",_xlfn.RRI(9,Statement!H5,Statement!Q5))</f>
        <v>N/A</v>
      </c>
    </row>
    <row r="7" spans="2:7" x14ac:dyDescent="0.2">
      <c r="B7" s="20" t="s">
        <v>192</v>
      </c>
      <c r="C7" s="175">
        <f ca="1">Statement!AC150</f>
        <v>4743632.12</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37.090814138040948</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5.5922547639428393</v>
      </c>
      <c r="E9" s="20" t="s">
        <v>253</v>
      </c>
      <c r="F9" s="180" t="str">
        <f>IF(Statement!M82&lt;=0,"N/A",_xlfn.RRI(4,Statement!M82,Statement!Q82))</f>
        <v>N/A</v>
      </c>
      <c r="G9" s="180" t="str">
        <f>IF(Statement!H82&lt;=0,"N/A",_xlfn.RRI(9,Statement!H82,Statement!Q82))</f>
        <v>N/A</v>
      </c>
    </row>
    <row r="10" spans="2:7" x14ac:dyDescent="0.2">
      <c r="B10" s="20" t="s">
        <v>247</v>
      </c>
      <c r="C10" s="176">
        <f ca="1">Statement!AC148</f>
        <v>4.2101503415809001</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4.3170513272049025</v>
      </c>
    </row>
    <row r="12" spans="2:7" x14ac:dyDescent="0.2">
      <c r="B12" s="20" t="s">
        <v>208</v>
      </c>
      <c r="C12" s="176">
        <f ca="1">Statement!AC152</f>
        <v>30.31016734503492</v>
      </c>
    </row>
    <row r="15" spans="2:7" x14ac:dyDescent="0.2">
      <c r="B15" s="251" t="s">
        <v>78</v>
      </c>
      <c r="C15" s="251"/>
      <c r="E15" s="251" t="s">
        <v>255</v>
      </c>
      <c r="F15" s="251"/>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1" t="s">
        <v>254</v>
      </c>
      <c r="C21" s="251"/>
      <c r="E21" s="251" t="s">
        <v>258</v>
      </c>
      <c r="F21" s="251"/>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1" t="s">
        <v>259</v>
      </c>
      <c r="C29" s="251"/>
      <c r="E29" s="251" t="s">
        <v>265</v>
      </c>
      <c r="F29" s="251"/>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1" t="s">
        <v>277</v>
      </c>
      <c r="C37" s="251"/>
      <c r="E37" s="251" t="s">
        <v>280</v>
      </c>
      <c r="F37" s="251"/>
    </row>
    <row r="38" spans="2:6" x14ac:dyDescent="0.2">
      <c r="B38" s="20" t="s">
        <v>275</v>
      </c>
      <c r="C38" s="177">
        <f ca="1">Statement!AC158</f>
        <v>2.6960853333612422E-2</v>
      </c>
      <c r="E38" s="20" t="s">
        <v>279</v>
      </c>
      <c r="F38" s="177">
        <f>Statement!AC164</f>
        <v>0</v>
      </c>
    </row>
    <row r="39" spans="2:6" x14ac:dyDescent="0.2">
      <c r="B39" s="54" t="s">
        <v>278</v>
      </c>
      <c r="C39" s="217">
        <f ca="1">Statement!AC157</f>
        <v>4.3050121129439907E-2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3.9656402753184107E-3</v>
      </c>
    </row>
    <row r="42" spans="2:6" x14ac:dyDescent="0.2">
      <c r="B42" s="20" t="s">
        <v>303</v>
      </c>
      <c r="C42" s="177">
        <f ca="1">Statement!AC161</f>
        <v>3.9656402753184107E-3</v>
      </c>
    </row>
    <row r="45" spans="2:6" x14ac:dyDescent="0.2">
      <c r="B45" s="251" t="s">
        <v>288</v>
      </c>
      <c r="C45" s="251"/>
      <c r="E45" s="251" t="s">
        <v>294</v>
      </c>
      <c r="F45" s="251"/>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0.22684893401972567</v>
      </c>
    </row>
    <row r="51" spans="2:6" x14ac:dyDescent="0.2">
      <c r="B51" s="251" t="s">
        <v>291</v>
      </c>
      <c r="C51" s="251"/>
      <c r="E51" s="251" t="s">
        <v>312</v>
      </c>
      <c r="F51" s="251"/>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125.76</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6135453.1200000001</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4743632.12</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37.090814138040948</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5.5922547639428393</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4.2101503415809001</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4.3170513272049025</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30.31016734503492</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2.6960853333612422E-2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4.3050121129439907E-2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3.9656402753184107E-3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3.9656402753184107E-3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0.22684893401972567</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322</v>
      </c>
      <c r="D3" s="256"/>
      <c r="F3" s="257" t="s">
        <v>323</v>
      </c>
      <c r="G3" s="256"/>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8">
        <f>Statement!AA89</f>
        <v>3.2166947127281985E-2</v>
      </c>
      <c r="D7" s="259"/>
      <c r="F7" s="258">
        <f>IF(F6=0,
IF(G6=0,0,IF(G6&gt;0,1,-1)),
(G6-F6)/ABS(F6)
)</f>
        <v>0.26533415964948015</v>
      </c>
      <c r="G7" s="259"/>
    </row>
    <row r="8" spans="2:7" x14ac:dyDescent="0.2">
      <c r="B8" s="209" t="s">
        <v>21</v>
      </c>
      <c r="C8" s="202">
        <f>Statement!Z6</f>
        <v>76999</v>
      </c>
      <c r="D8" s="200">
        <f>Statement!AA6</f>
        <v>78871</v>
      </c>
      <c r="F8" s="202">
        <f>Statement!W6</f>
        <v>66647</v>
      </c>
      <c r="G8" s="200">
        <f>Statement!AA6</f>
        <v>78871</v>
      </c>
    </row>
    <row r="9" spans="2:7" x14ac:dyDescent="0.2">
      <c r="B9" s="208" t="s">
        <v>324</v>
      </c>
      <c r="C9" s="258">
        <f>Statement!AA90</f>
        <v>2.4312004052000676E-2</v>
      </c>
      <c r="D9" s="259"/>
      <c r="F9" s="258">
        <f>IF(F8=0,
IF(G8=0,0,IF(G8&gt;0,1,-1)),
(G8-F8)/ABS(F8)
)</f>
        <v>0.18341410716161269</v>
      </c>
      <c r="G9" s="259"/>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8">
        <f>Statement!AA91</f>
        <v>3.5104848228727975E-2</v>
      </c>
      <c r="D11" s="259"/>
      <c r="F11" s="258">
        <f>IF(F10=0,
IF(G10=0,0,IF(G10&gt;0,1,-1)),
(G10-F10)/ABS(F10)
)</f>
        <v>0.29860569422776911</v>
      </c>
      <c r="G11" s="259"/>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8">
        <f>Statement!AA95</f>
        <v>3.7890588923436871E-2</v>
      </c>
      <c r="D13" s="259"/>
      <c r="F13" s="258">
        <f>IF(F12=0,
IF(G12=0,0,IF(G12&gt;0,1,-1)),
(G12-F12)/ABS(F12)
)</f>
        <v>0.19976228096397206</v>
      </c>
      <c r="G13" s="259"/>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8">
        <f>Statement!AA96</f>
        <v>2.4692778570442307E-2</v>
      </c>
      <c r="D15" s="259"/>
      <c r="F15" s="258">
        <f>IF(F14=0,
IF(G14=0,0,IF(G14&gt;0,1,-1)),
(G14-F14)/ABS(F14)
)</f>
        <v>0.88721708909044672</v>
      </c>
      <c r="G15" s="259"/>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8">
        <f>Statement!AA98</f>
        <v>3.5896458025456456E-2</v>
      </c>
      <c r="D17" s="259"/>
      <c r="F17" s="258">
        <f>IF(F16=0,
IF(G16=0,0,IF(G16&gt;0,1,-1)),
(G16-F16)/ABS(F16)
)</f>
        <v>0.23694321901238083</v>
      </c>
      <c r="G17" s="259"/>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8">
        <f>IF(C18=0,
IF(D18=0,0,IF(D18&gt;0,1,-1)),
(D18-C18)/ABS(C18)
)</f>
        <v>1.3895378744883068E-2</v>
      </c>
      <c r="D19" s="259"/>
      <c r="F19" s="258">
        <f>IF(F18=0,
IF(G18=0,0,IF(G18&gt;0,1,-1)),
(G18-F18)/ABS(F18)
)</f>
        <v>1.0103717755737469E-2</v>
      </c>
      <c r="G19" s="259"/>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8">
        <f>IF(C20=0,
IF(D20=0,0,IF(D20&gt;0,1,-1)),
(D20-C20)/ABS(C20)
)</f>
        <v>2.4953901558794477E-2</v>
      </c>
      <c r="D21" s="259"/>
      <c r="F21" s="258">
        <f>IF(F20=0,
IF(G20=0,0,IF(G20&gt;0,1,-1)),
(G20-F20)/ABS(F20)
)</f>
        <v>0.23611111111111119</v>
      </c>
      <c r="G21" s="259"/>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8">
        <f>IF(C24=0,
IF(D24=0,0,IF(D24&gt;0,1,-1)),
(D24-C24)/ABS(C24)
)</f>
        <v>3.5586042940987099E-2</v>
      </c>
      <c r="D25" s="259"/>
      <c r="F25" s="258">
        <f>IF(F24=0,
IF(G24=0,0,IF(G24&gt;0,1,-1)),
(G24-F24)/ABS(F24)
)</f>
        <v>0.3137438673836439</v>
      </c>
      <c r="G25" s="259"/>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8">
        <f>IF(C26=0,
IF(D26=0,0,IF(D26&gt;0,1,-1)),
(D26-C26)/ABS(C26)
)</f>
        <v>1.9435240591464318E-2</v>
      </c>
      <c r="D27" s="259"/>
      <c r="F27" s="258">
        <f>IF(F26=0,
IF(G26=0,0,IF(G26&gt;0,1,-1)),
(G26-F26)/ABS(F26)
)</f>
        <v>0.15277933117100995</v>
      </c>
      <c r="G27" s="259"/>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8">
        <f>IF(C28=0,
IF(D28=0,0,IF(D28&gt;0,1,-1)),
(D28-C28)/ABS(C28)
)</f>
        <v>0.10055431294369348</v>
      </c>
      <c r="D29" s="259"/>
      <c r="F29" s="258">
        <f>IF(F28=0,
IF(G28=0,0,IF(G28&gt;0,1,-1)),
(G28-F28)/ABS(F28)
)</f>
        <v>-5.581511763724345E-2</v>
      </c>
      <c r="G29" s="259"/>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8">
        <f>IF(C30=0,
IF(D30=0,0,IF(D30&gt;0,1,-1)),
(D30-C30)/ABS(C30)
)</f>
        <v>-0.11569469165532405</v>
      </c>
      <c r="D31" s="259"/>
      <c r="F31" s="258">
        <f>IF(F30=0,
IF(G30=0,0,IF(G30&gt;0,1,-1)),
(G30-F30)/ABS(F30)
)</f>
        <v>-0.10548612582080068</v>
      </c>
      <c r="G31" s="259"/>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8">
        <f>IF(C32=0,
IF(D32=0,0,IF(D32&gt;0,1,-1)),
(D32-C32)/ABS(C32)
)</f>
        <v>0.29411764705882354</v>
      </c>
      <c r="D33" s="259"/>
      <c r="F33" s="258">
        <f>IF(F32=0,
IF(G32=0,0,IF(G32&gt;0,1,-1)),
(G32-F32)/ABS(F32)
)</f>
        <v>0.52914798206278024</v>
      </c>
      <c r="G33" s="259"/>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8">
        <f>IF(C36=0,
IF(D36=0,0,IF(D36&gt;0,1,-1)),
(D36-C36)/ABS(C36)
)</f>
        <v>7.2106261859582549E-2</v>
      </c>
      <c r="D37" s="259"/>
      <c r="F37" s="258">
        <f>IF(F36=0,
IF(G36=0,0,IF(G36&gt;0,1,-1)),
(G36-F36)/ABS(F36)
)</f>
        <v>0.21244635193133046</v>
      </c>
      <c r="G37" s="259"/>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8">
        <f>IF(C38=0,
IF(D38=0,0,IF(D38&gt;0,1,-1)),
(D38-C38)/ABS(C38)
)</f>
        <v>3.5311795642374154E-2</v>
      </c>
      <c r="D39" s="259"/>
      <c r="F39" s="258">
        <f>IF(F38=0,
IF(G38=0,0,IF(G38&gt;0,1,-1)),
(G38-F38)/ABS(F38)
)</f>
        <v>5.8371735791090631E-2</v>
      </c>
      <c r="G39" s="259"/>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8">
        <f>IF(C40=0,
IF(D40=0,0,IF(D40&gt;0,1,-1)),
(D40-C40)/ABS(C40)
)</f>
        <v>2.4590163934426229E-2</v>
      </c>
      <c r="D41" s="259"/>
      <c r="F41" s="258">
        <f>IF(F40=0,
IF(G40=0,0,IF(G40&gt;0,1,-1)),
(G40-F40)/ABS(F40)
)</f>
        <v>0.21359223300970873</v>
      </c>
      <c r="G41" s="259"/>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8">
        <f>IF(C42=0,
IF(D42=0,0,IF(D42&gt;0,1,-1)),
(D42-C42)/ABS(C42)
)</f>
        <v>3.6393713813068655E-2</v>
      </c>
      <c r="D43" s="259"/>
      <c r="F43" s="258">
        <f>IF(F42=0,
IF(G42=0,0,IF(G42&gt;0,1,-1)),
(G42-F42)/ABS(F42)
)</f>
        <v>4.5037531276063386E-2</v>
      </c>
      <c r="G43" s="259"/>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8">
        <f>IF(C44=0,
IF(D44=0,0,IF(D44&gt;0,1,-1)),
(D44-C44)/ABS(C44)
)</f>
        <v>1.0731977910403413E-2</v>
      </c>
      <c r="D45" s="259"/>
      <c r="F45" s="258">
        <f>IF(F44=0,
IF(G44=0,0,IF(G44&gt;0,1,-1)),
(G44-F44)/ABS(F44)
)</f>
        <v>8.2524946724122472E-2</v>
      </c>
      <c r="G45" s="259"/>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8">
        <f>IF(C46=0,
IF(D46=0,0,IF(D46&gt;0,1,-1)),
(D46-C46)/ABS(C46)
)</f>
        <v>3.5539502565387668E-2</v>
      </c>
      <c r="D47" s="259"/>
      <c r="F47" s="258">
        <f>IF(F46=0,
IF(G46=0,0,IF(G46&gt;0,1,-1)),
(G46-F46)/ABS(F46)
)</f>
        <v>0.14557703208606101</v>
      </c>
      <c r="G47" s="259"/>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8">
        <f>IF(C48=0,
IF(D48=0,0,IF(D48&gt;0,1,-1)),
(D48-C48)/ABS(C48)
)</f>
        <v>-1.0355944704846643E-2</v>
      </c>
      <c r="D49" s="259"/>
      <c r="F49" s="258">
        <f>IF(F48=0,
IF(G48=0,0,IF(G48&gt;0,1,-1)),
(G48-F48)/ABS(F48)
)</f>
        <v>0.14665971507883949</v>
      </c>
      <c r="G49" s="259"/>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8">
        <f>IF(C50=0,
IF(D50=0,0,IF(D50&gt;0,1,-1)),
(D50-C50)/ABS(C50)
)</f>
        <v>-1.63629641858896E-2</v>
      </c>
      <c r="D51" s="259"/>
      <c r="F51" s="258">
        <f>IF(F50=0,
IF(G50=0,0,IF(G50&gt;0,1,-1)),
(G50-F50)/ABS(F50)
)</f>
        <v>0.10309849806387941</v>
      </c>
      <c r="G51" s="259"/>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8">
        <f>IF(C52=0,
IF(D52=0,0,IF(D52&gt;0,1,-1)),
(D52-C52)/ABS(C52)
)</f>
        <v>-0.17517009292452351</v>
      </c>
      <c r="D53" s="259"/>
      <c r="F53" s="258">
        <f>IF(F52=0,
IF(G52=0,0,IF(G52&gt;0,1,-1)),
(G52-F52)/ABS(F52)
)</f>
        <v>-0.26222395510175772</v>
      </c>
      <c r="G53" s="259"/>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1" t="s">
        <v>113</v>
      </c>
      <c r="D2" s="251"/>
      <c r="E2" s="251"/>
      <c r="F2" s="251"/>
      <c r="G2" s="263"/>
      <c r="H2" s="264" t="s">
        <v>114</v>
      </c>
      <c r="I2" s="251"/>
      <c r="J2" s="251"/>
      <c r="K2" s="251"/>
      <c r="L2" s="251"/>
      <c r="O2" s="5"/>
      <c r="S2" s="251" t="s">
        <v>113</v>
      </c>
      <c r="T2" s="251"/>
      <c r="U2" s="251"/>
      <c r="V2" s="251"/>
      <c r="W2" s="251"/>
      <c r="X2" s="251"/>
      <c r="Y2" s="251"/>
      <c r="Z2" s="251"/>
      <c r="AA2" s="251" t="s">
        <v>114</v>
      </c>
      <c r="AB2" s="251"/>
      <c r="AC2" s="251"/>
      <c r="AE2" s="86" t="s">
        <v>85</v>
      </c>
    </row>
    <row r="3" spans="1:31" ht="10" customHeight="1" x14ac:dyDescent="0.2">
      <c r="O3" s="5"/>
    </row>
    <row r="4" spans="1:31" ht="16" customHeight="1" x14ac:dyDescent="0.2">
      <c r="A4" s="87"/>
      <c r="B4" s="60"/>
      <c r="C4" s="260" t="s">
        <v>116</v>
      </c>
      <c r="D4" s="260"/>
      <c r="E4" s="260"/>
      <c r="F4" s="260"/>
      <c r="G4" s="260"/>
      <c r="H4" s="260"/>
      <c r="I4" s="260"/>
      <c r="J4" s="260"/>
      <c r="K4" s="260"/>
      <c r="L4" s="260"/>
      <c r="O4" s="5"/>
      <c r="S4" s="261" t="s">
        <v>116</v>
      </c>
      <c r="T4" s="262"/>
      <c r="U4" s="262"/>
      <c r="V4" s="262"/>
      <c r="W4" s="262"/>
      <c r="X4" s="262"/>
      <c r="Y4" s="262"/>
      <c r="Z4" s="262"/>
      <c r="AA4" s="262"/>
      <c r="AB4" s="262"/>
      <c r="AC4" s="262"/>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0" t="s">
        <v>122</v>
      </c>
      <c r="D13" s="260"/>
      <c r="E13" s="260"/>
      <c r="F13" s="260"/>
      <c r="G13" s="260"/>
      <c r="H13" s="260"/>
      <c r="I13" s="260"/>
      <c r="J13" s="260"/>
      <c r="K13" s="260"/>
      <c r="L13" s="260"/>
      <c r="O13" s="5"/>
      <c r="Q13" s="92"/>
      <c r="S13" s="261" t="s">
        <v>122</v>
      </c>
      <c r="T13" s="262"/>
      <c r="U13" s="262"/>
      <c r="V13" s="262"/>
      <c r="W13" s="262"/>
      <c r="X13" s="262"/>
      <c r="Y13" s="262"/>
      <c r="Z13" s="262"/>
      <c r="AA13" s="262"/>
      <c r="AB13" s="262"/>
      <c r="AC13" s="262"/>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0" t="s">
        <v>124</v>
      </c>
      <c r="D23" s="260"/>
      <c r="E23" s="260"/>
      <c r="F23" s="260"/>
      <c r="G23" s="260"/>
      <c r="H23" s="260"/>
      <c r="I23" s="260"/>
      <c r="J23" s="260"/>
      <c r="K23" s="260"/>
      <c r="L23" s="260"/>
      <c r="O23" s="5"/>
      <c r="Q23" s="92"/>
      <c r="S23" s="261" t="s">
        <v>124</v>
      </c>
      <c r="T23" s="262"/>
      <c r="U23" s="262"/>
      <c r="V23" s="262"/>
      <c r="W23" s="262"/>
      <c r="X23" s="262"/>
      <c r="Y23" s="262"/>
      <c r="Z23" s="262"/>
      <c r="AA23" s="262"/>
      <c r="AB23" s="262"/>
      <c r="AC23" s="262"/>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0" t="s">
        <v>126</v>
      </c>
      <c r="D40" s="260"/>
      <c r="E40" s="260"/>
      <c r="F40" s="260"/>
      <c r="G40" s="260"/>
      <c r="H40" s="260"/>
      <c r="I40" s="260"/>
      <c r="J40" s="260"/>
      <c r="K40" s="260"/>
      <c r="L40" s="260"/>
      <c r="O40" s="5"/>
      <c r="S40" s="261" t="s">
        <v>126</v>
      </c>
      <c r="T40" s="262"/>
      <c r="U40" s="262"/>
      <c r="V40" s="262"/>
      <c r="W40" s="262"/>
      <c r="X40" s="262"/>
      <c r="Y40" s="262"/>
      <c r="Z40" s="262"/>
      <c r="AA40" s="262"/>
      <c r="AB40" s="262"/>
      <c r="AC40" s="262"/>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1" t="s">
        <v>113</v>
      </c>
      <c r="D2" s="251"/>
      <c r="E2" s="251"/>
      <c r="F2" s="251"/>
      <c r="G2" s="263"/>
      <c r="H2" s="264" t="s">
        <v>114</v>
      </c>
      <c r="I2" s="251"/>
      <c r="J2" s="251"/>
      <c r="K2" s="251"/>
      <c r="L2" s="251"/>
      <c r="P2" s="251" t="s">
        <v>113</v>
      </c>
      <c r="Q2" s="251"/>
      <c r="R2" s="251"/>
      <c r="S2" s="251"/>
      <c r="T2" s="251"/>
      <c r="U2" s="251"/>
      <c r="V2" s="251"/>
      <c r="W2" s="251"/>
      <c r="X2" s="251" t="s">
        <v>114</v>
      </c>
      <c r="Y2" s="251"/>
      <c r="Z2" s="251"/>
      <c r="AB2" s="86" t="s">
        <v>115</v>
      </c>
    </row>
    <row r="3" spans="1:28" ht="10" customHeight="1" x14ac:dyDescent="0.2"/>
    <row r="4" spans="1:28" ht="16" customHeight="1" x14ac:dyDescent="0.2">
      <c r="A4" s="87"/>
      <c r="B4" s="60"/>
      <c r="C4" s="260" t="s">
        <v>116</v>
      </c>
      <c r="D4" s="260"/>
      <c r="E4" s="260"/>
      <c r="F4" s="260"/>
      <c r="G4" s="260"/>
      <c r="H4" s="260"/>
      <c r="I4" s="260"/>
      <c r="J4" s="260"/>
      <c r="K4" s="260"/>
      <c r="L4" s="260"/>
      <c r="P4" s="262" t="s">
        <v>116</v>
      </c>
      <c r="Q4" s="262"/>
      <c r="R4" s="262"/>
      <c r="S4" s="262"/>
      <c r="T4" s="262"/>
      <c r="U4" s="262"/>
      <c r="V4" s="262"/>
      <c r="W4" s="262"/>
      <c r="X4" s="262"/>
      <c r="Y4" s="262"/>
      <c r="Z4" s="262"/>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0" t="s">
        <v>129</v>
      </c>
      <c r="D9" s="260"/>
      <c r="E9" s="260"/>
      <c r="F9" s="260"/>
      <c r="G9" s="260"/>
      <c r="H9" s="260"/>
      <c r="I9" s="260"/>
      <c r="J9" s="260"/>
      <c r="K9" s="260"/>
      <c r="L9" s="260"/>
      <c r="N9" s="92"/>
      <c r="P9" s="262" t="s">
        <v>130</v>
      </c>
      <c r="Q9" s="262"/>
      <c r="R9" s="262"/>
      <c r="S9" s="262"/>
      <c r="T9" s="262"/>
      <c r="U9" s="262"/>
      <c r="V9" s="262"/>
      <c r="W9" s="262"/>
      <c r="X9" s="262"/>
      <c r="Y9" s="262"/>
      <c r="Z9" s="262"/>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0" t="s">
        <v>132</v>
      </c>
      <c r="D18" s="260"/>
      <c r="E18" s="260"/>
      <c r="F18" s="260"/>
      <c r="G18" s="260"/>
      <c r="H18" s="260"/>
      <c r="I18" s="260"/>
      <c r="J18" s="260"/>
      <c r="K18" s="260"/>
      <c r="L18" s="260"/>
      <c r="P18" s="262" t="s">
        <v>132</v>
      </c>
      <c r="Q18" s="262"/>
      <c r="R18" s="262"/>
      <c r="S18" s="262"/>
      <c r="T18" s="262"/>
      <c r="U18" s="262"/>
      <c r="V18" s="262"/>
      <c r="W18" s="262"/>
      <c r="X18" s="262"/>
      <c r="Y18" s="262"/>
      <c r="Z18" s="262"/>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189" zoomScaleNormal="100" workbookViewId="0">
      <selection activeCell="L46" sqref="L4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116</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0" t="s">
        <v>136</v>
      </c>
      <c r="D11" s="260"/>
      <c r="E11" s="260"/>
      <c r="F11" s="260"/>
      <c r="G11" s="260"/>
      <c r="H11" s="260"/>
      <c r="I11" s="260"/>
      <c r="J11" s="260"/>
      <c r="K11" s="260"/>
      <c r="L11" s="260"/>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0" t="s">
        <v>141</v>
      </c>
      <c r="D18" s="260"/>
      <c r="E18" s="260"/>
      <c r="F18" s="260"/>
      <c r="G18" s="260"/>
      <c r="H18" s="260"/>
      <c r="I18" s="260"/>
      <c r="J18" s="260"/>
      <c r="K18" s="260"/>
      <c r="L18" s="260"/>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0" t="s">
        <v>147</v>
      </c>
      <c r="D26" s="260"/>
      <c r="E26" s="260"/>
      <c r="F26" s="260"/>
      <c r="G26" s="260"/>
      <c r="H26" s="260"/>
      <c r="I26" s="260"/>
      <c r="J26" s="260"/>
      <c r="K26" s="260"/>
      <c r="L26" s="260"/>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0" t="s">
        <v>151</v>
      </c>
      <c r="D33" s="260"/>
      <c r="E33" s="260"/>
      <c r="F33" s="260"/>
      <c r="G33" s="260"/>
      <c r="H33" s="260"/>
      <c r="I33" s="260"/>
      <c r="J33" s="260"/>
      <c r="K33" s="260"/>
      <c r="L33" s="260"/>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0" t="s">
        <v>154</v>
      </c>
      <c r="D40" s="260"/>
      <c r="E40" s="260"/>
      <c r="F40" s="260"/>
      <c r="G40" s="260"/>
      <c r="H40" s="260"/>
      <c r="I40" s="260"/>
      <c r="J40" s="260"/>
      <c r="K40" s="260"/>
      <c r="L40" s="260"/>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0.39999999999999997</v>
      </c>
      <c r="I44" s="125">
        <f t="shared" si="13"/>
        <v>0.4</v>
      </c>
      <c r="J44" s="125">
        <f t="shared" si="13"/>
        <v>0.39999999999999997</v>
      </c>
      <c r="K44" s="125">
        <f t="shared" si="13"/>
        <v>0.43478260869565222</v>
      </c>
      <c r="L44" s="125">
        <f t="shared" si="13"/>
        <v>0.45454545454545459</v>
      </c>
    </row>
    <row r="45" spans="2:12" x14ac:dyDescent="0.2">
      <c r="B45" s="1" t="s">
        <v>61</v>
      </c>
      <c r="C45" s="116">
        <f>-Statement!M110</f>
        <v>6206</v>
      </c>
      <c r="D45" s="116">
        <f>-Statement!N110</f>
        <v>10124</v>
      </c>
      <c r="E45" s="116">
        <f>-Statement!O110</f>
        <v>13684</v>
      </c>
      <c r="F45" s="116">
        <f>-Statement!P110</f>
        <v>21140</v>
      </c>
      <c r="G45" s="117">
        <f>-Statement!Q110</f>
        <v>27399</v>
      </c>
      <c r="H45" s="25">
        <f>H7*H46</f>
        <v>29783.760649999997</v>
      </c>
      <c r="I45" s="25">
        <f>I7*I46</f>
        <v>34005.015723857992</v>
      </c>
      <c r="J45" s="25">
        <f>J7*J46</f>
        <v>42831.729146772937</v>
      </c>
      <c r="K45" s="25">
        <f>K7*K46</f>
        <v>53122.720294540857</v>
      </c>
      <c r="L45" s="25">
        <f>L7*L46</f>
        <v>68380.410795153381</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2.5000000000000001E-2</v>
      </c>
      <c r="I46" s="98">
        <v>2.5000000000000001E-2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1" t="s">
        <v>113</v>
      </c>
      <c r="D2" s="251"/>
      <c r="E2" s="251"/>
      <c r="F2" s="251"/>
      <c r="G2" s="263"/>
      <c r="H2" s="264" t="s">
        <v>114</v>
      </c>
      <c r="I2" s="251"/>
      <c r="J2" s="251"/>
      <c r="K2" s="251"/>
      <c r="L2" s="251"/>
      <c r="S2" s="265"/>
      <c r="T2" s="265"/>
      <c r="U2" s="265"/>
      <c r="V2" s="265"/>
      <c r="W2" s="265"/>
      <c r="X2" s="265"/>
      <c r="Y2" s="265"/>
      <c r="Z2" s="265"/>
      <c r="AA2" s="265"/>
      <c r="AB2" s="265"/>
      <c r="AC2" s="265"/>
      <c r="AE2" s="111"/>
    </row>
    <row r="3" spans="1:31" ht="10" customHeight="1" x14ac:dyDescent="0.2"/>
    <row r="4" spans="1:31" ht="16" customHeight="1" x14ac:dyDescent="0.2">
      <c r="A4" s="87"/>
      <c r="B4" s="60"/>
      <c r="C4" s="260" t="s">
        <v>19</v>
      </c>
      <c r="D4" s="260"/>
      <c r="E4" s="260"/>
      <c r="F4" s="260"/>
      <c r="G4" s="260"/>
      <c r="H4" s="260"/>
      <c r="I4" s="260"/>
      <c r="J4" s="260"/>
      <c r="K4" s="260"/>
      <c r="L4" s="260"/>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0" t="s">
        <v>162</v>
      </c>
      <c r="D13" s="260"/>
      <c r="E13" s="260"/>
      <c r="F13" s="260"/>
      <c r="G13" s="260"/>
      <c r="H13" s="260"/>
      <c r="I13" s="260"/>
      <c r="J13" s="260"/>
      <c r="K13" s="260"/>
      <c r="L13" s="26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0" t="s">
        <v>163</v>
      </c>
      <c r="D18" s="260"/>
      <c r="E18" s="260"/>
      <c r="F18" s="260"/>
      <c r="G18" s="260"/>
      <c r="H18" s="260"/>
      <c r="I18" s="260"/>
      <c r="J18" s="260"/>
      <c r="K18" s="260"/>
      <c r="L18" s="260"/>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29783.760649999997</v>
      </c>
      <c r="I21" s="89">
        <f>'WC &amp; Investments'!I45</f>
        <v>34005.015723857992</v>
      </c>
      <c r="J21" s="89">
        <f>'WC &amp; Investments'!J45</f>
        <v>42831.729146772937</v>
      </c>
      <c r="K21" s="89">
        <f>'WC &amp; Investments'!K45</f>
        <v>53122.720294540857</v>
      </c>
      <c r="L21" s="89">
        <f>'WC &amp; Investments'!L45</f>
        <v>68380.410795153381</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0" t="s">
        <v>271</v>
      </c>
      <c r="D25" s="260"/>
      <c r="E25" s="260"/>
      <c r="F25" s="260"/>
      <c r="G25" s="260"/>
      <c r="H25" s="260"/>
      <c r="I25" s="260"/>
      <c r="J25" s="260"/>
      <c r="K25" s="260"/>
      <c r="L25" s="260"/>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139703.74555045483</v>
      </c>
      <c r="I28" s="95">
        <f t="shared" si="7"/>
        <v>230661.12442837239</v>
      </c>
      <c r="J28" s="95">
        <f t="shared" si="7"/>
        <v>284035.71818696847</v>
      </c>
      <c r="K28" s="95">
        <f t="shared" si="7"/>
        <v>354651.51220546826</v>
      </c>
      <c r="L28" s="95">
        <f t="shared" si="7"/>
        <v>536138.75843800372</v>
      </c>
    </row>
    <row r="31" spans="2:14" x14ac:dyDescent="0.2">
      <c r="C31" s="260" t="s">
        <v>78</v>
      </c>
      <c r="D31" s="260"/>
      <c r="E31" s="260"/>
      <c r="F31" s="260"/>
      <c r="G31" s="260"/>
      <c r="H31" s="260"/>
      <c r="I31" s="260"/>
      <c r="J31" s="260"/>
      <c r="K31" s="260"/>
      <c r="L31" s="260"/>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1" t="s">
        <v>170</v>
      </c>
      <c r="C4" s="251"/>
    </row>
    <row r="5" spans="1:3" ht="17" customHeight="1" x14ac:dyDescent="0.2">
      <c r="B5" s="1" t="s">
        <v>171</v>
      </c>
      <c r="C5" s="138">
        <f>Statement!AC78</f>
        <v>48787</v>
      </c>
    </row>
    <row r="6" spans="1:3" ht="17" customHeight="1" x14ac:dyDescent="0.2">
      <c r="B6" s="1" t="s">
        <v>1</v>
      </c>
      <c r="C6" s="135">
        <f ca="1">Overview!C5</f>
        <v>125.76</v>
      </c>
    </row>
    <row r="7" spans="1:3" ht="17" customHeight="1" x14ac:dyDescent="0.2">
      <c r="B7" s="1" t="s">
        <v>172</v>
      </c>
      <c r="C7" s="136">
        <f ca="1">C5*C6</f>
        <v>6135453.1200000001</v>
      </c>
    </row>
    <row r="8" spans="1:3" ht="17" customHeight="1" x14ac:dyDescent="0.2">
      <c r="B8" s="1" t="s">
        <v>173</v>
      </c>
      <c r="C8" s="114">
        <f>Statement!AC108</f>
        <v>0</v>
      </c>
    </row>
    <row r="9" spans="1:3" ht="17" customHeight="1" x14ac:dyDescent="0.2">
      <c r="B9" s="1" t="s">
        <v>174</v>
      </c>
      <c r="C9" s="137">
        <f ca="1">Overview!F27</f>
        <v>4.4850000000000001E-2</v>
      </c>
    </row>
    <row r="10" spans="1:3" ht="17" customHeight="1" x14ac:dyDescent="0.2">
      <c r="B10" s="1" t="s">
        <v>9</v>
      </c>
      <c r="C10" s="135">
        <f ca="1">Overview!C13</f>
        <v>0.87080000000000002</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1" t="s">
        <v>177</v>
      </c>
      <c r="C15" s="251"/>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8.4036E-2</v>
      </c>
    </row>
    <row r="20" spans="2:3" ht="17" customHeight="1" x14ac:dyDescent="0.2">
      <c r="B20" s="1" t="s">
        <v>169</v>
      </c>
      <c r="C20" s="46">
        <f ca="1">(C17*C19)+(C16*C18)</f>
        <v>8.4036E-2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G7" sqref="G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139703.74555045483</v>
      </c>
      <c r="I7" s="114">
        <f>'FCF &amp; Other'!I28</f>
        <v>230661.12442837239</v>
      </c>
      <c r="J7" s="114">
        <f>'FCF &amp; Other'!J28</f>
        <v>284035.71818696847</v>
      </c>
      <c r="K7" s="114">
        <f>'FCF &amp; Other'!K28</f>
        <v>354651.51220546826</v>
      </c>
      <c r="L7" s="114">
        <f>'FCF &amp; Other'!L28</f>
        <v>536138.75843800372</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6076239.2622973761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125859.23022563496</v>
      </c>
      <c r="I10" s="128">
        <f t="shared" ref="I10:L10" si="0">I7/(1+$C$15)^I9</f>
        <v>187209.74306336528</v>
      </c>
      <c r="J10" s="128">
        <f t="shared" si="0"/>
        <v>207684.4691199369</v>
      </c>
      <c r="K10" s="128">
        <f t="shared" si="0"/>
        <v>233619.93611710551</v>
      </c>
      <c r="L10" s="128">
        <f t="shared" si="0"/>
        <v>318172.25821870007</v>
      </c>
      <c r="N10" s="92"/>
    </row>
    <row r="11" spans="1:28" x14ac:dyDescent="0.2">
      <c r="B11" s="1" t="s">
        <v>187</v>
      </c>
      <c r="C11" s="139"/>
      <c r="D11" s="139"/>
      <c r="E11" s="139"/>
      <c r="F11" s="139"/>
      <c r="G11" s="140"/>
      <c r="H11" s="139"/>
      <c r="I11" s="139"/>
      <c r="J11" s="139"/>
      <c r="K11" s="139"/>
      <c r="L11" s="128">
        <f>L8/(1+C15)^L9</f>
        <v>3605952.2598119345</v>
      </c>
    </row>
    <row r="13" spans="1:28" x14ac:dyDescent="0.2">
      <c r="B13" s="251" t="s">
        <v>188</v>
      </c>
      <c r="C13" s="251"/>
    </row>
    <row r="14" spans="1:28" x14ac:dyDescent="0.2">
      <c r="B14" s="1" t="s">
        <v>189</v>
      </c>
      <c r="C14" s="142">
        <v>0.02</v>
      </c>
    </row>
    <row r="15" spans="1:28" x14ac:dyDescent="0.2">
      <c r="B15" s="1" t="s">
        <v>169</v>
      </c>
      <c r="C15" s="137">
        <f>IF(Overview!C28&gt;0,Overview!C28,WACC!C20)</f>
        <v>0.11</v>
      </c>
    </row>
    <row r="18" spans="2:3" x14ac:dyDescent="0.2">
      <c r="B18" s="251" t="s">
        <v>190</v>
      </c>
      <c r="C18" s="251"/>
    </row>
    <row r="19" spans="2:3" x14ac:dyDescent="0.2">
      <c r="B19" s="1" t="s">
        <v>191</v>
      </c>
      <c r="C19" s="64">
        <f>SUM(H10:L10)</f>
        <v>1072545.6367447427</v>
      </c>
    </row>
    <row r="20" spans="2:3" x14ac:dyDescent="0.2">
      <c r="B20" s="1" t="s">
        <v>187</v>
      </c>
      <c r="C20" s="64">
        <f>L11</f>
        <v>3605952.2598119345</v>
      </c>
    </row>
    <row r="21" spans="2:3" x14ac:dyDescent="0.2">
      <c r="B21" s="16" t="s">
        <v>192</v>
      </c>
      <c r="C21" s="95">
        <f>C19+C20</f>
        <v>4678497.8965566773</v>
      </c>
    </row>
    <row r="22" spans="2:3" x14ac:dyDescent="0.2">
      <c r="B22" s="1" t="s">
        <v>193</v>
      </c>
      <c r="C22" s="89">
        <f>Statement!AC107</f>
        <v>1391821</v>
      </c>
    </row>
    <row r="23" spans="2:3" x14ac:dyDescent="0.2">
      <c r="B23" s="1" t="s">
        <v>194</v>
      </c>
      <c r="C23" s="89">
        <f>Statement!AC108</f>
        <v>0</v>
      </c>
    </row>
    <row r="24" spans="2:3" x14ac:dyDescent="0.2">
      <c r="B24" s="16" t="s">
        <v>195</v>
      </c>
      <c r="C24" s="95">
        <f>C21+C22-C23</f>
        <v>6070318.8965566773</v>
      </c>
    </row>
    <row r="25" spans="2:3" x14ac:dyDescent="0.2">
      <c r="B25" s="1" t="s">
        <v>70</v>
      </c>
      <c r="C25" s="89">
        <f>Statement!AC78</f>
        <v>48787</v>
      </c>
    </row>
    <row r="26" spans="2:3" x14ac:dyDescent="0.2">
      <c r="B26" s="143" t="s">
        <v>196</v>
      </c>
      <c r="C26" s="144">
        <f>C24/C25</f>
        <v>124.42492665170388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40"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1" t="s">
        <v>113</v>
      </c>
      <c r="D2" s="251"/>
      <c r="E2" s="251"/>
      <c r="F2" s="251"/>
      <c r="G2" s="263"/>
      <c r="H2" s="264" t="s">
        <v>114</v>
      </c>
      <c r="I2" s="251"/>
      <c r="J2" s="251"/>
      <c r="K2" s="251"/>
      <c r="L2" s="251"/>
    </row>
    <row r="3" spans="1:14" ht="10" customHeight="1" x14ac:dyDescent="0.2"/>
    <row r="4" spans="1:14" ht="16" customHeight="1" x14ac:dyDescent="0.2">
      <c r="A4" s="87"/>
      <c r="B4" s="60"/>
      <c r="C4" s="260" t="s">
        <v>198</v>
      </c>
      <c r="D4" s="260"/>
      <c r="E4" s="260"/>
      <c r="F4" s="260"/>
      <c r="G4" s="260"/>
      <c r="H4" s="260"/>
      <c r="I4" s="260"/>
      <c r="J4" s="260"/>
      <c r="K4" s="260"/>
      <c r="L4" s="260"/>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139703.74555045483</v>
      </c>
      <c r="I8" s="93">
        <f>'FCF &amp; Other'!I28</f>
        <v>230661.12442837239</v>
      </c>
      <c r="J8" s="93">
        <f>'FCF &amp; Other'!J28</f>
        <v>284035.71818696847</v>
      </c>
      <c r="K8" s="93">
        <f>'FCF &amp; Other'!K28</f>
        <v>354651.51220546826</v>
      </c>
      <c r="L8" s="93">
        <f>'FCF &amp; Other'!L28</f>
        <v>536138.75843800372</v>
      </c>
      <c r="N8" s="92"/>
    </row>
    <row r="9" spans="1:14" x14ac:dyDescent="0.2">
      <c r="N9" s="92"/>
    </row>
    <row r="10" spans="1:14" x14ac:dyDescent="0.2">
      <c r="C10" s="260" t="s">
        <v>122</v>
      </c>
      <c r="D10" s="260"/>
      <c r="E10" s="260"/>
      <c r="F10" s="260"/>
      <c r="G10" s="260"/>
      <c r="H10" s="260"/>
      <c r="I10" s="260"/>
      <c r="J10" s="260"/>
      <c r="K10" s="260"/>
      <c r="L10" s="260"/>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-0.26526562925137936</v>
      </c>
      <c r="I14" s="96">
        <f t="shared" si="3"/>
        <v>0.65107330171808298</v>
      </c>
      <c r="J14" s="96">
        <f t="shared" si="3"/>
        <v>0.23139830732582153</v>
      </c>
      <c r="K14" s="96">
        <f t="shared" si="3"/>
        <v>0.2486158940475805</v>
      </c>
      <c r="L14" s="96">
        <f t="shared" si="3"/>
        <v>0.51173402618227204</v>
      </c>
      <c r="N14" s="92"/>
    </row>
    <row r="15" spans="1:14" x14ac:dyDescent="0.2">
      <c r="N15" s="92"/>
    </row>
    <row r="16" spans="1:14" x14ac:dyDescent="0.2">
      <c r="C16" s="260" t="s">
        <v>200</v>
      </c>
      <c r="D16" s="260"/>
      <c r="E16" s="260"/>
      <c r="F16" s="260"/>
      <c r="G16" s="260"/>
      <c r="H16" s="260"/>
      <c r="I16" s="260"/>
      <c r="J16" s="260"/>
      <c r="K16" s="260"/>
      <c r="L16" s="260"/>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0" t="s">
        <v>203</v>
      </c>
      <c r="D21" s="260"/>
      <c r="E21" s="260"/>
      <c r="F21" s="260"/>
      <c r="G21" s="260"/>
      <c r="H21" s="260"/>
      <c r="I21" s="260"/>
      <c r="J21" s="260"/>
      <c r="K21" s="260"/>
      <c r="L21" s="260"/>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0" t="s">
        <v>204</v>
      </c>
      <c r="D26" s="260"/>
      <c r="E26" s="260"/>
      <c r="F26" s="260"/>
      <c r="G26" s="260"/>
      <c r="H26" s="260"/>
      <c r="I26" s="260"/>
      <c r="J26" s="260"/>
      <c r="K26" s="260"/>
      <c r="L26" s="260"/>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1" t="s">
        <v>209</v>
      </c>
      <c r="C37" s="251"/>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212</v>
      </c>
      <c r="C41" s="24">
        <f>L18</f>
        <v>56000.505465443181</v>
      </c>
    </row>
    <row r="42" spans="2:14" x14ac:dyDescent="0.2">
      <c r="B42" s="1" t="s">
        <v>207</v>
      </c>
      <c r="C42" s="24">
        <f>(C38*C40)</f>
        <v>11966571.889151841</v>
      </c>
    </row>
    <row r="43" spans="2:14" x14ac:dyDescent="0.2">
      <c r="B43" s="1" t="s">
        <v>360</v>
      </c>
      <c r="C43" s="24">
        <f>C42/(1+C39)^5-G30+G31</f>
        <v>8377142.9799253754</v>
      </c>
    </row>
    <row r="44" spans="2:14" x14ac:dyDescent="0.2">
      <c r="B44" s="1" t="s">
        <v>70</v>
      </c>
      <c r="C44" s="89">
        <f>Statement!AC78</f>
        <v>48787</v>
      </c>
    </row>
    <row r="45" spans="2:14" x14ac:dyDescent="0.2">
      <c r="B45" s="143" t="s">
        <v>213</v>
      </c>
      <c r="C45" s="144">
        <f>C43/C44</f>
        <v>171.70850800265185</v>
      </c>
    </row>
    <row r="47" spans="2:14" x14ac:dyDescent="0.2">
      <c r="B47" s="251" t="s">
        <v>214</v>
      </c>
      <c r="C47" s="251"/>
    </row>
    <row r="48" spans="2:14" x14ac:dyDescent="0.2">
      <c r="B48" s="1" t="s">
        <v>215</v>
      </c>
      <c r="C48" s="64">
        <f>L6</f>
        <v>3108200.4906887901</v>
      </c>
    </row>
    <row r="49" spans="2:3" x14ac:dyDescent="0.2">
      <c r="B49" s="1" t="s">
        <v>359</v>
      </c>
      <c r="C49" s="137">
        <f>Overview!C29</f>
        <v>0.12</v>
      </c>
    </row>
    <row r="50" spans="2:3" x14ac:dyDescent="0.2">
      <c r="B50" s="39" t="s">
        <v>216</v>
      </c>
      <c r="C50" s="106">
        <v>4</v>
      </c>
    </row>
    <row r="51" spans="2:3" x14ac:dyDescent="0.2">
      <c r="B51" s="1" t="s">
        <v>212</v>
      </c>
      <c r="C51" s="24">
        <f>L18</f>
        <v>56000.505465443181</v>
      </c>
    </row>
    <row r="52" spans="2:3" x14ac:dyDescent="0.2">
      <c r="B52" s="1" t="s">
        <v>196</v>
      </c>
      <c r="C52" s="24">
        <f>(C48*C50)/C51</f>
        <v>222.01231684287563</v>
      </c>
    </row>
    <row r="53" spans="2:3" x14ac:dyDescent="0.2">
      <c r="B53" s="143" t="s">
        <v>213</v>
      </c>
      <c r="C53" s="144">
        <f>C52/(1+C49)^5</f>
        <v>125.97575087695434</v>
      </c>
    </row>
    <row r="55" spans="2:3" x14ac:dyDescent="0.2">
      <c r="B55" s="251" t="s">
        <v>332</v>
      </c>
      <c r="C55" s="251"/>
    </row>
    <row r="56" spans="2:3" x14ac:dyDescent="0.2">
      <c r="B56" s="1" t="s">
        <v>217</v>
      </c>
      <c r="C56" s="64">
        <f>L8</f>
        <v>536138.75843800372</v>
      </c>
    </row>
    <row r="57" spans="2:3" x14ac:dyDescent="0.2">
      <c r="B57" s="1" t="s">
        <v>169</v>
      </c>
      <c r="C57" s="137">
        <f>IF(Overview!C28&gt;0,Overview!C28,WACC!C20)</f>
        <v>0.11</v>
      </c>
    </row>
    <row r="58" spans="2:3" x14ac:dyDescent="0.2">
      <c r="B58" s="39" t="s">
        <v>361</v>
      </c>
      <c r="C58" s="106">
        <v>22</v>
      </c>
    </row>
    <row r="59" spans="2:3" x14ac:dyDescent="0.2">
      <c r="B59" s="1" t="s">
        <v>207</v>
      </c>
      <c r="C59" s="24">
        <f>(C56*C58)</f>
        <v>11795052.685636081</v>
      </c>
    </row>
    <row r="60" spans="2:3" x14ac:dyDescent="0.2">
      <c r="B60" s="1" t="s">
        <v>360</v>
      </c>
      <c r="C60" s="24">
        <f>C59/(1+C57)^5-G30+G31</f>
        <v>8275354.6808114005</v>
      </c>
    </row>
    <row r="61" spans="2:3" x14ac:dyDescent="0.2">
      <c r="B61" s="1" t="s">
        <v>70</v>
      </c>
      <c r="C61" s="89">
        <f>Statement!AC78</f>
        <v>48787</v>
      </c>
    </row>
    <row r="62" spans="2:3" x14ac:dyDescent="0.2">
      <c r="B62" s="143" t="s">
        <v>213</v>
      </c>
      <c r="C62" s="144">
        <f>C60/C61</f>
        <v>169.62212640275894</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1" t="s">
        <v>219</v>
      </c>
      <c r="C4" s="251"/>
      <c r="N4" s="92"/>
    </row>
    <row r="5" spans="1:14" x14ac:dyDescent="0.2">
      <c r="B5" s="1" t="s">
        <v>220</v>
      </c>
      <c r="C5" s="135">
        <f>DCF!C26</f>
        <v>124.42492665170388</v>
      </c>
    </row>
    <row r="6" spans="1:14" x14ac:dyDescent="0.2">
      <c r="B6" s="1" t="s">
        <v>221</v>
      </c>
      <c r="C6" s="135">
        <f>Multiples!C45</f>
        <v>171.70850800265185</v>
      </c>
    </row>
    <row r="7" spans="1:14" x14ac:dyDescent="0.2">
      <c r="B7" s="1" t="s">
        <v>222</v>
      </c>
      <c r="C7" s="135">
        <f>Multiples!C53</f>
        <v>125.97575087695434</v>
      </c>
    </row>
    <row r="8" spans="1:14" x14ac:dyDescent="0.2">
      <c r="B8" s="1" t="s">
        <v>333</v>
      </c>
      <c r="C8" s="135">
        <f>Multiples!C62</f>
        <v>169.62212640275894</v>
      </c>
    </row>
    <row r="9" spans="1:14" x14ac:dyDescent="0.2">
      <c r="B9" s="143" t="s">
        <v>223</v>
      </c>
      <c r="C9" s="144">
        <f>AVERAGE(C5:C8)</f>
        <v>147.93282798351726</v>
      </c>
    </row>
    <row r="10" spans="1:14" x14ac:dyDescent="0.2">
      <c r="B10" s="1" t="s">
        <v>224</v>
      </c>
      <c r="C10" s="135">
        <f ca="1">Overview!C5</f>
        <v>125.76</v>
      </c>
    </row>
    <row r="11" spans="1:14" x14ac:dyDescent="0.2">
      <c r="B11" s="1" t="s">
        <v>225</v>
      </c>
      <c r="C11" s="156">
        <f ca="1">(C9-C10)/C10</f>
        <v>0.17631065508521987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66" t="s">
        <v>227</v>
      </c>
      <c r="C14" s="267"/>
    </row>
    <row r="15" spans="1:28" x14ac:dyDescent="0.2">
      <c r="B15" s="157" t="s">
        <v>228</v>
      </c>
      <c r="C15" s="158">
        <f ca="1">Overview!C5</f>
        <v>125.76</v>
      </c>
    </row>
    <row r="16" spans="1:28" x14ac:dyDescent="0.2">
      <c r="B16" s="157" t="s">
        <v>229</v>
      </c>
      <c r="C16" s="158">
        <f>C36</f>
        <v>124.10767147915871</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5859535.6800000006</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4467714.6800000006</v>
      </c>
    </row>
    <row r="27" spans="2:9" ht="17" thickBot="1" x14ac:dyDescent="0.25"/>
    <row r="28" spans="2:9" x14ac:dyDescent="0.2">
      <c r="B28" s="266" t="s">
        <v>190</v>
      </c>
      <c r="C28" s="267"/>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1391821</v>
      </c>
    </row>
    <row r="33" spans="2:12" x14ac:dyDescent="0.2">
      <c r="B33" s="161" t="s">
        <v>194</v>
      </c>
      <c r="C33" s="167">
        <f>C25</f>
        <v>0</v>
      </c>
    </row>
    <row r="34" spans="2:12" x14ac:dyDescent="0.2">
      <c r="B34" s="165" t="s">
        <v>195</v>
      </c>
      <c r="C34" s="166">
        <f>C31+C32-C33</f>
        <v>5782548.737228442</v>
      </c>
    </row>
    <row r="35" spans="2:12" x14ac:dyDescent="0.2">
      <c r="B35" s="161" t="s">
        <v>70</v>
      </c>
      <c r="C35" s="163">
        <f>C22</f>
        <v>46593</v>
      </c>
    </row>
    <row r="36" spans="2:12" ht="17" thickBot="1" x14ac:dyDescent="0.25">
      <c r="B36" s="168" t="s">
        <v>196</v>
      </c>
      <c r="C36" s="169">
        <f>C34/C35</f>
        <v>124.10767147915871</v>
      </c>
    </row>
    <row r="39" spans="2:12" x14ac:dyDescent="0.2">
      <c r="C39" s="260" t="s">
        <v>233</v>
      </c>
      <c r="D39" s="260"/>
      <c r="E39" s="260"/>
      <c r="F39" s="260"/>
      <c r="G39" s="260"/>
      <c r="H39" s="260"/>
      <c r="I39" s="260"/>
      <c r="J39" s="260"/>
      <c r="K39" s="260"/>
      <c r="L39" s="26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2026-07-05T16:05:48Z</dcterms:modified>
</cp:coreProperties>
</file>