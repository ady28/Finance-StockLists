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defaultThemeVersion="202300"/>
  <mc:AlternateContent xmlns:mc="http://schemas.openxmlformats.org/markup-compatibility/2006">
    <mc:Choice Requires="x15">
      <x15ac:absPath xmlns:x15ac="http://schemas.microsoft.com/office/spreadsheetml/2010/11/ac" url="/Volumes/KINGSTON/MyStockData/Finance-StockLists/"/>
    </mc:Choice>
  </mc:AlternateContent>
  <xr:revisionPtr revIDLastSave="0" documentId="13_ncr:1_{40EBE32F-47B2-BA4A-A0A8-72332994F270}" xr6:coauthVersionLast="47" xr6:coauthVersionMax="47" xr10:uidLastSave="{00000000-0000-0000-0000-000000000000}"/>
  <bookViews>
    <workbookView xWindow="0" yWindow="0" windowWidth="25600" windowHeight="14400" xr2:uid="{AEC0C047-6E16-294C-82BD-58123BA913A1}"/>
  </bookViews>
  <sheets>
    <sheet name="Overview" sheetId="1" r:id="rId1"/>
    <sheet name="Financials -&gt;" sheetId="2" r:id="rId2"/>
    <sheet name="Statement" sheetId="3" r:id="rId3"/>
    <sheet name="Analysis -&gt;" sheetId="15" r:id="rId4"/>
    <sheet name="Basic" sheetId="16" r:id="rId5"/>
    <sheet name="Yearly Analysis" sheetId="17" r:id="rId6"/>
    <sheet name="Quarter analysis" sheetId="18" r:id="rId7"/>
    <sheet name="Graphs Year" sheetId="19" r:id="rId8"/>
    <sheet name="Graphs Quarter" sheetId="20" r:id="rId9"/>
    <sheet name="Forecast -&gt;" sheetId="4" r:id="rId10"/>
    <sheet name="Revenue" sheetId="5" r:id="rId11"/>
    <sheet name="COGS &amp; OpEx" sheetId="6" r:id="rId12"/>
    <sheet name="WC &amp; Investments" sheetId="7" r:id="rId13"/>
    <sheet name="FCF &amp; Other" sheetId="8" r:id="rId14"/>
    <sheet name="Valuation -&gt;" sheetId="9" r:id="rId15"/>
    <sheet name="WACC" sheetId="10" r:id="rId16"/>
    <sheet name="DCF" sheetId="11" r:id="rId17"/>
    <sheet name="Multiples" sheetId="12" r:id="rId18"/>
    <sheet name="AVG target price" sheetId="13" r:id="rId19"/>
    <sheet name="DDM" sheetId="21" r:id="rId20"/>
    <sheet name="Reverse DCF" sheetId="14" r:id="rId21"/>
  </sheets>
  <externalReferences>
    <externalReference r:id="rId22"/>
    <externalReference r:id="rId23"/>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54" i="3" l="1"/>
  <c r="I13" i="1"/>
  <c r="H7" i="1"/>
  <c r="H6" i="1"/>
  <c r="G36" i="12"/>
  <c r="F36" i="12"/>
  <c r="E36" i="12"/>
  <c r="D36" i="12"/>
  <c r="C36" i="12"/>
  <c r="C83" i="12"/>
  <c r="C81" i="12"/>
  <c r="C80" i="12"/>
  <c r="G15" i="8"/>
  <c r="F15" i="8"/>
  <c r="E15" i="8"/>
  <c r="D15" i="8"/>
  <c r="C15" i="8"/>
  <c r="AC218" i="3"/>
  <c r="AA76" i="3"/>
  <c r="AA110" i="3"/>
  <c r="AA29" i="3"/>
  <c r="AA20" i="3"/>
  <c r="Z217" i="3"/>
  <c r="Y217" i="3"/>
  <c r="X217" i="3"/>
  <c r="W217" i="3"/>
  <c r="V217" i="3"/>
  <c r="U217" i="3"/>
  <c r="T217" i="3"/>
  <c r="Z215" i="3"/>
  <c r="Y215" i="3"/>
  <c r="X215" i="3"/>
  <c r="W215" i="3"/>
  <c r="V215" i="3"/>
  <c r="U215" i="3"/>
  <c r="T215" i="3"/>
  <c r="Z214" i="3"/>
  <c r="Y214" i="3"/>
  <c r="X214" i="3"/>
  <c r="W214" i="3"/>
  <c r="V214" i="3"/>
  <c r="U214" i="3"/>
  <c r="T214" i="3"/>
  <c r="Z213" i="3"/>
  <c r="Y213" i="3"/>
  <c r="X213" i="3"/>
  <c r="W213" i="3"/>
  <c r="V213" i="3"/>
  <c r="U213" i="3"/>
  <c r="T213" i="3"/>
  <c r="Z212" i="3"/>
  <c r="Z216" i="3" s="1"/>
  <c r="Y212" i="3"/>
  <c r="Y216" i="3" s="1"/>
  <c r="X31" i="5" s="1"/>
  <c r="X212" i="3"/>
  <c r="X216" i="3" s="1"/>
  <c r="W31" i="5" s="1"/>
  <c r="W212" i="3"/>
  <c r="W216" i="3" s="1"/>
  <c r="V212" i="3"/>
  <c r="V216" i="3" s="1"/>
  <c r="U31" i="5" s="1"/>
  <c r="U212" i="3"/>
  <c r="U216" i="3" s="1"/>
  <c r="T31" i="5" s="1"/>
  <c r="T212" i="3"/>
  <c r="T216" i="3" s="1"/>
  <c r="S31" i="5" s="1"/>
  <c r="Z195" i="3"/>
  <c r="Y195" i="3"/>
  <c r="X195" i="3"/>
  <c r="W195" i="3"/>
  <c r="V195" i="3"/>
  <c r="U195" i="3"/>
  <c r="T195" i="3"/>
  <c r="Z194" i="3"/>
  <c r="Y194" i="3"/>
  <c r="X194" i="3"/>
  <c r="W194" i="3"/>
  <c r="V194" i="3"/>
  <c r="U194" i="3"/>
  <c r="T194" i="3"/>
  <c r="Z193" i="3"/>
  <c r="Y193" i="3"/>
  <c r="X193" i="3"/>
  <c r="W193" i="3"/>
  <c r="V193" i="3"/>
  <c r="U193" i="3"/>
  <c r="T193" i="3"/>
  <c r="Z192" i="3"/>
  <c r="Y192" i="3"/>
  <c r="X192" i="3"/>
  <c r="W192" i="3"/>
  <c r="V192" i="3"/>
  <c r="U192" i="3"/>
  <c r="T192" i="3"/>
  <c r="Z191" i="3"/>
  <c r="Y191" i="3"/>
  <c r="X191" i="3"/>
  <c r="W191" i="3"/>
  <c r="V191" i="3"/>
  <c r="U191" i="3"/>
  <c r="T191" i="3"/>
  <c r="Z175" i="3"/>
  <c r="Y175" i="3"/>
  <c r="X175" i="3"/>
  <c r="W175" i="3"/>
  <c r="V175" i="3"/>
  <c r="U175" i="3"/>
  <c r="T175" i="3"/>
  <c r="Z174" i="3"/>
  <c r="Y174" i="3"/>
  <c r="X174" i="3"/>
  <c r="W174" i="3"/>
  <c r="V174" i="3"/>
  <c r="U174" i="3"/>
  <c r="T174" i="3"/>
  <c r="Z173" i="3"/>
  <c r="Y173" i="3"/>
  <c r="X173" i="3"/>
  <c r="W173" i="3"/>
  <c r="V173" i="3"/>
  <c r="U173" i="3"/>
  <c r="T173" i="3"/>
  <c r="Z170" i="3"/>
  <c r="Y170" i="3"/>
  <c r="X170" i="3"/>
  <c r="W170" i="3"/>
  <c r="V170" i="3"/>
  <c r="U170" i="3"/>
  <c r="T170" i="3"/>
  <c r="Z169" i="3"/>
  <c r="Y169" i="3"/>
  <c r="X169" i="3"/>
  <c r="W169" i="3"/>
  <c r="V169" i="3"/>
  <c r="U169" i="3"/>
  <c r="T169" i="3"/>
  <c r="Z153" i="3"/>
  <c r="Y153" i="3"/>
  <c r="X153" i="3"/>
  <c r="W153" i="3"/>
  <c r="V153" i="3"/>
  <c r="U153" i="3"/>
  <c r="T153" i="3"/>
  <c r="Z148" i="3"/>
  <c r="Y148" i="3"/>
  <c r="X148" i="3"/>
  <c r="W148" i="3"/>
  <c r="V148" i="3"/>
  <c r="U148" i="3"/>
  <c r="T148" i="3"/>
  <c r="Z145" i="3"/>
  <c r="Y145" i="3"/>
  <c r="X145" i="3"/>
  <c r="W145" i="3"/>
  <c r="V145" i="3"/>
  <c r="U145" i="3"/>
  <c r="T145" i="3"/>
  <c r="Z144" i="3"/>
  <c r="Y144" i="3"/>
  <c r="X144" i="3"/>
  <c r="W144" i="3"/>
  <c r="V144" i="3"/>
  <c r="U144" i="3"/>
  <c r="T144" i="3"/>
  <c r="Z141" i="3"/>
  <c r="Y141" i="3"/>
  <c r="X141" i="3"/>
  <c r="W141" i="3"/>
  <c r="V141" i="3"/>
  <c r="U141" i="3"/>
  <c r="T141" i="3"/>
  <c r="Z139" i="3"/>
  <c r="Y139" i="3"/>
  <c r="X139" i="3"/>
  <c r="W139" i="3"/>
  <c r="V139" i="3"/>
  <c r="U139" i="3"/>
  <c r="T139" i="3"/>
  <c r="Z138" i="3"/>
  <c r="Y138" i="3"/>
  <c r="X138" i="3"/>
  <c r="W138" i="3"/>
  <c r="W140" i="3" s="1"/>
  <c r="V138" i="3"/>
  <c r="V140" i="3" s="1"/>
  <c r="U138" i="3"/>
  <c r="U140" i="3" s="1"/>
  <c r="T138" i="3"/>
  <c r="Z137" i="3"/>
  <c r="Z140" i="3" s="1"/>
  <c r="Y137" i="3"/>
  <c r="Y140" i="3" s="1"/>
  <c r="X137" i="3"/>
  <c r="X140" i="3" s="1"/>
  <c r="W137" i="3"/>
  <c r="V137" i="3"/>
  <c r="U137" i="3"/>
  <c r="T137" i="3"/>
  <c r="Z131" i="3"/>
  <c r="Z132" i="3" s="1"/>
  <c r="Y131" i="3"/>
  <c r="Y132" i="3" s="1"/>
  <c r="X131" i="3"/>
  <c r="X132" i="3" s="1"/>
  <c r="W131" i="3"/>
  <c r="W132" i="3" s="1"/>
  <c r="V131" i="3"/>
  <c r="V132" i="3" s="1"/>
  <c r="U131" i="3"/>
  <c r="U132" i="3" s="1"/>
  <c r="T131" i="3"/>
  <c r="T132" i="3" s="1"/>
  <c r="Z117" i="3"/>
  <c r="Y117" i="3"/>
  <c r="X117" i="3"/>
  <c r="W117" i="3"/>
  <c r="V117" i="3"/>
  <c r="U117" i="3"/>
  <c r="T117" i="3"/>
  <c r="Z112" i="3"/>
  <c r="Z71" i="3" s="1"/>
  <c r="Y112" i="3"/>
  <c r="Y71" i="3" s="1"/>
  <c r="X112" i="3"/>
  <c r="X71" i="3" s="1"/>
  <c r="W112" i="3"/>
  <c r="W71" i="3" s="1"/>
  <c r="V112" i="3"/>
  <c r="V71" i="3" s="1"/>
  <c r="U112" i="3"/>
  <c r="U71" i="3" s="1"/>
  <c r="T112" i="3"/>
  <c r="T71" i="3" s="1"/>
  <c r="Z111" i="3"/>
  <c r="Y111" i="3"/>
  <c r="X111" i="3"/>
  <c r="W111" i="3"/>
  <c r="V111" i="3"/>
  <c r="U111" i="3"/>
  <c r="T111" i="3"/>
  <c r="Z110" i="3"/>
  <c r="Y110" i="3"/>
  <c r="X110" i="3"/>
  <c r="W110" i="3"/>
  <c r="V110" i="3"/>
  <c r="U110" i="3"/>
  <c r="T110" i="3"/>
  <c r="Z108" i="3"/>
  <c r="Y108" i="3"/>
  <c r="X108" i="3"/>
  <c r="W108" i="3"/>
  <c r="V108" i="3"/>
  <c r="U108" i="3"/>
  <c r="T108" i="3"/>
  <c r="Z103" i="3"/>
  <c r="Y103" i="3"/>
  <c r="X103" i="3"/>
  <c r="W103" i="3"/>
  <c r="V103" i="3"/>
  <c r="U103" i="3"/>
  <c r="T103" i="3"/>
  <c r="Z102" i="3"/>
  <c r="Y102" i="3"/>
  <c r="X102" i="3"/>
  <c r="W102" i="3"/>
  <c r="V102" i="3"/>
  <c r="U102" i="3"/>
  <c r="T102" i="3"/>
  <c r="Z98" i="3"/>
  <c r="Y98" i="3"/>
  <c r="X98" i="3"/>
  <c r="W98" i="3"/>
  <c r="V98" i="3"/>
  <c r="U98" i="3"/>
  <c r="T98" i="3"/>
  <c r="Z97" i="3"/>
  <c r="Y97" i="3"/>
  <c r="X97" i="3"/>
  <c r="W97" i="3"/>
  <c r="V97" i="3"/>
  <c r="U97" i="3"/>
  <c r="T97" i="3"/>
  <c r="Z96" i="3"/>
  <c r="Y96" i="3"/>
  <c r="X96" i="3"/>
  <c r="W96" i="3"/>
  <c r="V96" i="3"/>
  <c r="U96" i="3"/>
  <c r="T96" i="3"/>
  <c r="Z94" i="3"/>
  <c r="Y94" i="3"/>
  <c r="X94" i="3"/>
  <c r="W94" i="3"/>
  <c r="V94" i="3"/>
  <c r="U94" i="3"/>
  <c r="T94" i="3"/>
  <c r="Z93" i="3"/>
  <c r="Y93" i="3"/>
  <c r="X93" i="3"/>
  <c r="W93" i="3"/>
  <c r="V93" i="3"/>
  <c r="U93" i="3"/>
  <c r="T93" i="3"/>
  <c r="Z92" i="3"/>
  <c r="Y92" i="3"/>
  <c r="X92" i="3"/>
  <c r="W92" i="3"/>
  <c r="V92" i="3"/>
  <c r="U92" i="3"/>
  <c r="T92" i="3"/>
  <c r="Z91" i="3"/>
  <c r="Y91" i="3"/>
  <c r="X91" i="3"/>
  <c r="W91" i="3"/>
  <c r="V91" i="3"/>
  <c r="U91" i="3"/>
  <c r="T91" i="3"/>
  <c r="Z90" i="3"/>
  <c r="Y90" i="3"/>
  <c r="X90" i="3"/>
  <c r="W90" i="3"/>
  <c r="V90" i="3"/>
  <c r="U90" i="3"/>
  <c r="T90" i="3"/>
  <c r="Z89" i="3"/>
  <c r="Y89" i="3"/>
  <c r="X89" i="3"/>
  <c r="W89" i="3"/>
  <c r="V89" i="3"/>
  <c r="U89" i="3"/>
  <c r="T89" i="3"/>
  <c r="Z83" i="3"/>
  <c r="Z106" i="3" s="1"/>
  <c r="Y83" i="3"/>
  <c r="Y106" i="3" s="1"/>
  <c r="X83" i="3"/>
  <c r="X106" i="3" s="1"/>
  <c r="W83" i="3"/>
  <c r="W106" i="3" s="1"/>
  <c r="V83" i="3"/>
  <c r="V106" i="3" s="1"/>
  <c r="U83" i="3"/>
  <c r="U106" i="3" s="1"/>
  <c r="T83" i="3"/>
  <c r="T106" i="3" s="1"/>
  <c r="Z82" i="3"/>
  <c r="Y82" i="3"/>
  <c r="X82" i="3"/>
  <c r="W82" i="3"/>
  <c r="V82" i="3"/>
  <c r="U82" i="3"/>
  <c r="T82" i="3"/>
  <c r="Z76" i="3"/>
  <c r="Z77" i="3" s="1"/>
  <c r="Z78" i="3" s="1"/>
  <c r="Z149" i="3" s="1"/>
  <c r="Z150" i="3" s="1"/>
  <c r="Y76" i="3"/>
  <c r="Y77" i="3" s="1"/>
  <c r="Y78" i="3" s="1"/>
  <c r="Y149" i="3" s="1"/>
  <c r="Y150" i="3" s="1"/>
  <c r="X76" i="3"/>
  <c r="X77" i="3" s="1"/>
  <c r="X78" i="3" s="1"/>
  <c r="X149" i="3" s="1"/>
  <c r="X150" i="3" s="1"/>
  <c r="W76" i="3"/>
  <c r="W77" i="3" s="1"/>
  <c r="W78" i="3" s="1"/>
  <c r="W149" i="3" s="1"/>
  <c r="W150" i="3" s="1"/>
  <c r="V76" i="3"/>
  <c r="V77" i="3" s="1"/>
  <c r="V78" i="3" s="1"/>
  <c r="V149" i="3" s="1"/>
  <c r="V150" i="3" s="1"/>
  <c r="U76" i="3"/>
  <c r="U77" i="3" s="1"/>
  <c r="T76" i="3"/>
  <c r="T77" i="3" s="1"/>
  <c r="Z75" i="3"/>
  <c r="Y75" i="3"/>
  <c r="X75" i="3"/>
  <c r="W75" i="3"/>
  <c r="V75" i="3"/>
  <c r="U75" i="3"/>
  <c r="T75" i="3"/>
  <c r="Z42" i="3"/>
  <c r="Y42" i="3"/>
  <c r="X42" i="3"/>
  <c r="W42" i="3"/>
  <c r="V42" i="3"/>
  <c r="U42" i="3"/>
  <c r="T42" i="3"/>
  <c r="Z36" i="3"/>
  <c r="Y36" i="3"/>
  <c r="X36" i="3"/>
  <c r="W36" i="3"/>
  <c r="V36" i="3"/>
  <c r="U36" i="3"/>
  <c r="T36" i="3"/>
  <c r="Z29" i="3"/>
  <c r="Z107" i="3" s="1"/>
  <c r="Y29" i="3"/>
  <c r="Y107" i="3" s="1"/>
  <c r="X29" i="3"/>
  <c r="X107" i="3" s="1"/>
  <c r="W29" i="3"/>
  <c r="W107" i="3" s="1"/>
  <c r="V29" i="3"/>
  <c r="V107" i="3" s="1"/>
  <c r="U29" i="3"/>
  <c r="U107" i="3" s="1"/>
  <c r="T29" i="3"/>
  <c r="T107" i="3" s="1"/>
  <c r="Z26" i="3"/>
  <c r="Y26" i="3"/>
  <c r="X26" i="3"/>
  <c r="W26" i="3"/>
  <c r="V26" i="3"/>
  <c r="U26" i="3"/>
  <c r="T26" i="3"/>
  <c r="Z24" i="3"/>
  <c r="Y24" i="3"/>
  <c r="X24" i="3"/>
  <c r="W24" i="3"/>
  <c r="V24" i="3"/>
  <c r="U24" i="3"/>
  <c r="T24" i="3"/>
  <c r="Z22" i="3"/>
  <c r="Y22" i="3"/>
  <c r="X22" i="3"/>
  <c r="W22" i="3"/>
  <c r="V22" i="3"/>
  <c r="U22" i="3"/>
  <c r="T22" i="3"/>
  <c r="Z20" i="3"/>
  <c r="Y20" i="3"/>
  <c r="X20" i="3"/>
  <c r="W20" i="3"/>
  <c r="V20" i="3"/>
  <c r="U20" i="3"/>
  <c r="T20" i="3"/>
  <c r="X16" i="3"/>
  <c r="Z11" i="3"/>
  <c r="Z69" i="3" s="1"/>
  <c r="Z70" i="3" s="1"/>
  <c r="Y11" i="3"/>
  <c r="X11" i="3"/>
  <c r="W11" i="3"/>
  <c r="V11" i="3"/>
  <c r="U11" i="3"/>
  <c r="T11" i="3"/>
  <c r="Z7" i="3"/>
  <c r="Z101" i="3" s="1"/>
  <c r="Y7" i="3"/>
  <c r="Y101" i="3" s="1"/>
  <c r="X7" i="3"/>
  <c r="X101" i="3" s="1"/>
  <c r="W7" i="3"/>
  <c r="W101" i="3" s="1"/>
  <c r="V7" i="3"/>
  <c r="V101" i="3" s="1"/>
  <c r="U7" i="3"/>
  <c r="U101" i="3" s="1"/>
  <c r="T7" i="3"/>
  <c r="T101" i="3" s="1"/>
  <c r="AA117" i="3"/>
  <c r="E7" i="21"/>
  <c r="D7" i="21"/>
  <c r="C7" i="21"/>
  <c r="L5" i="21"/>
  <c r="K5" i="21"/>
  <c r="J5" i="21"/>
  <c r="I5" i="21"/>
  <c r="H5" i="21"/>
  <c r="G5" i="21"/>
  <c r="F5" i="21"/>
  <c r="E5" i="21"/>
  <c r="D5" i="21"/>
  <c r="C5" i="21"/>
  <c r="L23" i="7"/>
  <c r="K23" i="7"/>
  <c r="J23" i="7"/>
  <c r="I23" i="7"/>
  <c r="H23" i="7"/>
  <c r="Y38" i="5"/>
  <c r="X38" i="5"/>
  <c r="W38" i="5"/>
  <c r="V38" i="5"/>
  <c r="U38" i="5"/>
  <c r="T38" i="5"/>
  <c r="S38" i="5"/>
  <c r="Y37" i="5"/>
  <c r="X37" i="5"/>
  <c r="W37" i="5"/>
  <c r="V37" i="5"/>
  <c r="U37" i="5"/>
  <c r="T37" i="5"/>
  <c r="S37" i="5"/>
  <c r="Y36" i="5"/>
  <c r="X36" i="5"/>
  <c r="W36" i="5"/>
  <c r="V36" i="5"/>
  <c r="U36" i="5"/>
  <c r="T36" i="5"/>
  <c r="S36" i="5"/>
  <c r="Y35" i="5"/>
  <c r="X35" i="5"/>
  <c r="X44" i="5" s="1"/>
  <c r="W35" i="5"/>
  <c r="V35" i="5"/>
  <c r="U35" i="5"/>
  <c r="T35" i="5"/>
  <c r="S35" i="5"/>
  <c r="Z34" i="5"/>
  <c r="Y34" i="5"/>
  <c r="X34" i="5"/>
  <c r="W34" i="5"/>
  <c r="V34" i="5"/>
  <c r="U34" i="5"/>
  <c r="T34" i="5"/>
  <c r="S34" i="5"/>
  <c r="Y32" i="5"/>
  <c r="X32" i="5"/>
  <c r="W32" i="5"/>
  <c r="V32" i="5"/>
  <c r="U32" i="5"/>
  <c r="T32" i="5"/>
  <c r="S32" i="5"/>
  <c r="Z28" i="5"/>
  <c r="Y28" i="5"/>
  <c r="X28" i="5"/>
  <c r="W28" i="5"/>
  <c r="V28" i="5"/>
  <c r="U28" i="5"/>
  <c r="T28" i="5"/>
  <c r="Z27" i="5"/>
  <c r="Y27" i="5"/>
  <c r="X27" i="5"/>
  <c r="W27" i="5"/>
  <c r="V27" i="5"/>
  <c r="V29" i="5" s="1"/>
  <c r="U27" i="5"/>
  <c r="T27" i="5"/>
  <c r="S28" i="5"/>
  <c r="S27" i="5"/>
  <c r="AE23" i="5"/>
  <c r="Y33" i="5"/>
  <c r="X33" i="5"/>
  <c r="W33" i="5"/>
  <c r="V33" i="5"/>
  <c r="U33" i="5"/>
  <c r="L46" i="5"/>
  <c r="K46" i="5"/>
  <c r="J46" i="5"/>
  <c r="I46" i="5"/>
  <c r="L45" i="5"/>
  <c r="K45" i="5"/>
  <c r="J45" i="5"/>
  <c r="I45" i="5"/>
  <c r="L42" i="5"/>
  <c r="K42" i="5"/>
  <c r="J42" i="5"/>
  <c r="I42" i="5"/>
  <c r="G34" i="5"/>
  <c r="G43" i="5" s="1"/>
  <c r="F34" i="5"/>
  <c r="F43" i="5" s="1"/>
  <c r="E34" i="5"/>
  <c r="E43" i="5" s="1"/>
  <c r="D34" i="5"/>
  <c r="D43" i="5" s="1"/>
  <c r="C34" i="5"/>
  <c r="G28" i="5"/>
  <c r="F28" i="5"/>
  <c r="F30" i="5" s="1"/>
  <c r="E28" i="5"/>
  <c r="E30" i="5" s="1"/>
  <c r="D28" i="5"/>
  <c r="D30" i="5" s="1"/>
  <c r="C28" i="5"/>
  <c r="G27" i="5"/>
  <c r="F27" i="5"/>
  <c r="F29" i="5" s="1"/>
  <c r="E27" i="5"/>
  <c r="E29" i="5" s="1"/>
  <c r="D27" i="5"/>
  <c r="D29" i="5" s="1"/>
  <c r="C27" i="5"/>
  <c r="Z10" i="5"/>
  <c r="AA10" i="5" s="1"/>
  <c r="AE10" i="5" s="1"/>
  <c r="Y10" i="5"/>
  <c r="X10" i="5"/>
  <c r="W10" i="5"/>
  <c r="V10" i="5"/>
  <c r="U10" i="5"/>
  <c r="T10" i="5"/>
  <c r="Z9" i="5"/>
  <c r="Y9" i="5"/>
  <c r="X9" i="5"/>
  <c r="W9" i="5"/>
  <c r="V9" i="5"/>
  <c r="U9" i="5"/>
  <c r="T9" i="5"/>
  <c r="S10" i="5"/>
  <c r="S9" i="5"/>
  <c r="G10" i="5"/>
  <c r="H10" i="5" s="1"/>
  <c r="I10" i="5" s="1"/>
  <c r="F10" i="5"/>
  <c r="E10" i="5"/>
  <c r="D10" i="5"/>
  <c r="G9" i="5"/>
  <c r="F9" i="5"/>
  <c r="E9" i="5"/>
  <c r="D9" i="5"/>
  <c r="C10" i="5"/>
  <c r="C9" i="5"/>
  <c r="B10" i="5"/>
  <c r="B9" i="5"/>
  <c r="J67" i="20"/>
  <c r="I67" i="20"/>
  <c r="H67" i="20"/>
  <c r="G67" i="20"/>
  <c r="F67" i="20"/>
  <c r="E67" i="20"/>
  <c r="D67" i="20"/>
  <c r="C67" i="20"/>
  <c r="J66" i="20"/>
  <c r="I66" i="20"/>
  <c r="H66" i="20"/>
  <c r="G66" i="20"/>
  <c r="F66" i="20"/>
  <c r="E66" i="20"/>
  <c r="D66" i="20"/>
  <c r="C66" i="20"/>
  <c r="J65" i="20"/>
  <c r="I65" i="20"/>
  <c r="H65" i="20"/>
  <c r="G65" i="20"/>
  <c r="F65" i="20"/>
  <c r="E65" i="20"/>
  <c r="D65" i="20"/>
  <c r="B67" i="20"/>
  <c r="B66" i="20"/>
  <c r="B65" i="20"/>
  <c r="B64" i="20"/>
  <c r="B63" i="20"/>
  <c r="L69" i="19"/>
  <c r="K69" i="19"/>
  <c r="J69" i="19"/>
  <c r="I69" i="19"/>
  <c r="H69" i="19"/>
  <c r="G69" i="19"/>
  <c r="F69" i="19"/>
  <c r="E69" i="19"/>
  <c r="D69" i="19"/>
  <c r="C69" i="19"/>
  <c r="L68" i="19"/>
  <c r="K68" i="19"/>
  <c r="J68" i="19"/>
  <c r="I68" i="19"/>
  <c r="H68" i="19"/>
  <c r="G68" i="19"/>
  <c r="F68" i="19"/>
  <c r="E68" i="19"/>
  <c r="D68" i="19"/>
  <c r="C68" i="19"/>
  <c r="L67" i="19"/>
  <c r="K67" i="19"/>
  <c r="J67" i="19"/>
  <c r="I67" i="19"/>
  <c r="H67" i="19"/>
  <c r="G67" i="19"/>
  <c r="F67" i="19"/>
  <c r="E67" i="19"/>
  <c r="D67" i="19"/>
  <c r="B69" i="19"/>
  <c r="B68" i="19"/>
  <c r="B67" i="19"/>
  <c r="B66" i="19"/>
  <c r="B65" i="19"/>
  <c r="F52" i="18"/>
  <c r="C52" i="18"/>
  <c r="B52" i="18"/>
  <c r="B50" i="18"/>
  <c r="F48" i="18"/>
  <c r="C48" i="18"/>
  <c r="B48" i="18"/>
  <c r="F46" i="18"/>
  <c r="C46" i="18"/>
  <c r="B46" i="18"/>
  <c r="F44" i="18"/>
  <c r="C44" i="18"/>
  <c r="B44" i="18"/>
  <c r="F42" i="18"/>
  <c r="C42" i="18"/>
  <c r="B42" i="18"/>
  <c r="G40" i="18"/>
  <c r="F40" i="18"/>
  <c r="F41" i="18" s="1"/>
  <c r="D40" i="18"/>
  <c r="C40" i="18"/>
  <c r="B40" i="18"/>
  <c r="C41" i="18"/>
  <c r="G38" i="18"/>
  <c r="F38" i="18"/>
  <c r="D38" i="18"/>
  <c r="C38" i="18"/>
  <c r="B38" i="18"/>
  <c r="B36" i="18"/>
  <c r="G32" i="18"/>
  <c r="F32" i="18"/>
  <c r="F33" i="18" s="1"/>
  <c r="D32" i="18"/>
  <c r="C32" i="18"/>
  <c r="B32" i="18"/>
  <c r="C33" i="18"/>
  <c r="G30" i="18"/>
  <c r="F30" i="18"/>
  <c r="D30" i="18"/>
  <c r="C30" i="18"/>
  <c r="B30" i="18"/>
  <c r="C31" i="18"/>
  <c r="B28" i="18"/>
  <c r="B26" i="18"/>
  <c r="B24" i="18"/>
  <c r="B93" i="17"/>
  <c r="B92" i="17"/>
  <c r="B91" i="17"/>
  <c r="B90" i="17"/>
  <c r="B89" i="17"/>
  <c r="AC211" i="3"/>
  <c r="AC210" i="3"/>
  <c r="AC209" i="3"/>
  <c r="AA217" i="3"/>
  <c r="AA215" i="3"/>
  <c r="AA214" i="3"/>
  <c r="AA213" i="3"/>
  <c r="AA212" i="3"/>
  <c r="AC187" i="3"/>
  <c r="AC186" i="3"/>
  <c r="AC217" i="3" s="1"/>
  <c r="AA195" i="3"/>
  <c r="AA194" i="3"/>
  <c r="AA193" i="3"/>
  <c r="Q217" i="3"/>
  <c r="G36" i="5" s="1"/>
  <c r="P217" i="3"/>
  <c r="F36" i="5" s="1"/>
  <c r="O217" i="3"/>
  <c r="E36" i="5" s="1"/>
  <c r="N217" i="3"/>
  <c r="D36" i="5" s="1"/>
  <c r="M217" i="3"/>
  <c r="C36" i="5" s="1"/>
  <c r="Q215" i="3"/>
  <c r="G32" i="5" s="1"/>
  <c r="P215" i="3"/>
  <c r="F32" i="5" s="1"/>
  <c r="O215" i="3"/>
  <c r="E32" i="5" s="1"/>
  <c r="E33" i="5" s="1"/>
  <c r="N215" i="3"/>
  <c r="D32" i="5" s="1"/>
  <c r="M215" i="3"/>
  <c r="C32" i="5" s="1"/>
  <c r="Q214" i="3"/>
  <c r="G38" i="5" s="1"/>
  <c r="P214" i="3"/>
  <c r="F38" i="5" s="1"/>
  <c r="O214" i="3"/>
  <c r="E38" i="5" s="1"/>
  <c r="E47" i="5" s="1"/>
  <c r="N214" i="3"/>
  <c r="D38" i="5" s="1"/>
  <c r="M214" i="3"/>
  <c r="C38" i="5" s="1"/>
  <c r="Q213" i="3"/>
  <c r="G37" i="5" s="1"/>
  <c r="P213" i="3"/>
  <c r="F37" i="5" s="1"/>
  <c r="F46" i="5" s="1"/>
  <c r="O213" i="3"/>
  <c r="E37" i="5" s="1"/>
  <c r="N213" i="3"/>
  <c r="D37" i="5" s="1"/>
  <c r="D46" i="5" s="1"/>
  <c r="M213" i="3"/>
  <c r="C37" i="5" s="1"/>
  <c r="Q212" i="3"/>
  <c r="P212" i="3"/>
  <c r="O212" i="3"/>
  <c r="N212" i="3"/>
  <c r="M212" i="3"/>
  <c r="Q195" i="3"/>
  <c r="G93" i="17" s="1"/>
  <c r="P195" i="3"/>
  <c r="F93" i="17" s="1"/>
  <c r="O195" i="3"/>
  <c r="E93" i="17" s="1"/>
  <c r="N195" i="3"/>
  <c r="D93" i="17" s="1"/>
  <c r="M195" i="3"/>
  <c r="C93" i="17" s="1"/>
  <c r="Q194" i="3"/>
  <c r="G92" i="17" s="1"/>
  <c r="P194" i="3"/>
  <c r="F92" i="17" s="1"/>
  <c r="O194" i="3"/>
  <c r="E92" i="17" s="1"/>
  <c r="N194" i="3"/>
  <c r="D92" i="17" s="1"/>
  <c r="M194" i="3"/>
  <c r="C92" i="17" s="1"/>
  <c r="Q193" i="3"/>
  <c r="G91" i="17" s="1"/>
  <c r="P193" i="3"/>
  <c r="F91" i="17" s="1"/>
  <c r="O193" i="3"/>
  <c r="E91" i="17" s="1"/>
  <c r="N193" i="3"/>
  <c r="D91" i="17" s="1"/>
  <c r="Q79" i="3"/>
  <c r="O76" i="3"/>
  <c r="P76" i="3"/>
  <c r="Q76" i="3"/>
  <c r="Q77" i="3" s="1"/>
  <c r="Q29" i="3"/>
  <c r="P29" i="3"/>
  <c r="Q22" i="3"/>
  <c r="Q20" i="3"/>
  <c r="Q14" i="3"/>
  <c r="P14" i="3"/>
  <c r="O14" i="3"/>
  <c r="N14" i="3"/>
  <c r="M14" i="3"/>
  <c r="H75" i="19"/>
  <c r="G75" i="19"/>
  <c r="F75" i="19"/>
  <c r="E75" i="19"/>
  <c r="D75" i="19"/>
  <c r="C75" i="19"/>
  <c r="H74" i="19"/>
  <c r="G74" i="19"/>
  <c r="F74" i="19"/>
  <c r="E74" i="19"/>
  <c r="D74" i="19"/>
  <c r="C74" i="19"/>
  <c r="H73" i="19"/>
  <c r="G73" i="19"/>
  <c r="F73" i="19"/>
  <c r="E73" i="19"/>
  <c r="D73" i="19"/>
  <c r="C73" i="19"/>
  <c r="Q176" i="3"/>
  <c r="P176" i="3"/>
  <c r="O176" i="3"/>
  <c r="N176" i="3"/>
  <c r="M176" i="3"/>
  <c r="AC34" i="3"/>
  <c r="Q204" i="3"/>
  <c r="L74" i="19" s="1"/>
  <c r="P204" i="3"/>
  <c r="K74" i="19" s="1"/>
  <c r="O204" i="3"/>
  <c r="J74" i="19" s="1"/>
  <c r="N204" i="3"/>
  <c r="I74" i="19" s="1"/>
  <c r="G10" i="16"/>
  <c r="Q117" i="3"/>
  <c r="P117" i="3"/>
  <c r="O117" i="3"/>
  <c r="N117" i="3"/>
  <c r="M117" i="3"/>
  <c r="F26" i="1" a="1"/>
  <c r="J64" i="20"/>
  <c r="I64" i="20"/>
  <c r="H64" i="20"/>
  <c r="G64" i="20"/>
  <c r="F64" i="20"/>
  <c r="E64" i="20"/>
  <c r="D64" i="20"/>
  <c r="J63" i="20"/>
  <c r="I63" i="20"/>
  <c r="H63" i="20"/>
  <c r="G63" i="20"/>
  <c r="F63" i="20"/>
  <c r="E63" i="20"/>
  <c r="D63" i="20"/>
  <c r="C65" i="20"/>
  <c r="C64" i="20"/>
  <c r="C63" i="20"/>
  <c r="J59" i="20"/>
  <c r="I59" i="20"/>
  <c r="G59" i="20"/>
  <c r="F59" i="20"/>
  <c r="E59" i="20"/>
  <c r="D59" i="20"/>
  <c r="C59" i="20"/>
  <c r="J58" i="20"/>
  <c r="I58" i="20"/>
  <c r="H58" i="20"/>
  <c r="G58" i="20"/>
  <c r="F58" i="20"/>
  <c r="E58" i="20"/>
  <c r="D58" i="20"/>
  <c r="C58" i="20"/>
  <c r="J57" i="20"/>
  <c r="I57" i="20"/>
  <c r="H57" i="20"/>
  <c r="G57" i="20"/>
  <c r="F57" i="20"/>
  <c r="E57" i="20"/>
  <c r="D57" i="20"/>
  <c r="C57" i="20"/>
  <c r="J56" i="20"/>
  <c r="I56" i="20"/>
  <c r="H56" i="20"/>
  <c r="G56" i="20"/>
  <c r="F56" i="20"/>
  <c r="E56" i="20"/>
  <c r="D56" i="20"/>
  <c r="J55" i="20"/>
  <c r="I55" i="20"/>
  <c r="H55" i="20"/>
  <c r="G55" i="20"/>
  <c r="F55" i="20"/>
  <c r="E55" i="20"/>
  <c r="D55" i="20"/>
  <c r="C56" i="20"/>
  <c r="C55" i="20"/>
  <c r="G72" i="19"/>
  <c r="F72" i="19"/>
  <c r="E72" i="19"/>
  <c r="D72" i="19"/>
  <c r="C72" i="19"/>
  <c r="G71" i="19"/>
  <c r="F71" i="19"/>
  <c r="E71" i="19"/>
  <c r="D71" i="19"/>
  <c r="C71" i="19"/>
  <c r="G70" i="19"/>
  <c r="F70" i="19"/>
  <c r="E70" i="19"/>
  <c r="D70" i="19"/>
  <c r="C70" i="19"/>
  <c r="C67" i="19"/>
  <c r="L66" i="19"/>
  <c r="K66" i="19"/>
  <c r="J66" i="19"/>
  <c r="I66" i="19"/>
  <c r="H66" i="19"/>
  <c r="G66" i="19"/>
  <c r="F66" i="19"/>
  <c r="E66" i="19"/>
  <c r="D66" i="19"/>
  <c r="C66" i="19"/>
  <c r="L65" i="19"/>
  <c r="K65" i="19"/>
  <c r="J65" i="19"/>
  <c r="I65" i="19"/>
  <c r="H65" i="19"/>
  <c r="G65" i="19"/>
  <c r="F65" i="19"/>
  <c r="E65" i="19"/>
  <c r="D65" i="19"/>
  <c r="C65" i="19"/>
  <c r="G64" i="19"/>
  <c r="F64" i="19"/>
  <c r="E64" i="19"/>
  <c r="D64" i="19"/>
  <c r="G63" i="19"/>
  <c r="F63" i="19"/>
  <c r="E63" i="19"/>
  <c r="D63" i="19"/>
  <c r="G62" i="19"/>
  <c r="F62" i="19"/>
  <c r="E62" i="19"/>
  <c r="D62" i="19"/>
  <c r="C64" i="19"/>
  <c r="C63" i="19"/>
  <c r="C62" i="19"/>
  <c r="G61" i="19"/>
  <c r="F61" i="19"/>
  <c r="E61" i="19"/>
  <c r="D61" i="19"/>
  <c r="G60" i="19"/>
  <c r="F60" i="19"/>
  <c r="E60" i="19"/>
  <c r="D60" i="19"/>
  <c r="C61" i="19"/>
  <c r="C60" i="19"/>
  <c r="L59" i="19"/>
  <c r="K59" i="19"/>
  <c r="J59" i="19"/>
  <c r="I59" i="19"/>
  <c r="H59" i="19"/>
  <c r="G59" i="19"/>
  <c r="F59" i="19"/>
  <c r="E59" i="19"/>
  <c r="D59" i="19"/>
  <c r="C59" i="19"/>
  <c r="L58" i="19"/>
  <c r="K58" i="19"/>
  <c r="J58" i="19"/>
  <c r="I58" i="19"/>
  <c r="H58" i="19"/>
  <c r="G58" i="19"/>
  <c r="F58" i="19"/>
  <c r="E58" i="19"/>
  <c r="D58" i="19"/>
  <c r="C58" i="19"/>
  <c r="L57" i="19"/>
  <c r="K57" i="19"/>
  <c r="J57" i="19"/>
  <c r="I57" i="19"/>
  <c r="H57" i="19"/>
  <c r="G57" i="19"/>
  <c r="F57" i="19"/>
  <c r="E57" i="19"/>
  <c r="D57" i="19"/>
  <c r="C57" i="19"/>
  <c r="L56" i="19"/>
  <c r="K56" i="19"/>
  <c r="J56" i="19"/>
  <c r="I56" i="19"/>
  <c r="H56" i="19"/>
  <c r="G56" i="19"/>
  <c r="F56" i="19"/>
  <c r="E56" i="19"/>
  <c r="D56" i="19"/>
  <c r="L55" i="19"/>
  <c r="K55" i="19"/>
  <c r="J55" i="19"/>
  <c r="I55" i="19"/>
  <c r="H55" i="19"/>
  <c r="G55" i="19"/>
  <c r="F55" i="19"/>
  <c r="E55" i="19"/>
  <c r="D55" i="19"/>
  <c r="C56" i="19"/>
  <c r="C55" i="19"/>
  <c r="G7" i="16"/>
  <c r="F7" i="16"/>
  <c r="L71" i="3"/>
  <c r="K71" i="3"/>
  <c r="J71" i="3"/>
  <c r="I71" i="3"/>
  <c r="H71" i="3"/>
  <c r="G71" i="3"/>
  <c r="F71" i="3"/>
  <c r="E71" i="3"/>
  <c r="D71" i="3"/>
  <c r="C71" i="3"/>
  <c r="Q199" i="3"/>
  <c r="P199" i="3"/>
  <c r="O199" i="3"/>
  <c r="N199" i="3"/>
  <c r="M199" i="3"/>
  <c r="AC84" i="3"/>
  <c r="AC45" i="3"/>
  <c r="AC65" i="3"/>
  <c r="AA112" i="3"/>
  <c r="Q112" i="3"/>
  <c r="P112" i="3"/>
  <c r="O112" i="3"/>
  <c r="N112" i="3"/>
  <c r="M112" i="3"/>
  <c r="AC48" i="3"/>
  <c r="AA111" i="3"/>
  <c r="Q111" i="3"/>
  <c r="P111" i="3"/>
  <c r="O111" i="3"/>
  <c r="N111" i="3"/>
  <c r="M111" i="3"/>
  <c r="AC17" i="3"/>
  <c r="C13" i="10"/>
  <c r="C12" i="10"/>
  <c r="C11" i="10"/>
  <c r="G29" i="7"/>
  <c r="F29" i="7"/>
  <c r="E29" i="7"/>
  <c r="D29" i="7"/>
  <c r="C29" i="7"/>
  <c r="AC56" i="3"/>
  <c r="G14" i="7"/>
  <c r="F14" i="7"/>
  <c r="E14" i="7"/>
  <c r="D14" i="7"/>
  <c r="C14" i="7"/>
  <c r="AA108" i="3"/>
  <c r="AC108" i="3" s="1"/>
  <c r="Q108" i="3"/>
  <c r="P108" i="3"/>
  <c r="O108" i="3"/>
  <c r="N108" i="3"/>
  <c r="M108" i="3"/>
  <c r="AC39" i="3"/>
  <c r="H9" i="1"/>
  <c r="H8" i="1"/>
  <c r="H5" i="1"/>
  <c r="H4" i="1"/>
  <c r="H3" i="1"/>
  <c r="G36" i="18"/>
  <c r="F36" i="18"/>
  <c r="D36" i="18"/>
  <c r="C36" i="18"/>
  <c r="G28" i="18"/>
  <c r="F28" i="18"/>
  <c r="D28" i="18"/>
  <c r="C28" i="18"/>
  <c r="G26" i="18"/>
  <c r="F26" i="18"/>
  <c r="D26" i="18"/>
  <c r="C26" i="18"/>
  <c r="G24" i="18"/>
  <c r="F24" i="18"/>
  <c r="D24" i="18"/>
  <c r="C24" i="18"/>
  <c r="AA192" i="3"/>
  <c r="AA191" i="3"/>
  <c r="G16" i="18"/>
  <c r="F16" i="18"/>
  <c r="D16" i="18"/>
  <c r="C16" i="18"/>
  <c r="G14" i="18"/>
  <c r="F14" i="18"/>
  <c r="D14" i="18"/>
  <c r="C14" i="18"/>
  <c r="G8" i="18"/>
  <c r="F8" i="18"/>
  <c r="D8" i="18"/>
  <c r="C8" i="18"/>
  <c r="G6" i="18"/>
  <c r="F6" i="18"/>
  <c r="D6" i="18"/>
  <c r="C6" i="18"/>
  <c r="G5" i="18"/>
  <c r="G4" i="18"/>
  <c r="F5" i="18"/>
  <c r="F4" i="18"/>
  <c r="D5" i="18"/>
  <c r="D4" i="18"/>
  <c r="C5" i="18"/>
  <c r="C4" i="18"/>
  <c r="M193" i="3"/>
  <c r="Q192" i="3"/>
  <c r="P192" i="3"/>
  <c r="O192" i="3"/>
  <c r="N192" i="3"/>
  <c r="M192" i="3"/>
  <c r="Q191" i="3"/>
  <c r="P191" i="3"/>
  <c r="O191" i="3"/>
  <c r="N191" i="3"/>
  <c r="M191" i="3"/>
  <c r="G22" i="17"/>
  <c r="F22" i="17"/>
  <c r="E22" i="17"/>
  <c r="D22" i="17"/>
  <c r="C22" i="17"/>
  <c r="G21" i="17"/>
  <c r="F21" i="17"/>
  <c r="E21" i="17"/>
  <c r="D21" i="17"/>
  <c r="C21" i="17"/>
  <c r="G6" i="17"/>
  <c r="F6" i="17"/>
  <c r="E6" i="17"/>
  <c r="D6" i="17"/>
  <c r="C6" i="17"/>
  <c r="I3" i="17"/>
  <c r="G3" i="17"/>
  <c r="F3" i="17"/>
  <c r="E3" i="17"/>
  <c r="D3" i="17"/>
  <c r="C3" i="17"/>
  <c r="G2" i="17"/>
  <c r="F2" i="17"/>
  <c r="E2" i="17"/>
  <c r="D2" i="17"/>
  <c r="C2" i="17"/>
  <c r="Q110" i="3"/>
  <c r="G45" i="7" s="1"/>
  <c r="P110" i="3"/>
  <c r="F45" i="7" s="1"/>
  <c r="O110" i="3"/>
  <c r="E45" i="7" s="1"/>
  <c r="N110" i="3"/>
  <c r="D45" i="7" s="1"/>
  <c r="M110" i="3"/>
  <c r="C45" i="7" s="1"/>
  <c r="AA138" i="3"/>
  <c r="Q138" i="3"/>
  <c r="P138" i="3"/>
  <c r="O138" i="3"/>
  <c r="N138" i="3"/>
  <c r="M138" i="3"/>
  <c r="AC31" i="3"/>
  <c r="AC64" i="3"/>
  <c r="Q170" i="3"/>
  <c r="P170" i="3"/>
  <c r="O170" i="3"/>
  <c r="N170" i="3"/>
  <c r="M170" i="3"/>
  <c r="Q169" i="3"/>
  <c r="P169" i="3"/>
  <c r="O169" i="3"/>
  <c r="N169" i="3"/>
  <c r="M169" i="3"/>
  <c r="AA145" i="3"/>
  <c r="Q145" i="3"/>
  <c r="P145" i="3"/>
  <c r="O145" i="3"/>
  <c r="N145" i="3"/>
  <c r="M145" i="3"/>
  <c r="AA144" i="3"/>
  <c r="Q144" i="3"/>
  <c r="P144" i="3"/>
  <c r="O144" i="3"/>
  <c r="N144" i="3"/>
  <c r="M144" i="3"/>
  <c r="AA139" i="3"/>
  <c r="Q139" i="3"/>
  <c r="P139" i="3"/>
  <c r="O139" i="3"/>
  <c r="N139" i="3"/>
  <c r="M139" i="3"/>
  <c r="G9" i="16"/>
  <c r="F6" i="16"/>
  <c r="G6" i="16"/>
  <c r="AC62" i="3"/>
  <c r="AC61" i="3"/>
  <c r="AC60" i="3"/>
  <c r="AC59" i="3"/>
  <c r="AC54" i="3"/>
  <c r="AC53" i="3"/>
  <c r="P77" i="3"/>
  <c r="O77" i="3"/>
  <c r="N77" i="3"/>
  <c r="M77" i="3"/>
  <c r="AA131" i="3"/>
  <c r="E31" i="12"/>
  <c r="D31" i="12"/>
  <c r="G24" i="12"/>
  <c r="F24" i="12"/>
  <c r="E24" i="12"/>
  <c r="D24" i="12"/>
  <c r="C24" i="12"/>
  <c r="L15" i="8"/>
  <c r="K15" i="8"/>
  <c r="J15" i="8"/>
  <c r="I15" i="8"/>
  <c r="H15" i="8"/>
  <c r="G42" i="7"/>
  <c r="F42" i="7"/>
  <c r="E42" i="7"/>
  <c r="D42" i="7"/>
  <c r="C42" i="7"/>
  <c r="G30" i="7"/>
  <c r="F30" i="7"/>
  <c r="E30" i="7"/>
  <c r="D30" i="7"/>
  <c r="C30" i="7"/>
  <c r="G28" i="7"/>
  <c r="F28" i="7"/>
  <c r="E28" i="7"/>
  <c r="D28" i="7"/>
  <c r="C28" i="7"/>
  <c r="G15" i="7"/>
  <c r="F15" i="7"/>
  <c r="E15" i="7"/>
  <c r="D15" i="7"/>
  <c r="C15" i="7"/>
  <c r="AB5" i="6"/>
  <c r="W14" i="6"/>
  <c r="V14" i="6"/>
  <c r="U14" i="6"/>
  <c r="T14" i="6"/>
  <c r="S14" i="6"/>
  <c r="R14" i="6"/>
  <c r="Q14" i="6"/>
  <c r="P14" i="6"/>
  <c r="W13" i="6"/>
  <c r="V13" i="6"/>
  <c r="U13" i="6"/>
  <c r="T13" i="6"/>
  <c r="S13" i="6"/>
  <c r="R13" i="6"/>
  <c r="Q13" i="6"/>
  <c r="P13" i="6"/>
  <c r="W12" i="6"/>
  <c r="V12" i="6"/>
  <c r="U12" i="6"/>
  <c r="T12" i="6"/>
  <c r="S12" i="6"/>
  <c r="R12" i="6"/>
  <c r="Q12" i="6"/>
  <c r="P12" i="6"/>
  <c r="W11" i="6"/>
  <c r="V11" i="6"/>
  <c r="U11" i="6"/>
  <c r="T11" i="6"/>
  <c r="S11" i="6"/>
  <c r="R11" i="6"/>
  <c r="Q11" i="6"/>
  <c r="P11" i="6"/>
  <c r="O15" i="6"/>
  <c r="O11" i="6"/>
  <c r="B24" i="6"/>
  <c r="B20" i="6"/>
  <c r="G14" i="6"/>
  <c r="F14" i="6"/>
  <c r="E14" i="6"/>
  <c r="D14" i="6"/>
  <c r="C14" i="6"/>
  <c r="G13" i="6"/>
  <c r="F13" i="6"/>
  <c r="E13" i="6"/>
  <c r="D13" i="6"/>
  <c r="C13" i="6"/>
  <c r="G12" i="6"/>
  <c r="F12" i="6"/>
  <c r="E12" i="6"/>
  <c r="D12" i="6"/>
  <c r="C12" i="6"/>
  <c r="B14" i="6"/>
  <c r="B13" i="6"/>
  <c r="B12" i="6"/>
  <c r="G11" i="6"/>
  <c r="F11" i="6"/>
  <c r="E11" i="6"/>
  <c r="D11" i="6"/>
  <c r="C11" i="6"/>
  <c r="B5" i="6"/>
  <c r="Z19" i="6"/>
  <c r="Y19" i="6"/>
  <c r="X19" i="6"/>
  <c r="Z10" i="6"/>
  <c r="Y10" i="6"/>
  <c r="X10" i="6"/>
  <c r="Z8" i="5"/>
  <c r="AA8" i="5" s="1"/>
  <c r="Y8" i="5"/>
  <c r="X8" i="5"/>
  <c r="W8" i="5"/>
  <c r="V8" i="5"/>
  <c r="U8" i="5"/>
  <c r="T8" i="5"/>
  <c r="S8" i="5"/>
  <c r="Z7" i="5"/>
  <c r="Y7" i="5"/>
  <c r="X7" i="5"/>
  <c r="W7" i="5"/>
  <c r="V7" i="5"/>
  <c r="U7" i="5"/>
  <c r="T7" i="5"/>
  <c r="S7" i="5"/>
  <c r="Z6" i="5"/>
  <c r="Y6" i="5"/>
  <c r="X6" i="5"/>
  <c r="W6" i="5"/>
  <c r="V6" i="5"/>
  <c r="U6" i="5"/>
  <c r="T6" i="5"/>
  <c r="S6" i="5"/>
  <c r="Z11" i="5"/>
  <c r="Y11" i="5"/>
  <c r="X11" i="5"/>
  <c r="W11" i="5"/>
  <c r="V11" i="5"/>
  <c r="U11" i="5"/>
  <c r="T11" i="5"/>
  <c r="S11" i="5"/>
  <c r="Z5" i="5"/>
  <c r="Y5" i="5"/>
  <c r="X5" i="5"/>
  <c r="W5" i="5"/>
  <c r="V5" i="5"/>
  <c r="U5" i="5"/>
  <c r="T5" i="5"/>
  <c r="S5" i="5"/>
  <c r="R5" i="5"/>
  <c r="G8" i="5"/>
  <c r="H8" i="5" s="1"/>
  <c r="I8" i="5" s="1"/>
  <c r="J8" i="5" s="1"/>
  <c r="K8" i="5" s="1"/>
  <c r="L8" i="5" s="1"/>
  <c r="F8" i="5"/>
  <c r="E8" i="5"/>
  <c r="D8" i="5"/>
  <c r="C8" i="5"/>
  <c r="G7" i="5"/>
  <c r="F7" i="5"/>
  <c r="E7" i="5"/>
  <c r="D7" i="5"/>
  <c r="C7" i="5"/>
  <c r="G6" i="5"/>
  <c r="F6" i="5"/>
  <c r="E6" i="5"/>
  <c r="D6" i="5"/>
  <c r="C6" i="5"/>
  <c r="B8" i="5"/>
  <c r="B7" i="5"/>
  <c r="B6" i="5"/>
  <c r="G11" i="5"/>
  <c r="F11" i="5"/>
  <c r="E11" i="5"/>
  <c r="D11" i="5"/>
  <c r="C11" i="5"/>
  <c r="G5" i="5"/>
  <c r="F5" i="5"/>
  <c r="E5" i="5"/>
  <c r="D5" i="5"/>
  <c r="C5" i="5"/>
  <c r="AC41" i="5"/>
  <c r="AB41" i="5"/>
  <c r="AA41" i="5"/>
  <c r="AE24" i="5"/>
  <c r="AC24" i="5"/>
  <c r="AB24" i="5"/>
  <c r="AA24" i="5"/>
  <c r="R20" i="5"/>
  <c r="B20" i="5"/>
  <c r="AC14" i="5"/>
  <c r="AB14" i="5"/>
  <c r="AA14" i="5"/>
  <c r="AA83" i="3"/>
  <c r="O83" i="3"/>
  <c r="N83" i="3"/>
  <c r="M83" i="3"/>
  <c r="L83" i="3"/>
  <c r="K83" i="3"/>
  <c r="J83" i="3"/>
  <c r="I83" i="3"/>
  <c r="H83" i="3"/>
  <c r="G83" i="3"/>
  <c r="F83" i="3"/>
  <c r="E83" i="3"/>
  <c r="D83" i="3"/>
  <c r="C83" i="3"/>
  <c r="P83" i="3"/>
  <c r="Q83" i="3"/>
  <c r="P124" i="3"/>
  <c r="O124" i="3"/>
  <c r="N124" i="3"/>
  <c r="M124" i="3"/>
  <c r="Q124" i="3"/>
  <c r="P122" i="3"/>
  <c r="O122" i="3"/>
  <c r="N122" i="3"/>
  <c r="M122" i="3"/>
  <c r="Q122" i="3"/>
  <c r="AC185" i="3"/>
  <c r="AC184" i="3"/>
  <c r="AC183" i="3"/>
  <c r="AC213" i="3" s="1"/>
  <c r="AA102" i="3"/>
  <c r="AC81" i="3"/>
  <c r="AA82" i="3"/>
  <c r="Q82" i="3"/>
  <c r="G7" i="21" s="1"/>
  <c r="P82" i="3"/>
  <c r="F7" i="21" s="1"/>
  <c r="O82" i="3"/>
  <c r="N82" i="3"/>
  <c r="M82" i="3"/>
  <c r="AC50" i="3"/>
  <c r="AC49" i="3"/>
  <c r="AC47" i="3"/>
  <c r="AC46" i="3"/>
  <c r="AC44" i="3"/>
  <c r="AC43" i="3"/>
  <c r="AC41" i="3"/>
  <c r="AC40" i="3"/>
  <c r="AC38" i="3"/>
  <c r="AC37" i="3"/>
  <c r="AC35" i="3"/>
  <c r="AC33" i="3"/>
  <c r="AC32" i="3"/>
  <c r="AC30" i="3"/>
  <c r="AA42" i="3"/>
  <c r="AA36" i="3"/>
  <c r="O42" i="3"/>
  <c r="N42" i="3"/>
  <c r="M42" i="3"/>
  <c r="M36" i="3"/>
  <c r="O36" i="3"/>
  <c r="N36" i="3"/>
  <c r="P42" i="3"/>
  <c r="Q42" i="3"/>
  <c r="P36" i="3"/>
  <c r="Q36" i="3"/>
  <c r="AA98" i="3"/>
  <c r="AA97" i="3"/>
  <c r="AA96" i="3"/>
  <c r="AA94" i="3"/>
  <c r="AA93" i="3"/>
  <c r="AA92" i="3"/>
  <c r="AA90" i="3"/>
  <c r="AA89" i="3"/>
  <c r="AC25" i="3"/>
  <c r="AC23" i="3"/>
  <c r="AC21" i="3"/>
  <c r="AC19" i="3"/>
  <c r="AC18" i="3"/>
  <c r="AC16" i="3"/>
  <c r="AC15" i="3"/>
  <c r="AC14" i="3"/>
  <c r="AC13" i="3"/>
  <c r="AC12" i="3"/>
  <c r="AC10" i="3"/>
  <c r="AC9" i="3"/>
  <c r="AC8" i="3"/>
  <c r="AC6" i="3"/>
  <c r="AC5" i="3"/>
  <c r="AA26" i="3"/>
  <c r="AA24" i="3"/>
  <c r="AA22" i="3"/>
  <c r="AA11" i="3"/>
  <c r="AA7" i="3"/>
  <c r="Q102" i="3"/>
  <c r="P102" i="3"/>
  <c r="O102" i="3"/>
  <c r="N102" i="3"/>
  <c r="M102" i="3"/>
  <c r="Q98" i="3"/>
  <c r="P98" i="3"/>
  <c r="O98" i="3"/>
  <c r="N98" i="3"/>
  <c r="M98" i="3"/>
  <c r="Q97" i="3"/>
  <c r="P97" i="3"/>
  <c r="O97" i="3"/>
  <c r="N97" i="3"/>
  <c r="M97" i="3"/>
  <c r="Q96" i="3"/>
  <c r="P96" i="3"/>
  <c r="O96" i="3"/>
  <c r="N96" i="3"/>
  <c r="M96" i="3"/>
  <c r="Q94" i="3"/>
  <c r="P94" i="3"/>
  <c r="O94" i="3"/>
  <c r="N94" i="3"/>
  <c r="M94" i="3"/>
  <c r="Q93" i="3"/>
  <c r="P93" i="3"/>
  <c r="O93" i="3"/>
  <c r="N93" i="3"/>
  <c r="M93" i="3"/>
  <c r="Q92" i="3"/>
  <c r="P92" i="3"/>
  <c r="O92" i="3"/>
  <c r="N92" i="3"/>
  <c r="M92" i="3"/>
  <c r="Q90" i="3"/>
  <c r="P90" i="3"/>
  <c r="O90" i="3"/>
  <c r="N90" i="3"/>
  <c r="M90" i="3"/>
  <c r="Q89" i="3"/>
  <c r="P89" i="3"/>
  <c r="O89" i="3"/>
  <c r="N89" i="3"/>
  <c r="M89" i="3"/>
  <c r="M26" i="3"/>
  <c r="C6" i="21" s="1"/>
  <c r="N26" i="3"/>
  <c r="D6" i="21" s="1"/>
  <c r="D11" i="21" s="1"/>
  <c r="O26" i="3"/>
  <c r="E6" i="21" s="1"/>
  <c r="E11" i="21" s="1"/>
  <c r="P26" i="3"/>
  <c r="F6" i="21" s="1"/>
  <c r="F11" i="21" s="1"/>
  <c r="Q26" i="3"/>
  <c r="G6" i="21" s="1"/>
  <c r="G11" i="21" s="1"/>
  <c r="Q24" i="3"/>
  <c r="P24" i="3"/>
  <c r="O24" i="3"/>
  <c r="N24" i="3"/>
  <c r="M24" i="3"/>
  <c r="P22" i="3"/>
  <c r="O22" i="3"/>
  <c r="N22" i="3"/>
  <c r="M22" i="3"/>
  <c r="P20" i="3"/>
  <c r="O20" i="3"/>
  <c r="N20" i="3"/>
  <c r="M20" i="3"/>
  <c r="Q11" i="3"/>
  <c r="Q7" i="3"/>
  <c r="L22" i="3"/>
  <c r="K22" i="3"/>
  <c r="J22" i="3"/>
  <c r="I22" i="3"/>
  <c r="H22" i="3"/>
  <c r="G22" i="3"/>
  <c r="F22" i="3"/>
  <c r="E22" i="3"/>
  <c r="D22" i="3"/>
  <c r="C22" i="3"/>
  <c r="L20" i="3"/>
  <c r="K20" i="3"/>
  <c r="J20" i="3"/>
  <c r="I20" i="3"/>
  <c r="H20" i="3"/>
  <c r="G20" i="3"/>
  <c r="F20" i="3"/>
  <c r="E20" i="3"/>
  <c r="D20" i="3"/>
  <c r="C20" i="3"/>
  <c r="P11" i="3"/>
  <c r="O11" i="3"/>
  <c r="N11" i="3"/>
  <c r="M11" i="3"/>
  <c r="L11" i="3"/>
  <c r="K11" i="3"/>
  <c r="J11" i="3"/>
  <c r="I11" i="3"/>
  <c r="H11" i="3"/>
  <c r="G11" i="3"/>
  <c r="F11" i="3"/>
  <c r="E11" i="3"/>
  <c r="D11" i="3"/>
  <c r="C11" i="3"/>
  <c r="P7" i="3"/>
  <c r="O7" i="3"/>
  <c r="N7" i="3"/>
  <c r="M7" i="3"/>
  <c r="L7" i="3"/>
  <c r="K7" i="3"/>
  <c r="J7" i="3"/>
  <c r="I7" i="3"/>
  <c r="H7" i="3"/>
  <c r="G7" i="3"/>
  <c r="F7" i="3"/>
  <c r="E7" i="3"/>
  <c r="D7" i="3"/>
  <c r="C7" i="3"/>
  <c r="C8" i="1" a="1"/>
  <c r="C9" i="1" a="1"/>
  <c r="C10" i="1" a="1"/>
  <c r="C14" i="1" a="1"/>
  <c r="C13" i="1" a="1"/>
  <c r="C12" i="1" a="1"/>
  <c r="C11" i="1" a="1"/>
  <c r="C7" i="1" a="1"/>
  <c r="C6" i="1" a="1"/>
  <c r="C5" i="1" a="1"/>
  <c r="C4" i="1" a="1"/>
  <c r="T42" i="5" l="1"/>
  <c r="T140" i="3"/>
  <c r="F31" i="18"/>
  <c r="U78" i="3"/>
  <c r="U149" i="3" s="1"/>
  <c r="U150" i="3" s="1"/>
  <c r="T78" i="3"/>
  <c r="T149" i="3" s="1"/>
  <c r="T150" i="3" s="1"/>
  <c r="X47" i="5"/>
  <c r="W47" i="5"/>
  <c r="V47" i="5"/>
  <c r="U47" i="5"/>
  <c r="T47" i="5"/>
  <c r="X46" i="5"/>
  <c r="W46" i="5"/>
  <c r="V46" i="5"/>
  <c r="U46" i="5"/>
  <c r="T46" i="5"/>
  <c r="X45" i="5"/>
  <c r="W45" i="5"/>
  <c r="V45" i="5"/>
  <c r="U45" i="5"/>
  <c r="T45" i="5"/>
  <c r="W29" i="5"/>
  <c r="U29" i="5"/>
  <c r="T29" i="5"/>
  <c r="W44" i="5"/>
  <c r="V44" i="5"/>
  <c r="U44" i="5"/>
  <c r="T44" i="5"/>
  <c r="X43" i="5"/>
  <c r="W43" i="5"/>
  <c r="V43" i="5"/>
  <c r="U43" i="5"/>
  <c r="T43" i="5"/>
  <c r="X30" i="5"/>
  <c r="W30" i="5"/>
  <c r="V30" i="5"/>
  <c r="U30" i="5"/>
  <c r="T30" i="5"/>
  <c r="X29" i="5"/>
  <c r="G17" i="5"/>
  <c r="G25" i="5" s="1"/>
  <c r="H28" i="5"/>
  <c r="G30" i="5"/>
  <c r="H27" i="5"/>
  <c r="G29" i="5"/>
  <c r="I19" i="5"/>
  <c r="J10" i="5"/>
  <c r="G45" i="5"/>
  <c r="H45" i="5"/>
  <c r="G33" i="5"/>
  <c r="H32" i="5"/>
  <c r="G47" i="5"/>
  <c r="H47" i="5"/>
  <c r="G46" i="5"/>
  <c r="H46" i="5"/>
  <c r="Q216" i="3"/>
  <c r="G31" i="5" s="1"/>
  <c r="G35" i="5"/>
  <c r="P216" i="3"/>
  <c r="F31" i="5" s="1"/>
  <c r="F35" i="5"/>
  <c r="O216" i="3"/>
  <c r="E31" i="5" s="1"/>
  <c r="E35" i="5"/>
  <c r="N216" i="3"/>
  <c r="D31" i="5" s="1"/>
  <c r="D35" i="5"/>
  <c r="M216" i="3"/>
  <c r="C31" i="5" s="1"/>
  <c r="C35" i="5"/>
  <c r="F45" i="5"/>
  <c r="E45" i="5"/>
  <c r="D45" i="5"/>
  <c r="F33" i="5"/>
  <c r="D33" i="5"/>
  <c r="F47" i="5"/>
  <c r="D47" i="5"/>
  <c r="E46" i="5"/>
  <c r="D48" i="18"/>
  <c r="C49" i="18" s="1"/>
  <c r="AC215" i="3"/>
  <c r="G48" i="18"/>
  <c r="F49" i="18" s="1"/>
  <c r="Z32" i="5"/>
  <c r="AC212" i="3"/>
  <c r="AC216" i="3" s="1"/>
  <c r="D42" i="18"/>
  <c r="Z35" i="5"/>
  <c r="Z44" i="5" s="1"/>
  <c r="G42" i="18"/>
  <c r="F43" i="18" s="1"/>
  <c r="AA216" i="3"/>
  <c r="Z38" i="5"/>
  <c r="Z47" i="5" s="1"/>
  <c r="D46" i="18"/>
  <c r="C47" i="18" s="1"/>
  <c r="AC214" i="3"/>
  <c r="G46" i="18"/>
  <c r="F47" i="18" s="1"/>
  <c r="D52" i="18"/>
  <c r="C53" i="18" s="1"/>
  <c r="Z36" i="5"/>
  <c r="G52" i="18"/>
  <c r="F53" i="18" s="1"/>
  <c r="Z31" i="5"/>
  <c r="AA42" i="5" s="1"/>
  <c r="G50" i="18"/>
  <c r="D50" i="18"/>
  <c r="Z37" i="5"/>
  <c r="G44" i="18"/>
  <c r="F45" i="18" s="1"/>
  <c r="D44" i="18"/>
  <c r="AA170" i="3"/>
  <c r="AA169" i="3"/>
  <c r="C68" i="12"/>
  <c r="C47" i="12"/>
  <c r="Z17" i="5"/>
  <c r="Z25" i="5" s="1"/>
  <c r="Y17" i="5"/>
  <c r="Y25" i="5" s="1"/>
  <c r="C45" i="18"/>
  <c r="C43" i="18"/>
  <c r="Y31" i="5"/>
  <c r="C50" i="18"/>
  <c r="C51" i="18" s="1"/>
  <c r="V31" i="5"/>
  <c r="F50" i="18"/>
  <c r="F51" i="18" s="1"/>
  <c r="Z142" i="3"/>
  <c r="Z143" i="3"/>
  <c r="Z168" i="3"/>
  <c r="Z171" i="3"/>
  <c r="Y142" i="3"/>
  <c r="Y143" i="3"/>
  <c r="Y168" i="3"/>
  <c r="Y171" i="3"/>
  <c r="X142" i="3"/>
  <c r="X143" i="3"/>
  <c r="X168" i="3"/>
  <c r="X171" i="3"/>
  <c r="W142" i="3"/>
  <c r="W143" i="3"/>
  <c r="W168" i="3"/>
  <c r="W171" i="3"/>
  <c r="V142" i="3"/>
  <c r="V143" i="3"/>
  <c r="V168" i="3"/>
  <c r="V171" i="3"/>
  <c r="U142" i="3"/>
  <c r="U143" i="3"/>
  <c r="U168" i="3"/>
  <c r="U171" i="3"/>
  <c r="T142" i="3"/>
  <c r="T143" i="3"/>
  <c r="T168" i="3"/>
  <c r="T171" i="3"/>
  <c r="Y69" i="3"/>
  <c r="Y70" i="3" s="1"/>
  <c r="Z95" i="3"/>
  <c r="X69" i="3"/>
  <c r="X70" i="3" s="1"/>
  <c r="Y95" i="3"/>
  <c r="W69" i="3"/>
  <c r="W70" i="3" s="1"/>
  <c r="X95" i="3"/>
  <c r="V69" i="3"/>
  <c r="V70" i="3" s="1"/>
  <c r="W95" i="3"/>
  <c r="V95" i="3"/>
  <c r="U69" i="3"/>
  <c r="U70" i="3" s="1"/>
  <c r="T95" i="3"/>
  <c r="U95" i="3"/>
  <c r="T69" i="3"/>
  <c r="T70" i="3" s="1"/>
  <c r="Y47" i="5"/>
  <c r="Y46" i="5"/>
  <c r="Y45" i="5"/>
  <c r="Y44" i="5"/>
  <c r="Z43" i="5"/>
  <c r="Y43" i="5"/>
  <c r="Z30" i="5"/>
  <c r="Y30" i="5"/>
  <c r="Z29" i="5"/>
  <c r="Y29" i="5"/>
  <c r="X42" i="5"/>
  <c r="U42" i="5"/>
  <c r="C21" i="21"/>
  <c r="C23" i="21" s="1"/>
  <c r="G16" i="21"/>
  <c r="F16" i="21"/>
  <c r="G12" i="21"/>
  <c r="E16" i="21"/>
  <c r="F12" i="21"/>
  <c r="E12" i="21"/>
  <c r="D16" i="21"/>
  <c r="C16" i="21"/>
  <c r="D12" i="21"/>
  <c r="L10" i="21"/>
  <c r="L15" i="21"/>
  <c r="K10" i="21"/>
  <c r="K15" i="21"/>
  <c r="J10" i="21"/>
  <c r="J15" i="21"/>
  <c r="I15" i="21"/>
  <c r="I10" i="21"/>
  <c r="H10" i="21"/>
  <c r="H15" i="21"/>
  <c r="G10" i="21"/>
  <c r="G15" i="21"/>
  <c r="F15" i="21"/>
  <c r="F10" i="21"/>
  <c r="E10" i="21"/>
  <c r="E15" i="21"/>
  <c r="D15" i="21"/>
  <c r="D10" i="21"/>
  <c r="C15" i="21"/>
  <c r="C10" i="21"/>
  <c r="AA28" i="5"/>
  <c r="AE28" i="5" s="1"/>
  <c r="AA27" i="5"/>
  <c r="U17" i="5"/>
  <c r="U25" i="5" s="1"/>
  <c r="F17" i="5"/>
  <c r="F25" i="5" s="1"/>
  <c r="X17" i="5"/>
  <c r="X25" i="5" s="1"/>
  <c r="E17" i="5"/>
  <c r="E25" i="5" s="1"/>
  <c r="Y19" i="5"/>
  <c r="Y26" i="5" s="1"/>
  <c r="X19" i="5"/>
  <c r="X26" i="5" s="1"/>
  <c r="W19" i="5"/>
  <c r="W26" i="5" s="1"/>
  <c r="V19" i="5"/>
  <c r="V26" i="5" s="1"/>
  <c r="U19" i="5"/>
  <c r="U26" i="5" s="1"/>
  <c r="T19" i="5"/>
  <c r="T26" i="5" s="1"/>
  <c r="Y18" i="5"/>
  <c r="X18" i="5"/>
  <c r="W18" i="5"/>
  <c r="V18" i="5"/>
  <c r="U18" i="5"/>
  <c r="T18" i="5"/>
  <c r="F19" i="5"/>
  <c r="F26" i="5" s="1"/>
  <c r="E19" i="5"/>
  <c r="E26" i="5" s="1"/>
  <c r="D19" i="5"/>
  <c r="D26" i="5" s="1"/>
  <c r="F18" i="5"/>
  <c r="E18" i="5"/>
  <c r="D18" i="5"/>
  <c r="V17" i="5"/>
  <c r="V25" i="5" s="1"/>
  <c r="W17" i="5"/>
  <c r="W25" i="5" s="1"/>
  <c r="AA19" i="5"/>
  <c r="Z19" i="5"/>
  <c r="Z26" i="5" s="1"/>
  <c r="Z18" i="5"/>
  <c r="G19" i="5"/>
  <c r="G26" i="5" s="1"/>
  <c r="H19" i="5"/>
  <c r="G18" i="5"/>
  <c r="R10" i="5"/>
  <c r="R19" i="5" s="1"/>
  <c r="B19" i="5"/>
  <c r="R9" i="5"/>
  <c r="R18" i="5" s="1"/>
  <c r="B18" i="5"/>
  <c r="AA77" i="3"/>
  <c r="AC77" i="3" s="1"/>
  <c r="AC76" i="3"/>
  <c r="H59" i="20"/>
  <c r="H62" i="20"/>
  <c r="AC176" i="3"/>
  <c r="G6" i="11"/>
  <c r="G5" i="12"/>
  <c r="F5" i="12"/>
  <c r="F6" i="11"/>
  <c r="E5" i="12"/>
  <c r="E6" i="11"/>
  <c r="D5" i="12"/>
  <c r="D6" i="11"/>
  <c r="C6" i="11"/>
  <c r="C5" i="12"/>
  <c r="AC178" i="3"/>
  <c r="AC177" i="3"/>
  <c r="Q178" i="3"/>
  <c r="P178" i="3"/>
  <c r="O178" i="3"/>
  <c r="N178" i="3"/>
  <c r="M178" i="3"/>
  <c r="Q177" i="3"/>
  <c r="P177" i="3"/>
  <c r="O177" i="3"/>
  <c r="N177" i="3"/>
  <c r="M177" i="3"/>
  <c r="AA107" i="3"/>
  <c r="Q107" i="3"/>
  <c r="Q179" i="3" s="1"/>
  <c r="P107" i="3"/>
  <c r="P179" i="3" s="1"/>
  <c r="O107" i="3"/>
  <c r="O179" i="3" s="1"/>
  <c r="N107" i="3"/>
  <c r="N179" i="3" s="1"/>
  <c r="M107" i="3"/>
  <c r="M179" i="3" s="1"/>
  <c r="Q205" i="3"/>
  <c r="L75" i="19" s="1"/>
  <c r="P205" i="3"/>
  <c r="K75" i="19" s="1"/>
  <c r="O205" i="3"/>
  <c r="J75" i="19" s="1"/>
  <c r="N205" i="3"/>
  <c r="I75" i="19" s="1"/>
  <c r="Q203" i="3"/>
  <c r="L73" i="19" s="1"/>
  <c r="P203" i="3"/>
  <c r="K73" i="19" s="1"/>
  <c r="O203" i="3"/>
  <c r="J73" i="19" s="1"/>
  <c r="N203" i="3"/>
  <c r="I73" i="19" s="1"/>
  <c r="F31" i="12"/>
  <c r="C23" i="11"/>
  <c r="C25" i="14"/>
  <c r="AA132" i="3"/>
  <c r="F10" i="16"/>
  <c r="Q159" i="3"/>
  <c r="P159" i="3"/>
  <c r="O159" i="3"/>
  <c r="N159" i="3"/>
  <c r="Q158" i="3"/>
  <c r="P158" i="3"/>
  <c r="O158" i="3"/>
  <c r="N158" i="3"/>
  <c r="M159" i="3"/>
  <c r="M158" i="3"/>
  <c r="Q147" i="3"/>
  <c r="P147" i="3"/>
  <c r="O147" i="3"/>
  <c r="N147" i="3"/>
  <c r="M147" i="3"/>
  <c r="Q146" i="3"/>
  <c r="P146" i="3"/>
  <c r="O146" i="3"/>
  <c r="N146" i="3"/>
  <c r="M146" i="3"/>
  <c r="AA153" i="3"/>
  <c r="J68" i="20" s="1"/>
  <c r="I68" i="20"/>
  <c r="H68" i="20"/>
  <c r="G68" i="20"/>
  <c r="F68" i="20"/>
  <c r="E68" i="20"/>
  <c r="D68" i="20"/>
  <c r="C68" i="20"/>
  <c r="J61" i="20"/>
  <c r="I61" i="20"/>
  <c r="H61" i="20"/>
  <c r="G61" i="20"/>
  <c r="F61" i="20"/>
  <c r="E61" i="20"/>
  <c r="D61" i="20"/>
  <c r="C61" i="20"/>
  <c r="F27" i="1" s="1"/>
  <c r="C9" i="10" s="1"/>
  <c r="L63" i="19"/>
  <c r="K63" i="19"/>
  <c r="J63" i="19"/>
  <c r="I63" i="19"/>
  <c r="H63" i="19"/>
  <c r="G34" i="8"/>
  <c r="F34" i="8"/>
  <c r="E34" i="8"/>
  <c r="D34" i="8"/>
  <c r="C34" i="8"/>
  <c r="G8" i="16"/>
  <c r="F8" i="16"/>
  <c r="AA71" i="3"/>
  <c r="O71" i="3"/>
  <c r="N71" i="3"/>
  <c r="M71" i="3"/>
  <c r="P71" i="3"/>
  <c r="Q71" i="3"/>
  <c r="Q69" i="3"/>
  <c r="P69" i="3"/>
  <c r="O69" i="3"/>
  <c r="N69" i="3"/>
  <c r="M69" i="3"/>
  <c r="L69" i="3"/>
  <c r="K69" i="3"/>
  <c r="J69" i="3"/>
  <c r="I69" i="3"/>
  <c r="H69" i="3"/>
  <c r="G69" i="3"/>
  <c r="F69" i="3"/>
  <c r="E69" i="3"/>
  <c r="D69" i="3"/>
  <c r="C69" i="3"/>
  <c r="AA69" i="3"/>
  <c r="Q153" i="3"/>
  <c r="Q163" i="3" s="1"/>
  <c r="P153" i="3"/>
  <c r="P163" i="3" s="1"/>
  <c r="O153" i="3"/>
  <c r="O163" i="3" s="1"/>
  <c r="N153" i="3"/>
  <c r="N163" i="3" s="1"/>
  <c r="M153" i="3"/>
  <c r="M163" i="3" s="1"/>
  <c r="AC112" i="3"/>
  <c r="Q121" i="3"/>
  <c r="P121" i="3"/>
  <c r="O121" i="3"/>
  <c r="N121" i="3"/>
  <c r="M121" i="3"/>
  <c r="AA103" i="3"/>
  <c r="J62" i="20" s="1"/>
  <c r="I62" i="20"/>
  <c r="G62" i="20"/>
  <c r="F62" i="20"/>
  <c r="E62" i="20"/>
  <c r="D62" i="20"/>
  <c r="C62" i="20"/>
  <c r="Q103" i="3"/>
  <c r="L64" i="19" s="1"/>
  <c r="P103" i="3"/>
  <c r="K64" i="19" s="1"/>
  <c r="O103" i="3"/>
  <c r="J64" i="19" s="1"/>
  <c r="N103" i="3"/>
  <c r="I64" i="19" s="1"/>
  <c r="M103" i="3"/>
  <c r="H64" i="19" s="1"/>
  <c r="AC111" i="3"/>
  <c r="G35" i="7"/>
  <c r="AC63" i="3"/>
  <c r="G31" i="12"/>
  <c r="E35" i="7"/>
  <c r="F35" i="7"/>
  <c r="D35" i="7"/>
  <c r="C35" i="7"/>
  <c r="AC83" i="3"/>
  <c r="AC106" i="3" s="1"/>
  <c r="AA141" i="3"/>
  <c r="Q141" i="3"/>
  <c r="N141" i="3"/>
  <c r="P141" i="3"/>
  <c r="O141" i="3"/>
  <c r="M141" i="3"/>
  <c r="C31" i="12"/>
  <c r="G90" i="17"/>
  <c r="D90" i="17"/>
  <c r="C90" i="17"/>
  <c r="G89" i="17"/>
  <c r="F20" i="18"/>
  <c r="C20" i="18"/>
  <c r="F18" i="18"/>
  <c r="C18" i="18"/>
  <c r="F12" i="18"/>
  <c r="C12" i="18"/>
  <c r="F10" i="18"/>
  <c r="C10" i="18"/>
  <c r="G96" i="17"/>
  <c r="F96" i="17"/>
  <c r="E96" i="17"/>
  <c r="D96" i="17"/>
  <c r="C96" i="17"/>
  <c r="C91" i="17"/>
  <c r="F90" i="17"/>
  <c r="E90" i="17"/>
  <c r="F89" i="17"/>
  <c r="E89" i="17"/>
  <c r="D89" i="17"/>
  <c r="C89" i="17"/>
  <c r="AC29" i="3"/>
  <c r="G20" i="18"/>
  <c r="D20" i="18"/>
  <c r="G18" i="18"/>
  <c r="D18" i="18"/>
  <c r="C17" i="18"/>
  <c r="AA106" i="3"/>
  <c r="C15" i="18"/>
  <c r="G12" i="18"/>
  <c r="D12" i="18"/>
  <c r="C9" i="18"/>
  <c r="G10" i="18"/>
  <c r="C7" i="18"/>
  <c r="D10" i="18"/>
  <c r="G35" i="18"/>
  <c r="D35" i="18"/>
  <c r="G23" i="18"/>
  <c r="F37" i="18"/>
  <c r="I60" i="20"/>
  <c r="H60" i="20"/>
  <c r="G60" i="20"/>
  <c r="F60" i="20"/>
  <c r="E60" i="20"/>
  <c r="D60" i="20"/>
  <c r="C60" i="20"/>
  <c r="C35" i="18"/>
  <c r="C37" i="18"/>
  <c r="F35" i="18"/>
  <c r="F23" i="18"/>
  <c r="F39" i="18"/>
  <c r="C39" i="18"/>
  <c r="C23" i="18"/>
  <c r="F27" i="18"/>
  <c r="C27" i="18"/>
  <c r="C25" i="18"/>
  <c r="F29" i="18"/>
  <c r="C29" i="18"/>
  <c r="F25" i="18"/>
  <c r="F17" i="18"/>
  <c r="F15" i="18"/>
  <c r="D23" i="18"/>
  <c r="F9" i="18"/>
  <c r="F7" i="18"/>
  <c r="G85" i="17"/>
  <c r="F85" i="17"/>
  <c r="E85" i="17"/>
  <c r="D85" i="17"/>
  <c r="C85" i="17"/>
  <c r="G84" i="17"/>
  <c r="F84" i="17"/>
  <c r="E84" i="17"/>
  <c r="D84" i="17"/>
  <c r="C84" i="17"/>
  <c r="G81" i="17"/>
  <c r="F81" i="17"/>
  <c r="E81" i="17"/>
  <c r="D81" i="17"/>
  <c r="C81" i="17"/>
  <c r="G80" i="17"/>
  <c r="F80" i="17"/>
  <c r="E80" i="17"/>
  <c r="D80" i="17"/>
  <c r="C80" i="17"/>
  <c r="G72" i="17"/>
  <c r="F72" i="17"/>
  <c r="E72" i="17"/>
  <c r="D72" i="17"/>
  <c r="G71" i="17"/>
  <c r="F71" i="17"/>
  <c r="E71" i="17"/>
  <c r="D71" i="17"/>
  <c r="C72" i="17"/>
  <c r="C71" i="17"/>
  <c r="G48" i="17"/>
  <c r="F48" i="17"/>
  <c r="E48" i="17"/>
  <c r="D48" i="17"/>
  <c r="G47" i="17"/>
  <c r="F47" i="17"/>
  <c r="E47" i="17"/>
  <c r="D47" i="17"/>
  <c r="C48" i="17"/>
  <c r="C47" i="17"/>
  <c r="G40" i="17"/>
  <c r="F40" i="17"/>
  <c r="E40" i="17"/>
  <c r="D40" i="17"/>
  <c r="G39" i="17"/>
  <c r="F39" i="17"/>
  <c r="E39" i="17"/>
  <c r="D39" i="17"/>
  <c r="C40" i="17"/>
  <c r="C39" i="17"/>
  <c r="G29" i="17"/>
  <c r="F29" i="17"/>
  <c r="E29" i="17"/>
  <c r="D29" i="17"/>
  <c r="G27" i="17"/>
  <c r="F27" i="17"/>
  <c r="E27" i="17"/>
  <c r="D27" i="17"/>
  <c r="C29" i="17"/>
  <c r="C27" i="17"/>
  <c r="I22" i="17"/>
  <c r="I21" i="17"/>
  <c r="G17" i="17"/>
  <c r="F17" i="17"/>
  <c r="E17" i="17"/>
  <c r="D17" i="17"/>
  <c r="C17" i="17"/>
  <c r="AA175" i="3"/>
  <c r="Q175" i="3"/>
  <c r="G77" i="17" s="1"/>
  <c r="P175" i="3"/>
  <c r="F77" i="17" s="1"/>
  <c r="O175" i="3"/>
  <c r="E77" i="17" s="1"/>
  <c r="N175" i="3"/>
  <c r="D77" i="17" s="1"/>
  <c r="M175" i="3"/>
  <c r="C77" i="17" s="1"/>
  <c r="AA174" i="3"/>
  <c r="Q174" i="3"/>
  <c r="G76" i="17" s="1"/>
  <c r="P174" i="3"/>
  <c r="F76" i="17" s="1"/>
  <c r="O174" i="3"/>
  <c r="E76" i="17" s="1"/>
  <c r="N174" i="3"/>
  <c r="D76" i="17" s="1"/>
  <c r="M174" i="3"/>
  <c r="C76" i="17" s="1"/>
  <c r="AA173" i="3"/>
  <c r="Q173" i="3"/>
  <c r="G75" i="17" s="1"/>
  <c r="P173" i="3"/>
  <c r="F75" i="17" s="1"/>
  <c r="O173" i="3"/>
  <c r="E75" i="17" s="1"/>
  <c r="N173" i="3"/>
  <c r="D75" i="17" s="1"/>
  <c r="M173" i="3"/>
  <c r="C75" i="17" s="1"/>
  <c r="AC110" i="3"/>
  <c r="D23" i="17"/>
  <c r="E23" i="17"/>
  <c r="F23" i="17"/>
  <c r="G23" i="17"/>
  <c r="C23" i="17"/>
  <c r="AC138" i="3"/>
  <c r="I39" i="17" s="1"/>
  <c r="AC169" i="3"/>
  <c r="I71" i="17" s="1"/>
  <c r="AC170" i="3"/>
  <c r="AC79" i="3"/>
  <c r="Q80" i="3"/>
  <c r="P80" i="3"/>
  <c r="N80" i="3"/>
  <c r="M80" i="3"/>
  <c r="O80" i="3"/>
  <c r="AC145" i="3"/>
  <c r="AC144" i="3"/>
  <c r="AC141" i="3"/>
  <c r="AA137" i="3"/>
  <c r="AC139" i="3"/>
  <c r="AC137" i="3"/>
  <c r="Q137" i="3"/>
  <c r="P137" i="3"/>
  <c r="O137" i="3"/>
  <c r="N137" i="3"/>
  <c r="M137" i="3"/>
  <c r="F9" i="16"/>
  <c r="F17" i="16"/>
  <c r="AC58" i="3"/>
  <c r="F16" i="16"/>
  <c r="F18" i="16" s="1"/>
  <c r="O24" i="6"/>
  <c r="O20" i="6"/>
  <c r="AC57" i="3"/>
  <c r="AC55" i="3"/>
  <c r="O106" i="3"/>
  <c r="O109" i="3" s="1"/>
  <c r="O154" i="3" s="1"/>
  <c r="N106" i="3"/>
  <c r="N109" i="3" s="1"/>
  <c r="N154" i="3" s="1"/>
  <c r="M106" i="3"/>
  <c r="M109" i="3" s="1"/>
  <c r="M154" i="3" s="1"/>
  <c r="L106" i="3"/>
  <c r="K106" i="3"/>
  <c r="J106" i="3"/>
  <c r="I106" i="3"/>
  <c r="H106" i="3"/>
  <c r="G106" i="3"/>
  <c r="F106" i="3"/>
  <c r="E106" i="3"/>
  <c r="D106" i="3"/>
  <c r="C106" i="3"/>
  <c r="G6" i="14"/>
  <c r="F6" i="14"/>
  <c r="E6" i="14"/>
  <c r="D6" i="14"/>
  <c r="C6" i="14"/>
  <c r="G19" i="12"/>
  <c r="F19" i="12"/>
  <c r="E19" i="12"/>
  <c r="D19" i="12"/>
  <c r="C19" i="12"/>
  <c r="G6" i="12"/>
  <c r="F6" i="12"/>
  <c r="E6" i="12"/>
  <c r="D6" i="12"/>
  <c r="C6" i="12"/>
  <c r="C8" i="10"/>
  <c r="C18" i="10"/>
  <c r="E7" i="8"/>
  <c r="E6" i="8"/>
  <c r="F5" i="8"/>
  <c r="F32" i="8" s="1"/>
  <c r="E5" i="8"/>
  <c r="E32" i="8" s="1"/>
  <c r="C5" i="8"/>
  <c r="C32" i="8" s="1"/>
  <c r="E13" i="7"/>
  <c r="C13" i="7"/>
  <c r="D7" i="7"/>
  <c r="G6" i="7"/>
  <c r="H6" i="7" s="1"/>
  <c r="E6" i="7"/>
  <c r="U15" i="6"/>
  <c r="T15" i="6"/>
  <c r="P15" i="6"/>
  <c r="O13" i="6"/>
  <c r="O22" i="6" s="1"/>
  <c r="O12" i="6"/>
  <c r="O21" i="6" s="1"/>
  <c r="W6" i="6"/>
  <c r="T6" i="6"/>
  <c r="V5" i="6"/>
  <c r="S5" i="6"/>
  <c r="P5" i="6"/>
  <c r="B23" i="6"/>
  <c r="B21" i="6"/>
  <c r="E15" i="6"/>
  <c r="D15" i="6"/>
  <c r="G6" i="6"/>
  <c r="E6" i="6"/>
  <c r="C6" i="6"/>
  <c r="F5" i="6"/>
  <c r="R6" i="5"/>
  <c r="G21" i="8"/>
  <c r="E21" i="8"/>
  <c r="G20" i="8"/>
  <c r="F20" i="8"/>
  <c r="C20" i="8"/>
  <c r="F7" i="8"/>
  <c r="C7" i="8"/>
  <c r="F6" i="8"/>
  <c r="G5" i="8"/>
  <c r="D5" i="8"/>
  <c r="D32" i="8" s="1"/>
  <c r="F13" i="7"/>
  <c r="D13" i="7"/>
  <c r="F7" i="7"/>
  <c r="C6" i="7"/>
  <c r="V15" i="6"/>
  <c r="R15" i="6"/>
  <c r="U6" i="6"/>
  <c r="R6" i="6"/>
  <c r="P6" i="6"/>
  <c r="Q5" i="6"/>
  <c r="G15" i="6"/>
  <c r="C15" i="6"/>
  <c r="E5" i="6"/>
  <c r="C5" i="6"/>
  <c r="R7" i="5"/>
  <c r="F21" i="8"/>
  <c r="D21" i="8"/>
  <c r="C21" i="8"/>
  <c r="E20" i="8"/>
  <c r="D20" i="8"/>
  <c r="G7" i="8"/>
  <c r="D7" i="8"/>
  <c r="G6" i="8"/>
  <c r="D6" i="8"/>
  <c r="C6" i="8"/>
  <c r="G13" i="7"/>
  <c r="G7" i="7"/>
  <c r="E7" i="7"/>
  <c r="C7" i="7"/>
  <c r="F6" i="7"/>
  <c r="D6" i="7"/>
  <c r="W15" i="6"/>
  <c r="S15" i="6"/>
  <c r="Q15" i="6"/>
  <c r="O14" i="6"/>
  <c r="O23" i="6" s="1"/>
  <c r="V6" i="6"/>
  <c r="S6" i="6"/>
  <c r="Q6" i="6"/>
  <c r="W5" i="6"/>
  <c r="U5" i="6"/>
  <c r="T5" i="6"/>
  <c r="R5" i="6"/>
  <c r="B22" i="6"/>
  <c r="F15" i="6"/>
  <c r="F6" i="6"/>
  <c r="D6" i="6"/>
  <c r="D22" i="6" s="1"/>
  <c r="D5" i="6"/>
  <c r="R8" i="5"/>
  <c r="G5" i="6"/>
  <c r="G8" i="7"/>
  <c r="E8" i="7"/>
  <c r="F8" i="7"/>
  <c r="C8" i="7"/>
  <c r="D8" i="7"/>
  <c r="G44" i="7"/>
  <c r="F44" i="7"/>
  <c r="E44" i="7"/>
  <c r="D44" i="7"/>
  <c r="C44" i="7"/>
  <c r="AB9" i="6"/>
  <c r="AB10" i="6"/>
  <c r="G41" i="5"/>
  <c r="F41" i="5"/>
  <c r="E41" i="5"/>
  <c r="D41" i="5"/>
  <c r="E14" i="5"/>
  <c r="D14" i="5"/>
  <c r="F14" i="5"/>
  <c r="G14" i="5"/>
  <c r="S14" i="5"/>
  <c r="S24" i="5"/>
  <c r="S41" i="5"/>
  <c r="C41" i="5"/>
  <c r="C14" i="5"/>
  <c r="Z24" i="5"/>
  <c r="Y24" i="5"/>
  <c r="X24" i="5"/>
  <c r="W24" i="5"/>
  <c r="V24" i="5"/>
  <c r="U24" i="5"/>
  <c r="T24" i="5"/>
  <c r="G24" i="5"/>
  <c r="F24" i="5"/>
  <c r="E24" i="5"/>
  <c r="D24" i="5"/>
  <c r="C24" i="5"/>
  <c r="Z20" i="5"/>
  <c r="Y20" i="5"/>
  <c r="X20" i="5"/>
  <c r="W20" i="5"/>
  <c r="V20" i="5"/>
  <c r="U20" i="5"/>
  <c r="T20" i="5"/>
  <c r="G20" i="5"/>
  <c r="F20" i="5"/>
  <c r="E20" i="5"/>
  <c r="D20" i="5"/>
  <c r="T17" i="5"/>
  <c r="T25" i="5" s="1"/>
  <c r="D17" i="5"/>
  <c r="D25" i="5" s="1"/>
  <c r="B17" i="5"/>
  <c r="Z16" i="5"/>
  <c r="Y16" i="5"/>
  <c r="X16" i="5"/>
  <c r="W16" i="5"/>
  <c r="V16" i="5"/>
  <c r="U16" i="5"/>
  <c r="T16" i="5"/>
  <c r="G16" i="5"/>
  <c r="F16" i="5"/>
  <c r="E16" i="5"/>
  <c r="D16" i="5"/>
  <c r="B16" i="5"/>
  <c r="Z15" i="5"/>
  <c r="Y15" i="5"/>
  <c r="X15" i="5"/>
  <c r="W15" i="5"/>
  <c r="V15" i="5"/>
  <c r="U15" i="5"/>
  <c r="T15" i="5"/>
  <c r="G15" i="5"/>
  <c r="F15" i="5"/>
  <c r="E15" i="5"/>
  <c r="D15" i="5"/>
  <c r="B15" i="5"/>
  <c r="Z14" i="5"/>
  <c r="Y14" i="5"/>
  <c r="X14" i="5"/>
  <c r="W14" i="5"/>
  <c r="V14" i="5"/>
  <c r="U14" i="5"/>
  <c r="T14" i="5"/>
  <c r="H5" i="5"/>
  <c r="W41" i="5"/>
  <c r="U41" i="5"/>
  <c r="Z41" i="5"/>
  <c r="Y41" i="5"/>
  <c r="X41" i="5"/>
  <c r="V41" i="5"/>
  <c r="T41" i="5"/>
  <c r="P106" i="3"/>
  <c r="P109" i="3" s="1"/>
  <c r="P154" i="3" s="1"/>
  <c r="Q106" i="3"/>
  <c r="AC124" i="3"/>
  <c r="AC122" i="3"/>
  <c r="AC102" i="3"/>
  <c r="AA101" i="3"/>
  <c r="J60" i="20" s="1"/>
  <c r="AC82" i="3"/>
  <c r="AC74" i="3"/>
  <c r="AA75" i="3"/>
  <c r="M75" i="3"/>
  <c r="N75" i="3"/>
  <c r="O75" i="3"/>
  <c r="P75" i="3"/>
  <c r="Q75" i="3"/>
  <c r="AC42" i="3"/>
  <c r="AC36" i="3"/>
  <c r="AA91" i="3"/>
  <c r="C11" i="18" s="1"/>
  <c r="AA95" i="3"/>
  <c r="C13" i="18" s="1"/>
  <c r="AC11" i="3"/>
  <c r="AC7" i="3"/>
  <c r="AC101" i="3" s="1"/>
  <c r="Q101" i="3"/>
  <c r="P101" i="3"/>
  <c r="O101" i="3"/>
  <c r="N101" i="3"/>
  <c r="M101" i="3"/>
  <c r="Q95" i="3"/>
  <c r="G83" i="17" s="1"/>
  <c r="P95" i="3"/>
  <c r="F83" i="17" s="1"/>
  <c r="O95" i="3"/>
  <c r="E83" i="17" s="1"/>
  <c r="N95" i="3"/>
  <c r="D83" i="17" s="1"/>
  <c r="M95" i="3"/>
  <c r="C83" i="17" s="1"/>
  <c r="AC26" i="3"/>
  <c r="F5" i="1" s="1"/>
  <c r="AC24" i="3"/>
  <c r="AC22" i="3"/>
  <c r="AC20" i="3"/>
  <c r="Q91" i="3"/>
  <c r="G82" i="17" s="1"/>
  <c r="O91" i="3"/>
  <c r="E82" i="17" s="1"/>
  <c r="M91" i="3"/>
  <c r="C82" i="17" s="1"/>
  <c r="P91" i="3"/>
  <c r="F82" i="17" s="1"/>
  <c r="N91" i="3"/>
  <c r="D82" i="17" s="1"/>
  <c r="C10" i="10" s="1"/>
  <c r="C11" i="13" s="1"/>
  <c r="I28" i="5" l="1"/>
  <c r="H9" i="5"/>
  <c r="I27" i="5"/>
  <c r="H34" i="5"/>
  <c r="H35" i="5" s="1"/>
  <c r="I32" i="5"/>
  <c r="H42" i="5"/>
  <c r="G42" i="5"/>
  <c r="G44" i="5"/>
  <c r="F42" i="5"/>
  <c r="F44" i="5"/>
  <c r="E42" i="5"/>
  <c r="E44" i="5"/>
  <c r="D42" i="5"/>
  <c r="D44" i="5"/>
  <c r="K10" i="5"/>
  <c r="J19" i="5"/>
  <c r="Z33" i="5"/>
  <c r="AA32" i="5"/>
  <c r="AA34" i="5" s="1"/>
  <c r="AA46" i="5"/>
  <c r="Z46" i="5"/>
  <c r="AA45" i="5"/>
  <c r="Z45" i="5"/>
  <c r="AA38" i="5"/>
  <c r="AA47" i="5" s="1"/>
  <c r="AE27" i="5"/>
  <c r="AA9" i="5"/>
  <c r="AC75" i="3"/>
  <c r="C22" i="14" s="1"/>
  <c r="C35" i="14" s="1"/>
  <c r="AA148" i="3"/>
  <c r="Y42" i="5"/>
  <c r="Z42" i="5"/>
  <c r="W42" i="5"/>
  <c r="V42" i="5"/>
  <c r="L10" i="5"/>
  <c r="L19" i="5" s="1"/>
  <c r="K19" i="5"/>
  <c r="H6" i="14"/>
  <c r="H6" i="11"/>
  <c r="H5" i="12"/>
  <c r="C52" i="16"/>
  <c r="G53" i="17"/>
  <c r="F53" i="17"/>
  <c r="E53" i="17"/>
  <c r="D53" i="17"/>
  <c r="G51" i="17"/>
  <c r="F51" i="17"/>
  <c r="E51" i="17"/>
  <c r="D51" i="17"/>
  <c r="C51" i="17"/>
  <c r="C53" i="17"/>
  <c r="Q148" i="3"/>
  <c r="P148" i="3"/>
  <c r="O148" i="3"/>
  <c r="N148" i="3"/>
  <c r="M148" i="3"/>
  <c r="AC69" i="3"/>
  <c r="AC153" i="3"/>
  <c r="AC164" i="3" s="1"/>
  <c r="M78" i="3"/>
  <c r="M149" i="3" s="1"/>
  <c r="N78" i="3"/>
  <c r="N149" i="3" s="1"/>
  <c r="O78" i="3"/>
  <c r="O149" i="3" s="1"/>
  <c r="P78" i="3"/>
  <c r="P149" i="3" s="1"/>
  <c r="Q78" i="3"/>
  <c r="Q149" i="3" s="1"/>
  <c r="F22" i="8"/>
  <c r="AC71" i="3"/>
  <c r="Q164" i="3"/>
  <c r="L60" i="19"/>
  <c r="Q166" i="3"/>
  <c r="P164" i="3"/>
  <c r="K60" i="19"/>
  <c r="P166" i="3"/>
  <c r="O164" i="3"/>
  <c r="J60" i="19"/>
  <c r="O166" i="3"/>
  <c r="N164" i="3"/>
  <c r="I60" i="19"/>
  <c r="N166" i="3"/>
  <c r="M164" i="3"/>
  <c r="H60" i="19"/>
  <c r="M166" i="3"/>
  <c r="H5" i="8"/>
  <c r="H32" i="8" s="1"/>
  <c r="G32" i="8"/>
  <c r="G16" i="17"/>
  <c r="G33" i="8"/>
  <c r="L62" i="19"/>
  <c r="F16" i="17"/>
  <c r="F33" i="8"/>
  <c r="K62" i="19"/>
  <c r="E16" i="17"/>
  <c r="E33" i="8"/>
  <c r="J62" i="19"/>
  <c r="D16" i="17"/>
  <c r="D33" i="8"/>
  <c r="I62" i="19"/>
  <c r="C16" i="17"/>
  <c r="C33" i="8"/>
  <c r="H62" i="19"/>
  <c r="C19" i="10"/>
  <c r="E22" i="8"/>
  <c r="C22" i="8"/>
  <c r="G44" i="17"/>
  <c r="F44" i="17"/>
  <c r="E44" i="17"/>
  <c r="D44" i="17"/>
  <c r="C44" i="17"/>
  <c r="G26" i="17"/>
  <c r="F26" i="17"/>
  <c r="E26" i="17"/>
  <c r="D26" i="17"/>
  <c r="C26" i="17"/>
  <c r="G18" i="17"/>
  <c r="F18" i="17"/>
  <c r="E18" i="17"/>
  <c r="D18" i="17"/>
  <c r="C18" i="17"/>
  <c r="G22" i="8"/>
  <c r="D22" i="8"/>
  <c r="P123" i="3"/>
  <c r="K70" i="19" s="1"/>
  <c r="O123" i="3"/>
  <c r="J70" i="19" s="1"/>
  <c r="N123" i="3"/>
  <c r="I70" i="19" s="1"/>
  <c r="M123" i="3"/>
  <c r="H70" i="19" s="1"/>
  <c r="Q123" i="3"/>
  <c r="L70" i="19" s="1"/>
  <c r="Q70" i="3"/>
  <c r="O136" i="3"/>
  <c r="J72" i="19" s="1"/>
  <c r="N136" i="3"/>
  <c r="I72" i="19" s="1"/>
  <c r="M136" i="3"/>
  <c r="H72" i="19" s="1"/>
  <c r="K61" i="19"/>
  <c r="P136" i="3"/>
  <c r="K72" i="19" s="1"/>
  <c r="AC80" i="3"/>
  <c r="AC103" i="3"/>
  <c r="AC121" i="3"/>
  <c r="I26" i="17" s="1"/>
  <c r="C31" i="16"/>
  <c r="F21" i="18"/>
  <c r="C19" i="18"/>
  <c r="C21" i="18"/>
  <c r="F19" i="18"/>
  <c r="F11" i="18"/>
  <c r="F13" i="18"/>
  <c r="Q165" i="3"/>
  <c r="G59" i="17" s="1"/>
  <c r="P165" i="3"/>
  <c r="F59" i="17" s="1"/>
  <c r="O165" i="3"/>
  <c r="E59" i="17" s="1"/>
  <c r="N165" i="3"/>
  <c r="D59" i="17" s="1"/>
  <c r="M165" i="3"/>
  <c r="C59" i="17" s="1"/>
  <c r="AC173" i="3"/>
  <c r="AC174" i="3"/>
  <c r="AC175" i="3"/>
  <c r="I23" i="17"/>
  <c r="G22" i="7"/>
  <c r="D22" i="7"/>
  <c r="E21" i="7"/>
  <c r="C21" i="7"/>
  <c r="C53" i="16"/>
  <c r="I72" i="17"/>
  <c r="F34" i="16"/>
  <c r="I48" i="17"/>
  <c r="F32" i="16"/>
  <c r="I47" i="17"/>
  <c r="F30" i="16"/>
  <c r="I44" i="17"/>
  <c r="C32" i="16"/>
  <c r="I40" i="17"/>
  <c r="C30" i="16"/>
  <c r="I38" i="17"/>
  <c r="Q140" i="3"/>
  <c r="G41" i="17" s="1"/>
  <c r="G38" i="17"/>
  <c r="P140" i="3"/>
  <c r="F41" i="17" s="1"/>
  <c r="F38" i="17"/>
  <c r="O140" i="3"/>
  <c r="E41" i="17" s="1"/>
  <c r="E38" i="17"/>
  <c r="N140" i="3"/>
  <c r="D41" i="17" s="1"/>
  <c r="D38" i="17"/>
  <c r="M140" i="3"/>
  <c r="C41" i="17" s="1"/>
  <c r="C38" i="17"/>
  <c r="C25" i="16"/>
  <c r="I29" i="17"/>
  <c r="C23" i="16"/>
  <c r="I27" i="17"/>
  <c r="C17" i="16"/>
  <c r="I17" i="17"/>
  <c r="C16" i="16"/>
  <c r="I16" i="17"/>
  <c r="AA171" i="3"/>
  <c r="Q171" i="3"/>
  <c r="G67" i="17" s="1"/>
  <c r="P171" i="3"/>
  <c r="F67" i="17" s="1"/>
  <c r="O171" i="3"/>
  <c r="E67" i="17" s="1"/>
  <c r="N171" i="3"/>
  <c r="D67" i="17" s="1"/>
  <c r="M171" i="3"/>
  <c r="C67" i="17" s="1"/>
  <c r="AA140" i="3"/>
  <c r="C33" i="14"/>
  <c r="D30" i="12"/>
  <c r="F29" i="12"/>
  <c r="E20" i="12"/>
  <c r="H19" i="12"/>
  <c r="I19" i="12" s="1"/>
  <c r="J19" i="12" s="1"/>
  <c r="K19" i="12" s="1"/>
  <c r="L19" i="12" s="1"/>
  <c r="AA142" i="3"/>
  <c r="AA168" i="3"/>
  <c r="Q142" i="3"/>
  <c r="G45" i="17" s="1"/>
  <c r="Q168" i="3"/>
  <c r="G66" i="17" s="1"/>
  <c r="P142" i="3"/>
  <c r="F45" i="17" s="1"/>
  <c r="P168" i="3"/>
  <c r="F66" i="17" s="1"/>
  <c r="O142" i="3"/>
  <c r="E45" i="17" s="1"/>
  <c r="O168" i="3"/>
  <c r="E66" i="17" s="1"/>
  <c r="N142" i="3"/>
  <c r="D45" i="17" s="1"/>
  <c r="N168" i="3"/>
  <c r="D66" i="17" s="1"/>
  <c r="M142" i="3"/>
  <c r="C45" i="17" s="1"/>
  <c r="M168" i="3"/>
  <c r="C66" i="17" s="1"/>
  <c r="AC140" i="3"/>
  <c r="I41" i="17" s="1"/>
  <c r="C9" i="17"/>
  <c r="D9" i="17"/>
  <c r="E9" i="17"/>
  <c r="G10" i="17"/>
  <c r="F10" i="17"/>
  <c r="E10" i="17"/>
  <c r="D10" i="17"/>
  <c r="C10" i="17"/>
  <c r="G9" i="17"/>
  <c r="F9" i="17"/>
  <c r="C5" i="16"/>
  <c r="H5" i="6"/>
  <c r="G19" i="6"/>
  <c r="G10" i="6"/>
  <c r="T22" i="6"/>
  <c r="T21" i="6"/>
  <c r="G23" i="6"/>
  <c r="G21" i="6"/>
  <c r="AC107" i="3"/>
  <c r="AA143" i="3"/>
  <c r="G32" i="12"/>
  <c r="Q143" i="3"/>
  <c r="G46" i="17" s="1"/>
  <c r="F32" i="12"/>
  <c r="P143" i="3"/>
  <c r="F46" i="17" s="1"/>
  <c r="E32" i="12"/>
  <c r="O143" i="3"/>
  <c r="E46" i="17" s="1"/>
  <c r="D32" i="12"/>
  <c r="N143" i="3"/>
  <c r="D46" i="17" s="1"/>
  <c r="C32" i="12"/>
  <c r="M143" i="3"/>
  <c r="C46" i="17" s="1"/>
  <c r="AC109" i="3"/>
  <c r="Q109" i="3"/>
  <c r="Q154" i="3" s="1"/>
  <c r="E46" i="7"/>
  <c r="D19" i="6"/>
  <c r="W10" i="6"/>
  <c r="U10" i="6"/>
  <c r="R10" i="6"/>
  <c r="AA78" i="3"/>
  <c r="F20" i="12"/>
  <c r="D20" i="12"/>
  <c r="G13" i="12"/>
  <c r="C30" i="12"/>
  <c r="E29" i="12"/>
  <c r="D29" i="12"/>
  <c r="G20" i="12"/>
  <c r="F13" i="12"/>
  <c r="E13" i="12"/>
  <c r="D13" i="12"/>
  <c r="G30" i="12"/>
  <c r="G8" i="8"/>
  <c r="D8" i="8"/>
  <c r="C46" i="7"/>
  <c r="G43" i="7"/>
  <c r="C43" i="7"/>
  <c r="F27" i="7"/>
  <c r="D12" i="7"/>
  <c r="V23" i="6"/>
  <c r="D20" i="6"/>
  <c r="D36" i="7"/>
  <c r="D37" i="7" s="1"/>
  <c r="E27" i="7"/>
  <c r="S23" i="6"/>
  <c r="Q23" i="6"/>
  <c r="V20" i="6"/>
  <c r="S20" i="6"/>
  <c r="Q20" i="6"/>
  <c r="R17" i="5"/>
  <c r="R15" i="5"/>
  <c r="Q21" i="6"/>
  <c r="F23" i="6"/>
  <c r="F22" i="6"/>
  <c r="F30" i="12"/>
  <c r="E30" i="12"/>
  <c r="G29" i="12"/>
  <c r="C29" i="12"/>
  <c r="D21" i="6"/>
  <c r="I6" i="7"/>
  <c r="S22" i="6"/>
  <c r="Q22" i="6"/>
  <c r="V24" i="6"/>
  <c r="D23" i="6"/>
  <c r="G46" i="7"/>
  <c r="C15" i="14"/>
  <c r="AC116" i="3"/>
  <c r="AC117" i="3" s="1"/>
  <c r="C6" i="10"/>
  <c r="E24" i="6"/>
  <c r="E9" i="8"/>
  <c r="D9" i="8"/>
  <c r="D24" i="6"/>
  <c r="G24" i="6"/>
  <c r="G9" i="8"/>
  <c r="C9" i="8"/>
  <c r="C24" i="6"/>
  <c r="F24" i="6"/>
  <c r="F9" i="8"/>
  <c r="U21" i="6"/>
  <c r="P21" i="6"/>
  <c r="U24" i="6"/>
  <c r="T24" i="6"/>
  <c r="P24" i="6"/>
  <c r="C23" i="6"/>
  <c r="G22" i="6"/>
  <c r="E21" i="6"/>
  <c r="C21" i="6"/>
  <c r="U22" i="6"/>
  <c r="P22" i="6"/>
  <c r="W22" i="6"/>
  <c r="V22" i="6"/>
  <c r="W21" i="6"/>
  <c r="V21" i="6"/>
  <c r="S21" i="6"/>
  <c r="W24" i="6"/>
  <c r="S24" i="6"/>
  <c r="Q24" i="6"/>
  <c r="E23" i="6"/>
  <c r="E22" i="6"/>
  <c r="C22" i="6"/>
  <c r="F21" i="6"/>
  <c r="H19" i="7"/>
  <c r="Q10" i="6"/>
  <c r="F19" i="6"/>
  <c r="G26" i="8"/>
  <c r="C19" i="8"/>
  <c r="F14" i="8"/>
  <c r="G14" i="8"/>
  <c r="C14" i="8"/>
  <c r="C8" i="8"/>
  <c r="F46" i="7"/>
  <c r="G41" i="7"/>
  <c r="H34" i="7"/>
  <c r="E34" i="7"/>
  <c r="S10" i="6"/>
  <c r="P10" i="6"/>
  <c r="F8" i="8"/>
  <c r="E26" i="8"/>
  <c r="D26" i="8"/>
  <c r="C26" i="8"/>
  <c r="G19" i="8"/>
  <c r="F19" i="8"/>
  <c r="E14" i="8"/>
  <c r="G36" i="7"/>
  <c r="G37" i="7" s="1"/>
  <c r="F20" i="7"/>
  <c r="H12" i="7"/>
  <c r="C12" i="7"/>
  <c r="R16" i="5"/>
  <c r="E19" i="8"/>
  <c r="D14" i="8"/>
  <c r="E8" i="8"/>
  <c r="F26" i="8"/>
  <c r="D19" i="8"/>
  <c r="F43" i="7"/>
  <c r="E41" i="7"/>
  <c r="D43" i="7"/>
  <c r="C41" i="7"/>
  <c r="C34" i="7"/>
  <c r="E20" i="6"/>
  <c r="C27" i="7"/>
  <c r="F22" i="7"/>
  <c r="F21" i="7"/>
  <c r="D21" i="7"/>
  <c r="G20" i="7"/>
  <c r="F12" i="7"/>
  <c r="E12" i="7"/>
  <c r="D46" i="7"/>
  <c r="E43" i="7"/>
  <c r="H41" i="7"/>
  <c r="F36" i="7"/>
  <c r="F37" i="7" s="1"/>
  <c r="G34" i="7"/>
  <c r="D34" i="7"/>
  <c r="G27" i="7"/>
  <c r="G21" i="7"/>
  <c r="C20" i="7"/>
  <c r="G19" i="7"/>
  <c r="F19" i="7"/>
  <c r="E19" i="7"/>
  <c r="D19" i="7"/>
  <c r="C19" i="7"/>
  <c r="F41" i="7"/>
  <c r="D41" i="7"/>
  <c r="E36" i="7"/>
  <c r="E37" i="7" s="1"/>
  <c r="C36" i="7"/>
  <c r="C37" i="7" s="1"/>
  <c r="F34" i="7"/>
  <c r="H27" i="7"/>
  <c r="D27" i="7"/>
  <c r="E22" i="7"/>
  <c r="C22" i="7"/>
  <c r="E20" i="7"/>
  <c r="D20" i="7"/>
  <c r="G12" i="7"/>
  <c r="W23" i="6"/>
  <c r="R23" i="6"/>
  <c r="W20" i="6"/>
  <c r="T20" i="6"/>
  <c r="F20" i="6"/>
  <c r="U23" i="6"/>
  <c r="R20" i="6"/>
  <c r="P20" i="6"/>
  <c r="T23" i="6"/>
  <c r="P23" i="6"/>
  <c r="U20" i="6"/>
  <c r="G20" i="6"/>
  <c r="C20" i="6"/>
  <c r="E19" i="6"/>
  <c r="C19" i="6"/>
  <c r="F10" i="6"/>
  <c r="D10" i="6"/>
  <c r="C10" i="6"/>
  <c r="W19" i="6"/>
  <c r="V19" i="6"/>
  <c r="U19" i="6"/>
  <c r="T19" i="6"/>
  <c r="S19" i="6"/>
  <c r="R19" i="6"/>
  <c r="Q19" i="6"/>
  <c r="P19" i="6"/>
  <c r="V10" i="6"/>
  <c r="T10" i="6"/>
  <c r="E10" i="6"/>
  <c r="R22" i="6"/>
  <c r="R21" i="6"/>
  <c r="R24" i="6"/>
  <c r="H17" i="5"/>
  <c r="I5" i="5"/>
  <c r="H14" i="5"/>
  <c r="H24" i="5"/>
  <c r="H41" i="5"/>
  <c r="AA70" i="3"/>
  <c r="P70" i="3"/>
  <c r="M70" i="3"/>
  <c r="L70" i="3"/>
  <c r="O70" i="3"/>
  <c r="N70" i="3"/>
  <c r="K70" i="3"/>
  <c r="J70" i="3"/>
  <c r="I70" i="3"/>
  <c r="H70" i="3"/>
  <c r="G70" i="3"/>
  <c r="F70" i="3"/>
  <c r="E70" i="3"/>
  <c r="D70" i="3"/>
  <c r="C70" i="3"/>
  <c r="C24" i="21" l="1"/>
  <c r="C26" i="21" s="1"/>
  <c r="I11" i="1" s="1"/>
  <c r="C54" i="12"/>
  <c r="I18" i="1" s="1"/>
  <c r="J28" i="5"/>
  <c r="H7" i="5"/>
  <c r="H44" i="5"/>
  <c r="H18" i="5"/>
  <c r="I38" i="5"/>
  <c r="I47" i="5" s="1"/>
  <c r="I9" i="5"/>
  <c r="I18" i="5" s="1"/>
  <c r="J27" i="5"/>
  <c r="H6" i="5"/>
  <c r="H43" i="5"/>
  <c r="I34" i="5"/>
  <c r="I35" i="5" s="1"/>
  <c r="J32" i="5"/>
  <c r="AA35" i="5"/>
  <c r="AA43" i="5"/>
  <c r="AA6" i="5"/>
  <c r="AE34" i="5"/>
  <c r="AA18" i="5"/>
  <c r="AE9" i="5"/>
  <c r="AC78" i="3"/>
  <c r="AC167" i="3" s="1"/>
  <c r="I63" i="17" s="1"/>
  <c r="AA149" i="3"/>
  <c r="AA150" i="3" s="1"/>
  <c r="AC179" i="3"/>
  <c r="C67" i="12"/>
  <c r="C46" i="12"/>
  <c r="AC163" i="3"/>
  <c r="AC166" i="3"/>
  <c r="I6" i="14"/>
  <c r="I5" i="12"/>
  <c r="I6" i="11"/>
  <c r="Q167" i="3"/>
  <c r="G63" i="17" s="1"/>
  <c r="D11" i="17"/>
  <c r="G58" i="17"/>
  <c r="E60" i="17"/>
  <c r="D58" i="17"/>
  <c r="D60" i="17"/>
  <c r="C58" i="17"/>
  <c r="N167" i="3"/>
  <c r="D63" i="17" s="1"/>
  <c r="C11" i="17"/>
  <c r="C60" i="17"/>
  <c r="P167" i="3"/>
  <c r="F63" i="17" s="1"/>
  <c r="G11" i="17"/>
  <c r="E11" i="17"/>
  <c r="M167" i="3"/>
  <c r="C63" i="17" s="1"/>
  <c r="O167" i="3"/>
  <c r="E63" i="17" s="1"/>
  <c r="F11" i="17"/>
  <c r="H26" i="8"/>
  <c r="I5" i="8"/>
  <c r="I32" i="8" s="1"/>
  <c r="H14" i="8"/>
  <c r="H19" i="8"/>
  <c r="C22" i="11"/>
  <c r="C24" i="14"/>
  <c r="C25" i="11"/>
  <c r="C49" i="12"/>
  <c r="C70" i="12"/>
  <c r="AC70" i="3"/>
  <c r="M161" i="3"/>
  <c r="C55" i="17" s="1"/>
  <c r="M150" i="3"/>
  <c r="M172" i="3"/>
  <c r="C68" i="17" s="1"/>
  <c r="M155" i="3"/>
  <c r="M157" i="3"/>
  <c r="C52" i="17" s="1"/>
  <c r="M160" i="3"/>
  <c r="C54" i="17" s="1"/>
  <c r="C7" i="17"/>
  <c r="N150" i="3"/>
  <c r="N155" i="3"/>
  <c r="N172" i="3"/>
  <c r="D68" i="17" s="1"/>
  <c r="N160" i="3"/>
  <c r="D54" i="17" s="1"/>
  <c r="D7" i="17"/>
  <c r="N161" i="3"/>
  <c r="D55" i="17" s="1"/>
  <c r="N157" i="3"/>
  <c r="D52" i="17" s="1"/>
  <c r="O157" i="3"/>
  <c r="E52" i="17" s="1"/>
  <c r="O172" i="3"/>
  <c r="E68" i="17" s="1"/>
  <c r="O160" i="3"/>
  <c r="E54" i="17" s="1"/>
  <c r="E7" i="17"/>
  <c r="O150" i="3"/>
  <c r="O161" i="3"/>
  <c r="E55" i="17" s="1"/>
  <c r="O155" i="3"/>
  <c r="P155" i="3"/>
  <c r="P172" i="3"/>
  <c r="F68" i="17" s="1"/>
  <c r="P160" i="3"/>
  <c r="F54" i="17" s="1"/>
  <c r="P150" i="3"/>
  <c r="P157" i="3"/>
  <c r="F52" i="17" s="1"/>
  <c r="P161" i="3"/>
  <c r="F55" i="17" s="1"/>
  <c r="F7" i="17"/>
  <c r="Q172" i="3"/>
  <c r="G68" i="17" s="1"/>
  <c r="Q160" i="3"/>
  <c r="G54" i="17" s="1"/>
  <c r="G7" i="17"/>
  <c r="Q150" i="3"/>
  <c r="Q161" i="3"/>
  <c r="G55" i="17" s="1"/>
  <c r="Q155" i="3"/>
  <c r="Q157" i="3"/>
  <c r="G52" i="17" s="1"/>
  <c r="AC159" i="3"/>
  <c r="AC158" i="3"/>
  <c r="AC149" i="3"/>
  <c r="AC148" i="3"/>
  <c r="AC147" i="3"/>
  <c r="AC146" i="3"/>
  <c r="G60" i="17"/>
  <c r="F58" i="17"/>
  <c r="F60" i="17"/>
  <c r="E58" i="17"/>
  <c r="P125" i="3"/>
  <c r="F28" i="17"/>
  <c r="F33" i="17" s="1"/>
  <c r="O125" i="3"/>
  <c r="E28" i="17"/>
  <c r="E33" i="17" s="1"/>
  <c r="N125" i="3"/>
  <c r="D28" i="17"/>
  <c r="D33" i="17" s="1"/>
  <c r="M125" i="3"/>
  <c r="C28" i="17"/>
  <c r="C33" i="17" s="1"/>
  <c r="Q125" i="3"/>
  <c r="O162" i="3"/>
  <c r="J61" i="19"/>
  <c r="N162" i="3"/>
  <c r="I61" i="19"/>
  <c r="M162" i="3"/>
  <c r="H61" i="19"/>
  <c r="G28" i="17"/>
  <c r="G33" i="17" s="1"/>
  <c r="E35" i="17"/>
  <c r="D35" i="17"/>
  <c r="C35" i="17"/>
  <c r="F35" i="17"/>
  <c r="P162" i="3"/>
  <c r="AC123" i="3"/>
  <c r="I28" i="17" s="1"/>
  <c r="I33" i="17" s="1"/>
  <c r="C22" i="16"/>
  <c r="AC136" i="3"/>
  <c r="L61" i="19"/>
  <c r="Q136" i="3"/>
  <c r="L72" i="19" s="1"/>
  <c r="C18" i="16"/>
  <c r="I18" i="17"/>
  <c r="F52" i="16"/>
  <c r="I75" i="17"/>
  <c r="F53" i="16"/>
  <c r="I76" i="17"/>
  <c r="F54" i="16"/>
  <c r="I77" i="17"/>
  <c r="AC165" i="3"/>
  <c r="I6" i="17"/>
  <c r="C23" i="14"/>
  <c r="C56" i="12"/>
  <c r="C33" i="16"/>
  <c r="F18" i="1"/>
  <c r="AC168" i="3"/>
  <c r="AC171" i="3"/>
  <c r="I67" i="17" s="1"/>
  <c r="C33" i="12"/>
  <c r="D33" i="12"/>
  <c r="F33" i="12"/>
  <c r="E33" i="12"/>
  <c r="G33" i="12"/>
  <c r="I5" i="6"/>
  <c r="H10" i="6"/>
  <c r="H19" i="6"/>
  <c r="AC143" i="3"/>
  <c r="I46" i="17" s="1"/>
  <c r="AC142" i="3"/>
  <c r="I45" i="17" s="1"/>
  <c r="D10" i="8"/>
  <c r="G10" i="8"/>
  <c r="C5" i="10"/>
  <c r="C7" i="10" s="1"/>
  <c r="C17" i="10" s="1"/>
  <c r="J6" i="7"/>
  <c r="I27" i="7"/>
  <c r="I19" i="7"/>
  <c r="I41" i="7"/>
  <c r="I34" i="7"/>
  <c r="G18" i="12"/>
  <c r="G23" i="12"/>
  <c r="G12" i="12"/>
  <c r="G28" i="12"/>
  <c r="F18" i="12"/>
  <c r="F23" i="12"/>
  <c r="F28" i="12"/>
  <c r="F12" i="12"/>
  <c r="E28" i="12"/>
  <c r="E12" i="12"/>
  <c r="E18" i="12"/>
  <c r="E23" i="12"/>
  <c r="D28" i="12"/>
  <c r="D12" i="12"/>
  <c r="D18" i="12"/>
  <c r="D23" i="12"/>
  <c r="C12" i="12"/>
  <c r="C23" i="12"/>
  <c r="C18" i="12"/>
  <c r="C28" i="12"/>
  <c r="C10" i="8"/>
  <c r="F10" i="8"/>
  <c r="E10" i="8"/>
  <c r="I12" i="7"/>
  <c r="E23" i="7"/>
  <c r="D23" i="7"/>
  <c r="F23" i="7"/>
  <c r="G23" i="7"/>
  <c r="C23" i="7"/>
  <c r="I17" i="5"/>
  <c r="J5" i="5"/>
  <c r="I14" i="5"/>
  <c r="I24" i="5"/>
  <c r="I41" i="5"/>
  <c r="I7" i="5" l="1"/>
  <c r="I44" i="5"/>
  <c r="K28" i="5"/>
  <c r="J38" i="5"/>
  <c r="J47" i="5" s="1"/>
  <c r="J9" i="5"/>
  <c r="J18" i="5" s="1"/>
  <c r="K27" i="5"/>
  <c r="I43" i="5"/>
  <c r="I6" i="5"/>
  <c r="J34" i="5"/>
  <c r="J35" i="5" s="1"/>
  <c r="K32" i="5"/>
  <c r="AA7" i="5"/>
  <c r="AE35" i="5"/>
  <c r="AA44" i="5"/>
  <c r="J6" i="14"/>
  <c r="J6" i="11"/>
  <c r="J5" i="12"/>
  <c r="Q151" i="3"/>
  <c r="G12" i="17" s="1"/>
  <c r="Q152" i="3"/>
  <c r="G13" i="17" s="1"/>
  <c r="I14" i="8"/>
  <c r="I19" i="8"/>
  <c r="I26" i="8"/>
  <c r="J5" i="8"/>
  <c r="J32" i="8" s="1"/>
  <c r="C8" i="17"/>
  <c r="D8" i="17"/>
  <c r="E8" i="17"/>
  <c r="F8" i="17"/>
  <c r="G8" i="17"/>
  <c r="C32" i="14"/>
  <c r="M151" i="3"/>
  <c r="C12" i="17" s="1"/>
  <c r="M152" i="3"/>
  <c r="C13" i="17" s="1"/>
  <c r="M156" i="3"/>
  <c r="N151" i="3"/>
  <c r="D12" i="17" s="1"/>
  <c r="N152" i="3"/>
  <c r="D13" i="17" s="1"/>
  <c r="N156" i="3"/>
  <c r="O151" i="3"/>
  <c r="E12" i="17" s="1"/>
  <c r="O152" i="3"/>
  <c r="E13" i="17" s="1"/>
  <c r="O156" i="3"/>
  <c r="P151" i="3"/>
  <c r="F12" i="17" s="1"/>
  <c r="P152" i="3"/>
  <c r="F13" i="17" s="1"/>
  <c r="P156" i="3"/>
  <c r="C46" i="16"/>
  <c r="F17" i="1"/>
  <c r="C24" i="16"/>
  <c r="F22" i="16" s="1"/>
  <c r="F12" i="1"/>
  <c r="AC125" i="3"/>
  <c r="I30" i="17" s="1"/>
  <c r="I34" i="17" s="1"/>
  <c r="I10" i="17"/>
  <c r="I9" i="17"/>
  <c r="I53" i="17"/>
  <c r="AC150" i="3"/>
  <c r="I51" i="17"/>
  <c r="F30" i="17"/>
  <c r="F34" i="17" s="1"/>
  <c r="K71" i="19"/>
  <c r="E30" i="17"/>
  <c r="E34" i="17" s="1"/>
  <c r="J71" i="19"/>
  <c r="D30" i="17"/>
  <c r="D34" i="17" s="1"/>
  <c r="I71" i="19"/>
  <c r="C30" i="17"/>
  <c r="C34" i="17" s="1"/>
  <c r="H71" i="19"/>
  <c r="G30" i="17"/>
  <c r="G34" i="17" s="1"/>
  <c r="L71" i="19"/>
  <c r="I35" i="17"/>
  <c r="AC162" i="3"/>
  <c r="G35" i="17"/>
  <c r="Q162" i="3"/>
  <c r="I7" i="17"/>
  <c r="I11" i="17"/>
  <c r="C10" i="16"/>
  <c r="F38" i="16"/>
  <c r="I58" i="17"/>
  <c r="F39" i="16"/>
  <c r="I59" i="17"/>
  <c r="F40" i="16"/>
  <c r="I60" i="17"/>
  <c r="F46" i="16"/>
  <c r="I66" i="17"/>
  <c r="C8" i="16"/>
  <c r="F6" i="1"/>
  <c r="C9" i="16"/>
  <c r="F7" i="1"/>
  <c r="C40" i="16"/>
  <c r="F11" i="1"/>
  <c r="F47" i="16"/>
  <c r="F16" i="1"/>
  <c r="F33" i="16"/>
  <c r="F20" i="1"/>
  <c r="F31" i="16"/>
  <c r="F19" i="1"/>
  <c r="AC160" i="3"/>
  <c r="I54" i="17" s="1"/>
  <c r="AC161" i="3"/>
  <c r="F24" i="16"/>
  <c r="F14" i="1"/>
  <c r="AC172" i="3"/>
  <c r="I68" i="17" s="1"/>
  <c r="F3" i="1"/>
  <c r="C38" i="16"/>
  <c r="F9" i="1"/>
  <c r="C26" i="14"/>
  <c r="J5" i="6"/>
  <c r="I10" i="6"/>
  <c r="I19" i="6"/>
  <c r="Q156" i="3"/>
  <c r="C6" i="16"/>
  <c r="AC157" i="3"/>
  <c r="I52" i="17" s="1"/>
  <c r="AC155" i="3"/>
  <c r="D27" i="8"/>
  <c r="D28" i="8" s="1"/>
  <c r="G27" i="8"/>
  <c r="G28" i="8" s="1"/>
  <c r="G7" i="14" s="1"/>
  <c r="G7" i="12"/>
  <c r="D7" i="12"/>
  <c r="C16" i="10"/>
  <c r="C20" i="10" s="1"/>
  <c r="J34" i="7"/>
  <c r="J41" i="7"/>
  <c r="J12" i="7"/>
  <c r="J19" i="7"/>
  <c r="J27" i="7"/>
  <c r="K6" i="7"/>
  <c r="C7" i="12"/>
  <c r="C27" i="8"/>
  <c r="C28" i="8" s="1"/>
  <c r="F7" i="12"/>
  <c r="F27" i="8"/>
  <c r="F28" i="8" s="1"/>
  <c r="E7" i="12"/>
  <c r="E27" i="8"/>
  <c r="E28" i="8" s="1"/>
  <c r="H18" i="12"/>
  <c r="H12" i="12"/>
  <c r="H28" i="12"/>
  <c r="H23" i="12"/>
  <c r="J17" i="5"/>
  <c r="K5" i="5"/>
  <c r="J14" i="5"/>
  <c r="J24" i="5"/>
  <c r="J41" i="5"/>
  <c r="H16" i="5"/>
  <c r="C21" i="14" l="1"/>
  <c r="C75" i="12"/>
  <c r="J7" i="5"/>
  <c r="J44" i="5"/>
  <c r="L28" i="5"/>
  <c r="K38" i="5"/>
  <c r="K47" i="5" s="1"/>
  <c r="K9" i="5"/>
  <c r="K18" i="5" s="1"/>
  <c r="L27" i="5"/>
  <c r="J6" i="5"/>
  <c r="J43" i="5"/>
  <c r="K34" i="5"/>
  <c r="K35" i="5" s="1"/>
  <c r="L32" i="5"/>
  <c r="L34" i="5" s="1"/>
  <c r="H7" i="14"/>
  <c r="K6" i="14"/>
  <c r="K5" i="12"/>
  <c r="K6" i="11"/>
  <c r="F14" i="12"/>
  <c r="J26" i="8"/>
  <c r="J19" i="8"/>
  <c r="J14" i="8"/>
  <c r="K5" i="8"/>
  <c r="K32" i="8" s="1"/>
  <c r="C62" i="12"/>
  <c r="C41" i="12"/>
  <c r="C15" i="11"/>
  <c r="I17" i="1" s="1"/>
  <c r="C26" i="16"/>
  <c r="F23" i="16" s="1"/>
  <c r="F13" i="1"/>
  <c r="G14" i="12"/>
  <c r="E14" i="12"/>
  <c r="C34" i="12"/>
  <c r="D14" i="12"/>
  <c r="C42" i="16"/>
  <c r="I55" i="17"/>
  <c r="F4" i="1"/>
  <c r="I8" i="17"/>
  <c r="F10" i="1"/>
  <c r="C41" i="16"/>
  <c r="F48" i="16"/>
  <c r="F15" i="1"/>
  <c r="C39" i="16"/>
  <c r="F8" i="1"/>
  <c r="D7" i="11"/>
  <c r="D8" i="12"/>
  <c r="G7" i="11"/>
  <c r="G8" i="12"/>
  <c r="K5" i="6"/>
  <c r="J19" i="6"/>
  <c r="J10" i="6"/>
  <c r="G34" i="12"/>
  <c r="AC151" i="3"/>
  <c r="C7" i="16"/>
  <c r="AC152" i="3"/>
  <c r="AC156" i="3"/>
  <c r="D7" i="14"/>
  <c r="D34" i="12"/>
  <c r="K12" i="7"/>
  <c r="K19" i="7"/>
  <c r="K27" i="7"/>
  <c r="K34" i="7"/>
  <c r="K41" i="7"/>
  <c r="L6" i="7"/>
  <c r="C7" i="11"/>
  <c r="C8" i="12"/>
  <c r="C7" i="14"/>
  <c r="F34" i="12"/>
  <c r="F7" i="11"/>
  <c r="F8" i="12"/>
  <c r="F7" i="14"/>
  <c r="E34" i="12"/>
  <c r="E7" i="11"/>
  <c r="E8" i="12"/>
  <c r="E7" i="14"/>
  <c r="I18" i="12"/>
  <c r="I12" i="12"/>
  <c r="I28" i="12"/>
  <c r="I23" i="12"/>
  <c r="K17" i="5"/>
  <c r="L5" i="5"/>
  <c r="K14" i="5"/>
  <c r="K24" i="5"/>
  <c r="K41" i="5"/>
  <c r="K7" i="5" l="1"/>
  <c r="K44" i="5"/>
  <c r="L9" i="5"/>
  <c r="L18" i="5" s="1"/>
  <c r="L38" i="5"/>
  <c r="L47" i="5" s="1"/>
  <c r="K43" i="5"/>
  <c r="K6" i="5"/>
  <c r="L6" i="5"/>
  <c r="L43" i="5"/>
  <c r="L35" i="5"/>
  <c r="I7" i="14"/>
  <c r="I10" i="14" s="1"/>
  <c r="L6" i="14"/>
  <c r="L5" i="12"/>
  <c r="L6" i="11"/>
  <c r="F15" i="12"/>
  <c r="K26" i="8"/>
  <c r="L5" i="8"/>
  <c r="L32" i="8" s="1"/>
  <c r="K19" i="8"/>
  <c r="K14" i="8"/>
  <c r="E15" i="12"/>
  <c r="G15" i="12"/>
  <c r="C35" i="12"/>
  <c r="D15" i="12"/>
  <c r="C11" i="16"/>
  <c r="I12" i="17"/>
  <c r="C12" i="16"/>
  <c r="I13" i="17"/>
  <c r="D35" i="12"/>
  <c r="G35" i="12"/>
  <c r="L5" i="6"/>
  <c r="K19" i="6"/>
  <c r="K10" i="6"/>
  <c r="L12" i="7"/>
  <c r="L27" i="7"/>
  <c r="L19" i="7"/>
  <c r="L41" i="7"/>
  <c r="L34" i="7"/>
  <c r="H10" i="14"/>
  <c r="F35" i="12"/>
  <c r="E35" i="12"/>
  <c r="J18" i="12"/>
  <c r="J23" i="12"/>
  <c r="J28" i="12"/>
  <c r="J12" i="12"/>
  <c r="L17" i="5"/>
  <c r="I16" i="5"/>
  <c r="L14" i="5"/>
  <c r="L24" i="5"/>
  <c r="L41" i="5"/>
  <c r="J16" i="5"/>
  <c r="L44" i="5" l="1"/>
  <c r="L7" i="5"/>
  <c r="J7" i="14"/>
  <c r="L14" i="8"/>
  <c r="L19" i="8"/>
  <c r="L26" i="8"/>
  <c r="L10" i="6"/>
  <c r="L19" i="6"/>
  <c r="K28" i="12"/>
  <c r="K12" i="12"/>
  <c r="K18" i="12"/>
  <c r="K23" i="12"/>
  <c r="J10" i="14" l="1"/>
  <c r="K7" i="14"/>
  <c r="L12" i="12"/>
  <c r="L18" i="12"/>
  <c r="L23" i="12"/>
  <c r="L28" i="12"/>
  <c r="K16" i="5"/>
  <c r="K10" i="14" l="1"/>
  <c r="L7" i="14"/>
  <c r="L16" i="5"/>
  <c r="L10" i="14" l="1"/>
  <c r="C29" i="14" s="1"/>
  <c r="L8" i="14"/>
  <c r="L11" i="14" s="1"/>
  <c r="C30" i="14" s="1"/>
  <c r="AC66" i="3"/>
  <c r="C31" i="14" l="1"/>
  <c r="C34" i="14" s="1"/>
  <c r="C36" i="14" s="1"/>
  <c r="C16" i="14" s="1"/>
  <c r="I14" i="1" s="1"/>
  <c r="H11" i="5"/>
  <c r="H15" i="5"/>
  <c r="H20" i="5" l="1"/>
  <c r="H7" i="7"/>
  <c r="H6" i="12"/>
  <c r="H13" i="12" s="1"/>
  <c r="H6" i="8"/>
  <c r="H6" i="6"/>
  <c r="H11" i="6" s="1"/>
  <c r="H13" i="7" l="1"/>
  <c r="H28" i="7" s="1"/>
  <c r="H36" i="7"/>
  <c r="H42" i="7"/>
  <c r="H45" i="7"/>
  <c r="H21" i="8" s="1"/>
  <c r="H14" i="6"/>
  <c r="H13" i="6"/>
  <c r="H12" i="6"/>
  <c r="H44" i="7" l="1"/>
  <c r="H20" i="8"/>
  <c r="H15" i="6"/>
  <c r="H8" i="7" l="1"/>
  <c r="H7" i="8"/>
  <c r="H8" i="8" s="1"/>
  <c r="H33" i="8" s="1"/>
  <c r="H24" i="6"/>
  <c r="H9" i="8"/>
  <c r="H14" i="7" l="1"/>
  <c r="H29" i="7" s="1"/>
  <c r="H15" i="7"/>
  <c r="H30" i="7" s="1"/>
  <c r="H10" i="8"/>
  <c r="H35" i="7" l="1"/>
  <c r="H22" i="8" s="1"/>
  <c r="H34" i="8"/>
  <c r="H27" i="8"/>
  <c r="H7" i="12"/>
  <c r="H14" i="12" s="1"/>
  <c r="H28" i="8" l="1"/>
  <c r="I11" i="5"/>
  <c r="I15" i="5"/>
  <c r="H8" i="12" l="1"/>
  <c r="H15" i="12" s="1"/>
  <c r="H7" i="11"/>
  <c r="H10" i="11" s="1"/>
  <c r="H9" i="12" s="1"/>
  <c r="I20" i="5"/>
  <c r="I7" i="7"/>
  <c r="I13" i="7" s="1"/>
  <c r="I28" i="7" s="1"/>
  <c r="I6" i="12"/>
  <c r="I13" i="12" s="1"/>
  <c r="I6" i="8"/>
  <c r="I6" i="6"/>
  <c r="I11" i="6" s="1"/>
  <c r="I36" i="7" l="1"/>
  <c r="I42" i="7"/>
  <c r="I45" i="7"/>
  <c r="I21" i="8" s="1"/>
  <c r="I14" i="6"/>
  <c r="I13" i="6"/>
  <c r="I12" i="6"/>
  <c r="I15" i="6" s="1"/>
  <c r="I20" i="8" l="1"/>
  <c r="I44" i="7"/>
  <c r="I9" i="8"/>
  <c r="I24" i="6"/>
  <c r="I7" i="8"/>
  <c r="I8" i="8" s="1"/>
  <c r="I8" i="7"/>
  <c r="I10" i="8" l="1"/>
  <c r="I33" i="8"/>
  <c r="I15" i="7"/>
  <c r="I30" i="7" s="1"/>
  <c r="I14" i="7"/>
  <c r="I29" i="7" s="1"/>
  <c r="I35" i="7" l="1"/>
  <c r="I22" i="8" s="1"/>
  <c r="I7" i="12"/>
  <c r="I34" i="8"/>
  <c r="I27" i="8"/>
  <c r="I28" i="8" l="1"/>
  <c r="I14" i="12"/>
  <c r="I8" i="12" l="1"/>
  <c r="I15" i="12" s="1"/>
  <c r="I7" i="11"/>
  <c r="I10" i="11" s="1"/>
  <c r="I9" i="12" s="1"/>
  <c r="J11" i="5"/>
  <c r="J15" i="5"/>
  <c r="J6" i="12" l="1"/>
  <c r="J13" i="12" s="1"/>
  <c r="J7" i="7"/>
  <c r="J45" i="7" s="1"/>
  <c r="J21" i="8" s="1"/>
  <c r="J20" i="5"/>
  <c r="J6" i="6"/>
  <c r="J11" i="6" s="1"/>
  <c r="J6" i="8"/>
  <c r="J13" i="7" l="1"/>
  <c r="J28" i="7" s="1"/>
  <c r="J36" i="7"/>
  <c r="J42" i="7"/>
  <c r="J44" i="7"/>
  <c r="J20" i="8"/>
  <c r="J14" i="6"/>
  <c r="J13" i="6"/>
  <c r="J12" i="6"/>
  <c r="J15" i="6" l="1"/>
  <c r="J8" i="7"/>
  <c r="J7" i="8"/>
  <c r="J8" i="8" s="1"/>
  <c r="J9" i="8" l="1"/>
  <c r="J10" i="8" s="1"/>
  <c r="J24" i="6"/>
  <c r="J14" i="7"/>
  <c r="J29" i="7" s="1"/>
  <c r="J15" i="7"/>
  <c r="J30" i="7" s="1"/>
  <c r="J33" i="8"/>
  <c r="J35" i="7" l="1"/>
  <c r="J22" i="8" s="1"/>
  <c r="J27" i="8"/>
  <c r="J7" i="12"/>
  <c r="J34" i="8"/>
  <c r="J28" i="8" l="1"/>
  <c r="J14" i="12"/>
  <c r="J7" i="11" l="1"/>
  <c r="J10" i="11" s="1"/>
  <c r="J9" i="12" s="1"/>
  <c r="J8" i="12"/>
  <c r="J15" i="12" s="1"/>
  <c r="K11" i="5"/>
  <c r="K15" i="5"/>
  <c r="K6" i="6" l="1"/>
  <c r="K11" i="6" s="1"/>
  <c r="K6" i="12"/>
  <c r="K13" i="12" s="1"/>
  <c r="K20" i="5"/>
  <c r="K6" i="8"/>
  <c r="K7" i="7"/>
  <c r="K14" i="6" l="1"/>
  <c r="K13" i="6"/>
  <c r="K12" i="6"/>
  <c r="K45" i="7"/>
  <c r="K21" i="8" s="1"/>
  <c r="K42" i="7"/>
  <c r="K36" i="7"/>
  <c r="K13" i="7"/>
  <c r="K28" i="7" s="1"/>
  <c r="K8" i="7" l="1"/>
  <c r="K7" i="8"/>
  <c r="K8" i="8" s="1"/>
  <c r="K20" i="8"/>
  <c r="K44" i="7"/>
  <c r="K15" i="6"/>
  <c r="K15" i="7" l="1"/>
  <c r="K30" i="7" s="1"/>
  <c r="K14" i="7"/>
  <c r="K29" i="7" s="1"/>
  <c r="K33" i="8"/>
  <c r="K9" i="8"/>
  <c r="K10" i="8" s="1"/>
  <c r="K24" i="6"/>
  <c r="K35" i="7" l="1"/>
  <c r="K22" i="8" s="1"/>
  <c r="K27" i="8"/>
  <c r="K7" i="12"/>
  <c r="K34" i="8"/>
  <c r="K28" i="8" l="1"/>
  <c r="K14" i="12"/>
  <c r="K8" i="12" l="1"/>
  <c r="K15" i="12" s="1"/>
  <c r="K7" i="11"/>
  <c r="K10" i="11" s="1"/>
  <c r="K9" i="12" s="1"/>
  <c r="L11" i="5"/>
  <c r="L15" i="5"/>
  <c r="L6" i="6" l="1"/>
  <c r="L11" i="6" s="1"/>
  <c r="L6" i="12"/>
  <c r="C74" i="12" s="1"/>
  <c r="C77" i="12" s="1"/>
  <c r="C78" i="12" s="1"/>
  <c r="C79" i="12" s="1"/>
  <c r="C82" i="12" s="1"/>
  <c r="C84" i="12" s="1"/>
  <c r="C9" i="13" s="1"/>
  <c r="I7" i="1" s="1"/>
  <c r="L20" i="5"/>
  <c r="L6" i="8"/>
  <c r="L7" i="7"/>
  <c r="L14" i="6" l="1"/>
  <c r="L13" i="6"/>
  <c r="L12" i="6"/>
  <c r="C53" i="12"/>
  <c r="C57" i="12" s="1"/>
  <c r="C58" i="12" s="1"/>
  <c r="C7" i="13" s="1"/>
  <c r="I5" i="1" s="1"/>
  <c r="L13" i="12"/>
  <c r="L13" i="7"/>
  <c r="L28" i="7" s="1"/>
  <c r="L45" i="7"/>
  <c r="L21" i="8" s="1"/>
  <c r="L42" i="7"/>
  <c r="L36" i="7"/>
  <c r="L7" i="8" l="1"/>
  <c r="L8" i="8" s="1"/>
  <c r="L8" i="7"/>
  <c r="L20" i="8"/>
  <c r="L44" i="7"/>
  <c r="L15" i="6"/>
  <c r="L33" i="8" l="1"/>
  <c r="L14" i="7"/>
  <c r="L29" i="7" s="1"/>
  <c r="L15" i="7"/>
  <c r="L30" i="7" s="1"/>
  <c r="L24" i="6"/>
  <c r="L9" i="8"/>
  <c r="L10" i="8" s="1"/>
  <c r="L35" i="7" l="1"/>
  <c r="L22" i="8" s="1"/>
  <c r="L7" i="12"/>
  <c r="L27" i="8"/>
  <c r="L34" i="8"/>
  <c r="L28" i="8" l="1"/>
  <c r="L14" i="12"/>
  <c r="C40" i="12"/>
  <c r="C43" i="12" s="1"/>
  <c r="C44" i="12" s="1"/>
  <c r="C45" i="12" s="1"/>
  <c r="C48" i="12" s="1"/>
  <c r="C50" i="12" l="1"/>
  <c r="C6" i="13" s="1"/>
  <c r="I4" i="1" s="1"/>
  <c r="L8" i="12"/>
  <c r="L7" i="11"/>
  <c r="L10" i="11" l="1"/>
  <c r="L8" i="11"/>
  <c r="L11" i="11" s="1"/>
  <c r="C20" i="11" s="1"/>
  <c r="C61" i="12"/>
  <c r="C64" i="12" s="1"/>
  <c r="C65" i="12" s="1"/>
  <c r="C66" i="12" s="1"/>
  <c r="C69" i="12" s="1"/>
  <c r="L15" i="12"/>
  <c r="C19" i="11" l="1"/>
  <c r="C21" i="11" s="1"/>
  <c r="C24" i="11" s="1"/>
  <c r="C26" i="11" s="1"/>
  <c r="C5" i="13" s="1"/>
  <c r="L9" i="12"/>
  <c r="C71" i="12"/>
  <c r="C8" i="13" s="1"/>
  <c r="I6" i="1" s="1"/>
  <c r="C10" i="13" l="1"/>
  <c r="I3" i="1"/>
  <c r="C12" i="13" l="1"/>
  <c r="I9" i="1" s="1"/>
  <c r="I8" i="1"/>
  <c r="AE6" i="5"/>
  <c r="AE7" i="5"/>
  <c r="AE31" i="5" s="1"/>
  <c r="AE8" i="5"/>
  <c r="AA11" i="5"/>
  <c r="AA15" i="5"/>
  <c r="AA16" i="5"/>
  <c r="AA17" i="5"/>
  <c r="X6" i="6" l="1"/>
  <c r="X11" i="6" s="1"/>
  <c r="AB11" i="6" s="1"/>
  <c r="AE11" i="5"/>
  <c r="AB6" i="6" s="1"/>
  <c r="AA20" i="5"/>
  <c r="X13" i="6" l="1"/>
  <c r="X14" i="6"/>
  <c r="AB14" i="6" s="1"/>
  <c r="X12" i="6"/>
  <c r="AB12" i="6" s="1"/>
  <c r="AB13" i="6" l="1"/>
  <c r="X15" i="6"/>
  <c r="X24" i="6" l="1"/>
  <c r="AB1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tc={22B2B3EF-EBF6-0D4F-BF74-BA371A77FD6F}</author>
    <author>tc={8A10573A-B1E5-5443-A272-E27CCC9C056F}</author>
  </authors>
  <commentList>
    <comment ref="B84" authorId="0" shapeId="0" xr:uid="{22B2B3EF-EBF6-0D4F-BF74-BA371A77FD6F}">
      <text>
        <t>[Threaded comment]
Your version of Excel allows you to read this threaded comment; however, any edits to it will get removed if the file is opened in a newer version of Excel. Learn more: https://go.microsoft.com/fwlink/?linkid=870924
Comment:
    Actual number</t>
      </text>
    </comment>
    <comment ref="B116" authorId="1" shapeId="0" xr:uid="{8A10573A-B1E5-5443-A272-E27CCC9C056F}">
      <text>
        <t>[Threaded comment]
Your version of Excel allows you to read this threaded comment; however, any edits to it will get removed if the file is opened in a newer version of Excel. Learn more: https://go.microsoft.com/fwlink/?linkid=870924
Comment:
    Take the closing price of the last day of the period. In case the price has seen heavy fluctuations make an average of the last days. Info found at Yahoo Finance in the Historical Data section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tc={87FCD2F5-1815-1140-9144-DCAA38F9CA74}</author>
  </authors>
  <commentList>
    <comment ref="B35" authorId="0" shapeId="0" xr:uid="{87FCD2F5-1815-1140-9144-DCAA38F9CA74}">
      <text>
        <t>[Threaded comment]
Your version of Excel allows you to read this threaded comment; however, any edits to it will get removed if the file is opened in a newer version of Excel. Learn more: https://go.microsoft.com/fwlink/?linkid=870924
Comment:
    We use here the inverted signg as are used in the CashFlow statement which means we will Add the change in NWC to the NOPAT instead of subtracting it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5"/>
        </ext>
      </extLst>
    </bk>
  </futureMetadata>
  <cellMetadata count="1">
    <bk>
      <rc t="1" v="0"/>
    </bk>
  </cellMetadata>
  <valueMetadata count="2">
    <bk>
      <rc t="2" v="0"/>
    </bk>
    <bk>
      <rc t="2" v="1"/>
    </bk>
  </valueMetadata>
</metadata>
</file>

<file path=xl/sharedStrings.xml><?xml version="1.0" encoding="utf-8"?>
<sst xmlns="http://schemas.openxmlformats.org/spreadsheetml/2006/main" count="886" uniqueCount="447">
  <si>
    <t>Ticker</t>
  </si>
  <si>
    <t>Price</t>
  </si>
  <si>
    <t>Price Extended Hours</t>
  </si>
  <si>
    <t>Day change</t>
  </si>
  <si>
    <t>Day change extended</t>
  </si>
  <si>
    <t>Day change %</t>
  </si>
  <si>
    <t>Day change extended %</t>
  </si>
  <si>
    <t>52 week high</t>
  </si>
  <si>
    <t>52 week low</t>
  </si>
  <si>
    <t>Beta</t>
  </si>
  <si>
    <t>Avg volume</t>
  </si>
  <si>
    <t>Company</t>
  </si>
  <si>
    <t>Units</t>
  </si>
  <si>
    <t>Units conversion</t>
  </si>
  <si>
    <t>K</t>
  </si>
  <si>
    <t>Financials -&gt;</t>
  </si>
  <si>
    <t>Date</t>
  </si>
  <si>
    <t>FY</t>
  </si>
  <si>
    <t>Automatic Data</t>
  </si>
  <si>
    <t>Income statement</t>
  </si>
  <si>
    <t>Revenue</t>
  </si>
  <si>
    <t>COGS</t>
  </si>
  <si>
    <t>Gross Profit</t>
  </si>
  <si>
    <t>R&amp;D</t>
  </si>
  <si>
    <t>Sales and marketing</t>
  </si>
  <si>
    <t>General and administrative</t>
  </si>
  <si>
    <t>OpEx</t>
  </si>
  <si>
    <t>Operating income</t>
  </si>
  <si>
    <t>Interest income/expense</t>
  </si>
  <si>
    <t>Other income/expense</t>
  </si>
  <si>
    <t>Income before taxes</t>
  </si>
  <si>
    <t>Income tax expense/benefit</t>
  </si>
  <si>
    <t>Net income</t>
  </si>
  <si>
    <t>Basic Shares outstanding avg</t>
  </si>
  <si>
    <t>Basic Shares outstanding avg adjusted</t>
  </si>
  <si>
    <t>Diluted Shares outstanding avg</t>
  </si>
  <si>
    <t>Diluted Shares outstanding avg adjusted</t>
  </si>
  <si>
    <t>Basic EPS</t>
  </si>
  <si>
    <t>Basic EPS adjusted</t>
  </si>
  <si>
    <t>Diluted EPS</t>
  </si>
  <si>
    <t>Diluted EPS adjusted</t>
  </si>
  <si>
    <t>Balance sheet</t>
  </si>
  <si>
    <t>Cash and cash equivalents</t>
  </si>
  <si>
    <t>Acc receivable</t>
  </si>
  <si>
    <t>Current assets</t>
  </si>
  <si>
    <t>PP&amp;E</t>
  </si>
  <si>
    <t>Goodwill</t>
  </si>
  <si>
    <t>Long term assets</t>
  </si>
  <si>
    <t>Total assets</t>
  </si>
  <si>
    <t>Acc payable</t>
  </si>
  <si>
    <t>Current liabilities</t>
  </si>
  <si>
    <t>Long term liabilities</t>
  </si>
  <si>
    <t>Total liabilities</t>
  </si>
  <si>
    <t>Paid in capital</t>
  </si>
  <si>
    <t>Treasury stock</t>
  </si>
  <si>
    <t>Stockholder equity</t>
  </si>
  <si>
    <t>Total liabilities and equity</t>
  </si>
  <si>
    <t>Cashflow statement</t>
  </si>
  <si>
    <t>D&amp;A</t>
  </si>
  <si>
    <t>Stock-based compensation</t>
  </si>
  <si>
    <t>Operating cashflow</t>
  </si>
  <si>
    <t>CapEx</t>
  </si>
  <si>
    <t>Investing cashflow</t>
  </si>
  <si>
    <t>Repurchase stock</t>
  </si>
  <si>
    <t>Financing cashflow</t>
  </si>
  <si>
    <t>Sanity checks</t>
  </si>
  <si>
    <t>Calculated Net Income</t>
  </si>
  <si>
    <t>Check Net Income</t>
  </si>
  <si>
    <t>Check balance</t>
  </si>
  <si>
    <t>Other data</t>
  </si>
  <si>
    <t>Shares outstanding</t>
  </si>
  <si>
    <t>Split adjusted shares outstanding</t>
  </si>
  <si>
    <t>Dividends per share</t>
  </si>
  <si>
    <t>Split adjusted dividends per share</t>
  </si>
  <si>
    <t>Tax rate</t>
  </si>
  <si>
    <t>Employees</t>
  </si>
  <si>
    <t>Stock split factor</t>
  </si>
  <si>
    <t>Growth rates Income Statement</t>
  </si>
  <si>
    <t>Margins</t>
  </si>
  <si>
    <t>Gross margin</t>
  </si>
  <si>
    <t>Operating margin</t>
  </si>
  <si>
    <t>Net margin</t>
  </si>
  <si>
    <t>Revenue and Costs breakdown</t>
  </si>
  <si>
    <t>Market data</t>
  </si>
  <si>
    <t>Last market price for period</t>
  </si>
  <si>
    <t>TTM/YTD</t>
  </si>
  <si>
    <t>Q4 2025</t>
  </si>
  <si>
    <t>Q3 2025</t>
  </si>
  <si>
    <t>Q2 2025</t>
  </si>
  <si>
    <t>Q1 2026</t>
  </si>
  <si>
    <t>Unit data and other info</t>
  </si>
  <si>
    <t>Has operating lease</t>
  </si>
  <si>
    <t>Yes</t>
  </si>
  <si>
    <t>Has finance lease</t>
  </si>
  <si>
    <t>No</t>
  </si>
  <si>
    <t>Has debt</t>
  </si>
  <si>
    <t>Change in accounts receivable</t>
  </si>
  <si>
    <t>Change in accounts payable</t>
  </si>
  <si>
    <t>Change in other operating NWC</t>
  </si>
  <si>
    <t>Capitalized software</t>
  </si>
  <si>
    <t>Profit Margin (Earnings/Revenue)</t>
  </si>
  <si>
    <t>Asset Turnover (Revenue/Total assets)</t>
  </si>
  <si>
    <t>ROA</t>
  </si>
  <si>
    <t>Equity Multiplier (Total assets/Equity)</t>
  </si>
  <si>
    <t>ROE</t>
  </si>
  <si>
    <t>ROIC</t>
  </si>
  <si>
    <t>DuPont Identity and performance</t>
  </si>
  <si>
    <t>Constants</t>
  </si>
  <si>
    <t>Default tax rate</t>
  </si>
  <si>
    <t>Adjustments</t>
  </si>
  <si>
    <t>Company metrics</t>
  </si>
  <si>
    <t>Forecast -&gt;</t>
  </si>
  <si>
    <t>Revenue forecast</t>
  </si>
  <si>
    <t>History</t>
  </si>
  <si>
    <t>Forecast</t>
  </si>
  <si>
    <t>TTM</t>
  </si>
  <si>
    <t>Revenues</t>
  </si>
  <si>
    <t>Revenues (thousand)</t>
  </si>
  <si>
    <t>FQ1</t>
  </si>
  <si>
    <t>FQ2</t>
  </si>
  <si>
    <t>FQ3</t>
  </si>
  <si>
    <t>Total</t>
  </si>
  <si>
    <t>Growth rates</t>
  </si>
  <si>
    <t>Revenue growth %</t>
  </si>
  <si>
    <t>Drivers and metrics</t>
  </si>
  <si>
    <t>Metric (thousand)</t>
  </si>
  <si>
    <t>Growth rates for metrics</t>
  </si>
  <si>
    <t>Metrics growth %</t>
  </si>
  <si>
    <t>COGS &amp; OpEx forecast</t>
  </si>
  <si>
    <t>COGS and OpEx</t>
  </si>
  <si>
    <t>COGS &amp; OpEx</t>
  </si>
  <si>
    <t>Expenses (thousand)</t>
  </si>
  <si>
    <t>Expenses % of Revenue</t>
  </si>
  <si>
    <t>% of revenue</t>
  </si>
  <si>
    <t>Expenses (tnousand)</t>
  </si>
  <si>
    <t>Working Capital, Capex, D&amp;A</t>
  </si>
  <si>
    <t>Working Capital</t>
  </si>
  <si>
    <t>$ (thousand)</t>
  </si>
  <si>
    <t>Accounts receivable</t>
  </si>
  <si>
    <t>Inventory</t>
  </si>
  <si>
    <t>Accounts payable</t>
  </si>
  <si>
    <t>WC metrics and drivers</t>
  </si>
  <si>
    <t>Days</t>
  </si>
  <si>
    <t>DSO</t>
  </si>
  <si>
    <t>DIO</t>
  </si>
  <si>
    <t>DPO</t>
  </si>
  <si>
    <t>Net trade cycle</t>
  </si>
  <si>
    <t>Change in SIP NWC</t>
  </si>
  <si>
    <t>Change in acc receivable</t>
  </si>
  <si>
    <t>Change in inventory</t>
  </si>
  <si>
    <t>Change in acc payable</t>
  </si>
  <si>
    <t>Total change in NWC and less SIP</t>
  </si>
  <si>
    <t>Total change in NWC</t>
  </si>
  <si>
    <t>Change in NWC less SIP</t>
  </si>
  <si>
    <t>Investments</t>
  </si>
  <si>
    <t>% of Revenue</t>
  </si>
  <si>
    <t>% of CapEx</t>
  </si>
  <si>
    <t>Results</t>
  </si>
  <si>
    <t>From Revenue Sheet</t>
  </si>
  <si>
    <t>From COGS and OpEx Sheet</t>
  </si>
  <si>
    <t>Gross profit</t>
  </si>
  <si>
    <t>EBIT</t>
  </si>
  <si>
    <t>Drivers</t>
  </si>
  <si>
    <t>Cash Flow Statement</t>
  </si>
  <si>
    <t>From WC &amp; Investments Sheet</t>
  </si>
  <si>
    <t>Change in NWC</t>
  </si>
  <si>
    <t>NOPAT</t>
  </si>
  <si>
    <t>From Statements and Overview sheet</t>
  </si>
  <si>
    <t>Valuation -&gt;</t>
  </si>
  <si>
    <t>WACC</t>
  </si>
  <si>
    <t>Inputs</t>
  </si>
  <si>
    <t>Shares Outstanding</t>
  </si>
  <si>
    <t>Equity</t>
  </si>
  <si>
    <t>Debt</t>
  </si>
  <si>
    <t>Risk free rate</t>
  </si>
  <si>
    <t>Market risk premium</t>
  </si>
  <si>
    <t>Cost of debt</t>
  </si>
  <si>
    <t>Calculations</t>
  </si>
  <si>
    <t>Debt/(Debt+Equity)</t>
  </si>
  <si>
    <t>Equity/(Debt+Equity)</t>
  </si>
  <si>
    <t>Cost of debt with tax</t>
  </si>
  <si>
    <t>Cost of equity</t>
  </si>
  <si>
    <t>Cash</t>
  </si>
  <si>
    <t>DCF</t>
  </si>
  <si>
    <t>PV of FCF</t>
  </si>
  <si>
    <t>Perpetual cashflow</t>
  </si>
  <si>
    <t>Period</t>
  </si>
  <si>
    <t>PV of Perpetual cashflow</t>
  </si>
  <si>
    <t>Input parameters</t>
  </si>
  <si>
    <t>Perpetual growth</t>
  </si>
  <si>
    <t>Result</t>
  </si>
  <si>
    <t>Total PV of Unlevered FCF</t>
  </si>
  <si>
    <t>Enterprise value</t>
  </si>
  <si>
    <t>(+) Cash</t>
  </si>
  <si>
    <t>(-) Debt</t>
  </si>
  <si>
    <t>Equity value</t>
  </si>
  <si>
    <t>Price per share</t>
  </si>
  <si>
    <t>Multiples valuations</t>
  </si>
  <si>
    <t>Revenues, earnings cash</t>
  </si>
  <si>
    <t>% Growth</t>
  </si>
  <si>
    <t>Shares</t>
  </si>
  <si>
    <t>Avg diluted shares</t>
  </si>
  <si>
    <t>Dilution rate</t>
  </si>
  <si>
    <t>Historical price</t>
  </si>
  <si>
    <t>Historical ratios</t>
  </si>
  <si>
    <t>PS</t>
  </si>
  <si>
    <t>Market Cap</t>
  </si>
  <si>
    <t>EV</t>
  </si>
  <si>
    <t>EV/EBIT</t>
  </si>
  <si>
    <t>EV/EBIT valuation</t>
  </si>
  <si>
    <t>Year 5 EBIT</t>
  </si>
  <si>
    <t>Applied EV/EBIT ratio</t>
  </si>
  <si>
    <t>Shares outstanding diluted</t>
  </si>
  <si>
    <t>PV of price per share</t>
  </si>
  <si>
    <t>PS valuation</t>
  </si>
  <si>
    <t>Year 5 sales</t>
  </si>
  <si>
    <t>Applied PS ratio</t>
  </si>
  <si>
    <t>AVG target price</t>
  </si>
  <si>
    <t>AVG  target price</t>
  </si>
  <si>
    <t>DCF price</t>
  </si>
  <si>
    <t>EV/EBIT price</t>
  </si>
  <si>
    <t>PS price</t>
  </si>
  <si>
    <t>AVG price</t>
  </si>
  <si>
    <t>Current price</t>
  </si>
  <si>
    <t>Upside/Downside</t>
  </si>
  <si>
    <t>Reverse DCF</t>
  </si>
  <si>
    <t>Growth adjustment</t>
  </si>
  <si>
    <t>Current Price</t>
  </si>
  <si>
    <t>Calculated Price</t>
  </si>
  <si>
    <t>Modify until Calculated Price is very close to Current Price</t>
  </si>
  <si>
    <t>Market cap</t>
  </si>
  <si>
    <t>Enterprise Value</t>
  </si>
  <si>
    <t>Company guidance next Quarter</t>
  </si>
  <si>
    <t>Revenue Lower</t>
  </si>
  <si>
    <t>Revenue Upper</t>
  </si>
  <si>
    <t>Actual Revenue</t>
  </si>
  <si>
    <t>Analysis -&gt;</t>
  </si>
  <si>
    <t>Overview</t>
  </si>
  <si>
    <t>Dilutive shares</t>
  </si>
  <si>
    <t>Split adjusted dilutive shares</t>
  </si>
  <si>
    <t>Split adjusted diluted shares</t>
  </si>
  <si>
    <t>PE</t>
  </si>
  <si>
    <t>PB</t>
  </si>
  <si>
    <t>Market capitalization</t>
  </si>
  <si>
    <t>CAGR</t>
  </si>
  <si>
    <t>5Y</t>
  </si>
  <si>
    <t>10Y</t>
  </si>
  <si>
    <t>EPS</t>
  </si>
  <si>
    <t>Dividend</t>
  </si>
  <si>
    <t>DuPont Identity</t>
  </si>
  <si>
    <t>Earnings quality</t>
  </si>
  <si>
    <t>Operating cash</t>
  </si>
  <si>
    <t>Metrics and ratios</t>
  </si>
  <si>
    <t>Performance indicators</t>
  </si>
  <si>
    <t>Cash conversion cycle</t>
  </si>
  <si>
    <t>Debt to Equity</t>
  </si>
  <si>
    <t>Quick ratio</t>
  </si>
  <si>
    <t>Current ratio</t>
  </si>
  <si>
    <t>Cash accruals</t>
  </si>
  <si>
    <t>Net debt to equity</t>
  </si>
  <si>
    <t>Liquidity ratios</t>
  </si>
  <si>
    <t>Debt/Equity</t>
  </si>
  <si>
    <t>Net Debt/Equity</t>
  </si>
  <si>
    <t>Interest coverage</t>
  </si>
  <si>
    <t>EV/Revenue</t>
  </si>
  <si>
    <t>FCFE</t>
  </si>
  <si>
    <t>FCFF</t>
  </si>
  <si>
    <t>P/FCF</t>
  </si>
  <si>
    <t>EV/FCF</t>
  </si>
  <si>
    <t>FCF Yield</t>
  </si>
  <si>
    <t>Earnings yield</t>
  </si>
  <si>
    <t>Dividend yield</t>
  </si>
  <si>
    <t>Earnings yields</t>
  </si>
  <si>
    <t>FCF yield</t>
  </si>
  <si>
    <t>Dividend payout ratio</t>
  </si>
  <si>
    <t>Payout ratios</t>
  </si>
  <si>
    <t>Buyback payout ratio</t>
  </si>
  <si>
    <t>Full payout ratio</t>
  </si>
  <si>
    <t>TTM/YTD data</t>
  </si>
  <si>
    <t>Shares held by insiders</t>
  </si>
  <si>
    <t>Split adjusted shares held by insiders</t>
  </si>
  <si>
    <t>Insider ownership</t>
  </si>
  <si>
    <t>Cash per share</t>
  </si>
  <si>
    <t>Ownership</t>
  </si>
  <si>
    <t>Stock based compensation % OCF</t>
  </si>
  <si>
    <t>Stock based compensation % Revenue</t>
  </si>
  <si>
    <t>Stock based compensation</t>
  </si>
  <si>
    <t>Total payout ratio</t>
  </si>
  <si>
    <t>Dividends</t>
  </si>
  <si>
    <t>Cash holdings</t>
  </si>
  <si>
    <t>Net cash per share</t>
  </si>
  <si>
    <t>At a glance</t>
  </si>
  <si>
    <t>Earnings Yield</t>
  </si>
  <si>
    <t>Dividend Yield</t>
  </si>
  <si>
    <t>Net Cash/Market Cap</t>
  </si>
  <si>
    <t>Net cash to market cap</t>
  </si>
  <si>
    <t>Buyback yield</t>
  </si>
  <si>
    <t>Buyback Yield</t>
  </si>
  <si>
    <t>Total shareholder yield</t>
  </si>
  <si>
    <t>Net Cash/Share</t>
  </si>
  <si>
    <t>Insider Ownership</t>
  </si>
  <si>
    <t>Net Trade Cycle</t>
  </si>
  <si>
    <t>Quick Ratio</t>
  </si>
  <si>
    <t>Capex</t>
  </si>
  <si>
    <t>CapEx to Revenue</t>
  </si>
  <si>
    <t>CapEx to OCF</t>
  </si>
  <si>
    <t>CapEx to D&amp;A</t>
  </si>
  <si>
    <t>CapEx usage</t>
  </si>
  <si>
    <t>Capex to Revenue</t>
  </si>
  <si>
    <t>Performance Indicators</t>
  </si>
  <si>
    <t>Stock Based Compensation</t>
  </si>
  <si>
    <t>CapEx Usage</t>
  </si>
  <si>
    <t>Operating Income</t>
  </si>
  <si>
    <t>Net Income</t>
  </si>
  <si>
    <t>Growth rates breakdown</t>
  </si>
  <si>
    <t>Growth rate breakdown</t>
  </si>
  <si>
    <t>Other growth rates</t>
  </si>
  <si>
    <t>Latest 2 quarters</t>
  </si>
  <si>
    <t>YoY</t>
  </si>
  <si>
    <t>Growth</t>
  </si>
  <si>
    <t>Operating profit</t>
  </si>
  <si>
    <t>Diluted shares outstanding</t>
  </si>
  <si>
    <t>Revenue breakdown</t>
  </si>
  <si>
    <t>Income statement growth</t>
  </si>
  <si>
    <t>Metrics growth</t>
  </si>
  <si>
    <t>PV of FCFF</t>
  </si>
  <si>
    <t>EV/FCFF</t>
  </si>
  <si>
    <t>EV/FCFF valuation</t>
  </si>
  <si>
    <t>EV/FCFF price</t>
  </si>
  <si>
    <t>FCFF Growth</t>
  </si>
  <si>
    <t>Valuation</t>
  </si>
  <si>
    <t>Non-controlling interest</t>
  </si>
  <si>
    <t>Net income with non-controlling</t>
  </si>
  <si>
    <t>Equity with non-controlling</t>
  </si>
  <si>
    <t>Dividends to minority interest</t>
  </si>
  <si>
    <t>Preferred stock</t>
  </si>
  <si>
    <t>Accumulated income/loss</t>
  </si>
  <si>
    <t>%</t>
  </si>
  <si>
    <t>Info</t>
  </si>
  <si>
    <t>Mission:</t>
  </si>
  <si>
    <t>Auditor:</t>
  </si>
  <si>
    <t>Notes</t>
  </si>
  <si>
    <t>Date:</t>
  </si>
  <si>
    <t>10 Year Bond Yield</t>
  </si>
  <si>
    <t>Percentage</t>
  </si>
  <si>
    <t>Last market price for period adjusted</t>
  </si>
  <si>
    <t>FCFF/Sales (FCFF Margin)</t>
  </si>
  <si>
    <t>FCFE/Sales (FCFE Margin)</t>
  </si>
  <si>
    <t>Manual WACC</t>
  </si>
  <si>
    <t>Discount rate</t>
  </si>
  <si>
    <t>Applied EV/FCFF ratio</t>
  </si>
  <si>
    <t>Common size growth rates</t>
  </si>
  <si>
    <t>Price 5y</t>
  </si>
  <si>
    <t>Revenue 5y</t>
  </si>
  <si>
    <t>EPS 5y</t>
  </si>
  <si>
    <t>Marketable securities and investments</t>
  </si>
  <si>
    <t>Debt/EBIT</t>
  </si>
  <si>
    <t>Net Debt/EBIT</t>
  </si>
  <si>
    <t>Sales/Invested Capital</t>
  </si>
  <si>
    <t>Sales/Assets</t>
  </si>
  <si>
    <t>31.12.2021</t>
  </si>
  <si>
    <t>30.09.2022</t>
  </si>
  <si>
    <t>31.12.2023</t>
  </si>
  <si>
    <t>31.12.2024</t>
  </si>
  <si>
    <t>31.12.2025</t>
  </si>
  <si>
    <t>FY 2025</t>
  </si>
  <si>
    <t>-</t>
  </si>
  <si>
    <t>Tax expense/benefit</t>
  </si>
  <si>
    <t>Taken out 256.7M to account for a big tax benefit</t>
  </si>
  <si>
    <t>Net income, both EPS</t>
  </si>
  <si>
    <t>Adjusted these values to account for the tax change</t>
  </si>
  <si>
    <t>Subscription</t>
  </si>
  <si>
    <t>Advertising</t>
  </si>
  <si>
    <t>English test</t>
  </si>
  <si>
    <t>In-App purchases</t>
  </si>
  <si>
    <t>Other</t>
  </si>
  <si>
    <t>DAU</t>
  </si>
  <si>
    <t>MAU</t>
  </si>
  <si>
    <t>Paid subscriberrs</t>
  </si>
  <si>
    <t>Free users</t>
  </si>
  <si>
    <t>Average revenue per paid user</t>
  </si>
  <si>
    <t>DAU to MAU ratio</t>
  </si>
  <si>
    <t>Subscribers to MAU ratio</t>
  </si>
  <si>
    <t>Ad revenue per free user</t>
  </si>
  <si>
    <t>In-app purchases % of DAU</t>
  </si>
  <si>
    <t>30.09.2024</t>
  </si>
  <si>
    <t>31.03.2025</t>
  </si>
  <si>
    <t>30.06.2025</t>
  </si>
  <si>
    <t>30.09.2025</t>
  </si>
  <si>
    <t>31.03.2026</t>
  </si>
  <si>
    <t>Q3 2024</t>
  </si>
  <si>
    <t>Q4 2024</t>
  </si>
  <si>
    <t>Q1 2025</t>
  </si>
  <si>
    <t>Avg revenue/Paid user * Paid subscribers</t>
  </si>
  <si>
    <t>Free users * Ad revenue/Free user</t>
  </si>
  <si>
    <t>English test growth rate</t>
  </si>
  <si>
    <t>DAU * In-app purchases % of DAU</t>
  </si>
  <si>
    <t>Other growth rate</t>
  </si>
  <si>
    <t>DAU growth rate</t>
  </si>
  <si>
    <t>MAU growth rate</t>
  </si>
  <si>
    <t>Ad revenue/Free user</t>
  </si>
  <si>
    <t>Subscribers to MAU growth</t>
  </si>
  <si>
    <t>Paid subscribers</t>
  </si>
  <si>
    <t>In-App purchases % of DAU</t>
  </si>
  <si>
    <t>Avg revenue/Paid user</t>
  </si>
  <si>
    <t>Subscribers to MAU ratio * MAU</t>
  </si>
  <si>
    <t>MAU - Paid subscribers</t>
  </si>
  <si>
    <t>DAU/MAU</t>
  </si>
  <si>
    <t>Develop the best education in the world and make it universally available</t>
  </si>
  <si>
    <t>Deloitte</t>
  </si>
  <si>
    <t>Manual Cost of Equity</t>
  </si>
  <si>
    <t>Dividend discount model</t>
  </si>
  <si>
    <t>Dividend per share</t>
  </si>
  <si>
    <t>Ratios</t>
  </si>
  <si>
    <t>Payout</t>
  </si>
  <si>
    <t>DDM valuation</t>
  </si>
  <si>
    <t>Latest dividend</t>
  </si>
  <si>
    <t>Year 1 growth rate</t>
  </si>
  <si>
    <t>Year 1 dividend</t>
  </si>
  <si>
    <t>Perpetual dividend growth</t>
  </si>
  <si>
    <t>DDM price</t>
  </si>
  <si>
    <t>Q2 2026</t>
  </si>
  <si>
    <t>30.06.2026</t>
  </si>
  <si>
    <t>Current User Retention Rate</t>
  </si>
  <si>
    <t>Q2 2027</t>
  </si>
  <si>
    <t>04.08.2026</t>
  </si>
  <si>
    <t>FY2027 revenue expected as 1285</t>
  </si>
  <si>
    <t>Gross margin expected at 71% in Q3 and 71.6% in FY2027</t>
  </si>
  <si>
    <t>Stock based compensation expected at about 15% of revenue</t>
  </si>
  <si>
    <t>Terminal EV</t>
  </si>
  <si>
    <t>PV of Terminal EV</t>
  </si>
  <si>
    <t>Total EV</t>
  </si>
  <si>
    <t>Year 5 FCFF</t>
  </si>
  <si>
    <t>EV/Sales valuation</t>
  </si>
  <si>
    <t>Year 5 Sales</t>
  </si>
  <si>
    <t>Applied EV/Sales ratio</t>
  </si>
  <si>
    <t>EV/Sales</t>
  </si>
  <si>
    <t>Reverse DCF rate</t>
  </si>
  <si>
    <t>Discount rates used</t>
  </si>
  <si>
    <t>Cost of Equity</t>
  </si>
  <si>
    <t>Links</t>
  </si>
  <si>
    <t>Financials -&gt;'!B13</t>
  </si>
  <si>
    <t>Analysis -&gt;'!B13</t>
  </si>
  <si>
    <t>Forecast -&gt;'!B13</t>
  </si>
  <si>
    <t>Valuation -&gt;'!B13</t>
  </si>
  <si>
    <t>Overview'!B3</t>
  </si>
  <si>
    <t>Reverse DCF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</si>
</sst>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164" formatCode="_([$$-409]* #,##0.00_);_([$$-409]* \(#,##0.00\);_([$$-409]* &quot;-&quot;??_);_(@_)"/>
    <numFmt numFmtId="165" formatCode="0.00_);[Red]\(0.00\)"/>
    <numFmt numFmtId="166" formatCode="#,##0.0_);[Red]\(#,##0.0\)"/>
    <numFmt numFmtId="167" formatCode="0.00_);\(0.00\)"/>
    <numFmt numFmtId="168" formatCode="0.0%"/>
    <numFmt numFmtId="169" formatCode="#,##0.0_);\(#,##0.0\)"/>
    <numFmt numFmtId="170" formatCode="0.0"/>
    <numFmt numFmtId="171" formatCode="0.0_);\(0.0\)"/>
    <numFmt numFmtId="172" formatCode="#,##0.0"/>
  </numFmts>
  <fonts count="25" x14ac:knownFonts="1">
    <font>
      <sz val="12"/>
      <color theme="1"/>
      <name val="Aptos Narrow"/>
      <family val="2"/>
      <scheme val="minor"/>
    </font>
    <font>
      <sz val="12"/>
      <color theme="1"/>
      <name val="Aptos Narrow"/>
      <family val="2"/>
      <scheme val="minor"/>
    </font>
    <font>
      <sz val="12"/>
      <color rgb="FF000000"/>
      <name val="Aptos Narrow"/>
      <family val="2"/>
      <scheme val="minor"/>
    </font>
    <font>
      <b/>
      <sz val="40"/>
      <color rgb="FF002060"/>
      <name val="Arial"/>
      <family val="2"/>
      <charset val="204"/>
    </font>
    <font>
      <b/>
      <sz val="12"/>
      <color theme="0"/>
      <name val="Aptos Narrow"/>
      <scheme val="minor"/>
    </font>
    <font>
      <b/>
      <sz val="12"/>
      <color theme="0" tint="-4.9989318521683403E-2"/>
      <name val="Aptos Narrow"/>
      <scheme val="minor"/>
    </font>
    <font>
      <b/>
      <sz val="12"/>
      <color rgb="FFF2F2F2"/>
      <name val="Aptos Narrow"/>
      <scheme val="minor"/>
    </font>
    <font>
      <b/>
      <sz val="12"/>
      <color theme="1"/>
      <name val="Aptos Narrow"/>
      <scheme val="minor"/>
    </font>
    <font>
      <b/>
      <sz val="12"/>
      <color rgb="FF0070C0"/>
      <name val="Aptos Narrow"/>
      <scheme val="minor"/>
    </font>
    <font>
      <sz val="12"/>
      <color rgb="FF0070C0"/>
      <name val="Aptos Narrow"/>
      <scheme val="minor"/>
    </font>
    <font>
      <sz val="12"/>
      <color theme="1"/>
      <name val="Aptos Narrow"/>
      <scheme val="minor"/>
    </font>
    <font>
      <sz val="12"/>
      <color rgb="FF0070C0"/>
      <name val="Aptos Narrow"/>
      <family val="2"/>
      <scheme val="minor"/>
    </font>
    <font>
      <sz val="12"/>
      <color theme="9"/>
      <name val="Aptos Narrow"/>
      <scheme val="minor"/>
    </font>
    <font>
      <b/>
      <sz val="12"/>
      <color rgb="FF002060"/>
      <name val="Arial"/>
      <family val="2"/>
      <charset val="204"/>
    </font>
    <font>
      <sz val="9"/>
      <name val="Arial"/>
      <family val="2"/>
      <charset val="204"/>
    </font>
    <font>
      <b/>
      <sz val="12"/>
      <color rgb="FFFFFFFF"/>
      <name val="Aptos Narrow"/>
      <scheme val="minor"/>
    </font>
    <font>
      <sz val="12"/>
      <color theme="9"/>
      <name val="Aptos Narrow"/>
      <family val="2"/>
      <scheme val="minor"/>
    </font>
    <font>
      <b/>
      <sz val="12"/>
      <color theme="9"/>
      <name val="Aptos Narrow"/>
      <scheme val="minor"/>
    </font>
    <font>
      <i/>
      <sz val="12"/>
      <color theme="1"/>
      <name val="Aptos Narrow"/>
      <scheme val="minor"/>
    </font>
    <font>
      <sz val="12"/>
      <color rgb="FF4EA72E"/>
      <name val="Aptos Narrow"/>
      <family val="2"/>
      <scheme val="minor"/>
    </font>
    <font>
      <b/>
      <i/>
      <sz val="12"/>
      <color theme="1"/>
      <name val="Aptos Narrow"/>
      <scheme val="minor"/>
    </font>
    <font>
      <b/>
      <sz val="12"/>
      <color rgb="FF4EA72E"/>
      <name val="Aptos Narrow"/>
      <scheme val="minor"/>
    </font>
    <font>
      <b/>
      <sz val="12"/>
      <color rgb="FF000000"/>
      <name val="Aptos Narrow"/>
      <scheme val="minor"/>
    </font>
    <font>
      <i/>
      <sz val="12"/>
      <color rgb="FF000000"/>
      <name val="Aptos Narrow"/>
      <scheme val="minor"/>
    </font>
    <font>
      <u/>
      <sz val="12"/>
      <color theme="10"/>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rgb="FFFFFAD5"/>
        <bgColor indexed="64"/>
      </patternFill>
    </fill>
    <fill>
      <patternFill patternType="solid">
        <fgColor rgb="FF002060"/>
        <bgColor indexed="64"/>
      </patternFill>
    </fill>
    <fill>
      <patternFill patternType="solid">
        <fgColor rgb="FF002060"/>
        <bgColor rgb="FF000000"/>
      </patternFill>
    </fill>
    <fill>
      <patternFill patternType="solid">
        <fgColor theme="3"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FFFFFF"/>
        <bgColor rgb="FF000000"/>
      </patternFill>
    </fill>
    <fill>
      <patternFill patternType="solid">
        <fgColor theme="0" tint="-0.249977111117893"/>
        <bgColor indexed="64"/>
      </patternFill>
    </fill>
    <fill>
      <patternFill patternType="solid">
        <fgColor theme="0"/>
        <bgColor rgb="FF000000"/>
      </patternFill>
    </fill>
    <fill>
      <patternFill patternType="solid">
        <fgColor rgb="FFADADAD"/>
        <bgColor rgb="FF000000"/>
      </patternFill>
    </fill>
    <fill>
      <patternFill patternType="solid">
        <fgColor rgb="FFFFFAD5"/>
        <bgColor rgb="FF000000"/>
      </patternFill>
    </fill>
    <fill>
      <patternFill patternType="solid">
        <fgColor theme="3" tint="0.89999084444715716"/>
        <bgColor indexed="64"/>
      </patternFill>
    </fill>
    <fill>
      <patternFill patternType="solid">
        <fgColor theme="3" tint="0.749992370372631"/>
        <bgColor indexed="64"/>
      </patternFill>
    </fill>
    <fill>
      <patternFill patternType="solid">
        <fgColor rgb="FFD9D9D9"/>
        <bgColor rgb="FF000000"/>
      </patternFill>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right/>
      <top/>
      <bottom style="thin">
        <color theme="2"/>
      </bottom>
      <diagonal/>
    </border>
    <border>
      <left style="thin">
        <color theme="0"/>
      </left>
      <right/>
      <top/>
      <bottom style="thin">
        <color theme="0"/>
      </bottom>
      <diagonal/>
    </border>
    <border>
      <left/>
      <right style="thick">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24" fillId="0" borderId="0" applyNumberFormat="0" applyFill="0" applyBorder="0" applyAlignment="0" applyProtection="0"/>
  </cellStyleXfs>
  <cellXfs count="280">
    <xf numFmtId="0" fontId="0" fillId="0" borderId="0" xfId="0"/>
    <xf numFmtId="0" fontId="0" fillId="2" borderId="0" xfId="0" applyFill="1"/>
    <xf numFmtId="164" fontId="0" fillId="2" borderId="0" xfId="0" applyNumberFormat="1" applyFill="1"/>
    <xf numFmtId="0" fontId="3" fillId="2" borderId="0" xfId="0" applyFont="1" applyFill="1" applyAlignment="1">
      <alignment vertical="top"/>
    </xf>
    <xf numFmtId="0" fontId="0" fillId="2" borderId="0" xfId="0" applyFill="1" applyAlignment="1">
      <alignment vertical="top"/>
    </xf>
    <xf numFmtId="0" fontId="0" fillId="2" borderId="4" xfId="0" applyFill="1" applyBorder="1"/>
    <xf numFmtId="39" fontId="0" fillId="2" borderId="4" xfId="0" applyNumberFormat="1" applyFill="1" applyBorder="1" applyAlignment="1">
      <alignment horizontal="left"/>
    </xf>
    <xf numFmtId="0" fontId="5" fillId="2" borderId="0" xfId="0" applyFont="1" applyFill="1" applyAlignment="1">
      <alignment horizontal="right"/>
    </xf>
    <xf numFmtId="0" fontId="4" fillId="4" borderId="0" xfId="0" applyFont="1" applyFill="1" applyAlignment="1">
      <alignment horizontal="left"/>
    </xf>
    <xf numFmtId="0" fontId="6" fillId="5" borderId="0" xfId="0" applyFont="1" applyFill="1" applyAlignment="1">
      <alignment horizontal="right"/>
    </xf>
    <xf numFmtId="0" fontId="5" fillId="4" borderId="0" xfId="0" applyFont="1" applyFill="1" applyAlignment="1">
      <alignment horizontal="right"/>
    </xf>
    <xf numFmtId="0" fontId="5" fillId="2" borderId="0" xfId="0" applyFont="1" applyFill="1"/>
    <xf numFmtId="0" fontId="4" fillId="4" borderId="0" xfId="0" applyFont="1" applyFill="1"/>
    <xf numFmtId="0" fontId="5" fillId="4" borderId="0" xfId="0" applyFont="1" applyFill="1"/>
    <xf numFmtId="0" fontId="4" fillId="6" borderId="7" xfId="0" applyFont="1" applyFill="1" applyBorder="1"/>
    <xf numFmtId="0" fontId="5" fillId="6" borderId="7" xfId="0" applyFont="1" applyFill="1" applyBorder="1"/>
    <xf numFmtId="0" fontId="7" fillId="2" borderId="0" xfId="0" applyFont="1" applyFill="1"/>
    <xf numFmtId="0" fontId="7" fillId="7" borderId="8" xfId="0" applyFont="1" applyFill="1" applyBorder="1"/>
    <xf numFmtId="38" fontId="8" fillId="8" borderId="8" xfId="0" applyNumberFormat="1" applyFont="1" applyFill="1" applyBorder="1"/>
    <xf numFmtId="0" fontId="7" fillId="8" borderId="8" xfId="0" applyFont="1" applyFill="1" applyBorder="1"/>
    <xf numFmtId="0" fontId="0" fillId="7" borderId="0" xfId="0" applyFill="1"/>
    <xf numFmtId="38" fontId="9" fillId="2" borderId="0" xfId="0" applyNumberFormat="1" applyFont="1" applyFill="1"/>
    <xf numFmtId="38" fontId="7" fillId="8" borderId="8" xfId="0" applyNumberFormat="1" applyFont="1" applyFill="1" applyBorder="1"/>
    <xf numFmtId="0" fontId="10" fillId="7" borderId="0" xfId="0" applyFont="1" applyFill="1"/>
    <xf numFmtId="38" fontId="0" fillId="2" borderId="0" xfId="0" applyNumberFormat="1" applyFill="1"/>
    <xf numFmtId="38" fontId="10" fillId="2" borderId="0" xfId="0" applyNumberFormat="1" applyFont="1" applyFill="1"/>
    <xf numFmtId="165" fontId="9" fillId="2" borderId="0" xfId="0" applyNumberFormat="1" applyFont="1" applyFill="1"/>
    <xf numFmtId="165" fontId="10" fillId="2" borderId="0" xfId="0" applyNumberFormat="1" applyFont="1" applyFill="1"/>
    <xf numFmtId="0" fontId="10" fillId="7" borderId="7" xfId="0" applyFont="1" applyFill="1" applyBorder="1"/>
    <xf numFmtId="165" fontId="10" fillId="2" borderId="7" xfId="0" applyNumberFormat="1" applyFont="1" applyFill="1" applyBorder="1"/>
    <xf numFmtId="0" fontId="0" fillId="2" borderId="7" xfId="0" applyFill="1" applyBorder="1"/>
    <xf numFmtId="0" fontId="10" fillId="2" borderId="7" xfId="0" applyFont="1" applyFill="1" applyBorder="1"/>
    <xf numFmtId="0" fontId="7" fillId="7" borderId="0" xfId="0" applyFont="1" applyFill="1"/>
    <xf numFmtId="38" fontId="8" fillId="8" borderId="0" xfId="0" applyNumberFormat="1" applyFont="1" applyFill="1"/>
    <xf numFmtId="0" fontId="7" fillId="8" borderId="0" xfId="0" applyFont="1" applyFill="1"/>
    <xf numFmtId="38" fontId="7" fillId="8" borderId="0" xfId="0" applyNumberFormat="1" applyFont="1" applyFill="1"/>
    <xf numFmtId="0" fontId="7" fillId="7" borderId="7" xfId="0" applyFont="1" applyFill="1" applyBorder="1"/>
    <xf numFmtId="38" fontId="8" fillId="8" borderId="7" xfId="0" applyNumberFormat="1" applyFont="1" applyFill="1" applyBorder="1"/>
    <xf numFmtId="0" fontId="7" fillId="8" borderId="7" xfId="0" applyFont="1" applyFill="1" applyBorder="1"/>
    <xf numFmtId="0" fontId="10" fillId="2" borderId="0" xfId="0" applyFont="1" applyFill="1"/>
    <xf numFmtId="41" fontId="7" fillId="9" borderId="8" xfId="0" applyNumberFormat="1" applyFont="1" applyFill="1" applyBorder="1"/>
    <xf numFmtId="0" fontId="7" fillId="2" borderId="8" xfId="0" applyFont="1" applyFill="1" applyBorder="1"/>
    <xf numFmtId="41" fontId="7" fillId="10" borderId="8" xfId="0" applyNumberFormat="1" applyFont="1" applyFill="1" applyBorder="1"/>
    <xf numFmtId="38" fontId="11" fillId="2" borderId="0" xfId="0" applyNumberFormat="1" applyFont="1" applyFill="1"/>
    <xf numFmtId="2" fontId="11" fillId="2" borderId="0" xfId="0" applyNumberFormat="1" applyFont="1" applyFill="1"/>
    <xf numFmtId="2" fontId="10" fillId="2" borderId="0" xfId="0" applyNumberFormat="1" applyFont="1" applyFill="1"/>
    <xf numFmtId="10" fontId="10" fillId="2" borderId="0" xfId="0" applyNumberFormat="1" applyFont="1" applyFill="1"/>
    <xf numFmtId="0" fontId="7" fillId="11" borderId="0" xfId="0" applyFont="1" applyFill="1"/>
    <xf numFmtId="9" fontId="7" fillId="2" borderId="8" xfId="1" applyFont="1" applyFill="1" applyBorder="1"/>
    <xf numFmtId="0" fontId="0" fillId="11" borderId="0" xfId="0" applyFill="1"/>
    <xf numFmtId="9" fontId="0" fillId="2" borderId="0" xfId="1" applyFont="1" applyFill="1"/>
    <xf numFmtId="0" fontId="7" fillId="7" borderId="9" xfId="0" applyFont="1" applyFill="1" applyBorder="1"/>
    <xf numFmtId="9" fontId="7" fillId="2" borderId="9" xfId="1" applyFont="1" applyFill="1" applyBorder="1"/>
    <xf numFmtId="0" fontId="7" fillId="2" borderId="9" xfId="0" applyFont="1" applyFill="1" applyBorder="1"/>
    <xf numFmtId="0" fontId="0" fillId="7" borderId="8" xfId="0" applyFill="1" applyBorder="1"/>
    <xf numFmtId="9" fontId="0" fillId="2" borderId="8" xfId="1" applyFont="1" applyFill="1" applyBorder="1"/>
    <xf numFmtId="0" fontId="0" fillId="2" borderId="8" xfId="0" applyFill="1" applyBorder="1"/>
    <xf numFmtId="166" fontId="10" fillId="2" borderId="0" xfId="0" applyNumberFormat="1" applyFont="1" applyFill="1"/>
    <xf numFmtId="9" fontId="0" fillId="2" borderId="0" xfId="0" applyNumberFormat="1" applyFill="1"/>
    <xf numFmtId="0" fontId="5" fillId="4" borderId="0" xfId="0" applyFont="1" applyFill="1" applyAlignment="1">
      <alignment horizontal="center"/>
    </xf>
    <xf numFmtId="0" fontId="2" fillId="12" borderId="0" xfId="0" applyFont="1" applyFill="1"/>
    <xf numFmtId="37" fontId="8" fillId="8" borderId="8" xfId="0" applyNumberFormat="1" applyFont="1" applyFill="1" applyBorder="1"/>
    <xf numFmtId="37" fontId="9" fillId="2" borderId="0" xfId="0" applyNumberFormat="1" applyFont="1" applyFill="1"/>
    <xf numFmtId="167" fontId="9" fillId="2" borderId="0" xfId="0" applyNumberFormat="1" applyFont="1" applyFill="1"/>
    <xf numFmtId="37" fontId="0" fillId="2" borderId="0" xfId="0" applyNumberFormat="1" applyFill="1"/>
    <xf numFmtId="167" fontId="10" fillId="2" borderId="0" xfId="0" applyNumberFormat="1" applyFont="1" applyFill="1"/>
    <xf numFmtId="167" fontId="10" fillId="2" borderId="7" xfId="0" applyNumberFormat="1" applyFont="1" applyFill="1" applyBorder="1"/>
    <xf numFmtId="0" fontId="7" fillId="13" borderId="0" xfId="0" applyFont="1" applyFill="1"/>
    <xf numFmtId="0" fontId="0" fillId="13" borderId="0" xfId="0" applyFill="1"/>
    <xf numFmtId="0" fontId="0" fillId="3" borderId="10" xfId="0" applyFill="1" applyBorder="1"/>
    <xf numFmtId="3" fontId="0" fillId="3" borderId="10" xfId="0" applyNumberFormat="1" applyFill="1" applyBorder="1" applyAlignment="1">
      <alignment horizontal="left"/>
    </xf>
    <xf numFmtId="37" fontId="8" fillId="8" borderId="7" xfId="0" applyNumberFormat="1" applyFont="1" applyFill="1" applyBorder="1"/>
    <xf numFmtId="2" fontId="0" fillId="2" borderId="0" xfId="0" applyNumberFormat="1" applyFill="1"/>
    <xf numFmtId="168" fontId="0" fillId="2" borderId="4" xfId="1" applyNumberFormat="1" applyFont="1" applyFill="1" applyBorder="1" applyAlignment="1">
      <alignment horizontal="left"/>
    </xf>
    <xf numFmtId="168" fontId="10" fillId="2" borderId="0" xfId="1" applyNumberFormat="1" applyFont="1" applyFill="1"/>
    <xf numFmtId="2" fontId="10" fillId="2" borderId="0" xfId="1" applyNumberFormat="1" applyFont="1" applyFill="1"/>
    <xf numFmtId="168" fontId="7" fillId="2" borderId="0" xfId="1" applyNumberFormat="1" applyFont="1" applyFill="1"/>
    <xf numFmtId="168" fontId="0" fillId="13" borderId="0" xfId="1" applyNumberFormat="1" applyFont="1" applyFill="1"/>
    <xf numFmtId="2" fontId="0" fillId="13" borderId="0" xfId="1" applyNumberFormat="1" applyFont="1" applyFill="1"/>
    <xf numFmtId="168" fontId="7" fillId="13" borderId="0" xfId="1" applyNumberFormat="1" applyFont="1" applyFill="1"/>
    <xf numFmtId="2" fontId="10" fillId="13" borderId="0" xfId="1" applyNumberFormat="1" applyFont="1" applyFill="1"/>
    <xf numFmtId="10" fontId="10" fillId="2" borderId="0" xfId="1" applyNumberFormat="1" applyFont="1" applyFill="1"/>
    <xf numFmtId="9" fontId="11" fillId="2" borderId="0" xfId="1" applyFont="1" applyFill="1"/>
    <xf numFmtId="0" fontId="13" fillId="2" borderId="0" xfId="0" applyFont="1" applyFill="1" applyAlignment="1">
      <alignment vertical="top"/>
    </xf>
    <xf numFmtId="0" fontId="14" fillId="2" borderId="0" xfId="0" applyFont="1" applyFill="1" applyAlignment="1">
      <alignment vertical="top"/>
    </xf>
    <xf numFmtId="0" fontId="14" fillId="2" borderId="4" xfId="0" applyFont="1" applyFill="1" applyBorder="1" applyAlignment="1">
      <alignment vertical="top"/>
    </xf>
    <xf numFmtId="0" fontId="4" fillId="4" borderId="11" xfId="0" applyFont="1" applyFill="1" applyBorder="1" applyAlignment="1">
      <alignment horizontal="center"/>
    </xf>
    <xf numFmtId="0" fontId="2" fillId="12" borderId="0" xfId="0" applyFont="1" applyFill="1" applyAlignment="1">
      <alignment vertical="top"/>
    </xf>
    <xf numFmtId="0" fontId="4" fillId="4" borderId="11" xfId="0" applyFont="1" applyFill="1" applyBorder="1" applyAlignment="1">
      <alignment horizontal="left"/>
    </xf>
    <xf numFmtId="37" fontId="16" fillId="2" borderId="0" xfId="0" applyNumberFormat="1" applyFont="1" applyFill="1"/>
    <xf numFmtId="37" fontId="16" fillId="2" borderId="14" xfId="0" applyNumberFormat="1" applyFont="1" applyFill="1" applyBorder="1"/>
    <xf numFmtId="0" fontId="0" fillId="2" borderId="0" xfId="0" applyFill="1" applyAlignment="1">
      <alignment horizontal="left"/>
    </xf>
    <xf numFmtId="0" fontId="0" fillId="2" borderId="0" xfId="0" applyFill="1" applyAlignment="1">
      <alignment horizontal="center"/>
    </xf>
    <xf numFmtId="37" fontId="17" fillId="2" borderId="0" xfId="0" applyNumberFormat="1" applyFont="1" applyFill="1"/>
    <xf numFmtId="37" fontId="17" fillId="2" borderId="14" xfId="0" applyNumberFormat="1" applyFont="1" applyFill="1" applyBorder="1"/>
    <xf numFmtId="37" fontId="7" fillId="2" borderId="0" xfId="0" applyNumberFormat="1" applyFont="1" applyFill="1"/>
    <xf numFmtId="168" fontId="18" fillId="2" borderId="0" xfId="1" applyNumberFormat="1" applyFont="1" applyFill="1"/>
    <xf numFmtId="168" fontId="18" fillId="2" borderId="14" xfId="1" applyNumberFormat="1" applyFont="1" applyFill="1" applyBorder="1"/>
    <xf numFmtId="168" fontId="18" fillId="3" borderId="0" xfId="1" applyNumberFormat="1" applyFont="1" applyFill="1"/>
    <xf numFmtId="38" fontId="19" fillId="12" borderId="0" xfId="0" applyNumberFormat="1" applyFont="1" applyFill="1"/>
    <xf numFmtId="38" fontId="19" fillId="12" borderId="14" xfId="0" applyNumberFormat="1" applyFont="1" applyFill="1" applyBorder="1"/>
    <xf numFmtId="38" fontId="16" fillId="2" borderId="0" xfId="0" applyNumberFormat="1" applyFont="1" applyFill="1"/>
    <xf numFmtId="38" fontId="16" fillId="2" borderId="14" xfId="0" applyNumberFormat="1" applyFont="1" applyFill="1" applyBorder="1"/>
    <xf numFmtId="170" fontId="0" fillId="3" borderId="0" xfId="0" applyNumberFormat="1" applyFill="1"/>
    <xf numFmtId="168" fontId="20" fillId="2" borderId="0" xfId="1" applyNumberFormat="1" applyFont="1" applyFill="1"/>
    <xf numFmtId="168" fontId="20" fillId="2" borderId="14" xfId="1" applyNumberFormat="1" applyFont="1" applyFill="1" applyBorder="1"/>
    <xf numFmtId="2" fontId="0" fillId="3" borderId="0" xfId="0" applyNumberFormat="1" applyFill="1"/>
    <xf numFmtId="9" fontId="18" fillId="3" borderId="0" xfId="1" applyFont="1" applyFill="1"/>
    <xf numFmtId="38" fontId="21" fillId="12" borderId="0" xfId="0" applyNumberFormat="1" applyFont="1" applyFill="1"/>
    <xf numFmtId="38" fontId="21" fillId="12" borderId="14" xfId="0" applyNumberFormat="1" applyFont="1" applyFill="1" applyBorder="1"/>
    <xf numFmtId="38" fontId="7" fillId="2" borderId="0" xfId="0" applyNumberFormat="1" applyFont="1" applyFill="1"/>
    <xf numFmtId="0" fontId="4" fillId="2" borderId="0" xfId="0" applyFont="1" applyFill="1" applyAlignment="1">
      <alignment horizontal="center"/>
    </xf>
    <xf numFmtId="0" fontId="4" fillId="2" borderId="0" xfId="0" applyFont="1" applyFill="1" applyAlignment="1">
      <alignment horizontal="left"/>
    </xf>
    <xf numFmtId="0" fontId="4" fillId="2" borderId="0" xfId="0" applyFont="1" applyFill="1"/>
    <xf numFmtId="37" fontId="12" fillId="2" borderId="0" xfId="0" applyNumberFormat="1" applyFont="1" applyFill="1"/>
    <xf numFmtId="37" fontId="12" fillId="2" borderId="14" xfId="0" applyNumberFormat="1" applyFont="1" applyFill="1" applyBorder="1"/>
    <xf numFmtId="37" fontId="19" fillId="12" borderId="0" xfId="0" applyNumberFormat="1" applyFont="1" applyFill="1"/>
    <xf numFmtId="37" fontId="19" fillId="12" borderId="14" xfId="0" applyNumberFormat="1" applyFont="1" applyFill="1" applyBorder="1"/>
    <xf numFmtId="38" fontId="21" fillId="14" borderId="0" xfId="0" applyNumberFormat="1" applyFont="1" applyFill="1"/>
    <xf numFmtId="38" fontId="19" fillId="14" borderId="0" xfId="0" applyNumberFormat="1" applyFont="1" applyFill="1"/>
    <xf numFmtId="169" fontId="0" fillId="12" borderId="0" xfId="0" applyNumberFormat="1" applyFill="1"/>
    <xf numFmtId="169" fontId="0" fillId="12" borderId="14" xfId="0" applyNumberFormat="1" applyFill="1" applyBorder="1"/>
    <xf numFmtId="37" fontId="0" fillId="12" borderId="0" xfId="0" applyNumberFormat="1" applyFill="1"/>
    <xf numFmtId="37" fontId="0" fillId="12" borderId="14" xfId="0" applyNumberFormat="1" applyFill="1" applyBorder="1"/>
    <xf numFmtId="0" fontId="18" fillId="2" borderId="0" xfId="0" applyFont="1" applyFill="1"/>
    <xf numFmtId="168" fontId="18" fillId="12" borderId="0" xfId="1" applyNumberFormat="1" applyFont="1" applyFill="1"/>
    <xf numFmtId="168" fontId="18" fillId="12" borderId="14" xfId="1" applyNumberFormat="1" applyFont="1" applyFill="1" applyBorder="1"/>
    <xf numFmtId="169" fontId="0" fillId="14" borderId="0" xfId="0" applyNumberFormat="1" applyFill="1"/>
    <xf numFmtId="37" fontId="10" fillId="2" borderId="0" xfId="0" applyNumberFormat="1" applyFont="1" applyFill="1"/>
    <xf numFmtId="37" fontId="7" fillId="2" borderId="14" xfId="0" applyNumberFormat="1" applyFont="1" applyFill="1" applyBorder="1"/>
    <xf numFmtId="0" fontId="2" fillId="12" borderId="0" xfId="0" applyFont="1" applyFill="1" applyAlignment="1">
      <alignment horizontal="left"/>
    </xf>
    <xf numFmtId="10" fontId="16" fillId="2" borderId="0" xfId="0" applyNumberFormat="1" applyFont="1" applyFill="1"/>
    <xf numFmtId="10" fontId="16" fillId="2" borderId="14" xfId="0" applyNumberFormat="1" applyFont="1" applyFill="1" applyBorder="1"/>
    <xf numFmtId="37" fontId="10" fillId="2" borderId="14" xfId="0" applyNumberFormat="1" applyFont="1" applyFill="1" applyBorder="1"/>
    <xf numFmtId="0" fontId="4" fillId="4" borderId="0" xfId="0" applyFont="1" applyFill="1" applyAlignment="1">
      <alignment horizontal="center"/>
    </xf>
    <xf numFmtId="4" fontId="12" fillId="2" borderId="0" xfId="0" applyNumberFormat="1" applyFont="1" applyFill="1"/>
    <xf numFmtId="3" fontId="10" fillId="2" borderId="0" xfId="0" applyNumberFormat="1" applyFont="1" applyFill="1"/>
    <xf numFmtId="10" fontId="12" fillId="2" borderId="0" xfId="1" applyNumberFormat="1" applyFont="1" applyFill="1"/>
    <xf numFmtId="3" fontId="12" fillId="2" borderId="0" xfId="0" applyNumberFormat="1" applyFont="1" applyFill="1"/>
    <xf numFmtId="0" fontId="22" fillId="15" borderId="0" xfId="0" applyFont="1" applyFill="1"/>
    <xf numFmtId="37" fontId="10" fillId="11" borderId="14" xfId="0" applyNumberFormat="1" applyFont="1" applyFill="1" applyBorder="1"/>
    <xf numFmtId="0" fontId="0" fillId="3" borderId="0" xfId="0" applyFill="1"/>
    <xf numFmtId="10" fontId="10" fillId="3" borderId="0" xfId="1" applyNumberFormat="1" applyFont="1" applyFill="1"/>
    <xf numFmtId="3" fontId="0" fillId="2" borderId="0" xfId="0" applyNumberFormat="1" applyFill="1"/>
    <xf numFmtId="168" fontId="23" fillId="12" borderId="0" xfId="0" applyNumberFormat="1" applyFont="1" applyFill="1"/>
    <xf numFmtId="168" fontId="23" fillId="12" borderId="14" xfId="0" applyNumberFormat="1" applyFont="1" applyFill="1" applyBorder="1"/>
    <xf numFmtId="168" fontId="23" fillId="16" borderId="0" xfId="0" applyNumberFormat="1" applyFont="1" applyFill="1"/>
    <xf numFmtId="0" fontId="16" fillId="2" borderId="0" xfId="0" applyFont="1" applyFill="1"/>
    <xf numFmtId="0" fontId="16" fillId="2" borderId="14" xfId="0" applyFont="1" applyFill="1" applyBorder="1"/>
    <xf numFmtId="2" fontId="7" fillId="2" borderId="0" xfId="0" applyNumberFormat="1" applyFont="1" applyFill="1"/>
    <xf numFmtId="2" fontId="7" fillId="2" borderId="14" xfId="0" applyNumberFormat="1" applyFont="1" applyFill="1" applyBorder="1"/>
    <xf numFmtId="3" fontId="0" fillId="2" borderId="14" xfId="0" applyNumberFormat="1" applyFill="1" applyBorder="1"/>
    <xf numFmtId="3" fontId="16" fillId="2" borderId="0" xfId="0" applyNumberFormat="1" applyFont="1" applyFill="1"/>
    <xf numFmtId="3" fontId="16" fillId="2" borderId="14" xfId="0" applyNumberFormat="1" applyFont="1" applyFill="1" applyBorder="1"/>
    <xf numFmtId="168" fontId="0" fillId="2" borderId="0" xfId="1" applyNumberFormat="1" applyFont="1" applyFill="1"/>
    <xf numFmtId="0" fontId="0" fillId="9" borderId="19" xfId="0" applyFill="1" applyBorder="1"/>
    <xf numFmtId="167" fontId="0" fillId="9" borderId="20" xfId="0" applyNumberFormat="1" applyFill="1" applyBorder="1"/>
    <xf numFmtId="0" fontId="0" fillId="2" borderId="21" xfId="0" applyFill="1" applyBorder="1"/>
    <xf numFmtId="10" fontId="10" fillId="3" borderId="22" xfId="1" applyNumberFormat="1" applyFont="1" applyFill="1" applyBorder="1"/>
    <xf numFmtId="0" fontId="0" fillId="2" borderId="19" xfId="0" applyFill="1" applyBorder="1"/>
    <xf numFmtId="10" fontId="10" fillId="3" borderId="20" xfId="1" applyNumberFormat="1" applyFont="1" applyFill="1" applyBorder="1"/>
    <xf numFmtId="37" fontId="0" fillId="2" borderId="20" xfId="0" applyNumberFormat="1" applyFill="1" applyBorder="1"/>
    <xf numFmtId="37" fontId="10" fillId="2" borderId="22" xfId="0" applyNumberFormat="1" applyFont="1" applyFill="1" applyBorder="1"/>
    <xf numFmtId="0" fontId="7" fillId="2" borderId="19" xfId="0" applyFont="1" applyFill="1" applyBorder="1"/>
    <xf numFmtId="37" fontId="7" fillId="2" borderId="20" xfId="0" applyNumberFormat="1" applyFont="1" applyFill="1" applyBorder="1"/>
    <xf numFmtId="38" fontId="0" fillId="2" borderId="20" xfId="0" applyNumberFormat="1" applyFill="1" applyBorder="1"/>
    <xf numFmtId="0" fontId="0" fillId="9" borderId="23" xfId="0" applyFill="1" applyBorder="1"/>
    <xf numFmtId="167" fontId="0" fillId="9" borderId="24" xfId="0" applyNumberFormat="1" applyFill="1" applyBorder="1"/>
    <xf numFmtId="10" fontId="18" fillId="3" borderId="0" xfId="1" applyNumberFormat="1" applyFont="1" applyFill="1"/>
    <xf numFmtId="9" fontId="0" fillId="3" borderId="10" xfId="1" applyFont="1" applyFill="1" applyBorder="1" applyAlignment="1">
      <alignment horizontal="left"/>
    </xf>
    <xf numFmtId="0" fontId="0" fillId="6" borderId="7" xfId="0" applyFill="1" applyBorder="1"/>
    <xf numFmtId="2" fontId="10" fillId="17" borderId="0" xfId="0" applyNumberFormat="1" applyFont="1" applyFill="1"/>
    <xf numFmtId="3" fontId="0" fillId="17" borderId="0" xfId="0" applyNumberFormat="1" applyFill="1"/>
    <xf numFmtId="2" fontId="0" fillId="17" borderId="0" xfId="0" applyNumberFormat="1" applyFill="1"/>
    <xf numFmtId="168" fontId="10" fillId="17" borderId="0" xfId="1" applyNumberFormat="1" applyFont="1" applyFill="1"/>
    <xf numFmtId="168" fontId="7" fillId="17" borderId="0" xfId="1" applyNumberFormat="1" applyFont="1" applyFill="1"/>
    <xf numFmtId="37" fontId="0" fillId="17" borderId="0" xfId="0" applyNumberFormat="1" applyFill="1"/>
    <xf numFmtId="168" fontId="10" fillId="17" borderId="0" xfId="1" applyNumberFormat="1" applyFont="1" applyFill="1" applyAlignment="1">
      <alignment horizontal="right"/>
    </xf>
    <xf numFmtId="169" fontId="10" fillId="12" borderId="0" xfId="0" applyNumberFormat="1" applyFont="1" applyFill="1"/>
    <xf numFmtId="167" fontId="0" fillId="17" borderId="0" xfId="0" applyNumberFormat="1" applyFill="1"/>
    <xf numFmtId="2" fontId="0" fillId="2" borderId="0" xfId="0" applyNumberFormat="1" applyFill="1" applyAlignment="1">
      <alignment horizontal="right"/>
    </xf>
    <xf numFmtId="167" fontId="0" fillId="17" borderId="0" xfId="0" applyNumberFormat="1" applyFill="1" applyAlignment="1">
      <alignment horizontal="right"/>
    </xf>
    <xf numFmtId="170" fontId="0" fillId="2" borderId="0" xfId="0" applyNumberFormat="1" applyFill="1"/>
    <xf numFmtId="0" fontId="0" fillId="7" borderId="10" xfId="0" applyFill="1" applyBorder="1"/>
    <xf numFmtId="0" fontId="0" fillId="7" borderId="25" xfId="0" applyFill="1" applyBorder="1"/>
    <xf numFmtId="0" fontId="0" fillId="7" borderId="26" xfId="0" applyFill="1" applyBorder="1"/>
    <xf numFmtId="3" fontId="0" fillId="17" borderId="4" xfId="0" applyNumberFormat="1" applyFill="1" applyBorder="1"/>
    <xf numFmtId="3" fontId="0" fillId="17" borderId="6" xfId="0" applyNumberFormat="1" applyFill="1" applyBorder="1"/>
    <xf numFmtId="0" fontId="0" fillId="17" borderId="4" xfId="0" applyFill="1" applyBorder="1"/>
    <xf numFmtId="2" fontId="0" fillId="17" borderId="4" xfId="0" applyNumberFormat="1" applyFill="1" applyBorder="1"/>
    <xf numFmtId="2" fontId="0" fillId="17" borderId="6" xfId="0" applyNumberFormat="1" applyFill="1" applyBorder="1"/>
    <xf numFmtId="168" fontId="0" fillId="17" borderId="4" xfId="1" applyNumberFormat="1" applyFont="1" applyFill="1" applyBorder="1"/>
    <xf numFmtId="168" fontId="0" fillId="17" borderId="6" xfId="1" applyNumberFormat="1" applyFont="1" applyFill="1" applyBorder="1"/>
    <xf numFmtId="168" fontId="0" fillId="17" borderId="16" xfId="1" applyNumberFormat="1" applyFont="1" applyFill="1" applyBorder="1"/>
    <xf numFmtId="37" fontId="0" fillId="17" borderId="0" xfId="0" applyNumberFormat="1" applyFill="1" applyAlignment="1">
      <alignment horizontal="right"/>
    </xf>
    <xf numFmtId="168" fontId="0" fillId="17" borderId="0" xfId="1" applyNumberFormat="1" applyFont="1" applyFill="1"/>
    <xf numFmtId="0" fontId="2" fillId="15" borderId="0" xfId="0" applyFont="1" applyFill="1"/>
    <xf numFmtId="3" fontId="0" fillId="18" borderId="4" xfId="0" applyNumberFormat="1" applyFill="1" applyBorder="1"/>
    <xf numFmtId="3" fontId="0" fillId="18" borderId="25" xfId="0" applyNumberFormat="1" applyFill="1" applyBorder="1"/>
    <xf numFmtId="3" fontId="0" fillId="18" borderId="27" xfId="0" applyNumberFormat="1" applyFill="1" applyBorder="1"/>
    <xf numFmtId="2" fontId="0" fillId="18" borderId="27" xfId="0" applyNumberFormat="1" applyFill="1" applyBorder="1"/>
    <xf numFmtId="2" fontId="0" fillId="18" borderId="4" xfId="0" applyNumberFormat="1" applyFill="1" applyBorder="1"/>
    <xf numFmtId="0" fontId="5" fillId="4" borderId="4" xfId="0" applyFont="1" applyFill="1" applyBorder="1" applyAlignment="1">
      <alignment horizontal="right"/>
    </xf>
    <xf numFmtId="0" fontId="5" fillId="4" borderId="3" xfId="0" applyFont="1" applyFill="1" applyBorder="1" applyAlignment="1">
      <alignment horizontal="right"/>
    </xf>
    <xf numFmtId="0" fontId="0" fillId="7" borderId="6" xfId="0" applyFill="1" applyBorder="1"/>
    <xf numFmtId="0" fontId="18" fillId="7" borderId="16" xfId="0" applyFont="1" applyFill="1" applyBorder="1" applyAlignment="1">
      <alignment horizontal="left" indent="1"/>
    </xf>
    <xf numFmtId="0" fontId="0" fillId="7" borderId="16" xfId="0" applyFill="1" applyBorder="1"/>
    <xf numFmtId="39" fontId="0" fillId="17" borderId="4" xfId="0" applyNumberFormat="1" applyFill="1" applyBorder="1" applyAlignment="1">
      <alignment horizontal="left"/>
    </xf>
    <xf numFmtId="4" fontId="0" fillId="17" borderId="4" xfId="0" applyNumberFormat="1" applyFill="1" applyBorder="1" applyAlignment="1">
      <alignment horizontal="left"/>
    </xf>
    <xf numFmtId="3" fontId="0" fillId="17" borderId="6" xfId="0" applyNumberFormat="1" applyFill="1" applyBorder="1" applyAlignment="1">
      <alignment horizontal="left"/>
    </xf>
    <xf numFmtId="2" fontId="0" fillId="17" borderId="25" xfId="0" applyNumberFormat="1" applyFill="1" applyBorder="1"/>
    <xf numFmtId="2" fontId="0" fillId="17" borderId="10" xfId="0" applyNumberFormat="1" applyFill="1" applyBorder="1"/>
    <xf numFmtId="168" fontId="0" fillId="17" borderId="10" xfId="1" applyNumberFormat="1" applyFont="1" applyFill="1" applyBorder="1"/>
    <xf numFmtId="2" fontId="10" fillId="17" borderId="0" xfId="1" applyNumberFormat="1" applyFont="1" applyFill="1"/>
    <xf numFmtId="168" fontId="10" fillId="17" borderId="8" xfId="1" applyNumberFormat="1" applyFont="1" applyFill="1" applyBorder="1"/>
    <xf numFmtId="10" fontId="0" fillId="2" borderId="0" xfId="0" applyNumberFormat="1" applyFill="1"/>
    <xf numFmtId="0" fontId="0" fillId="17" borderId="4" xfId="0" applyFill="1" applyBorder="1" applyAlignment="1">
      <alignment shrinkToFit="1"/>
    </xf>
    <xf numFmtId="10" fontId="0" fillId="2" borderId="0" xfId="1" applyNumberFormat="1" applyFont="1" applyFill="1"/>
    <xf numFmtId="39" fontId="0" fillId="17" borderId="4" xfId="0" applyNumberFormat="1" applyFill="1" applyBorder="1" applyAlignment="1">
      <alignment horizontal="right"/>
    </xf>
    <xf numFmtId="10" fontId="0" fillId="17" borderId="6" xfId="1" applyNumberFormat="1" applyFont="1" applyFill="1" applyBorder="1"/>
    <xf numFmtId="10" fontId="0" fillId="3" borderId="10" xfId="1" applyNumberFormat="1" applyFont="1" applyFill="1" applyBorder="1" applyAlignment="1">
      <alignment horizontal="left"/>
    </xf>
    <xf numFmtId="10" fontId="12" fillId="2" borderId="20" xfId="1" applyNumberFormat="1" applyFont="1" applyFill="1" applyBorder="1"/>
    <xf numFmtId="3" fontId="12" fillId="2" borderId="20" xfId="0" applyNumberFormat="1" applyFont="1" applyFill="1" applyBorder="1"/>
    <xf numFmtId="2" fontId="0" fillId="2" borderId="0" xfId="1" applyNumberFormat="1" applyFont="1" applyFill="1"/>
    <xf numFmtId="0" fontId="0" fillId="9" borderId="0" xfId="0" applyFill="1" applyAlignment="1">
      <alignment horizontal="right"/>
    </xf>
    <xf numFmtId="2" fontId="0" fillId="2" borderId="0" xfId="1" applyNumberFormat="1" applyFont="1" applyFill="1" applyAlignment="1">
      <alignment horizontal="right"/>
    </xf>
    <xf numFmtId="1" fontId="0" fillId="2" borderId="0" xfId="0" applyNumberFormat="1" applyFill="1"/>
    <xf numFmtId="38" fontId="9" fillId="12" borderId="0" xfId="0" applyNumberFormat="1" applyFont="1" applyFill="1"/>
    <xf numFmtId="0" fontId="2" fillId="19" borderId="0" xfId="0" applyFont="1" applyFill="1"/>
    <xf numFmtId="171" fontId="10" fillId="2" borderId="0" xfId="0" applyNumberFormat="1" applyFont="1" applyFill="1"/>
    <xf numFmtId="172" fontId="0" fillId="18" borderId="27" xfId="0" applyNumberFormat="1" applyFill="1" applyBorder="1"/>
    <xf numFmtId="172" fontId="0" fillId="18" borderId="4" xfId="0" applyNumberFormat="1" applyFill="1" applyBorder="1"/>
    <xf numFmtId="168" fontId="0" fillId="18" borderId="27" xfId="1" applyNumberFormat="1" applyFont="1" applyFill="1" applyBorder="1"/>
    <xf numFmtId="168" fontId="0" fillId="18" borderId="4" xfId="1" applyNumberFormat="1" applyFont="1" applyFill="1" applyBorder="1"/>
    <xf numFmtId="2" fontId="0" fillId="18" borderId="27" xfId="1" applyNumberFormat="1" applyFont="1" applyFill="1" applyBorder="1"/>
    <xf numFmtId="2" fontId="0" fillId="18" borderId="4" xfId="1" applyNumberFormat="1" applyFont="1" applyFill="1" applyBorder="1"/>
    <xf numFmtId="168" fontId="18" fillId="2" borderId="0" xfId="0" applyNumberFormat="1" applyFont="1" applyFill="1"/>
    <xf numFmtId="168" fontId="18" fillId="2" borderId="14" xfId="0" applyNumberFormat="1" applyFont="1" applyFill="1" applyBorder="1"/>
    <xf numFmtId="2" fontId="16" fillId="2" borderId="0" xfId="0" applyNumberFormat="1" applyFont="1" applyFill="1"/>
    <xf numFmtId="2" fontId="16" fillId="2" borderId="14" xfId="0" applyNumberFormat="1" applyFont="1" applyFill="1" applyBorder="1"/>
    <xf numFmtId="168" fontId="16" fillId="2" borderId="0" xfId="1" applyNumberFormat="1" applyFont="1" applyFill="1"/>
    <xf numFmtId="168" fontId="16" fillId="2" borderId="14" xfId="1" applyNumberFormat="1" applyFont="1" applyFill="1" applyBorder="1"/>
    <xf numFmtId="168" fontId="2" fillId="16" borderId="0" xfId="0" applyNumberFormat="1" applyFont="1" applyFill="1"/>
    <xf numFmtId="169" fontId="16" fillId="2" borderId="0" xfId="0" applyNumberFormat="1" applyFont="1" applyFill="1"/>
    <xf numFmtId="169" fontId="16" fillId="2" borderId="14" xfId="0" applyNumberFormat="1" applyFont="1" applyFill="1" applyBorder="1"/>
    <xf numFmtId="2" fontId="19" fillId="12" borderId="0" xfId="0" applyNumberFormat="1" applyFont="1" applyFill="1"/>
    <xf numFmtId="168" fontId="19" fillId="12" borderId="0" xfId="0" applyNumberFormat="1" applyFont="1" applyFill="1"/>
    <xf numFmtId="169" fontId="19" fillId="12" borderId="0" xfId="0" applyNumberFormat="1" applyFont="1" applyFill="1"/>
    <xf numFmtId="39" fontId="17" fillId="2" borderId="0" xfId="0" applyNumberFormat="1" applyFont="1" applyFill="1"/>
    <xf numFmtId="39" fontId="17" fillId="2" borderId="14" xfId="0" applyNumberFormat="1" applyFont="1" applyFill="1" applyBorder="1"/>
    <xf numFmtId="39" fontId="0" fillId="2" borderId="0" xfId="0" applyNumberFormat="1" applyFill="1"/>
    <xf numFmtId="10" fontId="0" fillId="3" borderId="0" xfId="1" applyNumberFormat="1" applyFont="1" applyFill="1"/>
    <xf numFmtId="39" fontId="10" fillId="2" borderId="0" xfId="0" applyNumberFormat="1" applyFont="1" applyFill="1"/>
    <xf numFmtId="0" fontId="7" fillId="9" borderId="15" xfId="0" applyFont="1" applyFill="1" applyBorder="1"/>
    <xf numFmtId="167" fontId="7" fillId="9" borderId="16" xfId="0" applyNumberFormat="1" applyFont="1" applyFill="1" applyBorder="1"/>
    <xf numFmtId="168" fontId="0" fillId="17" borderId="25" xfId="1" applyNumberFormat="1" applyFont="1" applyFill="1" applyBorder="1"/>
    <xf numFmtId="168" fontId="0" fillId="17" borderId="26" xfId="1" applyNumberFormat="1" applyFont="1" applyFill="1" applyBorder="1"/>
    <xf numFmtId="0" fontId="24" fillId="8" borderId="25" xfId="2" quotePrefix="1" applyFill="1" applyBorder="1" applyAlignment="1">
      <alignment horizontal="center"/>
    </xf>
    <xf numFmtId="0" fontId="24" fillId="8" borderId="26" xfId="2" quotePrefix="1" applyFill="1" applyBorder="1" applyAlignment="1">
      <alignment horizontal="center"/>
    </xf>
    <xf numFmtId="168" fontId="0" fillId="17" borderId="2" xfId="1" applyNumberFormat="1" applyFont="1" applyFill="1" applyBorder="1"/>
    <xf numFmtId="2" fontId="0" fillId="17" borderId="6" xfId="1" applyNumberFormat="1" applyFont="1" applyFill="1" applyBorder="1"/>
    <xf numFmtId="0" fontId="0" fillId="7" borderId="27" xfId="0" applyFill="1" applyBorder="1"/>
    <xf numFmtId="0" fontId="4" fillId="4" borderId="1" xfId="0" applyFont="1" applyFill="1" applyBorder="1" applyAlignment="1">
      <alignment horizontal="center"/>
    </xf>
    <xf numFmtId="0" fontId="4" fillId="4" borderId="2"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0" fontId="5" fillId="4" borderId="0" xfId="0" applyFont="1" applyFill="1" applyAlignment="1">
      <alignment horizontal="center"/>
    </xf>
    <xf numFmtId="0" fontId="5" fillId="4" borderId="4" xfId="0" applyFont="1" applyFill="1" applyBorder="1" applyAlignment="1">
      <alignment horizontal="center"/>
    </xf>
    <xf numFmtId="0" fontId="5" fillId="4" borderId="3" xfId="0" applyFont="1" applyFill="1" applyBorder="1" applyAlignment="1">
      <alignment horizontal="center"/>
    </xf>
    <xf numFmtId="168" fontId="18" fillId="17" borderId="5" xfId="1" applyNumberFormat="1" applyFont="1" applyFill="1" applyBorder="1" applyAlignment="1">
      <alignment horizontal="center"/>
    </xf>
    <xf numFmtId="168" fontId="18" fillId="17" borderId="6" xfId="1" applyNumberFormat="1" applyFont="1" applyFill="1" applyBorder="1" applyAlignment="1">
      <alignment horizontal="center"/>
    </xf>
    <xf numFmtId="0" fontId="15" fillId="5" borderId="12" xfId="0" applyFont="1" applyFill="1" applyBorder="1" applyAlignment="1">
      <alignment horizontal="center"/>
    </xf>
    <xf numFmtId="0" fontId="4" fillId="4" borderId="13" xfId="0" applyFont="1" applyFill="1" applyBorder="1" applyAlignment="1">
      <alignment horizontal="center"/>
    </xf>
    <xf numFmtId="0" fontId="4" fillId="4" borderId="11" xfId="0" applyFont="1" applyFill="1" applyBorder="1" applyAlignment="1">
      <alignment horizontal="center"/>
    </xf>
    <xf numFmtId="0" fontId="4" fillId="4" borderId="4" xfId="0" applyFont="1" applyFill="1" applyBorder="1" applyAlignment="1">
      <alignment horizontal="center"/>
    </xf>
    <xf numFmtId="0" fontId="4" fillId="4" borderId="3" xfId="0" applyFont="1" applyFill="1" applyBorder="1" applyAlignment="1">
      <alignment horizontal="center"/>
    </xf>
    <xf numFmtId="0" fontId="4" fillId="2" borderId="0" xfId="0" applyFont="1" applyFill="1" applyAlignment="1">
      <alignment horizontal="center"/>
    </xf>
    <xf numFmtId="0" fontId="4" fillId="4" borderId="17" xfId="0" applyFont="1" applyFill="1" applyBorder="1" applyAlignment="1">
      <alignment horizontal="center"/>
    </xf>
    <xf numFmtId="0" fontId="4" fillId="4" borderId="18" xfId="0" applyFont="1" applyFill="1" applyBorder="1" applyAlignment="1">
      <alignment horizontal="center"/>
    </xf>
    <xf numFmtId="0" fontId="0" fillId="2" borderId="0" xfId="0" applyFill="1" applyAlignment="1">
      <alignment horizontal="left"/>
    </xf>
  </cellXfs>
  <cellStyles count="3">
    <cellStyle name="Hyperlink" xfId="2" builtinId="8"/>
    <cellStyle name="Normal" xfId="0" builtinId="0"/>
    <cellStyle name="Percent" xfId="1" builtinId="5"/>
  </cellStyles>
  <dxfs count="3">
    <dxf>
      <fill>
        <patternFill>
          <bgColor theme="9" tint="0.59996337778862885"/>
        </patternFill>
      </fill>
    </dxf>
    <dxf>
      <fill>
        <patternFill>
          <bgColor theme="0"/>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 Id="rId30" Type="http://schemas.microsoft.com/office/2017/06/relationships/richStyles" Target="richData/richStyle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31.12.2021</c:v>
                </c:pt>
                <c:pt idx="1">
                  <c:v>30.09.2022</c:v>
                </c:pt>
                <c:pt idx="2">
                  <c:v>31.12.2023</c:v>
                </c:pt>
                <c:pt idx="3">
                  <c:v>31.12.2024</c:v>
                </c:pt>
                <c:pt idx="4">
                  <c:v>31.12.2025</c:v>
                </c:pt>
              </c:strCache>
            </c:strRef>
          </c:cat>
          <c:val>
            <c:numRef>
              <c:f>'Graphs Year'!$H$57:$L$57</c:f>
              <c:numCache>
                <c:formatCode>#,##0_);[Red]\(#,##0\)</c:formatCode>
                <c:ptCount val="5"/>
                <c:pt idx="0">
                  <c:v>250772</c:v>
                </c:pt>
                <c:pt idx="1">
                  <c:v>369495</c:v>
                </c:pt>
                <c:pt idx="2">
                  <c:v>531109</c:v>
                </c:pt>
                <c:pt idx="3">
                  <c:v>748024</c:v>
                </c:pt>
                <c:pt idx="4">
                  <c:v>1037589</c:v>
                </c:pt>
              </c:numCache>
            </c:numRef>
          </c:val>
          <c:extLst>
            <c:ext xmlns:c16="http://schemas.microsoft.com/office/drawing/2014/chart" uri="{C3380CC4-5D6E-409C-BE32-E72D297353CC}">
              <c16:uniqueId val="{00000000-FBD8-F544-8D7A-E766A179560A}"/>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31.12.2021</c:v>
                </c:pt>
                <c:pt idx="1">
                  <c:v>30.09.2022</c:v>
                </c:pt>
                <c:pt idx="2">
                  <c:v>31.12.2023</c:v>
                </c:pt>
                <c:pt idx="3">
                  <c:v>31.12.2024</c:v>
                </c:pt>
                <c:pt idx="4">
                  <c:v>31.12.2025</c:v>
                </c:pt>
              </c:strCache>
            </c:strRef>
          </c:cat>
          <c:val>
            <c:numRef>
              <c:f>'Graphs Year'!$H$58:$L$58</c:f>
              <c:numCache>
                <c:formatCode>#,##0_);\(#,##0\)</c:formatCode>
                <c:ptCount val="5"/>
                <c:pt idx="0">
                  <c:v>-60007</c:v>
                </c:pt>
                <c:pt idx="1">
                  <c:v>-65195</c:v>
                </c:pt>
                <c:pt idx="2">
                  <c:v>-13259</c:v>
                </c:pt>
                <c:pt idx="3">
                  <c:v>62595</c:v>
                </c:pt>
                <c:pt idx="4">
                  <c:v>135570</c:v>
                </c:pt>
              </c:numCache>
            </c:numRef>
          </c:val>
          <c:extLst>
            <c:ext xmlns:c16="http://schemas.microsoft.com/office/drawing/2014/chart" uri="{C3380CC4-5D6E-409C-BE32-E72D297353CC}">
              <c16:uniqueId val="{00000001-FBD8-F544-8D7A-E766A179560A}"/>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31.12.2021</c:v>
                </c:pt>
                <c:pt idx="1">
                  <c:v>30.09.2022</c:v>
                </c:pt>
                <c:pt idx="2">
                  <c:v>31.12.2023</c:v>
                </c:pt>
                <c:pt idx="3">
                  <c:v>31.12.2024</c:v>
                </c:pt>
                <c:pt idx="4">
                  <c:v>31.12.2025</c:v>
                </c:pt>
              </c:strCache>
            </c:strRef>
          </c:cat>
          <c:val>
            <c:numRef>
              <c:f>'Graphs Year'!$H$59:$L$59</c:f>
              <c:numCache>
                <c:formatCode>#,##0_);\(#,##0\)</c:formatCode>
                <c:ptCount val="5"/>
                <c:pt idx="0">
                  <c:v>-60135</c:v>
                </c:pt>
                <c:pt idx="1">
                  <c:v>-59574</c:v>
                </c:pt>
                <c:pt idx="2">
                  <c:v>16067</c:v>
                </c:pt>
                <c:pt idx="3">
                  <c:v>88574</c:v>
                </c:pt>
                <c:pt idx="4">
                  <c:v>157365</c:v>
                </c:pt>
              </c:numCache>
            </c:numRef>
          </c:val>
          <c:extLst>
            <c:ext xmlns:c16="http://schemas.microsoft.com/office/drawing/2014/chart" uri="{C3380CC4-5D6E-409C-BE32-E72D297353CC}">
              <c16:uniqueId val="{00000002-FBD8-F544-8D7A-E766A179560A}"/>
            </c:ext>
          </c:extLst>
        </c:ser>
        <c:dLbls>
          <c:showLegendKey val="0"/>
          <c:showVal val="0"/>
          <c:showCatName val="0"/>
          <c:showSerName val="0"/>
          <c:showPercent val="0"/>
          <c:showBubbleSize val="0"/>
        </c:dLbls>
        <c:gapWidth val="75"/>
        <c:overlap val="-25"/>
        <c:axId val="53038591"/>
        <c:axId val="53037247"/>
      </c:barChart>
      <c:catAx>
        <c:axId val="53038591"/>
        <c:scaling>
          <c:orientation val="minMax"/>
        </c:scaling>
        <c:delete val="1"/>
        <c:axPos val="b"/>
        <c:numFmt formatCode="General" sourceLinked="1"/>
        <c:majorTickMark val="none"/>
        <c:minorTickMark val="none"/>
        <c:tickLblPos val="nextTo"/>
        <c:crossAx val="53037247"/>
        <c:crosses val="autoZero"/>
        <c:auto val="1"/>
        <c:lblAlgn val="ctr"/>
        <c:lblOffset val="100"/>
        <c:noMultiLvlLbl val="0"/>
      </c:catAx>
      <c:valAx>
        <c:axId val="53037247"/>
        <c:scaling>
          <c:orientation val="minMax"/>
        </c:scaling>
        <c:delete val="0"/>
        <c:axPos val="l"/>
        <c:majorGridlines>
          <c:spPr>
            <a:ln w="9525" cap="flat" cmpd="sng" algn="ctr">
              <a:solidFill>
                <a:schemeClr val="lt1">
                  <a:lumMod val="95000"/>
                  <a:alpha val="10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038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FCFE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Year'!$H$60:$L$60</c:f>
              <c:numCache>
                <c:formatCode>#,##0_);\(#,##0\)</c:formatCode>
                <c:ptCount val="5"/>
                <c:pt idx="0">
                  <c:v>-37840</c:v>
                </c:pt>
                <c:pt idx="1">
                  <c:v>-30288</c:v>
                </c:pt>
                <c:pt idx="2">
                  <c:v>44709</c:v>
                </c:pt>
                <c:pt idx="3">
                  <c:v>153896</c:v>
                </c:pt>
                <c:pt idx="4">
                  <c:v>222987</c:v>
                </c:pt>
              </c:numCache>
            </c:numRef>
          </c:val>
          <c:extLst>
            <c:ext xmlns:c16="http://schemas.microsoft.com/office/drawing/2014/chart" uri="{C3380CC4-5D6E-409C-BE32-E72D297353CC}">
              <c16:uniqueId val="{00000000-BB17-2F4C-8690-419106F20D70}"/>
            </c:ext>
          </c:extLst>
        </c:ser>
        <c:ser>
          <c:idx val="1"/>
          <c:order val="1"/>
          <c:tx>
            <c:v>FCFF</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Year'!$H$61:$L$61</c:f>
              <c:numCache>
                <c:formatCode>#,##0_);\(#,##0\)</c:formatCode>
                <c:ptCount val="5"/>
                <c:pt idx="0">
                  <c:v>-37712</c:v>
                </c:pt>
                <c:pt idx="1">
                  <c:v>-35909</c:v>
                </c:pt>
                <c:pt idx="2">
                  <c:v>15050</c:v>
                </c:pt>
                <c:pt idx="3">
                  <c:v>119828.20010556566</c:v>
                </c:pt>
                <c:pt idx="4">
                  <c:v>152914.15947590594</c:v>
                </c:pt>
              </c:numCache>
            </c:numRef>
          </c:val>
          <c:extLst>
            <c:ext xmlns:c16="http://schemas.microsoft.com/office/drawing/2014/chart" uri="{C3380CC4-5D6E-409C-BE32-E72D297353CC}">
              <c16:uniqueId val="{00000001-BB17-2F4C-8690-419106F20D70}"/>
            </c:ext>
          </c:extLst>
        </c:ser>
        <c:dLbls>
          <c:showLegendKey val="0"/>
          <c:showVal val="0"/>
          <c:showCatName val="0"/>
          <c:showSerName val="0"/>
          <c:showPercent val="0"/>
          <c:showBubbleSize val="0"/>
        </c:dLbls>
        <c:gapWidth val="100"/>
        <c:overlap val="-24"/>
        <c:axId val="2187135"/>
        <c:axId val="58967807"/>
      </c:barChart>
      <c:catAx>
        <c:axId val="2187135"/>
        <c:scaling>
          <c:orientation val="minMax"/>
        </c:scaling>
        <c:delete val="1"/>
        <c:axPos val="b"/>
        <c:majorTickMark val="none"/>
        <c:minorTickMark val="none"/>
        <c:tickLblPos val="nextTo"/>
        <c:crossAx val="58967807"/>
        <c:crosses val="autoZero"/>
        <c:auto val="1"/>
        <c:lblAlgn val="ctr"/>
        <c:lblOffset val="100"/>
        <c:noMultiLvlLbl val="0"/>
      </c:catAx>
      <c:valAx>
        <c:axId val="58967807"/>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8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1592300962376E-2"/>
          <c:y val="2.5428331875182269E-2"/>
          <c:w val="0.87129396325459318"/>
          <c:h val="0.79224482356372117"/>
        </c:manualLayout>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Year'!$H$62:$L$62</c:f>
              <c:numCache>
                <c:formatCode>0%</c:formatCode>
                <c:ptCount val="5"/>
                <c:pt idx="0">
                  <c:v>0.72410795463608379</c:v>
                </c:pt>
                <c:pt idx="1">
                  <c:v>0.73090028281844144</c:v>
                </c:pt>
                <c:pt idx="2">
                  <c:v>0.7324372209847696</c:v>
                </c:pt>
                <c:pt idx="3">
                  <c:v>0.72775606130284587</c:v>
                </c:pt>
                <c:pt idx="4">
                  <c:v>0.7223062310799363</c:v>
                </c:pt>
              </c:numCache>
            </c:numRef>
          </c:val>
          <c:extLst>
            <c:ext xmlns:c16="http://schemas.microsoft.com/office/drawing/2014/chart" uri="{C3380CC4-5D6E-409C-BE32-E72D297353CC}">
              <c16:uniqueId val="{00000000-F190-BE4A-9FEF-2CC4F95DC82E}"/>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Year'!$H$63:$L$63</c:f>
              <c:numCache>
                <c:formatCode>0%</c:formatCode>
                <c:ptCount val="5"/>
                <c:pt idx="0">
                  <c:v>-0.23928907533536439</c:v>
                </c:pt>
                <c:pt idx="1">
                  <c:v>-0.17644352426961121</c:v>
                </c:pt>
                <c:pt idx="2">
                  <c:v>-2.4964743583708805E-2</c:v>
                </c:pt>
                <c:pt idx="3">
                  <c:v>8.3680470145342925E-2</c:v>
                </c:pt>
                <c:pt idx="4">
                  <c:v>0.13065867120796384</c:v>
                </c:pt>
              </c:numCache>
            </c:numRef>
          </c:val>
          <c:extLst>
            <c:ext xmlns:c16="http://schemas.microsoft.com/office/drawing/2014/chart" uri="{C3380CC4-5D6E-409C-BE32-E72D297353CC}">
              <c16:uniqueId val="{00000001-F190-BE4A-9FEF-2CC4F95DC82E}"/>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Year'!$H$64:$L$64</c:f>
              <c:numCache>
                <c:formatCode>0%</c:formatCode>
                <c:ptCount val="5"/>
                <c:pt idx="0">
                  <c:v>-0.2397994991466352</c:v>
                </c:pt>
                <c:pt idx="1">
                  <c:v>-0.16123086915925791</c:v>
                </c:pt>
                <c:pt idx="2">
                  <c:v>3.0251793887883655E-2</c:v>
                </c:pt>
                <c:pt idx="3">
                  <c:v>0.11841063923082681</c:v>
                </c:pt>
                <c:pt idx="4">
                  <c:v>0.15166409821229793</c:v>
                </c:pt>
              </c:numCache>
            </c:numRef>
          </c:val>
          <c:extLst>
            <c:ext xmlns:c16="http://schemas.microsoft.com/office/drawing/2014/chart" uri="{C3380CC4-5D6E-409C-BE32-E72D297353CC}">
              <c16:uniqueId val="{00000002-F190-BE4A-9FEF-2CC4F95DC82E}"/>
            </c:ext>
          </c:extLst>
        </c:ser>
        <c:dLbls>
          <c:showLegendKey val="0"/>
          <c:showVal val="0"/>
          <c:showCatName val="0"/>
          <c:showSerName val="0"/>
          <c:showPercent val="0"/>
          <c:showBubbleSize val="0"/>
        </c:dLbls>
        <c:gapWidth val="100"/>
        <c:overlap val="-24"/>
        <c:axId val="91790783"/>
        <c:axId val="91797055"/>
      </c:barChart>
      <c:catAx>
        <c:axId val="91790783"/>
        <c:scaling>
          <c:orientation val="minMax"/>
        </c:scaling>
        <c:delete val="1"/>
        <c:axPos val="b"/>
        <c:majorTickMark val="none"/>
        <c:minorTickMark val="none"/>
        <c:tickLblPos val="nextTo"/>
        <c:crossAx val="91797055"/>
        <c:crosses val="autoZero"/>
        <c:auto val="1"/>
        <c:lblAlgn val="ctr"/>
        <c:lblOffset val="100"/>
        <c:noMultiLvlLbl val="0"/>
      </c:catAx>
      <c:valAx>
        <c:axId val="917970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79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Subscription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Year'!$H$65:$L$65</c:f>
              <c:numCache>
                <c:formatCode>#,##0_);\(#,##0\)</c:formatCode>
                <c:ptCount val="5"/>
                <c:pt idx="0">
                  <c:v>180698</c:v>
                </c:pt>
                <c:pt idx="1">
                  <c:v>273507</c:v>
                </c:pt>
                <c:pt idx="2">
                  <c:v>404684</c:v>
                </c:pt>
                <c:pt idx="3">
                  <c:v>607531</c:v>
                </c:pt>
                <c:pt idx="4">
                  <c:v>873442</c:v>
                </c:pt>
              </c:numCache>
            </c:numRef>
          </c:val>
          <c:extLst>
            <c:ext xmlns:c16="http://schemas.microsoft.com/office/drawing/2014/chart" uri="{C3380CC4-5D6E-409C-BE32-E72D297353CC}">
              <c16:uniqueId val="{00000000-CDE5-154C-8153-319428CD8714}"/>
            </c:ext>
          </c:extLst>
        </c:ser>
        <c:ser>
          <c:idx val="1"/>
          <c:order val="1"/>
          <c:tx>
            <c:v>Advertising</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Year'!$H$66:$L$66</c:f>
              <c:numCache>
                <c:formatCode>#,##0_);\(#,##0\)</c:formatCode>
                <c:ptCount val="5"/>
                <c:pt idx="0">
                  <c:v>38501</c:v>
                </c:pt>
                <c:pt idx="1">
                  <c:v>44731</c:v>
                </c:pt>
                <c:pt idx="2">
                  <c:v>49858</c:v>
                </c:pt>
                <c:pt idx="3">
                  <c:v>54907</c:v>
                </c:pt>
                <c:pt idx="4">
                  <c:v>79725</c:v>
                </c:pt>
              </c:numCache>
            </c:numRef>
          </c:val>
          <c:extLst>
            <c:ext xmlns:c16="http://schemas.microsoft.com/office/drawing/2014/chart" uri="{C3380CC4-5D6E-409C-BE32-E72D297353CC}">
              <c16:uniqueId val="{00000001-CDE5-154C-8153-319428CD8714}"/>
            </c:ext>
          </c:extLst>
        </c:ser>
        <c:ser>
          <c:idx val="2"/>
          <c:order val="2"/>
          <c:tx>
            <c:v>English Test</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Year'!$H$67:$L$67</c:f>
              <c:numCache>
                <c:formatCode>#,##0_);\(#,##0\)</c:formatCode>
                <c:ptCount val="5"/>
                <c:pt idx="0">
                  <c:v>24658</c:v>
                </c:pt>
                <c:pt idx="1">
                  <c:v>32718</c:v>
                </c:pt>
                <c:pt idx="2">
                  <c:v>41212</c:v>
                </c:pt>
                <c:pt idx="3">
                  <c:v>45640</c:v>
                </c:pt>
                <c:pt idx="4">
                  <c:v>42006</c:v>
                </c:pt>
              </c:numCache>
            </c:numRef>
          </c:val>
          <c:extLst>
            <c:ext xmlns:c16="http://schemas.microsoft.com/office/drawing/2014/chart" uri="{C3380CC4-5D6E-409C-BE32-E72D297353CC}">
              <c16:uniqueId val="{00000002-CDE5-154C-8153-319428CD8714}"/>
            </c:ext>
          </c:extLst>
        </c:ser>
        <c:ser>
          <c:idx val="3"/>
          <c:order val="3"/>
          <c:tx>
            <c:v>Purchases</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Year'!$H$68:$L$68</c:f>
              <c:numCache>
                <c:formatCode>#,##0_);\(#,##0\)</c:formatCode>
                <c:ptCount val="5"/>
                <c:pt idx="0">
                  <c:v>6915</c:v>
                </c:pt>
                <c:pt idx="1">
                  <c:v>18539</c:v>
                </c:pt>
                <c:pt idx="2">
                  <c:v>34673</c:v>
                </c:pt>
                <c:pt idx="3">
                  <c:v>38653</c:v>
                </c:pt>
                <c:pt idx="4">
                  <c:v>40479</c:v>
                </c:pt>
              </c:numCache>
            </c:numRef>
          </c:val>
          <c:extLst>
            <c:ext xmlns:c16="http://schemas.microsoft.com/office/drawing/2014/chart" uri="{C3380CC4-5D6E-409C-BE32-E72D297353CC}">
              <c16:uniqueId val="{00000000-3ADE-EB42-A83F-4446CC9668F7}"/>
            </c:ext>
          </c:extLst>
        </c:ser>
        <c:ser>
          <c:idx val="4"/>
          <c:order val="4"/>
          <c:tx>
            <c:v>Other</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Year'!$H$69:$L$69</c:f>
              <c:numCache>
                <c:formatCode>#,##0_);\(#,##0\)</c:formatCode>
                <c:ptCount val="5"/>
                <c:pt idx="0">
                  <c:v>79</c:v>
                </c:pt>
                <c:pt idx="1">
                  <c:v>625</c:v>
                </c:pt>
                <c:pt idx="2">
                  <c:v>682</c:v>
                </c:pt>
                <c:pt idx="3">
                  <c:v>1293</c:v>
                </c:pt>
                <c:pt idx="4">
                  <c:v>1937</c:v>
                </c:pt>
              </c:numCache>
            </c:numRef>
          </c:val>
          <c:extLst>
            <c:ext xmlns:c16="http://schemas.microsoft.com/office/drawing/2014/chart" uri="{C3380CC4-5D6E-409C-BE32-E72D297353CC}">
              <c16:uniqueId val="{00000001-3ADE-EB42-A83F-4446CC9668F7}"/>
            </c:ext>
          </c:extLst>
        </c:ser>
        <c:dLbls>
          <c:showLegendKey val="0"/>
          <c:showVal val="0"/>
          <c:showCatName val="0"/>
          <c:showSerName val="0"/>
          <c:showPercent val="0"/>
          <c:showBubbleSize val="0"/>
        </c:dLbls>
        <c:gapWidth val="150"/>
        <c:overlap val="100"/>
        <c:axId val="57928639"/>
        <c:axId val="57930431"/>
      </c:barChart>
      <c:catAx>
        <c:axId val="57928639"/>
        <c:scaling>
          <c:orientation val="minMax"/>
        </c:scaling>
        <c:delete val="1"/>
        <c:axPos val="b"/>
        <c:majorTickMark val="none"/>
        <c:minorTickMark val="none"/>
        <c:tickLblPos val="nextTo"/>
        <c:crossAx val="57930431"/>
        <c:crosses val="autoZero"/>
        <c:auto val="1"/>
        <c:lblAlgn val="ctr"/>
        <c:lblOffset val="100"/>
        <c:noMultiLvlLbl val="0"/>
      </c:catAx>
      <c:valAx>
        <c:axId val="5793043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2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ROA</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Year'!$H$70:$L$70</c:f>
              <c:numCache>
                <c:formatCode>0.00%</c:formatCode>
                <c:ptCount val="5"/>
                <c:pt idx="0">
                  <c:v>-9.0933010338554776E-2</c:v>
                </c:pt>
                <c:pt idx="1">
                  <c:v>-7.9713974900548212E-2</c:v>
                </c:pt>
                <c:pt idx="2">
                  <c:v>1.6842478224909509E-2</c:v>
                </c:pt>
                <c:pt idx="3">
                  <c:v>6.804340077189705E-2</c:v>
                </c:pt>
                <c:pt idx="4">
                  <c:v>7.89912769014076E-2</c:v>
                </c:pt>
              </c:numCache>
            </c:numRef>
          </c:val>
          <c:extLst>
            <c:ext xmlns:c16="http://schemas.microsoft.com/office/drawing/2014/chart" uri="{C3380CC4-5D6E-409C-BE32-E72D297353CC}">
              <c16:uniqueId val="{00000000-5130-D94B-93C9-EC406C04EEFA}"/>
            </c:ext>
          </c:extLst>
        </c:ser>
        <c:ser>
          <c:idx val="1"/>
          <c:order val="1"/>
          <c:tx>
            <c:v>ROE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Year'!$H$71:$L$71</c:f>
              <c:numCache>
                <c:formatCode>0.00%</c:formatCode>
                <c:ptCount val="5"/>
                <c:pt idx="0">
                  <c:v>-0.1172094274309237</c:v>
                </c:pt>
                <c:pt idx="1">
                  <c:v>-0.1098993133829449</c:v>
                </c:pt>
                <c:pt idx="2">
                  <c:v>2.4511022866479229E-2</c:v>
                </c:pt>
                <c:pt idx="3">
                  <c:v>0.10742101752471045</c:v>
                </c:pt>
                <c:pt idx="4">
                  <c:v>0.11682576024160249</c:v>
                </c:pt>
              </c:numCache>
            </c:numRef>
          </c:val>
          <c:extLst>
            <c:ext xmlns:c16="http://schemas.microsoft.com/office/drawing/2014/chart" uri="{C3380CC4-5D6E-409C-BE32-E72D297353CC}">
              <c16:uniqueId val="{00000001-5130-D94B-93C9-EC406C04EEFA}"/>
            </c:ext>
          </c:extLst>
        </c:ser>
        <c:ser>
          <c:idx val="2"/>
          <c:order val="2"/>
          <c:tx>
            <c:v>ROIC</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Year'!$H$72:$L$72</c:f>
              <c:numCache>
                <c:formatCode>0.00%</c:formatCode>
                <c:ptCount val="5"/>
                <c:pt idx="0">
                  <c:v>1.4683844760925953</c:v>
                </c:pt>
                <c:pt idx="1">
                  <c:v>0.98627878127741975</c:v>
                </c:pt>
                <c:pt idx="2">
                  <c:v>0.14394901692559903</c:v>
                </c:pt>
                <c:pt idx="3">
                  <c:v>-0.35797789840320271</c:v>
                </c:pt>
                <c:pt idx="4">
                  <c:v>1.6371013770230809</c:v>
                </c:pt>
              </c:numCache>
            </c:numRef>
          </c:val>
          <c:extLst>
            <c:ext xmlns:c16="http://schemas.microsoft.com/office/drawing/2014/chart" uri="{C3380CC4-5D6E-409C-BE32-E72D297353CC}">
              <c16:uniqueId val="{00000002-5130-D94B-93C9-EC406C04EEFA}"/>
            </c:ext>
          </c:extLst>
        </c:ser>
        <c:dLbls>
          <c:showLegendKey val="0"/>
          <c:showVal val="0"/>
          <c:showCatName val="0"/>
          <c:showSerName val="0"/>
          <c:showPercent val="0"/>
          <c:showBubbleSize val="0"/>
        </c:dLbls>
        <c:gapWidth val="100"/>
        <c:overlap val="-24"/>
        <c:axId val="92276031"/>
        <c:axId val="92282303"/>
      </c:barChart>
      <c:catAx>
        <c:axId val="92276031"/>
        <c:scaling>
          <c:orientation val="minMax"/>
        </c:scaling>
        <c:delete val="1"/>
        <c:axPos val="b"/>
        <c:majorTickMark val="none"/>
        <c:minorTickMark val="none"/>
        <c:tickLblPos val="nextTo"/>
        <c:crossAx val="92282303"/>
        <c:crosses val="autoZero"/>
        <c:auto val="1"/>
        <c:lblAlgn val="ctr"/>
        <c:lblOffset val="100"/>
        <c:noMultiLvlLbl val="0"/>
      </c:catAx>
      <c:valAx>
        <c:axId val="9228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27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Price 5y</c:v>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Year'!$H$73:$L$73</c:f>
              <c:numCache>
                <c:formatCode>0</c:formatCode>
                <c:ptCount val="5"/>
                <c:pt idx="0">
                  <c:v>100</c:v>
                </c:pt>
                <c:pt idx="1">
                  <c:v>64.324470971242548</c:v>
                </c:pt>
                <c:pt idx="2">
                  <c:v>205.14559594863445</c:v>
                </c:pt>
                <c:pt idx="3">
                  <c:v>294.08572978838851</c:v>
                </c:pt>
                <c:pt idx="4">
                  <c:v>160.19171640441309</c:v>
                </c:pt>
              </c:numCache>
            </c:numRef>
          </c:val>
          <c:smooth val="0"/>
          <c:extLst>
            <c:ext xmlns:c16="http://schemas.microsoft.com/office/drawing/2014/chart" uri="{C3380CC4-5D6E-409C-BE32-E72D297353CC}">
              <c16:uniqueId val="{00000000-E1C7-E644-B67E-BC4064FDD059}"/>
            </c:ext>
          </c:extLst>
        </c:ser>
        <c:ser>
          <c:idx val="1"/>
          <c:order val="1"/>
          <c:tx>
            <c:v>Revenue 5y</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'Graphs Year'!$H$74:$L$74</c:f>
              <c:numCache>
                <c:formatCode>0</c:formatCode>
                <c:ptCount val="5"/>
                <c:pt idx="0">
                  <c:v>100</c:v>
                </c:pt>
                <c:pt idx="1">
                  <c:v>147.34300480117398</c:v>
                </c:pt>
                <c:pt idx="2">
                  <c:v>211.78959373454771</c:v>
                </c:pt>
                <c:pt idx="3">
                  <c:v>298.28848515783261</c:v>
                </c:pt>
                <c:pt idx="4">
                  <c:v>413.75791555676074</c:v>
                </c:pt>
              </c:numCache>
            </c:numRef>
          </c:val>
          <c:smooth val="0"/>
          <c:extLst>
            <c:ext xmlns:c16="http://schemas.microsoft.com/office/drawing/2014/chart" uri="{C3380CC4-5D6E-409C-BE32-E72D297353CC}">
              <c16:uniqueId val="{00000001-E1C7-E644-B67E-BC4064FDD059}"/>
            </c:ext>
          </c:extLst>
        </c:ser>
        <c:ser>
          <c:idx val="2"/>
          <c:order val="2"/>
          <c:tx>
            <c:v>EPS 5y</c:v>
          </c:tx>
          <c:spPr>
            <a:ln w="34925" cap="rnd">
              <a:solidFill>
                <a:schemeClr val="accent3"/>
              </a:solidFill>
              <a:round/>
            </a:ln>
            <a:effectLst>
              <a:outerShdw blurRad="57150" dist="19050" dir="5400000" algn="ctr" rotWithShape="0">
                <a:srgbClr val="000000">
                  <a:alpha val="63000"/>
                </a:srgbClr>
              </a:outerShdw>
            </a:effectLst>
          </c:spPr>
          <c:marker>
            <c:symbol val="none"/>
          </c:marker>
          <c:val>
            <c:numRef>
              <c:f>'Graphs Year'!$H$75:$L$75</c:f>
              <c:numCache>
                <c:formatCode>0</c:formatCode>
                <c:ptCount val="5"/>
                <c:pt idx="0">
                  <c:v>100</c:v>
                </c:pt>
                <c:pt idx="1">
                  <c:v>141.24513618677042</c:v>
                </c:pt>
                <c:pt idx="2">
                  <c:v>213.61867704280155</c:v>
                </c:pt>
                <c:pt idx="3">
                  <c:v>273.15175097276267</c:v>
                </c:pt>
                <c:pt idx="4">
                  <c:v>326.73230170585919</c:v>
                </c:pt>
              </c:numCache>
            </c:numRef>
          </c:val>
          <c:smooth val="0"/>
          <c:extLst>
            <c:ext xmlns:c16="http://schemas.microsoft.com/office/drawing/2014/chart" uri="{C3380CC4-5D6E-409C-BE32-E72D297353CC}">
              <c16:uniqueId val="{00000002-E1C7-E644-B67E-BC4064FDD059}"/>
            </c:ext>
          </c:extLst>
        </c:ser>
        <c:dLbls>
          <c:showLegendKey val="0"/>
          <c:showVal val="0"/>
          <c:showCatName val="0"/>
          <c:showSerName val="0"/>
          <c:showPercent val="0"/>
          <c:showBubbleSize val="0"/>
        </c:dLbls>
        <c:smooth val="0"/>
        <c:axId val="1656736831"/>
        <c:axId val="1848533759"/>
      </c:lineChart>
      <c:catAx>
        <c:axId val="1656736831"/>
        <c:scaling>
          <c:orientation val="minMax"/>
        </c:scaling>
        <c:delete val="1"/>
        <c:axPos val="b"/>
        <c:majorTickMark val="none"/>
        <c:minorTickMark val="none"/>
        <c:tickLblPos val="nextTo"/>
        <c:crossAx val="1848533759"/>
        <c:crosses val="autoZero"/>
        <c:auto val="1"/>
        <c:lblAlgn val="ctr"/>
        <c:lblOffset val="100"/>
        <c:noMultiLvlLbl val="0"/>
      </c:catAx>
      <c:valAx>
        <c:axId val="184853375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6736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Quarter'!$C$57:$J$57</c:f>
              <c:numCache>
                <c:formatCode>#,##0_);\(#,##0\)</c:formatCode>
                <c:ptCount val="8"/>
                <c:pt idx="0">
                  <c:v>192594</c:v>
                </c:pt>
                <c:pt idx="1">
                  <c:v>209550</c:v>
                </c:pt>
                <c:pt idx="2">
                  <c:v>230743</c:v>
                </c:pt>
                <c:pt idx="3">
                  <c:v>252265</c:v>
                </c:pt>
                <c:pt idx="4">
                  <c:v>271713</c:v>
                </c:pt>
                <c:pt idx="5">
                  <c:v>282868</c:v>
                </c:pt>
                <c:pt idx="6">
                  <c:v>291967</c:v>
                </c:pt>
                <c:pt idx="7">
                  <c:v>298454</c:v>
                </c:pt>
              </c:numCache>
            </c:numRef>
          </c:val>
          <c:extLst>
            <c:ext xmlns:c16="http://schemas.microsoft.com/office/drawing/2014/chart" uri="{C3380CC4-5D6E-409C-BE32-E72D297353CC}">
              <c16:uniqueId val="{00000000-A52F-B540-A9D4-A0F6D2821008}"/>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Quarter'!$C$58:$J$58</c:f>
              <c:numCache>
                <c:formatCode>#,##0_);\(#,##0\)</c:formatCode>
                <c:ptCount val="8"/>
                <c:pt idx="0">
                  <c:v>13574</c:v>
                </c:pt>
                <c:pt idx="1">
                  <c:v>13882</c:v>
                </c:pt>
                <c:pt idx="2">
                  <c:v>23594</c:v>
                </c:pt>
                <c:pt idx="3">
                  <c:v>33363</c:v>
                </c:pt>
                <c:pt idx="4">
                  <c:v>35159</c:v>
                </c:pt>
                <c:pt idx="5">
                  <c:v>43454</c:v>
                </c:pt>
                <c:pt idx="6">
                  <c:v>44527</c:v>
                </c:pt>
                <c:pt idx="7">
                  <c:v>33945</c:v>
                </c:pt>
              </c:numCache>
            </c:numRef>
          </c:val>
          <c:extLst>
            <c:ext xmlns:c16="http://schemas.microsoft.com/office/drawing/2014/chart" uri="{C3380CC4-5D6E-409C-BE32-E72D297353CC}">
              <c16:uniqueId val="{00000001-A52F-B540-A9D4-A0F6D2821008}"/>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Quarter'!$C$59:$J$59</c:f>
              <c:numCache>
                <c:formatCode>#,##0_);\(#,##0\)</c:formatCode>
                <c:ptCount val="8"/>
                <c:pt idx="0">
                  <c:v>23360</c:v>
                </c:pt>
                <c:pt idx="1">
                  <c:v>13907</c:v>
                </c:pt>
                <c:pt idx="2">
                  <c:v>35135</c:v>
                </c:pt>
                <c:pt idx="3">
                  <c:v>44781</c:v>
                </c:pt>
                <c:pt idx="4">
                  <c:v>35495</c:v>
                </c:pt>
                <c:pt idx="5">
                  <c:v>41954</c:v>
                </c:pt>
                <c:pt idx="6">
                  <c:v>43460</c:v>
                </c:pt>
                <c:pt idx="7">
                  <c:v>33158</c:v>
                </c:pt>
              </c:numCache>
            </c:numRef>
          </c:val>
          <c:extLst>
            <c:ext xmlns:c16="http://schemas.microsoft.com/office/drawing/2014/chart" uri="{C3380CC4-5D6E-409C-BE32-E72D297353CC}">
              <c16:uniqueId val="{00000002-A52F-B540-A9D4-A0F6D2821008}"/>
            </c:ext>
          </c:extLst>
        </c:ser>
        <c:dLbls>
          <c:showLegendKey val="0"/>
          <c:showVal val="0"/>
          <c:showCatName val="0"/>
          <c:showSerName val="0"/>
          <c:showPercent val="0"/>
          <c:showBubbleSize val="0"/>
        </c:dLbls>
        <c:gapWidth val="100"/>
        <c:overlap val="-24"/>
        <c:axId val="1076387263"/>
        <c:axId val="1076391295"/>
      </c:barChart>
      <c:catAx>
        <c:axId val="1076387263"/>
        <c:scaling>
          <c:orientation val="minMax"/>
        </c:scaling>
        <c:delete val="1"/>
        <c:axPos val="b"/>
        <c:majorTickMark val="none"/>
        <c:minorTickMark val="none"/>
        <c:tickLblPos val="nextTo"/>
        <c:crossAx val="1076391295"/>
        <c:crosses val="autoZero"/>
        <c:auto val="1"/>
        <c:lblAlgn val="ctr"/>
        <c:lblOffset val="100"/>
        <c:noMultiLvlLbl val="0"/>
      </c:catAx>
      <c:valAx>
        <c:axId val="107639129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38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Quarter'!$C$60:$J$60</c:f>
              <c:numCache>
                <c:formatCode>0%</c:formatCode>
                <c:ptCount val="8"/>
                <c:pt idx="0">
                  <c:v>0.72906736450772092</c:v>
                </c:pt>
                <c:pt idx="1">
                  <c:v>0.71880219518014798</c:v>
                </c:pt>
                <c:pt idx="2">
                  <c:v>0.71116350225142255</c:v>
                </c:pt>
                <c:pt idx="3">
                  <c:v>0.7237666739341565</c:v>
                </c:pt>
                <c:pt idx="4">
                  <c:v>0.72470216736041337</c:v>
                </c:pt>
                <c:pt idx="5">
                  <c:v>0.72779176152834535</c:v>
                </c:pt>
                <c:pt idx="6">
                  <c:v>0.72986330646956676</c:v>
                </c:pt>
                <c:pt idx="7">
                  <c:v>0.72620906404337016</c:v>
                </c:pt>
              </c:numCache>
            </c:numRef>
          </c:val>
          <c:extLst>
            <c:ext xmlns:c16="http://schemas.microsoft.com/office/drawing/2014/chart" uri="{C3380CC4-5D6E-409C-BE32-E72D297353CC}">
              <c16:uniqueId val="{00000000-A048-6D48-B3EA-D7065FE0E79C}"/>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Quarter'!$C$61:$J$61</c:f>
              <c:numCache>
                <c:formatCode>0%</c:formatCode>
                <c:ptCount val="8"/>
                <c:pt idx="0">
                  <c:v>7.0479869570183915E-2</c:v>
                </c:pt>
                <c:pt idx="1">
                  <c:v>6.624671916010498E-2</c:v>
                </c:pt>
                <c:pt idx="2">
                  <c:v>0.10225228934355539</c:v>
                </c:pt>
                <c:pt idx="3">
                  <c:v>0.13225378074643729</c:v>
                </c:pt>
                <c:pt idx="4">
                  <c:v>0.12939756286964554</c:v>
                </c:pt>
                <c:pt idx="5">
                  <c:v>0.15361935602471824</c:v>
                </c:pt>
                <c:pt idx="6">
                  <c:v>0.15250696140317227</c:v>
                </c:pt>
                <c:pt idx="7">
                  <c:v>0.11373612013911692</c:v>
                </c:pt>
              </c:numCache>
            </c:numRef>
          </c:val>
          <c:extLst>
            <c:ext xmlns:c16="http://schemas.microsoft.com/office/drawing/2014/chart" uri="{C3380CC4-5D6E-409C-BE32-E72D297353CC}">
              <c16:uniqueId val="{00000001-A048-6D48-B3EA-D7065FE0E79C}"/>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Quarter'!$C$62:$J$62</c:f>
              <c:numCache>
                <c:formatCode>0%</c:formatCode>
                <c:ptCount val="8"/>
                <c:pt idx="0">
                  <c:v>0.12129142133192104</c:v>
                </c:pt>
                <c:pt idx="1">
                  <c:v>6.6366022429014557E-2</c:v>
                </c:pt>
                <c:pt idx="2">
                  <c:v>0.15226897457344318</c:v>
                </c:pt>
                <c:pt idx="3">
                  <c:v>0.1775157076883436</c:v>
                </c:pt>
                <c:pt idx="4">
                  <c:v>0.13063416178099685</c:v>
                </c:pt>
                <c:pt idx="5">
                  <c:v>0.14831652926453329</c:v>
                </c:pt>
                <c:pt idx="6">
                  <c:v>0.14885243880301541</c:v>
                </c:pt>
                <c:pt idx="7">
                  <c:v>0.11109919786633786</c:v>
                </c:pt>
              </c:numCache>
            </c:numRef>
          </c:val>
          <c:extLst>
            <c:ext xmlns:c16="http://schemas.microsoft.com/office/drawing/2014/chart" uri="{C3380CC4-5D6E-409C-BE32-E72D297353CC}">
              <c16:uniqueId val="{00000002-A048-6D48-B3EA-D7065FE0E79C}"/>
            </c:ext>
          </c:extLst>
        </c:ser>
        <c:dLbls>
          <c:showLegendKey val="0"/>
          <c:showVal val="0"/>
          <c:showCatName val="0"/>
          <c:showSerName val="0"/>
          <c:showPercent val="0"/>
          <c:showBubbleSize val="0"/>
        </c:dLbls>
        <c:gapWidth val="100"/>
        <c:overlap val="-24"/>
        <c:axId val="1157457983"/>
        <c:axId val="1157451711"/>
      </c:barChart>
      <c:catAx>
        <c:axId val="1157457983"/>
        <c:scaling>
          <c:orientation val="minMax"/>
        </c:scaling>
        <c:delete val="1"/>
        <c:axPos val="b"/>
        <c:majorTickMark val="none"/>
        <c:minorTickMark val="none"/>
        <c:tickLblPos val="nextTo"/>
        <c:crossAx val="1157451711"/>
        <c:crosses val="autoZero"/>
        <c:auto val="1"/>
        <c:lblAlgn val="ctr"/>
        <c:lblOffset val="100"/>
        <c:noMultiLvlLbl val="0"/>
      </c:catAx>
      <c:valAx>
        <c:axId val="115745171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7457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Subscription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Quarter'!$C$63:$J$63</c:f>
              <c:numCache>
                <c:formatCode>#,##0_);\(#,##0\)</c:formatCode>
                <c:ptCount val="8"/>
                <c:pt idx="0">
                  <c:v>157617</c:v>
                </c:pt>
                <c:pt idx="1">
                  <c:v>174317</c:v>
                </c:pt>
                <c:pt idx="2">
                  <c:v>190987</c:v>
                </c:pt>
                <c:pt idx="3">
                  <c:v>210678</c:v>
                </c:pt>
                <c:pt idx="4">
                  <c:v>229491</c:v>
                </c:pt>
                <c:pt idx="5">
                  <c:v>242286</c:v>
                </c:pt>
                <c:pt idx="6">
                  <c:v>250908</c:v>
                </c:pt>
                <c:pt idx="7">
                  <c:v>258035</c:v>
                </c:pt>
              </c:numCache>
            </c:numRef>
          </c:val>
          <c:extLst>
            <c:ext xmlns:c16="http://schemas.microsoft.com/office/drawing/2014/chart" uri="{C3380CC4-5D6E-409C-BE32-E72D297353CC}">
              <c16:uniqueId val="{00000000-2E19-FD44-9C5E-C1716B02A7E3}"/>
            </c:ext>
          </c:extLst>
        </c:ser>
        <c:ser>
          <c:idx val="1"/>
          <c:order val="1"/>
          <c:tx>
            <c:v>Advertising</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Quarter'!$C$64:$J$64</c:f>
              <c:numCache>
                <c:formatCode>#,##0_);\(#,##0\)</c:formatCode>
                <c:ptCount val="8"/>
                <c:pt idx="0">
                  <c:v>14405</c:v>
                </c:pt>
                <c:pt idx="1">
                  <c:v>14292</c:v>
                </c:pt>
                <c:pt idx="2">
                  <c:v>17882</c:v>
                </c:pt>
                <c:pt idx="3">
                  <c:v>20603</c:v>
                </c:pt>
                <c:pt idx="4">
                  <c:v>21019</c:v>
                </c:pt>
                <c:pt idx="5">
                  <c:v>20221</c:v>
                </c:pt>
                <c:pt idx="6">
                  <c:v>20614</c:v>
                </c:pt>
                <c:pt idx="7">
                  <c:v>21052</c:v>
                </c:pt>
              </c:numCache>
            </c:numRef>
          </c:val>
          <c:extLst>
            <c:ext xmlns:c16="http://schemas.microsoft.com/office/drawing/2014/chart" uri="{C3380CC4-5D6E-409C-BE32-E72D297353CC}">
              <c16:uniqueId val="{00000001-2E19-FD44-9C5E-C1716B02A7E3}"/>
            </c:ext>
          </c:extLst>
        </c:ser>
        <c:ser>
          <c:idx val="2"/>
          <c:order val="2"/>
          <c:tx>
            <c:v>English Test</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Quarter'!$C$65:$J$65</c:f>
              <c:numCache>
                <c:formatCode>#,##0_);\(#,##0\)</c:formatCode>
                <c:ptCount val="8"/>
                <c:pt idx="0">
                  <c:v>10772</c:v>
                </c:pt>
                <c:pt idx="1">
                  <c:v>11415</c:v>
                </c:pt>
                <c:pt idx="2">
                  <c:v>11986</c:v>
                </c:pt>
                <c:pt idx="3">
                  <c:v>10088</c:v>
                </c:pt>
                <c:pt idx="4">
                  <c:v>9649</c:v>
                </c:pt>
                <c:pt idx="5">
                  <c:v>10283</c:v>
                </c:pt>
                <c:pt idx="6">
                  <c:v>11317</c:v>
                </c:pt>
                <c:pt idx="7">
                  <c:v>10109</c:v>
                </c:pt>
              </c:numCache>
            </c:numRef>
          </c:val>
          <c:extLst>
            <c:ext xmlns:c16="http://schemas.microsoft.com/office/drawing/2014/chart" uri="{C3380CC4-5D6E-409C-BE32-E72D297353CC}">
              <c16:uniqueId val="{00000002-2E19-FD44-9C5E-C1716B02A7E3}"/>
            </c:ext>
          </c:extLst>
        </c:ser>
        <c:ser>
          <c:idx val="3"/>
          <c:order val="3"/>
          <c:tx>
            <c:v>Purchases</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Quarter'!$C$66:$J$66</c:f>
              <c:numCache>
                <c:formatCode>#,##0_);\(#,##0\)</c:formatCode>
                <c:ptCount val="8"/>
                <c:pt idx="0">
                  <c:v>9411</c:v>
                </c:pt>
                <c:pt idx="1">
                  <c:v>9142</c:v>
                </c:pt>
                <c:pt idx="2">
                  <c:v>9442</c:v>
                </c:pt>
                <c:pt idx="3">
                  <c:v>10390</c:v>
                </c:pt>
                <c:pt idx="4">
                  <c:v>11096</c:v>
                </c:pt>
                <c:pt idx="5">
                  <c:v>9551</c:v>
                </c:pt>
                <c:pt idx="6">
                  <c:v>8446</c:v>
                </c:pt>
                <c:pt idx="7">
                  <c:v>8002</c:v>
                </c:pt>
              </c:numCache>
            </c:numRef>
          </c:val>
          <c:extLst>
            <c:ext xmlns:c16="http://schemas.microsoft.com/office/drawing/2014/chart" uri="{C3380CC4-5D6E-409C-BE32-E72D297353CC}">
              <c16:uniqueId val="{00000000-B205-974C-A9BE-5302D5261425}"/>
            </c:ext>
          </c:extLst>
        </c:ser>
        <c:ser>
          <c:idx val="4"/>
          <c:order val="4"/>
          <c:tx>
            <c:v>Other</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Quarter'!$C$67:$J$67</c:f>
              <c:numCache>
                <c:formatCode>#,##0_);\(#,##0\)</c:formatCode>
                <c:ptCount val="8"/>
                <c:pt idx="0">
                  <c:v>389</c:v>
                </c:pt>
                <c:pt idx="1">
                  <c:v>384</c:v>
                </c:pt>
                <c:pt idx="2">
                  <c:v>446</c:v>
                </c:pt>
                <c:pt idx="3">
                  <c:v>506</c:v>
                </c:pt>
                <c:pt idx="4">
                  <c:v>458</c:v>
                </c:pt>
                <c:pt idx="5">
                  <c:v>527</c:v>
                </c:pt>
                <c:pt idx="6">
                  <c:v>682</c:v>
                </c:pt>
                <c:pt idx="7">
                  <c:v>1256</c:v>
                </c:pt>
              </c:numCache>
            </c:numRef>
          </c:val>
          <c:extLst>
            <c:ext xmlns:c16="http://schemas.microsoft.com/office/drawing/2014/chart" uri="{C3380CC4-5D6E-409C-BE32-E72D297353CC}">
              <c16:uniqueId val="{00000001-B205-974C-A9BE-5302D5261425}"/>
            </c:ext>
          </c:extLst>
        </c:ser>
        <c:dLbls>
          <c:showLegendKey val="0"/>
          <c:showVal val="0"/>
          <c:showCatName val="0"/>
          <c:showSerName val="0"/>
          <c:showPercent val="0"/>
          <c:showBubbleSize val="0"/>
        </c:dLbls>
        <c:gapWidth val="100"/>
        <c:overlap val="100"/>
        <c:axId val="1156718463"/>
        <c:axId val="1156723391"/>
      </c:barChart>
      <c:catAx>
        <c:axId val="1156718463"/>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23391"/>
        <c:crosses val="autoZero"/>
        <c:auto val="1"/>
        <c:lblAlgn val="ctr"/>
        <c:lblOffset val="100"/>
        <c:noMultiLvlLbl val="0"/>
      </c:catAx>
      <c:valAx>
        <c:axId val="115672339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1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FCFE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Quarter'!$C$68:$J$68</c:f>
              <c:numCache>
                <c:formatCode>#,##0_);\(#,##0\)</c:formatCode>
                <c:ptCount val="8"/>
                <c:pt idx="0">
                  <c:v>22285</c:v>
                </c:pt>
                <c:pt idx="1">
                  <c:v>51117</c:v>
                </c:pt>
                <c:pt idx="2">
                  <c:v>71994</c:v>
                </c:pt>
                <c:pt idx="3">
                  <c:v>51732</c:v>
                </c:pt>
                <c:pt idx="4">
                  <c:v>41791</c:v>
                </c:pt>
                <c:pt idx="5">
                  <c:v>57470</c:v>
                </c:pt>
                <c:pt idx="6">
                  <c:v>113139</c:v>
                </c:pt>
                <c:pt idx="7">
                  <c:v>40420</c:v>
                </c:pt>
              </c:numCache>
            </c:numRef>
          </c:val>
          <c:smooth val="0"/>
          <c:extLst>
            <c:ext xmlns:c16="http://schemas.microsoft.com/office/drawing/2014/chart" uri="{C3380CC4-5D6E-409C-BE32-E72D297353CC}">
              <c16:uniqueId val="{00000000-2537-A641-96D5-AEFA40A2B2D6}"/>
            </c:ext>
          </c:extLst>
        </c:ser>
        <c:dLbls>
          <c:showLegendKey val="0"/>
          <c:showVal val="0"/>
          <c:showCatName val="0"/>
          <c:showSerName val="0"/>
          <c:showPercent val="0"/>
          <c:showBubbleSize val="0"/>
        </c:dLbls>
        <c:smooth val="0"/>
        <c:axId val="1163393471"/>
        <c:axId val="1163381375"/>
      </c:lineChart>
      <c:catAx>
        <c:axId val="1163393471"/>
        <c:scaling>
          <c:orientation val="minMax"/>
        </c:scaling>
        <c:delete val="1"/>
        <c:axPos val="b"/>
        <c:majorTickMark val="none"/>
        <c:minorTickMark val="none"/>
        <c:tickLblPos val="nextTo"/>
        <c:crossAx val="1163381375"/>
        <c:crosses val="autoZero"/>
        <c:auto val="1"/>
        <c:lblAlgn val="ctr"/>
        <c:lblOffset val="100"/>
        <c:noMultiLvlLbl val="0"/>
      </c:catAx>
      <c:valAx>
        <c:axId val="116338137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39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22364</xdr:colOff>
      <xdr:row>2</xdr:row>
      <xdr:rowOff>10227</xdr:rowOff>
    </xdr:from>
    <xdr:to>
      <xdr:col>5</xdr:col>
      <xdr:colOff>528767</xdr:colOff>
      <xdr:row>15</xdr:row>
      <xdr:rowOff>157515</xdr:rowOff>
    </xdr:to>
    <xdr:graphicFrame macro="">
      <xdr:nvGraphicFramePr>
        <xdr:cNvPr id="2" name="Chart 1">
          <a:extLst>
            <a:ext uri="{FF2B5EF4-FFF2-40B4-BE49-F238E27FC236}">
              <a16:creationId xmlns:a16="http://schemas.microsoft.com/office/drawing/2014/main" id="{9AAB82B6-E718-1553-9A8A-71AB1CB30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717270</xdr:colOff>
      <xdr:row>2</xdr:row>
      <xdr:rowOff>10221</xdr:rowOff>
    </xdr:from>
    <xdr:to>
      <xdr:col>11</xdr:col>
      <xdr:colOff>353043</xdr:colOff>
      <xdr:row>15</xdr:row>
      <xdr:rowOff>157509</xdr:rowOff>
    </xdr:to>
    <xdr:graphicFrame macro="">
      <xdr:nvGraphicFramePr>
        <xdr:cNvPr id="3" name="Chart 2">
          <a:extLst>
            <a:ext uri="{FF2B5EF4-FFF2-40B4-BE49-F238E27FC236}">
              <a16:creationId xmlns:a16="http://schemas.microsoft.com/office/drawing/2014/main" id="{C193E931-8DC7-D7CC-D47C-6903365BA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22365</xdr:colOff>
      <xdr:row>16</xdr:row>
      <xdr:rowOff>177959</xdr:rowOff>
    </xdr:from>
    <xdr:to>
      <xdr:col>5</xdr:col>
      <xdr:colOff>528768</xdr:colOff>
      <xdr:row>30</xdr:row>
      <xdr:rowOff>125562</xdr:rowOff>
    </xdr:to>
    <xdr:graphicFrame macro="">
      <xdr:nvGraphicFramePr>
        <xdr:cNvPr id="4" name="Chart 3">
          <a:extLst>
            <a:ext uri="{FF2B5EF4-FFF2-40B4-BE49-F238E27FC236}">
              <a16:creationId xmlns:a16="http://schemas.microsoft.com/office/drawing/2014/main" id="{7C1A4ED0-7A66-D55A-012D-14A8004B4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725258</xdr:colOff>
      <xdr:row>16</xdr:row>
      <xdr:rowOff>169971</xdr:rowOff>
    </xdr:from>
    <xdr:to>
      <xdr:col>11</xdr:col>
      <xdr:colOff>361031</xdr:colOff>
      <xdr:row>30</xdr:row>
      <xdr:rowOff>117574</xdr:rowOff>
    </xdr:to>
    <xdr:graphicFrame macro="">
      <xdr:nvGraphicFramePr>
        <xdr:cNvPr id="5" name="Chart 4">
          <a:extLst>
            <a:ext uri="{FF2B5EF4-FFF2-40B4-BE49-F238E27FC236}">
              <a16:creationId xmlns:a16="http://schemas.microsoft.com/office/drawing/2014/main" id="{BF106170-16E4-9CE8-051D-B7F6A8CA0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14378</xdr:colOff>
      <xdr:row>31</xdr:row>
      <xdr:rowOff>50160</xdr:rowOff>
    </xdr:from>
    <xdr:to>
      <xdr:col>5</xdr:col>
      <xdr:colOff>520781</xdr:colOff>
      <xdr:row>44</xdr:row>
      <xdr:rowOff>197448</xdr:rowOff>
    </xdr:to>
    <xdr:graphicFrame macro="">
      <xdr:nvGraphicFramePr>
        <xdr:cNvPr id="6" name="Chart 5">
          <a:extLst>
            <a:ext uri="{FF2B5EF4-FFF2-40B4-BE49-F238E27FC236}">
              <a16:creationId xmlns:a16="http://schemas.microsoft.com/office/drawing/2014/main" id="{1D0A5BEF-EF3A-9CEE-94C8-768A2579A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709282</xdr:colOff>
      <xdr:row>31</xdr:row>
      <xdr:rowOff>54154</xdr:rowOff>
    </xdr:from>
    <xdr:to>
      <xdr:col>11</xdr:col>
      <xdr:colOff>345056</xdr:colOff>
      <xdr:row>45</xdr:row>
      <xdr:rowOff>1757</xdr:rowOff>
    </xdr:to>
    <xdr:graphicFrame macro="">
      <xdr:nvGraphicFramePr>
        <xdr:cNvPr id="7" name="Chart 6">
          <a:extLst>
            <a:ext uri="{FF2B5EF4-FFF2-40B4-BE49-F238E27FC236}">
              <a16:creationId xmlns:a16="http://schemas.microsoft.com/office/drawing/2014/main" id="{F0680505-B7C9-318D-14CF-8CEACBFA9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1578</xdr:colOff>
      <xdr:row>1</xdr:row>
      <xdr:rowOff>174488</xdr:rowOff>
    </xdr:from>
    <xdr:to>
      <xdr:col>5</xdr:col>
      <xdr:colOff>629478</xdr:colOff>
      <xdr:row>15</xdr:row>
      <xdr:rowOff>46383</xdr:rowOff>
    </xdr:to>
    <xdr:graphicFrame macro="">
      <xdr:nvGraphicFramePr>
        <xdr:cNvPr id="2" name="Chart 1">
          <a:extLst>
            <a:ext uri="{FF2B5EF4-FFF2-40B4-BE49-F238E27FC236}">
              <a16:creationId xmlns:a16="http://schemas.microsoft.com/office/drawing/2014/main" id="{71232299-7FA9-0039-D056-D8E3B8535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814063</xdr:colOff>
      <xdr:row>1</xdr:row>
      <xdr:rowOff>174486</xdr:rowOff>
    </xdr:from>
    <xdr:to>
      <xdr:col>11</xdr:col>
      <xdr:colOff>416498</xdr:colOff>
      <xdr:row>15</xdr:row>
      <xdr:rowOff>46381</xdr:rowOff>
    </xdr:to>
    <xdr:graphicFrame macro="">
      <xdr:nvGraphicFramePr>
        <xdr:cNvPr id="3" name="Chart 2">
          <a:extLst>
            <a:ext uri="{FF2B5EF4-FFF2-40B4-BE49-F238E27FC236}">
              <a16:creationId xmlns:a16="http://schemas.microsoft.com/office/drawing/2014/main" id="{596D588C-4223-6A47-5C25-B5CE03A95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9465</xdr:colOff>
      <xdr:row>16</xdr:row>
      <xdr:rowOff>947</xdr:rowOff>
    </xdr:from>
    <xdr:to>
      <xdr:col>5</xdr:col>
      <xdr:colOff>646831</xdr:colOff>
      <xdr:row>29</xdr:row>
      <xdr:rowOff>77936</xdr:rowOff>
    </xdr:to>
    <xdr:graphicFrame macro="">
      <xdr:nvGraphicFramePr>
        <xdr:cNvPr id="4" name="Chart 3">
          <a:extLst>
            <a:ext uri="{FF2B5EF4-FFF2-40B4-BE49-F238E27FC236}">
              <a16:creationId xmlns:a16="http://schemas.microsoft.com/office/drawing/2014/main" id="{3C7CD02C-4465-C3A2-3510-E1D80F197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814063</xdr:colOff>
      <xdr:row>16</xdr:row>
      <xdr:rowOff>8838</xdr:rowOff>
    </xdr:from>
    <xdr:to>
      <xdr:col>11</xdr:col>
      <xdr:colOff>416498</xdr:colOff>
      <xdr:row>29</xdr:row>
      <xdr:rowOff>85827</xdr:rowOff>
    </xdr:to>
    <xdr:graphicFrame macro="">
      <xdr:nvGraphicFramePr>
        <xdr:cNvPr id="5" name="Chart 4">
          <a:extLst>
            <a:ext uri="{FF2B5EF4-FFF2-40B4-BE49-F238E27FC236}">
              <a16:creationId xmlns:a16="http://schemas.microsoft.com/office/drawing/2014/main" id="{7B2EB754-366B-7BD3-2DC6-930FE8A3D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128348</xdr:colOff>
      <xdr:row>16</xdr:row>
      <xdr:rowOff>20266</xdr:rowOff>
    </xdr:from>
    <xdr:to>
      <xdr:col>3</xdr:col>
      <xdr:colOff>716064</xdr:colOff>
      <xdr:row>16</xdr:row>
      <xdr:rowOff>216170</xdr:rowOff>
    </xdr:to>
    <xdr:sp macro="" textlink="">
      <xdr:nvSpPr>
        <xdr:cNvPr id="2" name="Right Arrow 1">
          <a:extLst>
            <a:ext uri="{FF2B5EF4-FFF2-40B4-BE49-F238E27FC236}">
              <a16:creationId xmlns:a16="http://schemas.microsoft.com/office/drawing/2014/main" id="{02CDC1E2-04C0-0B4F-AADE-DCF6B72A8310}"/>
            </a:ext>
          </a:extLst>
        </xdr:cNvPr>
        <xdr:cNvSpPr/>
      </xdr:nvSpPr>
      <xdr:spPr>
        <a:xfrm rot="10800000">
          <a:off x="3544648" y="3258766"/>
          <a:ext cx="587716" cy="19590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Volumes/KINGSTON/MyStockData/Finance-StockLists/1.%20List_ManualData.xlsx" TargetMode="External"/><Relationship Id="rId1" Type="http://schemas.openxmlformats.org/officeDocument/2006/relationships/externalLinkPath" Target="1.%20List_Manual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Volumes/KINGSTON/MyStockData/Finance-StockLists/QCOM.xlsx" TargetMode="External"/><Relationship Id="rId1" Type="http://schemas.openxmlformats.org/officeDocument/2006/relationships/externalLinkPath" Target="Q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2">
          <cell r="C12">
            <v>4.4999999999999998E-2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Financials -&gt;"/>
      <sheetName val="Statement"/>
      <sheetName val="Analysis -&gt;"/>
      <sheetName val="Basic"/>
      <sheetName val="Yearly Analysis"/>
      <sheetName val="Quarter analysis"/>
      <sheetName val="Graphs Year"/>
      <sheetName val="Graphs Quarter"/>
      <sheetName val="Forecast -&gt;"/>
      <sheetName val="Revenue"/>
      <sheetName val="COGS &amp; OpEx"/>
      <sheetName val="WC &amp; Investments"/>
      <sheetName val="FCF &amp; Other"/>
      <sheetName val="Valuation -&gt;"/>
      <sheetName val="WACC"/>
      <sheetName val="DCF"/>
      <sheetName val="Multiples"/>
      <sheetName val="AVG target price"/>
      <sheetName val="DDM"/>
      <sheetName val="Reverse DCF"/>
    </sheetNames>
    <sheetDataSet>
      <sheetData sheetId="0"/>
      <sheetData sheetId="1"/>
      <sheetData sheetId="2"/>
      <sheetData sheetId="3"/>
      <sheetData sheetId="4"/>
      <sheetData sheetId="5"/>
      <sheetData sheetId="6"/>
      <sheetData sheetId="7"/>
      <sheetData sheetId="8"/>
      <sheetData sheetId="9"/>
      <sheetData sheetId="10">
        <row r="5">
          <cell r="C5">
            <v>2021</v>
          </cell>
          <cell r="D5">
            <v>2022</v>
          </cell>
          <cell r="E5">
            <v>2023</v>
          </cell>
          <cell r="F5">
            <v>2024</v>
          </cell>
          <cell r="G5">
            <v>2025</v>
          </cell>
          <cell r="H5">
            <v>2026</v>
          </cell>
          <cell r="I5">
            <v>2027</v>
          </cell>
          <cell r="J5">
            <v>2028</v>
          </cell>
          <cell r="K5">
            <v>2029</v>
          </cell>
          <cell r="L5">
            <v>2030</v>
          </cell>
        </row>
      </sheetData>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adi dumitras" id="{A0F62302-F8D3-B346-B5DF-839B413AE710}" userId="b24535bb88af1c42"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
  <rv s="0">
    <v>https://www.bing.com/financeapi/forcetrigger?t=c2mtim&amp;q=XNAS%3aDUOL&amp;form=skydnc</v>
    <v>Learn more on Bing</v>
  </rv>
  <rv s="1">
    <v>0</v>
    <v>DUOLINGO, INC. (XNAS:DUOL)</v>
    <v>2</v>
    <v>3</v>
    <v>Finance</v>
    <v>4</v>
    <v>en-US</v>
    <v>c2mtim</v>
    <v>268435456</v>
    <v>1</v>
    <v>Powered by Refinitiv</v>
    <v>322.08999999999997</v>
    <v>87.89</v>
    <v>1.0660000000000001</v>
    <v>1.65</v>
    <v>1.167E-2</v>
    <v>-0.35</v>
    <v>-2.447E-3</v>
    <v>USD</v>
    <v>Duolingo, Inc. is a technology company. The Company is engaged in offering a mobile learning platform, as well as a digital English language proficiency assessment exam. It operates a freemium business model, namely, the app and the Website are accessible free of charge, although Duolingo also offers premium services for a subscription fee. Its solutions consist of the Duolingo App, Super Duolingo, Duolingo Max, Duolingo English Test: AI-Driven Language Assessment, Duolingo for Schools, and Duolingo ABC. The Duolingo App offers courses in over 40 different languages, including Spanish, English, French, German, Italian, Portuguese, Japanese and Chinese. Duolingo can also be accessed on desktop computers via a Web browser. Its subscription offering, Super Duolingo, offers learners additional features to enhance their learning experience. The Duolingo English Test is an online, on-demand, high-stakes English proficiency assessment. It also operates an animation and motion design studio.</v>
    <v>900</v>
    <v>Nasdaq Stock Market</v>
    <v>XNAS</v>
    <v>XNAS</v>
    <v>5900 PENN AVE, SECOND FLOOR, PITTSBURGH, PA, 15206 US</v>
    <v>146</v>
    <v>Software &amp; IT Services</v>
    <v>Stock</v>
    <v>46318.946449560157</v>
    <v>0</v>
    <v>137.86000000000001</v>
    <v>6692308060</v>
    <v>DUOLINGO, INC.</v>
    <v>DUOLINGO, INC.</v>
    <v>139.5</v>
    <v>16.853200000000001</v>
    <v>141.38999999999999</v>
    <v>143.04</v>
    <v>142.69</v>
    <v>46786270</v>
    <v>DUOL</v>
    <v>DUOLINGO, INC. (XNAS:DUOL)</v>
    <v>763587</v>
    <v>930380</v>
    <v>2011</v>
  </rv>
  <rv s="2">
    <v>1</v>
  </rv>
  <rv s="0">
    <v>https://www.bing.com/financeapi/forcetrigger?t=a33knm&amp;q=10+Y+TSY+YLD+NDX&amp;form=skydnc</v>
    <v>Learn more on Bing</v>
  </rv>
  <rv s="3">
    <v>5</v>
    <v>10 Y TSY YLD NDX</v>
    <v>6</v>
    <v>7</v>
    <v>Finance</v>
    <v>8</v>
    <v>en-US</v>
    <v>a33knm</v>
    <v>268435456</v>
    <v>1</v>
    <v>Powered by Refinitiv</v>
    <v>53.64</v>
    <v>39.47</v>
    <v>-1.93</v>
    <v>-3.7505000000000004E-2</v>
    <v>US</v>
    <v>50.54</v>
    <v>Index</v>
    <v>3</v>
    <v>49.39</v>
    <v>10 Y TSY YLD NDX</v>
    <v>50.4</v>
    <v>51.46</v>
    <v>49.53</v>
    <v>TNX</v>
    <v>10 Y TSY YLD NDX</v>
  </rv>
  <rv s="2">
    <v>4</v>
  </rv>
</rvData>
</file>

<file path=xl/richData/rdrichvaluestructure.xml><?xml version="1.0" encoding="utf-8"?>
<rvStructures xmlns="http://schemas.microsoft.com/office/spreadsheetml/2017/richdata" count="4">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9">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0">
      <v>1</v>
      <v>Name</v>
      <v>LearnMoreOnLink</v>
    </spb>
    <spb s="5">
      <v>1</v>
      <v>1</v>
      <v>1</v>
    </spb>
    <spb s="6">
      <v>1</v>
      <v>1</v>
      <v>3</v>
      <v>1</v>
      <v>1</v>
      <v>1</v>
      <v>5</v>
      <v>1</v>
      <v>1</v>
      <v>1</v>
      <v>9</v>
    </spb>
    <spb s="7">
      <v>from previous close</v>
      <v>from previous close</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UniqueName" t="spb"/>
    <k n="`%ProviderInfo" t="spb"/>
    <k n="LearnMoreOnLink" t="spb"/>
  </s>
  <s>
    <k n="Low" t="i"/>
    <k n="High" t="i"/>
    <k n="Name" t="i"/>
    <k n="Open" t="i"/>
    <k n="Price" t="i"/>
    <k n="Change" t="i"/>
    <k n="Change (%)" t="i"/>
    <k n="52 week low" t="i"/>
    <k n="52 week high" t="i"/>
    <k n="Previous close" t="i"/>
    <k n="`%EntityServiceId" t="i"/>
  </s>
  <s>
    <k n="Change" t="s"/>
    <k n="Chang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4" dT="2026-02-17T21:45:28.65" personId="{A0F62302-F8D3-B346-B5DF-839B413AE710}" id="{22B2B3EF-EBF6-0D4F-BF74-BA371A77FD6F}">
    <text>Actual number</text>
  </threadedComment>
  <threadedComment ref="B116" dT="2026-04-25T21:52:20.00" personId="{A0F62302-F8D3-B346-B5DF-839B413AE710}" id="{8A10573A-B1E5-5443-A272-E27CCC9C056F}">
    <text>Take the closing price of the last day of the period. In case the price has seen heavy fluctuations make an average of the last days. Info found at Yahoo Finance in the Historical Data section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B35" dT="2026-04-25T20:40:52.15" personId="{A0F62302-F8D3-B346-B5DF-839B413AE710}" id="{87FCD2F5-1815-1140-9144-DCAA38F9CA74}">
    <text>We use here the inverted signg as are used in the CashFlow statement which means we will Add the change in NWC to the NOPAT instead of subtracting it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044FD4-8F6D-C44C-A931-2F82C76276B7}">
  <we:reference id="wa200001365" version="2.5.0.0" store="en-US" storeType="OMEX"/>
  <we:alternateReferences>
    <we:reference id="wa200001365" version="2.5.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_xldudf_ALPHAVANTAGE_EQUITYQUOTE</we:customFunctionIds>
        <we:customFunctionIds>_xldudf_ALPHAVANTAGE_EQUITYTIMESERIES</we:customFunctionIds>
        <we:customFunctionIds>_xldudf_ALPHAVANTAGE_INTRADAYEQUITYSERIESUPDATING</we:customFunctionIds>
        <we:customFunctionIds>_xldudf_ALPHAVANTAGE_EXCHANGERATE</we:customFunctionIds>
        <we:customFunctionIds>_xldudf_ALPHAVANTAGE_EXCHANGERATEUPDATING</we:customFunctionIds>
        <we:customFunctionIds>_xldudf_ALPHAVANTAGE_EXCHANGERATESERIES</we:customFunctionIds>
        <we:customFunctionIds>_xldudf_ALPHAVANTAGE_EXCHANGERATESERIESUPDATING</we:customFunctionIds>
        <we:customFunctionIds>_xldudf_ALPHAVANTAGE_TECHNICALINDICATOR</we:customFunctionIds>
        <we:customFunctionIds>_xldudf_ALPHAVANTAGE_SYMBOLSEARCH</we:customFunctionIds>
        <we:customFunctionIds>_xldudf_ALPHAVANTAGE_COMMODITYTIMESERIES</we:customFunctionIds>
        <we:customFunctionIds>_xldudf_ALPHAVANTAGE_AVAILABLECRYPTOCURRENCIES</we:customFunctionIds>
        <we:customFunctionIds>_xldudf_ALPHAVANTAGE_AVAILABLEPHYSICALCURRENCIES</we:customFunctionIds>
        <we:customFunctionIds>_xldudf_ALPHAVANTAGE_COMPANYOVERVIEW</we:customFunctionIds>
        <we:customFunctionIds>_xldudf_ALPHAVANTAGE_COMPANYEARNINGS</we:customFunctionIds>
        <we:customFunctionIds>_xldudf_ALPHAVANTAGE_COMPANYFILINGS</we:customFunctionIds>
        <we:customFunctionIds>_xldudf_ALPHAVANTAGE_LISTINGSTATUS</we:customFunctionIds>
        <we:customFunctionIds>_xldudf_ALPHAVANTAGE_EARNINGSCALENDAR</we:customFunctionIds>
        <we:customFunctionIds>_xldudf_ALPHAVANTAGE_ECONOMICINDICATOR</we:customFunctionIds>
        <we:customFunctionIds>_xldudf_ALPHAVANTAGE_TREASURYYIELD</we:customFunctionIds>
      </we:customFunctionIdList>
    </a:ext>
  </we:extLst>
</we:webextension>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172E-7ADE-4B4A-B533-F037BCFCDCB0}">
  <dimension ref="B1:K66"/>
  <sheetViews>
    <sheetView tabSelected="1" zoomScale="160" zoomScaleNormal="160" workbookViewId="0">
      <selection activeCell="K15" sqref="K15"/>
    </sheetView>
  </sheetViews>
  <sheetFormatPr baseColWidth="10" defaultRowHeight="16" x14ac:dyDescent="0.2"/>
  <cols>
    <col min="1" max="1" width="2" style="1" customWidth="1"/>
    <col min="2" max="2" width="20.6640625" style="1" customWidth="1"/>
    <col min="3" max="3" width="25.83203125" style="1" customWidth="1"/>
    <col min="4" max="4" width="2" style="1" customWidth="1"/>
    <col min="5" max="5" width="19.1640625" style="1" customWidth="1"/>
    <col min="6" max="6" width="14.5" style="1" customWidth="1"/>
    <col min="7" max="7" width="1.6640625" style="1" customWidth="1"/>
    <col min="8" max="8" width="15.83203125" style="1" customWidth="1"/>
    <col min="9" max="9" width="8.6640625" style="1" customWidth="1"/>
    <col min="10" max="10" width="2" style="1" customWidth="1"/>
    <col min="11" max="11" width="16.5" style="1" customWidth="1"/>
    <col min="12" max="16384" width="10.83203125" style="1"/>
  </cols>
  <sheetData>
    <row r="1" spans="2:11" ht="11" customHeight="1" x14ac:dyDescent="0.2"/>
    <row r="2" spans="2:11" x14ac:dyDescent="0.2">
      <c r="B2" s="262" t="s">
        <v>18</v>
      </c>
      <c r="C2" s="263"/>
      <c r="E2" s="262" t="s">
        <v>291</v>
      </c>
      <c r="F2" s="263"/>
      <c r="H2" s="262" t="s">
        <v>330</v>
      </c>
      <c r="I2" s="263"/>
      <c r="K2" s="134" t="s">
        <v>440</v>
      </c>
    </row>
    <row r="3" spans="2:11" x14ac:dyDescent="0.2">
      <c r="B3" s="184" t="s">
        <v>11</v>
      </c>
      <c r="C3" s="216" t="e" vm="1">
        <v>#VALUE!</v>
      </c>
      <c r="D3" s="2"/>
      <c r="E3" s="184" t="s">
        <v>243</v>
      </c>
      <c r="F3" s="186">
        <f ca="1">Statement!AC149</f>
        <v>7169450.8799999999</v>
      </c>
      <c r="H3" s="184" t="str">
        <f>'AVG target price'!B5</f>
        <v>DCF price</v>
      </c>
      <c r="I3" s="210">
        <f ca="1">'AVG target price'!C5</f>
        <v>147.17410015769124</v>
      </c>
      <c r="K3" s="257" t="s">
        <v>441</v>
      </c>
    </row>
    <row r="4" spans="2:11" x14ac:dyDescent="0.2">
      <c r="B4" s="184" t="s">
        <v>0</v>
      </c>
      <c r="C4" s="188" t="str" cm="1">
        <f t="array" aca="1" ref="C4" ca="1">_FV(C3,"Ticker symbol",TRUE)</f>
        <v>DUOL</v>
      </c>
      <c r="E4" s="185" t="s">
        <v>192</v>
      </c>
      <c r="F4" s="187">
        <f ca="1">Statement!AC150</f>
        <v>5752891.8799999999</v>
      </c>
      <c r="H4" s="184" t="str">
        <f>'AVG target price'!B6</f>
        <v>EV/EBIT price</v>
      </c>
      <c r="I4" s="210">
        <f ca="1">'AVG target price'!C6</f>
        <v>198.02442476307402</v>
      </c>
      <c r="K4" s="257" t="s">
        <v>442</v>
      </c>
    </row>
    <row r="5" spans="2:11" x14ac:dyDescent="0.2">
      <c r="B5" s="184" t="s">
        <v>1</v>
      </c>
      <c r="C5" s="207" cm="1">
        <f t="array" aca="1" ref="C5" ca="1">_FV(C3,"Price",TRUE)</f>
        <v>143.04</v>
      </c>
      <c r="E5" s="184" t="s">
        <v>247</v>
      </c>
      <c r="F5" s="189">
        <f>Statement!AC26</f>
        <v>3.1405969152350979</v>
      </c>
      <c r="H5" s="184" t="str">
        <f>'AVG target price'!B7</f>
        <v>PS price</v>
      </c>
      <c r="I5" s="210">
        <f ca="1">'AVG target price'!C7</f>
        <v>159.74574315816156</v>
      </c>
      <c r="K5" s="257" t="s">
        <v>443</v>
      </c>
    </row>
    <row r="6" spans="2:11" x14ac:dyDescent="0.2">
      <c r="B6" s="184" t="s">
        <v>2</v>
      </c>
      <c r="C6" s="207" cm="1">
        <f t="array" aca="1" ref="C6" ca="1">_FV(C3,"Price (Extended hours)",TRUE)</f>
        <v>142.69</v>
      </c>
      <c r="E6" s="184" t="s">
        <v>241</v>
      </c>
      <c r="F6" s="189">
        <f ca="1">Statement!AC146</f>
        <v>45.54548191336179</v>
      </c>
      <c r="H6" s="184" t="str">
        <f>'AVG target price'!B8</f>
        <v>EV/FCFF price</v>
      </c>
      <c r="I6" s="210">
        <f ca="1">'AVG target price'!C8</f>
        <v>203.55142215941146</v>
      </c>
      <c r="K6" s="258" t="s">
        <v>444</v>
      </c>
    </row>
    <row r="7" spans="2:11" x14ac:dyDescent="0.2">
      <c r="B7" s="184" t="s">
        <v>3</v>
      </c>
      <c r="C7" s="6" cm="1">
        <f t="array" aca="1" ref="C7" ca="1">_FV(C3,"Change")</f>
        <v>1.65</v>
      </c>
      <c r="E7" s="185" t="s">
        <v>205</v>
      </c>
      <c r="F7" s="190">
        <f ca="1">Statement!AC147</f>
        <v>6.1427774173869789</v>
      </c>
      <c r="H7" s="184" t="str">
        <f>'AVG target price'!B9</f>
        <v>EV/Sales</v>
      </c>
      <c r="I7" s="210">
        <f ca="1">'AVG target price'!C9</f>
        <v>203.97380318825662</v>
      </c>
    </row>
    <row r="8" spans="2:11" x14ac:dyDescent="0.2">
      <c r="B8" s="184" t="s">
        <v>4</v>
      </c>
      <c r="C8" s="6" cm="1">
        <f t="array" aca="1" ref="C8" ca="1">_FV(C3,"Change (extended hours)",TRUE)</f>
        <v>-0.35</v>
      </c>
      <c r="E8" s="184" t="s">
        <v>269</v>
      </c>
      <c r="F8" s="191">
        <f ca="1">Statement!AC157</f>
        <v>3.5263509609260342E-2</v>
      </c>
      <c r="H8" s="183" t="str">
        <f>'AVG target price'!B10</f>
        <v>AVG price</v>
      </c>
      <c r="I8" s="211">
        <f ca="1">'AVG target price'!C10</f>
        <v>182.49389868531898</v>
      </c>
    </row>
    <row r="9" spans="2:11" x14ac:dyDescent="0.2">
      <c r="B9" s="184" t="s">
        <v>5</v>
      </c>
      <c r="C9" s="73" cm="1">
        <f t="array" aca="1" ref="C9" ca="1">_FV(C3,"Change (%)",TRUE)</f>
        <v>1.167E-2</v>
      </c>
      <c r="E9" s="184" t="s">
        <v>292</v>
      </c>
      <c r="F9" s="191">
        <f ca="1">Statement!AC158</f>
        <v>2.1956074631117855E-2</v>
      </c>
      <c r="H9" s="183" t="str">
        <f>'AVG target price'!B12</f>
        <v>Upside/Downside</v>
      </c>
      <c r="I9" s="212">
        <f ca="1">'AVG target price'!C12</f>
        <v>0.27582423577544041</v>
      </c>
    </row>
    <row r="10" spans="2:11" x14ac:dyDescent="0.2">
      <c r="B10" s="184" t="s">
        <v>6</v>
      </c>
      <c r="C10" s="73" cm="1">
        <f t="array" aca="1" ref="C10" ca="1">_FV(C3,"Change % (extended hours)",TRUE)</f>
        <v>-2.447E-3</v>
      </c>
      <c r="E10" s="184" t="s">
        <v>297</v>
      </c>
      <c r="F10" s="191">
        <f ca="1">Statement!AC160</f>
        <v>9.7082748965008608E-3</v>
      </c>
    </row>
    <row r="11" spans="2:11" x14ac:dyDescent="0.2">
      <c r="B11" s="184" t="s">
        <v>7</v>
      </c>
      <c r="C11" s="208" cm="1">
        <f t="array" aca="1" ref="C11" ca="1">_FV(C3,"52 week high",TRUE)</f>
        <v>322.08999999999997</v>
      </c>
      <c r="E11" s="185" t="s">
        <v>293</v>
      </c>
      <c r="F11" s="192">
        <f ca="1">Statement!AC159</f>
        <v>0</v>
      </c>
      <c r="H11" s="183" t="s">
        <v>420</v>
      </c>
      <c r="I11" s="211">
        <f ca="1">DDM!C26</f>
        <v>0</v>
      </c>
    </row>
    <row r="12" spans="2:11" x14ac:dyDescent="0.2">
      <c r="B12" s="184" t="s">
        <v>8</v>
      </c>
      <c r="C12" s="208" cm="1">
        <f t="array" aca="1" ref="C12" ca="1">_FV(C3,"52 week low",TRUE)</f>
        <v>87.89</v>
      </c>
      <c r="E12" s="184" t="s">
        <v>102</v>
      </c>
      <c r="F12" s="191">
        <f>Statement!AC123</f>
        <v>7.428664005404173E-2</v>
      </c>
    </row>
    <row r="13" spans="2:11" x14ac:dyDescent="0.2">
      <c r="B13" s="184" t="s">
        <v>9</v>
      </c>
      <c r="C13" s="208" cm="1">
        <f t="array" aca="1" ref="C13" ca="1">_FV(C3,"Beta")</f>
        <v>1.0660000000000001</v>
      </c>
      <c r="E13" s="184" t="s">
        <v>104</v>
      </c>
      <c r="F13" s="191">
        <f>Statement!AC125</f>
        <v>0.10928737315054812</v>
      </c>
      <c r="H13" s="261" t="s">
        <v>437</v>
      </c>
      <c r="I13" s="259">
        <f>'Reverse DCF'!C17</f>
        <v>0.28999999999999998</v>
      </c>
    </row>
    <row r="14" spans="2:11" x14ac:dyDescent="0.2">
      <c r="B14" s="185" t="s">
        <v>10</v>
      </c>
      <c r="C14" s="209" cm="1">
        <f t="array" aca="1" ref="C14" ca="1">_FV(C3,"Volume average",TRUE)</f>
        <v>930380</v>
      </c>
      <c r="E14" s="185" t="s">
        <v>105</v>
      </c>
      <c r="F14" s="192">
        <f>Statement!AC136</f>
        <v>-17.586668123511064</v>
      </c>
      <c r="H14" s="185" t="s">
        <v>446</v>
      </c>
      <c r="I14" s="260">
        <f ca="1">'Reverse DCF'!C16</f>
        <v>154.01937861223695</v>
      </c>
    </row>
    <row r="15" spans="2:11" x14ac:dyDescent="0.2">
      <c r="E15" s="184" t="s">
        <v>294</v>
      </c>
      <c r="F15" s="191">
        <f ca="1">Statement!AC172</f>
        <v>0.19758263550583111</v>
      </c>
    </row>
    <row r="16" spans="2:11" x14ac:dyDescent="0.2">
      <c r="E16" s="185" t="s">
        <v>299</v>
      </c>
      <c r="F16" s="190">
        <f>Statement!AC171</f>
        <v>30.277412046338647</v>
      </c>
      <c r="H16" s="262" t="s">
        <v>438</v>
      </c>
      <c r="I16" s="263"/>
    </row>
    <row r="17" spans="2:9" x14ac:dyDescent="0.2">
      <c r="B17" s="264" t="s">
        <v>90</v>
      </c>
      <c r="C17" s="264"/>
      <c r="E17" s="183" t="s">
        <v>300</v>
      </c>
      <c r="F17" s="193">
        <f>Statement!AC167</f>
        <v>0.14520569809664419</v>
      </c>
      <c r="H17" s="184" t="s">
        <v>169</v>
      </c>
      <c r="I17" s="255">
        <f ca="1">DCF!C15</f>
        <v>9.7500000000000003E-2</v>
      </c>
    </row>
    <row r="18" spans="2:9" x14ac:dyDescent="0.2">
      <c r="B18" s="183" t="s">
        <v>12</v>
      </c>
      <c r="C18" s="69" t="s">
        <v>14</v>
      </c>
      <c r="E18" s="184" t="s">
        <v>301</v>
      </c>
      <c r="F18" s="189">
        <f>Statement!AC140</f>
        <v>22.829226659561293</v>
      </c>
      <c r="H18" s="185" t="s">
        <v>439</v>
      </c>
      <c r="I18" s="256">
        <f ca="1">Multiples!C54</f>
        <v>9.7500000000000003E-2</v>
      </c>
    </row>
    <row r="19" spans="2:9" x14ac:dyDescent="0.2">
      <c r="B19" s="183" t="s">
        <v>13</v>
      </c>
      <c r="C19" s="70">
        <v>1000</v>
      </c>
      <c r="E19" s="184" t="s">
        <v>262</v>
      </c>
      <c r="F19" s="189">
        <f>Statement!AC142</f>
        <v>-1.00483563659166</v>
      </c>
      <c r="I19" s="50"/>
    </row>
    <row r="20" spans="2:9" x14ac:dyDescent="0.2">
      <c r="B20" s="183" t="s">
        <v>91</v>
      </c>
      <c r="C20" s="69" t="s">
        <v>92</v>
      </c>
      <c r="E20" s="185" t="s">
        <v>302</v>
      </c>
      <c r="F20" s="190">
        <f>Statement!AC143</f>
        <v>2.6781751821027875</v>
      </c>
    </row>
    <row r="21" spans="2:9" x14ac:dyDescent="0.2">
      <c r="B21" s="183" t="s">
        <v>93</v>
      </c>
      <c r="C21" s="69" t="s">
        <v>94</v>
      </c>
    </row>
    <row r="22" spans="2:9" x14ac:dyDescent="0.2">
      <c r="B22" s="183" t="s">
        <v>95</v>
      </c>
      <c r="C22" s="69" t="s">
        <v>94</v>
      </c>
      <c r="I22" s="50"/>
    </row>
    <row r="25" spans="2:9" x14ac:dyDescent="0.2">
      <c r="B25" s="264" t="s">
        <v>107</v>
      </c>
      <c r="C25" s="264"/>
      <c r="E25" s="262" t="s">
        <v>343</v>
      </c>
      <c r="F25" s="263"/>
    </row>
    <row r="26" spans="2:9" x14ac:dyDescent="0.2">
      <c r="B26" s="183" t="s">
        <v>108</v>
      </c>
      <c r="C26" s="169">
        <v>0.21</v>
      </c>
      <c r="E26" s="184" t="e" vm="2">
        <v>#VALUE!</v>
      </c>
      <c r="F26" s="218" cm="1">
        <f t="array" aca="1" ref="F26" ca="1">_FV(E26,"Price")</f>
        <v>49.53</v>
      </c>
    </row>
    <row r="27" spans="2:9" x14ac:dyDescent="0.2">
      <c r="B27" s="183" t="s">
        <v>176</v>
      </c>
      <c r="C27" s="220">
        <v>0</v>
      </c>
      <c r="E27" s="185" t="s">
        <v>344</v>
      </c>
      <c r="F27" s="219">
        <f ca="1">F26/1000</f>
        <v>4.9530000000000005E-2</v>
      </c>
    </row>
    <row r="28" spans="2:9" x14ac:dyDescent="0.2">
      <c r="B28" s="183" t="s">
        <v>348</v>
      </c>
      <c r="C28" s="220">
        <v>0</v>
      </c>
    </row>
    <row r="29" spans="2:9" x14ac:dyDescent="0.2">
      <c r="B29" s="183" t="s">
        <v>410</v>
      </c>
      <c r="C29" s="220">
        <v>0</v>
      </c>
    </row>
    <row r="33" spans="2:8" x14ac:dyDescent="0.2">
      <c r="B33" s="134" t="s">
        <v>338</v>
      </c>
      <c r="C33" s="134"/>
      <c r="D33" s="134"/>
      <c r="E33" s="134"/>
      <c r="F33" s="134"/>
      <c r="G33" s="134"/>
      <c r="H33" s="134"/>
    </row>
    <row r="35" spans="2:8" x14ac:dyDescent="0.2">
      <c r="B35" s="16" t="s">
        <v>339</v>
      </c>
      <c r="C35" s="1" t="s">
        <v>408</v>
      </c>
    </row>
    <row r="36" spans="2:8" x14ac:dyDescent="0.2">
      <c r="B36" s="16" t="s">
        <v>340</v>
      </c>
      <c r="C36" s="1" t="s">
        <v>409</v>
      </c>
    </row>
    <row r="39" spans="2:8" ht="6" customHeight="1" x14ac:dyDescent="0.2">
      <c r="B39" s="134"/>
      <c r="C39" s="134"/>
      <c r="D39" s="134"/>
      <c r="E39" s="134"/>
      <c r="F39" s="134"/>
      <c r="G39" s="134"/>
      <c r="H39" s="134"/>
    </row>
    <row r="42" spans="2:8" x14ac:dyDescent="0.2">
      <c r="B42" s="134" t="s">
        <v>341</v>
      </c>
      <c r="C42" s="134"/>
      <c r="D42" s="134"/>
      <c r="E42" s="134"/>
      <c r="F42" s="134"/>
      <c r="G42" s="134"/>
      <c r="H42" s="134"/>
    </row>
    <row r="44" spans="2:8" x14ac:dyDescent="0.2">
      <c r="B44" s="41" t="s">
        <v>342</v>
      </c>
      <c r="C44" s="41" t="s">
        <v>425</v>
      </c>
      <c r="D44" s="41"/>
      <c r="E44" s="41" t="s">
        <v>424</v>
      </c>
    </row>
    <row r="45" spans="2:8" x14ac:dyDescent="0.2">
      <c r="B45" s="1" t="s">
        <v>366</v>
      </c>
      <c r="C45" s="1" t="s">
        <v>426</v>
      </c>
    </row>
    <row r="46" spans="2:8" x14ac:dyDescent="0.2">
      <c r="B46" s="1" t="s">
        <v>366</v>
      </c>
      <c r="C46" s="1" t="s">
        <v>427</v>
      </c>
    </row>
    <row r="47" spans="2:8" x14ac:dyDescent="0.2">
      <c r="B47" s="1" t="s">
        <v>366</v>
      </c>
      <c r="C47" s="1" t="s">
        <v>428</v>
      </c>
    </row>
    <row r="50" spans="2:8" ht="5" customHeight="1" x14ac:dyDescent="0.2">
      <c r="B50" s="134"/>
      <c r="C50" s="134"/>
      <c r="D50" s="134"/>
      <c r="E50" s="134"/>
      <c r="F50" s="134"/>
      <c r="G50" s="134"/>
      <c r="H50" s="134"/>
    </row>
    <row r="53" spans="2:8" x14ac:dyDescent="0.2">
      <c r="B53" s="134" t="s">
        <v>109</v>
      </c>
      <c r="C53" s="134"/>
      <c r="D53" s="134"/>
      <c r="E53" s="134"/>
      <c r="F53" s="134"/>
      <c r="G53" s="134"/>
      <c r="H53" s="134"/>
    </row>
    <row r="58" spans="2:8" x14ac:dyDescent="0.2">
      <c r="B58" s="41" t="s">
        <v>342</v>
      </c>
      <c r="C58" s="41" t="s">
        <v>364</v>
      </c>
      <c r="D58" s="41"/>
      <c r="E58" s="41" t="s">
        <v>365</v>
      </c>
    </row>
    <row r="59" spans="2:8" x14ac:dyDescent="0.2">
      <c r="B59" s="1" t="s">
        <v>366</v>
      </c>
      <c r="C59" s="1" t="s">
        <v>367</v>
      </c>
      <c r="E59" s="1" t="s">
        <v>368</v>
      </c>
    </row>
    <row r="60" spans="2:8" x14ac:dyDescent="0.2">
      <c r="B60" s="1" t="s">
        <v>366</v>
      </c>
      <c r="C60" s="1" t="s">
        <v>369</v>
      </c>
      <c r="E60" s="1" t="s">
        <v>370</v>
      </c>
    </row>
    <row r="62" spans="2:8" x14ac:dyDescent="0.2">
      <c r="B62" s="41" t="s">
        <v>342</v>
      </c>
      <c r="C62" s="41" t="s">
        <v>388</v>
      </c>
      <c r="D62" s="41"/>
      <c r="E62" s="41" t="s">
        <v>87</v>
      </c>
    </row>
    <row r="63" spans="2:8" x14ac:dyDescent="0.2">
      <c r="B63" s="1" t="s">
        <v>366</v>
      </c>
      <c r="C63" s="1" t="s">
        <v>367</v>
      </c>
      <c r="E63" s="1" t="s">
        <v>368</v>
      </c>
    </row>
    <row r="64" spans="2:8" x14ac:dyDescent="0.2">
      <c r="B64" s="1" t="s">
        <v>366</v>
      </c>
      <c r="C64" s="1" t="s">
        <v>369</v>
      </c>
      <c r="E64" s="1" t="s">
        <v>370</v>
      </c>
    </row>
    <row r="66" spans="2:8" ht="5" customHeight="1" x14ac:dyDescent="0.2">
      <c r="B66" s="134"/>
      <c r="C66" s="134"/>
      <c r="D66" s="134"/>
      <c r="E66" s="134"/>
      <c r="F66" s="134"/>
      <c r="G66" s="134"/>
      <c r="H66" s="134"/>
    </row>
  </sheetData>
  <mergeCells count="7">
    <mergeCell ref="B2:C2"/>
    <mergeCell ref="B17:C17"/>
    <mergeCell ref="B25:C25"/>
    <mergeCell ref="E2:F2"/>
    <mergeCell ref="H2:I2"/>
    <mergeCell ref="E25:F25"/>
    <mergeCell ref="H16:I16"/>
  </mergeCells>
  <conditionalFormatting sqref="C7:C10">
    <cfRule type="cellIs" dxfId="2" priority="4" operator="lessThan">
      <formula>0</formula>
    </cfRule>
    <cfRule type="cellIs" dxfId="1" priority="5" operator="equal">
      <formula>0</formula>
    </cfRule>
    <cfRule type="cellIs" dxfId="0" priority="6" operator="greaterThan">
      <formula>0</formula>
    </cfRule>
  </conditionalFormatting>
  <hyperlinks>
    <hyperlink ref="K3" location="'Financials -&gt;'!B13" display="'Financials -&gt;'!B13" xr:uid="{832F424A-8F06-9F4F-AF97-7DA683ACB5AB}"/>
    <hyperlink ref="K4" location="'Analysis -&gt;'!B13" display="'Analysis -&gt;'!B13" xr:uid="{2EE05D4C-B9FB-F441-979B-3D7F89BD8BD7}"/>
    <hyperlink ref="K5" location="'Forecast -&gt;'!B13" display="'Forecast -&gt;'!B13" xr:uid="{40305C7F-453F-A74B-872A-0E9BE5931076}"/>
    <hyperlink ref="K6" location="'Valuation -&gt;'!B13" display="'Valuation -&gt;'!B13" xr:uid="{B5F2AFC3-E8B4-0A4D-BF18-F9C84ACE33D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35612-A5F6-ED42-8E7B-33A97D1D2D90}">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6.6640625" style="1" customWidth="1"/>
    <col min="9" max="16384" width="10.83203125" style="1"/>
  </cols>
  <sheetData>
    <row r="5" spans="2:8" x14ac:dyDescent="0.2">
      <c r="H5" s="134" t="s">
        <v>440</v>
      </c>
    </row>
    <row r="6" spans="2:8" x14ac:dyDescent="0.2">
      <c r="H6" s="257" t="s">
        <v>445</v>
      </c>
    </row>
    <row r="7" spans="2:8" x14ac:dyDescent="0.2">
      <c r="H7" s="257" t="s">
        <v>441</v>
      </c>
    </row>
    <row r="8" spans="2:8" x14ac:dyDescent="0.2">
      <c r="H8" s="257" t="s">
        <v>442</v>
      </c>
    </row>
    <row r="9" spans="2:8" x14ac:dyDescent="0.2">
      <c r="H9" s="257" t="s">
        <v>443</v>
      </c>
    </row>
    <row r="10" spans="2:8" x14ac:dyDescent="0.2">
      <c r="H10" s="258" t="s">
        <v>444</v>
      </c>
    </row>
    <row r="13" spans="2:8" s="4" customFormat="1" ht="49" x14ac:dyDescent="0.2">
      <c r="B13" s="3" t="s">
        <v>15</v>
      </c>
    </row>
  </sheetData>
  <hyperlinks>
    <hyperlink ref="H6" location="Overview!B3" display="Overview'!B3" xr:uid="{43F92576-E081-3349-8041-1D0736C4387B}"/>
    <hyperlink ref="H8" location="'Analysis -&gt;'!B13" display="'Analysis -&gt;'!B13" xr:uid="{768BAAB0-4CD5-A74A-B3E4-FE7E6B235C16}"/>
    <hyperlink ref="H9" location="'Forecast -&gt;'!B13" display="'Forecast -&gt;'!B13" xr:uid="{BDE6F3E7-1153-FF42-8B67-759D125896AC}"/>
    <hyperlink ref="H10" location="'Valuation -&gt;'!B13" display="'Valuation -&gt;'!B13" xr:uid="{DB907F2A-DF85-0D46-8BFA-53745129BEB9}"/>
    <hyperlink ref="H7" location="'Financials -&gt;'!B13" display="'Financials -&gt;'!B13" xr:uid="{B45ACB67-5258-0F4A-9418-8851277B2A4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B83C-60BF-4548-84AB-1D4A73B251A4}">
  <dimension ref="A1:AE220"/>
  <sheetViews>
    <sheetView zoomScale="170" zoomScaleNormal="150" workbookViewId="0">
      <pane xSplit="2" ySplit="3" topLeftCell="N4" activePane="bottomRight" state="frozen"/>
      <selection pane="topRight" activeCell="C1" sqref="C1"/>
      <selection pane="bottomLeft" activeCell="A4" sqref="A4"/>
      <selection pane="bottomRight" activeCell="AC153" sqref="AC153"/>
    </sheetView>
  </sheetViews>
  <sheetFormatPr baseColWidth="10" defaultRowHeight="16" x14ac:dyDescent="0.2"/>
  <cols>
    <col min="1" max="1" width="3.6640625" style="1" customWidth="1"/>
    <col min="2" max="2" width="33.83203125" style="20" customWidth="1"/>
    <col min="3" max="8" width="12" style="1" customWidth="1"/>
    <col min="9" max="9" width="10.83203125" style="1" customWidth="1"/>
    <col min="10" max="10" width="12" style="1" customWidth="1"/>
    <col min="11" max="12" width="10.83203125" style="1" customWidth="1"/>
    <col min="13" max="13" width="10.6640625" style="1" customWidth="1"/>
    <col min="14" max="14" width="10.83203125" style="1" customWidth="1"/>
    <col min="15" max="16" width="12" style="1" bestFit="1" customWidth="1"/>
    <col min="17" max="17" width="11.33203125" style="1" bestFit="1" customWidth="1"/>
    <col min="18" max="18" width="2.83203125" style="1" customWidth="1"/>
    <col min="19" max="19" width="3.5" style="1" customWidth="1"/>
    <col min="20" max="27" width="10.83203125" style="1"/>
    <col min="28" max="28" width="9" style="1" customWidth="1"/>
    <col min="29" max="29" width="11.1640625" style="1" customWidth="1"/>
    <col min="30" max="16384" width="10.83203125" style="1"/>
  </cols>
  <sheetData>
    <row r="1" spans="1:31" x14ac:dyDescent="0.2">
      <c r="B1" s="1"/>
    </row>
    <row r="2" spans="1:31" s="10" customFormat="1" x14ac:dyDescent="0.2">
      <c r="A2" s="7"/>
      <c r="B2" s="8" t="s">
        <v>16</v>
      </c>
      <c r="C2" s="9"/>
      <c r="D2" s="9"/>
      <c r="E2" s="9"/>
      <c r="F2" s="9"/>
      <c r="G2" s="9"/>
      <c r="H2" s="9"/>
      <c r="I2" s="9"/>
      <c r="M2" s="10" t="s">
        <v>360</v>
      </c>
      <c r="N2" s="10" t="s">
        <v>361</v>
      </c>
      <c r="O2" s="10" t="s">
        <v>362</v>
      </c>
      <c r="P2" s="10" t="s">
        <v>363</v>
      </c>
      <c r="Q2" s="10" t="s">
        <v>364</v>
      </c>
      <c r="R2" s="7"/>
      <c r="S2" s="7"/>
      <c r="T2" s="10" t="s">
        <v>385</v>
      </c>
      <c r="U2" s="10" t="s">
        <v>363</v>
      </c>
      <c r="V2" s="10" t="s">
        <v>386</v>
      </c>
      <c r="W2" s="10" t="s">
        <v>387</v>
      </c>
      <c r="X2" s="202" t="s">
        <v>388</v>
      </c>
      <c r="Y2" s="202" t="s">
        <v>364</v>
      </c>
      <c r="Z2" s="202" t="s">
        <v>389</v>
      </c>
      <c r="AA2" s="202" t="s">
        <v>422</v>
      </c>
      <c r="AB2" s="7"/>
      <c r="AD2" s="7"/>
      <c r="AE2" s="7"/>
    </row>
    <row r="3" spans="1:31" s="13" customFormat="1" x14ac:dyDescent="0.2">
      <c r="A3" s="11"/>
      <c r="B3" s="12" t="s">
        <v>17</v>
      </c>
      <c r="M3" s="13">
        <v>2021</v>
      </c>
      <c r="N3" s="13">
        <v>2022</v>
      </c>
      <c r="O3" s="13">
        <v>2023</v>
      </c>
      <c r="P3" s="13">
        <v>2024</v>
      </c>
      <c r="Q3" s="13">
        <v>2025</v>
      </c>
      <c r="R3" s="11"/>
      <c r="S3" s="11"/>
      <c r="T3" s="10" t="s">
        <v>390</v>
      </c>
      <c r="U3" s="10" t="s">
        <v>391</v>
      </c>
      <c r="V3" s="10" t="s">
        <v>392</v>
      </c>
      <c r="W3" s="10" t="s">
        <v>88</v>
      </c>
      <c r="X3" s="202" t="s">
        <v>87</v>
      </c>
      <c r="Y3" s="202" t="s">
        <v>86</v>
      </c>
      <c r="Z3" s="202" t="s">
        <v>89</v>
      </c>
      <c r="AA3" s="202" t="s">
        <v>421</v>
      </c>
      <c r="AB3" s="11"/>
      <c r="AC3" s="59" t="s">
        <v>85</v>
      </c>
      <c r="AD3" s="11"/>
      <c r="AE3" s="11"/>
    </row>
    <row r="4" spans="1:31" s="15" customFormat="1" ht="17" thickBot="1" x14ac:dyDescent="0.25">
      <c r="A4" s="11"/>
      <c r="B4" s="14" t="s">
        <v>19</v>
      </c>
      <c r="R4" s="11"/>
      <c r="S4" s="11"/>
      <c r="AB4" s="11"/>
      <c r="AD4" s="11"/>
      <c r="AE4" s="11"/>
    </row>
    <row r="5" spans="1:31" s="19" customFormat="1" x14ac:dyDescent="0.2">
      <c r="A5" s="16"/>
      <c r="B5" s="17" t="s">
        <v>20</v>
      </c>
      <c r="C5" s="18"/>
      <c r="D5" s="18"/>
      <c r="E5" s="18"/>
      <c r="F5" s="18"/>
      <c r="G5" s="18"/>
      <c r="H5" s="18"/>
      <c r="I5" s="18"/>
      <c r="J5" s="18"/>
      <c r="K5" s="18"/>
      <c r="L5" s="18"/>
      <c r="M5" s="18">
        <v>250772</v>
      </c>
      <c r="N5" s="18">
        <v>369495</v>
      </c>
      <c r="O5" s="18">
        <v>531109</v>
      </c>
      <c r="P5" s="18">
        <v>748024</v>
      </c>
      <c r="Q5" s="18">
        <v>1037589</v>
      </c>
      <c r="R5" s="16"/>
      <c r="S5" s="16"/>
      <c r="T5" s="18">
        <v>192594</v>
      </c>
      <c r="U5" s="18">
        <v>209550</v>
      </c>
      <c r="V5" s="18">
        <v>230743</v>
      </c>
      <c r="W5" s="18">
        <v>252265</v>
      </c>
      <c r="X5" s="18">
        <v>271713</v>
      </c>
      <c r="Y5" s="18">
        <v>282868</v>
      </c>
      <c r="Z5" s="18">
        <v>291967</v>
      </c>
      <c r="AA5" s="18">
        <v>298454</v>
      </c>
      <c r="AB5" s="16"/>
      <c r="AC5" s="18">
        <f>SUM(X5:AA5)</f>
        <v>1145002</v>
      </c>
      <c r="AD5" s="16"/>
      <c r="AE5" s="16"/>
    </row>
    <row r="6" spans="1:31" x14ac:dyDescent="0.2">
      <c r="B6" s="20" t="s">
        <v>21</v>
      </c>
      <c r="C6" s="21"/>
      <c r="D6" s="21"/>
      <c r="E6" s="21"/>
      <c r="F6" s="21"/>
      <c r="G6" s="21"/>
      <c r="H6" s="21"/>
      <c r="I6" s="21"/>
      <c r="J6" s="21"/>
      <c r="K6" s="21"/>
      <c r="L6" s="21"/>
      <c r="M6" s="21">
        <v>69186</v>
      </c>
      <c r="N6" s="21">
        <v>99431</v>
      </c>
      <c r="O6" s="21">
        <v>142105</v>
      </c>
      <c r="P6" s="21">
        <v>203645</v>
      </c>
      <c r="Q6" s="21">
        <v>288132</v>
      </c>
      <c r="T6" s="21">
        <v>52180</v>
      </c>
      <c r="U6" s="21">
        <v>58925</v>
      </c>
      <c r="V6" s="21">
        <v>66647</v>
      </c>
      <c r="W6" s="21">
        <v>69684</v>
      </c>
      <c r="X6" s="21">
        <v>74802</v>
      </c>
      <c r="Y6" s="21">
        <v>76999</v>
      </c>
      <c r="Z6" s="21">
        <v>78871</v>
      </c>
      <c r="AA6" s="21">
        <v>81714</v>
      </c>
      <c r="AC6" s="21">
        <f t="shared" ref="AC6:AC18" si="0">SUM(X6:AA6)</f>
        <v>312386</v>
      </c>
    </row>
    <row r="7" spans="1:31" s="19" customFormat="1" x14ac:dyDescent="0.2">
      <c r="A7" s="16"/>
      <c r="B7" s="17" t="s">
        <v>22</v>
      </c>
      <c r="C7" s="22">
        <f t="shared" ref="C7:Q7" si="1">C5-C6</f>
        <v>0</v>
      </c>
      <c r="D7" s="22">
        <f t="shared" si="1"/>
        <v>0</v>
      </c>
      <c r="E7" s="22">
        <f t="shared" si="1"/>
        <v>0</v>
      </c>
      <c r="F7" s="22">
        <f t="shared" si="1"/>
        <v>0</v>
      </c>
      <c r="G7" s="22">
        <f t="shared" si="1"/>
        <v>0</v>
      </c>
      <c r="H7" s="22">
        <f t="shared" si="1"/>
        <v>0</v>
      </c>
      <c r="I7" s="22">
        <f t="shared" si="1"/>
        <v>0</v>
      </c>
      <c r="J7" s="22">
        <f t="shared" si="1"/>
        <v>0</v>
      </c>
      <c r="K7" s="22">
        <f t="shared" si="1"/>
        <v>0</v>
      </c>
      <c r="L7" s="22">
        <f t="shared" si="1"/>
        <v>0</v>
      </c>
      <c r="M7" s="22">
        <f t="shared" si="1"/>
        <v>181586</v>
      </c>
      <c r="N7" s="22">
        <f t="shared" si="1"/>
        <v>270064</v>
      </c>
      <c r="O7" s="22">
        <f t="shared" si="1"/>
        <v>389004</v>
      </c>
      <c r="P7" s="22">
        <f t="shared" si="1"/>
        <v>544379</v>
      </c>
      <c r="Q7" s="22">
        <f t="shared" si="1"/>
        <v>749457</v>
      </c>
      <c r="R7" s="16"/>
      <c r="S7" s="16"/>
      <c r="T7" s="22">
        <f t="shared" ref="T7:Y7" si="2">T5-T6</f>
        <v>140414</v>
      </c>
      <c r="U7" s="22">
        <f t="shared" si="2"/>
        <v>150625</v>
      </c>
      <c r="V7" s="22">
        <f t="shared" si="2"/>
        <v>164096</v>
      </c>
      <c r="W7" s="22">
        <f t="shared" si="2"/>
        <v>182581</v>
      </c>
      <c r="X7" s="22">
        <f t="shared" si="2"/>
        <v>196911</v>
      </c>
      <c r="Y7" s="22">
        <f t="shared" si="2"/>
        <v>205869</v>
      </c>
      <c r="Z7" s="22">
        <f t="shared" ref="Z7:AA7" si="3">Z5-Z6</f>
        <v>213096</v>
      </c>
      <c r="AA7" s="22">
        <f t="shared" si="3"/>
        <v>216740</v>
      </c>
      <c r="AB7" s="16"/>
      <c r="AC7" s="22">
        <f t="shared" si="0"/>
        <v>832616</v>
      </c>
      <c r="AD7" s="16"/>
      <c r="AE7" s="16"/>
    </row>
    <row r="8" spans="1:31" x14ac:dyDescent="0.2">
      <c r="B8" s="20" t="s">
        <v>23</v>
      </c>
      <c r="C8" s="21"/>
      <c r="D8" s="21"/>
      <c r="E8" s="21"/>
      <c r="F8" s="21"/>
      <c r="G8" s="21"/>
      <c r="H8" s="21"/>
      <c r="I8" s="21"/>
      <c r="J8" s="21"/>
      <c r="K8" s="21"/>
      <c r="L8" s="21"/>
      <c r="M8" s="21">
        <v>103833</v>
      </c>
      <c r="N8" s="21">
        <v>150444</v>
      </c>
      <c r="O8" s="21">
        <v>194352</v>
      </c>
      <c r="P8" s="21">
        <v>235298</v>
      </c>
      <c r="Q8" s="21">
        <v>306323</v>
      </c>
      <c r="T8" s="21">
        <v>62878</v>
      </c>
      <c r="U8" s="21">
        <v>66395</v>
      </c>
      <c r="V8" s="21">
        <v>70390</v>
      </c>
      <c r="W8" s="21">
        <v>73670</v>
      </c>
      <c r="X8" s="21">
        <v>82707</v>
      </c>
      <c r="Y8" s="21">
        <v>79556</v>
      </c>
      <c r="Z8" s="21">
        <v>82974</v>
      </c>
      <c r="AA8" s="21">
        <v>92195</v>
      </c>
      <c r="AC8" s="21">
        <f t="shared" si="0"/>
        <v>337432</v>
      </c>
    </row>
    <row r="9" spans="1:31" x14ac:dyDescent="0.2">
      <c r="B9" s="23" t="s">
        <v>24</v>
      </c>
      <c r="C9" s="21"/>
      <c r="D9" s="21"/>
      <c r="E9" s="21"/>
      <c r="F9" s="21"/>
      <c r="G9" s="21"/>
      <c r="H9" s="21"/>
      <c r="I9" s="21"/>
      <c r="J9" s="21"/>
      <c r="K9" s="21"/>
      <c r="L9" s="21"/>
      <c r="M9" s="21">
        <v>59170</v>
      </c>
      <c r="N9" s="21">
        <v>66967</v>
      </c>
      <c r="O9" s="21">
        <v>75788</v>
      </c>
      <c r="P9" s="21">
        <v>90494</v>
      </c>
      <c r="Q9" s="21">
        <v>125677</v>
      </c>
      <c r="T9" s="21">
        <v>25574</v>
      </c>
      <c r="U9" s="21">
        <v>24815</v>
      </c>
      <c r="V9" s="21">
        <v>26662</v>
      </c>
      <c r="W9" s="21">
        <v>29563</v>
      </c>
      <c r="X9" s="21">
        <v>35081</v>
      </c>
      <c r="Y9" s="21">
        <v>34371</v>
      </c>
      <c r="Z9" s="21">
        <v>39249</v>
      </c>
      <c r="AA9" s="21">
        <v>40007</v>
      </c>
      <c r="AC9" s="21">
        <f t="shared" si="0"/>
        <v>148708</v>
      </c>
    </row>
    <row r="10" spans="1:31" x14ac:dyDescent="0.2">
      <c r="B10" s="23" t="s">
        <v>25</v>
      </c>
      <c r="C10" s="21"/>
      <c r="D10" s="21"/>
      <c r="E10" s="21"/>
      <c r="F10" s="21"/>
      <c r="G10" s="21"/>
      <c r="H10" s="21"/>
      <c r="I10" s="21"/>
      <c r="J10" s="21"/>
      <c r="K10" s="21"/>
      <c r="L10" s="21"/>
      <c r="M10" s="21">
        <v>78590</v>
      </c>
      <c r="N10" s="21">
        <v>117848</v>
      </c>
      <c r="O10" s="21">
        <v>132123</v>
      </c>
      <c r="P10" s="21">
        <v>155992</v>
      </c>
      <c r="Q10" s="21">
        <v>181887</v>
      </c>
      <c r="T10" s="21">
        <v>38388</v>
      </c>
      <c r="U10" s="21">
        <v>45533</v>
      </c>
      <c r="V10" s="21">
        <v>43450</v>
      </c>
      <c r="W10" s="21">
        <v>45985</v>
      </c>
      <c r="X10" s="21">
        <v>43964</v>
      </c>
      <c r="Y10" s="21">
        <v>48488</v>
      </c>
      <c r="Z10" s="21">
        <v>46346</v>
      </c>
      <c r="AA10" s="21">
        <v>50593</v>
      </c>
      <c r="AC10" s="21">
        <f t="shared" si="0"/>
        <v>189391</v>
      </c>
    </row>
    <row r="11" spans="1:31" x14ac:dyDescent="0.2">
      <c r="B11" s="23" t="s">
        <v>26</v>
      </c>
      <c r="C11" s="24">
        <f t="shared" ref="C11:Q11" si="4">SUM(C8:C10)</f>
        <v>0</v>
      </c>
      <c r="D11" s="24">
        <f t="shared" si="4"/>
        <v>0</v>
      </c>
      <c r="E11" s="24">
        <f t="shared" si="4"/>
        <v>0</v>
      </c>
      <c r="F11" s="24">
        <f t="shared" si="4"/>
        <v>0</v>
      </c>
      <c r="G11" s="24">
        <f t="shared" si="4"/>
        <v>0</v>
      </c>
      <c r="H11" s="24">
        <f t="shared" si="4"/>
        <v>0</v>
      </c>
      <c r="I11" s="24">
        <f t="shared" si="4"/>
        <v>0</v>
      </c>
      <c r="J11" s="24">
        <f t="shared" si="4"/>
        <v>0</v>
      </c>
      <c r="K11" s="24">
        <f t="shared" si="4"/>
        <v>0</v>
      </c>
      <c r="L11" s="24">
        <f t="shared" si="4"/>
        <v>0</v>
      </c>
      <c r="M11" s="24">
        <f t="shared" si="4"/>
        <v>241593</v>
      </c>
      <c r="N11" s="24">
        <f t="shared" si="4"/>
        <v>335259</v>
      </c>
      <c r="O11" s="24">
        <f t="shared" si="4"/>
        <v>402263</v>
      </c>
      <c r="P11" s="24">
        <f t="shared" si="4"/>
        <v>481784</v>
      </c>
      <c r="Q11" s="24">
        <f t="shared" si="4"/>
        <v>613887</v>
      </c>
      <c r="T11" s="24">
        <f t="shared" ref="T11" si="5">SUM(T8:T10)</f>
        <v>126840</v>
      </c>
      <c r="U11" s="24">
        <f t="shared" ref="U11" si="6">SUM(U8:U10)</f>
        <v>136743</v>
      </c>
      <c r="V11" s="24">
        <f t="shared" ref="V11" si="7">SUM(V8:V10)</f>
        <v>140502</v>
      </c>
      <c r="W11" s="24">
        <f t="shared" ref="W11" si="8">SUM(W8:W10)</f>
        <v>149218</v>
      </c>
      <c r="X11" s="24">
        <f t="shared" ref="X11:Z11" si="9">SUM(X8:X10)</f>
        <v>161752</v>
      </c>
      <c r="Y11" s="24">
        <f t="shared" si="9"/>
        <v>162415</v>
      </c>
      <c r="Z11" s="24">
        <f t="shared" si="9"/>
        <v>168569</v>
      </c>
      <c r="AA11" s="24">
        <f t="shared" ref="AA11" si="10">SUM(AA8:AA10)</f>
        <v>182795</v>
      </c>
      <c r="AC11" s="24">
        <f t="shared" si="0"/>
        <v>675531</v>
      </c>
    </row>
    <row r="12" spans="1:31" s="19" customFormat="1" x14ac:dyDescent="0.2">
      <c r="A12" s="16"/>
      <c r="B12" s="17" t="s">
        <v>27</v>
      </c>
      <c r="C12" s="18"/>
      <c r="D12" s="18"/>
      <c r="E12" s="18"/>
      <c r="F12" s="18"/>
      <c r="G12" s="18"/>
      <c r="H12" s="18"/>
      <c r="I12" s="18"/>
      <c r="J12" s="18"/>
      <c r="K12" s="18"/>
      <c r="L12" s="18"/>
      <c r="M12" s="61">
        <v>-60007</v>
      </c>
      <c r="N12" s="61">
        <v>-65195</v>
      </c>
      <c r="O12" s="61">
        <v>-13259</v>
      </c>
      <c r="P12" s="61">
        <v>62595</v>
      </c>
      <c r="Q12" s="18">
        <v>135570</v>
      </c>
      <c r="R12" s="16"/>
      <c r="S12" s="16"/>
      <c r="T12" s="61">
        <v>13574</v>
      </c>
      <c r="U12" s="18">
        <v>13882</v>
      </c>
      <c r="V12" s="61">
        <v>23594</v>
      </c>
      <c r="W12" s="61">
        <v>33363</v>
      </c>
      <c r="X12" s="18">
        <v>35159</v>
      </c>
      <c r="Y12" s="18">
        <v>43454</v>
      </c>
      <c r="Z12" s="18">
        <v>44527</v>
      </c>
      <c r="AA12" s="18">
        <v>33945</v>
      </c>
      <c r="AB12" s="1"/>
      <c r="AC12" s="18">
        <f t="shared" si="0"/>
        <v>157085</v>
      </c>
      <c r="AD12" s="1"/>
      <c r="AE12" s="1"/>
    </row>
    <row r="13" spans="1:31" x14ac:dyDescent="0.2">
      <c r="B13" s="23" t="s">
        <v>28</v>
      </c>
      <c r="C13" s="21"/>
      <c r="D13" s="21"/>
      <c r="E13" s="21"/>
      <c r="F13" s="21"/>
      <c r="G13" s="21"/>
      <c r="H13" s="21"/>
      <c r="I13" s="21"/>
      <c r="J13" s="21"/>
      <c r="K13" s="21"/>
      <c r="L13" s="21"/>
      <c r="M13" s="227">
        <v>19</v>
      </c>
      <c r="N13" s="227">
        <v>7235</v>
      </c>
      <c r="O13" s="227">
        <v>31091</v>
      </c>
      <c r="P13" s="227">
        <v>42697</v>
      </c>
      <c r="Q13" s="227">
        <v>45231</v>
      </c>
      <c r="T13" s="62">
        <v>11246</v>
      </c>
      <c r="U13" s="62">
        <v>10697</v>
      </c>
      <c r="V13" s="62">
        <v>10415</v>
      </c>
      <c r="W13" s="62">
        <v>11427</v>
      </c>
      <c r="X13" s="62">
        <v>11793</v>
      </c>
      <c r="Y13" s="62">
        <v>11596</v>
      </c>
      <c r="Z13" s="62">
        <v>11811</v>
      </c>
      <c r="AA13" s="62">
        <v>11831</v>
      </c>
      <c r="AC13" s="62">
        <f t="shared" si="0"/>
        <v>47031</v>
      </c>
    </row>
    <row r="14" spans="1:31" x14ac:dyDescent="0.2">
      <c r="B14" s="23" t="s">
        <v>29</v>
      </c>
      <c r="C14" s="21"/>
      <c r="D14" s="21"/>
      <c r="E14" s="21"/>
      <c r="F14" s="21"/>
      <c r="G14" s="21"/>
      <c r="H14" s="21"/>
      <c r="I14" s="21"/>
      <c r="J14" s="21"/>
      <c r="K14" s="21"/>
      <c r="L14" s="21"/>
      <c r="M14" s="62">
        <f>318-288</f>
        <v>30</v>
      </c>
      <c r="N14" s="62">
        <f>131-807</f>
        <v>-676</v>
      </c>
      <c r="O14" s="62">
        <f>590-645</f>
        <v>-55</v>
      </c>
      <c r="P14" s="62">
        <f>1267-4253</f>
        <v>-2986</v>
      </c>
      <c r="Q14" s="62">
        <f>3382-1773</f>
        <v>1609</v>
      </c>
      <c r="T14" s="62">
        <v>569</v>
      </c>
      <c r="U14" s="62">
        <v>-2227</v>
      </c>
      <c r="V14" s="62">
        <v>1001</v>
      </c>
      <c r="W14" s="62">
        <v>1660</v>
      </c>
      <c r="X14" s="62">
        <v>-503</v>
      </c>
      <c r="Y14" s="62">
        <v>-549</v>
      </c>
      <c r="Z14" s="62">
        <v>-786</v>
      </c>
      <c r="AA14" s="62">
        <v>-410</v>
      </c>
      <c r="AC14" s="62">
        <f t="shared" si="0"/>
        <v>-2248</v>
      </c>
    </row>
    <row r="15" spans="1:31" s="19" customFormat="1" x14ac:dyDescent="0.2">
      <c r="A15" s="16"/>
      <c r="B15" s="17" t="s">
        <v>30</v>
      </c>
      <c r="C15" s="18"/>
      <c r="D15" s="18"/>
      <c r="E15" s="18"/>
      <c r="F15" s="18"/>
      <c r="G15" s="18"/>
      <c r="H15" s="18"/>
      <c r="I15" s="18"/>
      <c r="J15" s="18"/>
      <c r="K15" s="18"/>
      <c r="L15" s="18"/>
      <c r="M15" s="61">
        <v>-59958</v>
      </c>
      <c r="N15" s="61">
        <v>58636</v>
      </c>
      <c r="O15" s="61">
        <v>17777</v>
      </c>
      <c r="P15" s="61">
        <v>102306</v>
      </c>
      <c r="Q15" s="18">
        <v>182410</v>
      </c>
      <c r="R15" s="1"/>
      <c r="S15" s="1"/>
      <c r="T15" s="61">
        <v>25389</v>
      </c>
      <c r="U15" s="18">
        <v>22352</v>
      </c>
      <c r="V15" s="61">
        <v>35010</v>
      </c>
      <c r="W15" s="18">
        <v>46450</v>
      </c>
      <c r="X15" s="18">
        <v>46449</v>
      </c>
      <c r="Y15" s="18">
        <v>54501</v>
      </c>
      <c r="Z15" s="18">
        <v>55552</v>
      </c>
      <c r="AA15" s="18">
        <v>45366</v>
      </c>
      <c r="AB15" s="1"/>
      <c r="AC15" s="18">
        <f t="shared" si="0"/>
        <v>201868</v>
      </c>
      <c r="AD15" s="1"/>
      <c r="AE15" s="1"/>
    </row>
    <row r="16" spans="1:31" x14ac:dyDescent="0.2">
      <c r="B16" s="23" t="s">
        <v>31</v>
      </c>
      <c r="C16" s="21"/>
      <c r="D16" s="21"/>
      <c r="E16" s="21"/>
      <c r="F16" s="21"/>
      <c r="G16" s="21"/>
      <c r="H16" s="21"/>
      <c r="I16" s="21"/>
      <c r="J16" s="21"/>
      <c r="K16" s="21"/>
      <c r="L16" s="21"/>
      <c r="M16" s="62">
        <v>-177</v>
      </c>
      <c r="N16" s="62">
        <v>-938</v>
      </c>
      <c r="O16" s="62">
        <v>-1710</v>
      </c>
      <c r="P16" s="62">
        <v>-13732</v>
      </c>
      <c r="Q16" s="62">
        <v>-25045</v>
      </c>
      <c r="T16" s="62">
        <v>-2029</v>
      </c>
      <c r="U16" s="62">
        <v>-8445</v>
      </c>
      <c r="V16" s="62">
        <v>125</v>
      </c>
      <c r="W16" s="62">
        <v>-1669</v>
      </c>
      <c r="X16" s="62">
        <f>245746-256700</f>
        <v>-10954</v>
      </c>
      <c r="Y16" s="62">
        <v>-12547</v>
      </c>
      <c r="Z16" s="62">
        <v>-12092</v>
      </c>
      <c r="AA16" s="62">
        <v>-12208</v>
      </c>
      <c r="AC16" s="62">
        <f t="shared" si="0"/>
        <v>-47801</v>
      </c>
    </row>
    <row r="17" spans="1:31" x14ac:dyDescent="0.2">
      <c r="B17" s="23" t="s">
        <v>331</v>
      </c>
      <c r="C17" s="21"/>
      <c r="D17" s="21"/>
      <c r="E17" s="21"/>
      <c r="F17" s="21"/>
      <c r="G17" s="21"/>
      <c r="H17" s="21"/>
      <c r="I17" s="21"/>
      <c r="J17" s="21"/>
      <c r="K17" s="21"/>
      <c r="L17" s="21"/>
      <c r="M17" s="62">
        <v>0</v>
      </c>
      <c r="N17" s="62">
        <v>0</v>
      </c>
      <c r="O17" s="62">
        <v>0</v>
      </c>
      <c r="P17" s="62">
        <v>0</v>
      </c>
      <c r="Q17" s="62">
        <v>0</v>
      </c>
      <c r="T17" s="62">
        <v>0</v>
      </c>
      <c r="U17" s="62">
        <v>0</v>
      </c>
      <c r="V17" s="62">
        <v>0</v>
      </c>
      <c r="W17" s="62">
        <v>0</v>
      </c>
      <c r="X17" s="62">
        <v>0</v>
      </c>
      <c r="Y17" s="62">
        <v>0</v>
      </c>
      <c r="Z17" s="62">
        <v>0</v>
      </c>
      <c r="AA17" s="62">
        <v>0</v>
      </c>
      <c r="AC17" s="62">
        <f t="shared" si="0"/>
        <v>0</v>
      </c>
    </row>
    <row r="18" spans="1:31" s="19" customFormat="1" x14ac:dyDescent="0.2">
      <c r="A18" s="16"/>
      <c r="B18" s="17" t="s">
        <v>32</v>
      </c>
      <c r="C18" s="18"/>
      <c r="D18" s="18"/>
      <c r="E18" s="18"/>
      <c r="F18" s="18"/>
      <c r="G18" s="18"/>
      <c r="H18" s="18"/>
      <c r="I18" s="18"/>
      <c r="J18" s="18"/>
      <c r="K18" s="18"/>
      <c r="L18" s="18"/>
      <c r="M18" s="61">
        <v>-60135</v>
      </c>
      <c r="N18" s="61">
        <v>-59574</v>
      </c>
      <c r="O18" s="61">
        <v>16067</v>
      </c>
      <c r="P18" s="61">
        <v>88574</v>
      </c>
      <c r="Q18" s="61">
        <v>157365</v>
      </c>
      <c r="R18" s="60"/>
      <c r="S18" s="60"/>
      <c r="T18" s="61">
        <v>23360</v>
      </c>
      <c r="U18" s="61">
        <v>13907</v>
      </c>
      <c r="V18" s="61">
        <v>35135</v>
      </c>
      <c r="W18" s="61">
        <v>44781</v>
      </c>
      <c r="X18" s="61">
        <v>35495</v>
      </c>
      <c r="Y18" s="61">
        <v>41954</v>
      </c>
      <c r="Z18" s="61">
        <v>43460</v>
      </c>
      <c r="AA18" s="61">
        <v>33158</v>
      </c>
      <c r="AB18" s="1"/>
      <c r="AC18" s="61">
        <f t="shared" si="0"/>
        <v>154067</v>
      </c>
      <c r="AD18" s="1"/>
      <c r="AE18" s="1"/>
    </row>
    <row r="19" spans="1:31" x14ac:dyDescent="0.2">
      <c r="B19" s="23" t="s">
        <v>33</v>
      </c>
      <c r="C19" s="21"/>
      <c r="D19" s="21"/>
      <c r="E19" s="21"/>
      <c r="F19" s="21"/>
      <c r="G19" s="21"/>
      <c r="H19" s="21"/>
      <c r="I19" s="21"/>
      <c r="J19" s="21"/>
      <c r="K19" s="21"/>
      <c r="L19" s="21"/>
      <c r="M19" s="21">
        <v>23433</v>
      </c>
      <c r="N19" s="21">
        <v>39470</v>
      </c>
      <c r="O19" s="62">
        <v>41451</v>
      </c>
      <c r="P19" s="62">
        <v>43504</v>
      </c>
      <c r="Q19" s="62">
        <v>45753.038674033145</v>
      </c>
      <c r="R19" s="60"/>
      <c r="S19" s="60"/>
      <c r="T19" s="21">
        <v>43707</v>
      </c>
      <c r="U19" s="21">
        <v>43504</v>
      </c>
      <c r="V19" s="21">
        <v>45148</v>
      </c>
      <c r="W19" s="21">
        <v>45610</v>
      </c>
      <c r="X19" s="21">
        <v>45950</v>
      </c>
      <c r="Y19" s="21">
        <v>45753.038674033145</v>
      </c>
      <c r="Z19" s="21">
        <v>46793</v>
      </c>
      <c r="AA19" s="21">
        <v>46701.408450704228</v>
      </c>
      <c r="AC19" s="62">
        <f>AVERAGE(X19:AA19)</f>
        <v>46299.361781184343</v>
      </c>
    </row>
    <row r="20" spans="1:31" x14ac:dyDescent="0.2">
      <c r="B20" s="23" t="s">
        <v>34</v>
      </c>
      <c r="C20" s="25">
        <f t="shared" ref="C20:Q20" si="11">C19*C$85</f>
        <v>0</v>
      </c>
      <c r="D20" s="25">
        <f t="shared" si="11"/>
        <v>0</v>
      </c>
      <c r="E20" s="25">
        <f t="shared" si="11"/>
        <v>0</v>
      </c>
      <c r="F20" s="25">
        <f t="shared" si="11"/>
        <v>0</v>
      </c>
      <c r="G20" s="25">
        <f t="shared" si="11"/>
        <v>0</v>
      </c>
      <c r="H20" s="25">
        <f t="shared" si="11"/>
        <v>0</v>
      </c>
      <c r="I20" s="25">
        <f t="shared" si="11"/>
        <v>0</v>
      </c>
      <c r="J20" s="25">
        <f t="shared" si="11"/>
        <v>0</v>
      </c>
      <c r="K20" s="25">
        <f t="shared" si="11"/>
        <v>0</v>
      </c>
      <c r="L20" s="25">
        <f t="shared" si="11"/>
        <v>0</v>
      </c>
      <c r="M20" s="25">
        <f t="shared" si="11"/>
        <v>23433</v>
      </c>
      <c r="N20" s="25">
        <f t="shared" si="11"/>
        <v>39470</v>
      </c>
      <c r="O20" s="25">
        <f t="shared" si="11"/>
        <v>41451</v>
      </c>
      <c r="P20" s="25">
        <f t="shared" si="11"/>
        <v>43504</v>
      </c>
      <c r="Q20" s="25">
        <f t="shared" si="11"/>
        <v>45753.038674033145</v>
      </c>
      <c r="T20" s="25">
        <f t="shared" ref="T20:Z20" si="12">T19*T$85</f>
        <v>43707</v>
      </c>
      <c r="U20" s="25">
        <f t="shared" si="12"/>
        <v>43504</v>
      </c>
      <c r="V20" s="25">
        <f t="shared" si="12"/>
        <v>45148</v>
      </c>
      <c r="W20" s="25">
        <f t="shared" si="12"/>
        <v>45610</v>
      </c>
      <c r="X20" s="25">
        <f t="shared" si="12"/>
        <v>45950</v>
      </c>
      <c r="Y20" s="25">
        <f t="shared" si="12"/>
        <v>45753.038674033145</v>
      </c>
      <c r="Z20" s="25">
        <f t="shared" si="12"/>
        <v>46793</v>
      </c>
      <c r="AA20" s="25">
        <f t="shared" ref="AA20" si="13">AA19*AA$85</f>
        <v>46701.408450704228</v>
      </c>
      <c r="AC20" s="25">
        <f>AC19*AC$85</f>
        <v>46299.361781184343</v>
      </c>
    </row>
    <row r="21" spans="1:31" x14ac:dyDescent="0.2">
      <c r="B21" s="23" t="s">
        <v>35</v>
      </c>
      <c r="C21" s="21"/>
      <c r="D21" s="21"/>
      <c r="E21" s="21"/>
      <c r="F21" s="21"/>
      <c r="G21" s="21"/>
      <c r="H21" s="21"/>
      <c r="I21" s="21"/>
      <c r="J21" s="21"/>
      <c r="K21" s="21"/>
      <c r="L21" s="21"/>
      <c r="M21" s="21">
        <v>23433</v>
      </c>
      <c r="N21" s="21">
        <v>39470</v>
      </c>
      <c r="O21" s="62">
        <v>46522</v>
      </c>
      <c r="P21" s="62">
        <v>47101</v>
      </c>
      <c r="Q21" s="62">
        <v>48315.63593932322</v>
      </c>
      <c r="T21" s="21">
        <v>47969</v>
      </c>
      <c r="U21" s="21">
        <v>47101</v>
      </c>
      <c r="V21" s="21">
        <v>48497</v>
      </c>
      <c r="W21" s="21">
        <v>49000</v>
      </c>
      <c r="X21" s="21">
        <v>49144</v>
      </c>
      <c r="Y21" s="21">
        <v>48315.63593932322</v>
      </c>
      <c r="Z21" s="21">
        <v>48987</v>
      </c>
      <c r="AA21" s="21">
        <v>50239.393939393936</v>
      </c>
      <c r="AC21" s="62">
        <f>AVERAGE(X21:AA21)</f>
        <v>49171.507469679287</v>
      </c>
    </row>
    <row r="22" spans="1:31" x14ac:dyDescent="0.2">
      <c r="B22" s="23" t="s">
        <v>36</v>
      </c>
      <c r="C22" s="25">
        <f t="shared" ref="C22:Q22" si="14">C21*C$85</f>
        <v>0</v>
      </c>
      <c r="D22" s="25">
        <f t="shared" si="14"/>
        <v>0</v>
      </c>
      <c r="E22" s="25">
        <f t="shared" si="14"/>
        <v>0</v>
      </c>
      <c r="F22" s="25">
        <f t="shared" si="14"/>
        <v>0</v>
      </c>
      <c r="G22" s="25">
        <f t="shared" si="14"/>
        <v>0</v>
      </c>
      <c r="H22" s="25">
        <f t="shared" si="14"/>
        <v>0</v>
      </c>
      <c r="I22" s="25">
        <f t="shared" si="14"/>
        <v>0</v>
      </c>
      <c r="J22" s="25">
        <f t="shared" si="14"/>
        <v>0</v>
      </c>
      <c r="K22" s="25">
        <f t="shared" si="14"/>
        <v>0</v>
      </c>
      <c r="L22" s="25">
        <f t="shared" si="14"/>
        <v>0</v>
      </c>
      <c r="M22" s="25">
        <f t="shared" si="14"/>
        <v>23433</v>
      </c>
      <c r="N22" s="25">
        <f t="shared" si="14"/>
        <v>39470</v>
      </c>
      <c r="O22" s="25">
        <f t="shared" si="14"/>
        <v>46522</v>
      </c>
      <c r="P22" s="25">
        <f t="shared" si="14"/>
        <v>47101</v>
      </c>
      <c r="Q22" s="25">
        <f t="shared" si="14"/>
        <v>48315.63593932322</v>
      </c>
      <c r="T22" s="25">
        <f t="shared" ref="T22:Z22" si="15">T21*T$85</f>
        <v>47969</v>
      </c>
      <c r="U22" s="25">
        <f t="shared" si="15"/>
        <v>47101</v>
      </c>
      <c r="V22" s="25">
        <f t="shared" si="15"/>
        <v>48497</v>
      </c>
      <c r="W22" s="25">
        <f t="shared" si="15"/>
        <v>49000</v>
      </c>
      <c r="X22" s="25">
        <f t="shared" si="15"/>
        <v>49144</v>
      </c>
      <c r="Y22" s="25">
        <f t="shared" si="15"/>
        <v>48315.63593932322</v>
      </c>
      <c r="Z22" s="25">
        <f t="shared" si="15"/>
        <v>48987</v>
      </c>
      <c r="AA22" s="25">
        <f t="shared" ref="AA22" si="16">AA21*AA$85</f>
        <v>50239.393939393936</v>
      </c>
      <c r="AC22" s="25">
        <f>AC21*AC$85</f>
        <v>49171.507469679287</v>
      </c>
    </row>
    <row r="23" spans="1:31" x14ac:dyDescent="0.2">
      <c r="B23" s="23" t="s">
        <v>37</v>
      </c>
      <c r="C23" s="26"/>
      <c r="D23" s="26"/>
      <c r="E23" s="26"/>
      <c r="F23" s="26"/>
      <c r="G23" s="26"/>
      <c r="H23" s="26"/>
      <c r="I23" s="26"/>
      <c r="J23" s="26"/>
      <c r="K23" s="26"/>
      <c r="L23" s="26"/>
      <c r="M23" s="63">
        <v>-2.57</v>
      </c>
      <c r="N23" s="63">
        <v>-1.51</v>
      </c>
      <c r="O23" s="63">
        <v>0.39</v>
      </c>
      <c r="P23" s="63">
        <v>2.04</v>
      </c>
      <c r="Q23" s="26">
        <v>3.4394436863777429</v>
      </c>
      <c r="T23" s="63">
        <v>0.53</v>
      </c>
      <c r="U23" s="26">
        <v>0.31967175432144168</v>
      </c>
      <c r="V23" s="63">
        <v>0.78</v>
      </c>
      <c r="W23" s="26">
        <v>0.98</v>
      </c>
      <c r="X23" s="26">
        <v>0.77247007616974972</v>
      </c>
      <c r="Y23" s="26">
        <v>0.91696641831596493</v>
      </c>
      <c r="Z23" s="26">
        <v>0.93</v>
      </c>
      <c r="AA23" s="26">
        <v>0.71</v>
      </c>
      <c r="AC23" s="26">
        <f>SUM(X23:AA23)</f>
        <v>3.3294364944857149</v>
      </c>
    </row>
    <row r="24" spans="1:31" x14ac:dyDescent="0.2">
      <c r="B24" s="23" t="s">
        <v>38</v>
      </c>
      <c r="C24" s="27"/>
      <c r="D24" s="27"/>
      <c r="E24" s="27"/>
      <c r="F24" s="27"/>
      <c r="G24" s="27"/>
      <c r="H24" s="27"/>
      <c r="I24" s="27"/>
      <c r="J24" s="27"/>
      <c r="K24" s="27"/>
      <c r="L24" s="27"/>
      <c r="M24" s="65">
        <f>M23/M$85</f>
        <v>-2.57</v>
      </c>
      <c r="N24" s="65">
        <f>N23/N$85</f>
        <v>-1.51</v>
      </c>
      <c r="O24" s="65">
        <f>O23/O$85</f>
        <v>0.39</v>
      </c>
      <c r="P24" s="65">
        <f>P23/P$85</f>
        <v>2.04</v>
      </c>
      <c r="Q24" s="65">
        <f>Q23/Q$85</f>
        <v>3.4394436863777429</v>
      </c>
      <c r="T24" s="65">
        <f t="shared" ref="T24:Z24" si="17">T23/T$85</f>
        <v>0.53</v>
      </c>
      <c r="U24" s="65">
        <f t="shared" si="17"/>
        <v>0.31967175432144168</v>
      </c>
      <c r="V24" s="65">
        <f t="shared" si="17"/>
        <v>0.78</v>
      </c>
      <c r="W24" s="65">
        <f t="shared" si="17"/>
        <v>0.98</v>
      </c>
      <c r="X24" s="65">
        <f t="shared" si="17"/>
        <v>0.77247007616974972</v>
      </c>
      <c r="Y24" s="65">
        <f t="shared" si="17"/>
        <v>0.91696641831596493</v>
      </c>
      <c r="Z24" s="65">
        <f t="shared" si="17"/>
        <v>0.93</v>
      </c>
      <c r="AA24" s="65">
        <f t="shared" ref="AA24" si="18">AA23/AA$85</f>
        <v>0.71</v>
      </c>
      <c r="AC24" s="65">
        <f>AC23/AC$85</f>
        <v>3.3294364944857149</v>
      </c>
    </row>
    <row r="25" spans="1:31" x14ac:dyDescent="0.2">
      <c r="B25" s="23" t="s">
        <v>39</v>
      </c>
      <c r="C25" s="26"/>
      <c r="D25" s="26"/>
      <c r="E25" s="26"/>
      <c r="F25" s="26"/>
      <c r="G25" s="26"/>
      <c r="H25" s="26"/>
      <c r="I25" s="26"/>
      <c r="J25" s="26"/>
      <c r="K25" s="26"/>
      <c r="L25" s="26"/>
      <c r="M25" s="63">
        <v>-2.57</v>
      </c>
      <c r="N25" s="63">
        <v>-1.51</v>
      </c>
      <c r="O25" s="63">
        <v>0.35</v>
      </c>
      <c r="P25" s="63">
        <v>1.88</v>
      </c>
      <c r="Q25" s="26">
        <v>3.2570201538405805</v>
      </c>
      <c r="T25" s="63">
        <v>0.49</v>
      </c>
      <c r="U25" s="26">
        <v>0.29525912401010596</v>
      </c>
      <c r="V25" s="63">
        <v>0.72</v>
      </c>
      <c r="W25" s="26">
        <v>0.91</v>
      </c>
      <c r="X25" s="26">
        <v>0.72226517987953764</v>
      </c>
      <c r="Y25" s="26">
        <v>0.86833173535556019</v>
      </c>
      <c r="Z25" s="26">
        <v>0.89</v>
      </c>
      <c r="AA25" s="26">
        <v>0.66</v>
      </c>
      <c r="AC25" s="26">
        <f>SUM(X25:AA25)</f>
        <v>3.1405969152350979</v>
      </c>
    </row>
    <row r="26" spans="1:31" s="30" customFormat="1" ht="17" thickBot="1" x14ac:dyDescent="0.25">
      <c r="A26" s="1"/>
      <c r="B26" s="28" t="s">
        <v>40</v>
      </c>
      <c r="C26" s="29"/>
      <c r="D26" s="29"/>
      <c r="E26" s="29"/>
      <c r="F26" s="29"/>
      <c r="G26" s="29"/>
      <c r="H26" s="29"/>
      <c r="I26" s="29"/>
      <c r="J26" s="29"/>
      <c r="K26" s="29"/>
      <c r="L26" s="29"/>
      <c r="M26" s="66">
        <f>M25/M$85</f>
        <v>-2.57</v>
      </c>
      <c r="N26" s="66">
        <f>N25/N$85</f>
        <v>-1.51</v>
      </c>
      <c r="O26" s="66">
        <f>O25/O$85</f>
        <v>0.35</v>
      </c>
      <c r="P26" s="66">
        <f>P25/P$85</f>
        <v>1.88</v>
      </c>
      <c r="Q26" s="66">
        <f>Q25/Q$85</f>
        <v>3.2570201538405805</v>
      </c>
      <c r="R26" s="1"/>
      <c r="S26" s="1"/>
      <c r="T26" s="66">
        <f t="shared" ref="T26:Z26" si="19">T25/T$85</f>
        <v>0.49</v>
      </c>
      <c r="U26" s="66">
        <f t="shared" si="19"/>
        <v>0.29525912401010596</v>
      </c>
      <c r="V26" s="66">
        <f t="shared" si="19"/>
        <v>0.72</v>
      </c>
      <c r="W26" s="66">
        <f t="shared" si="19"/>
        <v>0.91</v>
      </c>
      <c r="X26" s="66">
        <f t="shared" si="19"/>
        <v>0.72226517987953764</v>
      </c>
      <c r="Y26" s="66">
        <f t="shared" si="19"/>
        <v>0.86833173535556019</v>
      </c>
      <c r="Z26" s="66">
        <f t="shared" si="19"/>
        <v>0.89</v>
      </c>
      <c r="AA26" s="66">
        <f t="shared" ref="AA26" si="20">AA25/AA$85</f>
        <v>0.66</v>
      </c>
      <c r="AB26" s="1"/>
      <c r="AC26" s="66">
        <f>AC25/AC$85</f>
        <v>3.1405969152350979</v>
      </c>
      <c r="AD26" s="1"/>
      <c r="AE26" s="1"/>
    </row>
    <row r="27" spans="1:31" s="30" customFormat="1" ht="17" thickBot="1" x14ac:dyDescent="0.25">
      <c r="A27" s="1"/>
      <c r="B27" s="31"/>
      <c r="J27" s="31"/>
      <c r="K27" s="31"/>
      <c r="L27" s="31"/>
      <c r="M27" s="31"/>
      <c r="N27" s="31"/>
      <c r="O27" s="31"/>
      <c r="P27" s="31"/>
      <c r="R27" s="1"/>
      <c r="S27" s="1"/>
      <c r="AB27" s="1"/>
      <c r="AD27" s="1"/>
      <c r="AE27" s="1"/>
    </row>
    <row r="28" spans="1:31" s="15" customFormat="1" ht="17" thickBot="1" x14ac:dyDescent="0.25">
      <c r="A28" s="11"/>
      <c r="B28" s="14" t="s">
        <v>41</v>
      </c>
      <c r="R28" s="1"/>
      <c r="S28" s="1"/>
      <c r="AB28" s="1"/>
      <c r="AD28" s="1"/>
      <c r="AE28" s="1"/>
    </row>
    <row r="29" spans="1:31" x14ac:dyDescent="0.2">
      <c r="B29" s="20" t="s">
        <v>42</v>
      </c>
      <c r="C29" s="21"/>
      <c r="D29" s="21"/>
      <c r="E29" s="21"/>
      <c r="F29" s="21"/>
      <c r="G29" s="21"/>
      <c r="H29" s="21"/>
      <c r="I29" s="21"/>
      <c r="J29" s="21"/>
      <c r="K29" s="21"/>
      <c r="L29" s="21"/>
      <c r="M29" s="21">
        <v>553922</v>
      </c>
      <c r="N29" s="21">
        <v>608180</v>
      </c>
      <c r="O29" s="21">
        <v>747610</v>
      </c>
      <c r="P29" s="21">
        <f>785791+91854</f>
        <v>877645</v>
      </c>
      <c r="Q29" s="21">
        <f>1036389+104078</f>
        <v>1140467</v>
      </c>
      <c r="T29" s="21">
        <f>854409+26354</f>
        <v>880763</v>
      </c>
      <c r="U29" s="21">
        <f>785791+91854</f>
        <v>877645</v>
      </c>
      <c r="V29" s="21">
        <f>883996+115284</f>
        <v>999280</v>
      </c>
      <c r="W29" s="21">
        <f>976231+121652</f>
        <v>1097883</v>
      </c>
      <c r="X29" s="21">
        <f>1011542+109912</f>
        <v>1121454</v>
      </c>
      <c r="Y29" s="21">
        <f>1036389+104078</f>
        <v>1140467</v>
      </c>
      <c r="Z29" s="21">
        <f>1138561+113049</f>
        <v>1251610</v>
      </c>
      <c r="AA29" s="21">
        <f>1180887+132979</f>
        <v>1313866</v>
      </c>
      <c r="AC29" s="21">
        <f>AA29</f>
        <v>1313866</v>
      </c>
    </row>
    <row r="30" spans="1:31" x14ac:dyDescent="0.2">
      <c r="B30" s="20" t="s">
        <v>43</v>
      </c>
      <c r="C30" s="21"/>
      <c r="D30" s="21"/>
      <c r="E30" s="21"/>
      <c r="F30" s="21"/>
      <c r="G30" s="21"/>
      <c r="H30" s="21"/>
      <c r="I30" s="21"/>
      <c r="J30" s="21"/>
      <c r="K30" s="21"/>
      <c r="L30" s="21"/>
      <c r="M30" s="21">
        <v>33163</v>
      </c>
      <c r="N30" s="21">
        <v>46728</v>
      </c>
      <c r="O30" s="21">
        <v>88975</v>
      </c>
      <c r="P30" s="21">
        <v>128923</v>
      </c>
      <c r="Q30" s="21">
        <v>162827</v>
      </c>
      <c r="T30" s="21">
        <v>94215</v>
      </c>
      <c r="U30" s="21">
        <v>128923</v>
      </c>
      <c r="V30" s="21">
        <v>114183</v>
      </c>
      <c r="W30" s="21">
        <v>112919</v>
      </c>
      <c r="X30" s="21">
        <v>124489</v>
      </c>
      <c r="Y30" s="21">
        <v>162827</v>
      </c>
      <c r="Z30" s="21">
        <v>125086</v>
      </c>
      <c r="AA30" s="21">
        <v>130979</v>
      </c>
      <c r="AC30" s="21">
        <f t="shared" ref="AC30:AC50" si="21">AA30</f>
        <v>130979</v>
      </c>
    </row>
    <row r="31" spans="1:31" x14ac:dyDescent="0.2">
      <c r="B31" s="20" t="s">
        <v>139</v>
      </c>
      <c r="C31" s="21"/>
      <c r="D31" s="21"/>
      <c r="E31" s="21"/>
      <c r="F31" s="21"/>
      <c r="G31" s="21"/>
      <c r="H31" s="21"/>
      <c r="I31" s="21"/>
      <c r="J31" s="21"/>
      <c r="K31" s="21"/>
      <c r="L31" s="21"/>
      <c r="M31" s="21">
        <v>0</v>
      </c>
      <c r="N31" s="21">
        <v>0</v>
      </c>
      <c r="O31" s="21">
        <v>0</v>
      </c>
      <c r="P31" s="21">
        <v>0</v>
      </c>
      <c r="Q31" s="21">
        <v>0</v>
      </c>
      <c r="T31" s="21">
        <v>0</v>
      </c>
      <c r="U31" s="21">
        <v>0</v>
      </c>
      <c r="V31" s="21">
        <v>0</v>
      </c>
      <c r="W31" s="21">
        <v>0</v>
      </c>
      <c r="X31" s="21">
        <v>0</v>
      </c>
      <c r="Y31" s="21">
        <v>0</v>
      </c>
      <c r="Z31" s="21">
        <v>0</v>
      </c>
      <c r="AA31" s="21">
        <v>0</v>
      </c>
      <c r="AC31" s="21">
        <f>AA31</f>
        <v>0</v>
      </c>
    </row>
    <row r="32" spans="1:31" s="34" customFormat="1" x14ac:dyDescent="0.2">
      <c r="A32" s="16"/>
      <c r="B32" s="32" t="s">
        <v>44</v>
      </c>
      <c r="C32" s="33"/>
      <c r="D32" s="33"/>
      <c r="E32" s="33"/>
      <c r="F32" s="33"/>
      <c r="G32" s="33"/>
      <c r="H32" s="33"/>
      <c r="I32" s="33"/>
      <c r="J32" s="33"/>
      <c r="K32" s="33"/>
      <c r="L32" s="33"/>
      <c r="M32" s="33">
        <v>619271</v>
      </c>
      <c r="N32" s="33">
        <v>697183</v>
      </c>
      <c r="O32" s="33">
        <v>897798</v>
      </c>
      <c r="P32" s="33">
        <v>1101588</v>
      </c>
      <c r="Q32" s="33">
        <v>1436606</v>
      </c>
      <c r="R32" s="1"/>
      <c r="S32" s="1"/>
      <c r="T32" s="33">
        <v>1058437</v>
      </c>
      <c r="U32" s="33">
        <v>1101588</v>
      </c>
      <c r="V32" s="33">
        <v>1219657</v>
      </c>
      <c r="W32" s="33">
        <v>1323990</v>
      </c>
      <c r="X32" s="33">
        <v>1367105</v>
      </c>
      <c r="Y32" s="33">
        <v>1436606</v>
      </c>
      <c r="Z32" s="33">
        <v>1505959</v>
      </c>
      <c r="AA32" s="33">
        <v>1671114</v>
      </c>
      <c r="AB32" s="1"/>
      <c r="AC32" s="33">
        <f t="shared" si="21"/>
        <v>1671114</v>
      </c>
      <c r="AD32" s="1"/>
      <c r="AE32" s="1"/>
    </row>
    <row r="33" spans="1:31" x14ac:dyDescent="0.2">
      <c r="B33" s="20" t="s">
        <v>45</v>
      </c>
      <c r="C33" s="21"/>
      <c r="D33" s="21"/>
      <c r="E33" s="21"/>
      <c r="F33" s="21"/>
      <c r="G33" s="21"/>
      <c r="H33" s="21"/>
      <c r="I33" s="21"/>
      <c r="J33" s="21"/>
      <c r="K33" s="21"/>
      <c r="L33" s="21"/>
      <c r="M33" s="21">
        <v>8211</v>
      </c>
      <c r="N33" s="21">
        <v>12969</v>
      </c>
      <c r="O33" s="21">
        <v>11792</v>
      </c>
      <c r="P33" s="21">
        <v>18943</v>
      </c>
      <c r="Q33" s="21">
        <v>36297</v>
      </c>
      <c r="T33" s="21">
        <v>19495</v>
      </c>
      <c r="U33" s="21">
        <v>18943</v>
      </c>
      <c r="V33" s="21">
        <v>19161</v>
      </c>
      <c r="W33" s="21">
        <v>19685</v>
      </c>
      <c r="X33" s="21">
        <v>24626</v>
      </c>
      <c r="Y33" s="21">
        <v>36297</v>
      </c>
      <c r="Z33" s="21">
        <v>36966</v>
      </c>
      <c r="AA33" s="21">
        <v>42619</v>
      </c>
      <c r="AC33" s="21">
        <f t="shared" si="21"/>
        <v>42619</v>
      </c>
    </row>
    <row r="34" spans="1:31" x14ac:dyDescent="0.2">
      <c r="B34" s="20" t="s">
        <v>355</v>
      </c>
      <c r="C34" s="21"/>
      <c r="D34" s="21"/>
      <c r="E34" s="21"/>
      <c r="F34" s="21"/>
      <c r="G34" s="21"/>
      <c r="H34" s="21"/>
      <c r="I34" s="21"/>
      <c r="J34" s="21"/>
      <c r="K34" s="21"/>
      <c r="L34" s="21"/>
      <c r="M34" s="21">
        <v>0</v>
      </c>
      <c r="N34" s="21">
        <v>0</v>
      </c>
      <c r="O34" s="21">
        <v>0</v>
      </c>
      <c r="P34" s="21">
        <v>98292</v>
      </c>
      <c r="Q34" s="21">
        <v>135098</v>
      </c>
      <c r="T34" s="21">
        <v>55328</v>
      </c>
      <c r="U34" s="21">
        <v>98292</v>
      </c>
      <c r="V34" s="21">
        <v>83342</v>
      </c>
      <c r="W34" s="21">
        <v>75362</v>
      </c>
      <c r="X34" s="21">
        <v>98735</v>
      </c>
      <c r="Y34" s="21">
        <v>135098</v>
      </c>
      <c r="Z34" s="21">
        <v>140211</v>
      </c>
      <c r="AA34" s="21">
        <v>102693</v>
      </c>
      <c r="AC34" s="21">
        <f t="shared" si="21"/>
        <v>102693</v>
      </c>
    </row>
    <row r="35" spans="1:31" x14ac:dyDescent="0.2">
      <c r="B35" s="20" t="s">
        <v>46</v>
      </c>
      <c r="C35" s="21"/>
      <c r="D35" s="21"/>
      <c r="E35" s="21"/>
      <c r="F35" s="21"/>
      <c r="G35" s="21"/>
      <c r="H35" s="21"/>
      <c r="I35" s="21"/>
      <c r="J35" s="21"/>
      <c r="K35" s="21"/>
      <c r="L35" s="21"/>
      <c r="M35" s="227">
        <v>0</v>
      </c>
      <c r="N35" s="227">
        <v>4050</v>
      </c>
      <c r="O35" s="227">
        <v>4050</v>
      </c>
      <c r="P35" s="227">
        <v>10538</v>
      </c>
      <c r="Q35" s="227">
        <v>35335</v>
      </c>
      <c r="T35" s="21">
        <v>10538</v>
      </c>
      <c r="U35" s="21">
        <v>10538</v>
      </c>
      <c r="V35" s="21">
        <v>10538</v>
      </c>
      <c r="W35" s="21">
        <v>10538</v>
      </c>
      <c r="X35" s="21">
        <v>35335</v>
      </c>
      <c r="Y35" s="21">
        <v>35335</v>
      </c>
      <c r="Z35" s="21">
        <v>35335</v>
      </c>
      <c r="AA35" s="21">
        <v>35335</v>
      </c>
      <c r="AC35" s="21">
        <f t="shared" si="21"/>
        <v>35335</v>
      </c>
    </row>
    <row r="36" spans="1:31" s="34" customFormat="1" x14ac:dyDescent="0.2">
      <c r="A36" s="16"/>
      <c r="B36" s="32" t="s">
        <v>47</v>
      </c>
      <c r="C36" s="35"/>
      <c r="D36" s="35"/>
      <c r="E36" s="35"/>
      <c r="F36" s="35"/>
      <c r="G36" s="35"/>
      <c r="H36" s="35"/>
      <c r="I36" s="35"/>
      <c r="J36" s="35"/>
      <c r="K36" s="35"/>
      <c r="L36" s="35"/>
      <c r="M36" s="35">
        <f t="shared" ref="M36:O36" si="22">M37-M32</f>
        <v>42040</v>
      </c>
      <c r="N36" s="35">
        <f t="shared" si="22"/>
        <v>50164</v>
      </c>
      <c r="O36" s="35">
        <f t="shared" si="22"/>
        <v>56159</v>
      </c>
      <c r="P36" s="35">
        <f>P37-P32</f>
        <v>200140</v>
      </c>
      <c r="Q36" s="35">
        <f>Q37-Q32</f>
        <v>555576</v>
      </c>
      <c r="R36" s="1"/>
      <c r="S36" s="1"/>
      <c r="T36" s="35">
        <f t="shared" ref="T36:Y36" si="23">T37-T32</f>
        <v>161112</v>
      </c>
      <c r="U36" s="35">
        <f t="shared" si="23"/>
        <v>200140</v>
      </c>
      <c r="V36" s="35">
        <f t="shared" si="23"/>
        <v>183489</v>
      </c>
      <c r="W36" s="35">
        <f t="shared" si="23"/>
        <v>218569</v>
      </c>
      <c r="X36" s="35">
        <f t="shared" si="23"/>
        <v>518533</v>
      </c>
      <c r="Y36" s="35">
        <f t="shared" si="23"/>
        <v>555576</v>
      </c>
      <c r="Z36" s="35">
        <f t="shared" ref="Z36:AA36" si="24">Z37-Z32</f>
        <v>552035</v>
      </c>
      <c r="AA36" s="35">
        <f t="shared" si="24"/>
        <v>402839</v>
      </c>
      <c r="AB36" s="1"/>
      <c r="AC36" s="35">
        <f t="shared" si="21"/>
        <v>402839</v>
      </c>
      <c r="AD36" s="1"/>
      <c r="AE36" s="1"/>
    </row>
    <row r="37" spans="1:31" s="19" customFormat="1" x14ac:dyDescent="0.2">
      <c r="A37" s="16"/>
      <c r="B37" s="17" t="s">
        <v>48</v>
      </c>
      <c r="C37" s="18"/>
      <c r="D37" s="18"/>
      <c r="E37" s="18"/>
      <c r="F37" s="18"/>
      <c r="G37" s="18"/>
      <c r="H37" s="18"/>
      <c r="I37" s="18"/>
      <c r="J37" s="18"/>
      <c r="K37" s="18"/>
      <c r="L37" s="18"/>
      <c r="M37" s="18">
        <v>661311</v>
      </c>
      <c r="N37" s="18">
        <v>747347</v>
      </c>
      <c r="O37" s="18">
        <v>953957</v>
      </c>
      <c r="P37" s="18">
        <v>1301728</v>
      </c>
      <c r="Q37" s="18">
        <v>1992182</v>
      </c>
      <c r="R37" s="1"/>
      <c r="S37" s="1"/>
      <c r="T37" s="18">
        <v>1219549</v>
      </c>
      <c r="U37" s="18">
        <v>1301728</v>
      </c>
      <c r="V37" s="18">
        <v>1403146</v>
      </c>
      <c r="W37" s="18">
        <v>1542559</v>
      </c>
      <c r="X37" s="18">
        <v>1885638</v>
      </c>
      <c r="Y37" s="18">
        <v>1992182</v>
      </c>
      <c r="Z37" s="18">
        <v>2057994</v>
      </c>
      <c r="AA37" s="18">
        <v>2073953</v>
      </c>
      <c r="AB37" s="1"/>
      <c r="AC37" s="18">
        <f t="shared" si="21"/>
        <v>2073953</v>
      </c>
      <c r="AD37" s="1"/>
      <c r="AE37" s="1"/>
    </row>
    <row r="38" spans="1:31" x14ac:dyDescent="0.2">
      <c r="B38" s="20" t="s">
        <v>49</v>
      </c>
      <c r="C38" s="21"/>
      <c r="D38" s="21"/>
      <c r="E38" s="21"/>
      <c r="F38" s="21"/>
      <c r="G38" s="21"/>
      <c r="H38" s="21"/>
      <c r="I38" s="21"/>
      <c r="J38" s="21"/>
      <c r="K38" s="21"/>
      <c r="L38" s="21"/>
      <c r="M38" s="21">
        <v>7818</v>
      </c>
      <c r="N38" s="21">
        <v>1177</v>
      </c>
      <c r="O38" s="21">
        <v>2447</v>
      </c>
      <c r="P38" s="21">
        <v>6381</v>
      </c>
      <c r="Q38" s="21">
        <v>7998</v>
      </c>
      <c r="T38" s="21">
        <v>3649</v>
      </c>
      <c r="U38" s="21">
        <v>6381</v>
      </c>
      <c r="V38" s="21">
        <v>2546</v>
      </c>
      <c r="W38" s="21">
        <v>7729</v>
      </c>
      <c r="X38" s="21">
        <v>3568</v>
      </c>
      <c r="Y38" s="21">
        <v>7998</v>
      </c>
      <c r="Z38" s="21">
        <v>7486</v>
      </c>
      <c r="AA38" s="21">
        <v>16196</v>
      </c>
      <c r="AC38" s="21">
        <f t="shared" si="21"/>
        <v>16196</v>
      </c>
    </row>
    <row r="39" spans="1:31" x14ac:dyDescent="0.2">
      <c r="B39" s="20" t="s">
        <v>173</v>
      </c>
      <c r="C39" s="21"/>
      <c r="D39" s="21"/>
      <c r="E39" s="21"/>
      <c r="F39" s="21"/>
      <c r="G39" s="21"/>
      <c r="H39" s="21"/>
      <c r="I39" s="21"/>
      <c r="J39" s="21"/>
      <c r="K39" s="21"/>
      <c r="L39" s="21"/>
      <c r="M39" s="21">
        <v>0</v>
      </c>
      <c r="N39" s="21">
        <v>0</v>
      </c>
      <c r="O39" s="21">
        <v>0</v>
      </c>
      <c r="P39" s="21">
        <v>0</v>
      </c>
      <c r="Q39" s="21">
        <v>0</v>
      </c>
      <c r="T39" s="21">
        <v>0</v>
      </c>
      <c r="U39" s="21">
        <v>0</v>
      </c>
      <c r="V39" s="21">
        <v>0</v>
      </c>
      <c r="W39" s="21">
        <v>0</v>
      </c>
      <c r="X39" s="21">
        <v>0</v>
      </c>
      <c r="Y39" s="21">
        <v>0</v>
      </c>
      <c r="Z39" s="21">
        <v>0</v>
      </c>
      <c r="AA39" s="21">
        <v>0</v>
      </c>
      <c r="AC39" s="21">
        <f t="shared" si="21"/>
        <v>0</v>
      </c>
    </row>
    <row r="40" spans="1:31" s="34" customFormat="1" x14ac:dyDescent="0.2">
      <c r="A40" s="16"/>
      <c r="B40" s="32" t="s">
        <v>50</v>
      </c>
      <c r="C40" s="33"/>
      <c r="D40" s="33"/>
      <c r="E40" s="33"/>
      <c r="F40" s="33"/>
      <c r="G40" s="33"/>
      <c r="H40" s="33"/>
      <c r="I40" s="33"/>
      <c r="J40" s="33"/>
      <c r="K40" s="33"/>
      <c r="L40" s="33"/>
      <c r="M40" s="33">
        <v>119131</v>
      </c>
      <c r="N40" s="33">
        <v>181766</v>
      </c>
      <c r="O40" s="33">
        <v>277362</v>
      </c>
      <c r="P40" s="33">
        <v>422231</v>
      </c>
      <c r="Q40" s="33">
        <v>551148</v>
      </c>
      <c r="R40" s="60"/>
      <c r="S40" s="60"/>
      <c r="T40" s="33">
        <v>342133</v>
      </c>
      <c r="U40" s="33">
        <v>422231</v>
      </c>
      <c r="V40" s="33">
        <v>454485</v>
      </c>
      <c r="W40" s="33">
        <v>471383</v>
      </c>
      <c r="X40" s="33">
        <v>484540</v>
      </c>
      <c r="Y40" s="33">
        <v>551148</v>
      </c>
      <c r="Z40" s="33">
        <v>574114</v>
      </c>
      <c r="AA40" s="33">
        <v>577833</v>
      </c>
      <c r="AB40" s="1"/>
      <c r="AC40" s="33">
        <f t="shared" si="21"/>
        <v>577833</v>
      </c>
      <c r="AD40" s="1"/>
      <c r="AE40" s="1"/>
    </row>
    <row r="41" spans="1:31" x14ac:dyDescent="0.2">
      <c r="B41" s="20" t="s">
        <v>173</v>
      </c>
      <c r="C41" s="21"/>
      <c r="D41" s="21"/>
      <c r="E41" s="21"/>
      <c r="F41" s="21"/>
      <c r="G41" s="21"/>
      <c r="H41" s="21"/>
      <c r="I41" s="21"/>
      <c r="J41" s="21"/>
      <c r="K41" s="21"/>
      <c r="L41" s="21"/>
      <c r="M41" s="21">
        <v>0</v>
      </c>
      <c r="N41" s="21">
        <v>0</v>
      </c>
      <c r="O41" s="21">
        <v>0</v>
      </c>
      <c r="P41" s="21">
        <v>0</v>
      </c>
      <c r="Q41" s="21">
        <v>0</v>
      </c>
      <c r="T41" s="21">
        <v>0</v>
      </c>
      <c r="U41" s="21">
        <v>0</v>
      </c>
      <c r="V41" s="21">
        <v>0</v>
      </c>
      <c r="W41" s="21">
        <v>0</v>
      </c>
      <c r="X41" s="21">
        <v>0</v>
      </c>
      <c r="Y41" s="21">
        <v>0</v>
      </c>
      <c r="Z41" s="21">
        <v>0</v>
      </c>
      <c r="AA41" s="21">
        <v>0</v>
      </c>
      <c r="AC41" s="21">
        <f t="shared" si="21"/>
        <v>0</v>
      </c>
    </row>
    <row r="42" spans="1:31" s="34" customFormat="1" x14ac:dyDescent="0.2">
      <c r="A42" s="16"/>
      <c r="B42" s="32" t="s">
        <v>51</v>
      </c>
      <c r="C42" s="35"/>
      <c r="D42" s="35"/>
      <c r="E42" s="35"/>
      <c r="F42" s="35"/>
      <c r="G42" s="35"/>
      <c r="H42" s="35"/>
      <c r="I42" s="35"/>
      <c r="J42" s="35"/>
      <c r="K42" s="35"/>
      <c r="L42" s="35"/>
      <c r="M42" s="35">
        <f t="shared" ref="M42:O42" si="25">M43-M40</f>
        <v>29124</v>
      </c>
      <c r="N42" s="35">
        <f t="shared" si="25"/>
        <v>23503</v>
      </c>
      <c r="O42" s="35">
        <f t="shared" si="25"/>
        <v>21094</v>
      </c>
      <c r="P42" s="35">
        <f>P43-P40</f>
        <v>54947</v>
      </c>
      <c r="Q42" s="35">
        <f>Q43-Q40</f>
        <v>94028</v>
      </c>
      <c r="R42" s="1"/>
      <c r="S42" s="1"/>
      <c r="T42" s="35">
        <f t="shared" ref="T42:Y42" si="26">T43-T40</f>
        <v>54963</v>
      </c>
      <c r="U42" s="35">
        <f t="shared" si="26"/>
        <v>54947</v>
      </c>
      <c r="V42" s="35">
        <f t="shared" si="26"/>
        <v>54835</v>
      </c>
      <c r="W42" s="35">
        <f t="shared" si="26"/>
        <v>94145</v>
      </c>
      <c r="X42" s="35">
        <f t="shared" si="26"/>
        <v>93559</v>
      </c>
      <c r="Y42" s="35">
        <f t="shared" si="26"/>
        <v>94028</v>
      </c>
      <c r="Z42" s="35">
        <f t="shared" ref="Z42:AA42" si="27">Z43-Z40</f>
        <v>92116</v>
      </c>
      <c r="AA42" s="35">
        <f t="shared" si="27"/>
        <v>86378</v>
      </c>
      <c r="AB42" s="1"/>
      <c r="AC42" s="35">
        <f t="shared" si="21"/>
        <v>86378</v>
      </c>
      <c r="AD42" s="1"/>
      <c r="AE42" s="1"/>
    </row>
    <row r="43" spans="1:31" s="19" customFormat="1" x14ac:dyDescent="0.2">
      <c r="A43" s="16"/>
      <c r="B43" s="17" t="s">
        <v>52</v>
      </c>
      <c r="C43" s="18"/>
      <c r="D43" s="18"/>
      <c r="E43" s="18"/>
      <c r="F43" s="18"/>
      <c r="G43" s="18"/>
      <c r="H43" s="18"/>
      <c r="I43" s="18"/>
      <c r="J43" s="18"/>
      <c r="K43" s="18"/>
      <c r="L43" s="18"/>
      <c r="M43" s="18">
        <v>148255</v>
      </c>
      <c r="N43" s="18">
        <v>205269</v>
      </c>
      <c r="O43" s="18">
        <v>298456</v>
      </c>
      <c r="P43" s="18">
        <v>477178</v>
      </c>
      <c r="Q43" s="18">
        <v>645176</v>
      </c>
      <c r="R43" s="1"/>
      <c r="S43" s="1"/>
      <c r="T43" s="18">
        <v>397096</v>
      </c>
      <c r="U43" s="18">
        <v>477178</v>
      </c>
      <c r="V43" s="18">
        <v>509320</v>
      </c>
      <c r="W43" s="18">
        <v>565528</v>
      </c>
      <c r="X43" s="18">
        <v>578099</v>
      </c>
      <c r="Y43" s="18">
        <v>645176</v>
      </c>
      <c r="Z43" s="18">
        <v>666230</v>
      </c>
      <c r="AA43" s="18">
        <v>664211</v>
      </c>
      <c r="AB43" s="1"/>
      <c r="AC43" s="18">
        <f t="shared" si="21"/>
        <v>664211</v>
      </c>
      <c r="AD43" s="1"/>
      <c r="AE43" s="1"/>
    </row>
    <row r="44" spans="1:31" x14ac:dyDescent="0.2">
      <c r="B44" s="20" t="s">
        <v>54</v>
      </c>
      <c r="C44" s="21"/>
      <c r="D44" s="21"/>
      <c r="E44" s="21"/>
      <c r="F44" s="21"/>
      <c r="G44" s="21"/>
      <c r="H44" s="21"/>
      <c r="I44" s="21"/>
      <c r="J44" s="21"/>
      <c r="K44" s="21"/>
      <c r="L44" s="21"/>
      <c r="M44" s="62">
        <v>0</v>
      </c>
      <c r="N44" s="62">
        <v>0</v>
      </c>
      <c r="O44" s="62">
        <v>0</v>
      </c>
      <c r="P44" s="62">
        <v>0</v>
      </c>
      <c r="Q44" s="62">
        <v>0</v>
      </c>
      <c r="T44" s="62">
        <v>0</v>
      </c>
      <c r="U44" s="62">
        <v>0</v>
      </c>
      <c r="V44" s="62">
        <v>0</v>
      </c>
      <c r="W44" s="62">
        <v>0</v>
      </c>
      <c r="X44" s="62">
        <v>0</v>
      </c>
      <c r="Y44" s="62">
        <v>0</v>
      </c>
      <c r="Z44" s="62">
        <v>-4499</v>
      </c>
      <c r="AA44" s="62">
        <v>-1425</v>
      </c>
      <c r="AC44" s="62">
        <f t="shared" si="21"/>
        <v>-1425</v>
      </c>
    </row>
    <row r="45" spans="1:31" x14ac:dyDescent="0.2">
      <c r="B45" s="20" t="s">
        <v>335</v>
      </c>
      <c r="C45" s="21"/>
      <c r="D45" s="21"/>
      <c r="E45" s="21"/>
      <c r="F45" s="21"/>
      <c r="G45" s="21"/>
      <c r="H45" s="21"/>
      <c r="I45" s="21"/>
      <c r="J45" s="21"/>
      <c r="K45" s="21"/>
      <c r="L45" s="21"/>
      <c r="M45" s="62">
        <v>0</v>
      </c>
      <c r="N45" s="62">
        <v>0</v>
      </c>
      <c r="O45" s="62">
        <v>0</v>
      </c>
      <c r="P45" s="62">
        <v>0</v>
      </c>
      <c r="Q45" s="62">
        <v>0</v>
      </c>
      <c r="T45" s="62">
        <v>0</v>
      </c>
      <c r="U45" s="62">
        <v>0</v>
      </c>
      <c r="V45" s="62">
        <v>0</v>
      </c>
      <c r="W45" s="62">
        <v>0</v>
      </c>
      <c r="X45" s="62">
        <v>0</v>
      </c>
      <c r="Y45" s="62">
        <v>0</v>
      </c>
      <c r="Z45" s="62">
        <v>0</v>
      </c>
      <c r="AA45" s="62">
        <v>0</v>
      </c>
      <c r="AC45" s="62">
        <f t="shared" si="21"/>
        <v>0</v>
      </c>
    </row>
    <row r="46" spans="1:31" x14ac:dyDescent="0.2">
      <c r="B46" s="20" t="s">
        <v>53</v>
      </c>
      <c r="C46" s="21"/>
      <c r="D46" s="21"/>
      <c r="E46" s="21"/>
      <c r="F46" s="21"/>
      <c r="G46" s="21"/>
      <c r="H46" s="21"/>
      <c r="I46" s="21"/>
      <c r="J46" s="21"/>
      <c r="K46" s="21"/>
      <c r="L46" s="21"/>
      <c r="M46" s="227">
        <v>683966</v>
      </c>
      <c r="N46" s="227">
        <v>772562</v>
      </c>
      <c r="O46" s="227">
        <v>869918</v>
      </c>
      <c r="P46" s="227">
        <v>950393</v>
      </c>
      <c r="Q46" s="227">
        <v>1058783</v>
      </c>
      <c r="T46" s="62">
        <v>962203</v>
      </c>
      <c r="U46" s="21">
        <v>950393</v>
      </c>
      <c r="V46" s="21">
        <v>984534</v>
      </c>
      <c r="W46" s="21">
        <v>1022958</v>
      </c>
      <c r="X46" s="21">
        <v>1061270</v>
      </c>
      <c r="Y46" s="21">
        <v>1058783</v>
      </c>
      <c r="Z46" s="21">
        <v>1064580</v>
      </c>
      <c r="AA46" s="21">
        <v>1046326</v>
      </c>
      <c r="AC46" s="62">
        <f t="shared" si="21"/>
        <v>1046326</v>
      </c>
    </row>
    <row r="47" spans="1:31" x14ac:dyDescent="0.2">
      <c r="B47" s="20" t="s">
        <v>336</v>
      </c>
      <c r="C47" s="21"/>
      <c r="D47" s="21"/>
      <c r="E47" s="21"/>
      <c r="F47" s="21"/>
      <c r="G47" s="21"/>
      <c r="H47" s="21"/>
      <c r="I47" s="21"/>
      <c r="J47" s="21"/>
      <c r="K47" s="21"/>
      <c r="L47" s="21"/>
      <c r="M47" s="62">
        <v>-170914</v>
      </c>
      <c r="N47" s="62">
        <v>-230488</v>
      </c>
      <c r="O47" s="62">
        <v>-214421</v>
      </c>
      <c r="P47" s="62">
        <v>-125847</v>
      </c>
      <c r="Q47" s="62">
        <v>288218</v>
      </c>
      <c r="T47" s="62">
        <v>-139754</v>
      </c>
      <c r="U47" s="62">
        <v>-125847</v>
      </c>
      <c r="V47" s="62">
        <v>-90712</v>
      </c>
      <c r="W47" s="62">
        <v>-45931</v>
      </c>
      <c r="X47" s="62">
        <v>246264</v>
      </c>
      <c r="Y47" s="62">
        <v>288218</v>
      </c>
      <c r="Z47" s="62">
        <v>331678</v>
      </c>
      <c r="AA47" s="62">
        <v>364836</v>
      </c>
      <c r="AC47" s="62">
        <f t="shared" si="21"/>
        <v>364836</v>
      </c>
    </row>
    <row r="48" spans="1:31" x14ac:dyDescent="0.2">
      <c r="B48" s="20" t="s">
        <v>331</v>
      </c>
      <c r="C48" s="21"/>
      <c r="D48" s="21"/>
      <c r="E48" s="21"/>
      <c r="F48" s="21"/>
      <c r="G48" s="21"/>
      <c r="H48" s="21"/>
      <c r="I48" s="21"/>
      <c r="J48" s="21"/>
      <c r="K48" s="21"/>
      <c r="L48" s="21"/>
      <c r="M48" s="62">
        <v>0</v>
      </c>
      <c r="N48" s="62">
        <v>0</v>
      </c>
      <c r="O48" s="62">
        <v>0</v>
      </c>
      <c r="P48" s="62">
        <v>0</v>
      </c>
      <c r="Q48" s="62">
        <v>0</v>
      </c>
      <c r="T48" s="62">
        <v>0</v>
      </c>
      <c r="U48" s="62">
        <v>0</v>
      </c>
      <c r="V48" s="62">
        <v>0</v>
      </c>
      <c r="W48" s="62">
        <v>0</v>
      </c>
      <c r="X48" s="62">
        <v>0</v>
      </c>
      <c r="Y48" s="62">
        <v>0</v>
      </c>
      <c r="Z48" s="62">
        <v>0</v>
      </c>
      <c r="AA48" s="62">
        <v>0</v>
      </c>
      <c r="AC48" s="62">
        <f t="shared" si="21"/>
        <v>0</v>
      </c>
    </row>
    <row r="49" spans="1:31" s="34" customFormat="1" x14ac:dyDescent="0.2">
      <c r="A49" s="16"/>
      <c r="B49" s="32" t="s">
        <v>55</v>
      </c>
      <c r="C49" s="33"/>
      <c r="D49" s="33"/>
      <c r="E49" s="33"/>
      <c r="F49" s="33"/>
      <c r="G49" s="33"/>
      <c r="H49" s="33"/>
      <c r="I49" s="33"/>
      <c r="J49" s="33"/>
      <c r="K49" s="33"/>
      <c r="L49" s="33"/>
      <c r="M49" s="33">
        <v>513056</v>
      </c>
      <c r="N49" s="33">
        <v>542078</v>
      </c>
      <c r="O49" s="33">
        <v>655501</v>
      </c>
      <c r="P49" s="33">
        <v>824550</v>
      </c>
      <c r="Q49" s="33">
        <v>1347006</v>
      </c>
      <c r="R49" s="1"/>
      <c r="S49" s="1"/>
      <c r="T49" s="33">
        <v>822453</v>
      </c>
      <c r="U49" s="33">
        <v>824550</v>
      </c>
      <c r="V49" s="33">
        <v>893826</v>
      </c>
      <c r="W49" s="33">
        <v>977031</v>
      </c>
      <c r="X49" s="33">
        <v>1307539</v>
      </c>
      <c r="Y49" s="33">
        <v>1347006</v>
      </c>
      <c r="Z49" s="33">
        <v>1391764</v>
      </c>
      <c r="AA49" s="33">
        <v>1409742</v>
      </c>
      <c r="AB49" s="1"/>
      <c r="AC49" s="33">
        <f t="shared" si="21"/>
        <v>1409742</v>
      </c>
      <c r="AD49" s="1"/>
      <c r="AE49" s="1"/>
    </row>
    <row r="50" spans="1:31" s="38" customFormat="1" ht="17" thickBot="1" x14ac:dyDescent="0.25">
      <c r="A50" s="16"/>
      <c r="B50" s="36" t="s">
        <v>56</v>
      </c>
      <c r="C50" s="37"/>
      <c r="D50" s="37"/>
      <c r="E50" s="37"/>
      <c r="F50" s="37"/>
      <c r="G50" s="37"/>
      <c r="H50" s="37"/>
      <c r="I50" s="37"/>
      <c r="J50" s="37"/>
      <c r="K50" s="37"/>
      <c r="L50" s="37"/>
      <c r="M50" s="37">
        <v>661311</v>
      </c>
      <c r="N50" s="37">
        <v>747347</v>
      </c>
      <c r="O50" s="37">
        <v>953957</v>
      </c>
      <c r="P50" s="37">
        <v>1301728</v>
      </c>
      <c r="Q50" s="37">
        <v>1992182</v>
      </c>
      <c r="R50" s="1"/>
      <c r="S50" s="1"/>
      <c r="T50" s="37">
        <v>1219549</v>
      </c>
      <c r="U50" s="37">
        <v>1301728</v>
      </c>
      <c r="V50" s="37">
        <v>1403146</v>
      </c>
      <c r="W50" s="37">
        <v>1542559</v>
      </c>
      <c r="X50" s="37">
        <v>1885638</v>
      </c>
      <c r="Y50" s="37">
        <v>1992182</v>
      </c>
      <c r="Z50" s="37">
        <v>2057994</v>
      </c>
      <c r="AA50" s="37">
        <v>2073953</v>
      </c>
      <c r="AB50" s="1"/>
      <c r="AC50" s="37">
        <f t="shared" si="21"/>
        <v>2073953</v>
      </c>
      <c r="AD50" s="1"/>
      <c r="AE50" s="1"/>
    </row>
    <row r="51" spans="1:31" x14ac:dyDescent="0.2">
      <c r="B51" s="1"/>
    </row>
    <row r="52" spans="1:31" s="15" customFormat="1" ht="17" thickBot="1" x14ac:dyDescent="0.25">
      <c r="A52" s="11"/>
      <c r="B52" s="14" t="s">
        <v>57</v>
      </c>
      <c r="R52" s="1"/>
      <c r="S52" s="1"/>
      <c r="AB52" s="1"/>
      <c r="AD52" s="1"/>
      <c r="AE52" s="1"/>
    </row>
    <row r="53" spans="1:31" x14ac:dyDescent="0.2">
      <c r="B53" s="20" t="s">
        <v>58</v>
      </c>
      <c r="C53" s="62"/>
      <c r="D53" s="62"/>
      <c r="E53" s="62"/>
      <c r="F53" s="62"/>
      <c r="G53" s="62"/>
      <c r="H53" s="62"/>
      <c r="I53" s="62"/>
      <c r="J53" s="62"/>
      <c r="K53" s="62"/>
      <c r="L53" s="62"/>
      <c r="M53" s="21">
        <v>2726</v>
      </c>
      <c r="N53" s="21">
        <v>4870</v>
      </c>
      <c r="O53" s="21">
        <v>7095</v>
      </c>
      <c r="P53" s="21">
        <v>10854</v>
      </c>
      <c r="Q53" s="21">
        <v>14391</v>
      </c>
      <c r="T53" s="21">
        <v>2876</v>
      </c>
      <c r="U53" s="21">
        <v>3661</v>
      </c>
      <c r="V53" s="21">
        <v>3590</v>
      </c>
      <c r="W53" s="21">
        <v>3440</v>
      </c>
      <c r="X53" s="21">
        <v>3553</v>
      </c>
      <c r="Y53" s="21">
        <v>3808</v>
      </c>
      <c r="Z53" s="21">
        <v>4191</v>
      </c>
      <c r="AA53" s="21">
        <v>4247</v>
      </c>
      <c r="AC53" s="62">
        <f>SUM(X53:AA53)</f>
        <v>15799</v>
      </c>
    </row>
    <row r="54" spans="1:31" x14ac:dyDescent="0.2">
      <c r="B54" s="23" t="s">
        <v>59</v>
      </c>
      <c r="C54" s="62"/>
      <c r="D54" s="62"/>
      <c r="E54" s="62"/>
      <c r="F54" s="62"/>
      <c r="G54" s="62"/>
      <c r="H54" s="62"/>
      <c r="I54" s="62"/>
      <c r="J54" s="62"/>
      <c r="K54" s="62"/>
      <c r="L54" s="62"/>
      <c r="M54" s="21">
        <v>40804</v>
      </c>
      <c r="N54" s="21">
        <v>73820</v>
      </c>
      <c r="O54" s="21">
        <v>95221</v>
      </c>
      <c r="P54" s="21">
        <v>110477</v>
      </c>
      <c r="Q54" s="21">
        <v>137437</v>
      </c>
      <c r="T54" s="21">
        <v>28959</v>
      </c>
      <c r="U54" s="21">
        <v>29787</v>
      </c>
      <c r="V54" s="21">
        <v>31018</v>
      </c>
      <c r="W54" s="21">
        <v>34592</v>
      </c>
      <c r="X54" s="21">
        <v>35565</v>
      </c>
      <c r="Y54" s="21">
        <v>36262</v>
      </c>
      <c r="Z54" s="21">
        <v>34647</v>
      </c>
      <c r="AA54" s="21">
        <v>38210</v>
      </c>
      <c r="AC54" s="62">
        <f t="shared" ref="AC54:AC58" si="28">SUM(X54:AA54)</f>
        <v>144684</v>
      </c>
    </row>
    <row r="55" spans="1:31" x14ac:dyDescent="0.2">
      <c r="B55" s="23" t="s">
        <v>96</v>
      </c>
      <c r="C55" s="62"/>
      <c r="D55" s="62"/>
      <c r="E55" s="62"/>
      <c r="F55" s="62"/>
      <c r="G55" s="62"/>
      <c r="H55" s="62"/>
      <c r="I55" s="62"/>
      <c r="J55" s="62"/>
      <c r="K55" s="62"/>
      <c r="L55" s="62"/>
      <c r="M55" s="62">
        <v>-12713</v>
      </c>
      <c r="N55" s="62">
        <v>-13565</v>
      </c>
      <c r="O55" s="62">
        <v>-42247</v>
      </c>
      <c r="P55" s="62">
        <v>-39917</v>
      </c>
      <c r="Q55" s="62">
        <v>-33904</v>
      </c>
      <c r="T55" s="62">
        <v>-16462</v>
      </c>
      <c r="U55" s="62">
        <v>-34708</v>
      </c>
      <c r="V55" s="62">
        <v>14740</v>
      </c>
      <c r="W55" s="62">
        <v>1264</v>
      </c>
      <c r="X55" s="62">
        <v>-11570</v>
      </c>
      <c r="Y55" s="62">
        <v>-38338</v>
      </c>
      <c r="Z55" s="62">
        <v>37741</v>
      </c>
      <c r="AA55" s="62">
        <v>-5893</v>
      </c>
      <c r="AC55" s="62">
        <f t="shared" si="28"/>
        <v>-18060</v>
      </c>
    </row>
    <row r="56" spans="1:31" x14ac:dyDescent="0.2">
      <c r="B56" s="23" t="s">
        <v>149</v>
      </c>
      <c r="C56" s="62"/>
      <c r="D56" s="62"/>
      <c r="E56" s="62"/>
      <c r="F56" s="62"/>
      <c r="G56" s="62"/>
      <c r="H56" s="62"/>
      <c r="I56" s="62"/>
      <c r="J56" s="62"/>
      <c r="K56" s="62"/>
      <c r="L56" s="62"/>
      <c r="M56" s="62">
        <v>0</v>
      </c>
      <c r="N56" s="62">
        <v>0</v>
      </c>
      <c r="O56" s="62">
        <v>0</v>
      </c>
      <c r="P56" s="62">
        <v>0</v>
      </c>
      <c r="Q56" s="62">
        <v>0</v>
      </c>
      <c r="T56" s="62">
        <v>0</v>
      </c>
      <c r="U56" s="62">
        <v>0</v>
      </c>
      <c r="V56" s="62">
        <v>0</v>
      </c>
      <c r="W56" s="62">
        <v>0</v>
      </c>
      <c r="X56" s="62">
        <v>0</v>
      </c>
      <c r="Y56" s="62">
        <v>0</v>
      </c>
      <c r="Z56" s="62">
        <v>0</v>
      </c>
      <c r="AA56" s="62">
        <v>0</v>
      </c>
      <c r="AC56" s="62">
        <f>SUM(X56:AA56)</f>
        <v>0</v>
      </c>
    </row>
    <row r="57" spans="1:31" x14ac:dyDescent="0.2">
      <c r="B57" s="23" t="s">
        <v>97</v>
      </c>
      <c r="C57" s="62"/>
      <c r="D57" s="62"/>
      <c r="E57" s="62"/>
      <c r="F57" s="62"/>
      <c r="G57" s="62"/>
      <c r="H57" s="62"/>
      <c r="I57" s="62"/>
      <c r="J57" s="62"/>
      <c r="K57" s="62"/>
      <c r="L57" s="62"/>
      <c r="M57" s="62">
        <v>5622</v>
      </c>
      <c r="N57" s="62">
        <v>-6655</v>
      </c>
      <c r="O57" s="62">
        <v>1261</v>
      </c>
      <c r="P57" s="62">
        <v>3934</v>
      </c>
      <c r="Q57" s="62">
        <v>1617</v>
      </c>
      <c r="T57" s="62">
        <v>-214</v>
      </c>
      <c r="U57" s="62">
        <v>3412</v>
      </c>
      <c r="V57" s="62">
        <v>-3843</v>
      </c>
      <c r="W57" s="62">
        <v>4436</v>
      </c>
      <c r="X57" s="62">
        <v>-3406</v>
      </c>
      <c r="Y57" s="62">
        <v>4430</v>
      </c>
      <c r="Z57" s="62">
        <v>-2405</v>
      </c>
      <c r="AA57" s="62">
        <v>8593</v>
      </c>
      <c r="AC57" s="62">
        <f t="shared" si="28"/>
        <v>7212</v>
      </c>
    </row>
    <row r="58" spans="1:31" x14ac:dyDescent="0.2">
      <c r="B58" s="23" t="s">
        <v>98</v>
      </c>
      <c r="C58" s="62"/>
      <c r="D58" s="62"/>
      <c r="E58" s="62"/>
      <c r="F58" s="62"/>
      <c r="G58" s="62"/>
      <c r="H58" s="62"/>
      <c r="I58" s="62"/>
      <c r="J58" s="62"/>
      <c r="K58" s="62"/>
      <c r="L58" s="62"/>
      <c r="M58" s="62">
        <v>32866</v>
      </c>
      <c r="N58" s="62">
        <v>54760</v>
      </c>
      <c r="O58" s="62">
        <v>75884</v>
      </c>
      <c r="P58" s="62">
        <v>111904</v>
      </c>
      <c r="Q58" s="62">
        <v>81253</v>
      </c>
      <c r="T58" s="62">
        <v>17760</v>
      </c>
      <c r="U58" s="62">
        <v>67586</v>
      </c>
      <c r="V58" s="62">
        <v>25541</v>
      </c>
      <c r="W58" s="62">
        <v>2629</v>
      </c>
      <c r="X58" s="62">
        <v>7829</v>
      </c>
      <c r="Y58" s="62">
        <v>45254</v>
      </c>
      <c r="Z58" s="62">
        <v>23962</v>
      </c>
      <c r="AA58" s="62">
        <v>-2109</v>
      </c>
      <c r="AC58" s="62">
        <f t="shared" si="28"/>
        <v>74936</v>
      </c>
    </row>
    <row r="59" spans="1:31" s="19" customFormat="1" x14ac:dyDescent="0.2">
      <c r="A59" s="16"/>
      <c r="B59" s="17" t="s">
        <v>60</v>
      </c>
      <c r="C59" s="61"/>
      <c r="D59" s="61"/>
      <c r="E59" s="61"/>
      <c r="F59" s="61"/>
      <c r="G59" s="61"/>
      <c r="H59" s="61"/>
      <c r="I59" s="61"/>
      <c r="J59" s="61"/>
      <c r="K59" s="61"/>
      <c r="L59" s="61"/>
      <c r="M59" s="18">
        <v>9170</v>
      </c>
      <c r="N59" s="18">
        <v>53656</v>
      </c>
      <c r="O59" s="18">
        <v>153614</v>
      </c>
      <c r="P59" s="18">
        <v>285513</v>
      </c>
      <c r="Q59" s="18">
        <v>387823</v>
      </c>
      <c r="R59" s="1"/>
      <c r="S59" s="1"/>
      <c r="T59" s="61">
        <v>56267</v>
      </c>
      <c r="U59" s="61">
        <v>83344</v>
      </c>
      <c r="V59" s="61">
        <v>105631</v>
      </c>
      <c r="W59" s="61">
        <v>90675</v>
      </c>
      <c r="X59" s="61">
        <v>84239</v>
      </c>
      <c r="Y59" s="61">
        <v>107278</v>
      </c>
      <c r="Z59" s="61">
        <v>150771</v>
      </c>
      <c r="AA59" s="61">
        <v>88260</v>
      </c>
      <c r="AB59" s="1"/>
      <c r="AC59" s="61">
        <f>SUM(X59:AA59)</f>
        <v>430548</v>
      </c>
      <c r="AD59" s="1"/>
      <c r="AE59" s="1"/>
    </row>
    <row r="60" spans="1:31" x14ac:dyDescent="0.2">
      <c r="B60" s="20" t="s">
        <v>61</v>
      </c>
      <c r="C60" s="62"/>
      <c r="D60" s="62"/>
      <c r="E60" s="62"/>
      <c r="F60" s="62"/>
      <c r="G60" s="62"/>
      <c r="H60" s="62"/>
      <c r="I60" s="62"/>
      <c r="J60" s="62"/>
      <c r="K60" s="62"/>
      <c r="L60" s="62"/>
      <c r="M60" s="62">
        <v>-3586</v>
      </c>
      <c r="N60" s="62">
        <v>-5562</v>
      </c>
      <c r="O60" s="62">
        <v>-3191</v>
      </c>
      <c r="P60" s="62">
        <v>-12116</v>
      </c>
      <c r="Q60" s="62">
        <v>-18096</v>
      </c>
      <c r="T60" s="62">
        <v>-3178</v>
      </c>
      <c r="U60" s="62">
        <v>-1961</v>
      </c>
      <c r="V60" s="62">
        <v>-1309</v>
      </c>
      <c r="W60" s="62">
        <v>-1198</v>
      </c>
      <c r="X60" s="62">
        <v>-4862</v>
      </c>
      <c r="Y60" s="62">
        <v>-10727</v>
      </c>
      <c r="Z60" s="62">
        <v>-132</v>
      </c>
      <c r="AA60" s="62">
        <v>-6896</v>
      </c>
      <c r="AC60" s="62">
        <f>SUM(X60:AA60)</f>
        <v>-22617</v>
      </c>
    </row>
    <row r="61" spans="1:31" x14ac:dyDescent="0.2">
      <c r="B61" s="20" t="s">
        <v>99</v>
      </c>
      <c r="C61" s="62"/>
      <c r="D61" s="62"/>
      <c r="E61" s="62"/>
      <c r="F61" s="62"/>
      <c r="G61" s="62"/>
      <c r="H61" s="62"/>
      <c r="I61" s="62"/>
      <c r="J61" s="62"/>
      <c r="K61" s="62"/>
      <c r="L61" s="62"/>
      <c r="M61" s="62">
        <v>-2620</v>
      </c>
      <c r="N61" s="62">
        <v>-4562</v>
      </c>
      <c r="O61" s="62">
        <v>-10493</v>
      </c>
      <c r="P61" s="62">
        <v>-9024</v>
      </c>
      <c r="Q61" s="62">
        <v>-9303</v>
      </c>
      <c r="T61" s="62">
        <v>-1845</v>
      </c>
      <c r="U61" s="62">
        <v>-479</v>
      </c>
      <c r="V61" s="62">
        <v>-1310</v>
      </c>
      <c r="W61" s="62">
        <v>-3153</v>
      </c>
      <c r="X61" s="62">
        <v>-2021</v>
      </c>
      <c r="Y61" s="62">
        <v>-2819</v>
      </c>
      <c r="Z61" s="62">
        <v>-2853</v>
      </c>
      <c r="AA61" s="62">
        <v>-2734</v>
      </c>
      <c r="AC61" s="62">
        <f t="shared" ref="AC61:AC66" si="29">SUM(X61:AA61)</f>
        <v>-10427</v>
      </c>
    </row>
    <row r="62" spans="1:31" s="19" customFormat="1" x14ac:dyDescent="0.2">
      <c r="A62" s="16"/>
      <c r="B62" s="17" t="s">
        <v>62</v>
      </c>
      <c r="C62" s="61"/>
      <c r="D62" s="61"/>
      <c r="E62" s="61"/>
      <c r="F62" s="61"/>
      <c r="G62" s="61"/>
      <c r="H62" s="61"/>
      <c r="I62" s="61"/>
      <c r="J62" s="61"/>
      <c r="K62" s="61"/>
      <c r="L62" s="61"/>
      <c r="M62" s="61">
        <v>-6206</v>
      </c>
      <c r="N62" s="61">
        <v>-14174</v>
      </c>
      <c r="O62" s="61">
        <v>-13584</v>
      </c>
      <c r="P62" s="61">
        <v>-217330</v>
      </c>
      <c r="Q62" s="61">
        <v>-107678</v>
      </c>
      <c r="R62" s="1"/>
      <c r="S62" s="1"/>
      <c r="T62" s="61">
        <v>-93288</v>
      </c>
      <c r="U62" s="61">
        <v>-110365</v>
      </c>
      <c r="V62" s="61">
        <v>-10549</v>
      </c>
      <c r="W62" s="61">
        <v>-2272</v>
      </c>
      <c r="X62" s="61">
        <v>-51675</v>
      </c>
      <c r="Y62" s="61">
        <v>-43182</v>
      </c>
      <c r="Z62" s="61">
        <v>-16749</v>
      </c>
      <c r="AA62" s="61">
        <v>25218</v>
      </c>
      <c r="AB62" s="1"/>
      <c r="AC62" s="61">
        <f t="shared" si="29"/>
        <v>-86388</v>
      </c>
      <c r="AD62" s="1"/>
      <c r="AE62" s="1"/>
    </row>
    <row r="63" spans="1:31" x14ac:dyDescent="0.2">
      <c r="B63" s="20" t="s">
        <v>63</v>
      </c>
      <c r="C63" s="62"/>
      <c r="D63" s="62"/>
      <c r="E63" s="62"/>
      <c r="F63" s="62"/>
      <c r="G63" s="62"/>
      <c r="H63" s="62"/>
      <c r="I63" s="62"/>
      <c r="J63" s="62"/>
      <c r="K63" s="62"/>
      <c r="L63" s="62"/>
      <c r="M63" s="62">
        <v>-868</v>
      </c>
      <c r="N63" s="62">
        <v>0</v>
      </c>
      <c r="O63" s="62">
        <v>0</v>
      </c>
      <c r="P63" s="62">
        <v>0</v>
      </c>
      <c r="Q63" s="62">
        <v>0</v>
      </c>
      <c r="T63" s="62">
        <v>0</v>
      </c>
      <c r="U63" s="62">
        <v>0</v>
      </c>
      <c r="V63" s="62">
        <v>0</v>
      </c>
      <c r="W63" s="62">
        <v>0</v>
      </c>
      <c r="X63" s="62">
        <v>0</v>
      </c>
      <c r="Y63" s="62">
        <v>0</v>
      </c>
      <c r="Z63" s="62">
        <v>-24331</v>
      </c>
      <c r="AA63" s="62">
        <v>-45272</v>
      </c>
      <c r="AC63" s="62">
        <f t="shared" si="29"/>
        <v>-69603</v>
      </c>
    </row>
    <row r="64" spans="1:31" x14ac:dyDescent="0.2">
      <c r="B64" s="20" t="s">
        <v>288</v>
      </c>
      <c r="C64" s="62"/>
      <c r="D64" s="62"/>
      <c r="E64" s="62"/>
      <c r="F64" s="62"/>
      <c r="G64" s="62"/>
      <c r="H64" s="62"/>
      <c r="I64" s="62"/>
      <c r="J64" s="62"/>
      <c r="K64" s="62"/>
      <c r="L64" s="62"/>
      <c r="M64" s="62">
        <v>0</v>
      </c>
      <c r="N64" s="62">
        <v>0</v>
      </c>
      <c r="O64" s="62">
        <v>0</v>
      </c>
      <c r="P64" s="62">
        <v>0</v>
      </c>
      <c r="Q64" s="62">
        <v>0</v>
      </c>
      <c r="T64" s="62">
        <v>0</v>
      </c>
      <c r="U64" s="62">
        <v>0</v>
      </c>
      <c r="V64" s="62">
        <v>0</v>
      </c>
      <c r="W64" s="62">
        <v>0</v>
      </c>
      <c r="X64" s="62">
        <v>0</v>
      </c>
      <c r="Y64" s="62">
        <v>0</v>
      </c>
      <c r="Z64" s="62">
        <v>0</v>
      </c>
      <c r="AA64" s="62">
        <v>0</v>
      </c>
      <c r="AC64" s="62">
        <f>SUM(X64:AA64)</f>
        <v>0</v>
      </c>
    </row>
    <row r="65" spans="1:31" x14ac:dyDescent="0.2">
      <c r="B65" s="20" t="s">
        <v>334</v>
      </c>
      <c r="C65" s="62"/>
      <c r="D65" s="62"/>
      <c r="E65" s="62"/>
      <c r="F65" s="62"/>
      <c r="G65" s="62"/>
      <c r="H65" s="62"/>
      <c r="I65" s="62"/>
      <c r="J65" s="62"/>
      <c r="K65" s="62"/>
      <c r="L65" s="62"/>
      <c r="M65" s="62">
        <v>0</v>
      </c>
      <c r="N65" s="62">
        <v>0</v>
      </c>
      <c r="O65" s="62">
        <v>0</v>
      </c>
      <c r="P65" s="62">
        <v>0</v>
      </c>
      <c r="Q65" s="62">
        <v>0</v>
      </c>
      <c r="T65" s="62">
        <v>0</v>
      </c>
      <c r="U65" s="62">
        <v>0</v>
      </c>
      <c r="V65" s="62">
        <v>0</v>
      </c>
      <c r="W65" s="62">
        <v>0</v>
      </c>
      <c r="X65" s="62">
        <v>0</v>
      </c>
      <c r="Y65" s="62">
        <v>0</v>
      </c>
      <c r="Z65" s="62">
        <v>0</v>
      </c>
      <c r="AA65" s="62">
        <v>0</v>
      </c>
      <c r="AC65" s="62">
        <f>SUM(X65:AA65)</f>
        <v>0</v>
      </c>
    </row>
    <row r="66" spans="1:31" s="19" customFormat="1" ht="17" thickBot="1" x14ac:dyDescent="0.25">
      <c r="A66" s="16"/>
      <c r="B66" s="36" t="s">
        <v>64</v>
      </c>
      <c r="C66" s="71"/>
      <c r="D66" s="71"/>
      <c r="E66" s="71"/>
      <c r="F66" s="71"/>
      <c r="G66" s="71"/>
      <c r="H66" s="71"/>
      <c r="I66" s="71"/>
      <c r="J66" s="71"/>
      <c r="K66" s="71"/>
      <c r="L66" s="71"/>
      <c r="M66" s="71">
        <v>430468</v>
      </c>
      <c r="N66" s="71">
        <v>14776</v>
      </c>
      <c r="O66" s="71">
        <v>2135</v>
      </c>
      <c r="P66" s="71">
        <v>-30002</v>
      </c>
      <c r="Q66" s="71">
        <v>-29547</v>
      </c>
      <c r="R66" s="1"/>
      <c r="S66" s="1"/>
      <c r="T66" s="71">
        <v>3190</v>
      </c>
      <c r="U66" s="71">
        <v>-41597</v>
      </c>
      <c r="V66" s="71">
        <v>3123</v>
      </c>
      <c r="W66" s="71">
        <v>3832</v>
      </c>
      <c r="X66" s="71">
        <v>2747</v>
      </c>
      <c r="Y66" s="71">
        <v>-39249</v>
      </c>
      <c r="Z66" s="71">
        <v>-31850</v>
      </c>
      <c r="AA66" s="71">
        <v>-54214</v>
      </c>
      <c r="AB66" s="1"/>
      <c r="AC66" s="71">
        <f t="shared" si="29"/>
        <v>-122566</v>
      </c>
      <c r="AD66" s="1"/>
      <c r="AE66" s="1"/>
    </row>
    <row r="67" spans="1:31" x14ac:dyDescent="0.2">
      <c r="B67" s="1"/>
    </row>
    <row r="68" spans="1:31" s="15" customFormat="1" ht="17" thickBot="1" x14ac:dyDescent="0.25">
      <c r="A68" s="11"/>
      <c r="B68" s="14" t="s">
        <v>65</v>
      </c>
      <c r="R68" s="1"/>
      <c r="S68" s="1"/>
      <c r="AB68" s="1"/>
      <c r="AD68" s="1"/>
      <c r="AE68" s="1"/>
    </row>
    <row r="69" spans="1:31" x14ac:dyDescent="0.2">
      <c r="B69" s="20" t="s">
        <v>66</v>
      </c>
      <c r="C69" s="64">
        <f t="shared" ref="C69:Q69" si="30">C5-C6-C11+C13+C14+C16-C17</f>
        <v>0</v>
      </c>
      <c r="D69" s="64">
        <f t="shared" si="30"/>
        <v>0</v>
      </c>
      <c r="E69" s="64">
        <f t="shared" si="30"/>
        <v>0</v>
      </c>
      <c r="F69" s="64">
        <f t="shared" si="30"/>
        <v>0</v>
      </c>
      <c r="G69" s="64">
        <f t="shared" si="30"/>
        <v>0</v>
      </c>
      <c r="H69" s="64">
        <f t="shared" si="30"/>
        <v>0</v>
      </c>
      <c r="I69" s="64">
        <f t="shared" si="30"/>
        <v>0</v>
      </c>
      <c r="J69" s="64">
        <f t="shared" si="30"/>
        <v>0</v>
      </c>
      <c r="K69" s="64">
        <f t="shared" si="30"/>
        <v>0</v>
      </c>
      <c r="L69" s="64">
        <f t="shared" si="30"/>
        <v>0</v>
      </c>
      <c r="M69" s="64">
        <f t="shared" si="30"/>
        <v>-60135</v>
      </c>
      <c r="N69" s="64">
        <f t="shared" si="30"/>
        <v>-59574</v>
      </c>
      <c r="O69" s="64">
        <f t="shared" si="30"/>
        <v>16067</v>
      </c>
      <c r="P69" s="64">
        <f t="shared" si="30"/>
        <v>88574</v>
      </c>
      <c r="Q69" s="64">
        <f t="shared" si="30"/>
        <v>157365</v>
      </c>
      <c r="T69" s="64">
        <f t="shared" ref="T69:Z69" si="31">T5-T6-T11+T13+T14+T16-T17</f>
        <v>23360</v>
      </c>
      <c r="U69" s="64">
        <f t="shared" si="31"/>
        <v>13907</v>
      </c>
      <c r="V69" s="64">
        <f t="shared" si="31"/>
        <v>35135</v>
      </c>
      <c r="W69" s="64">
        <f t="shared" si="31"/>
        <v>44781</v>
      </c>
      <c r="X69" s="64">
        <f t="shared" si="31"/>
        <v>35495</v>
      </c>
      <c r="Y69" s="64">
        <f t="shared" si="31"/>
        <v>41954</v>
      </c>
      <c r="Z69" s="64">
        <f t="shared" si="31"/>
        <v>43460</v>
      </c>
      <c r="AA69" s="64">
        <f t="shared" ref="AA69" si="32">AA5-AA6-AA11+AA13+AA14+AA16-AA17</f>
        <v>33158</v>
      </c>
      <c r="AC69" s="64">
        <f>AC5-AC6-AC11+AC13+AC14+AC16-AC17</f>
        <v>154067</v>
      </c>
    </row>
    <row r="70" spans="1:31" s="41" customFormat="1" x14ac:dyDescent="0.2">
      <c r="A70" s="16"/>
      <c r="B70" s="17" t="s">
        <v>67</v>
      </c>
      <c r="C70" s="40">
        <f t="shared" ref="C70:Q70" si="33">C18-C69</f>
        <v>0</v>
      </c>
      <c r="D70" s="40">
        <f t="shared" si="33"/>
        <v>0</v>
      </c>
      <c r="E70" s="40">
        <f t="shared" si="33"/>
        <v>0</v>
      </c>
      <c r="F70" s="40">
        <f t="shared" si="33"/>
        <v>0</v>
      </c>
      <c r="G70" s="40">
        <f t="shared" si="33"/>
        <v>0</v>
      </c>
      <c r="H70" s="40">
        <f t="shared" si="33"/>
        <v>0</v>
      </c>
      <c r="I70" s="40">
        <f t="shared" si="33"/>
        <v>0</v>
      </c>
      <c r="J70" s="40">
        <f t="shared" si="33"/>
        <v>0</v>
      </c>
      <c r="K70" s="40">
        <f t="shared" si="33"/>
        <v>0</v>
      </c>
      <c r="L70" s="40">
        <f t="shared" si="33"/>
        <v>0</v>
      </c>
      <c r="M70" s="40">
        <f t="shared" si="33"/>
        <v>0</v>
      </c>
      <c r="N70" s="40">
        <f t="shared" si="33"/>
        <v>0</v>
      </c>
      <c r="O70" s="40">
        <f t="shared" si="33"/>
        <v>0</v>
      </c>
      <c r="P70" s="40">
        <f t="shared" si="33"/>
        <v>0</v>
      </c>
      <c r="Q70" s="40">
        <f t="shared" si="33"/>
        <v>0</v>
      </c>
      <c r="R70" s="1"/>
      <c r="S70" s="1"/>
      <c r="T70" s="40">
        <f t="shared" ref="T70:Y70" si="34">T18-T69</f>
        <v>0</v>
      </c>
      <c r="U70" s="40">
        <f t="shared" si="34"/>
        <v>0</v>
      </c>
      <c r="V70" s="40">
        <f t="shared" si="34"/>
        <v>0</v>
      </c>
      <c r="W70" s="40">
        <f t="shared" si="34"/>
        <v>0</v>
      </c>
      <c r="X70" s="40">
        <f t="shared" si="34"/>
        <v>0</v>
      </c>
      <c r="Y70" s="40">
        <f t="shared" si="34"/>
        <v>0</v>
      </c>
      <c r="Z70" s="40">
        <f t="shared" ref="Z70:AA70" si="35">Z18-Z69</f>
        <v>0</v>
      </c>
      <c r="AA70" s="40">
        <f t="shared" si="35"/>
        <v>0</v>
      </c>
      <c r="AB70" s="16"/>
      <c r="AC70" s="40">
        <f>AC18-AC69</f>
        <v>0</v>
      </c>
      <c r="AD70" s="1"/>
      <c r="AE70" s="1"/>
    </row>
    <row r="71" spans="1:31" s="41" customFormat="1" x14ac:dyDescent="0.2">
      <c r="A71" s="16"/>
      <c r="B71" s="17" t="s">
        <v>68</v>
      </c>
      <c r="C71" s="42">
        <f t="shared" ref="C71:Q71" si="36">C37-(C43+C112)</f>
        <v>0</v>
      </c>
      <c r="D71" s="42">
        <f t="shared" si="36"/>
        <v>0</v>
      </c>
      <c r="E71" s="42">
        <f t="shared" si="36"/>
        <v>0</v>
      </c>
      <c r="F71" s="42">
        <f t="shared" si="36"/>
        <v>0</v>
      </c>
      <c r="G71" s="42">
        <f t="shared" si="36"/>
        <v>0</v>
      </c>
      <c r="H71" s="42">
        <f t="shared" si="36"/>
        <v>0</v>
      </c>
      <c r="I71" s="42">
        <f t="shared" si="36"/>
        <v>0</v>
      </c>
      <c r="J71" s="42">
        <f t="shared" si="36"/>
        <v>0</v>
      </c>
      <c r="K71" s="42">
        <f t="shared" si="36"/>
        <v>0</v>
      </c>
      <c r="L71" s="42">
        <f t="shared" si="36"/>
        <v>0</v>
      </c>
      <c r="M71" s="42">
        <f t="shared" si="36"/>
        <v>0</v>
      </c>
      <c r="N71" s="42">
        <f t="shared" si="36"/>
        <v>0</v>
      </c>
      <c r="O71" s="42">
        <f t="shared" si="36"/>
        <v>0</v>
      </c>
      <c r="P71" s="42">
        <f t="shared" si="36"/>
        <v>0</v>
      </c>
      <c r="Q71" s="42">
        <f t="shared" si="36"/>
        <v>0</v>
      </c>
      <c r="R71" s="1"/>
      <c r="S71" s="1"/>
      <c r="T71" s="42">
        <f t="shared" ref="T71:Z71" si="37">T37-(T43+T112)</f>
        <v>0</v>
      </c>
      <c r="U71" s="42">
        <f t="shared" si="37"/>
        <v>0</v>
      </c>
      <c r="V71" s="42">
        <f t="shared" si="37"/>
        <v>0</v>
      </c>
      <c r="W71" s="42">
        <f t="shared" si="37"/>
        <v>0</v>
      </c>
      <c r="X71" s="42">
        <f t="shared" si="37"/>
        <v>0</v>
      </c>
      <c r="Y71" s="42">
        <f t="shared" si="37"/>
        <v>0</v>
      </c>
      <c r="Z71" s="42">
        <f t="shared" si="37"/>
        <v>0</v>
      </c>
      <c r="AA71" s="42">
        <f t="shared" ref="AA71" si="38">AA37-(AA43+AA112)</f>
        <v>0</v>
      </c>
      <c r="AB71" s="16"/>
      <c r="AC71" s="42">
        <f>AC37-(AC43+AC112)</f>
        <v>0</v>
      </c>
      <c r="AD71" s="1"/>
      <c r="AE71" s="1"/>
    </row>
    <row r="72" spans="1:31" x14ac:dyDescent="0.2">
      <c r="B72" s="39"/>
      <c r="J72" s="39"/>
      <c r="K72" s="39"/>
      <c r="L72" s="39"/>
      <c r="M72" s="39"/>
      <c r="N72" s="39"/>
      <c r="O72" s="39"/>
      <c r="P72" s="39"/>
    </row>
    <row r="73" spans="1:31" s="15" customFormat="1" ht="17" thickBot="1" x14ac:dyDescent="0.25">
      <c r="A73" s="11"/>
      <c r="B73" s="14" t="s">
        <v>69</v>
      </c>
      <c r="R73" s="1"/>
      <c r="S73" s="1"/>
      <c r="AB73" s="1"/>
      <c r="AD73" s="1"/>
      <c r="AE73" s="1"/>
    </row>
    <row r="74" spans="1:31" x14ac:dyDescent="0.2">
      <c r="B74" s="20" t="s">
        <v>70</v>
      </c>
      <c r="C74" s="43"/>
      <c r="D74" s="43"/>
      <c r="E74" s="43"/>
      <c r="F74" s="43"/>
      <c r="G74" s="43"/>
      <c r="H74" s="43"/>
      <c r="I74" s="43"/>
      <c r="J74" s="21"/>
      <c r="K74" s="21"/>
      <c r="L74" s="21"/>
      <c r="M74" s="43">
        <v>38625</v>
      </c>
      <c r="N74" s="43">
        <v>40636</v>
      </c>
      <c r="O74" s="21">
        <v>42876</v>
      </c>
      <c r="P74" s="21">
        <v>45243</v>
      </c>
      <c r="Q74" s="21">
        <v>47400</v>
      </c>
      <c r="T74" s="21">
        <v>43984</v>
      </c>
      <c r="U74" s="21">
        <v>45243</v>
      </c>
      <c r="V74" s="21">
        <v>45455</v>
      </c>
      <c r="W74" s="21">
        <v>45822</v>
      </c>
      <c r="X74" s="21">
        <v>46228</v>
      </c>
      <c r="Y74" s="21">
        <v>47400</v>
      </c>
      <c r="Z74" s="21">
        <v>46593</v>
      </c>
      <c r="AA74" s="21">
        <v>46786</v>
      </c>
      <c r="AC74" s="24">
        <f>AA74</f>
        <v>46786</v>
      </c>
    </row>
    <row r="75" spans="1:31" x14ac:dyDescent="0.2">
      <c r="B75" s="20" t="s">
        <v>71</v>
      </c>
      <c r="C75" s="25"/>
      <c r="D75" s="25"/>
      <c r="E75" s="25"/>
      <c r="F75" s="25"/>
      <c r="G75" s="25"/>
      <c r="H75" s="25"/>
      <c r="I75" s="25"/>
      <c r="J75" s="25"/>
      <c r="K75" s="25"/>
      <c r="L75" s="25"/>
      <c r="M75" s="25">
        <f t="shared" ref="M75:Q75" si="39">M74*M85</f>
        <v>38625</v>
      </c>
      <c r="N75" s="25">
        <f t="shared" si="39"/>
        <v>40636</v>
      </c>
      <c r="O75" s="25">
        <f t="shared" si="39"/>
        <v>42876</v>
      </c>
      <c r="P75" s="25">
        <f t="shared" si="39"/>
        <v>45243</v>
      </c>
      <c r="Q75" s="25">
        <f t="shared" si="39"/>
        <v>47400</v>
      </c>
      <c r="T75" s="25">
        <f t="shared" ref="T75" si="40">T74*T85</f>
        <v>43984</v>
      </c>
      <c r="U75" s="25">
        <f t="shared" ref="U75" si="41">U74*U85</f>
        <v>45243</v>
      </c>
      <c r="V75" s="25">
        <f t="shared" ref="V75" si="42">V74*V85</f>
        <v>45455</v>
      </c>
      <c r="W75" s="25">
        <f t="shared" ref="W75" si="43">W74*W85</f>
        <v>45822</v>
      </c>
      <c r="X75" s="25">
        <f t="shared" ref="X75:Z75" si="44">X74*X85</f>
        <v>46228</v>
      </c>
      <c r="Y75" s="25">
        <f t="shared" si="44"/>
        <v>47400</v>
      </c>
      <c r="Z75" s="25">
        <f t="shared" si="44"/>
        <v>46593</v>
      </c>
      <c r="AA75" s="25">
        <f t="shared" ref="AA75" si="45">AA74*AA85</f>
        <v>46786</v>
      </c>
      <c r="AC75" s="24">
        <f>AA75</f>
        <v>46786</v>
      </c>
    </row>
    <row r="76" spans="1:31" x14ac:dyDescent="0.2">
      <c r="B76" s="20" t="s">
        <v>238</v>
      </c>
      <c r="C76" s="25"/>
      <c r="D76" s="25"/>
      <c r="E76" s="25"/>
      <c r="F76" s="25"/>
      <c r="G76" s="25"/>
      <c r="H76" s="25"/>
      <c r="I76" s="25"/>
      <c r="J76" s="25"/>
      <c r="K76" s="25"/>
      <c r="L76" s="25"/>
      <c r="M76" s="21">
        <v>0</v>
      </c>
      <c r="N76" s="21">
        <v>0</v>
      </c>
      <c r="O76" s="21">
        <f>2027+2774+270</f>
        <v>5071</v>
      </c>
      <c r="P76" s="21">
        <f>1802+1435+360</f>
        <v>3597</v>
      </c>
      <c r="Q76" s="21">
        <f>1406+769+360</f>
        <v>2535</v>
      </c>
      <c r="T76" s="21">
        <f>1938+2054+270</f>
        <v>4262</v>
      </c>
      <c r="U76" s="21">
        <f>1802+1435+360</f>
        <v>3597</v>
      </c>
      <c r="V76" s="21">
        <f>1644+1165+540</f>
        <v>3349</v>
      </c>
      <c r="W76" s="21">
        <f>1638+1032+720</f>
        <v>3390</v>
      </c>
      <c r="X76" s="21">
        <f>1547+927+720</f>
        <v>3194</v>
      </c>
      <c r="Y76" s="21">
        <f>1406+769+360</f>
        <v>2535</v>
      </c>
      <c r="Z76" s="21">
        <f>1486+528+180</f>
        <v>2194</v>
      </c>
      <c r="AA76" s="21">
        <f>519+2817</f>
        <v>3336</v>
      </c>
      <c r="AC76" s="21">
        <f>AA76</f>
        <v>3336</v>
      </c>
    </row>
    <row r="77" spans="1:31" x14ac:dyDescent="0.2">
      <c r="B77" s="20" t="s">
        <v>239</v>
      </c>
      <c r="C77" s="25"/>
      <c r="D77" s="25"/>
      <c r="E77" s="25"/>
      <c r="F77" s="25"/>
      <c r="G77" s="25"/>
      <c r="H77" s="25"/>
      <c r="I77" s="25"/>
      <c r="J77" s="25"/>
      <c r="K77" s="25"/>
      <c r="L77" s="25"/>
      <c r="M77" s="25">
        <f t="shared" ref="M77:P77" si="46">M76*M85</f>
        <v>0</v>
      </c>
      <c r="N77" s="25">
        <f t="shared" si="46"/>
        <v>0</v>
      </c>
      <c r="O77" s="25">
        <f t="shared" si="46"/>
        <v>5071</v>
      </c>
      <c r="P77" s="25">
        <f t="shared" si="46"/>
        <v>3597</v>
      </c>
      <c r="Q77" s="25">
        <f>Q76*Q85</f>
        <v>2535</v>
      </c>
      <c r="T77" s="25">
        <f t="shared" ref="T77:Y77" si="47">T76*T85</f>
        <v>4262</v>
      </c>
      <c r="U77" s="25">
        <f t="shared" si="47"/>
        <v>3597</v>
      </c>
      <c r="V77" s="25">
        <f t="shared" si="47"/>
        <v>3349</v>
      </c>
      <c r="W77" s="25">
        <f t="shared" si="47"/>
        <v>3390</v>
      </c>
      <c r="X77" s="25">
        <f t="shared" si="47"/>
        <v>3194</v>
      </c>
      <c r="Y77" s="25">
        <f t="shared" si="47"/>
        <v>2535</v>
      </c>
      <c r="Z77" s="25">
        <f t="shared" ref="Z77:AA77" si="48">Z76*Z85</f>
        <v>2194</v>
      </c>
      <c r="AA77" s="25">
        <f t="shared" si="48"/>
        <v>3336</v>
      </c>
      <c r="AC77" s="24">
        <f>AA77</f>
        <v>3336</v>
      </c>
    </row>
    <row r="78" spans="1:31" x14ac:dyDescent="0.2">
      <c r="B78" s="20" t="s">
        <v>240</v>
      </c>
      <c r="C78" s="25"/>
      <c r="D78" s="25"/>
      <c r="E78" s="25"/>
      <c r="F78" s="25"/>
      <c r="G78" s="25"/>
      <c r="H78" s="25"/>
      <c r="I78" s="25"/>
      <c r="J78" s="25"/>
      <c r="K78" s="25"/>
      <c r="L78" s="25"/>
      <c r="M78" s="25">
        <f t="shared" ref="M78:P78" si="49">M75+M77</f>
        <v>38625</v>
      </c>
      <c r="N78" s="25">
        <f t="shared" si="49"/>
        <v>40636</v>
      </c>
      <c r="O78" s="25">
        <f t="shared" si="49"/>
        <v>47947</v>
      </c>
      <c r="P78" s="25">
        <f t="shared" si="49"/>
        <v>48840</v>
      </c>
      <c r="Q78" s="25">
        <f>Q75+Q77</f>
        <v>49935</v>
      </c>
      <c r="T78" s="25">
        <f t="shared" ref="T78:Y78" si="50">T75+T77</f>
        <v>48246</v>
      </c>
      <c r="U78" s="25">
        <f t="shared" si="50"/>
        <v>48840</v>
      </c>
      <c r="V78" s="25">
        <f t="shared" si="50"/>
        <v>48804</v>
      </c>
      <c r="W78" s="25">
        <f t="shared" si="50"/>
        <v>49212</v>
      </c>
      <c r="X78" s="25">
        <f t="shared" si="50"/>
        <v>49422</v>
      </c>
      <c r="Y78" s="25">
        <f t="shared" si="50"/>
        <v>49935</v>
      </c>
      <c r="Z78" s="25">
        <f t="shared" ref="Z78:AA78" si="51">Z75+Z77</f>
        <v>48787</v>
      </c>
      <c r="AA78" s="25">
        <f t="shared" si="51"/>
        <v>50122</v>
      </c>
      <c r="AC78" s="24">
        <f>AA78</f>
        <v>50122</v>
      </c>
    </row>
    <row r="79" spans="1:31" x14ac:dyDescent="0.2">
      <c r="B79" s="20" t="s">
        <v>279</v>
      </c>
      <c r="C79" s="25"/>
      <c r="D79" s="25"/>
      <c r="E79" s="25"/>
      <c r="F79" s="25"/>
      <c r="G79" s="25"/>
      <c r="H79" s="25"/>
      <c r="I79" s="25"/>
      <c r="J79" s="25"/>
      <c r="K79" s="25"/>
      <c r="L79" s="25"/>
      <c r="M79" s="21">
        <v>8651</v>
      </c>
      <c r="N79" s="21">
        <v>8145</v>
      </c>
      <c r="O79" s="21">
        <v>7885</v>
      </c>
      <c r="P79" s="21">
        <v>7122</v>
      </c>
      <c r="Q79" s="21">
        <f>520+6758</f>
        <v>7278</v>
      </c>
      <c r="T79" s="68"/>
      <c r="U79" s="68"/>
      <c r="V79" s="68"/>
      <c r="W79" s="68"/>
      <c r="X79" s="68"/>
      <c r="Y79" s="68"/>
      <c r="Z79" s="68"/>
      <c r="AA79" s="68"/>
      <c r="AC79" s="24">
        <f>Q79</f>
        <v>7278</v>
      </c>
    </row>
    <row r="80" spans="1:31" x14ac:dyDescent="0.2">
      <c r="B80" s="20" t="s">
        <v>280</v>
      </c>
      <c r="C80" s="25"/>
      <c r="D80" s="25"/>
      <c r="E80" s="25"/>
      <c r="F80" s="25"/>
      <c r="G80" s="25"/>
      <c r="H80" s="25"/>
      <c r="I80" s="25"/>
      <c r="J80" s="25"/>
      <c r="K80" s="25"/>
      <c r="L80" s="25"/>
      <c r="M80" s="25">
        <f t="shared" ref="M80:P80" si="52">M79*M85</f>
        <v>8651</v>
      </c>
      <c r="N80" s="25">
        <f t="shared" si="52"/>
        <v>8145</v>
      </c>
      <c r="O80" s="25">
        <f t="shared" si="52"/>
        <v>7885</v>
      </c>
      <c r="P80" s="25">
        <f t="shared" si="52"/>
        <v>7122</v>
      </c>
      <c r="Q80" s="25">
        <f>Q79*Q85</f>
        <v>7278</v>
      </c>
      <c r="T80" s="68"/>
      <c r="U80" s="68"/>
      <c r="V80" s="68"/>
      <c r="W80" s="68"/>
      <c r="X80" s="68"/>
      <c r="Y80" s="68"/>
      <c r="Z80" s="68"/>
      <c r="AA80" s="68"/>
      <c r="AC80" s="24">
        <f>Q80</f>
        <v>7278</v>
      </c>
    </row>
    <row r="81" spans="1:31" x14ac:dyDescent="0.2">
      <c r="B81" s="23" t="s">
        <v>72</v>
      </c>
      <c r="C81" s="44"/>
      <c r="D81" s="44"/>
      <c r="E81" s="44"/>
      <c r="F81" s="44"/>
      <c r="G81" s="44"/>
      <c r="H81" s="44"/>
      <c r="I81" s="44"/>
      <c r="J81" s="44"/>
      <c r="K81" s="44"/>
      <c r="L81" s="44"/>
      <c r="M81" s="44">
        <v>0</v>
      </c>
      <c r="N81" s="44">
        <v>0</v>
      </c>
      <c r="O81" s="44">
        <v>0</v>
      </c>
      <c r="P81" s="44">
        <v>0</v>
      </c>
      <c r="Q81" s="44">
        <v>0</v>
      </c>
      <c r="T81" s="44">
        <v>0</v>
      </c>
      <c r="U81" s="44">
        <v>0</v>
      </c>
      <c r="V81" s="44">
        <v>0</v>
      </c>
      <c r="W81" s="44">
        <v>0</v>
      </c>
      <c r="X81" s="44">
        <v>0</v>
      </c>
      <c r="Y81" s="44">
        <v>0</v>
      </c>
      <c r="Z81" s="44">
        <v>0</v>
      </c>
      <c r="AA81" s="44">
        <v>0</v>
      </c>
      <c r="AC81" s="72">
        <f>SUM(X81:AA81)</f>
        <v>0</v>
      </c>
    </row>
    <row r="82" spans="1:31" x14ac:dyDescent="0.2">
      <c r="B82" s="23" t="s">
        <v>73</v>
      </c>
      <c r="C82" s="39"/>
      <c r="D82" s="45"/>
      <c r="E82" s="45"/>
      <c r="F82" s="45"/>
      <c r="G82" s="45"/>
      <c r="H82" s="45"/>
      <c r="I82" s="45"/>
      <c r="J82" s="45"/>
      <c r="K82" s="45"/>
      <c r="L82" s="45"/>
      <c r="M82" s="45">
        <f t="shared" ref="M82:Q82" si="53">M81/M85</f>
        <v>0</v>
      </c>
      <c r="N82" s="45">
        <f t="shared" si="53"/>
        <v>0</v>
      </c>
      <c r="O82" s="45">
        <f t="shared" si="53"/>
        <v>0</v>
      </c>
      <c r="P82" s="45">
        <f t="shared" si="53"/>
        <v>0</v>
      </c>
      <c r="Q82" s="45">
        <f t="shared" si="53"/>
        <v>0</v>
      </c>
      <c r="T82" s="45">
        <f t="shared" ref="T82" si="54">T81/T85</f>
        <v>0</v>
      </c>
      <c r="U82" s="45">
        <f t="shared" ref="U82" si="55">U81/U85</f>
        <v>0</v>
      </c>
      <c r="V82" s="45">
        <f t="shared" ref="V82" si="56">V81/V85</f>
        <v>0</v>
      </c>
      <c r="W82" s="45">
        <f t="shared" ref="W82" si="57">W81/W85</f>
        <v>0</v>
      </c>
      <c r="X82" s="45">
        <f t="shared" ref="X82:Z82" si="58">X81/X85</f>
        <v>0</v>
      </c>
      <c r="Y82" s="45">
        <f t="shared" si="58"/>
        <v>0</v>
      </c>
      <c r="Z82" s="45">
        <f t="shared" si="58"/>
        <v>0</v>
      </c>
      <c r="AA82" s="45">
        <f t="shared" ref="AA82" si="59">AA81/AA85</f>
        <v>0</v>
      </c>
      <c r="AC82" s="72">
        <f>SUM(X82:AA82)</f>
        <v>0</v>
      </c>
    </row>
    <row r="83" spans="1:31" x14ac:dyDescent="0.2">
      <c r="B83" s="20" t="s">
        <v>74</v>
      </c>
      <c r="C83" s="46">
        <f t="shared" ref="C83:Q83" si="60">IF(AND(C15&gt;0,C16&lt;0),-(C16)/C15,0)</f>
        <v>0</v>
      </c>
      <c r="D83" s="46">
        <f t="shared" si="60"/>
        <v>0</v>
      </c>
      <c r="E83" s="46">
        <f t="shared" si="60"/>
        <v>0</v>
      </c>
      <c r="F83" s="46">
        <f t="shared" si="60"/>
        <v>0</v>
      </c>
      <c r="G83" s="46">
        <f t="shared" si="60"/>
        <v>0</v>
      </c>
      <c r="H83" s="46">
        <f t="shared" si="60"/>
        <v>0</v>
      </c>
      <c r="I83" s="46">
        <f t="shared" si="60"/>
        <v>0</v>
      </c>
      <c r="J83" s="46">
        <f t="shared" si="60"/>
        <v>0</v>
      </c>
      <c r="K83" s="46">
        <f t="shared" si="60"/>
        <v>0</v>
      </c>
      <c r="L83" s="46">
        <f t="shared" si="60"/>
        <v>0</v>
      </c>
      <c r="M83" s="46">
        <f t="shared" si="60"/>
        <v>0</v>
      </c>
      <c r="N83" s="46">
        <f t="shared" si="60"/>
        <v>1.599699843099802E-2</v>
      </c>
      <c r="O83" s="46">
        <f t="shared" si="60"/>
        <v>9.6191708387241948E-2</v>
      </c>
      <c r="P83" s="46">
        <f t="shared" si="60"/>
        <v>0.13422477665044083</v>
      </c>
      <c r="Q83" s="46">
        <f t="shared" si="60"/>
        <v>0.13730058659064745</v>
      </c>
      <c r="T83" s="46">
        <f t="shared" ref="T83:Z83" si="61">IF(AND(T15&gt;0,T16&lt;0),-(T16)/T15,0)</f>
        <v>7.9916499271337982E-2</v>
      </c>
      <c r="U83" s="46">
        <f t="shared" si="61"/>
        <v>0.37781853972798857</v>
      </c>
      <c r="V83" s="46">
        <f t="shared" si="61"/>
        <v>0</v>
      </c>
      <c r="W83" s="46">
        <f t="shared" si="61"/>
        <v>3.5931108719052744E-2</v>
      </c>
      <c r="X83" s="46">
        <f t="shared" si="61"/>
        <v>0.23582854313332902</v>
      </c>
      <c r="Y83" s="46">
        <f t="shared" si="61"/>
        <v>0.23021595934019559</v>
      </c>
      <c r="Z83" s="46">
        <f t="shared" si="61"/>
        <v>0.21766993087557604</v>
      </c>
      <c r="AA83" s="46">
        <f t="shared" ref="AA83" si="62">IF(AND(AA15&gt;0,AA16&lt;0),-(AA16)/AA15,0)</f>
        <v>0.2691002072036327</v>
      </c>
      <c r="AC83" s="46">
        <f>IF(AND(AC15&gt;0,AC16&lt;0),-(AC16)/AC15,0)</f>
        <v>0.23679335010997285</v>
      </c>
    </row>
    <row r="84" spans="1:31" x14ac:dyDescent="0.2">
      <c r="B84" s="20" t="s">
        <v>75</v>
      </c>
      <c r="C84" s="21"/>
      <c r="D84" s="21"/>
      <c r="E84" s="21"/>
      <c r="F84" s="21"/>
      <c r="G84" s="21"/>
      <c r="H84" s="21"/>
      <c r="I84" s="21"/>
      <c r="J84" s="21"/>
      <c r="K84" s="21"/>
      <c r="L84" s="21"/>
      <c r="M84" s="21">
        <v>500</v>
      </c>
      <c r="N84" s="21">
        <v>600</v>
      </c>
      <c r="O84" s="21">
        <v>720</v>
      </c>
      <c r="P84" s="21">
        <v>830</v>
      </c>
      <c r="Q84" s="21">
        <v>900</v>
      </c>
      <c r="T84" s="68"/>
      <c r="U84" s="68"/>
      <c r="V84" s="68"/>
      <c r="W84" s="68"/>
      <c r="X84" s="68"/>
      <c r="Y84" s="68"/>
      <c r="Z84" s="68"/>
      <c r="AA84" s="68"/>
      <c r="AC84" s="21">
        <f>Q84</f>
        <v>900</v>
      </c>
    </row>
    <row r="85" spans="1:31" x14ac:dyDescent="0.2">
      <c r="B85" s="20" t="s">
        <v>76</v>
      </c>
      <c r="C85" s="21"/>
      <c r="D85" s="21"/>
      <c r="E85" s="21"/>
      <c r="F85" s="21"/>
      <c r="G85" s="21"/>
      <c r="H85" s="21"/>
      <c r="I85" s="21"/>
      <c r="J85" s="21"/>
      <c r="K85" s="21"/>
      <c r="L85" s="21"/>
      <c r="M85" s="21">
        <v>1</v>
      </c>
      <c r="N85" s="21">
        <v>1</v>
      </c>
      <c r="O85" s="21">
        <v>1</v>
      </c>
      <c r="P85" s="21">
        <v>1</v>
      </c>
      <c r="Q85" s="21">
        <v>1</v>
      </c>
      <c r="T85" s="21">
        <v>1</v>
      </c>
      <c r="U85" s="21">
        <v>1</v>
      </c>
      <c r="V85" s="21">
        <v>1</v>
      </c>
      <c r="W85" s="21">
        <v>1</v>
      </c>
      <c r="X85" s="21">
        <v>1</v>
      </c>
      <c r="Y85" s="21">
        <v>1</v>
      </c>
      <c r="Z85" s="21">
        <v>1</v>
      </c>
      <c r="AA85" s="21">
        <v>1</v>
      </c>
      <c r="AC85" s="21">
        <v>1</v>
      </c>
    </row>
    <row r="87" spans="1:31" x14ac:dyDescent="0.2">
      <c r="B87" s="1"/>
    </row>
    <row r="88" spans="1:31" s="15" customFormat="1" ht="17" thickBot="1" x14ac:dyDescent="0.25">
      <c r="A88" s="11"/>
      <c r="B88" s="14" t="s">
        <v>77</v>
      </c>
      <c r="R88" s="1"/>
      <c r="S88" s="1"/>
      <c r="AB88" s="1"/>
      <c r="AD88" s="1"/>
      <c r="AE88" s="1"/>
    </row>
    <row r="89" spans="1:31" s="41" customFormat="1" x14ac:dyDescent="0.2">
      <c r="A89" s="16"/>
      <c r="B89" s="17" t="s">
        <v>20</v>
      </c>
      <c r="C89" s="47"/>
      <c r="D89" s="48"/>
      <c r="E89" s="48"/>
      <c r="F89" s="48"/>
      <c r="G89" s="48"/>
      <c r="H89" s="48"/>
      <c r="I89" s="48"/>
      <c r="J89" s="48"/>
      <c r="K89" s="48"/>
      <c r="L89" s="48"/>
      <c r="M89" s="48">
        <f t="shared" ref="M89:Q96" si="63">IF(L5=0,
IF(M5=0,0,IF(M5&gt;0,1,-1)),
(M5-L5)/ABS(L5)
)</f>
        <v>1</v>
      </c>
      <c r="N89" s="48">
        <f t="shared" si="63"/>
        <v>0.47343004801173977</v>
      </c>
      <c r="O89" s="48">
        <f t="shared" si="63"/>
        <v>0.43739157498748293</v>
      </c>
      <c r="P89" s="48">
        <f t="shared" si="63"/>
        <v>0.40841898743948984</v>
      </c>
      <c r="Q89" s="48">
        <f t="shared" si="63"/>
        <v>0.38710656342577243</v>
      </c>
      <c r="R89" s="1"/>
      <c r="S89" s="1"/>
      <c r="T89" s="48">
        <f t="shared" ref="T89:T96" si="64">IF(S5=0,
IF(T5=0,0,IF(T5&gt;0,1,-1)),
(T5-S5)/ABS(S5)
)</f>
        <v>1</v>
      </c>
      <c r="U89" s="48">
        <f t="shared" ref="U89:U96" si="65">IF(T5=0,
IF(U5=0,0,IF(U5&gt;0,1,-1)),
(U5-T5)/ABS(T5)
)</f>
        <v>8.8040125860618712E-2</v>
      </c>
      <c r="V89" s="48">
        <f t="shared" ref="V89:V96" si="66">IF(U5=0,
IF(V5=0,0,IF(V5&gt;0,1,-1)),
(V5-U5)/ABS(U5)
)</f>
        <v>0.10113576712001909</v>
      </c>
      <c r="W89" s="48">
        <f t="shared" ref="W89:W96" si="67">IF(V5=0,
IF(W5=0,0,IF(W5&gt;0,1,-1)),
(W5-V5)/ABS(V5)
)</f>
        <v>9.3272601985759054E-2</v>
      </c>
      <c r="X89" s="48">
        <f t="shared" ref="X89:X96" si="68">IF(W5=0,
IF(X5=0,0,IF(X5&gt;0,1,-1)),
(X5-W5)/ABS(W5)
)</f>
        <v>7.7093532594692094E-2</v>
      </c>
      <c r="Y89" s="48">
        <f t="shared" ref="Y89:Y96" si="69">IF(X5=0,
IF(Y5=0,0,IF(Y5&gt;0,1,-1)),
(Y5-X5)/ABS(X5)
)</f>
        <v>4.1054347786083106E-2</v>
      </c>
      <c r="Z89" s="48">
        <f t="shared" ref="Z89:Z96" si="70">IF(Y5=0,
IF(Z5=0,0,IF(Z5&gt;0,1,-1)),
(Z5-Y5)/ABS(Y5)
)</f>
        <v>3.2166947127281985E-2</v>
      </c>
      <c r="AA89" s="48">
        <f t="shared" ref="AA89:AA96" si="71">IF(Z5=0,
IF(AA5=0,0,IF(AA5&gt;0,1,-1)),
(AA5-Z5)/ABS(Z5)
)</f>
        <v>2.2218264392893719E-2</v>
      </c>
      <c r="AB89" s="1"/>
      <c r="AC89" s="67"/>
      <c r="AD89" s="1"/>
      <c r="AE89" s="1"/>
    </row>
    <row r="90" spans="1:31" x14ac:dyDescent="0.2">
      <c r="B90" s="20" t="s">
        <v>21</v>
      </c>
      <c r="C90" s="49"/>
      <c r="D90" s="50"/>
      <c r="E90" s="50"/>
      <c r="F90" s="50"/>
      <c r="G90" s="50"/>
      <c r="H90" s="50"/>
      <c r="I90" s="50"/>
      <c r="J90" s="50"/>
      <c r="K90" s="50"/>
      <c r="L90" s="50"/>
      <c r="M90" s="50">
        <f t="shared" si="63"/>
        <v>1</v>
      </c>
      <c r="N90" s="50">
        <f t="shared" si="63"/>
        <v>0.43715491573439713</v>
      </c>
      <c r="O90" s="50">
        <f t="shared" si="63"/>
        <v>0.42918204584083436</v>
      </c>
      <c r="P90" s="50">
        <f t="shared" si="63"/>
        <v>0.43306006122233559</v>
      </c>
      <c r="Q90" s="50">
        <f t="shared" si="63"/>
        <v>0.41487392275774021</v>
      </c>
      <c r="T90" s="50">
        <f t="shared" si="64"/>
        <v>1</v>
      </c>
      <c r="U90" s="50">
        <f t="shared" si="65"/>
        <v>0.12926408585665006</v>
      </c>
      <c r="V90" s="50">
        <f t="shared" si="66"/>
        <v>0.13104794229953332</v>
      </c>
      <c r="W90" s="50">
        <f t="shared" si="67"/>
        <v>4.5568442690593722E-2</v>
      </c>
      <c r="X90" s="50">
        <f t="shared" si="68"/>
        <v>7.3445841226106423E-2</v>
      </c>
      <c r="Y90" s="50">
        <f t="shared" si="69"/>
        <v>2.9370872436565866E-2</v>
      </c>
      <c r="Z90" s="50">
        <f t="shared" si="70"/>
        <v>2.4312004052000676E-2</v>
      </c>
      <c r="AA90" s="50">
        <f t="shared" si="71"/>
        <v>3.6046202026093238E-2</v>
      </c>
      <c r="AC90" s="68"/>
    </row>
    <row r="91" spans="1:31" s="41" customFormat="1" x14ac:dyDescent="0.2">
      <c r="A91" s="16"/>
      <c r="B91" s="17" t="s">
        <v>22</v>
      </c>
      <c r="C91" s="47"/>
      <c r="D91" s="48"/>
      <c r="E91" s="48"/>
      <c r="F91" s="48"/>
      <c r="G91" s="48"/>
      <c r="H91" s="48"/>
      <c r="I91" s="48"/>
      <c r="J91" s="48"/>
      <c r="K91" s="48"/>
      <c r="L91" s="48"/>
      <c r="M91" s="48">
        <f t="shared" si="63"/>
        <v>1</v>
      </c>
      <c r="N91" s="48">
        <f t="shared" si="63"/>
        <v>0.48725121980769442</v>
      </c>
      <c r="O91" s="48">
        <f t="shared" si="63"/>
        <v>0.44041412405948221</v>
      </c>
      <c r="P91" s="48">
        <f t="shared" si="63"/>
        <v>0.39941748670964822</v>
      </c>
      <c r="Q91" s="48">
        <f t="shared" si="63"/>
        <v>0.37671916073176959</v>
      </c>
      <c r="R91" s="1"/>
      <c r="S91" s="1"/>
      <c r="T91" s="48">
        <f t="shared" si="64"/>
        <v>1</v>
      </c>
      <c r="U91" s="48">
        <f t="shared" si="65"/>
        <v>7.2720668879171599E-2</v>
      </c>
      <c r="V91" s="48">
        <f t="shared" si="66"/>
        <v>8.9434024896265563E-2</v>
      </c>
      <c r="W91" s="48">
        <f t="shared" si="67"/>
        <v>0.11264747464898596</v>
      </c>
      <c r="X91" s="48">
        <f t="shared" si="68"/>
        <v>7.8485713190310058E-2</v>
      </c>
      <c r="Y91" s="48">
        <f t="shared" si="69"/>
        <v>4.5492633727927848E-2</v>
      </c>
      <c r="Z91" s="48">
        <f t="shared" si="70"/>
        <v>3.5104848228727975E-2</v>
      </c>
      <c r="AA91" s="48">
        <f t="shared" si="71"/>
        <v>1.710027405488606E-2</v>
      </c>
      <c r="AB91" s="1"/>
      <c r="AC91" s="67"/>
      <c r="AD91" s="1"/>
      <c r="AE91" s="1"/>
    </row>
    <row r="92" spans="1:31" x14ac:dyDescent="0.2">
      <c r="B92" s="20" t="s">
        <v>24</v>
      </c>
      <c r="C92" s="49"/>
      <c r="D92" s="50"/>
      <c r="E92" s="50"/>
      <c r="F92" s="50"/>
      <c r="G92" s="50"/>
      <c r="H92" s="50"/>
      <c r="I92" s="50"/>
      <c r="J92" s="50"/>
      <c r="K92" s="50"/>
      <c r="L92" s="50"/>
      <c r="M92" s="50">
        <f t="shared" si="63"/>
        <v>1</v>
      </c>
      <c r="N92" s="50">
        <f t="shared" si="63"/>
        <v>0.4489035277801855</v>
      </c>
      <c r="O92" s="50">
        <f t="shared" si="63"/>
        <v>0.29185610592645767</v>
      </c>
      <c r="P92" s="50">
        <f t="shared" si="63"/>
        <v>0.2106795916687248</v>
      </c>
      <c r="Q92" s="50">
        <f t="shared" si="63"/>
        <v>0.30185126945405399</v>
      </c>
      <c r="T92" s="50">
        <f t="shared" si="64"/>
        <v>1</v>
      </c>
      <c r="U92" s="50">
        <f t="shared" si="65"/>
        <v>5.5933712904354463E-2</v>
      </c>
      <c r="V92" s="50">
        <f t="shared" si="66"/>
        <v>6.0170193538670078E-2</v>
      </c>
      <c r="W92" s="50">
        <f t="shared" si="67"/>
        <v>4.659752805796278E-2</v>
      </c>
      <c r="X92" s="50">
        <f t="shared" si="68"/>
        <v>0.12266865752680874</v>
      </c>
      <c r="Y92" s="50">
        <f t="shared" si="69"/>
        <v>-3.8098347177385229E-2</v>
      </c>
      <c r="Z92" s="50">
        <f t="shared" si="70"/>
        <v>4.2963447131580269E-2</v>
      </c>
      <c r="AA92" s="50">
        <f t="shared" si="71"/>
        <v>0.11113119772458843</v>
      </c>
      <c r="AC92" s="68"/>
    </row>
    <row r="93" spans="1:31" x14ac:dyDescent="0.2">
      <c r="B93" s="20" t="s">
        <v>23</v>
      </c>
      <c r="C93" s="49"/>
      <c r="D93" s="50"/>
      <c r="E93" s="50"/>
      <c r="F93" s="50"/>
      <c r="G93" s="50"/>
      <c r="H93" s="50"/>
      <c r="I93" s="50"/>
      <c r="J93" s="50"/>
      <c r="K93" s="50"/>
      <c r="L93" s="50"/>
      <c r="M93" s="50">
        <f t="shared" si="63"/>
        <v>1</v>
      </c>
      <c r="N93" s="50">
        <f t="shared" si="63"/>
        <v>0.13177285786716242</v>
      </c>
      <c r="O93" s="50">
        <f t="shared" si="63"/>
        <v>0.13172159421804769</v>
      </c>
      <c r="P93" s="50">
        <f t="shared" si="63"/>
        <v>0.19404127302475327</v>
      </c>
      <c r="Q93" s="50">
        <f t="shared" si="63"/>
        <v>0.38878820695294714</v>
      </c>
      <c r="T93" s="50">
        <f t="shared" si="64"/>
        <v>1</v>
      </c>
      <c r="U93" s="50">
        <f t="shared" si="65"/>
        <v>-2.9678579807617112E-2</v>
      </c>
      <c r="V93" s="50">
        <f t="shared" si="66"/>
        <v>7.4430787829941572E-2</v>
      </c>
      <c r="W93" s="50">
        <f t="shared" si="67"/>
        <v>0.10880654114470033</v>
      </c>
      <c r="X93" s="50">
        <f t="shared" si="68"/>
        <v>0.18665223421168353</v>
      </c>
      <c r="Y93" s="50">
        <f t="shared" si="69"/>
        <v>-2.023887574470511E-2</v>
      </c>
      <c r="Z93" s="50">
        <f t="shared" si="70"/>
        <v>0.14192196910185911</v>
      </c>
      <c r="AA93" s="50">
        <f t="shared" si="71"/>
        <v>1.9312593951438254E-2</v>
      </c>
      <c r="AC93" s="68"/>
    </row>
    <row r="94" spans="1:31" x14ac:dyDescent="0.2">
      <c r="B94" s="23" t="s">
        <v>25</v>
      </c>
      <c r="C94" s="49"/>
      <c r="D94" s="50"/>
      <c r="E94" s="50"/>
      <c r="F94" s="50"/>
      <c r="G94" s="50"/>
      <c r="H94" s="50"/>
      <c r="I94" s="50"/>
      <c r="J94" s="50"/>
      <c r="K94" s="50"/>
      <c r="L94" s="50"/>
      <c r="M94" s="50">
        <f t="shared" si="63"/>
        <v>1</v>
      </c>
      <c r="N94" s="50">
        <f t="shared" si="63"/>
        <v>0.49952920218857361</v>
      </c>
      <c r="O94" s="50">
        <f t="shared" si="63"/>
        <v>0.1211306089199647</v>
      </c>
      <c r="P94" s="50">
        <f t="shared" si="63"/>
        <v>0.18065741770925578</v>
      </c>
      <c r="Q94" s="50">
        <f t="shared" si="63"/>
        <v>0.16600210267193188</v>
      </c>
      <c r="T94" s="50">
        <f t="shared" si="64"/>
        <v>1</v>
      </c>
      <c r="U94" s="50">
        <f t="shared" si="65"/>
        <v>0.18612587266854225</v>
      </c>
      <c r="V94" s="50">
        <f t="shared" si="66"/>
        <v>-4.5747040607910745E-2</v>
      </c>
      <c r="W94" s="50">
        <f t="shared" si="67"/>
        <v>5.8342922899884922E-2</v>
      </c>
      <c r="X94" s="50">
        <f t="shared" si="68"/>
        <v>-4.3949113841470044E-2</v>
      </c>
      <c r="Y94" s="50">
        <f t="shared" si="69"/>
        <v>0.10290237467018469</v>
      </c>
      <c r="Z94" s="50">
        <f t="shared" si="70"/>
        <v>-4.4175878567893088E-2</v>
      </c>
      <c r="AA94" s="50">
        <f t="shared" si="71"/>
        <v>9.1636818711431409E-2</v>
      </c>
      <c r="AC94" s="68"/>
    </row>
    <row r="95" spans="1:31" x14ac:dyDescent="0.2">
      <c r="B95" s="23" t="s">
        <v>26</v>
      </c>
      <c r="C95" s="49"/>
      <c r="D95" s="50"/>
      <c r="E95" s="50"/>
      <c r="F95" s="50"/>
      <c r="G95" s="50"/>
      <c r="H95" s="50"/>
      <c r="I95" s="50"/>
      <c r="J95" s="50"/>
      <c r="K95" s="50"/>
      <c r="L95" s="50"/>
      <c r="M95" s="50">
        <f t="shared" si="63"/>
        <v>1</v>
      </c>
      <c r="N95" s="50">
        <f t="shared" si="63"/>
        <v>0.38770163042803391</v>
      </c>
      <c r="O95" s="50">
        <f t="shared" si="63"/>
        <v>0.19985742366349599</v>
      </c>
      <c r="P95" s="50">
        <f t="shared" si="63"/>
        <v>0.19768410219184962</v>
      </c>
      <c r="Q95" s="50">
        <f t="shared" si="63"/>
        <v>0.27419549009514638</v>
      </c>
      <c r="T95" s="50">
        <f t="shared" si="64"/>
        <v>1</v>
      </c>
      <c r="U95" s="50">
        <f t="shared" si="65"/>
        <v>7.807473982970671E-2</v>
      </c>
      <c r="V95" s="50">
        <f t="shared" si="66"/>
        <v>2.7489524143831861E-2</v>
      </c>
      <c r="W95" s="50">
        <f t="shared" si="67"/>
        <v>6.2034704132325522E-2</v>
      </c>
      <c r="X95" s="50">
        <f t="shared" si="68"/>
        <v>8.3997909099438411E-2</v>
      </c>
      <c r="Y95" s="50">
        <f t="shared" si="69"/>
        <v>4.0988674019486618E-3</v>
      </c>
      <c r="Z95" s="50">
        <f t="shared" si="70"/>
        <v>3.7890588923436871E-2</v>
      </c>
      <c r="AA95" s="50">
        <f t="shared" si="71"/>
        <v>8.4392741251357012E-2</v>
      </c>
      <c r="AC95" s="68"/>
    </row>
    <row r="96" spans="1:31" s="41" customFormat="1" x14ac:dyDescent="0.2">
      <c r="A96" s="16"/>
      <c r="B96" s="17" t="s">
        <v>27</v>
      </c>
      <c r="C96" s="47"/>
      <c r="D96" s="48"/>
      <c r="E96" s="48"/>
      <c r="F96" s="48"/>
      <c r="G96" s="48"/>
      <c r="H96" s="48"/>
      <c r="I96" s="48"/>
      <c r="J96" s="48"/>
      <c r="K96" s="48"/>
      <c r="L96" s="48"/>
      <c r="M96" s="48">
        <f t="shared" si="63"/>
        <v>-1</v>
      </c>
      <c r="N96" s="48">
        <f t="shared" si="63"/>
        <v>-8.6456580065659011E-2</v>
      </c>
      <c r="O96" s="48">
        <f t="shared" si="63"/>
        <v>0.79662550809111132</v>
      </c>
      <c r="P96" s="48">
        <f t="shared" si="63"/>
        <v>5.7209442642733235</v>
      </c>
      <c r="Q96" s="48">
        <f t="shared" si="63"/>
        <v>1.1658279415288761</v>
      </c>
      <c r="R96" s="1"/>
      <c r="S96" s="1"/>
      <c r="T96" s="48">
        <f t="shared" si="64"/>
        <v>1</v>
      </c>
      <c r="U96" s="48">
        <f t="shared" si="65"/>
        <v>2.2690437601296597E-2</v>
      </c>
      <c r="V96" s="48">
        <f t="shared" si="66"/>
        <v>0.69961100705950152</v>
      </c>
      <c r="W96" s="48">
        <f t="shared" si="67"/>
        <v>0.41404594388403831</v>
      </c>
      <c r="X96" s="48">
        <f t="shared" si="68"/>
        <v>5.3832089440398044E-2</v>
      </c>
      <c r="Y96" s="48">
        <f t="shared" si="69"/>
        <v>0.23592821183765181</v>
      </c>
      <c r="Z96" s="48">
        <f t="shared" si="70"/>
        <v>2.4692778570442307E-2</v>
      </c>
      <c r="AA96" s="48">
        <f t="shared" si="71"/>
        <v>-0.23765355851505829</v>
      </c>
      <c r="AB96" s="1"/>
      <c r="AC96" s="67"/>
      <c r="AD96" s="1"/>
      <c r="AE96" s="1"/>
    </row>
    <row r="97" spans="1:31" s="53" customFormat="1" x14ac:dyDescent="0.2">
      <c r="A97" s="16"/>
      <c r="B97" s="51" t="s">
        <v>30</v>
      </c>
      <c r="C97" s="47"/>
      <c r="D97" s="52"/>
      <c r="E97" s="52"/>
      <c r="F97" s="52"/>
      <c r="G97" s="52"/>
      <c r="H97" s="52"/>
      <c r="I97" s="52"/>
      <c r="J97" s="52"/>
      <c r="K97" s="52"/>
      <c r="L97" s="52"/>
      <c r="M97" s="52">
        <f>IF(L15=0,
IF(M15=0,0,IF(M15&gt;0,1,-1)),
(M15-L15)/ABS(L15)
)</f>
        <v>-1</v>
      </c>
      <c r="N97" s="52">
        <f>IF(M15=0,
IF(N15=0,0,IF(N15&gt;0,1,-1)),
(N15-M15)/ABS(M15)
)</f>
        <v>1.9779512325294373</v>
      </c>
      <c r="O97" s="52">
        <f>IF(N15=0,
IF(O15=0,0,IF(O15&gt;0,1,-1)),
(O15-N15)/ABS(N15)
)</f>
        <v>-0.69682447643086154</v>
      </c>
      <c r="P97" s="52">
        <f>IF(O15=0,
IF(P15=0,0,IF(P15&gt;0,1,-1)),
(P15-O15)/ABS(O15)
)</f>
        <v>4.7549642796872362</v>
      </c>
      <c r="Q97" s="52">
        <f>IF(P15=0,
IF(Q15=0,0,IF(Q15&gt;0,1,-1)),
(Q15-P15)/ABS(P15)
)</f>
        <v>0.78298438019275507</v>
      </c>
      <c r="R97" s="1"/>
      <c r="S97" s="1"/>
      <c r="T97" s="52">
        <f t="shared" ref="T97" si="72">IF(S15=0,
IF(T15=0,0,IF(T15&gt;0,1,-1)),
(T15-S15)/ABS(S15)
)</f>
        <v>1</v>
      </c>
      <c r="U97" s="52">
        <f t="shared" ref="U97" si="73">IF(T15=0,
IF(U15=0,0,IF(U15&gt;0,1,-1)),
(U15-T15)/ABS(T15)
)</f>
        <v>-0.11961873252195833</v>
      </c>
      <c r="V97" s="52">
        <f t="shared" ref="V97" si="74">IF(U15=0,
IF(V15=0,0,IF(V15&gt;0,1,-1)),
(V15-U15)/ABS(U15)
)</f>
        <v>0.56630279169649245</v>
      </c>
      <c r="W97" s="52">
        <f t="shared" ref="W97" si="75">IF(V15=0,
IF(W15=0,0,IF(W15&gt;0,1,-1)),
(W15-V15)/ABS(V15)
)</f>
        <v>0.32676378177663523</v>
      </c>
      <c r="X97" s="52">
        <f t="shared" ref="X97" si="76">IF(W15=0,
IF(X15=0,0,IF(X15&gt;0,1,-1)),
(X15-W15)/ABS(W15)
)</f>
        <v>-2.1528525296017223E-5</v>
      </c>
      <c r="Y97" s="52">
        <f t="shared" ref="Y97" si="77">IF(X15=0,
IF(Y15=0,0,IF(Y15&gt;0,1,-1)),
(Y15-X15)/ABS(X15)
)</f>
        <v>0.17335141768391138</v>
      </c>
      <c r="Z97" s="52">
        <f t="shared" ref="Z97" si="78">IF(Y15=0,
IF(Z15=0,0,IF(Z15&gt;0,1,-1)),
(Z15-Y15)/ABS(Y15)
)</f>
        <v>1.9284049833948002E-2</v>
      </c>
      <c r="AA97" s="52">
        <f t="shared" ref="AA97" si="79">IF(Z15=0,
IF(AA15=0,0,IF(AA15&gt;0,1,-1)),
(AA15-Z15)/ABS(Z15)
)</f>
        <v>-0.18335973502304148</v>
      </c>
      <c r="AB97" s="1"/>
      <c r="AC97" s="67"/>
      <c r="AD97" s="1"/>
      <c r="AE97" s="1"/>
    </row>
    <row r="98" spans="1:31" s="53" customFormat="1" x14ac:dyDescent="0.2">
      <c r="A98" s="16"/>
      <c r="B98" s="51" t="s">
        <v>32</v>
      </c>
      <c r="C98" s="47"/>
      <c r="D98" s="52"/>
      <c r="E98" s="52"/>
      <c r="F98" s="52"/>
      <c r="G98" s="52"/>
      <c r="H98" s="52"/>
      <c r="I98" s="52"/>
      <c r="J98" s="52"/>
      <c r="K98" s="52"/>
      <c r="L98" s="52"/>
      <c r="M98" s="52">
        <f>IF(L18=0,
IF(M18=0,0,IF(M18&gt;0,1,-1)),
(M18-L18)/ABS(L18)
)</f>
        <v>-1</v>
      </c>
      <c r="N98" s="52">
        <f>IF(M18=0,
IF(N18=0,0,IF(N18&gt;0,1,-1)),
(N18-M18)/ABS(M18)
)</f>
        <v>9.3290097281117489E-3</v>
      </c>
      <c r="O98" s="52">
        <f>IF(N18=0,
IF(O18=0,0,IF(O18&gt;0,1,-1)),
(O18-N18)/ABS(N18)
)</f>
        <v>1.2696981904857825</v>
      </c>
      <c r="P98" s="52">
        <f>IF(O18=0,
IF(P18=0,0,IF(P18&gt;0,1,-1)),
(P18-O18)/ABS(O18)
)</f>
        <v>4.512790191074874</v>
      </c>
      <c r="Q98" s="52">
        <f>IF(P18=0,
IF(Q18=0,0,IF(Q18&gt;0,1,-1)),
(Q18-P18)/ABS(P18)
)</f>
        <v>0.77665003274098499</v>
      </c>
      <c r="R98" s="1"/>
      <c r="S98" s="1"/>
      <c r="T98" s="52">
        <f t="shared" ref="T98" si="80">IF(S18=0,
IF(T18=0,0,IF(T18&gt;0,1,-1)),
(T18-S18)/ABS(S18)
)</f>
        <v>1</v>
      </c>
      <c r="U98" s="52">
        <f t="shared" ref="U98" si="81">IF(T18=0,
IF(U18=0,0,IF(U18&gt;0,1,-1)),
(U18-T18)/ABS(T18)
)</f>
        <v>-0.40466609589041097</v>
      </c>
      <c r="V98" s="52">
        <f t="shared" ref="V98" si="82">IF(U18=0,
IF(V18=0,0,IF(V18&gt;0,1,-1)),
(V18-U18)/ABS(U18)
)</f>
        <v>1.526425541094413</v>
      </c>
      <c r="W98" s="52">
        <f t="shared" ref="W98" si="83">IF(V18=0,
IF(W18=0,0,IF(W18&gt;0,1,-1)),
(W18-V18)/ABS(V18)
)</f>
        <v>0.27454105592713818</v>
      </c>
      <c r="X98" s="52">
        <f t="shared" ref="X98" si="84">IF(W18=0,
IF(X18=0,0,IF(X18&gt;0,1,-1)),
(X18-W18)/ABS(W18)
)</f>
        <v>-0.20736473057770036</v>
      </c>
      <c r="Y98" s="52">
        <f t="shared" ref="Y98" si="85">IF(X18=0,
IF(Y18=0,0,IF(Y18&gt;0,1,-1)),
(Y18-X18)/ABS(X18)
)</f>
        <v>0.18196929144949994</v>
      </c>
      <c r="Z98" s="52">
        <f t="shared" ref="Z98" si="86">IF(Y18=0,
IF(Z18=0,0,IF(Z18&gt;0,1,-1)),
(Z18-Y18)/ABS(Y18)
)</f>
        <v>3.5896458025456456E-2</v>
      </c>
      <c r="AA98" s="52">
        <f t="shared" ref="AA98" si="87">IF(Z18=0,
IF(AA18=0,0,IF(AA18&gt;0,1,-1)),
(AA18-Z18)/ABS(Z18)
)</f>
        <v>-0.23704555913483663</v>
      </c>
      <c r="AB98" s="1"/>
      <c r="AC98" s="67"/>
      <c r="AD98" s="1"/>
      <c r="AE98" s="1"/>
    </row>
    <row r="99" spans="1:31" x14ac:dyDescent="0.2">
      <c r="B99" s="1"/>
    </row>
    <row r="100" spans="1:31" s="15" customFormat="1" ht="17" thickBot="1" x14ac:dyDescent="0.25">
      <c r="A100" s="11"/>
      <c r="B100" s="14" t="s">
        <v>78</v>
      </c>
      <c r="R100" s="1"/>
      <c r="S100" s="1"/>
      <c r="AB100" s="1"/>
      <c r="AD100" s="1"/>
      <c r="AE100" s="1"/>
    </row>
    <row r="101" spans="1:31" x14ac:dyDescent="0.2">
      <c r="B101" s="20" t="s">
        <v>79</v>
      </c>
      <c r="C101" s="50"/>
      <c r="D101" s="50"/>
      <c r="E101" s="50"/>
      <c r="F101" s="50"/>
      <c r="G101" s="50"/>
      <c r="H101" s="50"/>
      <c r="I101" s="50"/>
      <c r="J101" s="50"/>
      <c r="K101" s="50"/>
      <c r="L101" s="50"/>
      <c r="M101" s="50">
        <f>M7/M5</f>
        <v>0.72410795463608379</v>
      </c>
      <c r="N101" s="50">
        <f>N7/N5</f>
        <v>0.73090028281844144</v>
      </c>
      <c r="O101" s="50">
        <f>O7/O5</f>
        <v>0.7324372209847696</v>
      </c>
      <c r="P101" s="50">
        <f>P7/P5</f>
        <v>0.72775606130284587</v>
      </c>
      <c r="Q101" s="50">
        <f>Q7/Q5</f>
        <v>0.7223062310799363</v>
      </c>
      <c r="T101" s="50">
        <f t="shared" ref="T101:Z101" si="88">T7/T5</f>
        <v>0.72906736450772092</v>
      </c>
      <c r="U101" s="50">
        <f t="shared" si="88"/>
        <v>0.71880219518014798</v>
      </c>
      <c r="V101" s="50">
        <f t="shared" si="88"/>
        <v>0.71116350225142255</v>
      </c>
      <c r="W101" s="50">
        <f t="shared" si="88"/>
        <v>0.7237666739341565</v>
      </c>
      <c r="X101" s="50">
        <f t="shared" si="88"/>
        <v>0.72470216736041337</v>
      </c>
      <c r="Y101" s="50">
        <f t="shared" si="88"/>
        <v>0.72779176152834535</v>
      </c>
      <c r="Z101" s="50">
        <f t="shared" si="88"/>
        <v>0.72986330646956676</v>
      </c>
      <c r="AA101" s="50">
        <f t="shared" ref="AA101" si="89">AA7/AA5</f>
        <v>0.72620906404337016</v>
      </c>
      <c r="AC101" s="50">
        <f>AC7/AC5</f>
        <v>0.7271742756781211</v>
      </c>
    </row>
    <row r="102" spans="1:31" x14ac:dyDescent="0.2">
      <c r="B102" s="20" t="s">
        <v>80</v>
      </c>
      <c r="C102" s="50"/>
      <c r="D102" s="50"/>
      <c r="E102" s="50"/>
      <c r="F102" s="50"/>
      <c r="G102" s="50"/>
      <c r="H102" s="50"/>
      <c r="I102" s="50"/>
      <c r="J102" s="50"/>
      <c r="K102" s="50"/>
      <c r="L102" s="50"/>
      <c r="M102" s="50">
        <f>M12/M5</f>
        <v>-0.23928907533536439</v>
      </c>
      <c r="N102" s="50">
        <f>N12/N5</f>
        <v>-0.17644352426961121</v>
      </c>
      <c r="O102" s="50">
        <f>O12/O5</f>
        <v>-2.4964743583708805E-2</v>
      </c>
      <c r="P102" s="50">
        <f>P12/P5</f>
        <v>8.3680470145342925E-2</v>
      </c>
      <c r="Q102" s="50">
        <f>Q12/Q5</f>
        <v>0.13065867120796384</v>
      </c>
      <c r="T102" s="50">
        <f t="shared" ref="T102:Z102" si="90">T12/T5</f>
        <v>7.0479869570183915E-2</v>
      </c>
      <c r="U102" s="50">
        <f t="shared" si="90"/>
        <v>6.624671916010498E-2</v>
      </c>
      <c r="V102" s="50">
        <f t="shared" si="90"/>
        <v>0.10225228934355539</v>
      </c>
      <c r="W102" s="50">
        <f t="shared" si="90"/>
        <v>0.13225378074643729</v>
      </c>
      <c r="X102" s="50">
        <f t="shared" si="90"/>
        <v>0.12939756286964554</v>
      </c>
      <c r="Y102" s="50">
        <f t="shared" si="90"/>
        <v>0.15361935602471824</v>
      </c>
      <c r="Z102" s="50">
        <f t="shared" si="90"/>
        <v>0.15250696140317227</v>
      </c>
      <c r="AA102" s="50">
        <f t="shared" ref="AA102" si="91">AA12/AA5</f>
        <v>0.11373612013911692</v>
      </c>
      <c r="AC102" s="50">
        <f>AC12/AC5</f>
        <v>0.13719190010148455</v>
      </c>
    </row>
    <row r="103" spans="1:31" s="56" customFormat="1" x14ac:dyDescent="0.2">
      <c r="A103" s="1"/>
      <c r="B103" s="54" t="s">
        <v>81</v>
      </c>
      <c r="C103" s="55"/>
      <c r="D103" s="55"/>
      <c r="E103" s="55"/>
      <c r="F103" s="55"/>
      <c r="G103" s="55"/>
      <c r="H103" s="55"/>
      <c r="I103" s="55"/>
      <c r="J103" s="55"/>
      <c r="K103" s="55"/>
      <c r="L103" s="55"/>
      <c r="M103" s="55">
        <f>M111/M5</f>
        <v>-0.2397994991466352</v>
      </c>
      <c r="N103" s="55">
        <f>N111/N5</f>
        <v>-0.16123086915925791</v>
      </c>
      <c r="O103" s="55">
        <f>O111/O5</f>
        <v>3.0251793887883655E-2</v>
      </c>
      <c r="P103" s="55">
        <f>P111/P5</f>
        <v>0.11841063923082681</v>
      </c>
      <c r="Q103" s="55">
        <f>Q111/Q5</f>
        <v>0.15166409821229793</v>
      </c>
      <c r="R103" s="1"/>
      <c r="S103" s="1"/>
      <c r="T103" s="55">
        <f t="shared" ref="T103:Z103" si="92">T111/T5</f>
        <v>0.12129142133192104</v>
      </c>
      <c r="U103" s="55">
        <f t="shared" si="92"/>
        <v>6.6366022429014557E-2</v>
      </c>
      <c r="V103" s="55">
        <f t="shared" si="92"/>
        <v>0.15226897457344318</v>
      </c>
      <c r="W103" s="55">
        <f t="shared" si="92"/>
        <v>0.1775157076883436</v>
      </c>
      <c r="X103" s="55">
        <f t="shared" si="92"/>
        <v>0.13063416178099685</v>
      </c>
      <c r="Y103" s="55">
        <f t="shared" si="92"/>
        <v>0.14831652926453329</v>
      </c>
      <c r="Z103" s="55">
        <f t="shared" si="92"/>
        <v>0.14885243880301541</v>
      </c>
      <c r="AA103" s="55">
        <f t="shared" ref="AA103" si="93">AA111/AA5</f>
        <v>0.11109919786633786</v>
      </c>
      <c r="AB103" s="1"/>
      <c r="AC103" s="55">
        <f>AC111/AC5</f>
        <v>0.13455609684524569</v>
      </c>
      <c r="AD103" s="1"/>
      <c r="AE103" s="1"/>
    </row>
    <row r="104" spans="1:31" x14ac:dyDescent="0.2">
      <c r="B104" s="1"/>
    </row>
    <row r="105" spans="1:31" s="15" customFormat="1" ht="17" thickBot="1" x14ac:dyDescent="0.25">
      <c r="A105" s="11"/>
      <c r="B105" s="14" t="s">
        <v>109</v>
      </c>
      <c r="R105" s="1"/>
      <c r="S105" s="1"/>
      <c r="AB105" s="1"/>
      <c r="AD105" s="1"/>
      <c r="AE105" s="1"/>
    </row>
    <row r="106" spans="1:31" x14ac:dyDescent="0.2">
      <c r="B106" s="20" t="s">
        <v>74</v>
      </c>
      <c r="C106" s="81">
        <f t="shared" ref="C106:Q106" si="94">IF(AND(C83&gt;=0,C12&gt;=0),C83,0)</f>
        <v>0</v>
      </c>
      <c r="D106" s="81">
        <f t="shared" si="94"/>
        <v>0</v>
      </c>
      <c r="E106" s="81">
        <f t="shared" si="94"/>
        <v>0</v>
      </c>
      <c r="F106" s="81">
        <f t="shared" si="94"/>
        <v>0</v>
      </c>
      <c r="G106" s="81">
        <f t="shared" si="94"/>
        <v>0</v>
      </c>
      <c r="H106" s="81">
        <f t="shared" si="94"/>
        <v>0</v>
      </c>
      <c r="I106" s="81">
        <f t="shared" si="94"/>
        <v>0</v>
      </c>
      <c r="J106" s="81">
        <f t="shared" si="94"/>
        <v>0</v>
      </c>
      <c r="K106" s="81">
        <f t="shared" si="94"/>
        <v>0</v>
      </c>
      <c r="L106" s="81">
        <f t="shared" si="94"/>
        <v>0</v>
      </c>
      <c r="M106" s="81">
        <f t="shared" si="94"/>
        <v>0</v>
      </c>
      <c r="N106" s="81">
        <f t="shared" si="94"/>
        <v>0</v>
      </c>
      <c r="O106" s="81">
        <f t="shared" si="94"/>
        <v>0</v>
      </c>
      <c r="P106" s="81">
        <f t="shared" si="94"/>
        <v>0.13422477665044083</v>
      </c>
      <c r="Q106" s="81">
        <f t="shared" si="94"/>
        <v>0.13730058659064745</v>
      </c>
      <c r="T106" s="81">
        <f t="shared" ref="T106:Z106" si="95">IF(AND(T83&gt;=0,T12&gt;=0),T83,0)</f>
        <v>7.9916499271337982E-2</v>
      </c>
      <c r="U106" s="81">
        <f t="shared" si="95"/>
        <v>0.37781853972798857</v>
      </c>
      <c r="V106" s="81">
        <f t="shared" si="95"/>
        <v>0</v>
      </c>
      <c r="W106" s="81">
        <f t="shared" si="95"/>
        <v>3.5931108719052744E-2</v>
      </c>
      <c r="X106" s="81">
        <f t="shared" si="95"/>
        <v>0.23582854313332902</v>
      </c>
      <c r="Y106" s="81">
        <f t="shared" si="95"/>
        <v>0.23021595934019559</v>
      </c>
      <c r="Z106" s="81">
        <f t="shared" si="95"/>
        <v>0.21766993087557604</v>
      </c>
      <c r="AA106" s="81">
        <f t="shared" ref="AA106" si="96">IF(AND(AA83&gt;=0,AA12&gt;=0),AA83,0)</f>
        <v>0.2691002072036327</v>
      </c>
      <c r="AC106" s="81">
        <f>IF(AND(AC83&gt;=0,AC12&gt;=0),AC83,0)</f>
        <v>0.23679335010997285</v>
      </c>
    </row>
    <row r="107" spans="1:31" x14ac:dyDescent="0.2">
      <c r="B107" s="20" t="s">
        <v>182</v>
      </c>
      <c r="C107" s="25"/>
      <c r="D107" s="25"/>
      <c r="E107" s="25"/>
      <c r="F107" s="25"/>
      <c r="G107" s="25"/>
      <c r="H107" s="25"/>
      <c r="I107" s="25"/>
      <c r="J107" s="25"/>
      <c r="K107" s="25"/>
      <c r="L107" s="25"/>
      <c r="M107" s="25">
        <f>M29+M34</f>
        <v>553922</v>
      </c>
      <c r="N107" s="25">
        <f t="shared" ref="N107:Q107" si="97">N29+N34</f>
        <v>608180</v>
      </c>
      <c r="O107" s="25">
        <f t="shared" si="97"/>
        <v>747610</v>
      </c>
      <c r="P107" s="25">
        <f t="shared" si="97"/>
        <v>975937</v>
      </c>
      <c r="Q107" s="25">
        <f t="shared" si="97"/>
        <v>1275565</v>
      </c>
      <c r="T107" s="25">
        <f t="shared" ref="T107:Z107" si="98">T29+T34</f>
        <v>936091</v>
      </c>
      <c r="U107" s="25">
        <f t="shared" si="98"/>
        <v>975937</v>
      </c>
      <c r="V107" s="25">
        <f t="shared" si="98"/>
        <v>1082622</v>
      </c>
      <c r="W107" s="25">
        <f t="shared" si="98"/>
        <v>1173245</v>
      </c>
      <c r="X107" s="25">
        <f t="shared" si="98"/>
        <v>1220189</v>
      </c>
      <c r="Y107" s="25">
        <f t="shared" si="98"/>
        <v>1275565</v>
      </c>
      <c r="Z107" s="25">
        <f t="shared" si="98"/>
        <v>1391821</v>
      </c>
      <c r="AA107" s="25">
        <f t="shared" ref="AA107" si="99">AA29+AA34</f>
        <v>1416559</v>
      </c>
      <c r="AC107" s="25">
        <f>AA107</f>
        <v>1416559</v>
      </c>
    </row>
    <row r="108" spans="1:31" x14ac:dyDescent="0.2">
      <c r="B108" s="20" t="s">
        <v>173</v>
      </c>
      <c r="C108" s="25">
        <v>0</v>
      </c>
      <c r="D108" s="25">
        <v>0</v>
      </c>
      <c r="E108" s="25">
        <v>0</v>
      </c>
      <c r="F108" s="25">
        <v>0</v>
      </c>
      <c r="G108" s="25">
        <v>0</v>
      </c>
      <c r="H108" s="25">
        <v>0</v>
      </c>
      <c r="I108" s="25">
        <v>0</v>
      </c>
      <c r="J108" s="25">
        <v>0</v>
      </c>
      <c r="K108" s="25">
        <v>0</v>
      </c>
      <c r="L108" s="25">
        <v>0</v>
      </c>
      <c r="M108" s="25">
        <f>M39+M41</f>
        <v>0</v>
      </c>
      <c r="N108" s="25">
        <f>N39+N41</f>
        <v>0</v>
      </c>
      <c r="O108" s="25">
        <f>O39+O41</f>
        <v>0</v>
      </c>
      <c r="P108" s="25">
        <f>P39+P41</f>
        <v>0</v>
      </c>
      <c r="Q108" s="25">
        <f>Q39+Q41</f>
        <v>0</v>
      </c>
      <c r="T108" s="25">
        <f t="shared" ref="T108:Z108" si="100">T39+T41</f>
        <v>0</v>
      </c>
      <c r="U108" s="25">
        <f t="shared" si="100"/>
        <v>0</v>
      </c>
      <c r="V108" s="25">
        <f t="shared" si="100"/>
        <v>0</v>
      </c>
      <c r="W108" s="25">
        <f t="shared" si="100"/>
        <v>0</v>
      </c>
      <c r="X108" s="25">
        <f t="shared" si="100"/>
        <v>0</v>
      </c>
      <c r="Y108" s="25">
        <f t="shared" si="100"/>
        <v>0</v>
      </c>
      <c r="Z108" s="25">
        <f t="shared" si="100"/>
        <v>0</v>
      </c>
      <c r="AA108" s="25">
        <f t="shared" ref="AA108" si="101">AA39+AA41</f>
        <v>0</v>
      </c>
      <c r="AC108" s="25">
        <f>AA108</f>
        <v>0</v>
      </c>
    </row>
    <row r="109" spans="1:31" x14ac:dyDescent="0.2">
      <c r="B109" s="20" t="s">
        <v>166</v>
      </c>
      <c r="C109" s="25"/>
      <c r="D109" s="25"/>
      <c r="E109" s="25"/>
      <c r="F109" s="25"/>
      <c r="G109" s="25"/>
      <c r="H109" s="25"/>
      <c r="I109" s="25"/>
      <c r="J109" s="25"/>
      <c r="K109" s="25"/>
      <c r="L109" s="25"/>
      <c r="M109" s="128">
        <f>M12*(1-M106)</f>
        <v>-60007</v>
      </c>
      <c r="N109" s="128">
        <f>N12*(1-N106)</f>
        <v>-65195</v>
      </c>
      <c r="O109" s="128">
        <f>O12*(1-O106)</f>
        <v>-13259</v>
      </c>
      <c r="P109" s="128">
        <f>P12*(1-P106)</f>
        <v>54193.200105565651</v>
      </c>
      <c r="Q109" s="25">
        <f>Q12*(1-Q106)</f>
        <v>116956.15947590592</v>
      </c>
      <c r="T109" s="67"/>
      <c r="U109" s="67"/>
      <c r="V109" s="67"/>
      <c r="W109" s="67"/>
      <c r="X109" s="67"/>
      <c r="Y109" s="67"/>
      <c r="Z109" s="67"/>
      <c r="AA109" s="67"/>
      <c r="AC109" s="25">
        <f>AC12*(1-AC106)</f>
        <v>119888.31659797492</v>
      </c>
    </row>
    <row r="110" spans="1:31" x14ac:dyDescent="0.2">
      <c r="B110" s="20" t="s">
        <v>303</v>
      </c>
      <c r="C110" s="25"/>
      <c r="D110" s="25"/>
      <c r="E110" s="25"/>
      <c r="F110" s="25"/>
      <c r="G110" s="25"/>
      <c r="H110" s="25"/>
      <c r="I110" s="25"/>
      <c r="J110" s="25"/>
      <c r="K110" s="25"/>
      <c r="L110" s="25"/>
      <c r="M110" s="128">
        <f>M60+M61</f>
        <v>-6206</v>
      </c>
      <c r="N110" s="128">
        <f>N60+N61</f>
        <v>-10124</v>
      </c>
      <c r="O110" s="128">
        <f>O60+O61</f>
        <v>-13684</v>
      </c>
      <c r="P110" s="128">
        <f>P60+P61</f>
        <v>-21140</v>
      </c>
      <c r="Q110" s="128">
        <f>Q60+Q61</f>
        <v>-27399</v>
      </c>
      <c r="T110" s="128">
        <f t="shared" ref="T110:Z110" si="102">T60+T61</f>
        <v>-5023</v>
      </c>
      <c r="U110" s="128">
        <f t="shared" si="102"/>
        <v>-2440</v>
      </c>
      <c r="V110" s="128">
        <f t="shared" si="102"/>
        <v>-2619</v>
      </c>
      <c r="W110" s="128">
        <f t="shared" si="102"/>
        <v>-4351</v>
      </c>
      <c r="X110" s="128">
        <f t="shared" si="102"/>
        <v>-6883</v>
      </c>
      <c r="Y110" s="128">
        <f t="shared" si="102"/>
        <v>-13546</v>
      </c>
      <c r="Z110" s="128">
        <f t="shared" si="102"/>
        <v>-2985</v>
      </c>
      <c r="AA110" s="128">
        <f t="shared" ref="AA110" si="103">AA60+AA61</f>
        <v>-9630</v>
      </c>
      <c r="AC110" s="128">
        <f>AC60+AC61</f>
        <v>-33044</v>
      </c>
    </row>
    <row r="111" spans="1:31" x14ac:dyDescent="0.2">
      <c r="B111" s="20" t="s">
        <v>332</v>
      </c>
      <c r="C111" s="25"/>
      <c r="D111" s="25"/>
      <c r="E111" s="25"/>
      <c r="F111" s="25"/>
      <c r="G111" s="25"/>
      <c r="H111" s="25"/>
      <c r="I111" s="25"/>
      <c r="J111" s="25"/>
      <c r="K111" s="25"/>
      <c r="L111" s="25"/>
      <c r="M111" s="128">
        <f>M17+M18</f>
        <v>-60135</v>
      </c>
      <c r="N111" s="128">
        <f>N17+N18</f>
        <v>-59574</v>
      </c>
      <c r="O111" s="128">
        <f>O17+O18</f>
        <v>16067</v>
      </c>
      <c r="P111" s="128">
        <f>P17+P18</f>
        <v>88574</v>
      </c>
      <c r="Q111" s="128">
        <f>Q17+Q18</f>
        <v>157365</v>
      </c>
      <c r="T111" s="128">
        <f t="shared" ref="T111:Z111" si="104">T17+T18</f>
        <v>23360</v>
      </c>
      <c r="U111" s="128">
        <f t="shared" si="104"/>
        <v>13907</v>
      </c>
      <c r="V111" s="128">
        <f t="shared" si="104"/>
        <v>35135</v>
      </c>
      <c r="W111" s="128">
        <f t="shared" si="104"/>
        <v>44781</v>
      </c>
      <c r="X111" s="128">
        <f t="shared" si="104"/>
        <v>35495</v>
      </c>
      <c r="Y111" s="128">
        <f t="shared" si="104"/>
        <v>41954</v>
      </c>
      <c r="Z111" s="128">
        <f t="shared" si="104"/>
        <v>43460</v>
      </c>
      <c r="AA111" s="128">
        <f t="shared" ref="AA111" si="105">AA17+AA18</f>
        <v>33158</v>
      </c>
      <c r="AC111" s="128">
        <f>AC17+AC18</f>
        <v>154067</v>
      </c>
    </row>
    <row r="112" spans="1:31" x14ac:dyDescent="0.2">
      <c r="B112" s="20" t="s">
        <v>333</v>
      </c>
      <c r="C112" s="25"/>
      <c r="D112" s="25"/>
      <c r="E112" s="25"/>
      <c r="F112" s="25"/>
      <c r="G112" s="25"/>
      <c r="H112" s="25"/>
      <c r="I112" s="25"/>
      <c r="J112" s="25"/>
      <c r="K112" s="25"/>
      <c r="L112" s="25"/>
      <c r="M112" s="128">
        <f>M49+M48</f>
        <v>513056</v>
      </c>
      <c r="N112" s="128">
        <f>N49+N48</f>
        <v>542078</v>
      </c>
      <c r="O112" s="128">
        <f>O49+O48</f>
        <v>655501</v>
      </c>
      <c r="P112" s="128">
        <f>P49+P48</f>
        <v>824550</v>
      </c>
      <c r="Q112" s="128">
        <f>Q49+Q48</f>
        <v>1347006</v>
      </c>
      <c r="T112" s="128">
        <f t="shared" ref="T112:Z112" si="106">T49+T48</f>
        <v>822453</v>
      </c>
      <c r="U112" s="128">
        <f t="shared" si="106"/>
        <v>824550</v>
      </c>
      <c r="V112" s="128">
        <f t="shared" si="106"/>
        <v>893826</v>
      </c>
      <c r="W112" s="128">
        <f t="shared" si="106"/>
        <v>977031</v>
      </c>
      <c r="X112" s="128">
        <f t="shared" si="106"/>
        <v>1307539</v>
      </c>
      <c r="Y112" s="128">
        <f t="shared" si="106"/>
        <v>1347006</v>
      </c>
      <c r="Z112" s="128">
        <f t="shared" si="106"/>
        <v>1391764</v>
      </c>
      <c r="AA112" s="128">
        <f t="shared" ref="AA112" si="107">AA49+AA48</f>
        <v>1409742</v>
      </c>
      <c r="AC112" s="128">
        <f>AC49+AC48</f>
        <v>1409742</v>
      </c>
    </row>
    <row r="113" spans="1:31" x14ac:dyDescent="0.2">
      <c r="C113" s="57"/>
      <c r="D113" s="57"/>
      <c r="E113" s="57"/>
      <c r="F113" s="57"/>
      <c r="G113" s="57"/>
      <c r="H113" s="57"/>
      <c r="I113" s="57"/>
      <c r="J113" s="57"/>
      <c r="K113" s="57"/>
    </row>
    <row r="114" spans="1:31" x14ac:dyDescent="0.2">
      <c r="B114" s="1"/>
    </row>
    <row r="115" spans="1:31" s="15" customFormat="1" ht="17" thickBot="1" x14ac:dyDescent="0.25">
      <c r="A115" s="11"/>
      <c r="B115" s="14" t="s">
        <v>83</v>
      </c>
      <c r="R115" s="1"/>
      <c r="S115" s="1"/>
      <c r="AB115" s="1"/>
      <c r="AD115" s="1"/>
      <c r="AE115" s="1"/>
    </row>
    <row r="116" spans="1:31" x14ac:dyDescent="0.2">
      <c r="B116" s="20" t="s">
        <v>84</v>
      </c>
      <c r="C116" s="26"/>
      <c r="D116" s="26"/>
      <c r="E116" s="26"/>
      <c r="F116" s="26"/>
      <c r="G116" s="26"/>
      <c r="H116" s="26"/>
      <c r="I116" s="26"/>
      <c r="J116" s="26"/>
      <c r="K116" s="26"/>
      <c r="L116" s="26"/>
      <c r="M116" s="26">
        <v>110.58</v>
      </c>
      <c r="N116" s="26">
        <v>71.13</v>
      </c>
      <c r="O116" s="26">
        <v>226.85</v>
      </c>
      <c r="P116" s="26">
        <v>325.2</v>
      </c>
      <c r="Q116" s="26">
        <v>177.14</v>
      </c>
      <c r="T116" s="26">
        <v>282.02</v>
      </c>
      <c r="U116" s="26">
        <v>325.2</v>
      </c>
      <c r="V116" s="26">
        <v>310.54000000000002</v>
      </c>
      <c r="W116" s="26">
        <v>410.02</v>
      </c>
      <c r="X116" s="26">
        <v>321.83999999999997</v>
      </c>
      <c r="Y116" s="26">
        <v>177.14</v>
      </c>
      <c r="Z116" s="26">
        <v>98.57</v>
      </c>
      <c r="AA116" s="26">
        <v>115.02</v>
      </c>
      <c r="AC116" s="63">
        <f ca="1">Overview!C5</f>
        <v>143.04</v>
      </c>
    </row>
    <row r="117" spans="1:31" x14ac:dyDescent="0.2">
      <c r="B117" s="20" t="s">
        <v>345</v>
      </c>
      <c r="C117" s="26"/>
      <c r="D117" s="26"/>
      <c r="E117" s="26"/>
      <c r="F117" s="26"/>
      <c r="G117" s="26"/>
      <c r="H117" s="26"/>
      <c r="I117" s="26"/>
      <c r="J117" s="26"/>
      <c r="K117" s="26"/>
      <c r="L117" s="26"/>
      <c r="M117" s="65">
        <f>M116/M85</f>
        <v>110.58</v>
      </c>
      <c r="N117" s="65">
        <f>N116/N85</f>
        <v>71.13</v>
      </c>
      <c r="O117" s="65">
        <f>O116/O85</f>
        <v>226.85</v>
      </c>
      <c r="P117" s="65">
        <f>P116/P85</f>
        <v>325.2</v>
      </c>
      <c r="Q117" s="65">
        <f>Q116/Q85</f>
        <v>177.14</v>
      </c>
      <c r="T117" s="65">
        <f t="shared" ref="T117:Z117" si="108">T116/T85</f>
        <v>282.02</v>
      </c>
      <c r="U117" s="65">
        <f t="shared" si="108"/>
        <v>325.2</v>
      </c>
      <c r="V117" s="65">
        <f t="shared" si="108"/>
        <v>310.54000000000002</v>
      </c>
      <c r="W117" s="65">
        <f t="shared" si="108"/>
        <v>410.02</v>
      </c>
      <c r="X117" s="65">
        <f t="shared" si="108"/>
        <v>321.83999999999997</v>
      </c>
      <c r="Y117" s="65">
        <f t="shared" si="108"/>
        <v>177.14</v>
      </c>
      <c r="Z117" s="65">
        <f t="shared" si="108"/>
        <v>98.57</v>
      </c>
      <c r="AA117" s="65">
        <f t="shared" ref="AA117" si="109">AA116/AA85</f>
        <v>115.02</v>
      </c>
      <c r="AC117" s="65">
        <f ca="1">AC116/AC85</f>
        <v>143.04</v>
      </c>
    </row>
    <row r="119" spans="1:31" x14ac:dyDescent="0.2">
      <c r="B119" s="1"/>
    </row>
    <row r="120" spans="1:31" ht="17" thickBot="1" x14ac:dyDescent="0.25">
      <c r="B120" s="14" t="s">
        <v>106</v>
      </c>
      <c r="C120" s="15"/>
      <c r="D120" s="15"/>
      <c r="E120" s="15"/>
      <c r="F120" s="15"/>
      <c r="G120" s="15"/>
      <c r="H120" s="15"/>
      <c r="I120" s="15"/>
      <c r="J120" s="15"/>
      <c r="K120" s="15"/>
      <c r="L120" s="15"/>
      <c r="M120" s="15"/>
      <c r="N120" s="15"/>
      <c r="O120" s="15"/>
      <c r="P120" s="15"/>
      <c r="Q120" s="15"/>
      <c r="T120" s="15"/>
      <c r="U120" s="15"/>
      <c r="V120" s="15"/>
      <c r="W120" s="15"/>
      <c r="X120" s="15"/>
      <c r="Y120" s="15"/>
      <c r="Z120" s="15"/>
      <c r="AA120" s="15"/>
      <c r="AC120" s="15"/>
    </row>
    <row r="121" spans="1:31" x14ac:dyDescent="0.2">
      <c r="B121" s="20" t="s">
        <v>100</v>
      </c>
      <c r="M121" s="74">
        <f>M111/M5</f>
        <v>-0.2397994991466352</v>
      </c>
      <c r="N121" s="74">
        <f>N111/N5</f>
        <v>-0.16123086915925791</v>
      </c>
      <c r="O121" s="74">
        <f>O111/O5</f>
        <v>3.0251793887883655E-2</v>
      </c>
      <c r="P121" s="74">
        <f>P111/P5</f>
        <v>0.11841063923082681</v>
      </c>
      <c r="Q121" s="74">
        <f>Q111/Q5</f>
        <v>0.15166409821229793</v>
      </c>
      <c r="T121" s="77"/>
      <c r="U121" s="77"/>
      <c r="V121" s="77"/>
      <c r="W121" s="77"/>
      <c r="X121" s="77"/>
      <c r="Y121" s="77"/>
      <c r="Z121" s="77"/>
      <c r="AA121" s="77"/>
      <c r="AC121" s="74">
        <f>AC111/AC5</f>
        <v>0.13455609684524569</v>
      </c>
    </row>
    <row r="122" spans="1:31" x14ac:dyDescent="0.2">
      <c r="B122" s="20" t="s">
        <v>101</v>
      </c>
      <c r="M122" s="75">
        <f>M5/M37</f>
        <v>0.37920433804972242</v>
      </c>
      <c r="N122" s="75">
        <f>N5/N37</f>
        <v>0.49440888904350994</v>
      </c>
      <c r="O122" s="75">
        <f>O5/O37</f>
        <v>0.55674312364184131</v>
      </c>
      <c r="P122" s="75">
        <f>P5/P37</f>
        <v>0.57463924875242756</v>
      </c>
      <c r="Q122" s="75">
        <f>Q5/Q37</f>
        <v>0.52083042613576469</v>
      </c>
      <c r="T122" s="78"/>
      <c r="U122" s="78"/>
      <c r="V122" s="78"/>
      <c r="W122" s="78"/>
      <c r="X122" s="78"/>
      <c r="Y122" s="78"/>
      <c r="Z122" s="78"/>
      <c r="AA122" s="78"/>
      <c r="AC122" s="75">
        <f>AC5/AC37</f>
        <v>0.55208676377912136</v>
      </c>
    </row>
    <row r="123" spans="1:31" x14ac:dyDescent="0.2">
      <c r="B123" s="32" t="s">
        <v>102</v>
      </c>
      <c r="M123" s="76">
        <f t="shared" ref="M123:P123" si="110">M121*M122</f>
        <v>-9.0933010338554776E-2</v>
      </c>
      <c r="N123" s="76">
        <f t="shared" si="110"/>
        <v>-7.9713974900548212E-2</v>
      </c>
      <c r="O123" s="76">
        <f t="shared" si="110"/>
        <v>1.6842478224909509E-2</v>
      </c>
      <c r="P123" s="76">
        <f t="shared" si="110"/>
        <v>6.804340077189705E-2</v>
      </c>
      <c r="Q123" s="76">
        <f>Q121*Q122</f>
        <v>7.89912769014076E-2</v>
      </c>
      <c r="T123" s="79"/>
      <c r="U123" s="79"/>
      <c r="V123" s="79"/>
      <c r="W123" s="79"/>
      <c r="X123" s="79"/>
      <c r="Y123" s="79"/>
      <c r="Z123" s="79"/>
      <c r="AA123" s="79"/>
      <c r="AC123" s="76">
        <f>AC121*AC122</f>
        <v>7.428664005404173E-2</v>
      </c>
    </row>
    <row r="124" spans="1:31" x14ac:dyDescent="0.2">
      <c r="B124" s="20" t="s">
        <v>103</v>
      </c>
      <c r="M124" s="75">
        <f>M37/M49</f>
        <v>1.2889645574752073</v>
      </c>
      <c r="N124" s="75">
        <f>N37/N49</f>
        <v>1.3786705972203261</v>
      </c>
      <c r="O124" s="75">
        <f>O37/O49</f>
        <v>1.4553097554389696</v>
      </c>
      <c r="P124" s="75">
        <f>P37/P49</f>
        <v>1.5787132375234976</v>
      </c>
      <c r="Q124" s="75">
        <f>Q37/Q49</f>
        <v>1.4789703980531639</v>
      </c>
      <c r="T124" s="80"/>
      <c r="U124" s="80"/>
      <c r="V124" s="80"/>
      <c r="W124" s="80"/>
      <c r="X124" s="80"/>
      <c r="Y124" s="80"/>
      <c r="Z124" s="80"/>
      <c r="AA124" s="80"/>
      <c r="AC124" s="75">
        <f>AC37/AC49</f>
        <v>1.4711578430663199</v>
      </c>
    </row>
    <row r="125" spans="1:31" x14ac:dyDescent="0.2">
      <c r="B125" s="32" t="s">
        <v>104</v>
      </c>
      <c r="M125" s="76">
        <f t="shared" ref="M125:P125" si="111">M123*M124</f>
        <v>-0.1172094274309237</v>
      </c>
      <c r="N125" s="76">
        <f t="shared" si="111"/>
        <v>-0.1098993133829449</v>
      </c>
      <c r="O125" s="76">
        <f t="shared" si="111"/>
        <v>2.4511022866479229E-2</v>
      </c>
      <c r="P125" s="76">
        <f t="shared" si="111"/>
        <v>0.10742101752471045</v>
      </c>
      <c r="Q125" s="76">
        <f>Q123*Q124</f>
        <v>0.11682576024160249</v>
      </c>
      <c r="T125" s="79"/>
      <c r="U125" s="79"/>
      <c r="V125" s="79"/>
      <c r="W125" s="79"/>
      <c r="X125" s="79"/>
      <c r="Y125" s="79"/>
      <c r="Z125" s="79"/>
      <c r="AA125" s="79"/>
      <c r="AC125" s="76">
        <f>AC123*AC124</f>
        <v>0.10928737315054812</v>
      </c>
    </row>
    <row r="127" spans="1:31" x14ac:dyDescent="0.2">
      <c r="B127" s="1"/>
    </row>
    <row r="128" spans="1:31" ht="17" thickBot="1" x14ac:dyDescent="0.25">
      <c r="B128" s="14" t="s">
        <v>232</v>
      </c>
      <c r="C128" s="170"/>
      <c r="D128" s="170"/>
      <c r="E128" s="170"/>
      <c r="F128" s="170"/>
      <c r="G128" s="170"/>
      <c r="H128" s="170"/>
      <c r="I128" s="170"/>
      <c r="J128" s="170"/>
      <c r="K128" s="170"/>
      <c r="L128" s="170"/>
      <c r="M128" s="170"/>
      <c r="N128" s="170"/>
      <c r="O128" s="170"/>
      <c r="P128" s="170"/>
      <c r="Q128" s="170"/>
      <c r="T128" s="170"/>
      <c r="U128" s="170"/>
      <c r="V128" s="170"/>
      <c r="W128" s="170"/>
      <c r="X128" s="170"/>
      <c r="Y128" s="170"/>
      <c r="Z128" s="170"/>
      <c r="AA128" s="170"/>
      <c r="AC128" s="170"/>
    </row>
    <row r="129" spans="2:29" x14ac:dyDescent="0.2">
      <c r="B129" s="20" t="s">
        <v>233</v>
      </c>
      <c r="C129" s="49"/>
      <c r="D129" s="49"/>
      <c r="E129" s="49"/>
      <c r="F129" s="49"/>
      <c r="G129" s="49"/>
      <c r="H129" s="49"/>
      <c r="I129" s="49"/>
      <c r="J129" s="49"/>
      <c r="K129" s="49"/>
      <c r="L129" s="49"/>
      <c r="M129" s="49"/>
      <c r="N129" s="49"/>
      <c r="O129" s="49"/>
      <c r="P129" s="49"/>
      <c r="Q129" s="49"/>
      <c r="T129" s="21">
        <v>202500</v>
      </c>
      <c r="U129" s="21">
        <v>220500</v>
      </c>
      <c r="V129" s="21">
        <v>238500</v>
      </c>
      <c r="W129" s="21">
        <v>257000</v>
      </c>
      <c r="X129" s="21">
        <v>273000</v>
      </c>
      <c r="Y129" s="21">
        <v>288500</v>
      </c>
      <c r="Z129" s="21">
        <v>295500</v>
      </c>
      <c r="AA129" s="21">
        <v>302000</v>
      </c>
      <c r="AC129" s="49"/>
    </row>
    <row r="130" spans="2:29" x14ac:dyDescent="0.2">
      <c r="B130" s="20" t="s">
        <v>234</v>
      </c>
      <c r="C130" s="49"/>
      <c r="D130" s="49"/>
      <c r="E130" s="49"/>
      <c r="F130" s="49"/>
      <c r="G130" s="49"/>
      <c r="H130" s="49"/>
      <c r="I130" s="49"/>
      <c r="J130" s="49"/>
      <c r="K130" s="49"/>
      <c r="L130" s="49"/>
      <c r="M130" s="49"/>
      <c r="N130" s="49"/>
      <c r="O130" s="49"/>
      <c r="P130" s="49"/>
      <c r="Q130" s="49"/>
      <c r="T130" s="21">
        <v>205500</v>
      </c>
      <c r="U130" s="21">
        <v>223500</v>
      </c>
      <c r="V130" s="21">
        <v>241500</v>
      </c>
      <c r="W130" s="21">
        <v>261000</v>
      </c>
      <c r="X130" s="21">
        <v>277000</v>
      </c>
      <c r="Y130" s="21">
        <v>288500</v>
      </c>
      <c r="Z130" s="21">
        <v>295500</v>
      </c>
      <c r="AA130" s="21">
        <v>302000</v>
      </c>
      <c r="AC130" s="49"/>
    </row>
    <row r="131" spans="2:29" x14ac:dyDescent="0.2">
      <c r="B131" s="20" t="s">
        <v>235</v>
      </c>
      <c r="C131" s="49"/>
      <c r="D131" s="49"/>
      <c r="E131" s="49"/>
      <c r="F131" s="49"/>
      <c r="G131" s="49"/>
      <c r="H131" s="49"/>
      <c r="I131" s="49"/>
      <c r="J131" s="49"/>
      <c r="K131" s="49"/>
      <c r="L131" s="49"/>
      <c r="M131" s="49"/>
      <c r="N131" s="49"/>
      <c r="O131" s="49"/>
      <c r="P131" s="49"/>
      <c r="Q131" s="49"/>
      <c r="T131" s="25">
        <f t="shared" ref="T131" si="112">U5</f>
        <v>209550</v>
      </c>
      <c r="U131" s="25">
        <f t="shared" ref="U131" si="113">V5</f>
        <v>230743</v>
      </c>
      <c r="V131" s="25">
        <f t="shared" ref="V131" si="114">W5</f>
        <v>252265</v>
      </c>
      <c r="W131" s="25">
        <f t="shared" ref="W131" si="115">X5</f>
        <v>271713</v>
      </c>
      <c r="X131" s="25">
        <f t="shared" ref="X131" si="116">Y5</f>
        <v>282868</v>
      </c>
      <c r="Y131" s="25">
        <f t="shared" ref="Y131" si="117">Z5</f>
        <v>291967</v>
      </c>
      <c r="Z131" s="25">
        <f t="shared" ref="Z131" si="118">AA5</f>
        <v>298454</v>
      </c>
      <c r="AA131" s="25">
        <f t="shared" ref="AA131" si="119">AB5</f>
        <v>0</v>
      </c>
      <c r="AC131" s="49"/>
    </row>
    <row r="132" spans="2:29" x14ac:dyDescent="0.2">
      <c r="B132" s="20" t="s">
        <v>190</v>
      </c>
      <c r="C132" s="49"/>
      <c r="D132" s="49"/>
      <c r="E132" s="49"/>
      <c r="F132" s="49"/>
      <c r="G132" s="49"/>
      <c r="H132" s="49"/>
      <c r="I132" s="49"/>
      <c r="J132" s="49"/>
      <c r="K132" s="49"/>
      <c r="L132" s="49"/>
      <c r="M132" s="49"/>
      <c r="N132" s="49"/>
      <c r="O132" s="49"/>
      <c r="P132" s="49"/>
      <c r="Q132" s="49"/>
      <c r="T132" s="224" t="str">
        <f t="shared" ref="T132:Y132" si="120">IF(T131&gt;T130, "BEAT", IF(T131&lt;T129, "MISSED", "MET"))</f>
        <v>BEAT</v>
      </c>
      <c r="U132" s="224" t="str">
        <f t="shared" si="120"/>
        <v>BEAT</v>
      </c>
      <c r="V132" s="224" t="str">
        <f t="shared" si="120"/>
        <v>BEAT</v>
      </c>
      <c r="W132" s="224" t="str">
        <f t="shared" si="120"/>
        <v>BEAT</v>
      </c>
      <c r="X132" s="224" t="str">
        <f t="shared" si="120"/>
        <v>BEAT</v>
      </c>
      <c r="Y132" s="224" t="str">
        <f t="shared" si="120"/>
        <v>BEAT</v>
      </c>
      <c r="Z132" s="224" t="str">
        <f>IF(Z131&gt;Z130, "BEAT", IF(Z131&lt;Z129, "MISSED", "MET"))</f>
        <v>BEAT</v>
      </c>
      <c r="AA132" s="224" t="str">
        <f>IF(AA131&gt;AA130, "BEAT", IF(AA131&lt;AA129, "MISSED", "MET"))</f>
        <v>MISSED</v>
      </c>
      <c r="AC132" s="49"/>
    </row>
    <row r="134" spans="2:29" x14ac:dyDescent="0.2">
      <c r="B134" s="1"/>
    </row>
    <row r="135" spans="2:29" ht="17" thickBot="1" x14ac:dyDescent="0.25">
      <c r="B135" s="14" t="s">
        <v>252</v>
      </c>
      <c r="C135" s="170"/>
      <c r="D135" s="170"/>
      <c r="E135" s="170"/>
      <c r="F135" s="170"/>
      <c r="G135" s="170"/>
      <c r="H135" s="170"/>
      <c r="I135" s="170"/>
      <c r="J135" s="170"/>
      <c r="K135" s="170"/>
      <c r="L135" s="170"/>
      <c r="M135" s="170"/>
      <c r="N135" s="170"/>
      <c r="O135" s="170"/>
      <c r="P135" s="170"/>
      <c r="Q135" s="170"/>
      <c r="T135" s="170"/>
      <c r="U135" s="170"/>
      <c r="V135" s="170"/>
      <c r="W135" s="170"/>
      <c r="X135" s="170"/>
      <c r="Y135" s="170"/>
      <c r="Z135" s="170"/>
      <c r="AA135" s="170"/>
      <c r="AC135" s="170"/>
    </row>
    <row r="136" spans="2:29" x14ac:dyDescent="0.2">
      <c r="B136" s="20" t="s">
        <v>105</v>
      </c>
      <c r="C136" s="81"/>
      <c r="D136" s="81"/>
      <c r="E136" s="81"/>
      <c r="F136" s="81"/>
      <c r="G136" s="81"/>
      <c r="H136" s="81"/>
      <c r="I136" s="81"/>
      <c r="J136" s="81"/>
      <c r="K136" s="81"/>
      <c r="L136" s="81"/>
      <c r="M136" s="81">
        <f>M109/(M108+M112-M107)</f>
        <v>1.4683844760925953</v>
      </c>
      <c r="N136" s="81">
        <f>N109/(N108+N112-N107)</f>
        <v>0.98627878127741975</v>
      </c>
      <c r="O136" s="81">
        <f>O109/(O108+O112-O107)</f>
        <v>0.14394901692559903</v>
      </c>
      <c r="P136" s="81">
        <f>P109/(P108+P112-P107)</f>
        <v>-0.35797789840320271</v>
      </c>
      <c r="Q136" s="81">
        <f>Q109/(Q108+Q112-Q107)</f>
        <v>1.6371013770230809</v>
      </c>
      <c r="T136" s="49"/>
      <c r="U136" s="49"/>
      <c r="V136" s="49"/>
      <c r="W136" s="49"/>
      <c r="X136" s="49"/>
      <c r="Y136" s="49"/>
      <c r="Z136" s="49"/>
      <c r="AA136" s="49"/>
      <c r="AC136" s="81">
        <f>AC109/(AC108+AC112-AC107)</f>
        <v>-17.586668123511064</v>
      </c>
    </row>
    <row r="137" spans="2:29" x14ac:dyDescent="0.2">
      <c r="B137" s="20" t="s">
        <v>143</v>
      </c>
      <c r="M137" s="120">
        <f t="shared" ref="M137:Q138" si="121">M30/M5*365</f>
        <v>48.268925557877274</v>
      </c>
      <c r="N137" s="120">
        <f t="shared" si="121"/>
        <v>46.15954207770065</v>
      </c>
      <c r="O137" s="120">
        <f t="shared" si="121"/>
        <v>61.147288033153274</v>
      </c>
      <c r="P137" s="120">
        <f t="shared" si="121"/>
        <v>62.908268986021838</v>
      </c>
      <c r="Q137" s="120">
        <f t="shared" si="121"/>
        <v>57.278802107578244</v>
      </c>
      <c r="T137" s="120">
        <f t="shared" ref="T137:Z137" si="122">T30/T5*90</f>
        <v>44.027072494470232</v>
      </c>
      <c r="U137" s="120">
        <f t="shared" si="122"/>
        <v>55.371367215461703</v>
      </c>
      <c r="V137" s="120">
        <f t="shared" si="122"/>
        <v>44.536432307805654</v>
      </c>
      <c r="W137" s="120">
        <f t="shared" si="122"/>
        <v>40.28585019721325</v>
      </c>
      <c r="X137" s="120">
        <f t="shared" si="122"/>
        <v>41.234721930860871</v>
      </c>
      <c r="Y137" s="120">
        <f t="shared" si="122"/>
        <v>51.806602372838213</v>
      </c>
      <c r="Z137" s="120">
        <f t="shared" si="122"/>
        <v>38.558261721358917</v>
      </c>
      <c r="AA137" s="120">
        <f t="shared" ref="AA137" si="123">AA30/AA5*90</f>
        <v>39.497242456123892</v>
      </c>
      <c r="AC137" s="120">
        <f>AC30/AC5*365</f>
        <v>41.753058073261009</v>
      </c>
    </row>
    <row r="138" spans="2:29" x14ac:dyDescent="0.2">
      <c r="B138" s="20" t="s">
        <v>144</v>
      </c>
      <c r="M138" s="120">
        <f t="shared" si="121"/>
        <v>0</v>
      </c>
      <c r="N138" s="120">
        <f t="shared" si="121"/>
        <v>0</v>
      </c>
      <c r="O138" s="120">
        <f t="shared" si="121"/>
        <v>0</v>
      </c>
      <c r="P138" s="120">
        <f t="shared" si="121"/>
        <v>0</v>
      </c>
      <c r="Q138" s="120">
        <f t="shared" si="121"/>
        <v>0</v>
      </c>
      <c r="T138" s="120">
        <f t="shared" ref="T138:Z138" si="124">T31/T6*365</f>
        <v>0</v>
      </c>
      <c r="U138" s="120">
        <f t="shared" si="124"/>
        <v>0</v>
      </c>
      <c r="V138" s="120">
        <f t="shared" si="124"/>
        <v>0</v>
      </c>
      <c r="W138" s="120">
        <f t="shared" si="124"/>
        <v>0</v>
      </c>
      <c r="X138" s="120">
        <f t="shared" si="124"/>
        <v>0</v>
      </c>
      <c r="Y138" s="120">
        <f t="shared" si="124"/>
        <v>0</v>
      </c>
      <c r="Z138" s="120">
        <f t="shared" si="124"/>
        <v>0</v>
      </c>
      <c r="AA138" s="120">
        <f t="shared" ref="AA138" si="125">AA31/AA6*365</f>
        <v>0</v>
      </c>
      <c r="AC138" s="120">
        <f>AC31/AC6*365</f>
        <v>0</v>
      </c>
    </row>
    <row r="139" spans="2:29" x14ac:dyDescent="0.2">
      <c r="B139" s="20" t="s">
        <v>145</v>
      </c>
      <c r="M139" s="120">
        <f>M38/M6*365</f>
        <v>41.244905038591625</v>
      </c>
      <c r="N139" s="120">
        <f>N38/N6*365</f>
        <v>4.3206344097917153</v>
      </c>
      <c r="O139" s="120">
        <f>O38/O6*365</f>
        <v>6.28517645403047</v>
      </c>
      <c r="P139" s="120">
        <f>P38/P6*365</f>
        <v>11.436887721279676</v>
      </c>
      <c r="Q139" s="120">
        <f>Q38/Q6*365</f>
        <v>10.131710466036401</v>
      </c>
      <c r="T139" s="120">
        <f t="shared" ref="T139:Z139" si="126">T38/T6*90</f>
        <v>6.2937907244154845</v>
      </c>
      <c r="U139" s="120">
        <f t="shared" si="126"/>
        <v>9.7461179465422152</v>
      </c>
      <c r="V139" s="120">
        <f t="shared" si="126"/>
        <v>3.4381142437018921</v>
      </c>
      <c r="W139" s="120">
        <f t="shared" si="126"/>
        <v>9.9823488892715684</v>
      </c>
      <c r="X139" s="120">
        <f t="shared" si="126"/>
        <v>4.2929333440282349</v>
      </c>
      <c r="Y139" s="120">
        <f t="shared" si="126"/>
        <v>9.3484330965337215</v>
      </c>
      <c r="Z139" s="120">
        <f t="shared" si="126"/>
        <v>8.5423032546816948</v>
      </c>
      <c r="AA139" s="120">
        <f t="shared" ref="AA139" si="127">AA38/AA6*90</f>
        <v>17.83831411997944</v>
      </c>
      <c r="AC139" s="120">
        <f>AC38/AC6*365</f>
        <v>18.923831413699716</v>
      </c>
    </row>
    <row r="140" spans="2:29" x14ac:dyDescent="0.2">
      <c r="B140" s="20" t="s">
        <v>146</v>
      </c>
      <c r="M140" s="120">
        <f>M137+M138-M139</f>
        <v>7.0240205192856493</v>
      </c>
      <c r="N140" s="120">
        <f t="shared" ref="N140:Q140" si="128">N137+N138-N139</f>
        <v>41.838907667908934</v>
      </c>
      <c r="O140" s="120">
        <f t="shared" si="128"/>
        <v>54.862111579122804</v>
      </c>
      <c r="P140" s="120">
        <f t="shared" si="128"/>
        <v>51.471381264742163</v>
      </c>
      <c r="Q140" s="120">
        <f t="shared" si="128"/>
        <v>47.147091641541842</v>
      </c>
      <c r="T140" s="120">
        <f t="shared" ref="T140" si="129">T137+T138-T139</f>
        <v>37.733281770054745</v>
      </c>
      <c r="U140" s="120">
        <f t="shared" ref="U140" si="130">U137+U138-U139</f>
        <v>45.62524926891949</v>
      </c>
      <c r="V140" s="120">
        <f t="shared" ref="V140" si="131">V137+V138-V139</f>
        <v>41.098318064103765</v>
      </c>
      <c r="W140" s="120">
        <f t="shared" ref="W140" si="132">W137+W138-W139</f>
        <v>30.30350130794168</v>
      </c>
      <c r="X140" s="120">
        <f t="shared" ref="X140:Z140" si="133">X137+X138-X139</f>
        <v>36.941788586832637</v>
      </c>
      <c r="Y140" s="120">
        <f t="shared" si="133"/>
        <v>42.458169276304488</v>
      </c>
      <c r="Z140" s="120">
        <f t="shared" si="133"/>
        <v>30.015958466677223</v>
      </c>
      <c r="AA140" s="120">
        <f t="shared" ref="AA140" si="134">AA137+AA138-AA139</f>
        <v>21.658928336144452</v>
      </c>
      <c r="AC140" s="120">
        <f t="shared" ref="AC140" si="135">AC137+AC138-AC139</f>
        <v>22.829226659561293</v>
      </c>
    </row>
    <row r="141" spans="2:29" x14ac:dyDescent="0.2">
      <c r="B141" s="20" t="s">
        <v>255</v>
      </c>
      <c r="M141" s="120">
        <f>M108/M49</f>
        <v>0</v>
      </c>
      <c r="N141" s="120">
        <f>N108/N49</f>
        <v>0</v>
      </c>
      <c r="O141" s="120">
        <f>O108/O49</f>
        <v>0</v>
      </c>
      <c r="P141" s="120">
        <f>P108/P49</f>
        <v>0</v>
      </c>
      <c r="Q141" s="120">
        <f>Q108/Q49</f>
        <v>0</v>
      </c>
      <c r="T141" s="120">
        <f t="shared" ref="T141:Z141" si="136">T108/T49</f>
        <v>0</v>
      </c>
      <c r="U141" s="120">
        <f t="shared" si="136"/>
        <v>0</v>
      </c>
      <c r="V141" s="120">
        <f t="shared" si="136"/>
        <v>0</v>
      </c>
      <c r="W141" s="120">
        <f t="shared" si="136"/>
        <v>0</v>
      </c>
      <c r="X141" s="120">
        <f t="shared" si="136"/>
        <v>0</v>
      </c>
      <c r="Y141" s="120">
        <f t="shared" si="136"/>
        <v>0</v>
      </c>
      <c r="Z141" s="120">
        <f t="shared" si="136"/>
        <v>0</v>
      </c>
      <c r="AA141" s="120">
        <f t="shared" ref="AA141" si="137">AA108/AA49</f>
        <v>0</v>
      </c>
      <c r="AC141" s="120">
        <f>AC108/AC49</f>
        <v>0</v>
      </c>
    </row>
    <row r="142" spans="2:29" x14ac:dyDescent="0.2">
      <c r="B142" s="20" t="s">
        <v>259</v>
      </c>
      <c r="M142" s="178">
        <f>(M108-M107)/M49</f>
        <v>-1.0796521237447765</v>
      </c>
      <c r="N142" s="178">
        <f>(N108-N107)/N49</f>
        <v>-1.1219418607654248</v>
      </c>
      <c r="O142" s="178">
        <f>(O108-O107)/O49</f>
        <v>-1.1405169481053423</v>
      </c>
      <c r="P142" s="178">
        <f>(P108-P107)/P49</f>
        <v>-1.1835995391425627</v>
      </c>
      <c r="Q142" s="178">
        <f>(Q108-Q107)/Q49</f>
        <v>-0.94696311671959887</v>
      </c>
      <c r="T142" s="178">
        <f t="shared" ref="T142:Z142" si="138">(T108-T107)/T49</f>
        <v>-1.1381695975332329</v>
      </c>
      <c r="U142" s="178">
        <f t="shared" si="138"/>
        <v>-1.1835995391425627</v>
      </c>
      <c r="V142" s="178">
        <f t="shared" si="138"/>
        <v>-1.2112223184378168</v>
      </c>
      <c r="W142" s="178">
        <f t="shared" si="138"/>
        <v>-1.2008267905521934</v>
      </c>
      <c r="X142" s="178">
        <f t="shared" si="138"/>
        <v>-0.93319510928545912</v>
      </c>
      <c r="Y142" s="178">
        <f t="shared" si="138"/>
        <v>-0.94696311671959887</v>
      </c>
      <c r="Z142" s="178">
        <f t="shared" si="138"/>
        <v>-1.0000409552194194</v>
      </c>
      <c r="AA142" s="178">
        <f t="shared" ref="AA142" si="139">(AA108-AA107)/AA49</f>
        <v>-1.00483563659166</v>
      </c>
      <c r="AC142" s="178">
        <f>(AC108-AC107)/AC49</f>
        <v>-1.00483563659166</v>
      </c>
    </row>
    <row r="143" spans="2:29" x14ac:dyDescent="0.2">
      <c r="B143" s="20" t="s">
        <v>256</v>
      </c>
      <c r="M143" s="120">
        <f>(M107+M30)/M40</f>
        <v>4.9280623851054726</v>
      </c>
      <c r="N143" s="120">
        <f>(N107+N30)/N40</f>
        <v>3.603028069055819</v>
      </c>
      <c r="O143" s="120">
        <f>(O107+O30)/O40</f>
        <v>3.0162206791124957</v>
      </c>
      <c r="P143" s="120">
        <f>(P107+P30)/P40</f>
        <v>2.6167192839938327</v>
      </c>
      <c r="Q143" s="120">
        <f>(Q107+Q30)/Q40</f>
        <v>2.6098107949225979</v>
      </c>
      <c r="T143" s="120">
        <f t="shared" ref="T143:Z143" si="140">(T107+T30)/T40</f>
        <v>3.0114195356776459</v>
      </c>
      <c r="U143" s="120">
        <f t="shared" si="140"/>
        <v>2.6167192839938327</v>
      </c>
      <c r="V143" s="120">
        <f t="shared" si="140"/>
        <v>2.6333212317238193</v>
      </c>
      <c r="W143" s="120">
        <f t="shared" si="140"/>
        <v>2.7284904207406715</v>
      </c>
      <c r="X143" s="120">
        <f t="shared" si="140"/>
        <v>2.7751640731415361</v>
      </c>
      <c r="Y143" s="120">
        <f t="shared" si="140"/>
        <v>2.6098107949225979</v>
      </c>
      <c r="Z143" s="120">
        <f t="shared" si="140"/>
        <v>2.6421703703445658</v>
      </c>
      <c r="AA143" s="120">
        <f t="shared" ref="AA143" si="141">(AA107+AA30)/AA40</f>
        <v>2.6781751821027875</v>
      </c>
      <c r="AC143" s="120">
        <f>(AC107+AC30)/AC40</f>
        <v>2.6781751821027875</v>
      </c>
    </row>
    <row r="144" spans="2:29" x14ac:dyDescent="0.2">
      <c r="B144" s="20" t="s">
        <v>257</v>
      </c>
      <c r="M144" s="120">
        <f>M32/M40</f>
        <v>5.1982355558167059</v>
      </c>
      <c r="N144" s="120">
        <f>N32/N40</f>
        <v>3.8356073193006393</v>
      </c>
      <c r="O144" s="120">
        <f>O32/O40</f>
        <v>3.2369178185908667</v>
      </c>
      <c r="P144" s="120">
        <f>P32/P40</f>
        <v>2.6089699714137522</v>
      </c>
      <c r="Q144" s="120">
        <f>Q32/Q40</f>
        <v>2.6065702860211775</v>
      </c>
      <c r="T144" s="120">
        <f t="shared" ref="T144:Z144" si="142">T32/T40</f>
        <v>3.0936419462606648</v>
      </c>
      <c r="U144" s="120">
        <f t="shared" si="142"/>
        <v>2.6089699714137522</v>
      </c>
      <c r="V144" s="120">
        <f t="shared" si="142"/>
        <v>2.6836023191084415</v>
      </c>
      <c r="W144" s="120">
        <f t="shared" si="142"/>
        <v>2.8087351474278877</v>
      </c>
      <c r="X144" s="120">
        <f t="shared" si="142"/>
        <v>2.8214492095595824</v>
      </c>
      <c r="Y144" s="120">
        <f t="shared" si="142"/>
        <v>2.6065702860211775</v>
      </c>
      <c r="Z144" s="120">
        <f t="shared" si="142"/>
        <v>2.6231009869120072</v>
      </c>
      <c r="AA144" s="120">
        <f t="shared" ref="AA144" si="143">AA32/AA40</f>
        <v>2.8920362803785871</v>
      </c>
      <c r="AC144" s="120">
        <f>AC32/AC40</f>
        <v>2.8920362803785871</v>
      </c>
    </row>
    <row r="145" spans="2:29" x14ac:dyDescent="0.2">
      <c r="B145" s="20" t="s">
        <v>263</v>
      </c>
      <c r="M145" s="180" t="str">
        <f>IF(M13&gt;=0,"N/A",IF(M12&lt;=0,"N/A",M12/-M13))</f>
        <v>N/A</v>
      </c>
      <c r="N145" s="180" t="str">
        <f>IF(N13&gt;=0,"N/A",IF(N12&lt;=0,"N/A",N12/-N13))</f>
        <v>N/A</v>
      </c>
      <c r="O145" s="180" t="str">
        <f>IF(O13&gt;=0,"N/A",IF(O12&lt;=0,"N/A",O12/-O13))</f>
        <v>N/A</v>
      </c>
      <c r="P145" s="180" t="str">
        <f>IF(P13&gt;=0,"N/A",IF(P12&lt;=0,"N/A",P12/-P13))</f>
        <v>N/A</v>
      </c>
      <c r="Q145" s="180" t="str">
        <f>IF(Q13&gt;=0,"N/A",IF(Q12&lt;=0,"N/A",Q12/-Q13))</f>
        <v>N/A</v>
      </c>
      <c r="T145" s="180" t="str">
        <f t="shared" ref="T145:Z145" si="144">IF(T13&gt;=0,"N/A",IF(T12&lt;=0,"N/A",T12/-T13))</f>
        <v>N/A</v>
      </c>
      <c r="U145" s="180" t="str">
        <f t="shared" si="144"/>
        <v>N/A</v>
      </c>
      <c r="V145" s="180" t="str">
        <f t="shared" si="144"/>
        <v>N/A</v>
      </c>
      <c r="W145" s="180" t="str">
        <f t="shared" si="144"/>
        <v>N/A</v>
      </c>
      <c r="X145" s="180" t="str">
        <f t="shared" si="144"/>
        <v>N/A</v>
      </c>
      <c r="Y145" s="180" t="str">
        <f t="shared" si="144"/>
        <v>N/A</v>
      </c>
      <c r="Z145" s="180" t="str">
        <f t="shared" si="144"/>
        <v>N/A</v>
      </c>
      <c r="AA145" s="180" t="str">
        <f t="shared" ref="AA145" si="145">IF(AA13&gt;=0,"N/A",IF(AA12&lt;=0,"N/A",AA12/-AA13))</f>
        <v>N/A</v>
      </c>
      <c r="AC145" s="180" t="str">
        <f>IF(AC13&gt;=0,"N/A",IF(AC12&lt;=0,"N/A",AC12/-AC13))</f>
        <v>N/A</v>
      </c>
    </row>
    <row r="146" spans="2:29" x14ac:dyDescent="0.2">
      <c r="B146" s="20" t="s">
        <v>241</v>
      </c>
      <c r="M146" s="72">
        <f>M117/Statement!M26</f>
        <v>-43.027237354085607</v>
      </c>
      <c r="N146" s="72">
        <f>N117/Statement!N26</f>
        <v>-47.105960264900659</v>
      </c>
      <c r="O146" s="72">
        <f>O117/Statement!O26</f>
        <v>648.14285714285722</v>
      </c>
      <c r="P146" s="72">
        <f>P117/Statement!P26</f>
        <v>172.97872340425533</v>
      </c>
      <c r="Q146" s="72">
        <f>Q117/Statement!Q26</f>
        <v>54.387136595124169</v>
      </c>
      <c r="T146" s="49"/>
      <c r="U146" s="49"/>
      <c r="V146" s="49"/>
      <c r="W146" s="49"/>
      <c r="X146" s="49"/>
      <c r="Y146" s="49"/>
      <c r="Z146" s="49"/>
      <c r="AA146" s="49"/>
      <c r="AC146" s="72">
        <f ca="1">AC117/Statement!AC26</f>
        <v>45.54548191336179</v>
      </c>
    </row>
    <row r="147" spans="2:29" x14ac:dyDescent="0.2">
      <c r="B147" s="20" t="s">
        <v>205</v>
      </c>
      <c r="M147" s="72">
        <f>M117/(Statement!M5/Statement!M22)</f>
        <v>10.332976329095752</v>
      </c>
      <c r="N147" s="72">
        <f>N117/(Statement!N5/Statement!N22)</f>
        <v>7.5982113425080167</v>
      </c>
      <c r="O147" s="72">
        <f>O117/(Statement!O5/Statement!O22)</f>
        <v>19.870715239244674</v>
      </c>
      <c r="P147" s="72">
        <f>P117/(Statement!P5/Statement!P22)</f>
        <v>20.476943520528753</v>
      </c>
      <c r="Q147" s="72">
        <f>Q117/(Statement!Q5/Statement!Q22)</f>
        <v>8.2485760260485748</v>
      </c>
      <c r="T147" s="49"/>
      <c r="U147" s="49"/>
      <c r="V147" s="49"/>
      <c r="W147" s="49"/>
      <c r="X147" s="49"/>
      <c r="Y147" s="49"/>
      <c r="Z147" s="49"/>
      <c r="AA147" s="49"/>
      <c r="AC147" s="72">
        <f ca="1">AC117/(Statement!AC5/Statement!AC22)</f>
        <v>6.1427774173869789</v>
      </c>
    </row>
    <row r="148" spans="2:29" x14ac:dyDescent="0.2">
      <c r="B148" s="20" t="s">
        <v>242</v>
      </c>
      <c r="M148" s="72">
        <f>M117/(Statement!M49/Statement!M75)</f>
        <v>8.3249245696376217</v>
      </c>
      <c r="N148" s="72">
        <f>N117/(Statement!N49/Statement!N75)</f>
        <v>5.3321453370179199</v>
      </c>
      <c r="O148" s="72">
        <f>O117/(Statement!O49/Statement!O75)</f>
        <v>14.838147615335446</v>
      </c>
      <c r="P148" s="72">
        <f>P117/(Statement!P49/Statement!P75)</f>
        <v>17.843700927778787</v>
      </c>
      <c r="Q148" s="72">
        <f>Q117/(Statement!Q49/Statement!Q75)</f>
        <v>6.2334065327103216</v>
      </c>
      <c r="T148" s="72">
        <f>T117/(Statement!T49/Statement!T75)</f>
        <v>15.082159928895633</v>
      </c>
      <c r="U148" s="72">
        <f>U117/(Statement!U49/Statement!U75)</f>
        <v>17.843700927778787</v>
      </c>
      <c r="V148" s="72">
        <f>V117/(Statement!V49/Statement!V75)</f>
        <v>15.792330610208252</v>
      </c>
      <c r="W148" s="72">
        <f>W117/(Statement!W49/Statement!W75)</f>
        <v>19.229621618966032</v>
      </c>
      <c r="X148" s="72">
        <f>X117/(Statement!X49/Statement!X75)</f>
        <v>11.378643023267374</v>
      </c>
      <c r="Y148" s="72">
        <f>Y117/(Statement!Y49/Statement!Y75)</f>
        <v>6.2334065327103216</v>
      </c>
      <c r="Z148" s="72">
        <f>Z117/(Statement!Z49/Statement!Z75)</f>
        <v>3.2998928051020142</v>
      </c>
      <c r="AA148" s="72">
        <f>AA117/(Statement!AA49/Statement!AA75)</f>
        <v>3.817241537813302</v>
      </c>
      <c r="AC148" s="72">
        <f ca="1">AC117/(Statement!AC49/Statement!AC75)</f>
        <v>4.7471590120745493</v>
      </c>
    </row>
    <row r="149" spans="2:29" x14ac:dyDescent="0.2">
      <c r="B149" s="20" t="s">
        <v>243</v>
      </c>
      <c r="M149" s="143">
        <f>Statement!M117*Statement!M78</f>
        <v>4271152.5</v>
      </c>
      <c r="N149" s="143">
        <f>Statement!N117*Statement!N78</f>
        <v>2890438.6799999997</v>
      </c>
      <c r="O149" s="143">
        <f>Statement!O117*Statement!O78</f>
        <v>10876776.949999999</v>
      </c>
      <c r="P149" s="143">
        <f>Statement!P117*Statement!P78</f>
        <v>15882768</v>
      </c>
      <c r="Q149" s="143">
        <f>Statement!Q117*Statement!Q78</f>
        <v>8845485.8999999985</v>
      </c>
      <c r="T149" s="143">
        <f>Statement!T117*Statement!T78</f>
        <v>13606336.92</v>
      </c>
      <c r="U149" s="143">
        <f>Statement!U117*Statement!U78</f>
        <v>15882768</v>
      </c>
      <c r="V149" s="143">
        <f>Statement!V117*Statement!V78</f>
        <v>15155594.16</v>
      </c>
      <c r="W149" s="143">
        <f>Statement!W117*Statement!W78</f>
        <v>20177904.239999998</v>
      </c>
      <c r="X149" s="143">
        <f>Statement!X117*Statement!X78</f>
        <v>15905976.479999999</v>
      </c>
      <c r="Y149" s="143">
        <f>Statement!Y117*Statement!Y78</f>
        <v>8845485.8999999985</v>
      </c>
      <c r="Z149" s="143">
        <f>Statement!Z117*Statement!Z78</f>
        <v>4808934.59</v>
      </c>
      <c r="AA149" s="143">
        <f>Statement!AA117*Statement!AA78</f>
        <v>5765032.4399999995</v>
      </c>
      <c r="AC149" s="143">
        <f ca="1">Statement!AC117*Statement!AC78</f>
        <v>7169450.8799999999</v>
      </c>
    </row>
    <row r="150" spans="2:29" x14ac:dyDescent="0.2">
      <c r="B150" s="20" t="s">
        <v>192</v>
      </c>
      <c r="M150" s="143">
        <f>M149+M108-M107+M48+M45</f>
        <v>3717230.5</v>
      </c>
      <c r="N150" s="143">
        <f>N149+N108-N107+N48+N45</f>
        <v>2282258.6799999997</v>
      </c>
      <c r="O150" s="143">
        <f>O149+O108-O107+O48+O45</f>
        <v>10129166.949999999</v>
      </c>
      <c r="P150" s="143">
        <f>P149+P108-P107+P48+P45</f>
        <v>14906831</v>
      </c>
      <c r="Q150" s="143">
        <f>Q149+Q108-Q107+Q48+Q45</f>
        <v>7569920.8999999985</v>
      </c>
      <c r="T150" s="143">
        <f t="shared" ref="T150:Z150" si="146">T149+T108-T107+T48+T45</f>
        <v>12670245.92</v>
      </c>
      <c r="U150" s="143">
        <f t="shared" si="146"/>
        <v>14906831</v>
      </c>
      <c r="V150" s="143">
        <f t="shared" si="146"/>
        <v>14072972.16</v>
      </c>
      <c r="W150" s="143">
        <f t="shared" si="146"/>
        <v>19004659.239999998</v>
      </c>
      <c r="X150" s="143">
        <f t="shared" si="146"/>
        <v>14685787.479999999</v>
      </c>
      <c r="Y150" s="143">
        <f t="shared" si="146"/>
        <v>7569920.8999999985</v>
      </c>
      <c r="Z150" s="143">
        <f t="shared" si="146"/>
        <v>3417113.59</v>
      </c>
      <c r="AA150" s="143">
        <f t="shared" ref="AA150" si="147">AA149+AA108-AA107+AA48+AA45</f>
        <v>4348473.4399999995</v>
      </c>
      <c r="AC150" s="143">
        <f ca="1">AC149+AC108-AC107+AC48+AC45</f>
        <v>5752891.8799999999</v>
      </c>
    </row>
    <row r="151" spans="2:29" x14ac:dyDescent="0.2">
      <c r="B151" s="20" t="s">
        <v>264</v>
      </c>
      <c r="M151" s="182">
        <f>M150/M5</f>
        <v>14.823148118609733</v>
      </c>
      <c r="N151" s="182">
        <f>N150/N5</f>
        <v>6.1766970595001274</v>
      </c>
      <c r="O151" s="182">
        <f>O150/O5</f>
        <v>19.07172906126614</v>
      </c>
      <c r="P151" s="182">
        <f>P150/P5</f>
        <v>19.928279039175212</v>
      </c>
      <c r="Q151" s="182">
        <f>Q150/Q5</f>
        <v>7.2956834546241316</v>
      </c>
      <c r="T151" s="49"/>
      <c r="U151" s="49"/>
      <c r="V151" s="49"/>
      <c r="W151" s="49"/>
      <c r="X151" s="49"/>
      <c r="Y151" s="49"/>
      <c r="Z151" s="49"/>
      <c r="AA151" s="49"/>
      <c r="AC151" s="182">
        <f ca="1">AC150/AC5</f>
        <v>5.0243509443651622</v>
      </c>
    </row>
    <row r="152" spans="2:29" x14ac:dyDescent="0.2">
      <c r="B152" s="20" t="s">
        <v>208</v>
      </c>
      <c r="M152" s="182">
        <f>M150/M12</f>
        <v>-61.946614561634476</v>
      </c>
      <c r="N152" s="182">
        <f>N150/N12</f>
        <v>-35.006652043868392</v>
      </c>
      <c r="O152" s="182">
        <f>O150/O12</f>
        <v>-763.94652311637378</v>
      </c>
      <c r="P152" s="182">
        <f>P150/P12</f>
        <v>238.14731208562984</v>
      </c>
      <c r="Q152" s="182">
        <f>Q150/Q12</f>
        <v>55.837728848565305</v>
      </c>
      <c r="T152" s="49"/>
      <c r="U152" s="49"/>
      <c r="V152" s="49"/>
      <c r="W152" s="49"/>
      <c r="X152" s="49"/>
      <c r="Y152" s="49"/>
      <c r="Z152" s="49"/>
      <c r="AA152" s="49"/>
      <c r="AC152" s="182">
        <f ca="1">AC150/AC12</f>
        <v>36.622795811185028</v>
      </c>
    </row>
    <row r="153" spans="2:29" x14ac:dyDescent="0.2">
      <c r="B153" s="20" t="s">
        <v>265</v>
      </c>
      <c r="M153" s="64">
        <f>M59-M54+M110+M65</f>
        <v>-37840</v>
      </c>
      <c r="N153" s="64">
        <f>N59-N54+N110+N65</f>
        <v>-30288</v>
      </c>
      <c r="O153" s="64">
        <f>O59-O54+O110+O65</f>
        <v>44709</v>
      </c>
      <c r="P153" s="64">
        <f>P59-P54+P110+P65</f>
        <v>153896</v>
      </c>
      <c r="Q153" s="64">
        <f>Q59-Q54+Q110+Q65</f>
        <v>222987</v>
      </c>
      <c r="T153" s="64">
        <f t="shared" ref="T153:Z153" si="148">T59-T54+T110+T65</f>
        <v>22285</v>
      </c>
      <c r="U153" s="64">
        <f t="shared" si="148"/>
        <v>51117</v>
      </c>
      <c r="V153" s="64">
        <f t="shared" si="148"/>
        <v>71994</v>
      </c>
      <c r="W153" s="64">
        <f t="shared" si="148"/>
        <v>51732</v>
      </c>
      <c r="X153" s="64">
        <f t="shared" si="148"/>
        <v>41791</v>
      </c>
      <c r="Y153" s="64">
        <f t="shared" si="148"/>
        <v>57470</v>
      </c>
      <c r="Z153" s="64">
        <f t="shared" si="148"/>
        <v>113139</v>
      </c>
      <c r="AA153" s="64">
        <f t="shared" ref="AA153" si="149">AA59-AA54+AA110+AA65</f>
        <v>40420</v>
      </c>
      <c r="AC153" s="64">
        <f>AC59-AC54+AC110+AC65</f>
        <v>252820</v>
      </c>
    </row>
    <row r="154" spans="2:29" x14ac:dyDescent="0.2">
      <c r="B154" s="20" t="s">
        <v>266</v>
      </c>
      <c r="M154" s="64">
        <f>M109+M53+M110+M55+M57+M58+M56</f>
        <v>-37712</v>
      </c>
      <c r="N154" s="64">
        <f>N109+N53+N110+N55+N57+N58+N56</f>
        <v>-35909</v>
      </c>
      <c r="O154" s="64">
        <f>O109+O53+O110+O55+O57+O58+O56</f>
        <v>15050</v>
      </c>
      <c r="P154" s="64">
        <f>P109+P53+P110+P55+P57+P58+P56</f>
        <v>119828.20010556566</v>
      </c>
      <c r="Q154" s="64">
        <f>Q109+Q53+Q110+Q55+Q57+Q58+Q56</f>
        <v>152914.15947590594</v>
      </c>
      <c r="T154" s="49"/>
      <c r="U154" s="49"/>
      <c r="V154" s="49"/>
      <c r="W154" s="49"/>
      <c r="X154" s="49"/>
      <c r="Y154" s="49"/>
      <c r="Z154" s="49"/>
      <c r="AA154" s="49"/>
      <c r="AC154" s="64">
        <f>AC109+AC53+AC110+AC55+AC57+AC58+AC56</f>
        <v>166731.31659797492</v>
      </c>
    </row>
    <row r="155" spans="2:29" x14ac:dyDescent="0.2">
      <c r="B155" s="20" t="s">
        <v>267</v>
      </c>
      <c r="M155" s="72">
        <f>M149/M153</f>
        <v>-112.87400898520085</v>
      </c>
      <c r="N155" s="72">
        <f t="shared" ref="N155:Q155" si="150">N149/N153</f>
        <v>-95.43181061806655</v>
      </c>
      <c r="O155" s="72">
        <f t="shared" si="150"/>
        <v>243.27936097877384</v>
      </c>
      <c r="P155" s="72">
        <f t="shared" si="150"/>
        <v>103.20455372459323</v>
      </c>
      <c r="Q155" s="72">
        <f t="shared" si="150"/>
        <v>39.668168547942251</v>
      </c>
      <c r="T155" s="49"/>
      <c r="U155" s="49"/>
      <c r="V155" s="49"/>
      <c r="W155" s="49"/>
      <c r="X155" s="49"/>
      <c r="Y155" s="49"/>
      <c r="Z155" s="49"/>
      <c r="AA155" s="49"/>
      <c r="AC155" s="72">
        <f t="shared" ref="AC155:AC156" ca="1" si="151">AC149/AC153</f>
        <v>28.357926113440392</v>
      </c>
    </row>
    <row r="156" spans="2:29" x14ac:dyDescent="0.2">
      <c r="B156" s="20" t="s">
        <v>268</v>
      </c>
      <c r="M156" s="72">
        <f>M150/M154</f>
        <v>-98.568903797199823</v>
      </c>
      <c r="N156" s="72">
        <f t="shared" ref="N156:Q156" si="152">N150/N154</f>
        <v>-63.556731738561353</v>
      </c>
      <c r="O156" s="72">
        <f t="shared" si="152"/>
        <v>673.03434883720922</v>
      </c>
      <c r="P156" s="72">
        <f t="shared" si="152"/>
        <v>124.4016933148245</v>
      </c>
      <c r="Q156" s="72">
        <f t="shared" si="152"/>
        <v>49.504381582091227</v>
      </c>
      <c r="T156" s="49"/>
      <c r="U156" s="49"/>
      <c r="V156" s="49"/>
      <c r="W156" s="49"/>
      <c r="X156" s="49"/>
      <c r="Y156" s="49"/>
      <c r="Z156" s="49"/>
      <c r="AA156" s="49"/>
      <c r="AC156" s="72">
        <f t="shared" ca="1" si="151"/>
        <v>34.503967205341873</v>
      </c>
    </row>
    <row r="157" spans="2:29" x14ac:dyDescent="0.2">
      <c r="B157" s="20" t="s">
        <v>269</v>
      </c>
      <c r="M157" s="74">
        <f>M153/M149</f>
        <v>-8.8594354802363062E-3</v>
      </c>
      <c r="N157" s="74">
        <f t="shared" ref="N157:Q157" si="153">N153/N149</f>
        <v>-1.0478686231807555E-2</v>
      </c>
      <c r="O157" s="74">
        <f t="shared" si="153"/>
        <v>4.1105007674171346E-3</v>
      </c>
      <c r="P157" s="74">
        <f t="shared" si="153"/>
        <v>9.6894949293473281E-3</v>
      </c>
      <c r="Q157" s="74">
        <f t="shared" si="153"/>
        <v>2.5209129551605529E-2</v>
      </c>
      <c r="T157" s="49"/>
      <c r="U157" s="49"/>
      <c r="V157" s="49"/>
      <c r="W157" s="49"/>
      <c r="X157" s="49"/>
      <c r="Y157" s="49"/>
      <c r="Z157" s="49"/>
      <c r="AA157" s="49"/>
      <c r="AC157" s="74">
        <f t="shared" ref="AC157" ca="1" si="154">AC153/AC149</f>
        <v>3.5263509609260342E-2</v>
      </c>
    </row>
    <row r="158" spans="2:29" x14ac:dyDescent="0.2">
      <c r="B158" s="20" t="s">
        <v>270</v>
      </c>
      <c r="M158" s="74">
        <f>M26/M117</f>
        <v>-2.3241092421776088E-2</v>
      </c>
      <c r="N158" s="74">
        <f>N26/N117</f>
        <v>-2.1228736116968933E-2</v>
      </c>
      <c r="O158" s="74">
        <f>O26/O117</f>
        <v>1.5428697377121445E-3</v>
      </c>
      <c r="P158" s="74">
        <f>P26/P117</f>
        <v>5.7810578105781055E-3</v>
      </c>
      <c r="Q158" s="74">
        <f>Q26/Q117</f>
        <v>1.838670065394931E-2</v>
      </c>
      <c r="T158" s="49"/>
      <c r="U158" s="49"/>
      <c r="V158" s="49"/>
      <c r="W158" s="49"/>
      <c r="X158" s="49"/>
      <c r="Y158" s="49"/>
      <c r="Z158" s="49"/>
      <c r="AA158" s="49"/>
      <c r="AC158" s="74">
        <f ca="1">AC26/AC117</f>
        <v>2.1956074631117855E-2</v>
      </c>
    </row>
    <row r="159" spans="2:29" x14ac:dyDescent="0.2">
      <c r="B159" s="20" t="s">
        <v>271</v>
      </c>
      <c r="M159" s="154">
        <f>M82/M117</f>
        <v>0</v>
      </c>
      <c r="N159" s="154">
        <f>N82/N117</f>
        <v>0</v>
      </c>
      <c r="O159" s="154">
        <f>O82/O117</f>
        <v>0</v>
      </c>
      <c r="P159" s="154">
        <f>P82/P117</f>
        <v>0</v>
      </c>
      <c r="Q159" s="154">
        <f>Q82/Q117</f>
        <v>0</v>
      </c>
      <c r="T159" s="49"/>
      <c r="U159" s="49"/>
      <c r="V159" s="49"/>
      <c r="W159" s="49"/>
      <c r="X159" s="49"/>
      <c r="Y159" s="49"/>
      <c r="Z159" s="49"/>
      <c r="AA159" s="49"/>
      <c r="AC159" s="154">
        <f ca="1">AC82/AC117</f>
        <v>0</v>
      </c>
    </row>
    <row r="160" spans="2:29" x14ac:dyDescent="0.2">
      <c r="B160" s="20" t="s">
        <v>296</v>
      </c>
      <c r="M160" s="154">
        <f>-M63/M149</f>
        <v>2.0322383712592795E-4</v>
      </c>
      <c r="N160" s="154">
        <f>-N63/N149</f>
        <v>0</v>
      </c>
      <c r="O160" s="154">
        <f>-O63/O149</f>
        <v>0</v>
      </c>
      <c r="P160" s="154">
        <f>-P63/P149</f>
        <v>0</v>
      </c>
      <c r="Q160" s="154">
        <f>-Q63/Q149</f>
        <v>0</v>
      </c>
      <c r="T160" s="49"/>
      <c r="U160" s="49"/>
      <c r="V160" s="49"/>
      <c r="W160" s="49"/>
      <c r="X160" s="49"/>
      <c r="Y160" s="49"/>
      <c r="Z160" s="49"/>
      <c r="AA160" s="49"/>
      <c r="AC160" s="154">
        <f ca="1">-AC63/AC149</f>
        <v>9.7082748965008608E-3</v>
      </c>
    </row>
    <row r="161" spans="2:29" x14ac:dyDescent="0.2">
      <c r="B161" s="20" t="s">
        <v>298</v>
      </c>
      <c r="M161" s="154">
        <f>-(M63+M64)/M149</f>
        <v>2.0322383712592795E-4</v>
      </c>
      <c r="N161" s="154">
        <f>-(N63+N64)/N149</f>
        <v>0</v>
      </c>
      <c r="O161" s="154">
        <f>-(O63+O64)/O149</f>
        <v>0</v>
      </c>
      <c r="P161" s="154">
        <f>-(P63+P64)/P149</f>
        <v>0</v>
      </c>
      <c r="Q161" s="154">
        <f>-(Q63+Q64)/Q149</f>
        <v>0</v>
      </c>
      <c r="T161" s="49"/>
      <c r="U161" s="49"/>
      <c r="V161" s="49"/>
      <c r="W161" s="49"/>
      <c r="X161" s="49"/>
      <c r="Y161" s="49"/>
      <c r="Z161" s="49"/>
      <c r="AA161" s="49"/>
      <c r="AC161" s="154">
        <f ca="1">-(AC63+AC64)/AC149</f>
        <v>9.7082748965008608E-3</v>
      </c>
    </row>
    <row r="162" spans="2:29" x14ac:dyDescent="0.2">
      <c r="B162" s="20" t="s">
        <v>346</v>
      </c>
      <c r="M162" s="154">
        <f>M154/M5</f>
        <v>-0.1503836153956582</v>
      </c>
      <c r="N162" s="154">
        <f>N154/N5</f>
        <v>-9.7183994370695137E-2</v>
      </c>
      <c r="O162" s="154">
        <f>O154/O5</f>
        <v>2.8336932720025455E-2</v>
      </c>
      <c r="P162" s="154">
        <f>P154/P5</f>
        <v>0.16019298860138934</v>
      </c>
      <c r="Q162" s="154">
        <f>Q154/Q5</f>
        <v>0.14737449941730871</v>
      </c>
      <c r="T162" s="49"/>
      <c r="U162" s="49"/>
      <c r="V162" s="49"/>
      <c r="W162" s="49"/>
      <c r="X162" s="49"/>
      <c r="Y162" s="49"/>
      <c r="Z162" s="49"/>
      <c r="AA162" s="49"/>
      <c r="AC162" s="154">
        <f>AC154/AC5</f>
        <v>0.14561661603907672</v>
      </c>
    </row>
    <row r="163" spans="2:29" x14ac:dyDescent="0.2">
      <c r="B163" s="20" t="s">
        <v>347</v>
      </c>
      <c r="M163" s="154">
        <f>M153/M5</f>
        <v>-0.15089403920692901</v>
      </c>
      <c r="N163" s="154">
        <f>N153/N5</f>
        <v>-8.1971339260341822E-2</v>
      </c>
      <c r="O163" s="154">
        <f>O153/O5</f>
        <v>8.4180460131536086E-2</v>
      </c>
      <c r="P163" s="154">
        <f>P153/P5</f>
        <v>0.2057367143300215</v>
      </c>
      <c r="Q163" s="154">
        <f>Q153/Q5</f>
        <v>0.21490879336615942</v>
      </c>
      <c r="T163" s="49"/>
      <c r="U163" s="49"/>
      <c r="V163" s="49"/>
      <c r="W163" s="49"/>
      <c r="X163" s="49"/>
      <c r="Y163" s="49"/>
      <c r="Z163" s="49"/>
      <c r="AA163" s="49"/>
      <c r="AC163" s="154">
        <f>AC153/AC5</f>
        <v>0.22080310776749734</v>
      </c>
    </row>
    <row r="164" spans="2:29" x14ac:dyDescent="0.2">
      <c r="B164" s="20" t="s">
        <v>274</v>
      </c>
      <c r="M164" s="154">
        <f>-M64/M153</f>
        <v>0</v>
      </c>
      <c r="N164" s="154">
        <f>-N64/N153</f>
        <v>0</v>
      </c>
      <c r="O164" s="154">
        <f>-O64/O153</f>
        <v>0</v>
      </c>
      <c r="P164" s="154">
        <f>-P64/P153</f>
        <v>0</v>
      </c>
      <c r="Q164" s="154">
        <f>-Q64/Q153</f>
        <v>0</v>
      </c>
      <c r="T164" s="49"/>
      <c r="U164" s="49"/>
      <c r="V164" s="49"/>
      <c r="W164" s="49"/>
      <c r="X164" s="49"/>
      <c r="Y164" s="49"/>
      <c r="Z164" s="49"/>
      <c r="AA164" s="49"/>
      <c r="AC164" s="154">
        <f>-AC64/AC153</f>
        <v>0</v>
      </c>
    </row>
    <row r="165" spans="2:29" x14ac:dyDescent="0.2">
      <c r="B165" s="20" t="s">
        <v>276</v>
      </c>
      <c r="M165" s="154">
        <f>-M63/M153</f>
        <v>-2.2938689217758986E-2</v>
      </c>
      <c r="N165" s="154">
        <f>-N63/N153</f>
        <v>0</v>
      </c>
      <c r="O165" s="154">
        <f>-O63/O153</f>
        <v>0</v>
      </c>
      <c r="P165" s="154">
        <f>-P63/P153</f>
        <v>0</v>
      </c>
      <c r="Q165" s="154">
        <f>-Q63/Q153</f>
        <v>0</v>
      </c>
      <c r="T165" s="49"/>
      <c r="U165" s="49"/>
      <c r="V165" s="49"/>
      <c r="W165" s="49"/>
      <c r="X165" s="49"/>
      <c r="Y165" s="49"/>
      <c r="Z165" s="49"/>
      <c r="AA165" s="49"/>
      <c r="AC165" s="154">
        <f>-AC63/AC153</f>
        <v>0.27530654220393957</v>
      </c>
    </row>
    <row r="166" spans="2:29" x14ac:dyDescent="0.2">
      <c r="B166" s="20" t="s">
        <v>287</v>
      </c>
      <c r="M166" s="154">
        <f>(-M64-M63)/M153</f>
        <v>-2.2938689217758986E-2</v>
      </c>
      <c r="N166" s="154">
        <f>(-N64-N63)/N153</f>
        <v>0</v>
      </c>
      <c r="O166" s="154">
        <f>(-O64-O63)/O153</f>
        <v>0</v>
      </c>
      <c r="P166" s="154">
        <f>(-P64-P63)/P153</f>
        <v>0</v>
      </c>
      <c r="Q166" s="154">
        <f>(-Q64-Q63)/Q153</f>
        <v>0</v>
      </c>
      <c r="T166" s="49"/>
      <c r="U166" s="49"/>
      <c r="V166" s="49"/>
      <c r="W166" s="49"/>
      <c r="X166" s="49"/>
      <c r="Y166" s="49"/>
      <c r="Z166" s="49"/>
      <c r="AA166" s="49"/>
      <c r="AC166" s="154">
        <f>(-AC64-AC63)/AC153</f>
        <v>0.27530654220393957</v>
      </c>
    </row>
    <row r="167" spans="2:29" x14ac:dyDescent="0.2">
      <c r="B167" s="20" t="s">
        <v>281</v>
      </c>
      <c r="M167" s="154">
        <f>M80/M78</f>
        <v>0.22397411003236245</v>
      </c>
      <c r="N167" s="154">
        <f>N80/N78</f>
        <v>0.20043803523968895</v>
      </c>
      <c r="O167" s="154">
        <f>O80/O78</f>
        <v>0.16445241620956472</v>
      </c>
      <c r="P167" s="154">
        <f>P80/P78</f>
        <v>0.14582309582309583</v>
      </c>
      <c r="Q167" s="154">
        <f>Q80/Q78</f>
        <v>0.14574947431661159</v>
      </c>
      <c r="T167" s="49"/>
      <c r="U167" s="49"/>
      <c r="V167" s="49"/>
      <c r="W167" s="49"/>
      <c r="X167" s="49"/>
      <c r="Y167" s="49"/>
      <c r="Z167" s="49"/>
      <c r="AA167" s="49"/>
      <c r="AC167" s="154">
        <f>AC80/AC78</f>
        <v>0.14520569809664419</v>
      </c>
    </row>
    <row r="168" spans="2:29" x14ac:dyDescent="0.2">
      <c r="B168" s="20" t="s">
        <v>282</v>
      </c>
      <c r="M168" s="72">
        <f>M107/M75</f>
        <v>14.341022653721684</v>
      </c>
      <c r="N168" s="72">
        <f>N107/N75</f>
        <v>14.966532138990058</v>
      </c>
      <c r="O168" s="72">
        <f>O107/O75</f>
        <v>17.436561246384922</v>
      </c>
      <c r="P168" s="72">
        <f>P107/P75</f>
        <v>21.571005459408084</v>
      </c>
      <c r="Q168" s="72">
        <f>Q107/Q75</f>
        <v>26.910654008438819</v>
      </c>
      <c r="T168" s="72">
        <f t="shared" ref="T168:Z168" si="155">T107/T75</f>
        <v>21.282534558021098</v>
      </c>
      <c r="U168" s="72">
        <f t="shared" si="155"/>
        <v>21.571005459408084</v>
      </c>
      <c r="V168" s="72">
        <f t="shared" si="155"/>
        <v>23.817445825541746</v>
      </c>
      <c r="W168" s="72">
        <f t="shared" si="155"/>
        <v>25.604403998079526</v>
      </c>
      <c r="X168" s="72">
        <f t="shared" si="155"/>
        <v>26.395020333996712</v>
      </c>
      <c r="Y168" s="72">
        <f t="shared" si="155"/>
        <v>26.910654008438819</v>
      </c>
      <c r="Z168" s="72">
        <f t="shared" si="155"/>
        <v>29.871890627347454</v>
      </c>
      <c r="AA168" s="72">
        <f t="shared" ref="AA168" si="156">AA107/AA75</f>
        <v>30.277412046338647</v>
      </c>
      <c r="AC168" s="72">
        <f>AC107/AC75</f>
        <v>30.277412046338647</v>
      </c>
    </row>
    <row r="169" spans="2:29" x14ac:dyDescent="0.2">
      <c r="B169" s="20" t="s">
        <v>284</v>
      </c>
      <c r="M169" s="154">
        <f>M54/M59</f>
        <v>4.4497273718647765</v>
      </c>
      <c r="N169" s="154">
        <f>N54/N59</f>
        <v>1.3758014015207991</v>
      </c>
      <c r="O169" s="154">
        <f>O54/O59</f>
        <v>0.61987188667699555</v>
      </c>
      <c r="P169" s="154">
        <f>P54/P59</f>
        <v>0.38694210070995017</v>
      </c>
      <c r="Q169" s="154">
        <f>Q54/Q59</f>
        <v>0.35438073554172911</v>
      </c>
      <c r="T169" s="154">
        <f t="shared" ref="T169:Z169" si="157">T54/T59</f>
        <v>0.51467112161657813</v>
      </c>
      <c r="U169" s="154">
        <f t="shared" si="157"/>
        <v>0.357398253023613</v>
      </c>
      <c r="V169" s="154">
        <f t="shared" si="157"/>
        <v>0.29364485804356677</v>
      </c>
      <c r="W169" s="154">
        <f t="shared" si="157"/>
        <v>0.38149434794596088</v>
      </c>
      <c r="X169" s="154">
        <f t="shared" si="157"/>
        <v>0.42219162145799449</v>
      </c>
      <c r="Y169" s="154">
        <f t="shared" si="157"/>
        <v>0.33801897872816422</v>
      </c>
      <c r="Z169" s="154">
        <f t="shared" si="157"/>
        <v>0.22979883399327458</v>
      </c>
      <c r="AA169" s="154">
        <f t="shared" ref="AA169" si="158">AA54/AA59</f>
        <v>0.43292544754135509</v>
      </c>
      <c r="AC169" s="154">
        <f>AC54/AC59</f>
        <v>0.33604615513252878</v>
      </c>
    </row>
    <row r="170" spans="2:29" x14ac:dyDescent="0.2">
      <c r="B170" s="20" t="s">
        <v>285</v>
      </c>
      <c r="M170" s="154">
        <f>M54/M5</f>
        <v>0.16271354058666837</v>
      </c>
      <c r="N170" s="154">
        <f>N54/N5</f>
        <v>0.19978619467110514</v>
      </c>
      <c r="O170" s="154">
        <f>O54/O5</f>
        <v>0.1792871143211657</v>
      </c>
      <c r="P170" s="154">
        <f>P54/P5</f>
        <v>0.14769178529031154</v>
      </c>
      <c r="Q170" s="154">
        <f>Q54/Q5</f>
        <v>0.13245803492519678</v>
      </c>
      <c r="T170" s="154">
        <f t="shared" ref="T170:Z170" si="159">T54/T5</f>
        <v>0.15036293965544098</v>
      </c>
      <c r="U170" s="154">
        <f t="shared" si="159"/>
        <v>0.14214745884037222</v>
      </c>
      <c r="V170" s="154">
        <f t="shared" si="159"/>
        <v>0.13442661315836232</v>
      </c>
      <c r="W170" s="154">
        <f t="shared" si="159"/>
        <v>0.13712564168632194</v>
      </c>
      <c r="X170" s="154">
        <f t="shared" si="159"/>
        <v>0.13089178655419506</v>
      </c>
      <c r="Y170" s="154">
        <f t="shared" si="159"/>
        <v>0.1281940693185514</v>
      </c>
      <c r="Z170" s="154">
        <f t="shared" si="159"/>
        <v>0.11866752064445639</v>
      </c>
      <c r="AA170" s="154">
        <f t="shared" ref="AA170" si="160">AA54/AA5</f>
        <v>0.12802642953352947</v>
      </c>
      <c r="AC170" s="154">
        <f>AC54/AC5</f>
        <v>0.12636135133388413</v>
      </c>
    </row>
    <row r="171" spans="2:29" x14ac:dyDescent="0.2">
      <c r="B171" s="20" t="s">
        <v>290</v>
      </c>
      <c r="M171" s="72">
        <f>(M107-M108)/M75</f>
        <v>14.341022653721684</v>
      </c>
      <c r="N171" s="72">
        <f>(N107-N108)/N75</f>
        <v>14.966532138990058</v>
      </c>
      <c r="O171" s="72">
        <f>(O107-O108)/O75</f>
        <v>17.436561246384922</v>
      </c>
      <c r="P171" s="72">
        <f>(P107-P108)/P75</f>
        <v>21.571005459408084</v>
      </c>
      <c r="Q171" s="72">
        <f>(Q107-Q108)/Q75</f>
        <v>26.910654008438819</v>
      </c>
      <c r="T171" s="72">
        <f t="shared" ref="T171:Z171" si="161">(T107-T108)/T75</f>
        <v>21.282534558021098</v>
      </c>
      <c r="U171" s="72">
        <f t="shared" si="161"/>
        <v>21.571005459408084</v>
      </c>
      <c r="V171" s="72">
        <f t="shared" si="161"/>
        <v>23.817445825541746</v>
      </c>
      <c r="W171" s="72">
        <f t="shared" si="161"/>
        <v>25.604403998079526</v>
      </c>
      <c r="X171" s="72">
        <f t="shared" si="161"/>
        <v>26.395020333996712</v>
      </c>
      <c r="Y171" s="72">
        <f t="shared" si="161"/>
        <v>26.910654008438819</v>
      </c>
      <c r="Z171" s="72">
        <f t="shared" si="161"/>
        <v>29.871890627347454</v>
      </c>
      <c r="AA171" s="72">
        <f t="shared" ref="AA171" si="162">(AA107-AA108)/AA75</f>
        <v>30.277412046338647</v>
      </c>
      <c r="AC171" s="72">
        <f>(AC107-AC108)/AC75</f>
        <v>30.277412046338647</v>
      </c>
    </row>
    <row r="172" spans="2:29" x14ac:dyDescent="0.2">
      <c r="B172" s="20" t="s">
        <v>295</v>
      </c>
      <c r="M172" s="154">
        <f>(M107-M108)/M149</f>
        <v>0.12968911786689893</v>
      </c>
      <c r="N172" s="154">
        <f>(N107-N108)/N149</f>
        <v>0.21041096779122817</v>
      </c>
      <c r="O172" s="154">
        <f>(O107-O108)/O149</f>
        <v>6.873451606452223E-2</v>
      </c>
      <c r="P172" s="154">
        <f>(P107-P108)/P149</f>
        <v>6.144627938908382E-2</v>
      </c>
      <c r="Q172" s="154">
        <f>(Q107-Q108)/Q149</f>
        <v>0.14420519284305233</v>
      </c>
      <c r="T172" s="49"/>
      <c r="U172" s="49"/>
      <c r="V172" s="49"/>
      <c r="W172" s="49"/>
      <c r="X172" s="49"/>
      <c r="Y172" s="49"/>
      <c r="Z172" s="49"/>
      <c r="AA172" s="49"/>
      <c r="AC172" s="154">
        <f ca="1">(AC107-AC108)/AC149</f>
        <v>0.19758263550583111</v>
      </c>
    </row>
    <row r="173" spans="2:29" x14ac:dyDescent="0.2">
      <c r="B173" s="20" t="s">
        <v>304</v>
      </c>
      <c r="M173" s="154">
        <f>-M110/M5</f>
        <v>2.474757947458249E-2</v>
      </c>
      <c r="N173" s="154">
        <f>-N110/N5</f>
        <v>2.7399558857359368E-2</v>
      </c>
      <c r="O173" s="154">
        <f>-O110/O5</f>
        <v>2.5764955969490255E-2</v>
      </c>
      <c r="P173" s="154">
        <f>-P110/P5</f>
        <v>2.8261125311487331E-2</v>
      </c>
      <c r="Q173" s="154">
        <f>-Q110/Q5</f>
        <v>2.6406409474271603E-2</v>
      </c>
      <c r="T173" s="154">
        <f t="shared" ref="T173:Z173" si="163">-T110/T5</f>
        <v>2.60807709482123E-2</v>
      </c>
      <c r="U173" s="154">
        <f t="shared" si="163"/>
        <v>1.1643999045573849E-2</v>
      </c>
      <c r="V173" s="154">
        <f t="shared" si="163"/>
        <v>1.1350290149647009E-2</v>
      </c>
      <c r="W173" s="154">
        <f t="shared" si="163"/>
        <v>1.7247735516223019E-2</v>
      </c>
      <c r="X173" s="154">
        <f t="shared" si="163"/>
        <v>2.5331875913187814E-2</v>
      </c>
      <c r="Y173" s="154">
        <f t="shared" si="163"/>
        <v>4.7888060862310337E-2</v>
      </c>
      <c r="Z173" s="154">
        <f t="shared" si="163"/>
        <v>1.0223758164450092E-2</v>
      </c>
      <c r="AA173" s="154">
        <f t="shared" ref="AA173" si="164">-AA110/AA5</f>
        <v>3.2266278890549296E-2</v>
      </c>
      <c r="AC173" s="154">
        <f>-AC110/AC5</f>
        <v>2.8859338236963777E-2</v>
      </c>
    </row>
    <row r="174" spans="2:29" x14ac:dyDescent="0.2">
      <c r="B174" s="20" t="s">
        <v>305</v>
      </c>
      <c r="M174" s="154">
        <f>-(M110/M59)</f>
        <v>0.67677208287895307</v>
      </c>
      <c r="N174" s="154">
        <f>-(N110/N59)</f>
        <v>0.188683465036529</v>
      </c>
      <c r="O174" s="154">
        <f>-(O110/O59)</f>
        <v>8.9080422357337222E-2</v>
      </c>
      <c r="P174" s="154">
        <f>-(P110/P59)</f>
        <v>7.4042162703624709E-2</v>
      </c>
      <c r="Q174" s="154">
        <f>-(Q110/Q59)</f>
        <v>7.0648208074301944E-2</v>
      </c>
      <c r="T174" s="154">
        <f t="shared" ref="T174:Z174" si="165">-(T110/T59)</f>
        <v>8.9270798158778683E-2</v>
      </c>
      <c r="U174" s="154">
        <f t="shared" si="165"/>
        <v>2.9276252639662124E-2</v>
      </c>
      <c r="V174" s="154">
        <f t="shared" si="165"/>
        <v>2.4793857863695316E-2</v>
      </c>
      <c r="W174" s="154">
        <f t="shared" si="165"/>
        <v>4.7984560242624756E-2</v>
      </c>
      <c r="X174" s="154">
        <f t="shared" si="165"/>
        <v>8.1707997483350947E-2</v>
      </c>
      <c r="Y174" s="154">
        <f t="shared" si="165"/>
        <v>0.12627006469173549</v>
      </c>
      <c r="Z174" s="154">
        <f t="shared" si="165"/>
        <v>1.9798237061503871E-2</v>
      </c>
      <c r="AA174" s="154">
        <f t="shared" ref="AA174" si="166">-(AA110/AA59)</f>
        <v>0.10910944935418083</v>
      </c>
      <c r="AC174" s="154">
        <f>-(AC110/AC59)</f>
        <v>7.6748701654635487E-2</v>
      </c>
    </row>
    <row r="175" spans="2:29" x14ac:dyDescent="0.2">
      <c r="B175" s="20" t="s">
        <v>306</v>
      </c>
      <c r="M175" s="154">
        <f>-M110/M53</f>
        <v>2.2765957446808511</v>
      </c>
      <c r="N175" s="154">
        <f>-N110/N53</f>
        <v>2.0788501026694046</v>
      </c>
      <c r="O175" s="154">
        <f>-O110/O53</f>
        <v>1.9286821705426356</v>
      </c>
      <c r="P175" s="154">
        <f>-P110/P53</f>
        <v>1.9476690620969228</v>
      </c>
      <c r="Q175" s="154">
        <f>-Q110/Q53</f>
        <v>1.9038982697519282</v>
      </c>
      <c r="T175" s="154">
        <f t="shared" ref="T175:Z175" si="167">-T110/T53</f>
        <v>1.7465229485396383</v>
      </c>
      <c r="U175" s="154">
        <f t="shared" si="167"/>
        <v>0.66648456705818082</v>
      </c>
      <c r="V175" s="154">
        <f t="shared" si="167"/>
        <v>0.7295264623955432</v>
      </c>
      <c r="W175" s="154">
        <f t="shared" si="167"/>
        <v>1.2648255813953488</v>
      </c>
      <c r="X175" s="154">
        <f t="shared" si="167"/>
        <v>1.9372361384745285</v>
      </c>
      <c r="Y175" s="154">
        <f t="shared" si="167"/>
        <v>3.5572478991596639</v>
      </c>
      <c r="Z175" s="154">
        <f t="shared" si="167"/>
        <v>0.71224051539012168</v>
      </c>
      <c r="AA175" s="154">
        <f t="shared" ref="AA175" si="168">-AA110/AA53</f>
        <v>2.2674829291264422</v>
      </c>
      <c r="AC175" s="154">
        <f>-AC110/AC53</f>
        <v>2.0915247800493701</v>
      </c>
    </row>
    <row r="176" spans="2:29" x14ac:dyDescent="0.2">
      <c r="B176" s="20" t="s">
        <v>359</v>
      </c>
      <c r="M176" s="223">
        <f>M5/M37</f>
        <v>0.37920433804972242</v>
      </c>
      <c r="N176" s="223">
        <f>N5/N37</f>
        <v>0.49440888904350994</v>
      </c>
      <c r="O176" s="223">
        <f>O5/O37</f>
        <v>0.55674312364184131</v>
      </c>
      <c r="P176" s="223">
        <f>P5/P37</f>
        <v>0.57463924875242756</v>
      </c>
      <c r="Q176" s="223">
        <f>Q5/Q37</f>
        <v>0.52083042613576469</v>
      </c>
      <c r="T176" s="49"/>
      <c r="U176" s="49"/>
      <c r="V176" s="49"/>
      <c r="W176" s="49"/>
      <c r="X176" s="49"/>
      <c r="Y176" s="49"/>
      <c r="Z176" s="49"/>
      <c r="AA176" s="49"/>
      <c r="AC176" s="223">
        <f>AC5/AC37</f>
        <v>0.55208676377912136</v>
      </c>
    </row>
    <row r="177" spans="1:31" x14ac:dyDescent="0.2">
      <c r="B177" s="20" t="s">
        <v>356</v>
      </c>
      <c r="M177" s="225" t="str">
        <f>IF(AND(M12&gt;0,M108&gt;0),M108/M12,"N/A")</f>
        <v>N/A</v>
      </c>
      <c r="N177" s="225" t="str">
        <f>IF(AND(N12&gt;0,N108&gt;0),N108/N12,"N/A")</f>
        <v>N/A</v>
      </c>
      <c r="O177" s="225" t="str">
        <f>IF(AND(O12&gt;0,O108&gt;0),O108/O12,"N/A")</f>
        <v>N/A</v>
      </c>
      <c r="P177" s="225" t="str">
        <f>IF(AND(P12&gt;0,P108&gt;0),P108/P12,"N/A")</f>
        <v>N/A</v>
      </c>
      <c r="Q177" s="225" t="str">
        <f>IF(AND(Q12&gt;0,Q108&gt;0),Q108/Q12,"N/A")</f>
        <v>N/A</v>
      </c>
      <c r="T177" s="49"/>
      <c r="U177" s="49"/>
      <c r="V177" s="49"/>
      <c r="W177" s="49"/>
      <c r="X177" s="49"/>
      <c r="Y177" s="49"/>
      <c r="Z177" s="49"/>
      <c r="AA177" s="49"/>
      <c r="AC177" s="225" t="str">
        <f>IF(AND(AC12&gt;0,AC108&gt;0),AC108/AC12,"N/A")</f>
        <v>N/A</v>
      </c>
    </row>
    <row r="178" spans="1:31" x14ac:dyDescent="0.2">
      <c r="B178" s="20" t="s">
        <v>357</v>
      </c>
      <c r="M178" s="225" t="str">
        <f>IF(AND(M12&gt;0,M108&gt;0),(M108-M107)/M12,"N/A")</f>
        <v>N/A</v>
      </c>
      <c r="N178" s="225" t="str">
        <f>IF(AND(N12&gt;0,N108&gt;0),(N108-N107)/N12,"N/A")</f>
        <v>N/A</v>
      </c>
      <c r="O178" s="225" t="str">
        <f>IF(AND(O12&gt;0,O108&gt;0),(O108-O107)/O12,"N/A")</f>
        <v>N/A</v>
      </c>
      <c r="P178" s="225" t="str">
        <f>IF(AND(P12&gt;0,P108&gt;0),(P108-P107)/P12,"N/A")</f>
        <v>N/A</v>
      </c>
      <c r="Q178" s="225" t="str">
        <f>IF(AND(Q12&gt;0,Q108&gt;0),(Q108-Q107)/Q12,"N/A")</f>
        <v>N/A</v>
      </c>
      <c r="T178" s="49"/>
      <c r="U178" s="49"/>
      <c r="V178" s="49"/>
      <c r="W178" s="49"/>
      <c r="X178" s="49"/>
      <c r="Y178" s="49"/>
      <c r="Z178" s="49"/>
      <c r="AA178" s="49"/>
      <c r="AC178" s="225" t="str">
        <f>IF(AND(AC12&gt;0,AC108&gt;0),(AC108-AC107)/AC12,"N/A")</f>
        <v>N/A</v>
      </c>
    </row>
    <row r="179" spans="1:31" x14ac:dyDescent="0.2">
      <c r="B179" s="20" t="s">
        <v>358</v>
      </c>
      <c r="M179" s="225">
        <f>M5/(M108+M112-M107)</f>
        <v>-6.1364459452845885</v>
      </c>
      <c r="N179" s="225">
        <f>N5/(N108+N112-N107)</f>
        <v>-5.5897703549060545</v>
      </c>
      <c r="O179" s="225">
        <f>O5/(O108+O112-O107)</f>
        <v>-5.7660923471104883</v>
      </c>
      <c r="P179" s="225">
        <f>P5/(P108+P112-P107)</f>
        <v>-4.9411376141940853</v>
      </c>
      <c r="Q179" s="225">
        <f>Q5/(Q108+Q112-Q107)</f>
        <v>14.523718872916113</v>
      </c>
      <c r="T179" s="49"/>
      <c r="U179" s="49"/>
      <c r="V179" s="49"/>
      <c r="W179" s="49"/>
      <c r="X179" s="49"/>
      <c r="Y179" s="49"/>
      <c r="Z179" s="49"/>
      <c r="AA179" s="49"/>
      <c r="AC179" s="225">
        <f>AC5/(AC108+AC112-AC107)</f>
        <v>-167.96274020830276</v>
      </c>
    </row>
    <row r="181" spans="1:31" x14ac:dyDescent="0.2">
      <c r="B181" s="1"/>
    </row>
    <row r="182" spans="1:31" s="15" customFormat="1" ht="17" thickBot="1" x14ac:dyDescent="0.25">
      <c r="A182" s="11"/>
      <c r="B182" s="14" t="s">
        <v>82</v>
      </c>
      <c r="R182" s="1"/>
      <c r="S182" s="1"/>
      <c r="AB182" s="1"/>
      <c r="AD182" s="1"/>
      <c r="AE182" s="1"/>
    </row>
    <row r="183" spans="1:31" x14ac:dyDescent="0.2">
      <c r="B183" s="20" t="s">
        <v>371</v>
      </c>
      <c r="C183" s="62"/>
      <c r="D183" s="62"/>
      <c r="E183" s="62"/>
      <c r="F183" s="62"/>
      <c r="G183" s="62"/>
      <c r="H183" s="62"/>
      <c r="I183" s="62"/>
      <c r="J183" s="62"/>
      <c r="K183" s="62"/>
      <c r="L183" s="62"/>
      <c r="M183" s="21">
        <v>180698</v>
      </c>
      <c r="N183" s="21">
        <v>273507</v>
      </c>
      <c r="O183" s="21">
        <v>404684</v>
      </c>
      <c r="P183" s="21">
        <v>607531</v>
      </c>
      <c r="Q183" s="21">
        <v>873442</v>
      </c>
      <c r="T183" s="21">
        <v>157617</v>
      </c>
      <c r="U183" s="21">
        <v>174317</v>
      </c>
      <c r="V183" s="21">
        <v>190987</v>
      </c>
      <c r="W183" s="21">
        <v>210678</v>
      </c>
      <c r="X183" s="21">
        <v>229491</v>
      </c>
      <c r="Y183" s="21">
        <v>242286</v>
      </c>
      <c r="Z183" s="21">
        <v>250908</v>
      </c>
      <c r="AA183" s="21">
        <v>258035</v>
      </c>
      <c r="AC183" s="62">
        <f>SUM(X183:AA183)</f>
        <v>980720</v>
      </c>
    </row>
    <row r="184" spans="1:31" x14ac:dyDescent="0.2">
      <c r="B184" s="20" t="s">
        <v>372</v>
      </c>
      <c r="C184" s="62"/>
      <c r="D184" s="62"/>
      <c r="E184" s="62"/>
      <c r="F184" s="62"/>
      <c r="G184" s="62"/>
      <c r="H184" s="62"/>
      <c r="I184" s="62"/>
      <c r="J184" s="62"/>
      <c r="K184" s="62"/>
      <c r="L184" s="62"/>
      <c r="M184" s="21">
        <v>38501</v>
      </c>
      <c r="N184" s="21">
        <v>44731</v>
      </c>
      <c r="O184" s="21">
        <v>49858</v>
      </c>
      <c r="P184" s="21">
        <v>54907</v>
      </c>
      <c r="Q184" s="21">
        <v>79725</v>
      </c>
      <c r="T184" s="21">
        <v>14405</v>
      </c>
      <c r="U184" s="21">
        <v>14292</v>
      </c>
      <c r="V184" s="21">
        <v>17882</v>
      </c>
      <c r="W184" s="21">
        <v>20603</v>
      </c>
      <c r="X184" s="21">
        <v>21019</v>
      </c>
      <c r="Y184" s="21">
        <v>20221</v>
      </c>
      <c r="Z184" s="21">
        <v>20614</v>
      </c>
      <c r="AA184" s="21">
        <v>21052</v>
      </c>
      <c r="AC184" s="62">
        <f t="shared" ref="AC184:AC187" si="169">SUM(X184:AA184)</f>
        <v>82906</v>
      </c>
    </row>
    <row r="185" spans="1:31" x14ac:dyDescent="0.2">
      <c r="B185" s="20" t="s">
        <v>373</v>
      </c>
      <c r="C185" s="62"/>
      <c r="D185" s="62"/>
      <c r="E185" s="62"/>
      <c r="F185" s="62"/>
      <c r="G185" s="62"/>
      <c r="H185" s="62"/>
      <c r="I185" s="62"/>
      <c r="J185" s="62"/>
      <c r="K185" s="62"/>
      <c r="L185" s="62"/>
      <c r="M185" s="21">
        <v>24658</v>
      </c>
      <c r="N185" s="21">
        <v>32718</v>
      </c>
      <c r="O185" s="21">
        <v>41212</v>
      </c>
      <c r="P185" s="21">
        <v>45640</v>
      </c>
      <c r="Q185" s="21">
        <v>42006</v>
      </c>
      <c r="T185" s="21">
        <v>10772</v>
      </c>
      <c r="U185" s="21">
        <v>11415</v>
      </c>
      <c r="V185" s="21">
        <v>11986</v>
      </c>
      <c r="W185" s="21">
        <v>10088</v>
      </c>
      <c r="X185" s="21">
        <v>9649</v>
      </c>
      <c r="Y185" s="21">
        <v>10283</v>
      </c>
      <c r="Z185" s="21">
        <v>11317</v>
      </c>
      <c r="AA185" s="21">
        <v>10109</v>
      </c>
      <c r="AC185" s="62">
        <f t="shared" si="169"/>
        <v>41358</v>
      </c>
    </row>
    <row r="186" spans="1:31" x14ac:dyDescent="0.2">
      <c r="B186" s="20" t="s">
        <v>374</v>
      </c>
      <c r="C186" s="21"/>
      <c r="D186" s="21"/>
      <c r="E186" s="21"/>
      <c r="F186" s="21"/>
      <c r="G186" s="21"/>
      <c r="H186" s="21"/>
      <c r="I186" s="21"/>
      <c r="J186" s="21"/>
      <c r="K186" s="21"/>
      <c r="L186" s="21"/>
      <c r="M186" s="21">
        <v>6915</v>
      </c>
      <c r="N186" s="21">
        <v>18539</v>
      </c>
      <c r="O186" s="21">
        <v>34673</v>
      </c>
      <c r="P186" s="21">
        <v>38653</v>
      </c>
      <c r="Q186" s="21">
        <v>40479</v>
      </c>
      <c r="T186" s="21">
        <v>9411</v>
      </c>
      <c r="U186" s="21">
        <v>9142</v>
      </c>
      <c r="V186" s="21">
        <v>9442</v>
      </c>
      <c r="W186" s="21">
        <v>10390</v>
      </c>
      <c r="X186" s="21">
        <v>11096</v>
      </c>
      <c r="Y186" s="21">
        <v>9551</v>
      </c>
      <c r="Z186" s="21">
        <v>8446</v>
      </c>
      <c r="AA186" s="21">
        <v>8002</v>
      </c>
      <c r="AC186" s="62">
        <f t="shared" si="169"/>
        <v>37095</v>
      </c>
    </row>
    <row r="187" spans="1:31" x14ac:dyDescent="0.2">
      <c r="B187" s="20" t="s">
        <v>375</v>
      </c>
      <c r="C187" s="62"/>
      <c r="D187" s="62"/>
      <c r="E187" s="62"/>
      <c r="F187" s="62"/>
      <c r="G187" s="62"/>
      <c r="H187" s="62"/>
      <c r="I187" s="62"/>
      <c r="J187" s="62"/>
      <c r="K187" s="62"/>
      <c r="L187" s="62"/>
      <c r="M187" s="21">
        <v>79</v>
      </c>
      <c r="N187" s="21">
        <v>625</v>
      </c>
      <c r="O187" s="21">
        <v>682</v>
      </c>
      <c r="P187" s="21">
        <v>1293</v>
      </c>
      <c r="Q187" s="21">
        <v>1937</v>
      </c>
      <c r="T187" s="21">
        <v>389</v>
      </c>
      <c r="U187" s="21">
        <v>384</v>
      </c>
      <c r="V187" s="21">
        <v>446</v>
      </c>
      <c r="W187" s="21">
        <v>506</v>
      </c>
      <c r="X187" s="21">
        <v>458</v>
      </c>
      <c r="Y187" s="21">
        <v>527</v>
      </c>
      <c r="Z187" s="21">
        <v>682</v>
      </c>
      <c r="AA187" s="21">
        <v>1256</v>
      </c>
      <c r="AC187" s="62">
        <f t="shared" si="169"/>
        <v>2923</v>
      </c>
    </row>
    <row r="188" spans="1:31" x14ac:dyDescent="0.2">
      <c r="C188" s="21"/>
      <c r="D188" s="21"/>
      <c r="E188" s="21"/>
      <c r="F188" s="21"/>
      <c r="G188" s="21"/>
      <c r="H188" s="21"/>
      <c r="I188" s="21"/>
      <c r="J188" s="21"/>
      <c r="K188" s="21"/>
      <c r="L188" s="21"/>
      <c r="M188" s="21"/>
    </row>
    <row r="189" spans="1:31" x14ac:dyDescent="0.2">
      <c r="B189" s="1"/>
    </row>
    <row r="190" spans="1:31" ht="17" thickBot="1" x14ac:dyDescent="0.25">
      <c r="B190" s="14" t="s">
        <v>315</v>
      </c>
      <c r="C190" s="170"/>
      <c r="D190" s="170"/>
      <c r="E190" s="170"/>
      <c r="F190" s="170"/>
      <c r="G190" s="170"/>
      <c r="H190" s="170"/>
      <c r="I190" s="170"/>
      <c r="J190" s="170"/>
      <c r="K190" s="170"/>
      <c r="L190" s="170"/>
      <c r="M190" s="170"/>
      <c r="N190" s="170"/>
      <c r="O190" s="170"/>
      <c r="P190" s="170"/>
      <c r="Q190" s="170"/>
      <c r="T190" s="170"/>
      <c r="U190" s="170"/>
      <c r="V190" s="170"/>
      <c r="W190" s="170"/>
      <c r="X190" s="170"/>
      <c r="Y190" s="170"/>
      <c r="Z190" s="170"/>
      <c r="AA190" s="170"/>
      <c r="AC190" s="170"/>
    </row>
    <row r="191" spans="1:31" x14ac:dyDescent="0.2">
      <c r="B191" s="20" t="s">
        <v>371</v>
      </c>
      <c r="C191" s="81"/>
      <c r="D191" s="81"/>
      <c r="E191" s="81"/>
      <c r="F191" s="81"/>
      <c r="G191" s="81"/>
      <c r="H191" s="81"/>
      <c r="I191" s="81"/>
      <c r="J191" s="81"/>
      <c r="K191" s="81"/>
      <c r="L191" s="81"/>
      <c r="M191" s="81">
        <f t="shared" ref="M191:Q193" si="170">IF(L183=0,
IF(M183=0,0,IF(M183&gt;0,1,-1)),
(M183-L183)/ABS(L183)
)</f>
        <v>1</v>
      </c>
      <c r="N191" s="81">
        <f t="shared" si="170"/>
        <v>0.51361387508439493</v>
      </c>
      <c r="O191" s="81">
        <f t="shared" si="170"/>
        <v>0.47961112512659637</v>
      </c>
      <c r="P191" s="81">
        <f t="shared" si="170"/>
        <v>0.50124788724041469</v>
      </c>
      <c r="Q191" s="81">
        <f t="shared" si="170"/>
        <v>0.43769124538500914</v>
      </c>
      <c r="T191" s="81">
        <f t="shared" ref="T191:T195" si="171">IF(S183=0,
IF(T183=0,0,IF(T183&gt;0,1,-1)),
(T183-S183)/ABS(S183)
)</f>
        <v>1</v>
      </c>
      <c r="U191" s="81">
        <f t="shared" ref="U191:U195" si="172">IF(T183=0,
IF(U183=0,0,IF(U183&gt;0,1,-1)),
(U183-T183)/ABS(T183)
)</f>
        <v>0.10595303806061529</v>
      </c>
      <c r="V191" s="81">
        <f t="shared" ref="V191:V195" si="173">IF(U183=0,
IF(V183=0,0,IF(V183&gt;0,1,-1)),
(V183-U183)/ABS(U183)
)</f>
        <v>9.5630374547519742E-2</v>
      </c>
      <c r="W191" s="81">
        <f t="shared" ref="W191:W195" si="174">IF(V183=0,
IF(W183=0,0,IF(W183&gt;0,1,-1)),
(W183-V183)/ABS(V183)
)</f>
        <v>0.10310125820081995</v>
      </c>
      <c r="X191" s="81">
        <f t="shared" ref="X191:X195" si="175">IF(W183=0,
IF(X183=0,0,IF(X183&gt;0,1,-1)),
(X183-W183)/ABS(W183)
)</f>
        <v>8.9297411215219433E-2</v>
      </c>
      <c r="Y191" s="81">
        <f t="shared" ref="Y191:Y195" si="176">IF(X183=0,
IF(Y183=0,0,IF(Y183&gt;0,1,-1)),
(Y183-X183)/ABS(X183)
)</f>
        <v>5.5753820411257961E-2</v>
      </c>
      <c r="Z191" s="81">
        <f t="shared" ref="Z191:Z195" si="177">IF(Y183=0,
IF(Z183=0,0,IF(Z183&gt;0,1,-1)),
(Z183-Y183)/ABS(Y183)
)</f>
        <v>3.5586042940987099E-2</v>
      </c>
      <c r="AA191" s="81">
        <f t="shared" ref="AA191:AA192" si="178">IF(Z183=0,
IF(AA183=0,0,IF(AA183&gt;0,1,-1)),
(AA183-Z183)/ABS(Z183)
)</f>
        <v>2.840483364420425E-2</v>
      </c>
      <c r="AC191" s="49"/>
    </row>
    <row r="192" spans="1:31" x14ac:dyDescent="0.2">
      <c r="B192" s="20" t="s">
        <v>372</v>
      </c>
      <c r="M192" s="81">
        <f t="shared" si="170"/>
        <v>1</v>
      </c>
      <c r="N192" s="81">
        <f t="shared" si="170"/>
        <v>0.161813978857692</v>
      </c>
      <c r="O192" s="81">
        <f t="shared" si="170"/>
        <v>0.11461849723905122</v>
      </c>
      <c r="P192" s="81">
        <f t="shared" si="170"/>
        <v>0.10126759998395443</v>
      </c>
      <c r="Q192" s="81">
        <f t="shared" si="170"/>
        <v>0.45200065565410602</v>
      </c>
      <c r="T192" s="81">
        <f t="shared" si="171"/>
        <v>1</v>
      </c>
      <c r="U192" s="81">
        <f t="shared" si="172"/>
        <v>-7.8444984380423455E-3</v>
      </c>
      <c r="V192" s="81">
        <f t="shared" si="173"/>
        <v>0.25118947663028268</v>
      </c>
      <c r="W192" s="81">
        <f t="shared" si="174"/>
        <v>0.15216418745106811</v>
      </c>
      <c r="X192" s="81">
        <f t="shared" si="175"/>
        <v>2.019123428626899E-2</v>
      </c>
      <c r="Y192" s="81">
        <f t="shared" si="176"/>
        <v>-3.796565012607641E-2</v>
      </c>
      <c r="Z192" s="81">
        <f t="shared" si="177"/>
        <v>1.9435240591464318E-2</v>
      </c>
      <c r="AA192" s="81">
        <f t="shared" si="178"/>
        <v>2.1247695740758708E-2</v>
      </c>
      <c r="AC192" s="49"/>
    </row>
    <row r="193" spans="1:31" x14ac:dyDescent="0.2">
      <c r="B193" s="20" t="s">
        <v>373</v>
      </c>
      <c r="M193" s="81">
        <f t="shared" si="170"/>
        <v>1</v>
      </c>
      <c r="N193" s="81">
        <f t="shared" ref="N193:N195" si="179">IF(M185=0,
IF(N185=0,0,IF(N185&gt;0,1,-1)),
(N185-M185)/ABS(M185)
)</f>
        <v>0.32687160353637762</v>
      </c>
      <c r="O193" s="81">
        <f t="shared" ref="O193:O195" si="180">IF(N185=0,
IF(O185=0,0,IF(O185&gt;0,1,-1)),
(O185-N185)/ABS(N185)
)</f>
        <v>0.25961244574851766</v>
      </c>
      <c r="P193" s="81">
        <f t="shared" ref="P193:P195" si="181">IF(O185=0,
IF(P185=0,0,IF(P185&gt;0,1,-1)),
(P185-O185)/ABS(O185)
)</f>
        <v>0.107444433660099</v>
      </c>
      <c r="Q193" s="81">
        <f t="shared" ref="Q193:Q195" si="182">IF(P185=0,
IF(Q185=0,0,IF(Q185&gt;0,1,-1)),
(Q185-P185)/ABS(P185)
)</f>
        <v>-7.9623137598597724E-2</v>
      </c>
      <c r="T193" s="81">
        <f t="shared" si="171"/>
        <v>1</v>
      </c>
      <c r="U193" s="81">
        <f t="shared" si="172"/>
        <v>5.9691793538804307E-2</v>
      </c>
      <c r="V193" s="81">
        <f t="shared" si="173"/>
        <v>5.0021901007446343E-2</v>
      </c>
      <c r="W193" s="81">
        <f t="shared" si="174"/>
        <v>-0.15835140997830802</v>
      </c>
      <c r="X193" s="81">
        <f t="shared" si="175"/>
        <v>-4.3517049960348927E-2</v>
      </c>
      <c r="Y193" s="81">
        <f t="shared" si="176"/>
        <v>6.5706290807337545E-2</v>
      </c>
      <c r="Z193" s="81">
        <f t="shared" si="177"/>
        <v>0.10055431294369348</v>
      </c>
      <c r="AA193" s="81">
        <f t="shared" ref="AA193:AA195" si="183">IF(Z185=0,
IF(AA185=0,0,IF(AA185&gt;0,1,-1)),
(AA185-Z185)/ABS(Z185)
)</f>
        <v>-0.10674206945303526</v>
      </c>
      <c r="AC193" s="49"/>
    </row>
    <row r="194" spans="1:31" x14ac:dyDescent="0.2">
      <c r="B194" s="20" t="s">
        <v>374</v>
      </c>
      <c r="M194" s="81">
        <f t="shared" ref="M194:M195" si="184">IF(L186=0,
IF(M186=0,0,IF(M186&gt;0,1,-1)),
(M186-L186)/ABS(L186)
)</f>
        <v>1</v>
      </c>
      <c r="N194" s="81">
        <f t="shared" si="179"/>
        <v>1.6809833694866232</v>
      </c>
      <c r="O194" s="81">
        <f t="shared" si="180"/>
        <v>0.87027347753384754</v>
      </c>
      <c r="P194" s="81">
        <f t="shared" si="181"/>
        <v>0.11478672165662042</v>
      </c>
      <c r="Q194" s="81">
        <f t="shared" si="182"/>
        <v>4.7240835122758909E-2</v>
      </c>
      <c r="T194" s="81">
        <f t="shared" si="171"/>
        <v>1</v>
      </c>
      <c r="U194" s="81">
        <f t="shared" si="172"/>
        <v>-2.8583572415258739E-2</v>
      </c>
      <c r="V194" s="81">
        <f t="shared" si="173"/>
        <v>3.281557646029315E-2</v>
      </c>
      <c r="W194" s="81">
        <f t="shared" si="174"/>
        <v>0.10040245710654522</v>
      </c>
      <c r="X194" s="81">
        <f t="shared" si="175"/>
        <v>6.7949951876804623E-2</v>
      </c>
      <c r="Y194" s="81">
        <f t="shared" si="176"/>
        <v>-0.13923936553713051</v>
      </c>
      <c r="Z194" s="81">
        <f t="shared" si="177"/>
        <v>-0.11569469165532405</v>
      </c>
      <c r="AA194" s="81">
        <f t="shared" si="183"/>
        <v>-5.2569263556713236E-2</v>
      </c>
      <c r="AC194" s="49"/>
    </row>
    <row r="195" spans="1:31" x14ac:dyDescent="0.2">
      <c r="B195" s="20" t="s">
        <v>375</v>
      </c>
      <c r="M195" s="81">
        <f t="shared" si="184"/>
        <v>1</v>
      </c>
      <c r="N195" s="81">
        <f t="shared" si="179"/>
        <v>6.9113924050632916</v>
      </c>
      <c r="O195" s="81">
        <f t="shared" si="180"/>
        <v>9.1200000000000003E-2</v>
      </c>
      <c r="P195" s="81">
        <f t="shared" si="181"/>
        <v>0.89589442815249265</v>
      </c>
      <c r="Q195" s="81">
        <f t="shared" si="182"/>
        <v>0.49806651198762569</v>
      </c>
      <c r="T195" s="81">
        <f t="shared" si="171"/>
        <v>1</v>
      </c>
      <c r="U195" s="81">
        <f t="shared" si="172"/>
        <v>-1.2853470437017995E-2</v>
      </c>
      <c r="V195" s="81">
        <f t="shared" si="173"/>
        <v>0.16145833333333334</v>
      </c>
      <c r="W195" s="81">
        <f t="shared" si="174"/>
        <v>0.13452914798206278</v>
      </c>
      <c r="X195" s="81">
        <f t="shared" si="175"/>
        <v>-9.4861660079051377E-2</v>
      </c>
      <c r="Y195" s="81">
        <f t="shared" si="176"/>
        <v>0.15065502183406113</v>
      </c>
      <c r="Z195" s="81">
        <f t="shared" si="177"/>
        <v>0.29411764705882354</v>
      </c>
      <c r="AA195" s="81">
        <f t="shared" si="183"/>
        <v>0.84164222873900296</v>
      </c>
      <c r="AC195" s="49"/>
    </row>
    <row r="197" spans="1:31" x14ac:dyDescent="0.2">
      <c r="B197" s="1"/>
    </row>
    <row r="198" spans="1:31" ht="17" thickBot="1" x14ac:dyDescent="0.25">
      <c r="B198" s="14" t="s">
        <v>316</v>
      </c>
      <c r="C198" s="170"/>
      <c r="D198" s="170"/>
      <c r="E198" s="170"/>
      <c r="F198" s="170"/>
      <c r="G198" s="170"/>
      <c r="H198" s="170"/>
      <c r="I198" s="170"/>
      <c r="J198" s="170"/>
      <c r="K198" s="170"/>
      <c r="L198" s="170"/>
      <c r="M198" s="170"/>
      <c r="N198" s="170"/>
      <c r="O198" s="170"/>
      <c r="P198" s="170"/>
      <c r="Q198" s="170"/>
      <c r="T198" s="170"/>
      <c r="U198" s="170"/>
      <c r="V198" s="170"/>
      <c r="W198" s="170"/>
      <c r="X198" s="170"/>
      <c r="Y198" s="170"/>
      <c r="Z198" s="170"/>
      <c r="AA198" s="170"/>
      <c r="AC198" s="170"/>
    </row>
    <row r="199" spans="1:31" x14ac:dyDescent="0.2">
      <c r="B199" s="20" t="s">
        <v>288</v>
      </c>
      <c r="C199" s="81"/>
      <c r="D199" s="81"/>
      <c r="E199" s="81"/>
      <c r="F199" s="81"/>
      <c r="G199" s="81"/>
      <c r="H199" s="81"/>
      <c r="I199" s="81"/>
      <c r="J199" s="81"/>
      <c r="K199" s="81"/>
      <c r="L199" s="81"/>
      <c r="M199" s="81">
        <f>IF(L64=0,
IF(M64=0,0,IF(M64&gt;0,1,-1)),
(M64-L64)/L64
)</f>
        <v>0</v>
      </c>
      <c r="N199" s="81">
        <f>IF(M64=0,
IF(N64=0,0,IF(N64&gt;0,1,-1)),
(N64-M64)/M64
)</f>
        <v>0</v>
      </c>
      <c r="O199" s="81">
        <f>IF(N64=0,
IF(O64=0,0,IF(O64&gt;0,1,-1)),
(O64-N64)/N64
)</f>
        <v>0</v>
      </c>
      <c r="P199" s="81">
        <f>IF(O64=0,
IF(P64=0,0,IF(P64&gt;0,1,-1)),
(P64-O64)/O64
)</f>
        <v>0</v>
      </c>
      <c r="Q199" s="81">
        <f>IF(P64=0,
IF(Q64=0,0,IF(Q64&gt;0,1,-1)),
(Q64-P64)/P64
)</f>
        <v>0</v>
      </c>
      <c r="T199" s="49"/>
      <c r="U199" s="49"/>
      <c r="V199" s="49"/>
      <c r="W199" s="49"/>
      <c r="X199" s="49"/>
      <c r="Y199" s="49"/>
      <c r="Z199" s="49"/>
      <c r="AA199" s="49"/>
      <c r="AC199" s="49"/>
    </row>
    <row r="201" spans="1:31" x14ac:dyDescent="0.2">
      <c r="B201" s="1"/>
    </row>
    <row r="202" spans="1:31" ht="17" thickBot="1" x14ac:dyDescent="0.25">
      <c r="B202" s="14" t="s">
        <v>351</v>
      </c>
      <c r="C202" s="170"/>
      <c r="D202" s="170"/>
      <c r="E202" s="170"/>
      <c r="F202" s="170"/>
      <c r="G202" s="170"/>
      <c r="H202" s="170"/>
      <c r="I202" s="170"/>
      <c r="J202" s="170"/>
      <c r="K202" s="170"/>
      <c r="L202" s="170"/>
      <c r="M202" s="170"/>
      <c r="N202" s="170"/>
      <c r="O202" s="170"/>
      <c r="P202" s="170"/>
      <c r="Q202" s="170"/>
      <c r="T202" s="170"/>
      <c r="U202" s="170"/>
      <c r="V202" s="170"/>
      <c r="W202" s="170"/>
      <c r="X202" s="170"/>
      <c r="Y202" s="170"/>
      <c r="Z202" s="170"/>
      <c r="AA202" s="170"/>
      <c r="AC202" s="170"/>
    </row>
    <row r="203" spans="1:31" x14ac:dyDescent="0.2">
      <c r="B203" s="20" t="s">
        <v>352</v>
      </c>
      <c r="M203" s="143">
        <v>100</v>
      </c>
      <c r="N203" s="143">
        <f>100*(1+((N117-$M117)/ABS($M117)))</f>
        <v>64.324470971242548</v>
      </c>
      <c r="O203" s="143">
        <f>100*(1+((O117-$M117)/ABS($M117)))</f>
        <v>205.14559594863445</v>
      </c>
      <c r="P203" s="143">
        <f>100*(1+((P117-$M117)/ABS($M117)))</f>
        <v>294.08572978838851</v>
      </c>
      <c r="Q203" s="143">
        <f>100*(1+((Q117-$M117)/ABS($M117)))</f>
        <v>160.19171640441309</v>
      </c>
      <c r="T203" s="49"/>
      <c r="U203" s="49"/>
      <c r="V203" s="49"/>
      <c r="W203" s="49"/>
      <c r="X203" s="49"/>
      <c r="Y203" s="49"/>
      <c r="Z203" s="49"/>
      <c r="AA203" s="49"/>
      <c r="AC203" s="49"/>
    </row>
    <row r="204" spans="1:31" x14ac:dyDescent="0.2">
      <c r="B204" s="20" t="s">
        <v>353</v>
      </c>
      <c r="M204" s="143">
        <v>100</v>
      </c>
      <c r="N204" s="143">
        <f>100*(1+((N5-$M5)/ABS($M5)))</f>
        <v>147.34300480117398</v>
      </c>
      <c r="O204" s="143">
        <f>100*(1+((O5-$M5)/ABS($M5)))</f>
        <v>211.78959373454771</v>
      </c>
      <c r="P204" s="143">
        <f>100*(1+((P5-$M5)/ABS($M5)))</f>
        <v>298.28848515783261</v>
      </c>
      <c r="Q204" s="143">
        <f>100*(1+((Q5-$M5)/ABS($M5)))</f>
        <v>413.75791555676074</v>
      </c>
      <c r="T204" s="49"/>
      <c r="U204" s="49"/>
      <c r="V204" s="49"/>
      <c r="W204" s="49"/>
      <c r="X204" s="49"/>
      <c r="Y204" s="49"/>
      <c r="Z204" s="49"/>
      <c r="AA204" s="49"/>
      <c r="AC204" s="49"/>
    </row>
    <row r="205" spans="1:31" x14ac:dyDescent="0.2">
      <c r="B205" s="20" t="s">
        <v>354</v>
      </c>
      <c r="M205" s="143">
        <v>100</v>
      </c>
      <c r="N205" s="143">
        <f>100*(1+((N26-$M26)/ABS($M26)))</f>
        <v>141.24513618677042</v>
      </c>
      <c r="O205" s="143">
        <f>100*(1+((O26-$M26)/ABS($M26)))</f>
        <v>213.61867704280155</v>
      </c>
      <c r="P205" s="143">
        <f>100*(1+((P26-$M26)/ABS($M26)))</f>
        <v>273.15175097276267</v>
      </c>
      <c r="Q205" s="143">
        <f>100*(1+((Q26-$M26)/ABS($M26)))</f>
        <v>326.73230170585919</v>
      </c>
      <c r="T205" s="49"/>
      <c r="U205" s="49"/>
      <c r="V205" s="49"/>
      <c r="W205" s="49"/>
      <c r="X205" s="49"/>
      <c r="Y205" s="49"/>
      <c r="Z205" s="49"/>
      <c r="AA205" s="49"/>
      <c r="AC205" s="49"/>
    </row>
    <row r="207" spans="1:31" x14ac:dyDescent="0.2">
      <c r="B207" s="1"/>
    </row>
    <row r="208" spans="1:31" s="15" customFormat="1" ht="17" thickBot="1" x14ac:dyDescent="0.25">
      <c r="A208" s="11"/>
      <c r="B208" s="14" t="s">
        <v>110</v>
      </c>
      <c r="R208" s="1"/>
      <c r="S208" s="1"/>
      <c r="AB208" s="1"/>
      <c r="AD208" s="1"/>
      <c r="AE208" s="1"/>
    </row>
    <row r="209" spans="2:29" x14ac:dyDescent="0.2">
      <c r="B209" s="20" t="s">
        <v>376</v>
      </c>
      <c r="C209" s="62"/>
      <c r="D209" s="62"/>
      <c r="E209" s="62"/>
      <c r="F209" s="62"/>
      <c r="G209" s="62"/>
      <c r="H209" s="62"/>
      <c r="I209" s="62"/>
      <c r="J209" s="62"/>
      <c r="K209" s="62"/>
      <c r="L209" s="62"/>
      <c r="M209" s="21">
        <v>9600</v>
      </c>
      <c r="N209" s="21">
        <v>16300</v>
      </c>
      <c r="O209" s="21">
        <v>26900</v>
      </c>
      <c r="P209" s="21">
        <v>40500</v>
      </c>
      <c r="Q209" s="21">
        <v>52700</v>
      </c>
      <c r="T209" s="21">
        <v>37200</v>
      </c>
      <c r="U209" s="21">
        <v>40500</v>
      </c>
      <c r="V209" s="21">
        <v>46600</v>
      </c>
      <c r="W209" s="21">
        <v>47700</v>
      </c>
      <c r="X209" s="21">
        <v>50500</v>
      </c>
      <c r="Y209" s="21">
        <v>52700</v>
      </c>
      <c r="Z209" s="21">
        <v>56500</v>
      </c>
      <c r="AA209" s="21">
        <v>58700</v>
      </c>
      <c r="AC209" s="21">
        <f>AA209</f>
        <v>58700</v>
      </c>
    </row>
    <row r="210" spans="2:29" x14ac:dyDescent="0.2">
      <c r="B210" s="20" t="s">
        <v>377</v>
      </c>
      <c r="C210" s="62"/>
      <c r="D210" s="62"/>
      <c r="E210" s="62"/>
      <c r="F210" s="62"/>
      <c r="G210" s="62"/>
      <c r="H210" s="62"/>
      <c r="I210" s="62"/>
      <c r="J210" s="62"/>
      <c r="K210" s="62"/>
      <c r="L210" s="62"/>
      <c r="M210" s="21">
        <v>40500</v>
      </c>
      <c r="N210" s="21">
        <v>60700</v>
      </c>
      <c r="O210" s="21">
        <v>88400</v>
      </c>
      <c r="P210" s="21">
        <v>116700</v>
      </c>
      <c r="Q210" s="21">
        <v>133100</v>
      </c>
      <c r="T210" s="21">
        <v>113100</v>
      </c>
      <c r="U210" s="21">
        <v>116700</v>
      </c>
      <c r="V210" s="21">
        <v>130200</v>
      </c>
      <c r="W210" s="21">
        <v>128300</v>
      </c>
      <c r="X210" s="21">
        <v>135300</v>
      </c>
      <c r="Y210" s="21">
        <v>133100</v>
      </c>
      <c r="Z210" s="21">
        <v>137800</v>
      </c>
      <c r="AA210" s="21">
        <v>140600</v>
      </c>
      <c r="AC210" s="21">
        <f t="shared" ref="AC210:AC212" si="185">AA210</f>
        <v>140600</v>
      </c>
    </row>
    <row r="211" spans="2:29" x14ac:dyDescent="0.2">
      <c r="B211" s="20" t="s">
        <v>378</v>
      </c>
      <c r="C211" s="57"/>
      <c r="D211" s="57"/>
      <c r="E211" s="57"/>
      <c r="F211" s="57"/>
      <c r="G211" s="57"/>
      <c r="H211" s="57"/>
      <c r="I211" s="57"/>
      <c r="J211" s="57"/>
      <c r="K211" s="57"/>
      <c r="L211" s="82"/>
      <c r="M211" s="21">
        <v>2500</v>
      </c>
      <c r="N211" s="21">
        <v>4200</v>
      </c>
      <c r="O211" s="21">
        <v>6600</v>
      </c>
      <c r="P211" s="21">
        <v>9500</v>
      </c>
      <c r="Q211" s="21">
        <v>12200</v>
      </c>
      <c r="T211" s="21">
        <v>8600</v>
      </c>
      <c r="U211" s="21">
        <v>9500</v>
      </c>
      <c r="V211" s="21">
        <v>10300</v>
      </c>
      <c r="W211" s="21">
        <v>10900</v>
      </c>
      <c r="X211" s="21">
        <v>11500</v>
      </c>
      <c r="Y211" s="21">
        <v>12200</v>
      </c>
      <c r="Z211" s="21">
        <v>12500</v>
      </c>
      <c r="AA211" s="21">
        <v>12700</v>
      </c>
      <c r="AC211" s="21">
        <f t="shared" si="185"/>
        <v>12700</v>
      </c>
    </row>
    <row r="212" spans="2:29" x14ac:dyDescent="0.2">
      <c r="B212" s="20" t="s">
        <v>379</v>
      </c>
      <c r="M212" s="128">
        <f>M210-M211</f>
        <v>38000</v>
      </c>
      <c r="N212" s="128">
        <f t="shared" ref="N212:Q212" si="186">N210-N211</f>
        <v>56500</v>
      </c>
      <c r="O212" s="128">
        <f t="shared" si="186"/>
        <v>81800</v>
      </c>
      <c r="P212" s="128">
        <f t="shared" si="186"/>
        <v>107200</v>
      </c>
      <c r="Q212" s="128">
        <f t="shared" si="186"/>
        <v>120900</v>
      </c>
      <c r="T212" s="128">
        <f t="shared" ref="T212" si="187">T210-T211</f>
        <v>104500</v>
      </c>
      <c r="U212" s="128">
        <f t="shared" ref="U212" si="188">U210-U211</f>
        <v>107200</v>
      </c>
      <c r="V212" s="128">
        <f t="shared" ref="V212" si="189">V210-V211</f>
        <v>119900</v>
      </c>
      <c r="W212" s="128">
        <f t="shared" ref="W212" si="190">W210-W211</f>
        <v>117400</v>
      </c>
      <c r="X212" s="128">
        <f t="shared" ref="X212" si="191">X210-X211</f>
        <v>123800</v>
      </c>
      <c r="Y212" s="128">
        <f t="shared" ref="Y212" si="192">Y210-Y211</f>
        <v>120900</v>
      </c>
      <c r="Z212" s="128">
        <f t="shared" ref="Z212:AA212" si="193">Z210-Z211</f>
        <v>125300</v>
      </c>
      <c r="AA212" s="128">
        <f t="shared" si="193"/>
        <v>127900</v>
      </c>
      <c r="AC212" s="21">
        <f t="shared" si="185"/>
        <v>127900</v>
      </c>
    </row>
    <row r="213" spans="2:29" x14ac:dyDescent="0.2">
      <c r="B213" s="228" t="s">
        <v>380</v>
      </c>
      <c r="M213" s="229">
        <f>M183/M211</f>
        <v>72.279200000000003</v>
      </c>
      <c r="N213" s="229">
        <f t="shared" ref="N213:Q213" si="194">N183/N211</f>
        <v>65.120714285714286</v>
      </c>
      <c r="O213" s="229">
        <f t="shared" si="194"/>
        <v>61.315757575757573</v>
      </c>
      <c r="P213" s="229">
        <f t="shared" si="194"/>
        <v>63.950631578947366</v>
      </c>
      <c r="Q213" s="229">
        <f t="shared" si="194"/>
        <v>71.593606557377043</v>
      </c>
      <c r="T213" s="229">
        <f t="shared" ref="T213:Z213" si="195">T183/T211</f>
        <v>18.327558139534883</v>
      </c>
      <c r="U213" s="229">
        <f t="shared" si="195"/>
        <v>18.349157894736841</v>
      </c>
      <c r="V213" s="229">
        <f t="shared" si="195"/>
        <v>18.542427184466021</v>
      </c>
      <c r="W213" s="229">
        <f t="shared" si="195"/>
        <v>19.328256880733946</v>
      </c>
      <c r="X213" s="229">
        <f t="shared" si="195"/>
        <v>19.955739130434782</v>
      </c>
      <c r="Y213" s="229">
        <f t="shared" si="195"/>
        <v>19.859508196721311</v>
      </c>
      <c r="Z213" s="229">
        <f t="shared" si="195"/>
        <v>20.07264</v>
      </c>
      <c r="AA213" s="229">
        <f t="shared" ref="AA213:AC213" si="196">AA183/AA211</f>
        <v>20.317716535433071</v>
      </c>
      <c r="AC213" s="229">
        <f t="shared" si="196"/>
        <v>77.222047244094483</v>
      </c>
    </row>
    <row r="214" spans="2:29" x14ac:dyDescent="0.2">
      <c r="B214" s="228" t="s">
        <v>381</v>
      </c>
      <c r="M214" s="74">
        <f>M209/M210</f>
        <v>0.23703703703703705</v>
      </c>
      <c r="N214" s="74">
        <f t="shared" ref="N214:Q214" si="197">N209/N210</f>
        <v>0.26853377265238881</v>
      </c>
      <c r="O214" s="74">
        <f t="shared" si="197"/>
        <v>0.30429864253393663</v>
      </c>
      <c r="P214" s="74">
        <f t="shared" si="197"/>
        <v>0.34704370179948585</v>
      </c>
      <c r="Q214" s="74">
        <f t="shared" si="197"/>
        <v>0.3959429000751315</v>
      </c>
      <c r="T214" s="74">
        <f t="shared" ref="T214:Z214" si="198">T209/T210</f>
        <v>0.32891246684350134</v>
      </c>
      <c r="U214" s="74">
        <f t="shared" si="198"/>
        <v>0.34704370179948585</v>
      </c>
      <c r="V214" s="74">
        <f t="shared" si="198"/>
        <v>0.3579109062980031</v>
      </c>
      <c r="W214" s="74">
        <f t="shared" si="198"/>
        <v>0.37178487918939984</v>
      </c>
      <c r="X214" s="74">
        <f t="shared" si="198"/>
        <v>0.37324464153732445</v>
      </c>
      <c r="Y214" s="74">
        <f t="shared" si="198"/>
        <v>0.3959429000751315</v>
      </c>
      <c r="Z214" s="74">
        <f t="shared" si="198"/>
        <v>0.41001451378809867</v>
      </c>
      <c r="AA214" s="74">
        <f t="shared" ref="AA214" si="199">AA209/AA210</f>
        <v>0.41749644381223328</v>
      </c>
      <c r="AC214" s="74">
        <f>AA214</f>
        <v>0.41749644381223328</v>
      </c>
    </row>
    <row r="215" spans="2:29" x14ac:dyDescent="0.2">
      <c r="B215" s="228" t="s">
        <v>382</v>
      </c>
      <c r="M215" s="74">
        <f>M211/M210</f>
        <v>6.1728395061728392E-2</v>
      </c>
      <c r="N215" s="74">
        <f t="shared" ref="N215:Q215" si="200">N211/N210</f>
        <v>6.919275123558484E-2</v>
      </c>
      <c r="O215" s="74">
        <f t="shared" si="200"/>
        <v>7.4660633484162894E-2</v>
      </c>
      <c r="P215" s="74">
        <f t="shared" si="200"/>
        <v>8.1405312767780638E-2</v>
      </c>
      <c r="Q215" s="74">
        <f t="shared" si="200"/>
        <v>9.1660405709992482E-2</v>
      </c>
      <c r="T215" s="74">
        <f t="shared" ref="T215:Z215" si="201">T211/T210</f>
        <v>7.6038903625110524E-2</v>
      </c>
      <c r="U215" s="74">
        <f t="shared" si="201"/>
        <v>8.1405312767780638E-2</v>
      </c>
      <c r="V215" s="74">
        <f t="shared" si="201"/>
        <v>7.9109062980030717E-2</v>
      </c>
      <c r="W215" s="74">
        <f t="shared" si="201"/>
        <v>8.4957131722525336E-2</v>
      </c>
      <c r="X215" s="74">
        <f t="shared" si="201"/>
        <v>8.4996304508499626E-2</v>
      </c>
      <c r="Y215" s="74">
        <f t="shared" si="201"/>
        <v>9.1660405709992482E-2</v>
      </c>
      <c r="Z215" s="74">
        <f t="shared" si="201"/>
        <v>9.071117561683599E-2</v>
      </c>
      <c r="AA215" s="74">
        <f t="shared" ref="AA215" si="202">AA211/AA210</f>
        <v>9.0327169274537697E-2</v>
      </c>
      <c r="AC215" s="74">
        <f>AA215</f>
        <v>9.0327169274537697E-2</v>
      </c>
    </row>
    <row r="216" spans="2:29" x14ac:dyDescent="0.2">
      <c r="B216" s="228" t="s">
        <v>383</v>
      </c>
      <c r="M216" s="65">
        <f>M184/M212</f>
        <v>1.0131842105263158</v>
      </c>
      <c r="N216" s="65">
        <f t="shared" ref="N216:Q216" si="203">N184/N212</f>
        <v>0.79169911504424784</v>
      </c>
      <c r="O216" s="65">
        <f t="shared" si="203"/>
        <v>0.60951100244498779</v>
      </c>
      <c r="P216" s="65">
        <f t="shared" si="203"/>
        <v>0.51219216417910451</v>
      </c>
      <c r="Q216" s="65">
        <f t="shared" si="203"/>
        <v>0.65942928039702231</v>
      </c>
      <c r="T216" s="65">
        <f t="shared" ref="T216:Z216" si="204">T184/T212</f>
        <v>0.13784688995215311</v>
      </c>
      <c r="U216" s="65">
        <f t="shared" si="204"/>
        <v>0.13332089552238807</v>
      </c>
      <c r="V216" s="65">
        <f t="shared" si="204"/>
        <v>0.14914095079232695</v>
      </c>
      <c r="W216" s="65">
        <f t="shared" si="204"/>
        <v>0.17549403747870529</v>
      </c>
      <c r="X216" s="65">
        <f t="shared" si="204"/>
        <v>0.16978190630048465</v>
      </c>
      <c r="Y216" s="65">
        <f t="shared" si="204"/>
        <v>0.1672539288668321</v>
      </c>
      <c r="Z216" s="65">
        <f t="shared" si="204"/>
        <v>0.1645171588188348</v>
      </c>
      <c r="AA216" s="65">
        <f t="shared" ref="AA216:AC216" si="205">AA184/AA212</f>
        <v>0.16459734167318218</v>
      </c>
      <c r="AC216" s="65">
        <f t="shared" si="205"/>
        <v>0.64820953870211107</v>
      </c>
    </row>
    <row r="217" spans="2:29" x14ac:dyDescent="0.2">
      <c r="B217" s="228" t="s">
        <v>384</v>
      </c>
      <c r="M217" s="74">
        <f>M186/M209</f>
        <v>0.72031250000000002</v>
      </c>
      <c r="N217" s="74">
        <f t="shared" ref="N217:Q217" si="206">N186/N209</f>
        <v>1.1373619631901841</v>
      </c>
      <c r="O217" s="74">
        <f t="shared" si="206"/>
        <v>1.2889591078066915</v>
      </c>
      <c r="P217" s="74">
        <f t="shared" si="206"/>
        <v>0.95439506172839506</v>
      </c>
      <c r="Q217" s="74">
        <f t="shared" si="206"/>
        <v>0.76810246679316885</v>
      </c>
      <c r="T217" s="74">
        <f t="shared" ref="T217:Z217" si="207">T186/T209</f>
        <v>0.25298387096774194</v>
      </c>
      <c r="U217" s="74">
        <f t="shared" si="207"/>
        <v>0.2257283950617284</v>
      </c>
      <c r="V217" s="74">
        <f t="shared" si="207"/>
        <v>0.20261802575107296</v>
      </c>
      <c r="W217" s="74">
        <f t="shared" si="207"/>
        <v>0.21781970649895177</v>
      </c>
      <c r="X217" s="74">
        <f t="shared" si="207"/>
        <v>0.21972277227722772</v>
      </c>
      <c r="Y217" s="74">
        <f t="shared" si="207"/>
        <v>0.18123339658444024</v>
      </c>
      <c r="Z217" s="74">
        <f t="shared" si="207"/>
        <v>0.14948672566371682</v>
      </c>
      <c r="AA217" s="74">
        <f t="shared" ref="AA217:AC217" si="208">AA186/AA209</f>
        <v>0.13632027257240203</v>
      </c>
      <c r="AC217" s="74">
        <f t="shared" si="208"/>
        <v>0.63194207836456562</v>
      </c>
    </row>
    <row r="218" spans="2:29" x14ac:dyDescent="0.2">
      <c r="B218" s="228" t="s">
        <v>423</v>
      </c>
      <c r="M218" s="74">
        <v>0</v>
      </c>
      <c r="N218" s="74">
        <v>0</v>
      </c>
      <c r="O218" s="74">
        <v>0</v>
      </c>
      <c r="P218" s="74">
        <v>0</v>
      </c>
      <c r="Q218" s="74">
        <v>0</v>
      </c>
      <c r="T218" s="74">
        <v>0</v>
      </c>
      <c r="U218" s="74">
        <v>0</v>
      </c>
      <c r="V218" s="74">
        <v>0</v>
      </c>
      <c r="W218" s="74">
        <v>0</v>
      </c>
      <c r="X218" s="74">
        <v>0</v>
      </c>
      <c r="Y218" s="74">
        <v>0</v>
      </c>
      <c r="Z218" s="74">
        <v>0</v>
      </c>
      <c r="AA218" s="74">
        <v>0.84</v>
      </c>
      <c r="AC218" s="74">
        <f>AA218</f>
        <v>0.84</v>
      </c>
    </row>
    <row r="219" spans="2:29" x14ac:dyDescent="0.2">
      <c r="M219" s="62"/>
      <c r="N219" s="62"/>
      <c r="O219" s="62"/>
      <c r="P219" s="62"/>
      <c r="Q219" s="62"/>
      <c r="T219" s="62"/>
      <c r="U219" s="62"/>
      <c r="V219" s="62"/>
      <c r="W219" s="62"/>
      <c r="X219" s="62"/>
      <c r="Y219" s="62"/>
      <c r="Z219" s="62"/>
      <c r="AA219" s="62"/>
      <c r="AC219" s="62"/>
    </row>
    <row r="220" spans="2:29" x14ac:dyDescent="0.2">
      <c r="B220" s="1"/>
    </row>
  </sheetData>
  <pageMargins left="0.7" right="0.7" top="0.75" bottom="0.75" header="0.3" footer="0.3"/>
  <ignoredErrors>
    <ignoredError sqref="AC23 AC81 AC66 AC53:AC62 AC5:AC19 AC63:AC65" formulaRange="1"/>
    <ignoredError sqref="AC20:AC21 AC24:AC25" formula="1" formulaRange="1"/>
    <ignoredError sqref="M124:Q124 AC213"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10FB-34E3-D04A-8896-321D81878D88}">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7.83203125" style="1" customWidth="1"/>
    <col min="9" max="16384" width="10.83203125" style="1"/>
  </cols>
  <sheetData>
    <row r="5" spans="2:8" x14ac:dyDescent="0.2">
      <c r="H5" s="134" t="s">
        <v>440</v>
      </c>
    </row>
    <row r="6" spans="2:8" x14ac:dyDescent="0.2">
      <c r="H6" s="257" t="s">
        <v>445</v>
      </c>
    </row>
    <row r="7" spans="2:8" x14ac:dyDescent="0.2">
      <c r="H7" s="257" t="s">
        <v>441</v>
      </c>
    </row>
    <row r="8" spans="2:8" x14ac:dyDescent="0.2">
      <c r="H8" s="257" t="s">
        <v>442</v>
      </c>
    </row>
    <row r="9" spans="2:8" x14ac:dyDescent="0.2">
      <c r="H9" s="257" t="s">
        <v>443</v>
      </c>
    </row>
    <row r="10" spans="2:8" x14ac:dyDescent="0.2">
      <c r="H10" s="258" t="s">
        <v>444</v>
      </c>
    </row>
    <row r="13" spans="2:8" s="4" customFormat="1" ht="49" x14ac:dyDescent="0.2">
      <c r="B13" s="3" t="s">
        <v>236</v>
      </c>
    </row>
  </sheetData>
  <hyperlinks>
    <hyperlink ref="H6" location="Overview!B3" display="Overview'!B3" xr:uid="{49108935-869E-9741-8C9B-DC045F5EF96E}"/>
    <hyperlink ref="H8" location="'Analysis -&gt;'!B13" display="'Analysis -&gt;'!B13" xr:uid="{3A5D5632-C1EB-BF40-A3F8-475D826AEA93}"/>
    <hyperlink ref="H9" location="'Forecast -&gt;'!B13" display="'Forecast -&gt;'!B13" xr:uid="{9EECD199-A3EA-4C47-AC14-DC5149ED784C}"/>
    <hyperlink ref="H10" location="'Valuation -&gt;'!B13" display="'Valuation -&gt;'!B13" xr:uid="{F0189B84-9339-1F46-92C6-E9D205DC39D7}"/>
    <hyperlink ref="H7" location="'Financials -&gt;'!B13" display="'Financials -&gt;'!B13" xr:uid="{420C8526-7E34-634E-9935-64B927AAC9A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0C07F-23F5-F443-9A67-3073516055F8}">
  <dimension ref="B1:G54"/>
  <sheetViews>
    <sheetView topLeftCell="A9" zoomScale="173" workbookViewId="0">
      <selection activeCell="C18" sqref="C18"/>
    </sheetView>
  </sheetViews>
  <sheetFormatPr baseColWidth="10" defaultRowHeight="16" x14ac:dyDescent="0.2"/>
  <cols>
    <col min="1" max="1" width="3.1640625" style="1" customWidth="1"/>
    <col min="2" max="2" width="32.5" style="1" customWidth="1"/>
    <col min="3" max="3" width="10.83203125" style="1"/>
    <col min="4" max="4" width="5" style="1" customWidth="1"/>
    <col min="5" max="5" width="22.83203125" style="1" customWidth="1"/>
    <col min="6" max="16384" width="10.83203125" style="1"/>
  </cols>
  <sheetData>
    <row r="1" spans="2:7" x14ac:dyDescent="0.2">
      <c r="B1" s="83" t="s">
        <v>278</v>
      </c>
    </row>
    <row r="4" spans="2:7" x14ac:dyDescent="0.2">
      <c r="B4" s="265" t="s">
        <v>237</v>
      </c>
      <c r="C4" s="265"/>
      <c r="E4" s="265" t="s">
        <v>244</v>
      </c>
      <c r="F4" s="265"/>
      <c r="G4" s="265"/>
    </row>
    <row r="5" spans="2:7" x14ac:dyDescent="0.2">
      <c r="B5" s="20" t="s">
        <v>1</v>
      </c>
      <c r="C5" s="171">
        <f ca="1">Overview!C5</f>
        <v>143.04</v>
      </c>
      <c r="E5" s="12"/>
      <c r="F5" s="134" t="s">
        <v>245</v>
      </c>
      <c r="G5" s="134" t="s">
        <v>246</v>
      </c>
    </row>
    <row r="6" spans="2:7" x14ac:dyDescent="0.2">
      <c r="B6" s="20" t="s">
        <v>243</v>
      </c>
      <c r="C6" s="172">
        <f ca="1">Statement!AC149</f>
        <v>7169450.8799999999</v>
      </c>
      <c r="E6" s="20" t="s">
        <v>20</v>
      </c>
      <c r="F6" s="177">
        <f>IF(Statement!M5&lt;=0,"N/A",_xlfn.RRI(4,Statement!M5,Statement!Q5))</f>
        <v>0.42622018562456243</v>
      </c>
      <c r="G6" s="177" t="str">
        <f>IF(Statement!H5&lt;=0,"N/A",_xlfn.RRI(9,Statement!H5,Statement!Q5))</f>
        <v>N/A</v>
      </c>
    </row>
    <row r="7" spans="2:7" x14ac:dyDescent="0.2">
      <c r="B7" s="20" t="s">
        <v>192</v>
      </c>
      <c r="C7" s="172">
        <f ca="1">Statement!AC150</f>
        <v>5752891.8799999999</v>
      </c>
      <c r="E7" s="20" t="s">
        <v>32</v>
      </c>
      <c r="F7" s="177" t="str">
        <f>IF(OR(Statement!M18&lt;=0, Statement!Q18&lt;=0), "N/A", _xlfn.RRI(4, Statement!M18, Statement!Q18))</f>
        <v>N/A</v>
      </c>
      <c r="G7" s="177" t="str">
        <f>IF(OR(Statement!H18&lt;=0, Statement!Q18&lt;=0), "N/A", _xlfn.RRI(9, Statement!H18, Statement!Q18))</f>
        <v>N/A</v>
      </c>
    </row>
    <row r="8" spans="2:7" x14ac:dyDescent="0.2">
      <c r="B8" s="20" t="s">
        <v>241</v>
      </c>
      <c r="C8" s="173">
        <f ca="1">Statement!AC146</f>
        <v>45.54548191336179</v>
      </c>
      <c r="E8" s="20" t="s">
        <v>247</v>
      </c>
      <c r="F8" s="177" t="str">
        <f>IF(OR(Statement!M26&lt;=0, Statement!Q26&lt;=0), "N/A", _xlfn.RRI(4, Statement!M26, Statement!Q26))</f>
        <v>N/A</v>
      </c>
      <c r="G8" s="177" t="str">
        <f>IF(OR(Statement!H26&lt;=0, Statement!Q26&lt;=0), "N/A", _xlfn.RRI(9, Statement!H26, Statement!Q26))</f>
        <v>N/A</v>
      </c>
    </row>
    <row r="9" spans="2:7" x14ac:dyDescent="0.2">
      <c r="B9" s="20" t="s">
        <v>205</v>
      </c>
      <c r="C9" s="173">
        <f ca="1">Statement!AC147</f>
        <v>6.1427774173869789</v>
      </c>
      <c r="E9" s="20" t="s">
        <v>248</v>
      </c>
      <c r="F9" s="177" t="str">
        <f>IF(Statement!M82&lt;=0,"N/A",_xlfn.RRI(4,Statement!M82,Statement!Q82))</f>
        <v>N/A</v>
      </c>
      <c r="G9" s="177" t="str">
        <f>IF(Statement!H82&lt;=0,"N/A",_xlfn.RRI(9,Statement!H82,Statement!Q82))</f>
        <v>N/A</v>
      </c>
    </row>
    <row r="10" spans="2:7" x14ac:dyDescent="0.2">
      <c r="B10" s="20" t="s">
        <v>242</v>
      </c>
      <c r="C10" s="173">
        <f ca="1">Statement!AC148</f>
        <v>4.7471590120745493</v>
      </c>
      <c r="E10" s="20" t="s">
        <v>1</v>
      </c>
      <c r="F10" s="177">
        <f>IF(Statement!M117&lt;=0,"N/A",_xlfn.RRI(4,Statement!M117,Statement!Q117))</f>
        <v>0.12501940553033464</v>
      </c>
      <c r="G10" s="177" t="str">
        <f>IF(Statement!H117&lt;=0,"N/A",_xlfn.RRI(9,Statement!H117,Statement!Q117))</f>
        <v>N/A</v>
      </c>
    </row>
    <row r="11" spans="2:7" x14ac:dyDescent="0.2">
      <c r="B11" s="20" t="s">
        <v>264</v>
      </c>
      <c r="C11" s="173">
        <f ca="1">Statement!AC151</f>
        <v>5.0243509443651622</v>
      </c>
    </row>
    <row r="12" spans="2:7" x14ac:dyDescent="0.2">
      <c r="B12" s="20" t="s">
        <v>208</v>
      </c>
      <c r="C12" s="173">
        <f ca="1">Statement!AC152</f>
        <v>36.622795811185028</v>
      </c>
    </row>
    <row r="15" spans="2:7" x14ac:dyDescent="0.2">
      <c r="B15" s="265" t="s">
        <v>78</v>
      </c>
      <c r="C15" s="265"/>
      <c r="E15" s="265" t="s">
        <v>250</v>
      </c>
      <c r="F15" s="265"/>
    </row>
    <row r="16" spans="2:7" x14ac:dyDescent="0.2">
      <c r="B16" s="20" t="s">
        <v>79</v>
      </c>
      <c r="C16" s="174">
        <f>Statement!AC101</f>
        <v>0.7271742756781211</v>
      </c>
      <c r="E16" s="20" t="s">
        <v>32</v>
      </c>
      <c r="F16" s="172">
        <f>Statement!AC18</f>
        <v>154067</v>
      </c>
    </row>
    <row r="17" spans="2:6" x14ac:dyDescent="0.2">
      <c r="B17" s="20" t="s">
        <v>80</v>
      </c>
      <c r="C17" s="174">
        <f>Statement!AC102</f>
        <v>0.13719190010148455</v>
      </c>
      <c r="E17" s="20" t="s">
        <v>251</v>
      </c>
      <c r="F17" s="172">
        <f>Statement!AC59</f>
        <v>430548</v>
      </c>
    </row>
    <row r="18" spans="2:6" x14ac:dyDescent="0.2">
      <c r="B18" s="20" t="s">
        <v>81</v>
      </c>
      <c r="C18" s="174">
        <f>Statement!AC103</f>
        <v>0.13455609684524569</v>
      </c>
      <c r="E18" s="20" t="s">
        <v>258</v>
      </c>
      <c r="F18" s="176">
        <f>IF(OR(F16&lt;=0, F17&lt;=0),"N/A",F16-F17)</f>
        <v>-276481</v>
      </c>
    </row>
    <row r="21" spans="2:6" x14ac:dyDescent="0.2">
      <c r="B21" s="265" t="s">
        <v>249</v>
      </c>
      <c r="C21" s="265"/>
      <c r="E21" s="265" t="s">
        <v>253</v>
      </c>
      <c r="F21" s="265"/>
    </row>
    <row r="22" spans="2:6" x14ac:dyDescent="0.2">
      <c r="B22" s="20" t="s">
        <v>100</v>
      </c>
      <c r="C22" s="174">
        <f>Statement!AC121</f>
        <v>0.13455609684524569</v>
      </c>
      <c r="E22" s="20" t="s">
        <v>102</v>
      </c>
      <c r="F22" s="174">
        <f>C24</f>
        <v>7.428664005404173E-2</v>
      </c>
    </row>
    <row r="23" spans="2:6" x14ac:dyDescent="0.2">
      <c r="B23" s="20" t="s">
        <v>101</v>
      </c>
      <c r="C23" s="173">
        <f>Statement!AC122</f>
        <v>0.55208676377912136</v>
      </c>
      <c r="E23" s="20" t="s">
        <v>104</v>
      </c>
      <c r="F23" s="174">
        <f>C26</f>
        <v>0.10928737315054812</v>
      </c>
    </row>
    <row r="24" spans="2:6" x14ac:dyDescent="0.2">
      <c r="B24" s="32" t="s">
        <v>102</v>
      </c>
      <c r="C24" s="175">
        <f>Statement!AC123</f>
        <v>7.428664005404173E-2</v>
      </c>
      <c r="E24" s="20" t="s">
        <v>105</v>
      </c>
      <c r="F24" s="174">
        <f>Statement!AC136</f>
        <v>-17.586668123511064</v>
      </c>
    </row>
    <row r="25" spans="2:6" x14ac:dyDescent="0.2">
      <c r="B25" s="20" t="s">
        <v>103</v>
      </c>
      <c r="C25" s="173">
        <f>Statement!AC124</f>
        <v>1.4711578430663199</v>
      </c>
    </row>
    <row r="26" spans="2:6" x14ac:dyDescent="0.2">
      <c r="B26" s="32" t="s">
        <v>104</v>
      </c>
      <c r="C26" s="175">
        <f>Statement!AC125</f>
        <v>0.10928737315054812</v>
      </c>
    </row>
    <row r="29" spans="2:6" x14ac:dyDescent="0.2">
      <c r="B29" s="265" t="s">
        <v>254</v>
      </c>
      <c r="C29" s="265"/>
      <c r="E29" s="265" t="s">
        <v>260</v>
      </c>
      <c r="F29" s="265"/>
    </row>
    <row r="30" spans="2:6" x14ac:dyDescent="0.2">
      <c r="B30" s="20" t="s">
        <v>143</v>
      </c>
      <c r="C30" s="173">
        <f>Statement!AC137</f>
        <v>41.753058073261009</v>
      </c>
      <c r="E30" s="20" t="s">
        <v>261</v>
      </c>
      <c r="F30" s="179">
        <f>Statement!AC141</f>
        <v>0</v>
      </c>
    </row>
    <row r="31" spans="2:6" x14ac:dyDescent="0.2">
      <c r="B31" s="20" t="s">
        <v>144</v>
      </c>
      <c r="C31" s="173">
        <f>Statement!AC138</f>
        <v>0</v>
      </c>
      <c r="E31" s="20" t="s">
        <v>262</v>
      </c>
      <c r="F31" s="179">
        <f>Statement!AC142</f>
        <v>-1.00483563659166</v>
      </c>
    </row>
    <row r="32" spans="2:6" x14ac:dyDescent="0.2">
      <c r="B32" s="20" t="s">
        <v>145</v>
      </c>
      <c r="C32" s="173">
        <f>Statement!AC139</f>
        <v>18.923831413699716</v>
      </c>
      <c r="E32" s="20" t="s">
        <v>257</v>
      </c>
      <c r="F32" s="179">
        <f>Statement!AC144</f>
        <v>2.8920362803785871</v>
      </c>
    </row>
    <row r="33" spans="2:6" x14ac:dyDescent="0.2">
      <c r="B33" s="20" t="s">
        <v>146</v>
      </c>
      <c r="C33" s="173">
        <f>Statement!AC140</f>
        <v>22.829226659561293</v>
      </c>
      <c r="E33" s="20" t="s">
        <v>256</v>
      </c>
      <c r="F33" s="179">
        <f>Statement!AC143</f>
        <v>2.6781751821027875</v>
      </c>
    </row>
    <row r="34" spans="2:6" x14ac:dyDescent="0.2">
      <c r="E34" s="20" t="s">
        <v>263</v>
      </c>
      <c r="F34" s="181" t="str">
        <f>Statement!AC145</f>
        <v>N/A</v>
      </c>
    </row>
    <row r="37" spans="2:6" x14ac:dyDescent="0.2">
      <c r="B37" s="265" t="s">
        <v>272</v>
      </c>
      <c r="C37" s="265"/>
      <c r="E37" s="265" t="s">
        <v>275</v>
      </c>
      <c r="F37" s="265"/>
    </row>
    <row r="38" spans="2:6" x14ac:dyDescent="0.2">
      <c r="B38" s="20" t="s">
        <v>270</v>
      </c>
      <c r="C38" s="174">
        <f ca="1">Statement!AC158</f>
        <v>2.1956074631117855E-2</v>
      </c>
      <c r="E38" s="20" t="s">
        <v>274</v>
      </c>
      <c r="F38" s="174">
        <f>Statement!AC164</f>
        <v>0</v>
      </c>
    </row>
    <row r="39" spans="2:6" x14ac:dyDescent="0.2">
      <c r="B39" s="54" t="s">
        <v>273</v>
      </c>
      <c r="C39" s="214">
        <f ca="1">Statement!AC157</f>
        <v>3.5263509609260342E-2</v>
      </c>
      <c r="E39" s="20" t="s">
        <v>276</v>
      </c>
      <c r="F39" s="174">
        <f>Statement!AC165</f>
        <v>0.27530654220393957</v>
      </c>
    </row>
    <row r="40" spans="2:6" x14ac:dyDescent="0.2">
      <c r="B40" s="20" t="s">
        <v>271</v>
      </c>
      <c r="C40" s="174">
        <f ca="1">Statement!AC159</f>
        <v>0</v>
      </c>
      <c r="E40" s="20" t="s">
        <v>277</v>
      </c>
      <c r="F40" s="174">
        <f>Statement!AC166</f>
        <v>0.27530654220393957</v>
      </c>
    </row>
    <row r="41" spans="2:6" x14ac:dyDescent="0.2">
      <c r="B41" s="20" t="s">
        <v>296</v>
      </c>
      <c r="C41" s="174">
        <f ca="1">Statement!AC160</f>
        <v>9.7082748965008608E-3</v>
      </c>
    </row>
    <row r="42" spans="2:6" x14ac:dyDescent="0.2">
      <c r="B42" s="20" t="s">
        <v>298</v>
      </c>
      <c r="C42" s="174">
        <f ca="1">Statement!AC161</f>
        <v>9.7082748965008608E-3</v>
      </c>
    </row>
    <row r="45" spans="2:6" x14ac:dyDescent="0.2">
      <c r="B45" s="265" t="s">
        <v>283</v>
      </c>
      <c r="C45" s="265"/>
      <c r="E45" s="265" t="s">
        <v>289</v>
      </c>
      <c r="F45" s="265"/>
    </row>
    <row r="46" spans="2:6" x14ac:dyDescent="0.2">
      <c r="B46" s="20" t="s">
        <v>281</v>
      </c>
      <c r="C46" s="174">
        <f>Statement!AC167</f>
        <v>0.14520569809664419</v>
      </c>
      <c r="E46" s="20" t="s">
        <v>282</v>
      </c>
      <c r="F46" s="173">
        <f>Statement!AC168</f>
        <v>30.277412046338647</v>
      </c>
    </row>
    <row r="47" spans="2:6" x14ac:dyDescent="0.2">
      <c r="E47" s="20" t="s">
        <v>290</v>
      </c>
      <c r="F47" s="173">
        <f>Statement!AC171</f>
        <v>30.277412046338647</v>
      </c>
    </row>
    <row r="48" spans="2:6" x14ac:dyDescent="0.2">
      <c r="E48" s="20" t="s">
        <v>295</v>
      </c>
      <c r="F48" s="174">
        <f ca="1">Statement!AC172</f>
        <v>0.19758263550583111</v>
      </c>
    </row>
    <row r="51" spans="2:6" x14ac:dyDescent="0.2">
      <c r="B51" s="265" t="s">
        <v>286</v>
      </c>
      <c r="C51" s="265"/>
      <c r="E51" s="265" t="s">
        <v>307</v>
      </c>
      <c r="F51" s="265"/>
    </row>
    <row r="52" spans="2:6" x14ac:dyDescent="0.2">
      <c r="B52" s="20" t="s">
        <v>284</v>
      </c>
      <c r="C52" s="174">
        <f>Statement!AC169</f>
        <v>0.33604615513252878</v>
      </c>
      <c r="E52" s="20" t="s">
        <v>308</v>
      </c>
      <c r="F52" s="174">
        <f>Statement!AC173</f>
        <v>2.8859338236963777E-2</v>
      </c>
    </row>
    <row r="53" spans="2:6" x14ac:dyDescent="0.2">
      <c r="B53" s="20" t="s">
        <v>285</v>
      </c>
      <c r="C53" s="174">
        <f>Statement!AC170</f>
        <v>0.12636135133388413</v>
      </c>
      <c r="E53" s="20" t="s">
        <v>305</v>
      </c>
      <c r="F53" s="174">
        <f>Statement!AC174</f>
        <v>7.6748701654635487E-2</v>
      </c>
    </row>
    <row r="54" spans="2:6" x14ac:dyDescent="0.2">
      <c r="E54" s="20" t="s">
        <v>306</v>
      </c>
      <c r="F54" s="174">
        <f>Statement!AC175</f>
        <v>2.0915247800493701</v>
      </c>
    </row>
  </sheetData>
  <mergeCells count="14">
    <mergeCell ref="B51:C51"/>
    <mergeCell ref="B4:C4"/>
    <mergeCell ref="E4:G4"/>
    <mergeCell ref="B15:C15"/>
    <mergeCell ref="B21:C21"/>
    <mergeCell ref="E15:F15"/>
    <mergeCell ref="E21:F21"/>
    <mergeCell ref="B37:C37"/>
    <mergeCell ref="E37:F37"/>
    <mergeCell ref="B45:C45"/>
    <mergeCell ref="E45:F45"/>
    <mergeCell ref="B29:C29"/>
    <mergeCell ref="E29:F29"/>
    <mergeCell ref="E51:F51"/>
  </mergeCells>
  <pageMargins left="0.7" right="0.7" top="0.75" bottom="0.75" header="0.3" footer="0.3"/>
  <ignoredErrors>
    <ignoredError sqref="F3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C990-97E1-EA42-B427-9F214546EBED}">
  <dimension ref="B1:I96"/>
  <sheetViews>
    <sheetView zoomScale="159" zoomScaleNormal="230" workbookViewId="0">
      <pane xSplit="2" ySplit="3" topLeftCell="C79" activePane="bottomRight" state="frozen"/>
      <selection pane="topRight" activeCell="C1" sqref="C1"/>
      <selection pane="bottomLeft" activeCell="A4" sqref="A4"/>
      <selection pane="bottomRight" activeCell="B93" sqref="B93"/>
    </sheetView>
  </sheetViews>
  <sheetFormatPr baseColWidth="10" defaultRowHeight="16" x14ac:dyDescent="0.2"/>
  <cols>
    <col min="1" max="1" width="3.33203125" style="1" customWidth="1"/>
    <col min="2" max="2" width="31.1640625" style="1" customWidth="1"/>
    <col min="3" max="7" width="10.83203125" style="1"/>
    <col min="8" max="8" width="2.5" style="1" customWidth="1"/>
    <col min="9" max="16384" width="10.83203125" style="1"/>
  </cols>
  <sheetData>
    <row r="1" spans="2:9" ht="11" customHeight="1" x14ac:dyDescent="0.2"/>
    <row r="2" spans="2:9" x14ac:dyDescent="0.2">
      <c r="B2" s="10"/>
      <c r="C2" s="10" t="str">
        <f>Statement!M2</f>
        <v>31.12.2021</v>
      </c>
      <c r="D2" s="10" t="str">
        <f>Statement!N2</f>
        <v>30.09.2022</v>
      </c>
      <c r="E2" s="10" t="str">
        <f>Statement!O2</f>
        <v>31.12.2023</v>
      </c>
      <c r="F2" s="10" t="str">
        <f>Statement!P2</f>
        <v>31.12.2024</v>
      </c>
      <c r="G2" s="10" t="str">
        <f>Statement!Q2</f>
        <v>31.12.2025</v>
      </c>
      <c r="I2" s="10"/>
    </row>
    <row r="3" spans="2:9" x14ac:dyDescent="0.2">
      <c r="B3" s="10"/>
      <c r="C3" s="10">
        <f>Statement!M3</f>
        <v>2021</v>
      </c>
      <c r="D3" s="10">
        <f>Statement!N3</f>
        <v>2022</v>
      </c>
      <c r="E3" s="10">
        <f>Statement!O3</f>
        <v>2023</v>
      </c>
      <c r="F3" s="10">
        <f>Statement!P3</f>
        <v>2024</v>
      </c>
      <c r="G3" s="10">
        <f>Statement!Q3</f>
        <v>2025</v>
      </c>
      <c r="I3" s="10" t="str">
        <f>Statement!AC3</f>
        <v>TTM/YTD</v>
      </c>
    </row>
    <row r="5" spans="2:9" ht="17" thickBot="1" x14ac:dyDescent="0.25">
      <c r="B5" s="14" t="s">
        <v>237</v>
      </c>
      <c r="C5" s="14"/>
      <c r="D5" s="14"/>
      <c r="E5" s="14"/>
      <c r="F5" s="14"/>
      <c r="G5" s="14"/>
      <c r="I5" s="14"/>
    </row>
    <row r="6" spans="2:9" x14ac:dyDescent="0.2">
      <c r="B6" s="20" t="s">
        <v>1</v>
      </c>
      <c r="C6" s="171">
        <f>Statement!M116</f>
        <v>110.58</v>
      </c>
      <c r="D6" s="171">
        <f>Statement!N116</f>
        <v>71.13</v>
      </c>
      <c r="E6" s="171">
        <f>Statement!O116</f>
        <v>226.85</v>
      </c>
      <c r="F6" s="171">
        <f>Statement!P116</f>
        <v>325.2</v>
      </c>
      <c r="G6" s="171">
        <f>Statement!Q116</f>
        <v>177.14</v>
      </c>
      <c r="I6" s="171">
        <f ca="1">Statement!AC116</f>
        <v>143.04</v>
      </c>
    </row>
    <row r="7" spans="2:9" x14ac:dyDescent="0.2">
      <c r="B7" s="20" t="s">
        <v>243</v>
      </c>
      <c r="C7" s="172">
        <f>Statement!M149</f>
        <v>4271152.5</v>
      </c>
      <c r="D7" s="172">
        <f>Statement!N149</f>
        <v>2890438.6799999997</v>
      </c>
      <c r="E7" s="172">
        <f>Statement!O149</f>
        <v>10876776.949999999</v>
      </c>
      <c r="F7" s="172">
        <f>Statement!P149</f>
        <v>15882768</v>
      </c>
      <c r="G7" s="172">
        <f>Statement!Q149</f>
        <v>8845485.8999999985</v>
      </c>
      <c r="I7" s="172">
        <f ca="1">Statement!AC149</f>
        <v>7169450.8799999999</v>
      </c>
    </row>
    <row r="8" spans="2:9" x14ac:dyDescent="0.2">
      <c r="B8" s="20" t="s">
        <v>192</v>
      </c>
      <c r="C8" s="172">
        <f>Statement!M150</f>
        <v>3717230.5</v>
      </c>
      <c r="D8" s="172">
        <f>Statement!N150</f>
        <v>2282258.6799999997</v>
      </c>
      <c r="E8" s="172">
        <f>Statement!O150</f>
        <v>10129166.949999999</v>
      </c>
      <c r="F8" s="172">
        <f>Statement!P150</f>
        <v>14906831</v>
      </c>
      <c r="G8" s="172">
        <f>Statement!Q150</f>
        <v>7569920.8999999985</v>
      </c>
      <c r="I8" s="172">
        <f ca="1">Statement!AC150</f>
        <v>5752891.8799999999</v>
      </c>
    </row>
    <row r="9" spans="2:9" x14ac:dyDescent="0.2">
      <c r="B9" s="20" t="s">
        <v>241</v>
      </c>
      <c r="C9" s="173">
        <f>Statement!M146</f>
        <v>-43.027237354085607</v>
      </c>
      <c r="D9" s="173">
        <f>Statement!N146</f>
        <v>-47.105960264900659</v>
      </c>
      <c r="E9" s="173">
        <f>Statement!O146</f>
        <v>648.14285714285722</v>
      </c>
      <c r="F9" s="173">
        <f>Statement!P146</f>
        <v>172.97872340425533</v>
      </c>
      <c r="G9" s="173">
        <f>Statement!Q146</f>
        <v>54.387136595124169</v>
      </c>
      <c r="I9" s="173">
        <f ca="1">Statement!AC146</f>
        <v>45.54548191336179</v>
      </c>
    </row>
    <row r="10" spans="2:9" x14ac:dyDescent="0.2">
      <c r="B10" s="20" t="s">
        <v>205</v>
      </c>
      <c r="C10" s="173">
        <f>Statement!M147</f>
        <v>10.332976329095752</v>
      </c>
      <c r="D10" s="173">
        <f>Statement!N147</f>
        <v>7.5982113425080167</v>
      </c>
      <c r="E10" s="173">
        <f>Statement!O147</f>
        <v>19.870715239244674</v>
      </c>
      <c r="F10" s="173">
        <f>Statement!P147</f>
        <v>20.476943520528753</v>
      </c>
      <c r="G10" s="173">
        <f>Statement!Q147</f>
        <v>8.2485760260485748</v>
      </c>
      <c r="I10" s="173">
        <f ca="1">Statement!AC147</f>
        <v>6.1427774173869789</v>
      </c>
    </row>
    <row r="11" spans="2:9" x14ac:dyDescent="0.2">
      <c r="B11" s="20" t="s">
        <v>242</v>
      </c>
      <c r="C11" s="173">
        <f>Statement!M148</f>
        <v>8.3249245696376217</v>
      </c>
      <c r="D11" s="173">
        <f>Statement!N148</f>
        <v>5.3321453370179199</v>
      </c>
      <c r="E11" s="173">
        <f>Statement!O148</f>
        <v>14.838147615335446</v>
      </c>
      <c r="F11" s="173">
        <f>Statement!P148</f>
        <v>17.843700927778787</v>
      </c>
      <c r="G11" s="173">
        <f>Statement!Q148</f>
        <v>6.2334065327103216</v>
      </c>
      <c r="I11" s="173">
        <f ca="1">Statement!AC148</f>
        <v>4.7471590120745493</v>
      </c>
    </row>
    <row r="12" spans="2:9" x14ac:dyDescent="0.2">
      <c r="B12" s="20" t="s">
        <v>264</v>
      </c>
      <c r="C12" s="173">
        <f>Statement!M151</f>
        <v>14.823148118609733</v>
      </c>
      <c r="D12" s="173">
        <f>Statement!N151</f>
        <v>6.1766970595001274</v>
      </c>
      <c r="E12" s="173">
        <f>Statement!O151</f>
        <v>19.07172906126614</v>
      </c>
      <c r="F12" s="173">
        <f>Statement!P151</f>
        <v>19.928279039175212</v>
      </c>
      <c r="G12" s="173">
        <f>Statement!Q151</f>
        <v>7.2956834546241316</v>
      </c>
      <c r="I12" s="173">
        <f ca="1">Statement!AC151</f>
        <v>5.0243509443651622</v>
      </c>
    </row>
    <row r="13" spans="2:9" x14ac:dyDescent="0.2">
      <c r="B13" s="20" t="s">
        <v>208</v>
      </c>
      <c r="C13" s="173">
        <f>Statement!M152</f>
        <v>-61.946614561634476</v>
      </c>
      <c r="D13" s="173">
        <f>Statement!N152</f>
        <v>-35.006652043868392</v>
      </c>
      <c r="E13" s="173">
        <f>Statement!O152</f>
        <v>-763.94652311637378</v>
      </c>
      <c r="F13" s="173">
        <f>Statement!P152</f>
        <v>238.14731208562984</v>
      </c>
      <c r="G13" s="173">
        <f>Statement!Q152</f>
        <v>55.837728848565305</v>
      </c>
      <c r="I13" s="173">
        <f ca="1">Statement!AC152</f>
        <v>36.622795811185028</v>
      </c>
    </row>
    <row r="15" spans="2:9" ht="17" thickBot="1" x14ac:dyDescent="0.25">
      <c r="B15" s="14" t="s">
        <v>78</v>
      </c>
      <c r="C15" s="14"/>
      <c r="D15" s="14"/>
      <c r="E15" s="14"/>
      <c r="F15" s="14"/>
      <c r="G15" s="14"/>
      <c r="I15" s="14"/>
    </row>
    <row r="16" spans="2:9" x14ac:dyDescent="0.2">
      <c r="B16" s="20" t="s">
        <v>79</v>
      </c>
      <c r="C16" s="174">
        <f>Statement!M101</f>
        <v>0.72410795463608379</v>
      </c>
      <c r="D16" s="174">
        <f>Statement!N101</f>
        <v>0.73090028281844144</v>
      </c>
      <c r="E16" s="174">
        <f>Statement!O101</f>
        <v>0.7324372209847696</v>
      </c>
      <c r="F16" s="174">
        <f>Statement!P101</f>
        <v>0.72775606130284587</v>
      </c>
      <c r="G16" s="174">
        <f>Statement!Q101</f>
        <v>0.7223062310799363</v>
      </c>
      <c r="I16" s="174">
        <f>Statement!AC101</f>
        <v>0.7271742756781211</v>
      </c>
    </row>
    <row r="17" spans="2:9" x14ac:dyDescent="0.2">
      <c r="B17" s="20" t="s">
        <v>80</v>
      </c>
      <c r="C17" s="174">
        <f>Statement!M102</f>
        <v>-0.23928907533536439</v>
      </c>
      <c r="D17" s="174">
        <f>Statement!N102</f>
        <v>-0.17644352426961121</v>
      </c>
      <c r="E17" s="174">
        <f>Statement!O102</f>
        <v>-2.4964743583708805E-2</v>
      </c>
      <c r="F17" s="174">
        <f>Statement!P102</f>
        <v>8.3680470145342925E-2</v>
      </c>
      <c r="G17" s="174">
        <f>Statement!Q102</f>
        <v>0.13065867120796384</v>
      </c>
      <c r="I17" s="174">
        <f>Statement!AC102</f>
        <v>0.13719190010148455</v>
      </c>
    </row>
    <row r="18" spans="2:9" x14ac:dyDescent="0.2">
      <c r="B18" s="20" t="s">
        <v>81</v>
      </c>
      <c r="C18" s="174">
        <f>Statement!M103</f>
        <v>-0.2397994991466352</v>
      </c>
      <c r="D18" s="174">
        <f>Statement!N103</f>
        <v>-0.16123086915925791</v>
      </c>
      <c r="E18" s="174">
        <f>Statement!O103</f>
        <v>3.0251793887883655E-2</v>
      </c>
      <c r="F18" s="174">
        <f>Statement!P103</f>
        <v>0.11841063923082681</v>
      </c>
      <c r="G18" s="174">
        <f>Statement!Q103</f>
        <v>0.15166409821229793</v>
      </c>
      <c r="I18" s="174">
        <f>Statement!AC103</f>
        <v>0.13455609684524569</v>
      </c>
    </row>
    <row r="20" spans="2:9" ht="17" thickBot="1" x14ac:dyDescent="0.25">
      <c r="B20" s="14" t="s">
        <v>250</v>
      </c>
      <c r="C20" s="14"/>
      <c r="D20" s="14"/>
      <c r="E20" s="14"/>
      <c r="F20" s="14"/>
      <c r="G20" s="14"/>
      <c r="I20" s="14"/>
    </row>
    <row r="21" spans="2:9" x14ac:dyDescent="0.2">
      <c r="B21" s="20" t="s">
        <v>32</v>
      </c>
      <c r="C21" s="176">
        <f>Statement!M18</f>
        <v>-60135</v>
      </c>
      <c r="D21" s="176">
        <f>Statement!N18</f>
        <v>-59574</v>
      </c>
      <c r="E21" s="176">
        <f>Statement!O18</f>
        <v>16067</v>
      </c>
      <c r="F21" s="176">
        <f>Statement!P18</f>
        <v>88574</v>
      </c>
      <c r="G21" s="176">
        <f>Statement!Q18</f>
        <v>157365</v>
      </c>
      <c r="I21" s="176">
        <f>Statement!AC18</f>
        <v>154067</v>
      </c>
    </row>
    <row r="22" spans="2:9" x14ac:dyDescent="0.2">
      <c r="B22" s="20" t="s">
        <v>251</v>
      </c>
      <c r="C22" s="176">
        <f>Statement!M59</f>
        <v>9170</v>
      </c>
      <c r="D22" s="176">
        <f>Statement!N59</f>
        <v>53656</v>
      </c>
      <c r="E22" s="176">
        <f>Statement!O59</f>
        <v>153614</v>
      </c>
      <c r="F22" s="176">
        <f>Statement!P59</f>
        <v>285513</v>
      </c>
      <c r="G22" s="176">
        <f>Statement!Q59</f>
        <v>387823</v>
      </c>
      <c r="I22" s="176">
        <f>Statement!AC59</f>
        <v>430548</v>
      </c>
    </row>
    <row r="23" spans="2:9" x14ac:dyDescent="0.2">
      <c r="B23" s="20" t="s">
        <v>258</v>
      </c>
      <c r="C23" s="194" t="str">
        <f>IF(OR(C21&lt;=0, C22&lt;=0),"N/A",C21-C22)</f>
        <v>N/A</v>
      </c>
      <c r="D23" s="194" t="str">
        <f t="shared" ref="D23:I23" si="0">IF(OR(D21&lt;=0, D22&lt;=0),"N/A",D21-D22)</f>
        <v>N/A</v>
      </c>
      <c r="E23" s="194">
        <f t="shared" si="0"/>
        <v>-137547</v>
      </c>
      <c r="F23" s="194">
        <f t="shared" si="0"/>
        <v>-196939</v>
      </c>
      <c r="G23" s="194">
        <f t="shared" si="0"/>
        <v>-230458</v>
      </c>
      <c r="I23" s="194">
        <f t="shared" si="0"/>
        <v>-276481</v>
      </c>
    </row>
    <row r="25" spans="2:9" ht="17" thickBot="1" x14ac:dyDescent="0.25">
      <c r="B25" s="14" t="s">
        <v>249</v>
      </c>
      <c r="C25" s="14"/>
      <c r="D25" s="14"/>
      <c r="E25" s="14"/>
      <c r="F25" s="14"/>
      <c r="G25" s="14"/>
      <c r="I25" s="14"/>
    </row>
    <row r="26" spans="2:9" x14ac:dyDescent="0.2">
      <c r="B26" s="20" t="s">
        <v>100</v>
      </c>
      <c r="C26" s="174">
        <f>Statement!M121</f>
        <v>-0.2397994991466352</v>
      </c>
      <c r="D26" s="174">
        <f>Statement!N121</f>
        <v>-0.16123086915925791</v>
      </c>
      <c r="E26" s="174">
        <f>Statement!O121</f>
        <v>3.0251793887883655E-2</v>
      </c>
      <c r="F26" s="174">
        <f>Statement!P121</f>
        <v>0.11841063923082681</v>
      </c>
      <c r="G26" s="174">
        <f>Statement!Q121</f>
        <v>0.15166409821229793</v>
      </c>
      <c r="I26" s="174">
        <f>Statement!AC121</f>
        <v>0.13455609684524569</v>
      </c>
    </row>
    <row r="27" spans="2:9" x14ac:dyDescent="0.2">
      <c r="B27" s="20" t="s">
        <v>101</v>
      </c>
      <c r="C27" s="213">
        <f>Statement!M122</f>
        <v>0.37920433804972242</v>
      </c>
      <c r="D27" s="213">
        <f>Statement!N122</f>
        <v>0.49440888904350994</v>
      </c>
      <c r="E27" s="213">
        <f>Statement!O122</f>
        <v>0.55674312364184131</v>
      </c>
      <c r="F27" s="213">
        <f>Statement!P122</f>
        <v>0.57463924875242756</v>
      </c>
      <c r="G27" s="213">
        <f>Statement!Q122</f>
        <v>0.52083042613576469</v>
      </c>
      <c r="I27" s="213">
        <f>Statement!AC122</f>
        <v>0.55208676377912136</v>
      </c>
    </row>
    <row r="28" spans="2:9" x14ac:dyDescent="0.2">
      <c r="B28" s="32" t="s">
        <v>102</v>
      </c>
      <c r="C28" s="175">
        <f>Statement!M123</f>
        <v>-9.0933010338554776E-2</v>
      </c>
      <c r="D28" s="175">
        <f>Statement!N123</f>
        <v>-7.9713974900548212E-2</v>
      </c>
      <c r="E28" s="175">
        <f>Statement!O123</f>
        <v>1.6842478224909509E-2</v>
      </c>
      <c r="F28" s="175">
        <f>Statement!P123</f>
        <v>6.804340077189705E-2</v>
      </c>
      <c r="G28" s="175">
        <f>Statement!Q123</f>
        <v>7.89912769014076E-2</v>
      </c>
      <c r="I28" s="175">
        <f>Statement!AC123</f>
        <v>7.428664005404173E-2</v>
      </c>
    </row>
    <row r="29" spans="2:9" x14ac:dyDescent="0.2">
      <c r="B29" s="20" t="s">
        <v>103</v>
      </c>
      <c r="C29" s="213">
        <f>Statement!M124</f>
        <v>1.2889645574752073</v>
      </c>
      <c r="D29" s="213">
        <f>Statement!N124</f>
        <v>1.3786705972203261</v>
      </c>
      <c r="E29" s="213">
        <f>Statement!O124</f>
        <v>1.4553097554389696</v>
      </c>
      <c r="F29" s="213">
        <f>Statement!P124</f>
        <v>1.5787132375234976</v>
      </c>
      <c r="G29" s="213">
        <f>Statement!Q124</f>
        <v>1.4789703980531639</v>
      </c>
      <c r="I29" s="213">
        <f>Statement!AC124</f>
        <v>1.4711578430663199</v>
      </c>
    </row>
    <row r="30" spans="2:9" x14ac:dyDescent="0.2">
      <c r="B30" s="32" t="s">
        <v>104</v>
      </c>
      <c r="C30" s="175">
        <f>Statement!M125</f>
        <v>-0.1172094274309237</v>
      </c>
      <c r="D30" s="175">
        <f>Statement!N125</f>
        <v>-0.1098993133829449</v>
      </c>
      <c r="E30" s="175">
        <f>Statement!O125</f>
        <v>2.4511022866479229E-2</v>
      </c>
      <c r="F30" s="175">
        <f>Statement!P125</f>
        <v>0.10742101752471045</v>
      </c>
      <c r="G30" s="175">
        <f>Statement!Q125</f>
        <v>0.11682576024160249</v>
      </c>
      <c r="I30" s="175">
        <f>Statement!AC125</f>
        <v>0.10928737315054812</v>
      </c>
    </row>
    <row r="32" spans="2:9" ht="17" thickBot="1" x14ac:dyDescent="0.25">
      <c r="B32" s="14" t="s">
        <v>309</v>
      </c>
      <c r="C32" s="14"/>
      <c r="D32" s="14"/>
      <c r="E32" s="14"/>
      <c r="F32" s="14"/>
      <c r="G32" s="14"/>
      <c r="I32" s="14"/>
    </row>
    <row r="33" spans="2:9" x14ac:dyDescent="0.2">
      <c r="B33" s="20" t="s">
        <v>102</v>
      </c>
      <c r="C33" s="174">
        <f>C28</f>
        <v>-9.0933010338554776E-2</v>
      </c>
      <c r="D33" s="174">
        <f t="shared" ref="D33:G33" si="1">D28</f>
        <v>-7.9713974900548212E-2</v>
      </c>
      <c r="E33" s="174">
        <f t="shared" si="1"/>
        <v>1.6842478224909509E-2</v>
      </c>
      <c r="F33" s="174">
        <f t="shared" si="1"/>
        <v>6.804340077189705E-2</v>
      </c>
      <c r="G33" s="174">
        <f t="shared" si="1"/>
        <v>7.89912769014076E-2</v>
      </c>
      <c r="I33" s="174">
        <f>I28</f>
        <v>7.428664005404173E-2</v>
      </c>
    </row>
    <row r="34" spans="2:9" x14ac:dyDescent="0.2">
      <c r="B34" s="20" t="s">
        <v>104</v>
      </c>
      <c r="C34" s="174">
        <f>C30</f>
        <v>-0.1172094274309237</v>
      </c>
      <c r="D34" s="174">
        <f t="shared" ref="D34:G34" si="2">D30</f>
        <v>-0.1098993133829449</v>
      </c>
      <c r="E34" s="174">
        <f t="shared" si="2"/>
        <v>2.4511022866479229E-2</v>
      </c>
      <c r="F34" s="174">
        <f t="shared" si="2"/>
        <v>0.10742101752471045</v>
      </c>
      <c r="G34" s="174">
        <f t="shared" si="2"/>
        <v>0.11682576024160249</v>
      </c>
      <c r="I34" s="174">
        <f>I30</f>
        <v>0.10928737315054812</v>
      </c>
    </row>
    <row r="35" spans="2:9" x14ac:dyDescent="0.2">
      <c r="B35" s="20" t="s">
        <v>105</v>
      </c>
      <c r="C35" s="174">
        <f>Statement!M136</f>
        <v>1.4683844760925953</v>
      </c>
      <c r="D35" s="174">
        <f>Statement!N136</f>
        <v>0.98627878127741975</v>
      </c>
      <c r="E35" s="174">
        <f>Statement!O136</f>
        <v>0.14394901692559903</v>
      </c>
      <c r="F35" s="174">
        <f>Statement!P136</f>
        <v>-0.35797789840320271</v>
      </c>
      <c r="G35" s="174">
        <f>Statement!Q136</f>
        <v>1.6371013770230809</v>
      </c>
      <c r="I35" s="174">
        <f>Statement!AC136</f>
        <v>-17.586668123511064</v>
      </c>
    </row>
    <row r="37" spans="2:9" ht="17" thickBot="1" x14ac:dyDescent="0.25">
      <c r="B37" s="14" t="s">
        <v>254</v>
      </c>
      <c r="C37" s="14"/>
      <c r="D37" s="14"/>
      <c r="E37" s="14"/>
      <c r="F37" s="14"/>
      <c r="G37" s="14"/>
      <c r="I37" s="14"/>
    </row>
    <row r="38" spans="2:9" x14ac:dyDescent="0.2">
      <c r="B38" s="20" t="s">
        <v>143</v>
      </c>
      <c r="C38" s="173">
        <f>Statement!M137</f>
        <v>48.268925557877274</v>
      </c>
      <c r="D38" s="173">
        <f>Statement!N137</f>
        <v>46.15954207770065</v>
      </c>
      <c r="E38" s="173">
        <f>Statement!O137</f>
        <v>61.147288033153274</v>
      </c>
      <c r="F38" s="173">
        <f>Statement!P137</f>
        <v>62.908268986021838</v>
      </c>
      <c r="G38" s="173">
        <f>Statement!Q137</f>
        <v>57.278802107578244</v>
      </c>
      <c r="I38" s="173">
        <f>Statement!AC137</f>
        <v>41.753058073261009</v>
      </c>
    </row>
    <row r="39" spans="2:9" x14ac:dyDescent="0.2">
      <c r="B39" s="20" t="s">
        <v>144</v>
      </c>
      <c r="C39" s="173">
        <f>Statement!M138</f>
        <v>0</v>
      </c>
      <c r="D39" s="173">
        <f>Statement!N138</f>
        <v>0</v>
      </c>
      <c r="E39" s="173">
        <f>Statement!O138</f>
        <v>0</v>
      </c>
      <c r="F39" s="173">
        <f>Statement!P138</f>
        <v>0</v>
      </c>
      <c r="G39" s="173">
        <f>Statement!Q138</f>
        <v>0</v>
      </c>
      <c r="I39" s="173">
        <f>Statement!AC138</f>
        <v>0</v>
      </c>
    </row>
    <row r="40" spans="2:9" x14ac:dyDescent="0.2">
      <c r="B40" s="20" t="s">
        <v>145</v>
      </c>
      <c r="C40" s="173">
        <f>Statement!M139</f>
        <v>41.244905038591625</v>
      </c>
      <c r="D40" s="173">
        <f>Statement!N139</f>
        <v>4.3206344097917153</v>
      </c>
      <c r="E40" s="173">
        <f>Statement!O139</f>
        <v>6.28517645403047</v>
      </c>
      <c r="F40" s="173">
        <f>Statement!P139</f>
        <v>11.436887721279676</v>
      </c>
      <c r="G40" s="173">
        <f>Statement!Q139</f>
        <v>10.131710466036401</v>
      </c>
      <c r="I40" s="173">
        <f>Statement!AC139</f>
        <v>18.923831413699716</v>
      </c>
    </row>
    <row r="41" spans="2:9" x14ac:dyDescent="0.2">
      <c r="B41" s="20" t="s">
        <v>146</v>
      </c>
      <c r="C41" s="173">
        <f>Statement!M140</f>
        <v>7.0240205192856493</v>
      </c>
      <c r="D41" s="173">
        <f>Statement!N140</f>
        <v>41.838907667908934</v>
      </c>
      <c r="E41" s="173">
        <f>Statement!O140</f>
        <v>54.862111579122804</v>
      </c>
      <c r="F41" s="173">
        <f>Statement!P140</f>
        <v>51.471381264742163</v>
      </c>
      <c r="G41" s="173">
        <f>Statement!Q140</f>
        <v>47.147091641541842</v>
      </c>
      <c r="I41" s="173">
        <f>Statement!AC140</f>
        <v>22.829226659561293</v>
      </c>
    </row>
    <row r="43" spans="2:9" ht="17" thickBot="1" x14ac:dyDescent="0.25">
      <c r="B43" s="14" t="s">
        <v>260</v>
      </c>
      <c r="C43" s="14"/>
      <c r="D43" s="14"/>
      <c r="E43" s="14"/>
      <c r="F43" s="14"/>
      <c r="G43" s="14"/>
      <c r="I43" s="14"/>
    </row>
    <row r="44" spans="2:9" x14ac:dyDescent="0.2">
      <c r="B44" s="20" t="s">
        <v>261</v>
      </c>
      <c r="C44" s="179">
        <f>Statement!M141</f>
        <v>0</v>
      </c>
      <c r="D44" s="179">
        <f>Statement!N141</f>
        <v>0</v>
      </c>
      <c r="E44" s="179">
        <f>Statement!O141</f>
        <v>0</v>
      </c>
      <c r="F44" s="179">
        <f>Statement!P141</f>
        <v>0</v>
      </c>
      <c r="G44" s="179">
        <f>Statement!Q141</f>
        <v>0</v>
      </c>
      <c r="I44" s="179">
        <f>Statement!AC141</f>
        <v>0</v>
      </c>
    </row>
    <row r="45" spans="2:9" x14ac:dyDescent="0.2">
      <c r="B45" s="20" t="s">
        <v>262</v>
      </c>
      <c r="C45" s="179">
        <f>Statement!M142</f>
        <v>-1.0796521237447765</v>
      </c>
      <c r="D45" s="179">
        <f>Statement!N142</f>
        <v>-1.1219418607654248</v>
      </c>
      <c r="E45" s="179">
        <f>Statement!O142</f>
        <v>-1.1405169481053423</v>
      </c>
      <c r="F45" s="179">
        <f>Statement!P142</f>
        <v>-1.1835995391425627</v>
      </c>
      <c r="G45" s="179">
        <f>Statement!Q142</f>
        <v>-0.94696311671959887</v>
      </c>
      <c r="I45" s="179">
        <f>Statement!AC142</f>
        <v>-1.00483563659166</v>
      </c>
    </row>
    <row r="46" spans="2:9" x14ac:dyDescent="0.2">
      <c r="B46" s="20" t="s">
        <v>256</v>
      </c>
      <c r="C46" s="179">
        <f>Statement!M143</f>
        <v>4.9280623851054726</v>
      </c>
      <c r="D46" s="179">
        <f>Statement!N143</f>
        <v>3.603028069055819</v>
      </c>
      <c r="E46" s="179">
        <f>Statement!O143</f>
        <v>3.0162206791124957</v>
      </c>
      <c r="F46" s="179">
        <f>Statement!P143</f>
        <v>2.6167192839938327</v>
      </c>
      <c r="G46" s="179">
        <f>Statement!Q143</f>
        <v>2.6098107949225979</v>
      </c>
      <c r="I46" s="179">
        <f>Statement!AC143</f>
        <v>2.6781751821027875</v>
      </c>
    </row>
    <row r="47" spans="2:9" x14ac:dyDescent="0.2">
      <c r="B47" s="20" t="s">
        <v>257</v>
      </c>
      <c r="C47" s="179">
        <f>Statement!M144</f>
        <v>5.1982355558167059</v>
      </c>
      <c r="D47" s="179">
        <f>Statement!N144</f>
        <v>3.8356073193006393</v>
      </c>
      <c r="E47" s="179">
        <f>Statement!O144</f>
        <v>3.2369178185908667</v>
      </c>
      <c r="F47" s="179">
        <f>Statement!P144</f>
        <v>2.6089699714137522</v>
      </c>
      <c r="G47" s="179">
        <f>Statement!Q144</f>
        <v>2.6065702860211775</v>
      </c>
      <c r="I47" s="179">
        <f>Statement!AC144</f>
        <v>2.8920362803785871</v>
      </c>
    </row>
    <row r="48" spans="2:9" x14ac:dyDescent="0.2">
      <c r="B48" s="20" t="s">
        <v>263</v>
      </c>
      <c r="C48" s="181" t="str">
        <f>Statement!M145</f>
        <v>N/A</v>
      </c>
      <c r="D48" s="181" t="str">
        <f>Statement!N145</f>
        <v>N/A</v>
      </c>
      <c r="E48" s="181" t="str">
        <f>Statement!O145</f>
        <v>N/A</v>
      </c>
      <c r="F48" s="181" t="str">
        <f>Statement!P145</f>
        <v>N/A</v>
      </c>
      <c r="G48" s="181" t="str">
        <f>Statement!Q145</f>
        <v>N/A</v>
      </c>
      <c r="I48" s="181" t="str">
        <f>Statement!AC145</f>
        <v>N/A</v>
      </c>
    </row>
    <row r="50" spans="2:9" ht="17" thickBot="1" x14ac:dyDescent="0.25">
      <c r="B50" s="14" t="s">
        <v>272</v>
      </c>
      <c r="C50" s="14"/>
      <c r="D50" s="14"/>
      <c r="E50" s="14"/>
      <c r="F50" s="14"/>
      <c r="G50" s="14"/>
      <c r="I50" s="14"/>
    </row>
    <row r="51" spans="2:9" x14ac:dyDescent="0.2">
      <c r="B51" s="20" t="s">
        <v>270</v>
      </c>
      <c r="C51" s="174">
        <f>Statement!M158</f>
        <v>-2.3241092421776088E-2</v>
      </c>
      <c r="D51" s="174">
        <f>Statement!N158</f>
        <v>-2.1228736116968933E-2</v>
      </c>
      <c r="E51" s="174">
        <f>Statement!O158</f>
        <v>1.5428697377121445E-3</v>
      </c>
      <c r="F51" s="174">
        <f>Statement!P158</f>
        <v>5.7810578105781055E-3</v>
      </c>
      <c r="G51" s="174">
        <f>Statement!Q158</f>
        <v>1.838670065394931E-2</v>
      </c>
      <c r="I51" s="174">
        <f ca="1">Statement!AC158</f>
        <v>2.1956074631117855E-2</v>
      </c>
    </row>
    <row r="52" spans="2:9" x14ac:dyDescent="0.2">
      <c r="B52" s="20" t="s">
        <v>273</v>
      </c>
      <c r="C52" s="174">
        <f>Statement!M157</f>
        <v>-8.8594354802363062E-3</v>
      </c>
      <c r="D52" s="174">
        <f>Statement!N157</f>
        <v>-1.0478686231807555E-2</v>
      </c>
      <c r="E52" s="174">
        <f>Statement!O157</f>
        <v>4.1105007674171346E-3</v>
      </c>
      <c r="F52" s="174">
        <f>Statement!P157</f>
        <v>9.6894949293473281E-3</v>
      </c>
      <c r="G52" s="174">
        <f>Statement!Q157</f>
        <v>2.5209129551605529E-2</v>
      </c>
      <c r="I52" s="174">
        <f ca="1">Statement!AC157</f>
        <v>3.5263509609260342E-2</v>
      </c>
    </row>
    <row r="53" spans="2:9" x14ac:dyDescent="0.2">
      <c r="B53" s="20" t="s">
        <v>271</v>
      </c>
      <c r="C53" s="174">
        <f>Statement!M159</f>
        <v>0</v>
      </c>
      <c r="D53" s="174">
        <f>Statement!N159</f>
        <v>0</v>
      </c>
      <c r="E53" s="174">
        <f>Statement!O159</f>
        <v>0</v>
      </c>
      <c r="F53" s="174">
        <f>Statement!P159</f>
        <v>0</v>
      </c>
      <c r="G53" s="174">
        <f>Statement!Q159</f>
        <v>0</v>
      </c>
      <c r="I53" s="174">
        <f ca="1">Statement!AC159</f>
        <v>0</v>
      </c>
    </row>
    <row r="54" spans="2:9" x14ac:dyDescent="0.2">
      <c r="B54" s="20" t="s">
        <v>296</v>
      </c>
      <c r="C54" s="174">
        <f>Statement!M160</f>
        <v>2.0322383712592795E-4</v>
      </c>
      <c r="D54" s="174">
        <f>Statement!N160</f>
        <v>0</v>
      </c>
      <c r="E54" s="174">
        <f>Statement!O160</f>
        <v>0</v>
      </c>
      <c r="F54" s="174">
        <f>Statement!P160</f>
        <v>0</v>
      </c>
      <c r="G54" s="174">
        <f>Statement!Q160</f>
        <v>0</v>
      </c>
      <c r="I54" s="174">
        <f ca="1">Statement!AC160</f>
        <v>9.7082748965008608E-3</v>
      </c>
    </row>
    <row r="55" spans="2:9" x14ac:dyDescent="0.2">
      <c r="B55" s="20" t="s">
        <v>298</v>
      </c>
      <c r="C55" s="174">
        <f>Statement!M161</f>
        <v>2.0322383712592795E-4</v>
      </c>
      <c r="D55" s="174">
        <f>Statement!N161</f>
        <v>0</v>
      </c>
      <c r="E55" s="174">
        <f>Statement!O161</f>
        <v>0</v>
      </c>
      <c r="F55" s="174">
        <f>Statement!P161</f>
        <v>0</v>
      </c>
      <c r="G55" s="174">
        <f>Statement!Q161</f>
        <v>0</v>
      </c>
      <c r="I55" s="174">
        <f ca="1">Statement!AC161</f>
        <v>9.7082748965008608E-3</v>
      </c>
    </row>
    <row r="57" spans="2:9" ht="17" thickBot="1" x14ac:dyDescent="0.25">
      <c r="B57" s="14" t="s">
        <v>275</v>
      </c>
      <c r="C57" s="14"/>
      <c r="D57" s="14"/>
      <c r="E57" s="14"/>
      <c r="F57" s="14"/>
      <c r="G57" s="14"/>
      <c r="I57" s="14"/>
    </row>
    <row r="58" spans="2:9" x14ac:dyDescent="0.2">
      <c r="B58" s="20" t="s">
        <v>274</v>
      </c>
      <c r="C58" s="174">
        <f>Statement!M164</f>
        <v>0</v>
      </c>
      <c r="D58" s="174">
        <f>Statement!N164</f>
        <v>0</v>
      </c>
      <c r="E58" s="174">
        <f>Statement!O164</f>
        <v>0</v>
      </c>
      <c r="F58" s="174">
        <f>Statement!P164</f>
        <v>0</v>
      </c>
      <c r="G58" s="174">
        <f>Statement!Q164</f>
        <v>0</v>
      </c>
      <c r="I58" s="174">
        <f>Statement!AC164</f>
        <v>0</v>
      </c>
    </row>
    <row r="59" spans="2:9" x14ac:dyDescent="0.2">
      <c r="B59" s="20" t="s">
        <v>276</v>
      </c>
      <c r="C59" s="174">
        <f>Statement!M165</f>
        <v>-2.2938689217758986E-2</v>
      </c>
      <c r="D59" s="174">
        <f>Statement!N165</f>
        <v>0</v>
      </c>
      <c r="E59" s="174">
        <f>Statement!O165</f>
        <v>0</v>
      </c>
      <c r="F59" s="174">
        <f>Statement!P165</f>
        <v>0</v>
      </c>
      <c r="G59" s="174">
        <f>Statement!Q165</f>
        <v>0</v>
      </c>
      <c r="I59" s="174">
        <f>Statement!AC165</f>
        <v>0.27530654220393957</v>
      </c>
    </row>
    <row r="60" spans="2:9" x14ac:dyDescent="0.2">
      <c r="B60" s="20" t="s">
        <v>277</v>
      </c>
      <c r="C60" s="174">
        <f>Statement!M166</f>
        <v>-2.2938689217758986E-2</v>
      </c>
      <c r="D60" s="174">
        <f>Statement!N166</f>
        <v>0</v>
      </c>
      <c r="E60" s="174">
        <f>Statement!O166</f>
        <v>0</v>
      </c>
      <c r="F60" s="174">
        <f>Statement!P166</f>
        <v>0</v>
      </c>
      <c r="G60" s="174">
        <f>Statement!Q166</f>
        <v>0</v>
      </c>
      <c r="I60" s="174">
        <f>Statement!AC166</f>
        <v>0.27530654220393957</v>
      </c>
    </row>
    <row r="62" spans="2:9" ht="17" thickBot="1" x14ac:dyDescent="0.25">
      <c r="B62" s="14" t="s">
        <v>283</v>
      </c>
      <c r="C62" s="14"/>
      <c r="D62" s="14"/>
      <c r="E62" s="14"/>
      <c r="F62" s="14"/>
      <c r="G62" s="14"/>
      <c r="I62" s="14"/>
    </row>
    <row r="63" spans="2:9" x14ac:dyDescent="0.2">
      <c r="B63" s="20" t="s">
        <v>281</v>
      </c>
      <c r="C63" s="174">
        <f>Statement!M167</f>
        <v>0.22397411003236245</v>
      </c>
      <c r="D63" s="174">
        <f>Statement!N167</f>
        <v>0.20043803523968895</v>
      </c>
      <c r="E63" s="174">
        <f>Statement!O167</f>
        <v>0.16445241620956472</v>
      </c>
      <c r="F63" s="174">
        <f>Statement!P167</f>
        <v>0.14582309582309583</v>
      </c>
      <c r="G63" s="174">
        <f>Statement!Q167</f>
        <v>0.14574947431661159</v>
      </c>
      <c r="I63" s="174">
        <f>Statement!AC167</f>
        <v>0.14520569809664419</v>
      </c>
    </row>
    <row r="65" spans="2:9" ht="17" thickBot="1" x14ac:dyDescent="0.25">
      <c r="B65" s="14" t="s">
        <v>289</v>
      </c>
      <c r="C65" s="14"/>
      <c r="D65" s="14"/>
      <c r="E65" s="14"/>
      <c r="F65" s="14"/>
      <c r="G65" s="14"/>
      <c r="I65" s="14"/>
    </row>
    <row r="66" spans="2:9" x14ac:dyDescent="0.2">
      <c r="B66" s="20" t="s">
        <v>282</v>
      </c>
      <c r="C66" s="173">
        <f>Statement!M168</f>
        <v>14.341022653721684</v>
      </c>
      <c r="D66" s="173">
        <f>Statement!N168</f>
        <v>14.966532138990058</v>
      </c>
      <c r="E66" s="173">
        <f>Statement!O168</f>
        <v>17.436561246384922</v>
      </c>
      <c r="F66" s="173">
        <f>Statement!P168</f>
        <v>21.571005459408084</v>
      </c>
      <c r="G66" s="173">
        <f>Statement!Q168</f>
        <v>26.910654008438819</v>
      </c>
      <c r="I66" s="173">
        <f>Statement!AC168</f>
        <v>30.277412046338647</v>
      </c>
    </row>
    <row r="67" spans="2:9" x14ac:dyDescent="0.2">
      <c r="B67" s="20" t="s">
        <v>290</v>
      </c>
      <c r="C67" s="173">
        <f>Statement!M171</f>
        <v>14.341022653721684</v>
      </c>
      <c r="D67" s="173">
        <f>Statement!N171</f>
        <v>14.966532138990058</v>
      </c>
      <c r="E67" s="173">
        <f>Statement!O171</f>
        <v>17.436561246384922</v>
      </c>
      <c r="F67" s="173">
        <f>Statement!P171</f>
        <v>21.571005459408084</v>
      </c>
      <c r="G67" s="173">
        <f>Statement!Q171</f>
        <v>26.910654008438819</v>
      </c>
      <c r="I67" s="173">
        <f>Statement!AC171</f>
        <v>30.277412046338647</v>
      </c>
    </row>
    <row r="68" spans="2:9" x14ac:dyDescent="0.2">
      <c r="B68" s="20" t="s">
        <v>295</v>
      </c>
      <c r="C68" s="195">
        <f>Statement!M172</f>
        <v>0.12968911786689893</v>
      </c>
      <c r="D68" s="195">
        <f>Statement!N172</f>
        <v>0.21041096779122817</v>
      </c>
      <c r="E68" s="195">
        <f>Statement!O172</f>
        <v>6.873451606452223E-2</v>
      </c>
      <c r="F68" s="195">
        <f>Statement!P172</f>
        <v>6.144627938908382E-2</v>
      </c>
      <c r="G68" s="195">
        <f>Statement!Q172</f>
        <v>0.14420519284305233</v>
      </c>
      <c r="I68" s="195">
        <f ca="1">Statement!AC172</f>
        <v>0.19758263550583111</v>
      </c>
    </row>
    <row r="70" spans="2:9" ht="17" thickBot="1" x14ac:dyDescent="0.25">
      <c r="B70" s="14" t="s">
        <v>310</v>
      </c>
      <c r="C70" s="14"/>
      <c r="D70" s="14"/>
      <c r="E70" s="14"/>
      <c r="F70" s="14"/>
      <c r="G70" s="14"/>
      <c r="I70" s="14"/>
    </row>
    <row r="71" spans="2:9" x14ac:dyDescent="0.2">
      <c r="B71" s="20" t="s">
        <v>284</v>
      </c>
      <c r="C71" s="174">
        <f>Statement!M169</f>
        <v>4.4497273718647765</v>
      </c>
      <c r="D71" s="174">
        <f>Statement!N169</f>
        <v>1.3758014015207991</v>
      </c>
      <c r="E71" s="174">
        <f>Statement!O169</f>
        <v>0.61987188667699555</v>
      </c>
      <c r="F71" s="174">
        <f>Statement!P169</f>
        <v>0.38694210070995017</v>
      </c>
      <c r="G71" s="174">
        <f>Statement!Q169</f>
        <v>0.35438073554172911</v>
      </c>
      <c r="I71" s="174">
        <f>Statement!AC169</f>
        <v>0.33604615513252878</v>
      </c>
    </row>
    <row r="72" spans="2:9" x14ac:dyDescent="0.2">
      <c r="B72" s="20" t="s">
        <v>285</v>
      </c>
      <c r="C72" s="174">
        <f>Statement!M170</f>
        <v>0.16271354058666837</v>
      </c>
      <c r="D72" s="174">
        <f>Statement!N170</f>
        <v>0.19978619467110514</v>
      </c>
      <c r="E72" s="174">
        <f>Statement!O170</f>
        <v>0.1792871143211657</v>
      </c>
      <c r="F72" s="174">
        <f>Statement!P170</f>
        <v>0.14769178529031154</v>
      </c>
      <c r="G72" s="174">
        <f>Statement!Q170</f>
        <v>0.13245803492519678</v>
      </c>
      <c r="I72" s="174">
        <f>Statement!AC170</f>
        <v>0.12636135133388413</v>
      </c>
    </row>
    <row r="74" spans="2:9" ht="17" thickBot="1" x14ac:dyDescent="0.25">
      <c r="B74" s="14" t="s">
        <v>311</v>
      </c>
      <c r="C74" s="14"/>
      <c r="D74" s="14"/>
      <c r="E74" s="14"/>
      <c r="F74" s="14"/>
      <c r="G74" s="14"/>
      <c r="I74" s="14"/>
    </row>
    <row r="75" spans="2:9" x14ac:dyDescent="0.2">
      <c r="B75" s="20" t="s">
        <v>308</v>
      </c>
      <c r="C75" s="174">
        <f>Statement!M173</f>
        <v>2.474757947458249E-2</v>
      </c>
      <c r="D75" s="174">
        <f>Statement!N173</f>
        <v>2.7399558857359368E-2</v>
      </c>
      <c r="E75" s="174">
        <f>Statement!O173</f>
        <v>2.5764955969490255E-2</v>
      </c>
      <c r="F75" s="174">
        <f>Statement!P173</f>
        <v>2.8261125311487331E-2</v>
      </c>
      <c r="G75" s="174">
        <f>Statement!Q173</f>
        <v>2.6406409474271603E-2</v>
      </c>
      <c r="I75" s="174">
        <f>Statement!AC173</f>
        <v>2.8859338236963777E-2</v>
      </c>
    </row>
    <row r="76" spans="2:9" x14ac:dyDescent="0.2">
      <c r="B76" s="20" t="s">
        <v>305</v>
      </c>
      <c r="C76" s="174">
        <f>Statement!M174</f>
        <v>0.67677208287895307</v>
      </c>
      <c r="D76" s="174">
        <f>Statement!N174</f>
        <v>0.188683465036529</v>
      </c>
      <c r="E76" s="174">
        <f>Statement!O174</f>
        <v>8.9080422357337222E-2</v>
      </c>
      <c r="F76" s="174">
        <f>Statement!P174</f>
        <v>7.4042162703624709E-2</v>
      </c>
      <c r="G76" s="174">
        <f>Statement!Q174</f>
        <v>7.0648208074301944E-2</v>
      </c>
      <c r="I76" s="174">
        <f>Statement!AC174</f>
        <v>7.6748701654635487E-2</v>
      </c>
    </row>
    <row r="77" spans="2:9" x14ac:dyDescent="0.2">
      <c r="B77" s="20" t="s">
        <v>306</v>
      </c>
      <c r="C77" s="174">
        <f>Statement!M175</f>
        <v>2.2765957446808511</v>
      </c>
      <c r="D77" s="174">
        <f>Statement!N175</f>
        <v>2.0788501026694046</v>
      </c>
      <c r="E77" s="174">
        <f>Statement!O175</f>
        <v>1.9286821705426356</v>
      </c>
      <c r="F77" s="174">
        <f>Statement!P175</f>
        <v>1.9476690620969228</v>
      </c>
      <c r="G77" s="174">
        <f>Statement!Q175</f>
        <v>1.9038982697519282</v>
      </c>
      <c r="I77" s="174">
        <f>Statement!AC175</f>
        <v>2.0915247800493701</v>
      </c>
    </row>
    <row r="79" spans="2:9" ht="17" thickBot="1" x14ac:dyDescent="0.25">
      <c r="B79" s="14" t="s">
        <v>122</v>
      </c>
      <c r="C79" s="14"/>
      <c r="D79" s="14"/>
      <c r="E79" s="14"/>
      <c r="F79" s="14"/>
      <c r="G79" s="14"/>
      <c r="I79" s="14"/>
    </row>
    <row r="80" spans="2:9" x14ac:dyDescent="0.2">
      <c r="B80" s="20" t="s">
        <v>20</v>
      </c>
      <c r="C80" s="174">
        <f>Statement!M89</f>
        <v>1</v>
      </c>
      <c r="D80" s="174">
        <f>Statement!N89</f>
        <v>0.47343004801173977</v>
      </c>
      <c r="E80" s="174">
        <f>Statement!O89</f>
        <v>0.43739157498748293</v>
      </c>
      <c r="F80" s="174">
        <f>Statement!P89</f>
        <v>0.40841898743948984</v>
      </c>
      <c r="G80" s="174">
        <f>Statement!Q89</f>
        <v>0.38710656342577243</v>
      </c>
      <c r="I80" s="196"/>
    </row>
    <row r="81" spans="2:9" x14ac:dyDescent="0.2">
      <c r="B81" s="20" t="s">
        <v>21</v>
      </c>
      <c r="C81" s="174">
        <f>Statement!M90</f>
        <v>1</v>
      </c>
      <c r="D81" s="174">
        <f>Statement!N90</f>
        <v>0.43715491573439713</v>
      </c>
      <c r="E81" s="174">
        <f>Statement!O90</f>
        <v>0.42918204584083436</v>
      </c>
      <c r="F81" s="174">
        <f>Statement!P90</f>
        <v>0.43306006122233559</v>
      </c>
      <c r="G81" s="174">
        <f>Statement!Q90</f>
        <v>0.41487392275774021</v>
      </c>
      <c r="I81" s="196"/>
    </row>
    <row r="82" spans="2:9" x14ac:dyDescent="0.2">
      <c r="B82" s="20" t="s">
        <v>22</v>
      </c>
      <c r="C82" s="174">
        <f>Statement!M91</f>
        <v>1</v>
      </c>
      <c r="D82" s="174">
        <f>Statement!N91</f>
        <v>0.48725121980769442</v>
      </c>
      <c r="E82" s="174">
        <f>Statement!O91</f>
        <v>0.44041412405948221</v>
      </c>
      <c r="F82" s="174">
        <f>Statement!P91</f>
        <v>0.39941748670964822</v>
      </c>
      <c r="G82" s="174">
        <f>Statement!Q91</f>
        <v>0.37671916073176959</v>
      </c>
      <c r="I82" s="196"/>
    </row>
    <row r="83" spans="2:9" x14ac:dyDescent="0.2">
      <c r="B83" s="20" t="s">
        <v>26</v>
      </c>
      <c r="C83" s="174">
        <f>Statement!M95</f>
        <v>1</v>
      </c>
      <c r="D83" s="174">
        <f>Statement!N95</f>
        <v>0.38770163042803391</v>
      </c>
      <c r="E83" s="174">
        <f>Statement!O95</f>
        <v>0.19985742366349599</v>
      </c>
      <c r="F83" s="174">
        <f>Statement!P95</f>
        <v>0.19768410219184962</v>
      </c>
      <c r="G83" s="174">
        <f>Statement!Q95</f>
        <v>0.27419549009514638</v>
      </c>
      <c r="I83" s="196"/>
    </row>
    <row r="84" spans="2:9" x14ac:dyDescent="0.2">
      <c r="B84" s="20" t="s">
        <v>312</v>
      </c>
      <c r="C84" s="174">
        <f>Statement!M96</f>
        <v>-1</v>
      </c>
      <c r="D84" s="174">
        <f>Statement!N96</f>
        <v>-8.6456580065659011E-2</v>
      </c>
      <c r="E84" s="174">
        <f>Statement!O96</f>
        <v>0.79662550809111132</v>
      </c>
      <c r="F84" s="174">
        <f>Statement!P96</f>
        <v>5.7209442642733235</v>
      </c>
      <c r="G84" s="174">
        <f>Statement!Q96</f>
        <v>1.1658279415288761</v>
      </c>
      <c r="I84" s="196"/>
    </row>
    <row r="85" spans="2:9" x14ac:dyDescent="0.2">
      <c r="B85" s="20" t="s">
        <v>313</v>
      </c>
      <c r="C85" s="174">
        <f>Statement!M98</f>
        <v>-1</v>
      </c>
      <c r="D85" s="174">
        <f>Statement!N98</f>
        <v>9.3290097281117489E-3</v>
      </c>
      <c r="E85" s="174">
        <f>Statement!O98</f>
        <v>1.2696981904857825</v>
      </c>
      <c r="F85" s="174">
        <f>Statement!P98</f>
        <v>4.512790191074874</v>
      </c>
      <c r="G85" s="174">
        <f>Statement!Q98</f>
        <v>0.77665003274098499</v>
      </c>
      <c r="I85" s="196"/>
    </row>
    <row r="88" spans="2:9" ht="17" thickBot="1" x14ac:dyDescent="0.25">
      <c r="B88" s="14" t="s">
        <v>314</v>
      </c>
      <c r="C88" s="14"/>
      <c r="D88" s="14"/>
      <c r="E88" s="14"/>
      <c r="F88" s="14"/>
      <c r="G88" s="14"/>
      <c r="I88" s="14"/>
    </row>
    <row r="89" spans="2:9" x14ac:dyDescent="0.2">
      <c r="B89" s="20" t="str">
        <f>Statement!B191&amp;" Revenue"</f>
        <v>Subscription Revenue</v>
      </c>
      <c r="C89" s="174">
        <f>Statement!M191</f>
        <v>1</v>
      </c>
      <c r="D89" s="174">
        <f>Statement!N191</f>
        <v>0.51361387508439493</v>
      </c>
      <c r="E89" s="174">
        <f>Statement!O191</f>
        <v>0.47961112512659637</v>
      </c>
      <c r="F89" s="174">
        <f>Statement!P191</f>
        <v>0.50124788724041469</v>
      </c>
      <c r="G89" s="174">
        <f>Statement!Q191</f>
        <v>0.43769124538500914</v>
      </c>
      <c r="I89" s="196"/>
    </row>
    <row r="90" spans="2:9" x14ac:dyDescent="0.2">
      <c r="B90" s="20" t="str">
        <f>Statement!B192&amp;" Revenue"</f>
        <v>Advertising Revenue</v>
      </c>
      <c r="C90" s="174">
        <f>Statement!M192</f>
        <v>1</v>
      </c>
      <c r="D90" s="174">
        <f>Statement!N192</f>
        <v>0.161813978857692</v>
      </c>
      <c r="E90" s="174">
        <f>Statement!O192</f>
        <v>0.11461849723905122</v>
      </c>
      <c r="F90" s="174">
        <f>Statement!P192</f>
        <v>0.10126759998395443</v>
      </c>
      <c r="G90" s="174">
        <f>Statement!Q192</f>
        <v>0.45200065565410602</v>
      </c>
      <c r="I90" s="196"/>
    </row>
    <row r="91" spans="2:9" x14ac:dyDescent="0.2">
      <c r="B91" s="20" t="str">
        <f>Statement!B193&amp;" Revenue"</f>
        <v>English test Revenue</v>
      </c>
      <c r="C91" s="174">
        <f>Statement!M193</f>
        <v>1</v>
      </c>
      <c r="D91" s="174">
        <f>Statement!N193</f>
        <v>0.32687160353637762</v>
      </c>
      <c r="E91" s="174">
        <f>Statement!O193</f>
        <v>0.25961244574851766</v>
      </c>
      <c r="F91" s="174">
        <f>Statement!P193</f>
        <v>0.107444433660099</v>
      </c>
      <c r="G91" s="174">
        <f>Statement!Q193</f>
        <v>-7.9623137598597724E-2</v>
      </c>
      <c r="I91" s="196"/>
    </row>
    <row r="92" spans="2:9" x14ac:dyDescent="0.2">
      <c r="B92" s="20" t="str">
        <f>Statement!B194&amp;" Revenue"</f>
        <v>In-App purchases Revenue</v>
      </c>
      <c r="C92" s="174">
        <f>Statement!M194</f>
        <v>1</v>
      </c>
      <c r="D92" s="174">
        <f>Statement!N194</f>
        <v>1.6809833694866232</v>
      </c>
      <c r="E92" s="174">
        <f>Statement!O194</f>
        <v>0.87027347753384754</v>
      </c>
      <c r="F92" s="174">
        <f>Statement!P194</f>
        <v>0.11478672165662042</v>
      </c>
      <c r="G92" s="174">
        <f>Statement!Q194</f>
        <v>4.7240835122758909E-2</v>
      </c>
      <c r="I92" s="196"/>
    </row>
    <row r="93" spans="2:9" x14ac:dyDescent="0.2">
      <c r="B93" s="20" t="str">
        <f>Statement!B195&amp;" Revenue"</f>
        <v>Other Revenue</v>
      </c>
      <c r="C93" s="174">
        <f>Statement!M195</f>
        <v>1</v>
      </c>
      <c r="D93" s="174">
        <f>Statement!N195</f>
        <v>6.9113924050632916</v>
      </c>
      <c r="E93" s="174">
        <f>Statement!O195</f>
        <v>9.1200000000000003E-2</v>
      </c>
      <c r="F93" s="174">
        <f>Statement!P195</f>
        <v>0.89589442815249265</v>
      </c>
      <c r="G93" s="174">
        <f>Statement!Q195</f>
        <v>0.49806651198762569</v>
      </c>
      <c r="I93" s="196"/>
    </row>
    <row r="95" spans="2:9" ht="17" thickBot="1" x14ac:dyDescent="0.25">
      <c r="B95" s="14" t="s">
        <v>316</v>
      </c>
      <c r="C95" s="14"/>
      <c r="D95" s="14"/>
      <c r="E95" s="14"/>
      <c r="F95" s="14"/>
      <c r="G95" s="14"/>
      <c r="I95" s="14"/>
    </row>
    <row r="96" spans="2:9" x14ac:dyDescent="0.2">
      <c r="B96" s="20" t="s">
        <v>288</v>
      </c>
      <c r="C96" s="174">
        <f>Statement!M199</f>
        <v>0</v>
      </c>
      <c r="D96" s="174">
        <f>Statement!N199</f>
        <v>0</v>
      </c>
      <c r="E96" s="174">
        <f>Statement!O199</f>
        <v>0</v>
      </c>
      <c r="F96" s="174">
        <f>Statement!P199</f>
        <v>0</v>
      </c>
      <c r="G96" s="174">
        <f>Statement!Q199</f>
        <v>0</v>
      </c>
      <c r="I96" s="19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3F86-70CC-F54A-91FC-45975067BFCE}">
  <dimension ref="B1:G53"/>
  <sheetViews>
    <sheetView zoomScale="180" workbookViewId="0">
      <selection activeCell="C52" sqref="C52"/>
    </sheetView>
  </sheetViews>
  <sheetFormatPr baseColWidth="10" defaultRowHeight="16" x14ac:dyDescent="0.2"/>
  <cols>
    <col min="1" max="1" width="3.6640625" style="1" customWidth="1"/>
    <col min="2" max="2" width="25.83203125" style="1" customWidth="1"/>
    <col min="3" max="3" width="11.33203125" style="1" customWidth="1"/>
    <col min="4" max="4" width="11.83203125" style="1" customWidth="1"/>
    <col min="5" max="5" width="2.83203125" style="1" customWidth="1"/>
    <col min="6" max="6" width="11.6640625" style="1" customWidth="1"/>
    <col min="7" max="7" width="11.83203125" style="1" customWidth="1"/>
    <col min="8" max="16384" width="10.83203125" style="1"/>
  </cols>
  <sheetData>
    <row r="1" spans="2:7" ht="12" customHeight="1" x14ac:dyDescent="0.2"/>
    <row r="3" spans="2:7" x14ac:dyDescent="0.2">
      <c r="B3" s="8"/>
      <c r="C3" s="266" t="s">
        <v>317</v>
      </c>
      <c r="D3" s="267"/>
      <c r="F3" s="268" t="s">
        <v>318</v>
      </c>
      <c r="G3" s="267"/>
    </row>
    <row r="4" spans="2:7" x14ac:dyDescent="0.2">
      <c r="B4" s="8"/>
      <c r="C4" s="10" t="str">
        <f>Statement!Z2</f>
        <v>31.03.2026</v>
      </c>
      <c r="D4" s="202" t="str">
        <f>Statement!AA2</f>
        <v>30.06.2026</v>
      </c>
      <c r="F4" s="203" t="str">
        <f>Statement!W2</f>
        <v>30.06.2025</v>
      </c>
      <c r="G4" s="202" t="str">
        <f>Statement!AA2</f>
        <v>30.06.2026</v>
      </c>
    </row>
    <row r="5" spans="2:7" x14ac:dyDescent="0.2">
      <c r="B5" s="8" t="s">
        <v>323</v>
      </c>
      <c r="C5" s="10" t="str">
        <f>Statement!Z3</f>
        <v>Q1 2026</v>
      </c>
      <c r="D5" s="202" t="str">
        <f>Statement!AA3</f>
        <v>Q2 2026</v>
      </c>
      <c r="F5" s="203" t="str">
        <f>Statement!W3</f>
        <v>Q2 2025</v>
      </c>
      <c r="G5" s="202" t="str">
        <f>Statement!AA3</f>
        <v>Q2 2026</v>
      </c>
    </row>
    <row r="6" spans="2:7" x14ac:dyDescent="0.2">
      <c r="B6" s="204" t="s">
        <v>20</v>
      </c>
      <c r="C6" s="198">
        <f>Statement!Z5</f>
        <v>291967</v>
      </c>
      <c r="D6" s="197">
        <f>Statement!AA5</f>
        <v>298454</v>
      </c>
      <c r="F6" s="198">
        <f>Statement!W5</f>
        <v>252265</v>
      </c>
      <c r="G6" s="197">
        <f>Statement!AA5</f>
        <v>298454</v>
      </c>
    </row>
    <row r="7" spans="2:7" x14ac:dyDescent="0.2">
      <c r="B7" s="205" t="s">
        <v>319</v>
      </c>
      <c r="C7" s="269">
        <f>Statement!AA89</f>
        <v>2.2218264392893719E-2</v>
      </c>
      <c r="D7" s="270"/>
      <c r="F7" s="269">
        <f>IF(F6=0,
IF(G6=0,0,IF(G6&gt;0,1,-1)),
(G6-F6)/ABS(F6)
)</f>
        <v>0.18309713991239371</v>
      </c>
      <c r="G7" s="270"/>
    </row>
    <row r="8" spans="2:7" x14ac:dyDescent="0.2">
      <c r="B8" s="206" t="s">
        <v>21</v>
      </c>
      <c r="C8" s="199">
        <f>Statement!Z6</f>
        <v>78871</v>
      </c>
      <c r="D8" s="197">
        <f>Statement!AA6</f>
        <v>81714</v>
      </c>
      <c r="F8" s="199">
        <f>Statement!W6</f>
        <v>69684</v>
      </c>
      <c r="G8" s="197">
        <f>Statement!AA6</f>
        <v>81714</v>
      </c>
    </row>
    <row r="9" spans="2:7" x14ac:dyDescent="0.2">
      <c r="B9" s="205" t="s">
        <v>319</v>
      </c>
      <c r="C9" s="269">
        <f>Statement!AA90</f>
        <v>3.6046202026093238E-2</v>
      </c>
      <c r="D9" s="270"/>
      <c r="F9" s="269">
        <f>IF(F8=0,
IF(G8=0,0,IF(G8&gt;0,1,-1)),
(G8-F8)/ABS(F8)
)</f>
        <v>0.17263647322197348</v>
      </c>
      <c r="G9" s="270"/>
    </row>
    <row r="10" spans="2:7" x14ac:dyDescent="0.2">
      <c r="B10" s="206" t="s">
        <v>22</v>
      </c>
      <c r="C10" s="199">
        <f>Statement!Z7</f>
        <v>213096</v>
      </c>
      <c r="D10" s="197">
        <f>Statement!AA7</f>
        <v>216740</v>
      </c>
      <c r="F10" s="199">
        <f>Statement!W7</f>
        <v>182581</v>
      </c>
      <c r="G10" s="197">
        <f>Statement!AA7</f>
        <v>216740</v>
      </c>
    </row>
    <row r="11" spans="2:7" x14ac:dyDescent="0.2">
      <c r="B11" s="205" t="s">
        <v>319</v>
      </c>
      <c r="C11" s="269">
        <f>Statement!AA91</f>
        <v>1.710027405488606E-2</v>
      </c>
      <c r="D11" s="270"/>
      <c r="F11" s="269">
        <f>IF(F10=0,
IF(G10=0,0,IF(G10&gt;0,1,-1)),
(G10-F10)/ABS(F10)
)</f>
        <v>0.1870895657269924</v>
      </c>
      <c r="G11" s="270"/>
    </row>
    <row r="12" spans="2:7" x14ac:dyDescent="0.2">
      <c r="B12" s="206" t="s">
        <v>26</v>
      </c>
      <c r="C12" s="199">
        <f>Statement!Z11</f>
        <v>168569</v>
      </c>
      <c r="D12" s="197">
        <f>Statement!AA11</f>
        <v>182795</v>
      </c>
      <c r="F12" s="199">
        <f>Statement!W11</f>
        <v>149218</v>
      </c>
      <c r="G12" s="197">
        <f>Statement!AA11</f>
        <v>182795</v>
      </c>
    </row>
    <row r="13" spans="2:7" x14ac:dyDescent="0.2">
      <c r="B13" s="205" t="s">
        <v>319</v>
      </c>
      <c r="C13" s="269">
        <f>Statement!AA95</f>
        <v>8.4392741251357012E-2</v>
      </c>
      <c r="D13" s="270"/>
      <c r="F13" s="269">
        <f>IF(F12=0,
IF(G12=0,0,IF(G12&gt;0,1,-1)),
(G12-F12)/ABS(F12)
)</f>
        <v>0.22501976973287405</v>
      </c>
      <c r="G13" s="270"/>
    </row>
    <row r="14" spans="2:7" x14ac:dyDescent="0.2">
      <c r="B14" s="206" t="s">
        <v>320</v>
      </c>
      <c r="C14" s="199">
        <f>Statement!Z12</f>
        <v>44527</v>
      </c>
      <c r="D14" s="197">
        <f>Statement!AA12</f>
        <v>33945</v>
      </c>
      <c r="F14" s="199">
        <f>Statement!W12</f>
        <v>33363</v>
      </c>
      <c r="G14" s="197">
        <f>Statement!AA12</f>
        <v>33945</v>
      </c>
    </row>
    <row r="15" spans="2:7" x14ac:dyDescent="0.2">
      <c r="B15" s="205" t="s">
        <v>319</v>
      </c>
      <c r="C15" s="269">
        <f>Statement!AA96</f>
        <v>-0.23765355851505829</v>
      </c>
      <c r="D15" s="270"/>
      <c r="F15" s="269">
        <f>IF(F14=0,
IF(G14=0,0,IF(G14&gt;0,1,-1)),
(G14-F14)/ABS(F14)
)</f>
        <v>1.7444474417768186E-2</v>
      </c>
      <c r="G15" s="270"/>
    </row>
    <row r="16" spans="2:7" x14ac:dyDescent="0.2">
      <c r="B16" s="206" t="s">
        <v>32</v>
      </c>
      <c r="C16" s="199">
        <f>Statement!Z18</f>
        <v>43460</v>
      </c>
      <c r="D16" s="197">
        <f>Statement!AA18</f>
        <v>33158</v>
      </c>
      <c r="F16" s="199">
        <f>Statement!W18</f>
        <v>44781</v>
      </c>
      <c r="G16" s="197">
        <f>Statement!AA18</f>
        <v>33158</v>
      </c>
    </row>
    <row r="17" spans="2:7" x14ac:dyDescent="0.2">
      <c r="B17" s="205" t="s">
        <v>319</v>
      </c>
      <c r="C17" s="269">
        <f>Statement!AA98</f>
        <v>-0.23704555913483663</v>
      </c>
      <c r="D17" s="270"/>
      <c r="F17" s="269">
        <f>IF(F16=0,
IF(G16=0,0,IF(G16&gt;0,1,-1)),
(G16-F16)/ABS(F16)
)</f>
        <v>-0.25955204216073779</v>
      </c>
      <c r="G17" s="270"/>
    </row>
    <row r="18" spans="2:7" x14ac:dyDescent="0.2">
      <c r="B18" s="206" t="s">
        <v>321</v>
      </c>
      <c r="C18" s="199">
        <f>Statement!Z22</f>
        <v>48987</v>
      </c>
      <c r="D18" s="197">
        <f>Statement!AA22</f>
        <v>50239.393939393936</v>
      </c>
      <c r="F18" s="199">
        <f>Statement!W22</f>
        <v>49000</v>
      </c>
      <c r="G18" s="197">
        <f>Statement!AA22</f>
        <v>50239.393939393936</v>
      </c>
    </row>
    <row r="19" spans="2:7" x14ac:dyDescent="0.2">
      <c r="B19" s="205" t="s">
        <v>319</v>
      </c>
      <c r="C19" s="269">
        <f>IF(C18=0,
IF(D18=0,0,IF(D18&gt;0,1,-1)),
(D18-C18)/ABS(C18)
)</f>
        <v>2.5565842762241744E-2</v>
      </c>
      <c r="D19" s="270"/>
      <c r="F19" s="269">
        <f>IF(F18=0,
IF(G18=0,0,IF(G18&gt;0,1,-1)),
(G18-F18)/ABS(F18)
)</f>
        <v>2.5293753865182372E-2</v>
      </c>
      <c r="G19" s="270"/>
    </row>
    <row r="20" spans="2:7" x14ac:dyDescent="0.2">
      <c r="B20" s="206" t="s">
        <v>39</v>
      </c>
      <c r="C20" s="200">
        <f>Statement!Z26</f>
        <v>0.89</v>
      </c>
      <c r="D20" s="201">
        <f>Statement!AA26</f>
        <v>0.66</v>
      </c>
      <c r="F20" s="200">
        <f>Statement!W26</f>
        <v>0.91</v>
      </c>
      <c r="G20" s="201">
        <f>Statement!AA26</f>
        <v>0.66</v>
      </c>
    </row>
    <row r="21" spans="2:7" x14ac:dyDescent="0.2">
      <c r="B21" s="205" t="s">
        <v>319</v>
      </c>
      <c r="C21" s="269">
        <f>IF(C20=0,
IF(D20=0,0,IF(D20&gt;0,1,-1)),
(D20-C20)/ABS(C20)
)</f>
        <v>-0.2584269662921348</v>
      </c>
      <c r="D21" s="270"/>
      <c r="F21" s="269">
        <f>IF(F20=0,
IF(G20=0,0,IF(G20&gt;0,1,-1)),
(G20-F20)/ABS(F20)
)</f>
        <v>-0.27472527472527469</v>
      </c>
      <c r="G21" s="270"/>
    </row>
    <row r="23" spans="2:7" x14ac:dyDescent="0.2">
      <c r="B23" s="8" t="s">
        <v>322</v>
      </c>
      <c r="C23" s="10" t="str">
        <f>C5</f>
        <v>Q1 2026</v>
      </c>
      <c r="D23" s="202" t="str">
        <f>D5</f>
        <v>Q2 2026</v>
      </c>
      <c r="F23" s="203" t="str">
        <f>F5</f>
        <v>Q2 2025</v>
      </c>
      <c r="G23" s="202" t="str">
        <f>G5</f>
        <v>Q2 2026</v>
      </c>
    </row>
    <row r="24" spans="2:7" x14ac:dyDescent="0.2">
      <c r="B24" s="20" t="str">
        <f>Statement!B183</f>
        <v>Subscription</v>
      </c>
      <c r="C24" s="199">
        <f>Statement!Z183</f>
        <v>250908</v>
      </c>
      <c r="D24" s="197">
        <f>Statement!AA183</f>
        <v>258035</v>
      </c>
      <c r="F24" s="199">
        <f>Statement!W183</f>
        <v>210678</v>
      </c>
      <c r="G24" s="197">
        <f>Statement!AA183</f>
        <v>258035</v>
      </c>
    </row>
    <row r="25" spans="2:7" x14ac:dyDescent="0.2">
      <c r="B25" s="205" t="s">
        <v>319</v>
      </c>
      <c r="C25" s="269">
        <f>IF(C24=0,
IF(D24=0,0,IF(D24&gt;0,1,-1)),
(D24-C24)/ABS(C24)
)</f>
        <v>2.840483364420425E-2</v>
      </c>
      <c r="D25" s="270"/>
      <c r="F25" s="269">
        <f>IF(F24=0,
IF(G24=0,0,IF(G24&gt;0,1,-1)),
(G24-F24)/ABS(F24)
)</f>
        <v>0.22478379327694395</v>
      </c>
      <c r="G25" s="270"/>
    </row>
    <row r="26" spans="2:7" x14ac:dyDescent="0.2">
      <c r="B26" s="20" t="str">
        <f>Statement!B184</f>
        <v>Advertising</v>
      </c>
      <c r="C26" s="199">
        <f>Statement!Z184</f>
        <v>20614</v>
      </c>
      <c r="D26" s="197">
        <f>Statement!AA184</f>
        <v>21052</v>
      </c>
      <c r="F26" s="199">
        <f>Statement!W184</f>
        <v>20603</v>
      </c>
      <c r="G26" s="197">
        <f>Statement!AA184</f>
        <v>21052</v>
      </c>
    </row>
    <row r="27" spans="2:7" x14ac:dyDescent="0.2">
      <c r="B27" s="205" t="s">
        <v>319</v>
      </c>
      <c r="C27" s="269">
        <f>IF(C26=0,
IF(D26=0,0,IF(D26&gt;0,1,-1)),
(D26-C26)/ABS(C26)
)</f>
        <v>2.1247695740758708E-2</v>
      </c>
      <c r="D27" s="270"/>
      <c r="F27" s="269">
        <f>IF(F26=0,
IF(G26=0,0,IF(G26&gt;0,1,-1)),
(G26-F26)/ABS(F26)
)</f>
        <v>2.1792942775323981E-2</v>
      </c>
      <c r="G27" s="270"/>
    </row>
    <row r="28" spans="2:7" x14ac:dyDescent="0.2">
      <c r="B28" s="20" t="str">
        <f>Statement!B185</f>
        <v>English test</v>
      </c>
      <c r="C28" s="199">
        <f>Statement!Z185</f>
        <v>11317</v>
      </c>
      <c r="D28" s="197">
        <f>Statement!AA185</f>
        <v>10109</v>
      </c>
      <c r="F28" s="199">
        <f>Statement!W185</f>
        <v>10088</v>
      </c>
      <c r="G28" s="197">
        <f>Statement!AA185</f>
        <v>10109</v>
      </c>
    </row>
    <row r="29" spans="2:7" x14ac:dyDescent="0.2">
      <c r="B29" s="205" t="s">
        <v>319</v>
      </c>
      <c r="C29" s="269">
        <f>IF(C28=0,
IF(D28=0,0,IF(D28&gt;0,1,-1)),
(D28-C28)/ABS(C28)
)</f>
        <v>-0.10674206945303526</v>
      </c>
      <c r="D29" s="270"/>
      <c r="F29" s="269">
        <f>IF(F28=0,
IF(G28=0,0,IF(G28&gt;0,1,-1)),
(G28-F28)/ABS(F28)
)</f>
        <v>2.0816812053925456E-3</v>
      </c>
      <c r="G29" s="270"/>
    </row>
    <row r="30" spans="2:7" x14ac:dyDescent="0.2">
      <c r="B30" s="20" t="str">
        <f>Statement!B186</f>
        <v>In-App purchases</v>
      </c>
      <c r="C30" s="199">
        <f>Statement!Z186</f>
        <v>8446</v>
      </c>
      <c r="D30" s="197">
        <f>Statement!AA186</f>
        <v>8002</v>
      </c>
      <c r="F30" s="199">
        <f>Statement!W186</f>
        <v>10390</v>
      </c>
      <c r="G30" s="197">
        <f>Statement!AA186</f>
        <v>8002</v>
      </c>
    </row>
    <row r="31" spans="2:7" x14ac:dyDescent="0.2">
      <c r="B31" s="205" t="s">
        <v>319</v>
      </c>
      <c r="C31" s="269">
        <f>IF(C30=0,
IF(D30=0,0,IF(D30&gt;0,1,-1)),
(D30-C30)/ABS(C30)
)</f>
        <v>-5.2569263556713236E-2</v>
      </c>
      <c r="D31" s="270"/>
      <c r="F31" s="269">
        <f>IF(F30=0,
IF(G30=0,0,IF(G30&gt;0,1,-1)),
(G30-F30)/ABS(F30)
)</f>
        <v>-0.22983638113570742</v>
      </c>
      <c r="G31" s="270"/>
    </row>
    <row r="32" spans="2:7" x14ac:dyDescent="0.2">
      <c r="B32" s="20" t="str">
        <f>Statement!B187</f>
        <v>Other</v>
      </c>
      <c r="C32" s="199">
        <f>Statement!Z187</f>
        <v>682</v>
      </c>
      <c r="D32" s="197">
        <f>Statement!AA187</f>
        <v>1256</v>
      </c>
      <c r="F32" s="199">
        <f>Statement!W187</f>
        <v>506</v>
      </c>
      <c r="G32" s="197">
        <f>Statement!AA187</f>
        <v>1256</v>
      </c>
    </row>
    <row r="33" spans="2:7" x14ac:dyDescent="0.2">
      <c r="B33" s="205" t="s">
        <v>319</v>
      </c>
      <c r="C33" s="269">
        <f>IF(C32=0,
IF(D32=0,0,IF(D32&gt;0,1,-1)),
(D32-C32)/ABS(C32)
)</f>
        <v>0.84164222873900296</v>
      </c>
      <c r="D33" s="270"/>
      <c r="F33" s="269">
        <f>IF(F32=0,
IF(G32=0,0,IF(G32&gt;0,1,-1)),
(G32-F32)/ABS(F32)
)</f>
        <v>1.482213438735178</v>
      </c>
      <c r="G33" s="270"/>
    </row>
    <row r="35" spans="2:7" x14ac:dyDescent="0.2">
      <c r="B35" s="8" t="s">
        <v>324</v>
      </c>
      <c r="C35" s="10" t="str">
        <f>C5</f>
        <v>Q1 2026</v>
      </c>
      <c r="D35" s="10" t="str">
        <f>D5</f>
        <v>Q2 2026</v>
      </c>
      <c r="F35" s="10" t="str">
        <f>F5</f>
        <v>Q2 2025</v>
      </c>
      <c r="G35" s="10" t="str">
        <f>G5</f>
        <v>Q2 2026</v>
      </c>
    </row>
    <row r="36" spans="2:7" x14ac:dyDescent="0.2">
      <c r="B36" s="20" t="str">
        <f>Statement!B209</f>
        <v>DAU</v>
      </c>
      <c r="C36" s="199">
        <f>Statement!Z209</f>
        <v>56500</v>
      </c>
      <c r="D36" s="199">
        <f>Statement!AA209</f>
        <v>58700</v>
      </c>
      <c r="F36" s="199">
        <f>Statement!W209</f>
        <v>47700</v>
      </c>
      <c r="G36" s="197">
        <f>Statement!AA209</f>
        <v>58700</v>
      </c>
    </row>
    <row r="37" spans="2:7" x14ac:dyDescent="0.2">
      <c r="B37" s="205" t="s">
        <v>319</v>
      </c>
      <c r="C37" s="269">
        <f>IF(C36=0,
IF(D36=0,0,IF(D36&gt;0,1,-1)),
(D36-C36)/ABS(C36)
)</f>
        <v>3.8938053097345132E-2</v>
      </c>
      <c r="D37" s="270"/>
      <c r="F37" s="269">
        <f>IF(F36=0,
IF(G36=0,0,IF(G36&gt;0,1,-1)),
(G36-F36)/ABS(F36)
)</f>
        <v>0.23060796645702306</v>
      </c>
      <c r="G37" s="270"/>
    </row>
    <row r="38" spans="2:7" x14ac:dyDescent="0.2">
      <c r="B38" s="20" t="str">
        <f>Statement!B210</f>
        <v>MAU</v>
      </c>
      <c r="C38" s="199">
        <f>Statement!Z210</f>
        <v>137800</v>
      </c>
      <c r="D38" s="199">
        <f>Statement!AA210</f>
        <v>140600</v>
      </c>
      <c r="F38" s="199">
        <f>Statement!W210</f>
        <v>128300</v>
      </c>
      <c r="G38" s="197">
        <f>Statement!AA210</f>
        <v>140600</v>
      </c>
    </row>
    <row r="39" spans="2:7" x14ac:dyDescent="0.2">
      <c r="B39" s="205" t="s">
        <v>319</v>
      </c>
      <c r="C39" s="269">
        <f>IF(C38=0,
IF(D38=0,0,IF(D38&gt;0,1,-1)),
(D38-C38)/ABS(C38)
)</f>
        <v>2.0319303338171262E-2</v>
      </c>
      <c r="D39" s="270"/>
      <c r="F39" s="269">
        <f>IF(F38=0,
IF(G38=0,0,IF(G38&gt;0,1,-1)),
(G38-F38)/ABS(F38)
)</f>
        <v>9.5869056897895558E-2</v>
      </c>
      <c r="G39" s="270"/>
    </row>
    <row r="40" spans="2:7" x14ac:dyDescent="0.2">
      <c r="B40" s="20" t="str">
        <f>Statement!B211</f>
        <v>Paid subscriberrs</v>
      </c>
      <c r="C40" s="199">
        <f>Statement!Z211</f>
        <v>12500</v>
      </c>
      <c r="D40" s="199">
        <f>Statement!AA211</f>
        <v>12700</v>
      </c>
      <c r="F40" s="199">
        <f>Statement!W211</f>
        <v>10900</v>
      </c>
      <c r="G40" s="197">
        <f>Statement!AA211</f>
        <v>12700</v>
      </c>
    </row>
    <row r="41" spans="2:7" x14ac:dyDescent="0.2">
      <c r="B41" s="205" t="s">
        <v>319</v>
      </c>
      <c r="C41" s="269">
        <f>IF(C40=0,
IF(D40=0,0,IF(D40&gt;0,1,-1)),
(D40-C40)/ABS(C40)
)</f>
        <v>1.6E-2</v>
      </c>
      <c r="D41" s="270"/>
      <c r="F41" s="269">
        <f>IF(F40=0,
IF(G40=0,0,IF(G40&gt;0,1,-1)),
(G40-F40)/ABS(F40)
)</f>
        <v>0.16513761467889909</v>
      </c>
      <c r="G41" s="270"/>
    </row>
    <row r="42" spans="2:7" x14ac:dyDescent="0.2">
      <c r="B42" s="20" t="str">
        <f>Statement!B212</f>
        <v>Free users</v>
      </c>
      <c r="C42" s="199">
        <f>Statement!Z212</f>
        <v>125300</v>
      </c>
      <c r="D42" s="199">
        <f>Statement!AA212</f>
        <v>127900</v>
      </c>
      <c r="F42" s="199">
        <f>Statement!W212</f>
        <v>117400</v>
      </c>
      <c r="G42" s="197">
        <f>Statement!AA212</f>
        <v>127900</v>
      </c>
    </row>
    <row r="43" spans="2:7" x14ac:dyDescent="0.2">
      <c r="B43" s="205" t="s">
        <v>319</v>
      </c>
      <c r="C43" s="269">
        <f>IF(C42=0,
IF(D42=0,0,IF(D42&gt;0,1,-1)),
(D42-C42)/ABS(C42)
)</f>
        <v>2.0750199521149242E-2</v>
      </c>
      <c r="D43" s="270"/>
      <c r="F43" s="269">
        <f>IF(F42=0,
IF(G42=0,0,IF(G42&gt;0,1,-1)),
(G42-F42)/ABS(F42)
)</f>
        <v>8.9437819420783646E-2</v>
      </c>
      <c r="G43" s="270"/>
    </row>
    <row r="44" spans="2:7" x14ac:dyDescent="0.2">
      <c r="B44" s="20" t="str">
        <f>Statement!B213</f>
        <v>Average revenue per paid user</v>
      </c>
      <c r="C44" s="230">
        <f>Statement!Z213</f>
        <v>20.07264</v>
      </c>
      <c r="D44" s="230">
        <f>Statement!AA213</f>
        <v>20.317716535433071</v>
      </c>
      <c r="F44" s="230">
        <f>Statement!W213</f>
        <v>19.328256880733946</v>
      </c>
      <c r="G44" s="231">
        <f>Statement!AA213</f>
        <v>20.317716535433071</v>
      </c>
    </row>
    <row r="45" spans="2:7" x14ac:dyDescent="0.2">
      <c r="B45" s="205" t="s">
        <v>319</v>
      </c>
      <c r="C45" s="269">
        <f>IF(C44=0,
IF(D44=0,0,IF(D44&gt;0,1,-1)),
(D44-C44)/ABS(C44)
)</f>
        <v>1.2209481933271921E-2</v>
      </c>
      <c r="D45" s="270"/>
      <c r="F45" s="269">
        <f>IF(F44=0,
IF(G44=0,0,IF(G44&gt;0,1,-1)),
(G44-F44)/ABS(F44)
)</f>
        <v>5.119238950540856E-2</v>
      </c>
      <c r="G45" s="270"/>
    </row>
    <row r="46" spans="2:7" x14ac:dyDescent="0.2">
      <c r="B46" s="20" t="str">
        <f>Statement!B214</f>
        <v>DAU to MAU ratio</v>
      </c>
      <c r="C46" s="232">
        <f>Statement!Z214</f>
        <v>0.41001451378809867</v>
      </c>
      <c r="D46" s="232">
        <f>Statement!AA214</f>
        <v>0.41749644381223328</v>
      </c>
      <c r="F46" s="232">
        <f>Statement!W214</f>
        <v>0.37178487918939984</v>
      </c>
      <c r="G46" s="233">
        <f>Statement!AA214</f>
        <v>0.41749644381223328</v>
      </c>
    </row>
    <row r="47" spans="2:7" x14ac:dyDescent="0.2">
      <c r="B47" s="205" t="s">
        <v>319</v>
      </c>
      <c r="C47" s="269">
        <f>IF(C46=0,
IF(D46=0,0,IF(D46&gt;0,1,-1)),
(D46-C46)/ABS(C46)
)</f>
        <v>1.8247963846473435E-2</v>
      </c>
      <c r="D47" s="270"/>
      <c r="F47" s="269">
        <f>IF(F46=0,
IF(G46=0,0,IF(G46&gt;0,1,-1)),
(G46-F46)/ABS(F46)
)</f>
        <v>0.1229516507570132</v>
      </c>
      <c r="G47" s="270"/>
    </row>
    <row r="48" spans="2:7" x14ac:dyDescent="0.2">
      <c r="B48" s="20" t="str">
        <f>Statement!B215</f>
        <v>Subscribers to MAU ratio</v>
      </c>
      <c r="C48" s="232">
        <f>Statement!Z215</f>
        <v>9.071117561683599E-2</v>
      </c>
      <c r="D48" s="232">
        <f>Statement!AA215</f>
        <v>9.0327169274537697E-2</v>
      </c>
      <c r="F48" s="232">
        <f>Statement!W215</f>
        <v>8.4957131722525336E-2</v>
      </c>
      <c r="G48" s="233">
        <f>Statement!AA215</f>
        <v>9.0327169274537697E-2</v>
      </c>
    </row>
    <row r="49" spans="2:7" x14ac:dyDescent="0.2">
      <c r="B49" s="205" t="s">
        <v>319</v>
      </c>
      <c r="C49" s="269">
        <f>IF(C48=0,
IF(D48=0,0,IF(D48&gt;0,1,-1)),
(D48-C48)/ABS(C48)
)</f>
        <v>-4.2332859174963834E-3</v>
      </c>
      <c r="D49" s="270"/>
      <c r="F49" s="269">
        <f>IF(F48=0,
IF(G48=0,0,IF(G48&gt;0,1,-1)),
(G48-F48)/ABS(F48)
)</f>
        <v>6.3208790635154666E-2</v>
      </c>
      <c r="G49" s="270"/>
    </row>
    <row r="50" spans="2:7" x14ac:dyDescent="0.2">
      <c r="B50" s="20" t="str">
        <f>Statement!B216</f>
        <v>Ad revenue per free user</v>
      </c>
      <c r="C50" s="234">
        <f>Statement!Z216</f>
        <v>0.1645171588188348</v>
      </c>
      <c r="D50" s="234">
        <f>Statement!AA216</f>
        <v>0.16459734167318218</v>
      </c>
      <c r="F50" s="234">
        <f>Statement!W216</f>
        <v>0.17549403747870529</v>
      </c>
      <c r="G50" s="235">
        <f>Statement!AA216</f>
        <v>0.16459734167318218</v>
      </c>
    </row>
    <row r="51" spans="2:7" x14ac:dyDescent="0.2">
      <c r="B51" s="205" t="s">
        <v>319</v>
      </c>
      <c r="C51" s="269">
        <f>IF(C50=0,
IF(D50=0,0,IF(D50&gt;0,1,-1)),
(D50-C50)/ABS(C50)
)</f>
        <v>4.8738292663854846E-4</v>
      </c>
      <c r="D51" s="270"/>
      <c r="F51" s="269">
        <f>IF(F50=0,
IF(G50=0,0,IF(G50&gt;0,1,-1)),
(G50-F50)/ABS(F50)
)</f>
        <v>-6.2091544317255373E-2</v>
      </c>
      <c r="G51" s="270"/>
    </row>
    <row r="52" spans="2:7" x14ac:dyDescent="0.2">
      <c r="B52" s="20" t="str">
        <f>Statement!B217</f>
        <v>In-app purchases % of DAU</v>
      </c>
      <c r="C52" s="232">
        <f>Statement!Z217</f>
        <v>0.14948672566371682</v>
      </c>
      <c r="D52" s="232">
        <f>Statement!AA217</f>
        <v>0.13632027257240203</v>
      </c>
      <c r="F52" s="232">
        <f>Statement!W217</f>
        <v>0.21781970649895177</v>
      </c>
      <c r="G52" s="233">
        <f>Statement!AA217</f>
        <v>0.13632027257240203</v>
      </c>
    </row>
    <row r="53" spans="2:7" x14ac:dyDescent="0.2">
      <c r="B53" s="205" t="s">
        <v>319</v>
      </c>
      <c r="C53" s="269">
        <f>IF(C52=0,
IF(D52=0,0,IF(D52&gt;0,1,-1)),
(D52-C52)/ABS(C52)
)</f>
        <v>-8.8077740902117604E-2</v>
      </c>
      <c r="D53" s="270"/>
      <c r="F53" s="269">
        <f>IF(F52=0,
IF(G52=0,0,IF(G52&gt;0,1,-1)),
(G52-F52)/ABS(F52)
)</f>
        <v>-0.37416005758387127</v>
      </c>
      <c r="G53" s="270"/>
    </row>
  </sheetData>
  <mergeCells count="46">
    <mergeCell ref="C53:D53"/>
    <mergeCell ref="F53:G53"/>
    <mergeCell ref="C47:D47"/>
    <mergeCell ref="F47:G47"/>
    <mergeCell ref="C49:D49"/>
    <mergeCell ref="F49:G49"/>
    <mergeCell ref="C51:D51"/>
    <mergeCell ref="F51:G51"/>
    <mergeCell ref="C41:D41"/>
    <mergeCell ref="F41:G41"/>
    <mergeCell ref="C43:D43"/>
    <mergeCell ref="F43:G43"/>
    <mergeCell ref="C45:D45"/>
    <mergeCell ref="F45:G45"/>
    <mergeCell ref="C37:D37"/>
    <mergeCell ref="F37:G37"/>
    <mergeCell ref="C39:D39"/>
    <mergeCell ref="F39:G39"/>
    <mergeCell ref="C25:D25"/>
    <mergeCell ref="F25:G25"/>
    <mergeCell ref="C27:D27"/>
    <mergeCell ref="F27:G27"/>
    <mergeCell ref="C29:D29"/>
    <mergeCell ref="F29:G29"/>
    <mergeCell ref="C31:D31"/>
    <mergeCell ref="F31:G31"/>
    <mergeCell ref="C33:D33"/>
    <mergeCell ref="F33:G33"/>
    <mergeCell ref="C17:D17"/>
    <mergeCell ref="F17:G17"/>
    <mergeCell ref="F19:G19"/>
    <mergeCell ref="C19:D19"/>
    <mergeCell ref="C21:D21"/>
    <mergeCell ref="F21:G21"/>
    <mergeCell ref="C11:D11"/>
    <mergeCell ref="F11:G11"/>
    <mergeCell ref="C13:D13"/>
    <mergeCell ref="F13:G13"/>
    <mergeCell ref="C15:D15"/>
    <mergeCell ref="F15:G15"/>
    <mergeCell ref="C3:D3"/>
    <mergeCell ref="F3:G3"/>
    <mergeCell ref="C7:D7"/>
    <mergeCell ref="F7:G7"/>
    <mergeCell ref="C9:D9"/>
    <mergeCell ref="F9:G9"/>
  </mergeCells>
  <pageMargins left="0.7" right="0.7" top="0.75" bottom="0.75" header="0.3" footer="0.3"/>
  <ignoredErrors>
    <ignoredError sqref="F8 F10 F12 F14 F16 F18 C20 F20 C26 F26 C28 F2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4CD5-3D15-DF4B-A135-ED758F2E1A8D}">
  <dimension ref="B55:L75"/>
  <sheetViews>
    <sheetView topLeftCell="A31" zoomScale="159" workbookViewId="0">
      <selection activeCell="C67" sqref="C67:L69"/>
    </sheetView>
  </sheetViews>
  <sheetFormatPr baseColWidth="10" defaultRowHeight="16" x14ac:dyDescent="0.2"/>
  <cols>
    <col min="1" max="1" width="2.6640625" style="1" customWidth="1"/>
    <col min="2" max="2" width="21" style="1" customWidth="1"/>
    <col min="3" max="16384" width="10.83203125" style="1"/>
  </cols>
  <sheetData>
    <row r="55" spans="2:12" x14ac:dyDescent="0.2">
      <c r="B55" s="10"/>
      <c r="C55" s="10">
        <f>Statement!H2</f>
        <v>0</v>
      </c>
      <c r="D55" s="10">
        <f>Statement!I2</f>
        <v>0</v>
      </c>
      <c r="E55" s="10">
        <f>Statement!J2</f>
        <v>0</v>
      </c>
      <c r="F55" s="10">
        <f>Statement!K2</f>
        <v>0</v>
      </c>
      <c r="G55" s="10">
        <f>Statement!L2</f>
        <v>0</v>
      </c>
      <c r="H55" s="10" t="str">
        <f>Statement!M2</f>
        <v>31.12.2021</v>
      </c>
      <c r="I55" s="10" t="str">
        <f>Statement!N2</f>
        <v>30.09.2022</v>
      </c>
      <c r="J55" s="10" t="str">
        <f>Statement!O2</f>
        <v>31.12.2023</v>
      </c>
      <c r="K55" s="10" t="str">
        <f>Statement!P2</f>
        <v>31.12.2024</v>
      </c>
      <c r="L55" s="10" t="str">
        <f>Statement!Q2</f>
        <v>31.12.2025</v>
      </c>
    </row>
    <row r="56" spans="2:12" x14ac:dyDescent="0.2">
      <c r="B56" s="10"/>
      <c r="C56" s="10">
        <f>Statement!H3</f>
        <v>0</v>
      </c>
      <c r="D56" s="10">
        <f>Statement!I3</f>
        <v>0</v>
      </c>
      <c r="E56" s="10">
        <f>Statement!J3</f>
        <v>0</v>
      </c>
      <c r="F56" s="10">
        <f>Statement!K3</f>
        <v>0</v>
      </c>
      <c r="G56" s="10">
        <f>Statement!L3</f>
        <v>0</v>
      </c>
      <c r="H56" s="10">
        <f>Statement!M3</f>
        <v>2021</v>
      </c>
      <c r="I56" s="10">
        <f>Statement!N3</f>
        <v>2022</v>
      </c>
      <c r="J56" s="10">
        <f>Statement!O3</f>
        <v>2023</v>
      </c>
      <c r="K56" s="10">
        <f>Statement!P3</f>
        <v>2024</v>
      </c>
      <c r="L56" s="10">
        <f>Statement!Q3</f>
        <v>2025</v>
      </c>
    </row>
    <row r="57" spans="2:12" x14ac:dyDescent="0.2">
      <c r="B57" s="20" t="s">
        <v>20</v>
      </c>
      <c r="C57" s="64">
        <f>Statement!H5</f>
        <v>0</v>
      </c>
      <c r="D57" s="64">
        <f>Statement!I5</f>
        <v>0</v>
      </c>
      <c r="E57" s="64">
        <f>Statement!J5</f>
        <v>0</v>
      </c>
      <c r="F57" s="64">
        <f>Statement!K5</f>
        <v>0</v>
      </c>
      <c r="G57" s="64">
        <f>Statement!L5</f>
        <v>0</v>
      </c>
      <c r="H57" s="24">
        <f>Statement!M5</f>
        <v>250772</v>
      </c>
      <c r="I57" s="24">
        <f>Statement!N5</f>
        <v>369495</v>
      </c>
      <c r="J57" s="24">
        <f>Statement!O5</f>
        <v>531109</v>
      </c>
      <c r="K57" s="24">
        <f>Statement!P5</f>
        <v>748024</v>
      </c>
      <c r="L57" s="24">
        <f>Statement!Q5</f>
        <v>1037589</v>
      </c>
    </row>
    <row r="58" spans="2:12" x14ac:dyDescent="0.2">
      <c r="B58" s="20" t="s">
        <v>27</v>
      </c>
      <c r="C58" s="64">
        <f>Statement!H12</f>
        <v>0</v>
      </c>
      <c r="D58" s="64">
        <f>Statement!I12</f>
        <v>0</v>
      </c>
      <c r="E58" s="64">
        <f>Statement!J12</f>
        <v>0</v>
      </c>
      <c r="F58" s="64">
        <f>Statement!K12</f>
        <v>0</v>
      </c>
      <c r="G58" s="64">
        <f>Statement!L12</f>
        <v>0</v>
      </c>
      <c r="H58" s="64">
        <f>Statement!M12</f>
        <v>-60007</v>
      </c>
      <c r="I58" s="64">
        <f>Statement!N12</f>
        <v>-65195</v>
      </c>
      <c r="J58" s="64">
        <f>Statement!O12</f>
        <v>-13259</v>
      </c>
      <c r="K58" s="64">
        <f>Statement!P12</f>
        <v>62595</v>
      </c>
      <c r="L58" s="64">
        <f>Statement!Q12</f>
        <v>135570</v>
      </c>
    </row>
    <row r="59" spans="2:12" x14ac:dyDescent="0.2">
      <c r="B59" s="20" t="s">
        <v>32</v>
      </c>
      <c r="C59" s="64">
        <f>Statement!H18</f>
        <v>0</v>
      </c>
      <c r="D59" s="64">
        <f>Statement!I18</f>
        <v>0</v>
      </c>
      <c r="E59" s="64">
        <f>Statement!J18</f>
        <v>0</v>
      </c>
      <c r="F59" s="64">
        <f>Statement!K18</f>
        <v>0</v>
      </c>
      <c r="G59" s="64">
        <f>Statement!L18</f>
        <v>0</v>
      </c>
      <c r="H59" s="64">
        <f>Statement!M18</f>
        <v>-60135</v>
      </c>
      <c r="I59" s="64">
        <f>Statement!N18</f>
        <v>-59574</v>
      </c>
      <c r="J59" s="64">
        <f>Statement!O18</f>
        <v>16067</v>
      </c>
      <c r="K59" s="64">
        <f>Statement!P18</f>
        <v>88574</v>
      </c>
      <c r="L59" s="64">
        <f>Statement!Q18</f>
        <v>157365</v>
      </c>
    </row>
    <row r="60" spans="2:12" x14ac:dyDescent="0.2">
      <c r="B60" s="20" t="s">
        <v>265</v>
      </c>
      <c r="C60" s="64">
        <f>Statement!H153</f>
        <v>0</v>
      </c>
      <c r="D60" s="64">
        <f>Statement!I153</f>
        <v>0</v>
      </c>
      <c r="E60" s="64">
        <f>Statement!J153</f>
        <v>0</v>
      </c>
      <c r="F60" s="64">
        <f>Statement!K153</f>
        <v>0</v>
      </c>
      <c r="G60" s="64">
        <f>Statement!L153</f>
        <v>0</v>
      </c>
      <c r="H60" s="64">
        <f>Statement!M153</f>
        <v>-37840</v>
      </c>
      <c r="I60" s="64">
        <f>Statement!N153</f>
        <v>-30288</v>
      </c>
      <c r="J60" s="64">
        <f>Statement!O153</f>
        <v>44709</v>
      </c>
      <c r="K60" s="64">
        <f>Statement!P153</f>
        <v>153896</v>
      </c>
      <c r="L60" s="64">
        <f>Statement!Q153</f>
        <v>222987</v>
      </c>
    </row>
    <row r="61" spans="2:12" x14ac:dyDescent="0.2">
      <c r="B61" s="20" t="s">
        <v>266</v>
      </c>
      <c r="C61" s="64">
        <f>Statement!H154</f>
        <v>0</v>
      </c>
      <c r="D61" s="64">
        <f>Statement!I154</f>
        <v>0</v>
      </c>
      <c r="E61" s="64">
        <f>Statement!J154</f>
        <v>0</v>
      </c>
      <c r="F61" s="64">
        <f>Statement!K154</f>
        <v>0</v>
      </c>
      <c r="G61" s="64">
        <f>Statement!L154</f>
        <v>0</v>
      </c>
      <c r="H61" s="64">
        <f>Statement!M154</f>
        <v>-37712</v>
      </c>
      <c r="I61" s="64">
        <f>Statement!N154</f>
        <v>-35909</v>
      </c>
      <c r="J61" s="64">
        <f>Statement!O154</f>
        <v>15050</v>
      </c>
      <c r="K61" s="64">
        <f>Statement!P154</f>
        <v>119828.20010556566</v>
      </c>
      <c r="L61" s="64">
        <f>Statement!Q154</f>
        <v>152914.15947590594</v>
      </c>
    </row>
    <row r="62" spans="2:12" x14ac:dyDescent="0.2">
      <c r="B62" s="20" t="s">
        <v>79</v>
      </c>
      <c r="C62" s="58">
        <f>Statement!H101</f>
        <v>0</v>
      </c>
      <c r="D62" s="58">
        <f>Statement!I101</f>
        <v>0</v>
      </c>
      <c r="E62" s="58">
        <f>Statement!J101</f>
        <v>0</v>
      </c>
      <c r="F62" s="58">
        <f>Statement!K101</f>
        <v>0</v>
      </c>
      <c r="G62" s="58">
        <f>Statement!L101</f>
        <v>0</v>
      </c>
      <c r="H62" s="58">
        <f>Statement!M101</f>
        <v>0.72410795463608379</v>
      </c>
      <c r="I62" s="58">
        <f>Statement!N101</f>
        <v>0.73090028281844144</v>
      </c>
      <c r="J62" s="58">
        <f>Statement!O101</f>
        <v>0.7324372209847696</v>
      </c>
      <c r="K62" s="58">
        <f>Statement!P101</f>
        <v>0.72775606130284587</v>
      </c>
      <c r="L62" s="58">
        <f>Statement!Q101</f>
        <v>0.7223062310799363</v>
      </c>
    </row>
    <row r="63" spans="2:12" x14ac:dyDescent="0.2">
      <c r="B63" s="20" t="s">
        <v>80</v>
      </c>
      <c r="C63" s="58">
        <f>Statement!H102</f>
        <v>0</v>
      </c>
      <c r="D63" s="58">
        <f>Statement!I102</f>
        <v>0</v>
      </c>
      <c r="E63" s="58">
        <f>Statement!J102</f>
        <v>0</v>
      </c>
      <c r="F63" s="58">
        <f>Statement!K102</f>
        <v>0</v>
      </c>
      <c r="G63" s="58">
        <f>Statement!L102</f>
        <v>0</v>
      </c>
      <c r="H63" s="58">
        <f>Statement!M102</f>
        <v>-0.23928907533536439</v>
      </c>
      <c r="I63" s="58">
        <f>Statement!N102</f>
        <v>-0.17644352426961121</v>
      </c>
      <c r="J63" s="58">
        <f>Statement!O102</f>
        <v>-2.4964743583708805E-2</v>
      </c>
      <c r="K63" s="58">
        <f>Statement!P102</f>
        <v>8.3680470145342925E-2</v>
      </c>
      <c r="L63" s="58">
        <f>Statement!Q102</f>
        <v>0.13065867120796384</v>
      </c>
    </row>
    <row r="64" spans="2:12" x14ac:dyDescent="0.2">
      <c r="B64" s="20" t="s">
        <v>81</v>
      </c>
      <c r="C64" s="58">
        <f>Statement!H103</f>
        <v>0</v>
      </c>
      <c r="D64" s="58">
        <f>Statement!I103</f>
        <v>0</v>
      </c>
      <c r="E64" s="58">
        <f>Statement!J103</f>
        <v>0</v>
      </c>
      <c r="F64" s="58">
        <f>Statement!K103</f>
        <v>0</v>
      </c>
      <c r="G64" s="58">
        <f>Statement!L103</f>
        <v>0</v>
      </c>
      <c r="H64" s="58">
        <f>Statement!M103</f>
        <v>-0.2397994991466352</v>
      </c>
      <c r="I64" s="58">
        <f>Statement!N103</f>
        <v>-0.16123086915925791</v>
      </c>
      <c r="J64" s="58">
        <f>Statement!O103</f>
        <v>3.0251793887883655E-2</v>
      </c>
      <c r="K64" s="58">
        <f>Statement!P103</f>
        <v>0.11841063923082681</v>
      </c>
      <c r="L64" s="58">
        <f>Statement!Q103</f>
        <v>0.15166409821229793</v>
      </c>
    </row>
    <row r="65" spans="2:12" x14ac:dyDescent="0.2">
      <c r="B65" s="20" t="str">
        <f>"Revenue "&amp;Statement!B183</f>
        <v>Revenue Subscription</v>
      </c>
      <c r="C65" s="64">
        <f>Statement!H183</f>
        <v>0</v>
      </c>
      <c r="D65" s="64">
        <f>Statement!I183</f>
        <v>0</v>
      </c>
      <c r="E65" s="64">
        <f>Statement!J183</f>
        <v>0</v>
      </c>
      <c r="F65" s="64">
        <f>Statement!K183</f>
        <v>0</v>
      </c>
      <c r="G65" s="64">
        <f>Statement!L183</f>
        <v>0</v>
      </c>
      <c r="H65" s="64">
        <f>Statement!M183</f>
        <v>180698</v>
      </c>
      <c r="I65" s="64">
        <f>Statement!N183</f>
        <v>273507</v>
      </c>
      <c r="J65" s="64">
        <f>Statement!O183</f>
        <v>404684</v>
      </c>
      <c r="K65" s="64">
        <f>Statement!P183</f>
        <v>607531</v>
      </c>
      <c r="L65" s="64">
        <f>Statement!Q183</f>
        <v>873442</v>
      </c>
    </row>
    <row r="66" spans="2:12" x14ac:dyDescent="0.2">
      <c r="B66" s="20" t="str">
        <f>"Revenue "&amp;Statement!B184</f>
        <v>Revenue Advertising</v>
      </c>
      <c r="C66" s="64">
        <f>Statement!H184</f>
        <v>0</v>
      </c>
      <c r="D66" s="64">
        <f>Statement!I184</f>
        <v>0</v>
      </c>
      <c r="E66" s="64">
        <f>Statement!J184</f>
        <v>0</v>
      </c>
      <c r="F66" s="64">
        <f>Statement!K184</f>
        <v>0</v>
      </c>
      <c r="G66" s="64">
        <f>Statement!L184</f>
        <v>0</v>
      </c>
      <c r="H66" s="64">
        <f>Statement!M184</f>
        <v>38501</v>
      </c>
      <c r="I66" s="64">
        <f>Statement!N184</f>
        <v>44731</v>
      </c>
      <c r="J66" s="64">
        <f>Statement!O184</f>
        <v>49858</v>
      </c>
      <c r="K66" s="64">
        <f>Statement!P184</f>
        <v>54907</v>
      </c>
      <c r="L66" s="64">
        <f>Statement!Q184</f>
        <v>79725</v>
      </c>
    </row>
    <row r="67" spans="2:12" x14ac:dyDescent="0.2">
      <c r="B67" s="20" t="str">
        <f>"Revenue "&amp;Statement!B185</f>
        <v>Revenue English test</v>
      </c>
      <c r="C67" s="64">
        <f>Statement!H185</f>
        <v>0</v>
      </c>
      <c r="D67" s="64">
        <f>Statement!I185</f>
        <v>0</v>
      </c>
      <c r="E67" s="64">
        <f>Statement!J185</f>
        <v>0</v>
      </c>
      <c r="F67" s="64">
        <f>Statement!K185</f>
        <v>0</v>
      </c>
      <c r="G67" s="64">
        <f>Statement!L185</f>
        <v>0</v>
      </c>
      <c r="H67" s="64">
        <f>Statement!M185</f>
        <v>24658</v>
      </c>
      <c r="I67" s="64">
        <f>Statement!N185</f>
        <v>32718</v>
      </c>
      <c r="J67" s="64">
        <f>Statement!O185</f>
        <v>41212</v>
      </c>
      <c r="K67" s="64">
        <f>Statement!P185</f>
        <v>45640</v>
      </c>
      <c r="L67" s="64">
        <f>Statement!Q185</f>
        <v>42006</v>
      </c>
    </row>
    <row r="68" spans="2:12" x14ac:dyDescent="0.2">
      <c r="B68" s="20" t="str">
        <f>"Revenue "&amp;Statement!B186</f>
        <v>Revenue In-App purchases</v>
      </c>
      <c r="C68" s="64">
        <f>Statement!H186</f>
        <v>0</v>
      </c>
      <c r="D68" s="64">
        <f>Statement!I186</f>
        <v>0</v>
      </c>
      <c r="E68" s="64">
        <f>Statement!J186</f>
        <v>0</v>
      </c>
      <c r="F68" s="64">
        <f>Statement!K186</f>
        <v>0</v>
      </c>
      <c r="G68" s="64">
        <f>Statement!L186</f>
        <v>0</v>
      </c>
      <c r="H68" s="64">
        <f>Statement!M186</f>
        <v>6915</v>
      </c>
      <c r="I68" s="64">
        <f>Statement!N186</f>
        <v>18539</v>
      </c>
      <c r="J68" s="64">
        <f>Statement!O186</f>
        <v>34673</v>
      </c>
      <c r="K68" s="64">
        <f>Statement!P186</f>
        <v>38653</v>
      </c>
      <c r="L68" s="64">
        <f>Statement!Q186</f>
        <v>40479</v>
      </c>
    </row>
    <row r="69" spans="2:12" x14ac:dyDescent="0.2">
      <c r="B69" s="20" t="str">
        <f>"Revenue "&amp;Statement!B187</f>
        <v>Revenue Other</v>
      </c>
      <c r="C69" s="64">
        <f>Statement!H187</f>
        <v>0</v>
      </c>
      <c r="D69" s="64">
        <f>Statement!I187</f>
        <v>0</v>
      </c>
      <c r="E69" s="64">
        <f>Statement!J187</f>
        <v>0</v>
      </c>
      <c r="F69" s="64">
        <f>Statement!K187</f>
        <v>0</v>
      </c>
      <c r="G69" s="64">
        <f>Statement!L187</f>
        <v>0</v>
      </c>
      <c r="H69" s="64">
        <f>Statement!M187</f>
        <v>79</v>
      </c>
      <c r="I69" s="64">
        <f>Statement!N187</f>
        <v>625</v>
      </c>
      <c r="J69" s="64">
        <f>Statement!O187</f>
        <v>682</v>
      </c>
      <c r="K69" s="64">
        <f>Statement!P187</f>
        <v>1293</v>
      </c>
      <c r="L69" s="64">
        <f>Statement!Q187</f>
        <v>1937</v>
      </c>
    </row>
    <row r="70" spans="2:12" x14ac:dyDescent="0.2">
      <c r="B70" s="20" t="s">
        <v>102</v>
      </c>
      <c r="C70" s="217">
        <f>Statement!H123</f>
        <v>0</v>
      </c>
      <c r="D70" s="217">
        <f>Statement!I123</f>
        <v>0</v>
      </c>
      <c r="E70" s="217">
        <f>Statement!J123</f>
        <v>0</v>
      </c>
      <c r="F70" s="217">
        <f>Statement!K123</f>
        <v>0</v>
      </c>
      <c r="G70" s="217">
        <f>Statement!L123</f>
        <v>0</v>
      </c>
      <c r="H70" s="217">
        <f>Statement!M123</f>
        <v>-9.0933010338554776E-2</v>
      </c>
      <c r="I70" s="217">
        <f>Statement!N123</f>
        <v>-7.9713974900548212E-2</v>
      </c>
      <c r="J70" s="217">
        <f>Statement!O123</f>
        <v>1.6842478224909509E-2</v>
      </c>
      <c r="K70" s="217">
        <f>Statement!P123</f>
        <v>6.804340077189705E-2</v>
      </c>
      <c r="L70" s="217">
        <f>Statement!Q123</f>
        <v>7.89912769014076E-2</v>
      </c>
    </row>
    <row r="71" spans="2:12" x14ac:dyDescent="0.2">
      <c r="B71" s="20" t="s">
        <v>104</v>
      </c>
      <c r="C71" s="217">
        <f>Statement!H125</f>
        <v>0</v>
      </c>
      <c r="D71" s="217">
        <f>Statement!I125</f>
        <v>0</v>
      </c>
      <c r="E71" s="217">
        <f>Statement!J125</f>
        <v>0</v>
      </c>
      <c r="F71" s="217">
        <f>Statement!K125</f>
        <v>0</v>
      </c>
      <c r="G71" s="217">
        <f>Statement!L125</f>
        <v>0</v>
      </c>
      <c r="H71" s="217">
        <f>Statement!M125</f>
        <v>-0.1172094274309237</v>
      </c>
      <c r="I71" s="217">
        <f>Statement!N125</f>
        <v>-0.1098993133829449</v>
      </c>
      <c r="J71" s="217">
        <f>Statement!O125</f>
        <v>2.4511022866479229E-2</v>
      </c>
      <c r="K71" s="217">
        <f>Statement!P125</f>
        <v>0.10742101752471045</v>
      </c>
      <c r="L71" s="217">
        <f>Statement!Q125</f>
        <v>0.11682576024160249</v>
      </c>
    </row>
    <row r="72" spans="2:12" x14ac:dyDescent="0.2">
      <c r="B72" s="20" t="s">
        <v>105</v>
      </c>
      <c r="C72" s="217">
        <f>Statement!H136</f>
        <v>0</v>
      </c>
      <c r="D72" s="217">
        <f>Statement!I136</f>
        <v>0</v>
      </c>
      <c r="E72" s="217">
        <f>Statement!J136</f>
        <v>0</v>
      </c>
      <c r="F72" s="217">
        <f>Statement!K136</f>
        <v>0</v>
      </c>
      <c r="G72" s="217">
        <f>Statement!L136</f>
        <v>0</v>
      </c>
      <c r="H72" s="217">
        <f>Statement!M136</f>
        <v>1.4683844760925953</v>
      </c>
      <c r="I72" s="217">
        <f>Statement!N136</f>
        <v>0.98627878127741975</v>
      </c>
      <c r="J72" s="217">
        <f>Statement!O136</f>
        <v>0.14394901692559903</v>
      </c>
      <c r="K72" s="217">
        <f>Statement!P136</f>
        <v>-0.35797789840320271</v>
      </c>
      <c r="L72" s="217">
        <f>Statement!Q136</f>
        <v>1.6371013770230809</v>
      </c>
    </row>
    <row r="73" spans="2:12" x14ac:dyDescent="0.2">
      <c r="B73" s="20" t="s">
        <v>352</v>
      </c>
      <c r="C73" s="226">
        <f>Statement!H203</f>
        <v>0</v>
      </c>
      <c r="D73" s="226">
        <f>Statement!I203</f>
        <v>0</v>
      </c>
      <c r="E73" s="226">
        <f>Statement!J203</f>
        <v>0</v>
      </c>
      <c r="F73" s="226">
        <f>Statement!K203</f>
        <v>0</v>
      </c>
      <c r="G73" s="226">
        <f>Statement!L203</f>
        <v>0</v>
      </c>
      <c r="H73" s="226">
        <f>Statement!M203</f>
        <v>100</v>
      </c>
      <c r="I73" s="226">
        <f>Statement!N203</f>
        <v>64.324470971242548</v>
      </c>
      <c r="J73" s="226">
        <f>Statement!O203</f>
        <v>205.14559594863445</v>
      </c>
      <c r="K73" s="226">
        <f>Statement!P203</f>
        <v>294.08572978838851</v>
      </c>
      <c r="L73" s="226">
        <f>Statement!Q203</f>
        <v>160.19171640441309</v>
      </c>
    </row>
    <row r="74" spans="2:12" x14ac:dyDescent="0.2">
      <c r="B74" s="20" t="s">
        <v>353</v>
      </c>
      <c r="C74" s="226">
        <f>Statement!H204</f>
        <v>0</v>
      </c>
      <c r="D74" s="226">
        <f>Statement!I204</f>
        <v>0</v>
      </c>
      <c r="E74" s="226">
        <f>Statement!J204</f>
        <v>0</v>
      </c>
      <c r="F74" s="226">
        <f>Statement!K204</f>
        <v>0</v>
      </c>
      <c r="G74" s="226">
        <f>Statement!L204</f>
        <v>0</v>
      </c>
      <c r="H74" s="226">
        <f>Statement!M204</f>
        <v>100</v>
      </c>
      <c r="I74" s="226">
        <f>Statement!N204</f>
        <v>147.34300480117398</v>
      </c>
      <c r="J74" s="226">
        <f>Statement!O204</f>
        <v>211.78959373454771</v>
      </c>
      <c r="K74" s="226">
        <f>Statement!P204</f>
        <v>298.28848515783261</v>
      </c>
      <c r="L74" s="226">
        <f>Statement!Q204</f>
        <v>413.75791555676074</v>
      </c>
    </row>
    <row r="75" spans="2:12" x14ac:dyDescent="0.2">
      <c r="B75" s="20" t="s">
        <v>354</v>
      </c>
      <c r="C75" s="226">
        <f>Statement!H205</f>
        <v>0</v>
      </c>
      <c r="D75" s="226">
        <f>Statement!I205</f>
        <v>0</v>
      </c>
      <c r="E75" s="226">
        <f>Statement!J205</f>
        <v>0</v>
      </c>
      <c r="F75" s="226">
        <f>Statement!K205</f>
        <v>0</v>
      </c>
      <c r="G75" s="226">
        <f>Statement!L205</f>
        <v>0</v>
      </c>
      <c r="H75" s="226">
        <f>Statement!M205</f>
        <v>100</v>
      </c>
      <c r="I75" s="226">
        <f>Statement!N205</f>
        <v>141.24513618677042</v>
      </c>
      <c r="J75" s="226">
        <f>Statement!O205</f>
        <v>213.61867704280155</v>
      </c>
      <c r="K75" s="226">
        <f>Statement!P205</f>
        <v>273.15175097276267</v>
      </c>
      <c r="L75" s="226">
        <f>Statement!Q205</f>
        <v>326.73230170585919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9119-3B3B-094C-BA34-9489CF595CBC}">
  <dimension ref="B55:J68"/>
  <sheetViews>
    <sheetView topLeftCell="A13" zoomScale="161" workbookViewId="0">
      <selection activeCell="C65" sqref="C65:J67"/>
    </sheetView>
  </sheetViews>
  <sheetFormatPr baseColWidth="10" defaultRowHeight="16" x14ac:dyDescent="0.2"/>
  <cols>
    <col min="1" max="1" width="2.6640625" style="1" customWidth="1"/>
    <col min="2" max="2" width="20" style="1" customWidth="1"/>
    <col min="3" max="16384" width="10.83203125" style="1"/>
  </cols>
  <sheetData>
    <row r="55" spans="2:10" x14ac:dyDescent="0.2">
      <c r="B55" s="10"/>
      <c r="C55" s="10" t="str">
        <f>Statement!T2</f>
        <v>30.09.2024</v>
      </c>
      <c r="D55" s="10" t="str">
        <f>Statement!U2</f>
        <v>31.12.2024</v>
      </c>
      <c r="E55" s="10" t="str">
        <f>Statement!V2</f>
        <v>31.03.2025</v>
      </c>
      <c r="F55" s="10" t="str">
        <f>Statement!W2</f>
        <v>30.06.2025</v>
      </c>
      <c r="G55" s="10" t="str">
        <f>Statement!X2</f>
        <v>30.09.2025</v>
      </c>
      <c r="H55" s="10" t="str">
        <f>Statement!Y2</f>
        <v>31.12.2025</v>
      </c>
      <c r="I55" s="10" t="str">
        <f>Statement!Z2</f>
        <v>31.03.2026</v>
      </c>
      <c r="J55" s="10" t="str">
        <f>Statement!AA2</f>
        <v>30.06.2026</v>
      </c>
    </row>
    <row r="56" spans="2:10" x14ac:dyDescent="0.2">
      <c r="B56" s="10"/>
      <c r="C56" s="10" t="str">
        <f>Statement!T3</f>
        <v>Q3 2024</v>
      </c>
      <c r="D56" s="10" t="str">
        <f>Statement!U3</f>
        <v>Q4 2024</v>
      </c>
      <c r="E56" s="10" t="str">
        <f>Statement!V3</f>
        <v>Q1 2025</v>
      </c>
      <c r="F56" s="10" t="str">
        <f>Statement!W3</f>
        <v>Q2 2025</v>
      </c>
      <c r="G56" s="10" t="str">
        <f>Statement!X3</f>
        <v>Q3 2025</v>
      </c>
      <c r="H56" s="10" t="str">
        <f>Statement!Y3</f>
        <v>Q4 2025</v>
      </c>
      <c r="I56" s="10" t="str">
        <f>Statement!Z3</f>
        <v>Q1 2026</v>
      </c>
      <c r="J56" s="10" t="str">
        <f>Statement!AA3</f>
        <v>Q2 2026</v>
      </c>
    </row>
    <row r="57" spans="2:10" x14ac:dyDescent="0.2">
      <c r="B57" s="20" t="s">
        <v>20</v>
      </c>
      <c r="C57" s="64">
        <f>Statement!T5</f>
        <v>192594</v>
      </c>
      <c r="D57" s="64">
        <f>Statement!U5</f>
        <v>209550</v>
      </c>
      <c r="E57" s="64">
        <f>Statement!V5</f>
        <v>230743</v>
      </c>
      <c r="F57" s="64">
        <f>Statement!W5</f>
        <v>252265</v>
      </c>
      <c r="G57" s="64">
        <f>Statement!X5</f>
        <v>271713</v>
      </c>
      <c r="H57" s="64">
        <f>Statement!Y5</f>
        <v>282868</v>
      </c>
      <c r="I57" s="64">
        <f>Statement!Z5</f>
        <v>291967</v>
      </c>
      <c r="J57" s="64">
        <f>Statement!AA5</f>
        <v>298454</v>
      </c>
    </row>
    <row r="58" spans="2:10" x14ac:dyDescent="0.2">
      <c r="B58" s="20" t="s">
        <v>27</v>
      </c>
      <c r="C58" s="64">
        <f>Statement!T12</f>
        <v>13574</v>
      </c>
      <c r="D58" s="64">
        <f>Statement!U12</f>
        <v>13882</v>
      </c>
      <c r="E58" s="64">
        <f>Statement!V12</f>
        <v>23594</v>
      </c>
      <c r="F58" s="64">
        <f>Statement!W12</f>
        <v>33363</v>
      </c>
      <c r="G58" s="64">
        <f>Statement!X12</f>
        <v>35159</v>
      </c>
      <c r="H58" s="64">
        <f>Statement!Y12</f>
        <v>43454</v>
      </c>
      <c r="I58" s="64">
        <f>Statement!Z12</f>
        <v>44527</v>
      </c>
      <c r="J58" s="64">
        <f>Statement!AA12</f>
        <v>33945</v>
      </c>
    </row>
    <row r="59" spans="2:10" x14ac:dyDescent="0.2">
      <c r="B59" s="20" t="s">
        <v>32</v>
      </c>
      <c r="C59" s="64">
        <f>Statement!T18</f>
        <v>23360</v>
      </c>
      <c r="D59" s="64">
        <f>Statement!U18</f>
        <v>13907</v>
      </c>
      <c r="E59" s="64">
        <f>Statement!V18</f>
        <v>35135</v>
      </c>
      <c r="F59" s="64">
        <f>Statement!W18</f>
        <v>44781</v>
      </c>
      <c r="G59" s="64">
        <f>Statement!X18</f>
        <v>35495</v>
      </c>
      <c r="H59" s="64">
        <f>Statement!Y18</f>
        <v>41954</v>
      </c>
      <c r="I59" s="64">
        <f>Statement!Z18</f>
        <v>43460</v>
      </c>
      <c r="J59" s="64">
        <f>Statement!AA18</f>
        <v>33158</v>
      </c>
    </row>
    <row r="60" spans="2:10" x14ac:dyDescent="0.2">
      <c r="B60" s="20" t="s">
        <v>79</v>
      </c>
      <c r="C60" s="58">
        <f>Statement!T101</f>
        <v>0.72906736450772092</v>
      </c>
      <c r="D60" s="58">
        <f>Statement!U101</f>
        <v>0.71880219518014798</v>
      </c>
      <c r="E60" s="58">
        <f>Statement!V101</f>
        <v>0.71116350225142255</v>
      </c>
      <c r="F60" s="58">
        <f>Statement!W101</f>
        <v>0.7237666739341565</v>
      </c>
      <c r="G60" s="58">
        <f>Statement!X101</f>
        <v>0.72470216736041337</v>
      </c>
      <c r="H60" s="58">
        <f>Statement!Y101</f>
        <v>0.72779176152834535</v>
      </c>
      <c r="I60" s="58">
        <f>Statement!Z101</f>
        <v>0.72986330646956676</v>
      </c>
      <c r="J60" s="58">
        <f>Statement!AA101</f>
        <v>0.72620906404337016</v>
      </c>
    </row>
    <row r="61" spans="2:10" x14ac:dyDescent="0.2">
      <c r="B61" s="20" t="s">
        <v>80</v>
      </c>
      <c r="C61" s="58">
        <f>Statement!T102</f>
        <v>7.0479869570183915E-2</v>
      </c>
      <c r="D61" s="58">
        <f>Statement!U102</f>
        <v>6.624671916010498E-2</v>
      </c>
      <c r="E61" s="58">
        <f>Statement!V102</f>
        <v>0.10225228934355539</v>
      </c>
      <c r="F61" s="58">
        <f>Statement!W102</f>
        <v>0.13225378074643729</v>
      </c>
      <c r="G61" s="58">
        <f>Statement!X102</f>
        <v>0.12939756286964554</v>
      </c>
      <c r="H61" s="58">
        <f>Statement!Y102</f>
        <v>0.15361935602471824</v>
      </c>
      <c r="I61" s="58">
        <f>Statement!Z102</f>
        <v>0.15250696140317227</v>
      </c>
      <c r="J61" s="58">
        <f>Statement!AA102</f>
        <v>0.11373612013911692</v>
      </c>
    </row>
    <row r="62" spans="2:10" x14ac:dyDescent="0.2">
      <c r="B62" s="20" t="s">
        <v>81</v>
      </c>
      <c r="C62" s="58">
        <f>Statement!T103</f>
        <v>0.12129142133192104</v>
      </c>
      <c r="D62" s="58">
        <f>Statement!U103</f>
        <v>6.6366022429014557E-2</v>
      </c>
      <c r="E62" s="58">
        <f>Statement!V103</f>
        <v>0.15226897457344318</v>
      </c>
      <c r="F62" s="58">
        <f>Statement!W103</f>
        <v>0.1775157076883436</v>
      </c>
      <c r="G62" s="58">
        <f>Statement!X103</f>
        <v>0.13063416178099685</v>
      </c>
      <c r="H62" s="58">
        <f>Statement!Y103</f>
        <v>0.14831652926453329</v>
      </c>
      <c r="I62" s="58">
        <f>Statement!Z103</f>
        <v>0.14885243880301541</v>
      </c>
      <c r="J62" s="58">
        <f>Statement!AA103</f>
        <v>0.11109919786633786</v>
      </c>
    </row>
    <row r="63" spans="2:10" x14ac:dyDescent="0.2">
      <c r="B63" s="20" t="str">
        <f>"Revenue "&amp;Statement!B183</f>
        <v>Revenue Subscription</v>
      </c>
      <c r="C63" s="64">
        <f>Statement!T183</f>
        <v>157617</v>
      </c>
      <c r="D63" s="64">
        <f>Statement!U183</f>
        <v>174317</v>
      </c>
      <c r="E63" s="64">
        <f>Statement!V183</f>
        <v>190987</v>
      </c>
      <c r="F63" s="64">
        <f>Statement!W183</f>
        <v>210678</v>
      </c>
      <c r="G63" s="64">
        <f>Statement!X183</f>
        <v>229491</v>
      </c>
      <c r="H63" s="64">
        <f>Statement!Y183</f>
        <v>242286</v>
      </c>
      <c r="I63" s="64">
        <f>Statement!Z183</f>
        <v>250908</v>
      </c>
      <c r="J63" s="64">
        <f>Statement!AA183</f>
        <v>258035</v>
      </c>
    </row>
    <row r="64" spans="2:10" x14ac:dyDescent="0.2">
      <c r="B64" s="20" t="str">
        <f>"Revenue "&amp;Statement!B184</f>
        <v>Revenue Advertising</v>
      </c>
      <c r="C64" s="64">
        <f>Statement!T184</f>
        <v>14405</v>
      </c>
      <c r="D64" s="64">
        <f>Statement!U184</f>
        <v>14292</v>
      </c>
      <c r="E64" s="64">
        <f>Statement!V184</f>
        <v>17882</v>
      </c>
      <c r="F64" s="64">
        <f>Statement!W184</f>
        <v>20603</v>
      </c>
      <c r="G64" s="64">
        <f>Statement!X184</f>
        <v>21019</v>
      </c>
      <c r="H64" s="64">
        <f>Statement!Y184</f>
        <v>20221</v>
      </c>
      <c r="I64" s="64">
        <f>Statement!Z184</f>
        <v>20614</v>
      </c>
      <c r="J64" s="64">
        <f>Statement!AA184</f>
        <v>21052</v>
      </c>
    </row>
    <row r="65" spans="2:10" x14ac:dyDescent="0.2">
      <c r="B65" s="20" t="str">
        <f>"Revenue "&amp;Statement!B185</f>
        <v>Revenue English test</v>
      </c>
      <c r="C65" s="64">
        <f>Statement!T185</f>
        <v>10772</v>
      </c>
      <c r="D65" s="64">
        <f>Statement!U185</f>
        <v>11415</v>
      </c>
      <c r="E65" s="64">
        <f>Statement!V185</f>
        <v>11986</v>
      </c>
      <c r="F65" s="64">
        <f>Statement!W185</f>
        <v>10088</v>
      </c>
      <c r="G65" s="64">
        <f>Statement!X185</f>
        <v>9649</v>
      </c>
      <c r="H65" s="64">
        <f>Statement!Y185</f>
        <v>10283</v>
      </c>
      <c r="I65" s="64">
        <f>Statement!Z185</f>
        <v>11317</v>
      </c>
      <c r="J65" s="64">
        <f>Statement!AA185</f>
        <v>10109</v>
      </c>
    </row>
    <row r="66" spans="2:10" x14ac:dyDescent="0.2">
      <c r="B66" s="20" t="str">
        <f>"Revenue "&amp;Statement!B186</f>
        <v>Revenue In-App purchases</v>
      </c>
      <c r="C66" s="64">
        <f>Statement!T186</f>
        <v>9411</v>
      </c>
      <c r="D66" s="64">
        <f>Statement!U186</f>
        <v>9142</v>
      </c>
      <c r="E66" s="64">
        <f>Statement!V186</f>
        <v>9442</v>
      </c>
      <c r="F66" s="64">
        <f>Statement!W186</f>
        <v>10390</v>
      </c>
      <c r="G66" s="64">
        <f>Statement!X186</f>
        <v>11096</v>
      </c>
      <c r="H66" s="64">
        <f>Statement!Y186</f>
        <v>9551</v>
      </c>
      <c r="I66" s="64">
        <f>Statement!Z186</f>
        <v>8446</v>
      </c>
      <c r="J66" s="64">
        <f>Statement!AA186</f>
        <v>8002</v>
      </c>
    </row>
    <row r="67" spans="2:10" x14ac:dyDescent="0.2">
      <c r="B67" s="20" t="str">
        <f>"Revenue "&amp;Statement!B187</f>
        <v>Revenue Other</v>
      </c>
      <c r="C67" s="64">
        <f>Statement!T187</f>
        <v>389</v>
      </c>
      <c r="D67" s="64">
        <f>Statement!U187</f>
        <v>384</v>
      </c>
      <c r="E67" s="64">
        <f>Statement!V187</f>
        <v>446</v>
      </c>
      <c r="F67" s="64">
        <f>Statement!W187</f>
        <v>506</v>
      </c>
      <c r="G67" s="64">
        <f>Statement!X187</f>
        <v>458</v>
      </c>
      <c r="H67" s="64">
        <f>Statement!Y187</f>
        <v>527</v>
      </c>
      <c r="I67" s="64">
        <f>Statement!Z187</f>
        <v>682</v>
      </c>
      <c r="J67" s="64">
        <f>Statement!AA187</f>
        <v>1256</v>
      </c>
    </row>
    <row r="68" spans="2:10" x14ac:dyDescent="0.2">
      <c r="B68" s="20" t="s">
        <v>265</v>
      </c>
      <c r="C68" s="64">
        <f>Statement!T153</f>
        <v>22285</v>
      </c>
      <c r="D68" s="64">
        <f>Statement!U153</f>
        <v>51117</v>
      </c>
      <c r="E68" s="64">
        <f>Statement!V153</f>
        <v>71994</v>
      </c>
      <c r="F68" s="64">
        <f>Statement!W153</f>
        <v>51732</v>
      </c>
      <c r="G68" s="64">
        <f>Statement!X153</f>
        <v>41791</v>
      </c>
      <c r="H68" s="64">
        <f>Statement!Y153</f>
        <v>57470</v>
      </c>
      <c r="I68" s="64">
        <f>Statement!Z153</f>
        <v>113139</v>
      </c>
      <c r="J68" s="64">
        <f>Statement!AA153</f>
        <v>40420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B610-4F16-C34E-B8D9-992F7812B5AD}">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6.1640625" style="1" customWidth="1"/>
    <col min="9" max="16384" width="10.83203125" style="1"/>
  </cols>
  <sheetData>
    <row r="5" spans="2:8" x14ac:dyDescent="0.2">
      <c r="H5" s="134" t="s">
        <v>440</v>
      </c>
    </row>
    <row r="6" spans="2:8" x14ac:dyDescent="0.2">
      <c r="H6" s="257" t="s">
        <v>445</v>
      </c>
    </row>
    <row r="7" spans="2:8" x14ac:dyDescent="0.2">
      <c r="H7" s="257" t="s">
        <v>441</v>
      </c>
    </row>
    <row r="8" spans="2:8" x14ac:dyDescent="0.2">
      <c r="H8" s="257" t="s">
        <v>442</v>
      </c>
    </row>
    <row r="9" spans="2:8" x14ac:dyDescent="0.2">
      <c r="H9" s="257" t="s">
        <v>443</v>
      </c>
    </row>
    <row r="10" spans="2:8" x14ac:dyDescent="0.2">
      <c r="H10" s="258" t="s">
        <v>444</v>
      </c>
    </row>
    <row r="13" spans="2:8" s="4" customFormat="1" ht="49" x14ac:dyDescent="0.2">
      <c r="B13" s="3" t="s">
        <v>111</v>
      </c>
    </row>
  </sheetData>
  <hyperlinks>
    <hyperlink ref="H6" location="Overview!B3" display="Overview'!B3" xr:uid="{2FE79ECC-FE2D-DE4D-9B1D-17B797FDC517}"/>
    <hyperlink ref="H8" location="'Analysis -&gt;'!B13" display="'Analysis -&gt;'!B13" xr:uid="{6565A3E3-EAEF-E24A-BD88-AB11899D5D29}"/>
    <hyperlink ref="H9" location="'Forecast -&gt;'!B13" display="'Forecast -&gt;'!B13" xr:uid="{5E4C62ED-FAC3-424A-9651-3EEA2A78A5C5}"/>
    <hyperlink ref="H10" location="'Valuation -&gt;'!B13" display="'Valuation -&gt;'!B13" xr:uid="{A5ED8842-F42F-7342-8F39-C785B981FA4B}"/>
    <hyperlink ref="H7" location="'Financials -&gt;'!B13" display="'Financials -&gt;'!B13" xr:uid="{03D9F6FE-D077-FB4B-B548-AE8A5DC91DC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282D1-ADA2-D843-8696-3FC058E17FA6}">
  <dimension ref="A1:AE47"/>
  <sheetViews>
    <sheetView topLeftCell="A42" zoomScale="184" zoomScaleNormal="75" workbookViewId="0">
      <selection activeCell="H36" sqref="H36"/>
    </sheetView>
  </sheetViews>
  <sheetFormatPr baseColWidth="10" defaultRowHeight="16" x14ac:dyDescent="0.2"/>
  <cols>
    <col min="1" max="1" width="2" style="84" customWidth="1"/>
    <col min="2" max="2" width="29"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7.6640625" style="1" customWidth="1"/>
    <col min="19" max="29" width="10.83203125" style="1"/>
    <col min="30" max="30" width="2" style="1" customWidth="1"/>
    <col min="31" max="31" width="12.33203125" style="1" customWidth="1"/>
    <col min="32" max="16384" width="10.83203125" style="1"/>
  </cols>
  <sheetData>
    <row r="1" spans="1:31" s="84" customFormat="1" ht="18" customHeight="1" x14ac:dyDescent="0.2">
      <c r="A1" s="4"/>
      <c r="B1" s="83" t="s">
        <v>112</v>
      </c>
      <c r="O1" s="85"/>
    </row>
    <row r="2" spans="1:31" x14ac:dyDescent="0.2">
      <c r="A2" s="4"/>
      <c r="C2" s="265" t="s">
        <v>113</v>
      </c>
      <c r="D2" s="265"/>
      <c r="E2" s="265"/>
      <c r="F2" s="265"/>
      <c r="G2" s="274"/>
      <c r="H2" s="275" t="s">
        <v>114</v>
      </c>
      <c r="I2" s="265"/>
      <c r="J2" s="265"/>
      <c r="K2" s="265"/>
      <c r="L2" s="265"/>
      <c r="O2" s="5"/>
      <c r="S2" s="265" t="s">
        <v>113</v>
      </c>
      <c r="T2" s="265"/>
      <c r="U2" s="265"/>
      <c r="V2" s="265"/>
      <c r="W2" s="265"/>
      <c r="X2" s="265"/>
      <c r="Y2" s="265"/>
      <c r="Z2" s="265"/>
      <c r="AA2" s="265" t="s">
        <v>114</v>
      </c>
      <c r="AB2" s="265"/>
      <c r="AC2" s="265"/>
      <c r="AE2" s="86" t="s">
        <v>85</v>
      </c>
    </row>
    <row r="3" spans="1:31" ht="10" customHeight="1" x14ac:dyDescent="0.2">
      <c r="O3" s="5"/>
    </row>
    <row r="4" spans="1:31" ht="16" customHeight="1" x14ac:dyDescent="0.2">
      <c r="A4" s="87"/>
      <c r="B4" s="60"/>
      <c r="C4" s="271" t="s">
        <v>116</v>
      </c>
      <c r="D4" s="271"/>
      <c r="E4" s="271"/>
      <c r="F4" s="271"/>
      <c r="G4" s="271"/>
      <c r="H4" s="271"/>
      <c r="I4" s="271"/>
      <c r="J4" s="271"/>
      <c r="K4" s="271"/>
      <c r="L4" s="271"/>
      <c r="O4" s="5"/>
      <c r="S4" s="272" t="s">
        <v>116</v>
      </c>
      <c r="T4" s="273"/>
      <c r="U4" s="273"/>
      <c r="V4" s="273"/>
      <c r="W4" s="273"/>
      <c r="X4" s="273"/>
      <c r="Y4" s="273"/>
      <c r="Z4" s="273"/>
      <c r="AA4" s="273"/>
      <c r="AB4" s="273"/>
      <c r="AC4" s="273"/>
      <c r="AE4" s="88"/>
    </row>
    <row r="5" spans="1:31" x14ac:dyDescent="0.2">
      <c r="B5" s="16" t="s">
        <v>117</v>
      </c>
      <c r="C5" s="12">
        <f>Statement!M3</f>
        <v>2021</v>
      </c>
      <c r="D5" s="12">
        <f>Statement!N3</f>
        <v>2022</v>
      </c>
      <c r="E5" s="12">
        <f>Statement!O3</f>
        <v>2023</v>
      </c>
      <c r="F5" s="12">
        <f>Statement!P3</f>
        <v>2024</v>
      </c>
      <c r="G5" s="12">
        <f>Statement!Q3</f>
        <v>2025</v>
      </c>
      <c r="H5" s="12">
        <f>G5+1</f>
        <v>2026</v>
      </c>
      <c r="I5" s="12">
        <f t="shared" ref="I5:L5" si="0">H5+1</f>
        <v>2027</v>
      </c>
      <c r="J5" s="12">
        <f t="shared" si="0"/>
        <v>2028</v>
      </c>
      <c r="K5" s="12">
        <f t="shared" si="0"/>
        <v>2029</v>
      </c>
      <c r="L5" s="12">
        <f t="shared" si="0"/>
        <v>2030</v>
      </c>
      <c r="O5" s="5"/>
      <c r="R5" s="16" t="str">
        <f>B5</f>
        <v>Revenues (thousand)</v>
      </c>
      <c r="S5" s="12" t="str">
        <f>Statement!T3</f>
        <v>Q3 2024</v>
      </c>
      <c r="T5" s="12" t="str">
        <f>Statement!U3</f>
        <v>Q4 2024</v>
      </c>
      <c r="U5" s="12" t="str">
        <f>Statement!V3</f>
        <v>Q1 2025</v>
      </c>
      <c r="V5" s="12" t="str">
        <f>Statement!W3</f>
        <v>Q2 2025</v>
      </c>
      <c r="W5" s="12" t="str">
        <f>Statement!X3</f>
        <v>Q3 2025</v>
      </c>
      <c r="X5" s="12" t="str">
        <f>Statement!Y3</f>
        <v>Q4 2025</v>
      </c>
      <c r="Y5" s="12" t="str">
        <f>Statement!Z3</f>
        <v>Q1 2026</v>
      </c>
      <c r="Z5" s="12" t="str">
        <f>Statement!AA3</f>
        <v>Q2 2026</v>
      </c>
      <c r="AA5" s="12" t="s">
        <v>118</v>
      </c>
      <c r="AB5" s="12" t="s">
        <v>119</v>
      </c>
      <c r="AC5" s="12" t="s">
        <v>120</v>
      </c>
      <c r="AE5" s="8" t="s">
        <v>118</v>
      </c>
    </row>
    <row r="6" spans="1:31" x14ac:dyDescent="0.2">
      <c r="B6" s="1" t="str">
        <f>Statement!B183</f>
        <v>Subscription</v>
      </c>
      <c r="C6" s="89">
        <f>Statement!M183</f>
        <v>180698</v>
      </c>
      <c r="D6" s="89">
        <f>Statement!N183</f>
        <v>273507</v>
      </c>
      <c r="E6" s="89">
        <f>Statement!O183</f>
        <v>404684</v>
      </c>
      <c r="F6" s="89">
        <f>Statement!P183</f>
        <v>607531</v>
      </c>
      <c r="G6" s="90">
        <f>Statement!Q183</f>
        <v>873442</v>
      </c>
      <c r="H6" s="64">
        <f>H37*H34</f>
        <v>1024390.0799999997</v>
      </c>
      <c r="I6" s="64">
        <f t="shared" ref="I6:L6" si="1">I37*I34</f>
        <v>1165141.2769919999</v>
      </c>
      <c r="J6" s="64">
        <f t="shared" si="1"/>
        <v>1488467.9813572799</v>
      </c>
      <c r="K6" s="64">
        <f t="shared" si="1"/>
        <v>2031452.9449674764</v>
      </c>
      <c r="L6" s="64">
        <f t="shared" si="1"/>
        <v>2773542.7057640958</v>
      </c>
      <c r="N6" s="91" t="s">
        <v>393</v>
      </c>
      <c r="O6" s="5"/>
      <c r="Q6" s="130" t="s">
        <v>393</v>
      </c>
      <c r="R6" s="1" t="str">
        <f>B6</f>
        <v>Subscription</v>
      </c>
      <c r="S6" s="89">
        <f>Statement!T183</f>
        <v>157617</v>
      </c>
      <c r="T6" s="89">
        <f>Statement!U183</f>
        <v>174317</v>
      </c>
      <c r="U6" s="89">
        <f>Statement!V183</f>
        <v>190987</v>
      </c>
      <c r="V6" s="89">
        <f>Statement!W183</f>
        <v>210678</v>
      </c>
      <c r="W6" s="89">
        <f>Statement!X183</f>
        <v>229491</v>
      </c>
      <c r="X6" s="89">
        <f>Statement!Y183</f>
        <v>242286</v>
      </c>
      <c r="Y6" s="89">
        <f>Statement!Z183</f>
        <v>250908</v>
      </c>
      <c r="Z6" s="90">
        <f>Statement!AA183</f>
        <v>258035</v>
      </c>
      <c r="AA6" s="64">
        <f>AA37*AA34</f>
        <v>258876.79999999999</v>
      </c>
      <c r="AB6" s="64"/>
      <c r="AC6" s="64"/>
      <c r="AE6" s="64">
        <f>SUM(X6:AA6)</f>
        <v>1010105.8</v>
      </c>
    </row>
    <row r="7" spans="1:31" x14ac:dyDescent="0.2">
      <c r="B7" s="1" t="str">
        <f>Statement!B184</f>
        <v>Advertising</v>
      </c>
      <c r="C7" s="89">
        <f>Statement!M184</f>
        <v>38501</v>
      </c>
      <c r="D7" s="89">
        <f>Statement!N184</f>
        <v>44731</v>
      </c>
      <c r="E7" s="89">
        <f>Statement!O184</f>
        <v>49858</v>
      </c>
      <c r="F7" s="89">
        <f>Statement!P184</f>
        <v>54907</v>
      </c>
      <c r="G7" s="90">
        <f>Statement!Q184</f>
        <v>79725</v>
      </c>
      <c r="H7" s="64">
        <f>H35*H31</f>
        <v>101116.204</v>
      </c>
      <c r="I7" s="64">
        <f t="shared" ref="I7:L7" si="2">I35*I31</f>
        <v>124816.88368688</v>
      </c>
      <c r="J7" s="64">
        <f t="shared" si="2"/>
        <v>150067.48603184801</v>
      </c>
      <c r="K7" s="64">
        <f t="shared" si="2"/>
        <v>188412.21928171223</v>
      </c>
      <c r="L7" s="64">
        <f t="shared" si="2"/>
        <v>232290.47745028202</v>
      </c>
      <c r="N7" s="91" t="s">
        <v>394</v>
      </c>
      <c r="O7" s="5"/>
      <c r="Q7" s="130" t="s">
        <v>394</v>
      </c>
      <c r="R7" s="1" t="str">
        <f t="shared" ref="R7:R10" si="3">B7</f>
        <v>Advertising</v>
      </c>
      <c r="S7" s="89">
        <f>Statement!T184</f>
        <v>14405</v>
      </c>
      <c r="T7" s="89">
        <f>Statement!U184</f>
        <v>14292</v>
      </c>
      <c r="U7" s="89">
        <f>Statement!V184</f>
        <v>17882</v>
      </c>
      <c r="V7" s="89">
        <f>Statement!W184</f>
        <v>20603</v>
      </c>
      <c r="W7" s="89">
        <f>Statement!X184</f>
        <v>21019</v>
      </c>
      <c r="X7" s="89">
        <f>Statement!Y184</f>
        <v>20221</v>
      </c>
      <c r="Y7" s="89">
        <f>Statement!Z184</f>
        <v>20614</v>
      </c>
      <c r="Z7" s="90">
        <f>Statement!AA184</f>
        <v>21052</v>
      </c>
      <c r="AA7" s="64">
        <f>AA35*AA31</f>
        <v>22657.627200000003</v>
      </c>
      <c r="AB7" s="64"/>
      <c r="AC7" s="64"/>
      <c r="AE7" s="64">
        <f t="shared" ref="AE7:AE10" si="4">SUM(X7:AA7)</f>
        <v>84544.627200000003</v>
      </c>
    </row>
    <row r="8" spans="1:31" x14ac:dyDescent="0.2">
      <c r="B8" s="1" t="str">
        <f>Statement!B185</f>
        <v>English test</v>
      </c>
      <c r="C8" s="89">
        <f>Statement!M185</f>
        <v>24658</v>
      </c>
      <c r="D8" s="89">
        <f>Statement!N185</f>
        <v>32718</v>
      </c>
      <c r="E8" s="89">
        <f>Statement!O185</f>
        <v>41212</v>
      </c>
      <c r="F8" s="89">
        <f>Statement!P185</f>
        <v>45640</v>
      </c>
      <c r="G8" s="90">
        <f>Statement!Q185</f>
        <v>42006</v>
      </c>
      <c r="H8" s="64">
        <f>G8*(1+H25)</f>
        <v>39905.699999999997</v>
      </c>
      <c r="I8" s="64">
        <f t="shared" ref="I8:L8" si="5">H8*(1+I25)</f>
        <v>39107.585999999996</v>
      </c>
      <c r="J8" s="64">
        <f t="shared" si="5"/>
        <v>40280.813579999995</v>
      </c>
      <c r="K8" s="64">
        <f t="shared" si="5"/>
        <v>42697.662394799998</v>
      </c>
      <c r="L8" s="64">
        <f t="shared" si="5"/>
        <v>46113.475386384001</v>
      </c>
      <c r="N8" s="91" t="s">
        <v>395</v>
      </c>
      <c r="O8" s="5"/>
      <c r="Q8" s="130" t="s">
        <v>395</v>
      </c>
      <c r="R8" s="1" t="str">
        <f t="shared" si="3"/>
        <v>English test</v>
      </c>
      <c r="S8" s="89">
        <f>Statement!T185</f>
        <v>10772</v>
      </c>
      <c r="T8" s="89">
        <f>Statement!U185</f>
        <v>11415</v>
      </c>
      <c r="U8" s="89">
        <f>Statement!V185</f>
        <v>11986</v>
      </c>
      <c r="V8" s="89">
        <f>Statement!W185</f>
        <v>10088</v>
      </c>
      <c r="W8" s="89">
        <f>Statement!X185</f>
        <v>9649</v>
      </c>
      <c r="X8" s="89">
        <f>Statement!Y185</f>
        <v>10283</v>
      </c>
      <c r="Y8" s="89">
        <f>Statement!Z185</f>
        <v>11317</v>
      </c>
      <c r="Z8" s="90">
        <f>Statement!AA185</f>
        <v>10109</v>
      </c>
      <c r="AA8" s="64">
        <f>Z8*(1+AA25)</f>
        <v>10614.45</v>
      </c>
      <c r="AB8" s="64"/>
      <c r="AC8" s="64"/>
      <c r="AE8" s="64">
        <f t="shared" si="4"/>
        <v>42323.45</v>
      </c>
    </row>
    <row r="9" spans="1:31" x14ac:dyDescent="0.2">
      <c r="B9" s="1" t="str">
        <f>Statement!B186</f>
        <v>In-App purchases</v>
      </c>
      <c r="C9" s="89">
        <f>Statement!M186</f>
        <v>6915</v>
      </c>
      <c r="D9" s="89">
        <f>Statement!N186</f>
        <v>18539</v>
      </c>
      <c r="E9" s="89">
        <f>Statement!O186</f>
        <v>34673</v>
      </c>
      <c r="F9" s="89">
        <f>Statement!P186</f>
        <v>38653</v>
      </c>
      <c r="G9" s="90">
        <f>Statement!Q186</f>
        <v>40479</v>
      </c>
      <c r="H9" s="64">
        <f>H27*H36</f>
        <v>44900.399999999994</v>
      </c>
      <c r="I9" s="64">
        <f t="shared" ref="I9:L9" si="6">I27*I36</f>
        <v>51382.5</v>
      </c>
      <c r="J9" s="64">
        <f t="shared" si="6"/>
        <v>60236.1</v>
      </c>
      <c r="K9" s="64">
        <f t="shared" si="6"/>
        <v>82874.83425</v>
      </c>
      <c r="L9" s="64">
        <f t="shared" si="6"/>
        <v>106079.78784</v>
      </c>
      <c r="N9" s="91" t="s">
        <v>396</v>
      </c>
      <c r="O9" s="5"/>
      <c r="Q9" s="130" t="s">
        <v>396</v>
      </c>
      <c r="R9" s="1" t="str">
        <f t="shared" si="3"/>
        <v>In-App purchases</v>
      </c>
      <c r="S9" s="89">
        <f>Statement!T186</f>
        <v>9411</v>
      </c>
      <c r="T9" s="89">
        <f>Statement!U186</f>
        <v>9142</v>
      </c>
      <c r="U9" s="89">
        <f>Statement!V186</f>
        <v>9442</v>
      </c>
      <c r="V9" s="89">
        <f>Statement!W186</f>
        <v>10390</v>
      </c>
      <c r="W9" s="89">
        <f>Statement!X186</f>
        <v>11096</v>
      </c>
      <c r="X9" s="89">
        <f>Statement!Y186</f>
        <v>9551</v>
      </c>
      <c r="Y9" s="89">
        <f>Statement!Z186</f>
        <v>8446</v>
      </c>
      <c r="Z9" s="90">
        <f>Statement!AA186</f>
        <v>8002</v>
      </c>
      <c r="AA9" s="64">
        <f>AA27*AA36</f>
        <v>7607.52</v>
      </c>
      <c r="AB9" s="64"/>
      <c r="AC9" s="64"/>
      <c r="AE9" s="64">
        <f t="shared" si="4"/>
        <v>33606.520000000004</v>
      </c>
    </row>
    <row r="10" spans="1:31" x14ac:dyDescent="0.2">
      <c r="B10" s="1" t="str">
        <f>Statement!B187</f>
        <v>Other</v>
      </c>
      <c r="C10" s="89">
        <f>Statement!M187</f>
        <v>79</v>
      </c>
      <c r="D10" s="89">
        <f>Statement!N187</f>
        <v>625</v>
      </c>
      <c r="E10" s="89">
        <f>Statement!O187</f>
        <v>682</v>
      </c>
      <c r="F10" s="89">
        <f>Statement!P187</f>
        <v>1293</v>
      </c>
      <c r="G10" s="90">
        <f>Statement!Q187</f>
        <v>1937</v>
      </c>
      <c r="H10" s="64">
        <f>G10*(1+H26)</f>
        <v>2808.65</v>
      </c>
      <c r="I10" s="64">
        <f t="shared" ref="I10:L10" si="7">H10*(1+I26)</f>
        <v>3791.6775000000002</v>
      </c>
      <c r="J10" s="64">
        <f t="shared" si="7"/>
        <v>4929.1807500000004</v>
      </c>
      <c r="K10" s="64">
        <f t="shared" si="7"/>
        <v>6161.4759375000003</v>
      </c>
      <c r="L10" s="64">
        <f t="shared" si="7"/>
        <v>7393.7711250000002</v>
      </c>
      <c r="N10" s="91" t="s">
        <v>397</v>
      </c>
      <c r="O10" s="5"/>
      <c r="Q10" s="130" t="s">
        <v>397</v>
      </c>
      <c r="R10" s="1" t="str">
        <f t="shared" si="3"/>
        <v>Other</v>
      </c>
      <c r="S10" s="89">
        <f>Statement!T187</f>
        <v>389</v>
      </c>
      <c r="T10" s="89">
        <f>Statement!U187</f>
        <v>384</v>
      </c>
      <c r="U10" s="89">
        <f>Statement!V187</f>
        <v>446</v>
      </c>
      <c r="V10" s="89">
        <f>Statement!W187</f>
        <v>506</v>
      </c>
      <c r="W10" s="89">
        <f>Statement!X187</f>
        <v>458</v>
      </c>
      <c r="X10" s="89">
        <f>Statement!Y187</f>
        <v>527</v>
      </c>
      <c r="Y10" s="89">
        <f>Statement!Z187</f>
        <v>682</v>
      </c>
      <c r="Z10" s="90">
        <f>Statement!AA187</f>
        <v>1256</v>
      </c>
      <c r="AA10" s="64">
        <f>Z10*(1+AA26)</f>
        <v>1142.96</v>
      </c>
      <c r="AB10" s="64"/>
      <c r="AC10" s="64"/>
      <c r="AE10" s="64">
        <f t="shared" si="4"/>
        <v>3607.96</v>
      </c>
    </row>
    <row r="11" spans="1:31" x14ac:dyDescent="0.2">
      <c r="B11" s="16" t="s">
        <v>121</v>
      </c>
      <c r="C11" s="93">
        <f>Statement!M5</f>
        <v>250772</v>
      </c>
      <c r="D11" s="93">
        <f>Statement!N5</f>
        <v>369495</v>
      </c>
      <c r="E11" s="93">
        <f>Statement!O5</f>
        <v>531109</v>
      </c>
      <c r="F11" s="93">
        <f>Statement!P5</f>
        <v>748024</v>
      </c>
      <c r="G11" s="94">
        <f>Statement!Q5</f>
        <v>1037589</v>
      </c>
      <c r="H11" s="95">
        <f>SUM(H6:H10)</f>
        <v>1213121.0339999995</v>
      </c>
      <c r="I11" s="95">
        <f t="shared" ref="I11:L11" si="8">SUM(I6:I10)</f>
        <v>1384239.9241788797</v>
      </c>
      <c r="J11" s="95">
        <f t="shared" si="8"/>
        <v>1743981.5617191282</v>
      </c>
      <c r="K11" s="95">
        <f t="shared" si="8"/>
        <v>2351599.1368314889</v>
      </c>
      <c r="L11" s="95">
        <f t="shared" si="8"/>
        <v>3165420.2175657614</v>
      </c>
      <c r="O11" s="5"/>
      <c r="R11" s="16" t="s">
        <v>121</v>
      </c>
      <c r="S11" s="93">
        <f>Statement!T5</f>
        <v>192594</v>
      </c>
      <c r="T11" s="93">
        <f>Statement!U5</f>
        <v>209550</v>
      </c>
      <c r="U11" s="93">
        <f>Statement!V5</f>
        <v>230743</v>
      </c>
      <c r="V11" s="93">
        <f>Statement!W5</f>
        <v>252265</v>
      </c>
      <c r="W11" s="93">
        <f>Statement!X5</f>
        <v>271713</v>
      </c>
      <c r="X11" s="93">
        <f>Statement!Y5</f>
        <v>282868</v>
      </c>
      <c r="Y11" s="93">
        <f>Statement!Z5</f>
        <v>291967</v>
      </c>
      <c r="Z11" s="94">
        <f>Statement!AA5</f>
        <v>298454</v>
      </c>
      <c r="AA11" s="95">
        <f>SUM(AA6:AA10)</f>
        <v>300899.35720000003</v>
      </c>
      <c r="AB11" s="95"/>
      <c r="AC11" s="95"/>
      <c r="AE11" s="95">
        <f>SUM(X11:AA11)</f>
        <v>1174188.3572</v>
      </c>
    </row>
    <row r="12" spans="1:31" x14ac:dyDescent="0.2">
      <c r="O12" s="5"/>
      <c r="Q12" s="92"/>
    </row>
    <row r="13" spans="1:31" x14ac:dyDescent="0.2">
      <c r="C13" s="271" t="s">
        <v>122</v>
      </c>
      <c r="D13" s="271"/>
      <c r="E13" s="271"/>
      <c r="F13" s="271"/>
      <c r="G13" s="271"/>
      <c r="H13" s="271"/>
      <c r="I13" s="271"/>
      <c r="J13" s="271"/>
      <c r="K13" s="271"/>
      <c r="L13" s="271"/>
      <c r="O13" s="5"/>
      <c r="Q13" s="92"/>
      <c r="S13" s="272" t="s">
        <v>122</v>
      </c>
      <c r="T13" s="273"/>
      <c r="U13" s="273"/>
      <c r="V13" s="273"/>
      <c r="W13" s="273"/>
      <c r="X13" s="273"/>
      <c r="Y13" s="273"/>
      <c r="Z13" s="273"/>
      <c r="AA13" s="273"/>
      <c r="AB13" s="273"/>
      <c r="AC13" s="273"/>
    </row>
    <row r="14" spans="1:31" x14ac:dyDescent="0.2">
      <c r="B14" s="16" t="s">
        <v>123</v>
      </c>
      <c r="C14" s="12">
        <f t="shared" ref="C14:L14" si="9">C5</f>
        <v>2021</v>
      </c>
      <c r="D14" s="12">
        <f t="shared" si="9"/>
        <v>2022</v>
      </c>
      <c r="E14" s="12">
        <f t="shared" si="9"/>
        <v>2023</v>
      </c>
      <c r="F14" s="12">
        <f t="shared" si="9"/>
        <v>2024</v>
      </c>
      <c r="G14" s="12">
        <f t="shared" si="9"/>
        <v>2025</v>
      </c>
      <c r="H14" s="12">
        <f t="shared" si="9"/>
        <v>2026</v>
      </c>
      <c r="I14" s="12">
        <f t="shared" si="9"/>
        <v>2027</v>
      </c>
      <c r="J14" s="12">
        <f t="shared" si="9"/>
        <v>2028</v>
      </c>
      <c r="K14" s="12">
        <f t="shared" si="9"/>
        <v>2029</v>
      </c>
      <c r="L14" s="12">
        <f t="shared" si="9"/>
        <v>2030</v>
      </c>
      <c r="O14" s="5"/>
      <c r="Q14" s="92"/>
      <c r="R14" s="16" t="s">
        <v>123</v>
      </c>
      <c r="S14" s="12" t="str">
        <f t="shared" ref="S14:AC14" si="10">S5</f>
        <v>Q3 2024</v>
      </c>
      <c r="T14" s="12" t="str">
        <f t="shared" si="10"/>
        <v>Q4 2024</v>
      </c>
      <c r="U14" s="12" t="str">
        <f t="shared" si="10"/>
        <v>Q1 2025</v>
      </c>
      <c r="V14" s="12" t="str">
        <f t="shared" si="10"/>
        <v>Q2 2025</v>
      </c>
      <c r="W14" s="12" t="str">
        <f t="shared" si="10"/>
        <v>Q3 2025</v>
      </c>
      <c r="X14" s="12" t="str">
        <f t="shared" si="10"/>
        <v>Q4 2025</v>
      </c>
      <c r="Y14" s="12" t="str">
        <f t="shared" si="10"/>
        <v>Q1 2026</v>
      </c>
      <c r="Z14" s="12" t="str">
        <f t="shared" si="10"/>
        <v>Q2 2026</v>
      </c>
      <c r="AA14" s="12" t="str">
        <f t="shared" si="10"/>
        <v>FQ1</v>
      </c>
      <c r="AB14" s="12" t="str">
        <f t="shared" si="10"/>
        <v>FQ2</v>
      </c>
      <c r="AC14" s="12" t="str">
        <f t="shared" si="10"/>
        <v>FQ3</v>
      </c>
    </row>
    <row r="15" spans="1:31" x14ac:dyDescent="0.2">
      <c r="B15" s="1" t="str">
        <f>B6</f>
        <v>Subscription</v>
      </c>
      <c r="C15" s="47"/>
      <c r="D15" s="96">
        <f t="shared" ref="D15:L15" si="11">D6/C6-1</f>
        <v>0.51361387508439504</v>
      </c>
      <c r="E15" s="96">
        <f t="shared" si="11"/>
        <v>0.47961112512659643</v>
      </c>
      <c r="F15" s="96">
        <f t="shared" si="11"/>
        <v>0.50124788724041469</v>
      </c>
      <c r="G15" s="97">
        <f t="shared" si="11"/>
        <v>0.43769124538500925</v>
      </c>
      <c r="H15" s="96">
        <f t="shared" si="11"/>
        <v>0.17281980944355757</v>
      </c>
      <c r="I15" s="96">
        <f t="shared" si="11"/>
        <v>0.13740000000000019</v>
      </c>
      <c r="J15" s="96">
        <f t="shared" si="11"/>
        <v>0.27750000000000008</v>
      </c>
      <c r="K15" s="96">
        <f t="shared" si="11"/>
        <v>0.36479452054794503</v>
      </c>
      <c r="L15" s="96">
        <f t="shared" si="11"/>
        <v>0.36530000000000018</v>
      </c>
      <c r="O15" s="5"/>
      <c r="Q15" s="92"/>
      <c r="R15" s="1" t="str">
        <f>R6</f>
        <v>Subscription</v>
      </c>
      <c r="S15" s="47"/>
      <c r="T15" s="96">
        <f t="shared" ref="T15:AA16" si="12">T6/S6-1</f>
        <v>0.10595303806061529</v>
      </c>
      <c r="U15" s="96">
        <f t="shared" si="12"/>
        <v>9.563037454751977E-2</v>
      </c>
      <c r="V15" s="96">
        <f t="shared" si="12"/>
        <v>0.10310125820081995</v>
      </c>
      <c r="W15" s="96">
        <f t="shared" si="12"/>
        <v>8.9297411215219391E-2</v>
      </c>
      <c r="X15" s="96">
        <f t="shared" si="12"/>
        <v>5.5753820411257982E-2</v>
      </c>
      <c r="Y15" s="96">
        <f t="shared" si="12"/>
        <v>3.5586042940987106E-2</v>
      </c>
      <c r="Z15" s="97">
        <f t="shared" si="12"/>
        <v>2.8404833644204208E-2</v>
      </c>
      <c r="AA15" s="96">
        <f t="shared" si="12"/>
        <v>3.2623481310674052E-3</v>
      </c>
      <c r="AB15" s="96"/>
      <c r="AC15" s="96"/>
    </row>
    <row r="16" spans="1:31" x14ac:dyDescent="0.2">
      <c r="B16" s="1" t="str">
        <f>B7</f>
        <v>Advertising</v>
      </c>
      <c r="C16" s="47"/>
      <c r="D16" s="96">
        <f t="shared" ref="D16:L19" si="13">D7/C7-1</f>
        <v>0.161813978857692</v>
      </c>
      <c r="E16" s="96">
        <f t="shared" si="13"/>
        <v>0.11461849723905115</v>
      </c>
      <c r="F16" s="96">
        <f t="shared" si="13"/>
        <v>0.10126759998395451</v>
      </c>
      <c r="G16" s="97">
        <f t="shared" si="13"/>
        <v>0.45200065565410608</v>
      </c>
      <c r="H16" s="96">
        <f t="shared" si="13"/>
        <v>0.26831237378488559</v>
      </c>
      <c r="I16" s="96">
        <f t="shared" si="13"/>
        <v>0.23439052050332121</v>
      </c>
      <c r="J16" s="96">
        <f t="shared" si="13"/>
        <v>0.2023011759235438</v>
      </c>
      <c r="K16" s="96">
        <f t="shared" si="13"/>
        <v>0.25551659632471302</v>
      </c>
      <c r="L16" s="96">
        <f t="shared" si="13"/>
        <v>0.23288435503731009</v>
      </c>
      <c r="O16" s="5"/>
      <c r="Q16" s="92"/>
      <c r="R16" s="1" t="str">
        <f>R7</f>
        <v>Advertising</v>
      </c>
      <c r="S16" s="47"/>
      <c r="T16" s="96">
        <f t="shared" si="12"/>
        <v>-7.8444984380423577E-3</v>
      </c>
      <c r="U16" s="96">
        <f t="shared" si="12"/>
        <v>0.25118947663028268</v>
      </c>
      <c r="V16" s="96">
        <f t="shared" si="12"/>
        <v>0.15216418745106819</v>
      </c>
      <c r="W16" s="96">
        <f t="shared" si="12"/>
        <v>2.01912342862689E-2</v>
      </c>
      <c r="X16" s="96">
        <f t="shared" si="12"/>
        <v>-3.7965650126076445E-2</v>
      </c>
      <c r="Y16" s="96">
        <f t="shared" si="12"/>
        <v>1.9435240591464398E-2</v>
      </c>
      <c r="Z16" s="97">
        <f t="shared" si="12"/>
        <v>2.1247695740758799E-2</v>
      </c>
      <c r="AA16" s="96">
        <f t="shared" si="12"/>
        <v>7.62695800874027E-2</v>
      </c>
      <c r="AB16" s="96"/>
      <c r="AC16" s="96"/>
    </row>
    <row r="17" spans="2:31" x14ac:dyDescent="0.2">
      <c r="B17" s="1" t="str">
        <f>B8</f>
        <v>English test</v>
      </c>
      <c r="C17" s="47"/>
      <c r="D17" s="96">
        <f t="shared" ref="D17:H17" si="14">D8/C8-1</f>
        <v>0.32687160353637768</v>
      </c>
      <c r="E17" s="96">
        <f t="shared" si="13"/>
        <v>0.25961244574851761</v>
      </c>
      <c r="F17" s="96">
        <f t="shared" si="13"/>
        <v>0.10744443366009904</v>
      </c>
      <c r="G17" s="97">
        <f t="shared" si="13"/>
        <v>-7.9623137598597737E-2</v>
      </c>
      <c r="H17" s="96">
        <f t="shared" si="14"/>
        <v>-5.0000000000000044E-2</v>
      </c>
      <c r="I17" s="96">
        <f t="shared" si="13"/>
        <v>-2.0000000000000018E-2</v>
      </c>
      <c r="J17" s="96">
        <f t="shared" si="13"/>
        <v>3.0000000000000027E-2</v>
      </c>
      <c r="K17" s="96">
        <f t="shared" si="13"/>
        <v>6.0000000000000053E-2</v>
      </c>
      <c r="L17" s="96">
        <f t="shared" si="13"/>
        <v>8.0000000000000071E-2</v>
      </c>
      <c r="O17" s="5"/>
      <c r="Q17" s="92"/>
      <c r="R17" s="1" t="str">
        <f>R8</f>
        <v>English test</v>
      </c>
      <c r="S17" s="47"/>
      <c r="T17" s="96">
        <f>T8/S8-1</f>
        <v>5.9691793538804383E-2</v>
      </c>
      <c r="U17" s="96">
        <f t="shared" ref="U17:Z17" si="15">U8/T8-1</f>
        <v>5.0021901007446301E-2</v>
      </c>
      <c r="V17" s="96">
        <f t="shared" si="15"/>
        <v>-0.15835140997830799</v>
      </c>
      <c r="W17" s="96">
        <f t="shared" si="15"/>
        <v>-4.3517049960348886E-2</v>
      </c>
      <c r="X17" s="96">
        <f t="shared" si="15"/>
        <v>6.5706290807337586E-2</v>
      </c>
      <c r="Y17" s="96">
        <f t="shared" si="15"/>
        <v>0.10055431294369344</v>
      </c>
      <c r="Z17" s="97">
        <f t="shared" si="15"/>
        <v>-0.10674206945303522</v>
      </c>
      <c r="AA17" s="96">
        <f>AA8/Z8-1</f>
        <v>5.0000000000000044E-2</v>
      </c>
      <c r="AB17" s="96"/>
      <c r="AC17" s="96"/>
    </row>
    <row r="18" spans="2:31" x14ac:dyDescent="0.2">
      <c r="B18" s="1" t="str">
        <f t="shared" ref="B18:B19" si="16">B9</f>
        <v>In-App purchases</v>
      </c>
      <c r="C18" s="47"/>
      <c r="D18" s="96">
        <f t="shared" ref="D18:D19" si="17">D9/C9-1</f>
        <v>1.6809833694866234</v>
      </c>
      <c r="E18" s="96">
        <f t="shared" si="13"/>
        <v>0.87027347753384765</v>
      </c>
      <c r="F18" s="96">
        <f t="shared" si="13"/>
        <v>0.11478672165662052</v>
      </c>
      <c r="G18" s="97">
        <f t="shared" si="13"/>
        <v>4.7240835122758895E-2</v>
      </c>
      <c r="H18" s="96">
        <f t="shared" ref="H18:H19" si="18">H9/G9-1</f>
        <v>0.10922700659601259</v>
      </c>
      <c r="I18" s="96">
        <f t="shared" si="13"/>
        <v>0.14436619718309873</v>
      </c>
      <c r="J18" s="96">
        <f t="shared" si="13"/>
        <v>0.17230769230769227</v>
      </c>
      <c r="K18" s="96">
        <f t="shared" si="13"/>
        <v>0.37583333333333346</v>
      </c>
      <c r="L18" s="96">
        <f t="shared" si="13"/>
        <v>0.28000000000000003</v>
      </c>
      <c r="O18" s="5"/>
      <c r="Q18" s="92"/>
      <c r="R18" s="1" t="str">
        <f t="shared" ref="R18:R19" si="19">R9</f>
        <v>In-App purchases</v>
      </c>
      <c r="S18" s="47"/>
      <c r="T18" s="96">
        <f t="shared" ref="T18:AA18" si="20">T9/S9-1</f>
        <v>-2.8583572415258773E-2</v>
      </c>
      <c r="U18" s="96">
        <f t="shared" si="20"/>
        <v>3.2815576460293094E-2</v>
      </c>
      <c r="V18" s="96">
        <f t="shared" si="20"/>
        <v>0.10040245710654516</v>
      </c>
      <c r="W18" s="96">
        <f t="shared" si="20"/>
        <v>6.7949951876804526E-2</v>
      </c>
      <c r="X18" s="96">
        <f t="shared" si="20"/>
        <v>-0.13923936553713046</v>
      </c>
      <c r="Y18" s="96">
        <f t="shared" si="20"/>
        <v>-0.11569469165532409</v>
      </c>
      <c r="Z18" s="97">
        <f t="shared" si="20"/>
        <v>-5.2569263556713208E-2</v>
      </c>
      <c r="AA18" s="96">
        <f t="shared" si="20"/>
        <v>-4.929767558110465E-2</v>
      </c>
      <c r="AB18" s="96"/>
      <c r="AC18" s="96"/>
    </row>
    <row r="19" spans="2:31" x14ac:dyDescent="0.2">
      <c r="B19" s="1" t="str">
        <f t="shared" si="16"/>
        <v>Other</v>
      </c>
      <c r="C19" s="47"/>
      <c r="D19" s="96">
        <f t="shared" si="17"/>
        <v>6.9113924050632916</v>
      </c>
      <c r="E19" s="96">
        <f t="shared" si="13"/>
        <v>9.1199999999999948E-2</v>
      </c>
      <c r="F19" s="96">
        <f t="shared" si="13"/>
        <v>0.89589442815249276</v>
      </c>
      <c r="G19" s="97">
        <f t="shared" si="13"/>
        <v>0.49806651198762575</v>
      </c>
      <c r="H19" s="96">
        <f t="shared" si="18"/>
        <v>0.44999999999999996</v>
      </c>
      <c r="I19" s="96">
        <f t="shared" si="13"/>
        <v>0.35000000000000009</v>
      </c>
      <c r="J19" s="96">
        <f t="shared" si="13"/>
        <v>0.30000000000000004</v>
      </c>
      <c r="K19" s="96">
        <f t="shared" si="13"/>
        <v>0.25</v>
      </c>
      <c r="L19" s="96">
        <f t="shared" si="13"/>
        <v>0.19999999999999996</v>
      </c>
      <c r="O19" s="5"/>
      <c r="Q19" s="92"/>
      <c r="R19" s="1" t="str">
        <f t="shared" si="19"/>
        <v>Other</v>
      </c>
      <c r="S19" s="47"/>
      <c r="T19" s="96">
        <f t="shared" ref="T19:AA19" si="21">T10/S10-1</f>
        <v>-1.2853470437018011E-2</v>
      </c>
      <c r="U19" s="96">
        <f t="shared" si="21"/>
        <v>0.16145833333333326</v>
      </c>
      <c r="V19" s="96">
        <f t="shared" si="21"/>
        <v>0.13452914798206272</v>
      </c>
      <c r="W19" s="96">
        <f t="shared" si="21"/>
        <v>-9.4861660079051391E-2</v>
      </c>
      <c r="X19" s="96">
        <f t="shared" si="21"/>
        <v>0.15065502183406121</v>
      </c>
      <c r="Y19" s="96">
        <f t="shared" si="21"/>
        <v>0.29411764705882359</v>
      </c>
      <c r="Z19" s="97">
        <f t="shared" si="21"/>
        <v>0.84164222873900285</v>
      </c>
      <c r="AA19" s="96">
        <f t="shared" si="21"/>
        <v>-8.9999999999999969E-2</v>
      </c>
      <c r="AB19" s="96"/>
      <c r="AC19" s="96"/>
    </row>
    <row r="20" spans="2:31" x14ac:dyDescent="0.2">
      <c r="B20" s="16" t="str">
        <f>B11</f>
        <v>Total</v>
      </c>
      <c r="C20" s="47"/>
      <c r="D20" s="104">
        <f t="shared" ref="D20:L20" si="22">D11/C11-1</f>
        <v>0.47343004801173971</v>
      </c>
      <c r="E20" s="104">
        <f t="shared" si="22"/>
        <v>0.43739157498748282</v>
      </c>
      <c r="F20" s="104">
        <f t="shared" si="22"/>
        <v>0.4084189874394899</v>
      </c>
      <c r="G20" s="105">
        <f t="shared" si="22"/>
        <v>0.38710656342577243</v>
      </c>
      <c r="H20" s="104">
        <f t="shared" si="22"/>
        <v>0.16917299046154066</v>
      </c>
      <c r="I20" s="104">
        <f t="shared" si="22"/>
        <v>0.14105673332087343</v>
      </c>
      <c r="J20" s="104">
        <f t="shared" si="22"/>
        <v>0.25988387652786726</v>
      </c>
      <c r="K20" s="104">
        <f t="shared" si="22"/>
        <v>0.34840825640002882</v>
      </c>
      <c r="L20" s="104">
        <f t="shared" si="22"/>
        <v>0.3460713469349217</v>
      </c>
      <c r="O20" s="5"/>
      <c r="Q20" s="92"/>
      <c r="R20" s="16" t="str">
        <f>R11</f>
        <v>Total</v>
      </c>
      <c r="S20" s="47"/>
      <c r="T20" s="104">
        <f t="shared" ref="T20:AA20" si="23">T11/S11-1</f>
        <v>8.8040125860618712E-2</v>
      </c>
      <c r="U20" s="104">
        <f t="shared" si="23"/>
        <v>0.10113576712001904</v>
      </c>
      <c r="V20" s="104">
        <f t="shared" si="23"/>
        <v>9.327260198575904E-2</v>
      </c>
      <c r="W20" s="104">
        <f t="shared" si="23"/>
        <v>7.7093532594691982E-2</v>
      </c>
      <c r="X20" s="104">
        <f t="shared" si="23"/>
        <v>4.105434778608319E-2</v>
      </c>
      <c r="Y20" s="104">
        <f t="shared" si="23"/>
        <v>3.2166947127282075E-2</v>
      </c>
      <c r="Z20" s="105">
        <f t="shared" si="23"/>
        <v>2.221826439289365E-2</v>
      </c>
      <c r="AA20" s="104">
        <f t="shared" si="23"/>
        <v>8.1934140604582595E-3</v>
      </c>
      <c r="AB20" s="104"/>
      <c r="AC20" s="104"/>
    </row>
    <row r="21" spans="2:31" x14ac:dyDescent="0.2">
      <c r="O21" s="5"/>
      <c r="Q21" s="92"/>
    </row>
    <row r="22" spans="2:31" x14ac:dyDescent="0.2">
      <c r="O22" s="5"/>
      <c r="Q22" s="92"/>
    </row>
    <row r="23" spans="2:31" x14ac:dyDescent="0.2">
      <c r="C23" s="271" t="s">
        <v>124</v>
      </c>
      <c r="D23" s="271"/>
      <c r="E23" s="271"/>
      <c r="F23" s="271"/>
      <c r="G23" s="271"/>
      <c r="H23" s="271"/>
      <c r="I23" s="271"/>
      <c r="J23" s="271"/>
      <c r="K23" s="271"/>
      <c r="L23" s="271"/>
      <c r="O23" s="5"/>
      <c r="Q23" s="92"/>
      <c r="S23" s="272" t="s">
        <v>124</v>
      </c>
      <c r="T23" s="273"/>
      <c r="U23" s="273"/>
      <c r="V23" s="273"/>
      <c r="W23" s="273"/>
      <c r="X23" s="273"/>
      <c r="Y23" s="273"/>
      <c r="Z23" s="273"/>
      <c r="AA23" s="273"/>
      <c r="AB23" s="273"/>
      <c r="AC23" s="273"/>
      <c r="AE23" s="88" t="str">
        <f>AE2</f>
        <v>TTM/YTD</v>
      </c>
    </row>
    <row r="24" spans="2:31" x14ac:dyDescent="0.2">
      <c r="B24" s="16" t="s">
        <v>125</v>
      </c>
      <c r="C24" s="12">
        <f t="shared" ref="C24:L24" si="24">C5</f>
        <v>2021</v>
      </c>
      <c r="D24" s="12">
        <f t="shared" si="24"/>
        <v>2022</v>
      </c>
      <c r="E24" s="12">
        <f t="shared" si="24"/>
        <v>2023</v>
      </c>
      <c r="F24" s="12">
        <f t="shared" si="24"/>
        <v>2024</v>
      </c>
      <c r="G24" s="12">
        <f t="shared" si="24"/>
        <v>2025</v>
      </c>
      <c r="H24" s="12">
        <f t="shared" si="24"/>
        <v>2026</v>
      </c>
      <c r="I24" s="12">
        <f t="shared" si="24"/>
        <v>2027</v>
      </c>
      <c r="J24" s="12">
        <f t="shared" si="24"/>
        <v>2028</v>
      </c>
      <c r="K24" s="12">
        <f t="shared" si="24"/>
        <v>2029</v>
      </c>
      <c r="L24" s="12">
        <f t="shared" si="24"/>
        <v>2030</v>
      </c>
      <c r="O24" s="5"/>
      <c r="Q24" s="92"/>
      <c r="R24" s="16" t="s">
        <v>125</v>
      </c>
      <c r="S24" s="12" t="str">
        <f t="shared" ref="S24:AC24" si="25">S5</f>
        <v>Q3 2024</v>
      </c>
      <c r="T24" s="12" t="str">
        <f t="shared" si="25"/>
        <v>Q4 2024</v>
      </c>
      <c r="U24" s="12" t="str">
        <f t="shared" si="25"/>
        <v>Q1 2025</v>
      </c>
      <c r="V24" s="12" t="str">
        <f t="shared" si="25"/>
        <v>Q2 2025</v>
      </c>
      <c r="W24" s="12" t="str">
        <f t="shared" si="25"/>
        <v>Q3 2025</v>
      </c>
      <c r="X24" s="12" t="str">
        <f t="shared" si="25"/>
        <v>Q4 2025</v>
      </c>
      <c r="Y24" s="12" t="str">
        <f t="shared" si="25"/>
        <v>Q1 2026</v>
      </c>
      <c r="Z24" s="12" t="str">
        <f t="shared" si="25"/>
        <v>Q2 2026</v>
      </c>
      <c r="AA24" s="12" t="str">
        <f t="shared" si="25"/>
        <v>FQ1</v>
      </c>
      <c r="AB24" s="12" t="str">
        <f t="shared" si="25"/>
        <v>FQ2</v>
      </c>
      <c r="AC24" s="12" t="str">
        <f t="shared" si="25"/>
        <v>FQ3</v>
      </c>
      <c r="AE24" s="8" t="str">
        <f>AE5</f>
        <v>FQ1</v>
      </c>
    </row>
    <row r="25" spans="2:31" x14ac:dyDescent="0.2">
      <c r="B25" s="1" t="s">
        <v>395</v>
      </c>
      <c r="C25" s="47"/>
      <c r="D25" s="236">
        <f>D17</f>
        <v>0.32687160353637768</v>
      </c>
      <c r="E25" s="236">
        <f t="shared" ref="E25:G25" si="26">E17</f>
        <v>0.25961244574851761</v>
      </c>
      <c r="F25" s="236">
        <f t="shared" si="26"/>
        <v>0.10744443366009904</v>
      </c>
      <c r="G25" s="237">
        <f t="shared" si="26"/>
        <v>-7.9623137598597737E-2</v>
      </c>
      <c r="H25" s="98">
        <v>-0.05</v>
      </c>
      <c r="I25" s="98">
        <v>-0.02</v>
      </c>
      <c r="J25" s="98">
        <v>0.03</v>
      </c>
      <c r="K25" s="98">
        <v>0.06</v>
      </c>
      <c r="L25" s="98">
        <v>0.08</v>
      </c>
      <c r="N25" s="91"/>
      <c r="O25" s="5"/>
      <c r="Q25" s="91"/>
      <c r="R25" s="1" t="s">
        <v>395</v>
      </c>
      <c r="S25" s="47"/>
      <c r="T25" s="144">
        <f>T17</f>
        <v>5.9691793538804383E-2</v>
      </c>
      <c r="U25" s="236">
        <f t="shared" ref="U25:Z25" si="27">U17</f>
        <v>5.0021901007446301E-2</v>
      </c>
      <c r="V25" s="236">
        <f t="shared" si="27"/>
        <v>-0.15835140997830799</v>
      </c>
      <c r="W25" s="236">
        <f t="shared" si="27"/>
        <v>-4.3517049960348886E-2</v>
      </c>
      <c r="X25" s="236">
        <f t="shared" si="27"/>
        <v>6.5706290807337586E-2</v>
      </c>
      <c r="Y25" s="236">
        <f t="shared" si="27"/>
        <v>0.10055431294369344</v>
      </c>
      <c r="Z25" s="237">
        <f t="shared" si="27"/>
        <v>-0.10674206945303522</v>
      </c>
      <c r="AA25" s="98">
        <v>0.05</v>
      </c>
      <c r="AB25" s="98"/>
      <c r="AC25" s="98"/>
      <c r="AE25" s="47"/>
    </row>
    <row r="26" spans="2:31" x14ac:dyDescent="0.2">
      <c r="B26" s="1" t="s">
        <v>397</v>
      </c>
      <c r="C26" s="47"/>
      <c r="D26" s="236">
        <f>D19</f>
        <v>6.9113924050632916</v>
      </c>
      <c r="E26" s="236">
        <f t="shared" ref="E26:G26" si="28">E19</f>
        <v>9.1199999999999948E-2</v>
      </c>
      <c r="F26" s="236">
        <f t="shared" si="28"/>
        <v>0.89589442815249276</v>
      </c>
      <c r="G26" s="237">
        <f t="shared" si="28"/>
        <v>0.49806651198762575</v>
      </c>
      <c r="H26" s="98">
        <v>0.45</v>
      </c>
      <c r="I26" s="98">
        <v>0.35</v>
      </c>
      <c r="J26" s="98">
        <v>0.3</v>
      </c>
      <c r="K26" s="98">
        <v>0.25</v>
      </c>
      <c r="L26" s="98">
        <v>0.2</v>
      </c>
      <c r="N26" s="91"/>
      <c r="O26" s="5"/>
      <c r="Q26" s="91"/>
      <c r="R26" s="1" t="s">
        <v>397</v>
      </c>
      <c r="S26" s="47"/>
      <c r="T26" s="144">
        <f>T19</f>
        <v>-1.2853470437018011E-2</v>
      </c>
      <c r="U26" s="236">
        <f t="shared" ref="U26:Z26" si="29">U19</f>
        <v>0.16145833333333326</v>
      </c>
      <c r="V26" s="236">
        <f t="shared" si="29"/>
        <v>0.13452914798206272</v>
      </c>
      <c r="W26" s="236">
        <f t="shared" si="29"/>
        <v>-9.4861660079051391E-2</v>
      </c>
      <c r="X26" s="236">
        <f t="shared" si="29"/>
        <v>0.15065502183406121</v>
      </c>
      <c r="Y26" s="236">
        <f t="shared" si="29"/>
        <v>0.29411764705882359</v>
      </c>
      <c r="Z26" s="237">
        <f t="shared" si="29"/>
        <v>0.84164222873900285</v>
      </c>
      <c r="AA26" s="98">
        <v>-0.09</v>
      </c>
      <c r="AB26" s="98"/>
      <c r="AC26" s="98"/>
      <c r="AE26" s="47"/>
    </row>
    <row r="27" spans="2:31" x14ac:dyDescent="0.2">
      <c r="B27" s="1" t="s">
        <v>376</v>
      </c>
      <c r="C27" s="101">
        <f>Statement!M209</f>
        <v>9600</v>
      </c>
      <c r="D27" s="101">
        <f>Statement!N209</f>
        <v>16300</v>
      </c>
      <c r="E27" s="101">
        <f>Statement!O209</f>
        <v>26900</v>
      </c>
      <c r="F27" s="101">
        <f>Statement!P209</f>
        <v>40500</v>
      </c>
      <c r="G27" s="102">
        <f>Statement!Q209</f>
        <v>52700</v>
      </c>
      <c r="H27" s="24">
        <f>G27*(1+H29)</f>
        <v>63240</v>
      </c>
      <c r="I27" s="24">
        <f t="shared" ref="I27:L27" si="30">H27*(1+I29)</f>
        <v>79050</v>
      </c>
      <c r="J27" s="24">
        <f t="shared" si="30"/>
        <v>100393.5</v>
      </c>
      <c r="K27" s="24">
        <f t="shared" si="30"/>
        <v>127499.745</v>
      </c>
      <c r="L27" s="24">
        <f t="shared" si="30"/>
        <v>163199.67360000001</v>
      </c>
      <c r="N27" s="91" t="s">
        <v>398</v>
      </c>
      <c r="O27" s="5"/>
      <c r="Q27" s="130" t="s">
        <v>398</v>
      </c>
      <c r="R27" s="1" t="s">
        <v>376</v>
      </c>
      <c r="S27" s="101">
        <f>Statement!T209</f>
        <v>37200</v>
      </c>
      <c r="T27" s="99">
        <f>Statement!U209</f>
        <v>40500</v>
      </c>
      <c r="U27" s="101">
        <f>Statement!V209</f>
        <v>46600</v>
      </c>
      <c r="V27" s="101">
        <f>Statement!W209</f>
        <v>47700</v>
      </c>
      <c r="W27" s="101">
        <f>Statement!X209</f>
        <v>50500</v>
      </c>
      <c r="X27" s="101">
        <f>Statement!Y209</f>
        <v>52700</v>
      </c>
      <c r="Y27" s="101">
        <f>Statement!Z209</f>
        <v>56500</v>
      </c>
      <c r="Z27" s="102">
        <f>Statement!AA209</f>
        <v>58700</v>
      </c>
      <c r="AA27" s="24">
        <f>Z27*(1+AA29)</f>
        <v>63396.000000000007</v>
      </c>
      <c r="AB27" s="24"/>
      <c r="AC27" s="24"/>
      <c r="AE27" s="24">
        <f>AA27</f>
        <v>63396.000000000007</v>
      </c>
    </row>
    <row r="28" spans="2:31" x14ac:dyDescent="0.2">
      <c r="B28" s="1" t="s">
        <v>377</v>
      </c>
      <c r="C28" s="101">
        <f>Statement!M210</f>
        <v>40500</v>
      </c>
      <c r="D28" s="101">
        <f>Statement!N210</f>
        <v>60700</v>
      </c>
      <c r="E28" s="101">
        <f>Statement!O210</f>
        <v>88400</v>
      </c>
      <c r="F28" s="101">
        <f>Statement!P210</f>
        <v>116700</v>
      </c>
      <c r="G28" s="102">
        <f>Statement!Q210</f>
        <v>133100</v>
      </c>
      <c r="H28" s="24">
        <f>G28*(1+H30)</f>
        <v>158389</v>
      </c>
      <c r="I28" s="24">
        <f t="shared" ref="I28:L28" si="31">H28*(1+I30)</f>
        <v>191650.69</v>
      </c>
      <c r="J28" s="24">
        <f t="shared" si="31"/>
        <v>234772.09525000001</v>
      </c>
      <c r="K28" s="24">
        <f t="shared" si="31"/>
        <v>288769.6771575</v>
      </c>
      <c r="L28" s="24">
        <f t="shared" si="31"/>
        <v>355186.70290372497</v>
      </c>
      <c r="N28" s="91" t="s">
        <v>399</v>
      </c>
      <c r="O28" s="5"/>
      <c r="Q28" s="130" t="s">
        <v>399</v>
      </c>
      <c r="R28" s="1" t="s">
        <v>377</v>
      </c>
      <c r="S28" s="101">
        <f>Statement!T210</f>
        <v>113100</v>
      </c>
      <c r="T28" s="99">
        <f>Statement!U210</f>
        <v>116700</v>
      </c>
      <c r="U28" s="101">
        <f>Statement!V210</f>
        <v>130200</v>
      </c>
      <c r="V28" s="101">
        <f>Statement!W210</f>
        <v>128300</v>
      </c>
      <c r="W28" s="101">
        <f>Statement!X210</f>
        <v>135300</v>
      </c>
      <c r="X28" s="101">
        <f>Statement!Y210</f>
        <v>133100</v>
      </c>
      <c r="Y28" s="101">
        <f>Statement!Z210</f>
        <v>137800</v>
      </c>
      <c r="Z28" s="102">
        <f>Statement!AA210</f>
        <v>140600</v>
      </c>
      <c r="AA28" s="24">
        <f>Z28*(1+AA30)</f>
        <v>146224</v>
      </c>
      <c r="AB28" s="24"/>
      <c r="AC28" s="24"/>
      <c r="AE28" s="24">
        <f>AA28</f>
        <v>146224</v>
      </c>
    </row>
    <row r="29" spans="2:31" x14ac:dyDescent="0.2">
      <c r="B29" s="1" t="s">
        <v>398</v>
      </c>
      <c r="C29" s="47"/>
      <c r="D29" s="96">
        <f>D27/C27-1</f>
        <v>0.69791666666666674</v>
      </c>
      <c r="E29" s="96">
        <f t="shared" ref="E29:G29" si="32">E27/D27-1</f>
        <v>0.65030674846625769</v>
      </c>
      <c r="F29" s="96">
        <f t="shared" si="32"/>
        <v>0.50557620817843874</v>
      </c>
      <c r="G29" s="97">
        <f t="shared" si="32"/>
        <v>0.30123456790123448</v>
      </c>
      <c r="H29" s="98">
        <v>0.2</v>
      </c>
      <c r="I29" s="98">
        <v>0.25</v>
      </c>
      <c r="J29" s="98">
        <v>0.27</v>
      </c>
      <c r="K29" s="98">
        <v>0.27</v>
      </c>
      <c r="L29" s="98">
        <v>0.28000000000000003</v>
      </c>
      <c r="N29" s="91"/>
      <c r="O29" s="5"/>
      <c r="R29" s="1" t="s">
        <v>398</v>
      </c>
      <c r="S29" s="47"/>
      <c r="T29" s="144">
        <f>T27/S27-1</f>
        <v>8.870967741935476E-2</v>
      </c>
      <c r="U29" s="96">
        <f t="shared" ref="U29:Z29" si="33">U27/T27-1</f>
        <v>0.15061728395061724</v>
      </c>
      <c r="V29" s="96">
        <f t="shared" si="33"/>
        <v>2.3605150214592197E-2</v>
      </c>
      <c r="W29" s="96">
        <f t="shared" si="33"/>
        <v>5.8700209643605783E-2</v>
      </c>
      <c r="X29" s="96">
        <f t="shared" si="33"/>
        <v>4.3564356435643603E-2</v>
      </c>
      <c r="Y29" s="96">
        <f t="shared" si="33"/>
        <v>7.2106261859582466E-2</v>
      </c>
      <c r="Z29" s="97">
        <f t="shared" si="33"/>
        <v>3.8938053097345104E-2</v>
      </c>
      <c r="AA29" s="98">
        <v>0.08</v>
      </c>
      <c r="AB29" s="98"/>
      <c r="AC29" s="98"/>
      <c r="AE29" s="47"/>
    </row>
    <row r="30" spans="2:31" x14ac:dyDescent="0.2">
      <c r="B30" s="1" t="s">
        <v>399</v>
      </c>
      <c r="C30" s="47"/>
      <c r="D30" s="96">
        <f>D28/C28-1</f>
        <v>0.49876543209876534</v>
      </c>
      <c r="E30" s="96">
        <f t="shared" ref="E30:G30" si="34">E28/D28-1</f>
        <v>0.45634266886326191</v>
      </c>
      <c r="F30" s="96">
        <f t="shared" si="34"/>
        <v>0.32013574660633481</v>
      </c>
      <c r="G30" s="97">
        <f t="shared" si="34"/>
        <v>0.14053127677806332</v>
      </c>
      <c r="H30" s="107">
        <v>0.19</v>
      </c>
      <c r="I30" s="107">
        <v>0.21</v>
      </c>
      <c r="J30" s="107">
        <v>0.22500000000000001</v>
      </c>
      <c r="K30" s="107">
        <v>0.23</v>
      </c>
      <c r="L30" s="107">
        <v>0.23</v>
      </c>
      <c r="N30" s="91"/>
      <c r="O30" s="5"/>
      <c r="R30" s="1" t="s">
        <v>399</v>
      </c>
      <c r="S30" s="47"/>
      <c r="T30" s="144">
        <f>T28/S28-1</f>
        <v>3.1830238726790361E-2</v>
      </c>
      <c r="U30" s="96">
        <f t="shared" ref="U30:Z30" si="35">U28/T28-1</f>
        <v>0.11568123393316188</v>
      </c>
      <c r="V30" s="96">
        <f t="shared" si="35"/>
        <v>-1.4592933947772613E-2</v>
      </c>
      <c r="W30" s="96">
        <f t="shared" si="35"/>
        <v>5.4559625876851037E-2</v>
      </c>
      <c r="X30" s="96">
        <f t="shared" si="35"/>
        <v>-1.6260162601625994E-2</v>
      </c>
      <c r="Y30" s="96">
        <f t="shared" si="35"/>
        <v>3.5311795642374078E-2</v>
      </c>
      <c r="Z30" s="97">
        <f t="shared" si="35"/>
        <v>2.0319303338171224E-2</v>
      </c>
      <c r="AA30" s="107">
        <v>0.04</v>
      </c>
      <c r="AB30" s="107"/>
      <c r="AC30" s="107"/>
      <c r="AE30" s="47"/>
    </row>
    <row r="31" spans="2:31" x14ac:dyDescent="0.2">
      <c r="B31" s="1" t="s">
        <v>400</v>
      </c>
      <c r="C31" s="238">
        <f>Statement!M216</f>
        <v>1.0131842105263158</v>
      </c>
      <c r="D31" s="238">
        <f>Statement!N216</f>
        <v>0.79169911504424784</v>
      </c>
      <c r="E31" s="238">
        <f>Statement!O216</f>
        <v>0.60951100244498779</v>
      </c>
      <c r="F31" s="238">
        <f>Statement!P216</f>
        <v>0.51219216417910451</v>
      </c>
      <c r="G31" s="239">
        <f>Statement!Q216</f>
        <v>0.65942928039702231</v>
      </c>
      <c r="H31" s="106">
        <v>0.7</v>
      </c>
      <c r="I31" s="106">
        <v>0.71</v>
      </c>
      <c r="J31" s="106">
        <v>0.7</v>
      </c>
      <c r="K31" s="106">
        <v>0.72</v>
      </c>
      <c r="L31" s="106">
        <v>0.73</v>
      </c>
      <c r="N31" s="91"/>
      <c r="O31" s="5"/>
      <c r="R31" s="1" t="s">
        <v>400</v>
      </c>
      <c r="S31" s="238">
        <f>Statement!T216</f>
        <v>0.13784688995215311</v>
      </c>
      <c r="T31" s="245">
        <f>Statement!U216</f>
        <v>0.13332089552238807</v>
      </c>
      <c r="U31" s="238">
        <f>Statement!V216</f>
        <v>0.14914095079232695</v>
      </c>
      <c r="V31" s="238">
        <f>Statement!W216</f>
        <v>0.17549403747870529</v>
      </c>
      <c r="W31" s="238">
        <f>Statement!X216</f>
        <v>0.16978190630048465</v>
      </c>
      <c r="X31" s="238">
        <f>Statement!Y216</f>
        <v>0.1672539288668321</v>
      </c>
      <c r="Y31" s="238">
        <f>Statement!Z216</f>
        <v>0.1645171588188348</v>
      </c>
      <c r="Z31" s="239">
        <f>Statement!AA216</f>
        <v>0.16459734167318218</v>
      </c>
      <c r="AA31" s="106">
        <v>0.17</v>
      </c>
      <c r="AB31" s="106"/>
      <c r="AC31" s="106"/>
      <c r="AE31" s="72">
        <f>AE7/AE35</f>
        <v>0.63433767786593298</v>
      </c>
    </row>
    <row r="32" spans="2:31" x14ac:dyDescent="0.2">
      <c r="B32" s="1" t="s">
        <v>382</v>
      </c>
      <c r="C32" s="240">
        <f>Statement!M215</f>
        <v>6.1728395061728392E-2</v>
      </c>
      <c r="D32" s="240">
        <f>Statement!N215</f>
        <v>6.919275123558484E-2</v>
      </c>
      <c r="E32" s="240">
        <f>Statement!O215</f>
        <v>7.4660633484162894E-2</v>
      </c>
      <c r="F32" s="240">
        <f>Statement!P215</f>
        <v>8.1405312767780638E-2</v>
      </c>
      <c r="G32" s="241">
        <f>Statement!Q215</f>
        <v>9.1660405709992482E-2</v>
      </c>
      <c r="H32" s="154">
        <f>G32*(1+H33)</f>
        <v>8.7993989481592774E-2</v>
      </c>
      <c r="I32" s="154">
        <f t="shared" ref="I32:L32" si="36">H32*(1+I33)</f>
        <v>8.2714350112697205E-2</v>
      </c>
      <c r="J32" s="154">
        <f t="shared" si="36"/>
        <v>8.6850067618332069E-2</v>
      </c>
      <c r="K32" s="154">
        <f t="shared" si="36"/>
        <v>9.3798073027798634E-2</v>
      </c>
      <c r="L32" s="154">
        <f t="shared" si="36"/>
        <v>0.10411586106085649</v>
      </c>
      <c r="N32" s="91" t="s">
        <v>401</v>
      </c>
      <c r="O32" s="5"/>
      <c r="Q32" s="91" t="s">
        <v>401</v>
      </c>
      <c r="R32" s="1" t="s">
        <v>382</v>
      </c>
      <c r="S32" s="240">
        <f>Statement!T215</f>
        <v>7.6038903625110524E-2</v>
      </c>
      <c r="T32" s="246">
        <f>Statement!U215</f>
        <v>8.1405312767780638E-2</v>
      </c>
      <c r="U32" s="240">
        <f>Statement!V215</f>
        <v>7.9109062980030717E-2</v>
      </c>
      <c r="V32" s="240">
        <f>Statement!W215</f>
        <v>8.4957131722525336E-2</v>
      </c>
      <c r="W32" s="240">
        <f>Statement!X215</f>
        <v>8.4996304508499626E-2</v>
      </c>
      <c r="X32" s="240">
        <f>Statement!Y215</f>
        <v>9.1660405709992482E-2</v>
      </c>
      <c r="Y32" s="240">
        <f>Statement!Z215</f>
        <v>9.071117561683599E-2</v>
      </c>
      <c r="Z32" s="241">
        <f>Statement!AA215</f>
        <v>9.0327169274537697E-2</v>
      </c>
      <c r="AA32" s="154">
        <f>Z32*(1+AA33)</f>
        <v>8.8520625889046939E-2</v>
      </c>
      <c r="AB32" s="154"/>
      <c r="AC32" s="154"/>
      <c r="AE32" s="47"/>
    </row>
    <row r="33" spans="2:31" x14ac:dyDescent="0.2">
      <c r="B33" s="1" t="s">
        <v>401</v>
      </c>
      <c r="C33" s="47"/>
      <c r="D33" s="96">
        <f>D32/C32-1</f>
        <v>0.12092257001647444</v>
      </c>
      <c r="E33" s="96">
        <f t="shared" ref="E33:G33" si="37">E32/D32-1</f>
        <v>7.9023917259211318E-2</v>
      </c>
      <c r="F33" s="96">
        <f t="shared" si="37"/>
        <v>9.0337825556334739E-2</v>
      </c>
      <c r="G33" s="97">
        <f t="shared" si="37"/>
        <v>0.12597572066906548</v>
      </c>
      <c r="H33" s="98">
        <v>-0.04</v>
      </c>
      <c r="I33" s="98">
        <v>-0.06</v>
      </c>
      <c r="J33" s="98">
        <v>0.05</v>
      </c>
      <c r="K33" s="98">
        <v>0.08</v>
      </c>
      <c r="L33" s="98">
        <v>0.11</v>
      </c>
      <c r="N33" s="91"/>
      <c r="O33" s="5"/>
      <c r="R33" s="1" t="s">
        <v>401</v>
      </c>
      <c r="S33" s="47"/>
      <c r="T33" s="144">
        <v>-1</v>
      </c>
      <c r="U33" s="96">
        <f t="shared" ref="U33" si="38">U32/T32-1</f>
        <v>-2.8207615813727993E-2</v>
      </c>
      <c r="V33" s="96">
        <f t="shared" ref="V33" si="39">V32/U32-1</f>
        <v>7.392413109444651E-2</v>
      </c>
      <c r="W33" s="96">
        <f t="shared" ref="W33" si="40">W32/V32-1</f>
        <v>4.6108884775231118E-4</v>
      </c>
      <c r="X33" s="96">
        <f t="shared" ref="X33" si="41">X32/W32-1</f>
        <v>7.8404599353215865E-2</v>
      </c>
      <c r="Y33" s="96">
        <f t="shared" ref="Y33" si="42">Y32/X32-1</f>
        <v>-1.0355944704846687E-2</v>
      </c>
      <c r="Z33" s="97">
        <f t="shared" ref="Z33" si="43">Z32/Y32-1</f>
        <v>-4.2332859174963877E-3</v>
      </c>
      <c r="AA33" s="98">
        <v>-0.02</v>
      </c>
      <c r="AB33" s="98"/>
      <c r="AC33" s="98"/>
      <c r="AE33" s="47"/>
    </row>
    <row r="34" spans="2:31" x14ac:dyDescent="0.2">
      <c r="B34" s="1" t="s">
        <v>402</v>
      </c>
      <c r="C34" s="101">
        <f>Statement!M211</f>
        <v>2500</v>
      </c>
      <c r="D34" s="101">
        <f>Statement!N211</f>
        <v>4200</v>
      </c>
      <c r="E34" s="101">
        <f>Statement!O211</f>
        <v>6600</v>
      </c>
      <c r="F34" s="101">
        <f>Statement!P211</f>
        <v>9500</v>
      </c>
      <c r="G34" s="102">
        <f>Statement!Q211</f>
        <v>12200</v>
      </c>
      <c r="H34" s="24">
        <f>H32*H28</f>
        <v>13937.279999999997</v>
      </c>
      <c r="I34" s="24">
        <f t="shared" ref="I34:L34" si="44">I32*I28</f>
        <v>15852.262271999998</v>
      </c>
      <c r="J34" s="24">
        <f t="shared" si="44"/>
        <v>20389.972347359999</v>
      </c>
      <c r="K34" s="24">
        <f t="shared" si="44"/>
        <v>27086.03926623302</v>
      </c>
      <c r="L34" s="24">
        <f t="shared" si="44"/>
        <v>36980.569410187942</v>
      </c>
      <c r="N34" s="91" t="s">
        <v>405</v>
      </c>
      <c r="O34" s="5"/>
      <c r="Q34" s="91" t="s">
        <v>405</v>
      </c>
      <c r="R34" s="1" t="s">
        <v>402</v>
      </c>
      <c r="S34" s="101">
        <f>Statement!T211</f>
        <v>8600</v>
      </c>
      <c r="T34" s="99">
        <f>Statement!U211</f>
        <v>9500</v>
      </c>
      <c r="U34" s="101">
        <f>Statement!V211</f>
        <v>10300</v>
      </c>
      <c r="V34" s="101">
        <f>Statement!W211</f>
        <v>10900</v>
      </c>
      <c r="W34" s="101">
        <f>Statement!X211</f>
        <v>11500</v>
      </c>
      <c r="X34" s="101">
        <f>Statement!Y211</f>
        <v>12200</v>
      </c>
      <c r="Y34" s="101">
        <f>Statement!Z211</f>
        <v>12500</v>
      </c>
      <c r="Z34" s="102">
        <f>Statement!AA211</f>
        <v>12700</v>
      </c>
      <c r="AA34" s="24">
        <f>AA32*AA28</f>
        <v>12943.84</v>
      </c>
      <c r="AB34" s="24"/>
      <c r="AC34" s="24"/>
      <c r="AE34" s="24">
        <f>AA34</f>
        <v>12943.84</v>
      </c>
    </row>
    <row r="35" spans="2:31" x14ac:dyDescent="0.2">
      <c r="B35" s="1" t="s">
        <v>379</v>
      </c>
      <c r="C35" s="101">
        <f>Statement!M212</f>
        <v>38000</v>
      </c>
      <c r="D35" s="101">
        <f>Statement!N212</f>
        <v>56500</v>
      </c>
      <c r="E35" s="101">
        <f>Statement!O212</f>
        <v>81800</v>
      </c>
      <c r="F35" s="101">
        <f>Statement!P212</f>
        <v>107200</v>
      </c>
      <c r="G35" s="102">
        <f>Statement!Q212</f>
        <v>120900</v>
      </c>
      <c r="H35" s="24">
        <f>H28-H34</f>
        <v>144451.72</v>
      </c>
      <c r="I35" s="24">
        <f t="shared" ref="I35:L35" si="45">I28-I34</f>
        <v>175798.42772800001</v>
      </c>
      <c r="J35" s="24">
        <f t="shared" si="45"/>
        <v>214382.12290264003</v>
      </c>
      <c r="K35" s="24">
        <f t="shared" si="45"/>
        <v>261683.63789126699</v>
      </c>
      <c r="L35" s="24">
        <f t="shared" si="45"/>
        <v>318206.13349353703</v>
      </c>
      <c r="N35" s="91" t="s">
        <v>406</v>
      </c>
      <c r="O35" s="5"/>
      <c r="Q35" s="91" t="s">
        <v>406</v>
      </c>
      <c r="R35" s="1" t="s">
        <v>379</v>
      </c>
      <c r="S35" s="101">
        <f>Statement!T212</f>
        <v>104500</v>
      </c>
      <c r="T35" s="99">
        <f>Statement!U212</f>
        <v>107200</v>
      </c>
      <c r="U35" s="101">
        <f>Statement!V212</f>
        <v>119900</v>
      </c>
      <c r="V35" s="101">
        <f>Statement!W212</f>
        <v>117400</v>
      </c>
      <c r="W35" s="101">
        <f>Statement!X212</f>
        <v>123800</v>
      </c>
      <c r="X35" s="101">
        <f>Statement!Y212</f>
        <v>120900</v>
      </c>
      <c r="Y35" s="101">
        <f>Statement!Z212</f>
        <v>125300</v>
      </c>
      <c r="Z35" s="102">
        <f>Statement!AA212</f>
        <v>127900</v>
      </c>
      <c r="AA35" s="24">
        <f>AA28-AA34</f>
        <v>133280.16</v>
      </c>
      <c r="AB35" s="24"/>
      <c r="AC35" s="24"/>
      <c r="AE35" s="24">
        <f>AA35</f>
        <v>133280.16</v>
      </c>
    </row>
    <row r="36" spans="2:31" x14ac:dyDescent="0.2">
      <c r="B36" s="1" t="s">
        <v>403</v>
      </c>
      <c r="C36" s="240">
        <f>Statement!M217</f>
        <v>0.72031250000000002</v>
      </c>
      <c r="D36" s="240">
        <f>Statement!N217</f>
        <v>1.1373619631901841</v>
      </c>
      <c r="E36" s="240">
        <f>Statement!O217</f>
        <v>1.2889591078066915</v>
      </c>
      <c r="F36" s="240">
        <f>Statement!P217</f>
        <v>0.95439506172839506</v>
      </c>
      <c r="G36" s="241">
        <f>Statement!Q217</f>
        <v>0.76810246679316885</v>
      </c>
      <c r="H36" s="242">
        <v>0.71</v>
      </c>
      <c r="I36" s="242">
        <v>0.65</v>
      </c>
      <c r="J36" s="242">
        <v>0.6</v>
      </c>
      <c r="K36" s="242">
        <v>0.65</v>
      </c>
      <c r="L36" s="242">
        <v>0.65</v>
      </c>
      <c r="O36" s="5"/>
      <c r="R36" s="1" t="s">
        <v>403</v>
      </c>
      <c r="S36" s="240">
        <f>Statement!T217</f>
        <v>0.25298387096774194</v>
      </c>
      <c r="T36" s="246">
        <f>Statement!U217</f>
        <v>0.2257283950617284</v>
      </c>
      <c r="U36" s="240">
        <f>Statement!V217</f>
        <v>0.20261802575107296</v>
      </c>
      <c r="V36" s="240">
        <f>Statement!W217</f>
        <v>0.21781970649895177</v>
      </c>
      <c r="W36" s="240">
        <f>Statement!X217</f>
        <v>0.21972277227722772</v>
      </c>
      <c r="X36" s="240">
        <f>Statement!Y217</f>
        <v>0.18123339658444024</v>
      </c>
      <c r="Y36" s="240">
        <f>Statement!Z217</f>
        <v>0.14948672566371682</v>
      </c>
      <c r="Z36" s="241">
        <f>Statement!AA217</f>
        <v>0.13632027257240203</v>
      </c>
      <c r="AA36" s="242">
        <v>0.12</v>
      </c>
      <c r="AB36" s="242"/>
      <c r="AC36" s="242"/>
      <c r="AE36" s="47"/>
    </row>
    <row r="37" spans="2:31" x14ac:dyDescent="0.2">
      <c r="B37" s="1" t="s">
        <v>404</v>
      </c>
      <c r="C37" s="243">
        <f>Statement!M213</f>
        <v>72.279200000000003</v>
      </c>
      <c r="D37" s="243">
        <f>Statement!N213</f>
        <v>65.120714285714286</v>
      </c>
      <c r="E37" s="243">
        <f>Statement!O213</f>
        <v>61.315757575757573</v>
      </c>
      <c r="F37" s="243">
        <f>Statement!P213</f>
        <v>63.950631578947366</v>
      </c>
      <c r="G37" s="244">
        <f>Statement!Q213</f>
        <v>71.593606557377043</v>
      </c>
      <c r="H37" s="103">
        <v>73.5</v>
      </c>
      <c r="I37" s="103">
        <v>73.5</v>
      </c>
      <c r="J37" s="103">
        <v>73</v>
      </c>
      <c r="K37" s="103">
        <v>75</v>
      </c>
      <c r="L37" s="103">
        <v>75</v>
      </c>
      <c r="O37" s="5"/>
      <c r="R37" s="1" t="s">
        <v>404</v>
      </c>
      <c r="S37" s="243">
        <f>Statement!T213</f>
        <v>18.327558139534883</v>
      </c>
      <c r="T37" s="247">
        <f>Statement!U213</f>
        <v>18.349157894736841</v>
      </c>
      <c r="U37" s="243">
        <f>Statement!V213</f>
        <v>18.542427184466021</v>
      </c>
      <c r="V37" s="243">
        <f>Statement!W213</f>
        <v>19.328256880733946</v>
      </c>
      <c r="W37" s="243">
        <f>Statement!X213</f>
        <v>19.955739130434782</v>
      </c>
      <c r="X37" s="243">
        <f>Statement!Y213</f>
        <v>19.859508196721311</v>
      </c>
      <c r="Y37" s="243">
        <f>Statement!Z213</f>
        <v>20.07264</v>
      </c>
      <c r="Z37" s="244">
        <f>Statement!AA213</f>
        <v>20.317716535433071</v>
      </c>
      <c r="AA37" s="103">
        <v>20</v>
      </c>
      <c r="AB37" s="103"/>
      <c r="AC37" s="103"/>
      <c r="AE37" s="47"/>
    </row>
    <row r="38" spans="2:31" x14ac:dyDescent="0.2">
      <c r="B38" s="1" t="s">
        <v>381</v>
      </c>
      <c r="C38" s="240">
        <f>Statement!M214</f>
        <v>0.23703703703703705</v>
      </c>
      <c r="D38" s="240">
        <f>Statement!N214</f>
        <v>0.26853377265238881</v>
      </c>
      <c r="E38" s="240">
        <f>Statement!O214</f>
        <v>0.30429864253393663</v>
      </c>
      <c r="F38" s="240">
        <f>Statement!P214</f>
        <v>0.34704370179948585</v>
      </c>
      <c r="G38" s="241">
        <f>Statement!Q214</f>
        <v>0.3959429000751315</v>
      </c>
      <c r="H38" s="242">
        <v>0.44</v>
      </c>
      <c r="I38" s="154">
        <f t="shared" ref="I38:L38" si="46">I27/I28</f>
        <v>0.41246916460358163</v>
      </c>
      <c r="J38" s="154">
        <f t="shared" si="46"/>
        <v>0.42762109309922341</v>
      </c>
      <c r="K38" s="154">
        <f t="shared" si="46"/>
        <v>0.44152747011058024</v>
      </c>
      <c r="L38" s="154">
        <f t="shared" si="46"/>
        <v>0.45947574125328688</v>
      </c>
      <c r="N38" s="1" t="s">
        <v>407</v>
      </c>
      <c r="O38" s="5"/>
      <c r="Q38" s="1" t="s">
        <v>407</v>
      </c>
      <c r="R38" s="1" t="s">
        <v>381</v>
      </c>
      <c r="S38" s="240">
        <f>Statement!T214</f>
        <v>0.32891246684350134</v>
      </c>
      <c r="T38" s="246">
        <f>Statement!U214</f>
        <v>0.34704370179948585</v>
      </c>
      <c r="U38" s="240">
        <f>Statement!V214</f>
        <v>0.3579109062980031</v>
      </c>
      <c r="V38" s="240">
        <f>Statement!W214</f>
        <v>0.37178487918939984</v>
      </c>
      <c r="W38" s="240">
        <f>Statement!X214</f>
        <v>0.37324464153732445</v>
      </c>
      <c r="X38" s="240">
        <f>Statement!Y214</f>
        <v>0.3959429000751315</v>
      </c>
      <c r="Y38" s="240">
        <f>Statement!Z214</f>
        <v>0.41001451378809867</v>
      </c>
      <c r="Z38" s="241">
        <f>Statement!AA214</f>
        <v>0.41749644381223328</v>
      </c>
      <c r="AA38" s="154">
        <f>AA27/AA28</f>
        <v>0.43355399934347305</v>
      </c>
      <c r="AB38" s="154"/>
      <c r="AC38" s="154"/>
      <c r="AE38" s="47"/>
    </row>
    <row r="39" spans="2:31" x14ac:dyDescent="0.2">
      <c r="O39" s="5"/>
    </row>
    <row r="40" spans="2:31" x14ac:dyDescent="0.2">
      <c r="C40" s="271" t="s">
        <v>126</v>
      </c>
      <c r="D40" s="271"/>
      <c r="E40" s="271"/>
      <c r="F40" s="271"/>
      <c r="G40" s="271"/>
      <c r="H40" s="271"/>
      <c r="I40" s="271"/>
      <c r="J40" s="271"/>
      <c r="K40" s="271"/>
      <c r="L40" s="271"/>
      <c r="O40" s="5"/>
      <c r="S40" s="272" t="s">
        <v>126</v>
      </c>
      <c r="T40" s="273"/>
      <c r="U40" s="273"/>
      <c r="V40" s="273"/>
      <c r="W40" s="273"/>
      <c r="X40" s="273"/>
      <c r="Y40" s="273"/>
      <c r="Z40" s="273"/>
      <c r="AA40" s="273"/>
      <c r="AB40" s="273"/>
      <c r="AC40" s="273"/>
    </row>
    <row r="41" spans="2:31" x14ac:dyDescent="0.2">
      <c r="B41" s="16" t="s">
        <v>127</v>
      </c>
      <c r="C41" s="12">
        <f t="shared" ref="C41:L41" si="47">C5</f>
        <v>2021</v>
      </c>
      <c r="D41" s="12">
        <f t="shared" si="47"/>
        <v>2022</v>
      </c>
      <c r="E41" s="12">
        <f t="shared" si="47"/>
        <v>2023</v>
      </c>
      <c r="F41" s="12">
        <f t="shared" si="47"/>
        <v>2024</v>
      </c>
      <c r="G41" s="12">
        <f t="shared" si="47"/>
        <v>2025</v>
      </c>
      <c r="H41" s="12">
        <f t="shared" si="47"/>
        <v>2026</v>
      </c>
      <c r="I41" s="12">
        <f t="shared" si="47"/>
        <v>2027</v>
      </c>
      <c r="J41" s="12">
        <f t="shared" si="47"/>
        <v>2028</v>
      </c>
      <c r="K41" s="12">
        <f t="shared" si="47"/>
        <v>2029</v>
      </c>
      <c r="L41" s="12">
        <f t="shared" si="47"/>
        <v>2030</v>
      </c>
      <c r="O41" s="5"/>
      <c r="R41" s="16" t="s">
        <v>127</v>
      </c>
      <c r="S41" s="12" t="str">
        <f t="shared" ref="S41:AC41" si="48">S5</f>
        <v>Q3 2024</v>
      </c>
      <c r="T41" s="12" t="str">
        <f t="shared" si="48"/>
        <v>Q4 2024</v>
      </c>
      <c r="U41" s="12" t="str">
        <f t="shared" si="48"/>
        <v>Q1 2025</v>
      </c>
      <c r="V41" s="12" t="str">
        <f t="shared" si="48"/>
        <v>Q2 2025</v>
      </c>
      <c r="W41" s="12" t="str">
        <f t="shared" si="48"/>
        <v>Q3 2025</v>
      </c>
      <c r="X41" s="12" t="str">
        <f t="shared" si="48"/>
        <v>Q4 2025</v>
      </c>
      <c r="Y41" s="12" t="str">
        <f t="shared" si="48"/>
        <v>Q1 2026</v>
      </c>
      <c r="Z41" s="12" t="str">
        <f t="shared" si="48"/>
        <v>Q2 2026</v>
      </c>
      <c r="AA41" s="12" t="str">
        <f t="shared" si="48"/>
        <v>FQ1</v>
      </c>
      <c r="AB41" s="12" t="str">
        <f t="shared" si="48"/>
        <v>FQ2</v>
      </c>
      <c r="AC41" s="12" t="str">
        <f t="shared" si="48"/>
        <v>FQ3</v>
      </c>
    </row>
    <row r="42" spans="2:31" x14ac:dyDescent="0.2">
      <c r="B42" s="1" t="s">
        <v>400</v>
      </c>
      <c r="C42" s="47"/>
      <c r="D42" s="96">
        <f>D31/C31-1</f>
        <v>-0.21860298767093278</v>
      </c>
      <c r="E42" s="96">
        <f t="shared" ref="E42:L42" si="49">E31/D31-1</f>
        <v>-0.23012292061116879</v>
      </c>
      <c r="F42" s="96">
        <f t="shared" si="49"/>
        <v>-0.15966707389284074</v>
      </c>
      <c r="G42" s="97">
        <f t="shared" si="49"/>
        <v>0.28746460120860329</v>
      </c>
      <c r="H42" s="96">
        <f t="shared" si="49"/>
        <v>6.1523988711194688E-2</v>
      </c>
      <c r="I42" s="96">
        <f t="shared" si="49"/>
        <v>1.4285714285714235E-2</v>
      </c>
      <c r="J42" s="96">
        <f t="shared" si="49"/>
        <v>-1.4084507042253502E-2</v>
      </c>
      <c r="K42" s="96">
        <f t="shared" si="49"/>
        <v>2.8571428571428692E-2</v>
      </c>
      <c r="L42" s="96">
        <f t="shared" si="49"/>
        <v>1.388888888888884E-2</v>
      </c>
      <c r="O42" s="5"/>
      <c r="R42" s="1" t="s">
        <v>400</v>
      </c>
      <c r="S42" s="47"/>
      <c r="T42" s="96">
        <f>T31/S31-1</f>
        <v>-3.2833489615442302E-2</v>
      </c>
      <c r="U42" s="96">
        <f t="shared" ref="U42:AA42" si="50">U31/T31-1</f>
        <v>0.11866148369279639</v>
      </c>
      <c r="V42" s="96">
        <f t="shared" si="50"/>
        <v>0.17669919996067351</v>
      </c>
      <c r="W42" s="96">
        <f t="shared" si="50"/>
        <v>-3.2548861831922737E-2</v>
      </c>
      <c r="X42" s="96">
        <f t="shared" si="50"/>
        <v>-1.4889557366486783E-2</v>
      </c>
      <c r="Y42" s="96">
        <f t="shared" si="50"/>
        <v>-1.6362964185889561E-2</v>
      </c>
      <c r="Z42" s="97">
        <f t="shared" si="50"/>
        <v>4.8738292663852434E-4</v>
      </c>
      <c r="AA42" s="96">
        <f t="shared" si="50"/>
        <v>3.2823484704541217E-2</v>
      </c>
    </row>
    <row r="43" spans="2:31" x14ac:dyDescent="0.2">
      <c r="B43" s="1" t="s">
        <v>402</v>
      </c>
      <c r="C43" s="47"/>
      <c r="D43" s="96">
        <f>D34/C34-1</f>
        <v>0.67999999999999994</v>
      </c>
      <c r="E43" s="96">
        <f t="shared" ref="E43:L47" si="51">E34/D34-1</f>
        <v>0.5714285714285714</v>
      </c>
      <c r="F43" s="96">
        <f t="shared" si="51"/>
        <v>0.43939393939393945</v>
      </c>
      <c r="G43" s="97">
        <f t="shared" si="51"/>
        <v>0.28421052631578947</v>
      </c>
      <c r="H43" s="96">
        <f t="shared" si="51"/>
        <v>0.14239999999999986</v>
      </c>
      <c r="I43" s="96">
        <f t="shared" si="51"/>
        <v>0.13740000000000019</v>
      </c>
      <c r="J43" s="96">
        <f t="shared" si="51"/>
        <v>0.28625000000000012</v>
      </c>
      <c r="K43" s="96">
        <f t="shared" si="51"/>
        <v>0.3283999999999998</v>
      </c>
      <c r="L43" s="96">
        <f t="shared" si="51"/>
        <v>0.36529999999999996</v>
      </c>
      <c r="O43" s="5"/>
      <c r="R43" s="1" t="s">
        <v>402</v>
      </c>
      <c r="S43" s="47"/>
      <c r="T43" s="96">
        <f>T34/S34-1</f>
        <v>0.10465116279069764</v>
      </c>
      <c r="U43" s="96">
        <f t="shared" ref="U43:AA43" si="52">U34/T34-1</f>
        <v>8.4210526315789513E-2</v>
      </c>
      <c r="V43" s="96">
        <f t="shared" si="52"/>
        <v>5.8252427184465994E-2</v>
      </c>
      <c r="W43" s="96">
        <f t="shared" si="52"/>
        <v>5.504587155963292E-2</v>
      </c>
      <c r="X43" s="96">
        <f t="shared" si="52"/>
        <v>6.0869565217391397E-2</v>
      </c>
      <c r="Y43" s="96">
        <f t="shared" si="52"/>
        <v>2.4590163934426146E-2</v>
      </c>
      <c r="Z43" s="97">
        <f t="shared" si="52"/>
        <v>1.6000000000000014E-2</v>
      </c>
      <c r="AA43" s="96">
        <f t="shared" si="52"/>
        <v>1.9200000000000106E-2</v>
      </c>
    </row>
    <row r="44" spans="2:31" x14ac:dyDescent="0.2">
      <c r="B44" s="1" t="s">
        <v>379</v>
      </c>
      <c r="C44" s="47"/>
      <c r="D44" s="96">
        <f>D35/C35-1</f>
        <v>0.48684210526315796</v>
      </c>
      <c r="E44" s="96">
        <f t="shared" si="51"/>
        <v>0.44778761061946892</v>
      </c>
      <c r="F44" s="96">
        <f t="shared" si="51"/>
        <v>0.31051344743276288</v>
      </c>
      <c r="G44" s="97">
        <f t="shared" si="51"/>
        <v>0.12779850746268662</v>
      </c>
      <c r="H44" s="96">
        <f t="shared" si="51"/>
        <v>0.19480330851943761</v>
      </c>
      <c r="I44" s="96">
        <f t="shared" si="51"/>
        <v>0.21700473852440116</v>
      </c>
      <c r="J44" s="96">
        <f t="shared" si="51"/>
        <v>0.21947690700816591</v>
      </c>
      <c r="K44" s="96">
        <f t="shared" si="51"/>
        <v>0.22064113531569318</v>
      </c>
      <c r="L44" s="96">
        <f t="shared" si="51"/>
        <v>0.21599552825597712</v>
      </c>
      <c r="R44" s="1" t="s">
        <v>379</v>
      </c>
      <c r="S44" s="47"/>
      <c r="T44" s="96">
        <f>T35/S35-1</f>
        <v>2.5837320574162659E-2</v>
      </c>
      <c r="U44" s="96">
        <f t="shared" ref="U44:AA44" si="53">U35/T35-1</f>
        <v>0.11847014925373145</v>
      </c>
      <c r="V44" s="96">
        <f t="shared" si="53"/>
        <v>-2.0850708924103456E-2</v>
      </c>
      <c r="W44" s="96">
        <f t="shared" si="53"/>
        <v>5.4514480408858645E-2</v>
      </c>
      <c r="X44" s="96">
        <f t="shared" si="53"/>
        <v>-2.342487883683364E-2</v>
      </c>
      <c r="Y44" s="96">
        <f t="shared" si="53"/>
        <v>3.6393713813068551E-2</v>
      </c>
      <c r="Z44" s="97">
        <f t="shared" si="53"/>
        <v>2.0750199521149204E-2</v>
      </c>
      <c r="AA44" s="96">
        <f t="shared" si="53"/>
        <v>4.2065363565285452E-2</v>
      </c>
    </row>
    <row r="45" spans="2:31" x14ac:dyDescent="0.2">
      <c r="B45" s="1" t="s">
        <v>403</v>
      </c>
      <c r="C45" s="47"/>
      <c r="D45" s="96">
        <f>D36/C36-1</f>
        <v>0.57898407037248978</v>
      </c>
      <c r="E45" s="96">
        <f t="shared" si="51"/>
        <v>0.13328838973240575</v>
      </c>
      <c r="F45" s="96">
        <f t="shared" si="51"/>
        <v>-0.25956141203547933</v>
      </c>
      <c r="G45" s="97">
        <f t="shared" si="51"/>
        <v>-0.19519442462102976</v>
      </c>
      <c r="H45" s="96">
        <f t="shared" si="51"/>
        <v>-7.5644161169989399E-2</v>
      </c>
      <c r="I45" s="96">
        <f t="shared" si="51"/>
        <v>-8.4507042253521014E-2</v>
      </c>
      <c r="J45" s="96">
        <f t="shared" si="51"/>
        <v>-7.6923076923076983E-2</v>
      </c>
      <c r="K45" s="96">
        <f t="shared" si="51"/>
        <v>8.3333333333333481E-2</v>
      </c>
      <c r="L45" s="96">
        <f t="shared" si="51"/>
        <v>0</v>
      </c>
      <c r="R45" s="1" t="s">
        <v>403</v>
      </c>
      <c r="S45" s="47"/>
      <c r="T45" s="96">
        <f>T36/S36-1</f>
        <v>-0.10773602207031174</v>
      </c>
      <c r="U45" s="96">
        <f t="shared" ref="U45:AA45" si="54">U36/T36-1</f>
        <v>-0.10238131230382252</v>
      </c>
      <c r="V45" s="96">
        <f t="shared" si="54"/>
        <v>7.5026299814779929E-2</v>
      </c>
      <c r="W45" s="96">
        <f t="shared" si="54"/>
        <v>8.7368852380906858E-3</v>
      </c>
      <c r="X45" s="96">
        <f t="shared" si="54"/>
        <v>-0.17517244705170942</v>
      </c>
      <c r="Y45" s="96">
        <f t="shared" si="54"/>
        <v>-0.17517009292452357</v>
      </c>
      <c r="Z45" s="97">
        <f t="shared" si="54"/>
        <v>-8.8077740902117618E-2</v>
      </c>
      <c r="AA45" s="96">
        <f t="shared" si="54"/>
        <v>-0.1197200699825044</v>
      </c>
    </row>
    <row r="46" spans="2:31" x14ac:dyDescent="0.2">
      <c r="B46" s="1" t="s">
        <v>404</v>
      </c>
      <c r="C46" s="47"/>
      <c r="D46" s="96">
        <f>D37/C37-1</f>
        <v>-9.9039360068812532E-2</v>
      </c>
      <c r="E46" s="96">
        <f t="shared" si="51"/>
        <v>-5.8429284010347748E-2</v>
      </c>
      <c r="F46" s="96">
        <f t="shared" si="51"/>
        <v>4.2972216398603935E-2</v>
      </c>
      <c r="G46" s="97">
        <f t="shared" si="51"/>
        <v>0.11951367468504803</v>
      </c>
      <c r="H46" s="96">
        <f t="shared" si="51"/>
        <v>2.6627984456895959E-2</v>
      </c>
      <c r="I46" s="96">
        <f t="shared" si="51"/>
        <v>0</v>
      </c>
      <c r="J46" s="96">
        <f t="shared" si="51"/>
        <v>-6.8027210884353817E-3</v>
      </c>
      <c r="K46" s="96">
        <f t="shared" si="51"/>
        <v>2.7397260273972712E-2</v>
      </c>
      <c r="L46" s="96">
        <f t="shared" si="51"/>
        <v>0</v>
      </c>
      <c r="R46" s="1" t="s">
        <v>404</v>
      </c>
      <c r="S46" s="47"/>
      <c r="T46" s="96">
        <f>T37/S37-1</f>
        <v>1.1785397180306134E-3</v>
      </c>
      <c r="U46" s="96">
        <f t="shared" ref="U46:AA46" si="55">U37/T37-1</f>
        <v>1.0532869728295147E-2</v>
      </c>
      <c r="V46" s="96">
        <f t="shared" si="55"/>
        <v>4.2380088024627893E-2</v>
      </c>
      <c r="W46" s="96">
        <f t="shared" si="55"/>
        <v>3.2464502803990491E-2</v>
      </c>
      <c r="X46" s="96">
        <f t="shared" si="55"/>
        <v>-4.8222184647978006E-3</v>
      </c>
      <c r="Y46" s="96">
        <f t="shared" si="55"/>
        <v>1.0731977910403367E-2</v>
      </c>
      <c r="Z46" s="97">
        <f t="shared" si="55"/>
        <v>1.2209481933271871E-2</v>
      </c>
      <c r="AA46" s="96">
        <f t="shared" si="55"/>
        <v>-1.5637413529172361E-2</v>
      </c>
    </row>
    <row r="47" spans="2:31" x14ac:dyDescent="0.2">
      <c r="B47" s="1" t="s">
        <v>381</v>
      </c>
      <c r="C47" s="47"/>
      <c r="D47" s="96">
        <f>D38/C38-1</f>
        <v>0.13287685337726529</v>
      </c>
      <c r="E47" s="96">
        <f t="shared" si="51"/>
        <v>0.13318574244232839</v>
      </c>
      <c r="F47" s="96">
        <f t="shared" si="51"/>
        <v>0.1404707523819535</v>
      </c>
      <c r="G47" s="97">
        <f t="shared" si="51"/>
        <v>0.14090213429056409</v>
      </c>
      <c r="H47" s="96">
        <f t="shared" si="51"/>
        <v>0.1112713472485769</v>
      </c>
      <c r="I47" s="96">
        <f t="shared" si="51"/>
        <v>-6.2570080446405441E-2</v>
      </c>
      <c r="J47" s="96">
        <f t="shared" si="51"/>
        <v>3.6734693877551017E-2</v>
      </c>
      <c r="K47" s="96">
        <f t="shared" si="51"/>
        <v>3.2520325203251987E-2</v>
      </c>
      <c r="L47" s="96">
        <f t="shared" si="51"/>
        <v>4.0650406504065373E-2</v>
      </c>
      <c r="R47" s="1" t="s">
        <v>381</v>
      </c>
      <c r="S47" s="47"/>
      <c r="T47" s="96">
        <f>T38/S38-1</f>
        <v>5.5124803051662674E-2</v>
      </c>
      <c r="U47" s="96">
        <f t="shared" ref="U47:AA47" si="56">U38/T38-1</f>
        <v>3.131364851794971E-2</v>
      </c>
      <c r="V47" s="96">
        <f t="shared" si="56"/>
        <v>3.8763761168666422E-2</v>
      </c>
      <c r="W47" s="96">
        <f t="shared" si="56"/>
        <v>3.9263628771222248E-3</v>
      </c>
      <c r="X47" s="96">
        <f t="shared" si="56"/>
        <v>6.0813354062679181E-2</v>
      </c>
      <c r="Y47" s="96">
        <f t="shared" si="56"/>
        <v>3.5539502565387737E-2</v>
      </c>
      <c r="Z47" s="97">
        <f t="shared" si="56"/>
        <v>1.8247963846473425E-2</v>
      </c>
      <c r="AA47" s="96">
        <f t="shared" si="56"/>
        <v>3.8461538461538547E-2</v>
      </c>
    </row>
  </sheetData>
  <mergeCells count="12">
    <mergeCell ref="C2:G2"/>
    <mergeCell ref="H2:L2"/>
    <mergeCell ref="S2:Z2"/>
    <mergeCell ref="AA2:AC2"/>
    <mergeCell ref="C4:L4"/>
    <mergeCell ref="S4:AC4"/>
    <mergeCell ref="C13:L13"/>
    <mergeCell ref="S13:AC13"/>
    <mergeCell ref="C23:L23"/>
    <mergeCell ref="S23:AC23"/>
    <mergeCell ref="C40:L40"/>
    <mergeCell ref="S40:AC4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C400-6556-6848-BEEB-E2541EF30223}">
  <dimension ref="A1:AB24"/>
  <sheetViews>
    <sheetView topLeftCell="B10" zoomScale="178" zoomScaleNormal="100" workbookViewId="0">
      <selection activeCell="AB11" sqref="AB11"/>
    </sheetView>
  </sheetViews>
  <sheetFormatPr baseColWidth="10" defaultRowHeight="16" x14ac:dyDescent="0.2"/>
  <cols>
    <col min="1" max="1" width="2" style="84"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4" customFormat="1" ht="18" customHeight="1" x14ac:dyDescent="0.2">
      <c r="A1" s="4"/>
      <c r="B1" s="83" t="s">
        <v>128</v>
      </c>
    </row>
    <row r="2" spans="1:28" x14ac:dyDescent="0.2">
      <c r="A2" s="4"/>
      <c r="C2" s="265" t="s">
        <v>113</v>
      </c>
      <c r="D2" s="265"/>
      <c r="E2" s="265"/>
      <c r="F2" s="265"/>
      <c r="G2" s="274"/>
      <c r="H2" s="275" t="s">
        <v>114</v>
      </c>
      <c r="I2" s="265"/>
      <c r="J2" s="265"/>
      <c r="K2" s="265"/>
      <c r="L2" s="265"/>
      <c r="P2" s="265" t="s">
        <v>113</v>
      </c>
      <c r="Q2" s="265"/>
      <c r="R2" s="265"/>
      <c r="S2" s="265"/>
      <c r="T2" s="265"/>
      <c r="U2" s="265"/>
      <c r="V2" s="265"/>
      <c r="W2" s="265"/>
      <c r="X2" s="265" t="s">
        <v>114</v>
      </c>
      <c r="Y2" s="265"/>
      <c r="Z2" s="265"/>
      <c r="AB2" s="86" t="s">
        <v>115</v>
      </c>
    </row>
    <row r="3" spans="1:28" ht="10" customHeight="1" x14ac:dyDescent="0.2"/>
    <row r="4" spans="1:28" ht="16" customHeight="1" x14ac:dyDescent="0.2">
      <c r="A4" s="87"/>
      <c r="B4" s="60"/>
      <c r="C4" s="271" t="s">
        <v>116</v>
      </c>
      <c r="D4" s="271"/>
      <c r="E4" s="271"/>
      <c r="F4" s="271"/>
      <c r="G4" s="271"/>
      <c r="H4" s="271"/>
      <c r="I4" s="271"/>
      <c r="J4" s="271"/>
      <c r="K4" s="271"/>
      <c r="L4" s="271"/>
      <c r="P4" s="273" t="s">
        <v>116</v>
      </c>
      <c r="Q4" s="273"/>
      <c r="R4" s="273"/>
      <c r="S4" s="273"/>
      <c r="T4" s="273"/>
      <c r="U4" s="273"/>
      <c r="V4" s="273"/>
      <c r="W4" s="273"/>
      <c r="X4" s="273"/>
      <c r="Y4" s="273"/>
      <c r="Z4" s="273"/>
      <c r="AB4" s="88"/>
    </row>
    <row r="5" spans="1:28" x14ac:dyDescent="0.2">
      <c r="B5" s="16" t="str">
        <f>Revenue!B5</f>
        <v>Revenues (thousand)</v>
      </c>
      <c r="C5" s="12">
        <f>Revenue!C5</f>
        <v>2021</v>
      </c>
      <c r="D5" s="12">
        <f>Revenue!D5</f>
        <v>2022</v>
      </c>
      <c r="E5" s="12">
        <f>Revenue!E5</f>
        <v>2023</v>
      </c>
      <c r="F5" s="12">
        <f>Revenue!F5</f>
        <v>2024</v>
      </c>
      <c r="G5" s="12">
        <f>Revenue!G5</f>
        <v>2025</v>
      </c>
      <c r="H5" s="12">
        <f>G5+1</f>
        <v>2026</v>
      </c>
      <c r="I5" s="12">
        <f t="shared" ref="I5:L5" si="0">H5+1</f>
        <v>2027</v>
      </c>
      <c r="J5" s="12">
        <f t="shared" si="0"/>
        <v>2028</v>
      </c>
      <c r="K5" s="12">
        <f t="shared" si="0"/>
        <v>2029</v>
      </c>
      <c r="L5" s="12">
        <f t="shared" si="0"/>
        <v>2030</v>
      </c>
      <c r="O5" s="16" t="s">
        <v>117</v>
      </c>
      <c r="P5" s="12" t="str">
        <f>Revenue!S5</f>
        <v>Q3 2024</v>
      </c>
      <c r="Q5" s="12" t="str">
        <f>Revenue!T5</f>
        <v>Q4 2024</v>
      </c>
      <c r="R5" s="12" t="str">
        <f>Revenue!U5</f>
        <v>Q1 2025</v>
      </c>
      <c r="S5" s="12" t="str">
        <f>Revenue!V5</f>
        <v>Q2 2025</v>
      </c>
      <c r="T5" s="12" t="str">
        <f>Revenue!W5</f>
        <v>Q3 2025</v>
      </c>
      <c r="U5" s="12" t="str">
        <f>Revenue!X5</f>
        <v>Q4 2025</v>
      </c>
      <c r="V5" s="12" t="str">
        <f>Revenue!Y5</f>
        <v>Q1 2026</v>
      </c>
      <c r="W5" s="12" t="str">
        <f>Revenue!Z5</f>
        <v>Q2 2026</v>
      </c>
      <c r="X5" s="12" t="s">
        <v>118</v>
      </c>
      <c r="Y5" s="12" t="s">
        <v>119</v>
      </c>
      <c r="Z5" s="12" t="s">
        <v>120</v>
      </c>
      <c r="AB5" s="88" t="str">
        <f>Revenue!AE5</f>
        <v>FQ1</v>
      </c>
    </row>
    <row r="6" spans="1:28" x14ac:dyDescent="0.2">
      <c r="B6" s="16" t="s">
        <v>20</v>
      </c>
      <c r="C6" s="93">
        <f>Revenue!C11</f>
        <v>250772</v>
      </c>
      <c r="D6" s="93">
        <f>Revenue!D11</f>
        <v>369495</v>
      </c>
      <c r="E6" s="93">
        <f>Revenue!E11</f>
        <v>531109</v>
      </c>
      <c r="F6" s="93">
        <f>Revenue!F11</f>
        <v>748024</v>
      </c>
      <c r="G6" s="94">
        <f>Revenue!G11</f>
        <v>1037589</v>
      </c>
      <c r="H6" s="93">
        <f>Revenue!H11</f>
        <v>1213121.0339999995</v>
      </c>
      <c r="I6" s="93">
        <f>Revenue!I11</f>
        <v>1384239.9241788797</v>
      </c>
      <c r="J6" s="93">
        <f>Revenue!J11</f>
        <v>1743981.5617191282</v>
      </c>
      <c r="K6" s="93">
        <f>Revenue!K11</f>
        <v>2351599.1368314889</v>
      </c>
      <c r="L6" s="93">
        <f>Revenue!L11</f>
        <v>3165420.2175657614</v>
      </c>
      <c r="N6" s="92"/>
      <c r="O6" s="16" t="s">
        <v>20</v>
      </c>
      <c r="P6" s="93">
        <f>Revenue!S11</f>
        <v>192594</v>
      </c>
      <c r="Q6" s="93">
        <f>Revenue!T11</f>
        <v>209550</v>
      </c>
      <c r="R6" s="93">
        <f>Revenue!U11</f>
        <v>230743</v>
      </c>
      <c r="S6" s="93">
        <f>Revenue!V11</f>
        <v>252265</v>
      </c>
      <c r="T6" s="93">
        <f>Revenue!W11</f>
        <v>271713</v>
      </c>
      <c r="U6" s="93">
        <f>Revenue!X11</f>
        <v>282868</v>
      </c>
      <c r="V6" s="93">
        <f>Revenue!Y11</f>
        <v>291967</v>
      </c>
      <c r="W6" s="94">
        <f>Revenue!Z11</f>
        <v>298454</v>
      </c>
      <c r="X6" s="93">
        <f>Revenue!AA11</f>
        <v>300899.35720000003</v>
      </c>
      <c r="Y6" s="95"/>
      <c r="Z6" s="95"/>
      <c r="AB6" s="93">
        <f>Revenue!AE11</f>
        <v>1174188.3572</v>
      </c>
    </row>
    <row r="7" spans="1:28" x14ac:dyDescent="0.2">
      <c r="N7" s="92"/>
    </row>
    <row r="8" spans="1:28" x14ac:dyDescent="0.2">
      <c r="N8" s="92"/>
    </row>
    <row r="9" spans="1:28" x14ac:dyDescent="0.2">
      <c r="C9" s="271" t="s">
        <v>129</v>
      </c>
      <c r="D9" s="271"/>
      <c r="E9" s="271"/>
      <c r="F9" s="271"/>
      <c r="G9" s="271"/>
      <c r="H9" s="271"/>
      <c r="I9" s="271"/>
      <c r="J9" s="271"/>
      <c r="K9" s="271"/>
      <c r="L9" s="271"/>
      <c r="N9" s="92"/>
      <c r="P9" s="273" t="s">
        <v>130</v>
      </c>
      <c r="Q9" s="273"/>
      <c r="R9" s="273"/>
      <c r="S9" s="273"/>
      <c r="T9" s="273"/>
      <c r="U9" s="273"/>
      <c r="V9" s="273"/>
      <c r="W9" s="273"/>
      <c r="X9" s="273"/>
      <c r="Y9" s="273"/>
      <c r="Z9" s="273"/>
      <c r="AB9" s="88">
        <f>AB4</f>
        <v>0</v>
      </c>
    </row>
    <row r="10" spans="1:28" x14ac:dyDescent="0.2">
      <c r="B10" s="16" t="s">
        <v>134</v>
      </c>
      <c r="C10" s="12">
        <f t="shared" ref="C10:L10" si="1">C5</f>
        <v>2021</v>
      </c>
      <c r="D10" s="12">
        <f t="shared" si="1"/>
        <v>2022</v>
      </c>
      <c r="E10" s="12">
        <f t="shared" si="1"/>
        <v>2023</v>
      </c>
      <c r="F10" s="12">
        <f t="shared" si="1"/>
        <v>2024</v>
      </c>
      <c r="G10" s="12">
        <f t="shared" si="1"/>
        <v>2025</v>
      </c>
      <c r="H10" s="12">
        <f t="shared" si="1"/>
        <v>2026</v>
      </c>
      <c r="I10" s="12">
        <f t="shared" si="1"/>
        <v>2027</v>
      </c>
      <c r="J10" s="12">
        <f t="shared" si="1"/>
        <v>2028</v>
      </c>
      <c r="K10" s="12">
        <f t="shared" si="1"/>
        <v>2029</v>
      </c>
      <c r="L10" s="12">
        <f t="shared" si="1"/>
        <v>2030</v>
      </c>
      <c r="N10" s="92"/>
      <c r="O10" s="16" t="s">
        <v>131</v>
      </c>
      <c r="P10" s="12" t="str">
        <f t="shared" ref="P10:Z10" si="2">P5</f>
        <v>Q3 2024</v>
      </c>
      <c r="Q10" s="12" t="str">
        <f t="shared" si="2"/>
        <v>Q4 2024</v>
      </c>
      <c r="R10" s="12" t="str">
        <f t="shared" si="2"/>
        <v>Q1 2025</v>
      </c>
      <c r="S10" s="12" t="str">
        <f t="shared" si="2"/>
        <v>Q2 2025</v>
      </c>
      <c r="T10" s="12" t="str">
        <f t="shared" si="2"/>
        <v>Q3 2025</v>
      </c>
      <c r="U10" s="12" t="str">
        <f t="shared" si="2"/>
        <v>Q4 2025</v>
      </c>
      <c r="V10" s="12" t="str">
        <f t="shared" si="2"/>
        <v>Q1 2026</v>
      </c>
      <c r="W10" s="12" t="str">
        <f t="shared" si="2"/>
        <v>Q2 2026</v>
      </c>
      <c r="X10" s="12" t="str">
        <f t="shared" si="2"/>
        <v>FQ1</v>
      </c>
      <c r="Y10" s="12" t="str">
        <f t="shared" si="2"/>
        <v>FQ2</v>
      </c>
      <c r="Z10" s="12" t="str">
        <f t="shared" si="2"/>
        <v>FQ3</v>
      </c>
      <c r="AB10" s="8" t="str">
        <f>AB5</f>
        <v>FQ1</v>
      </c>
    </row>
    <row r="11" spans="1:28" x14ac:dyDescent="0.2">
      <c r="B11" s="16" t="s">
        <v>21</v>
      </c>
      <c r="C11" s="108">
        <f>Statement!M6</f>
        <v>69186</v>
      </c>
      <c r="D11" s="108">
        <f>Statement!N6</f>
        <v>99431</v>
      </c>
      <c r="E11" s="108">
        <f>Statement!O6</f>
        <v>142105</v>
      </c>
      <c r="F11" s="108">
        <f>Statement!P6</f>
        <v>203645</v>
      </c>
      <c r="G11" s="109">
        <f>Statement!Q6</f>
        <v>288132</v>
      </c>
      <c r="H11" s="110">
        <f>H6*H20</f>
        <v>339673.88951999991</v>
      </c>
      <c r="I11" s="110">
        <f t="shared" ref="I11:L11" si="3">I6*I20</f>
        <v>380665.97914919193</v>
      </c>
      <c r="J11" s="110">
        <f t="shared" si="3"/>
        <v>488314.83728135593</v>
      </c>
      <c r="K11" s="110">
        <f t="shared" si="3"/>
        <v>630228.56867083907</v>
      </c>
      <c r="L11" s="110">
        <f t="shared" si="3"/>
        <v>873655.98004815017</v>
      </c>
      <c r="N11" s="92"/>
      <c r="O11" s="16" t="str">
        <f t="shared" ref="O11:O15" si="4">B11</f>
        <v>COGS</v>
      </c>
      <c r="P11" s="108">
        <f>Statement!T6</f>
        <v>52180</v>
      </c>
      <c r="Q11" s="108">
        <f>Statement!U6</f>
        <v>58925</v>
      </c>
      <c r="R11" s="108">
        <f>Statement!V6</f>
        <v>66647</v>
      </c>
      <c r="S11" s="108">
        <f>Statement!W6</f>
        <v>69684</v>
      </c>
      <c r="T11" s="108">
        <f>Statement!X6</f>
        <v>74802</v>
      </c>
      <c r="U11" s="108">
        <f>Statement!Y6</f>
        <v>76999</v>
      </c>
      <c r="V11" s="108">
        <f>Statement!Z6</f>
        <v>78871</v>
      </c>
      <c r="W11" s="109">
        <f>Statement!AA6</f>
        <v>81714</v>
      </c>
      <c r="X11" s="110">
        <f>X6*X20</f>
        <v>84251.820016000012</v>
      </c>
      <c r="Y11" s="110"/>
      <c r="Z11" s="110"/>
      <c r="AB11" s="110">
        <f t="shared" ref="AB11:AB15" si="5">SUM(U11:X11)</f>
        <v>321835.82001600001</v>
      </c>
    </row>
    <row r="12" spans="1:28" x14ac:dyDescent="0.2">
      <c r="B12" s="1" t="str">
        <f>Statement!B8</f>
        <v>R&amp;D</v>
      </c>
      <c r="C12" s="99">
        <f>Statement!M8</f>
        <v>103833</v>
      </c>
      <c r="D12" s="99">
        <f>Statement!N8</f>
        <v>150444</v>
      </c>
      <c r="E12" s="99">
        <f>Statement!O8</f>
        <v>194352</v>
      </c>
      <c r="F12" s="99">
        <f>Statement!P8</f>
        <v>235298</v>
      </c>
      <c r="G12" s="100">
        <f>Statement!Q8</f>
        <v>306323</v>
      </c>
      <c r="H12" s="24">
        <f>H6*H21</f>
        <v>424592.36189999979</v>
      </c>
      <c r="I12" s="24">
        <f>I6*I21</f>
        <v>415271.97725366388</v>
      </c>
      <c r="J12" s="24">
        <f>J6*J21</f>
        <v>523194.46851573844</v>
      </c>
      <c r="K12" s="24">
        <f>K6*K21</f>
        <v>728995.73241776158</v>
      </c>
      <c r="L12" s="24">
        <f>L6*L21</f>
        <v>917971.86309407069</v>
      </c>
      <c r="N12" s="92"/>
      <c r="O12" s="39" t="str">
        <f t="shared" si="4"/>
        <v>R&amp;D</v>
      </c>
      <c r="P12" s="99">
        <f>Statement!T8</f>
        <v>62878</v>
      </c>
      <c r="Q12" s="99">
        <f>Statement!U8</f>
        <v>66395</v>
      </c>
      <c r="R12" s="99">
        <f>Statement!V8</f>
        <v>70390</v>
      </c>
      <c r="S12" s="99">
        <f>Statement!W8</f>
        <v>73670</v>
      </c>
      <c r="T12" s="99">
        <f>Statement!X8</f>
        <v>82707</v>
      </c>
      <c r="U12" s="99">
        <f>Statement!Y8</f>
        <v>79556</v>
      </c>
      <c r="V12" s="99">
        <f>Statement!Z8</f>
        <v>82974</v>
      </c>
      <c r="W12" s="100">
        <f>Statement!AA8</f>
        <v>92195</v>
      </c>
      <c r="X12" s="25">
        <f>X21*X$6</f>
        <v>89066.209731199997</v>
      </c>
      <c r="Y12" s="24"/>
      <c r="Z12" s="24"/>
      <c r="AB12" s="24">
        <f t="shared" si="5"/>
        <v>343791.20973120001</v>
      </c>
    </row>
    <row r="13" spans="1:28" x14ac:dyDescent="0.2">
      <c r="B13" s="1" t="str">
        <f>Statement!B9</f>
        <v>Sales and marketing</v>
      </c>
      <c r="C13" s="99">
        <f>Statement!M9</f>
        <v>59170</v>
      </c>
      <c r="D13" s="99">
        <f>Statement!N9</f>
        <v>66967</v>
      </c>
      <c r="E13" s="99">
        <f>Statement!O9</f>
        <v>75788</v>
      </c>
      <c r="F13" s="99">
        <f>Statement!P9</f>
        <v>90494</v>
      </c>
      <c r="G13" s="100">
        <f>Statement!Q9</f>
        <v>125677</v>
      </c>
      <c r="H13" s="24">
        <f>H6*H22</f>
        <v>157705.73441999994</v>
      </c>
      <c r="I13" s="24">
        <f>I6*I22</f>
        <v>173029.99052235996</v>
      </c>
      <c r="J13" s="24">
        <f>J6*J22</f>
        <v>209277.78740629536</v>
      </c>
      <c r="K13" s="24">
        <f>K6*K22</f>
        <v>270433.90073562122</v>
      </c>
      <c r="L13" s="24">
        <f>L6*L22</f>
        <v>348196.22393223376</v>
      </c>
      <c r="M13" s="91"/>
      <c r="N13" s="91"/>
      <c r="O13" s="39" t="str">
        <f t="shared" si="4"/>
        <v>Sales and marketing</v>
      </c>
      <c r="P13" s="99">
        <f>Statement!T9</f>
        <v>25574</v>
      </c>
      <c r="Q13" s="99">
        <f>Statement!U9</f>
        <v>24815</v>
      </c>
      <c r="R13" s="99">
        <f>Statement!V9</f>
        <v>26662</v>
      </c>
      <c r="S13" s="99">
        <f>Statement!W9</f>
        <v>29563</v>
      </c>
      <c r="T13" s="99">
        <f>Statement!X9</f>
        <v>35081</v>
      </c>
      <c r="U13" s="99">
        <f>Statement!Y9</f>
        <v>34371</v>
      </c>
      <c r="V13" s="99">
        <f>Statement!Z9</f>
        <v>39249</v>
      </c>
      <c r="W13" s="100">
        <f>Statement!AA9</f>
        <v>40007</v>
      </c>
      <c r="X13" s="25">
        <f>X22*X$6</f>
        <v>34603.426078000004</v>
      </c>
      <c r="Y13" s="24"/>
      <c r="Z13" s="24"/>
      <c r="AB13" s="24">
        <f t="shared" si="5"/>
        <v>148230.42607799999</v>
      </c>
    </row>
    <row r="14" spans="1:28" x14ac:dyDescent="0.2">
      <c r="B14" s="1" t="str">
        <f>Statement!B10</f>
        <v>General and administrative</v>
      </c>
      <c r="C14" s="99">
        <f>Statement!M10</f>
        <v>78590</v>
      </c>
      <c r="D14" s="99">
        <f>Statement!N10</f>
        <v>117848</v>
      </c>
      <c r="E14" s="99">
        <f>Statement!O10</f>
        <v>132123</v>
      </c>
      <c r="F14" s="99">
        <f>Statement!P10</f>
        <v>155992</v>
      </c>
      <c r="G14" s="100">
        <f>Statement!Q10</f>
        <v>181887</v>
      </c>
      <c r="H14" s="24">
        <f>H6*H23</f>
        <v>218361.78611999992</v>
      </c>
      <c r="I14" s="24">
        <f>I6*I23</f>
        <v>235320.78711040955</v>
      </c>
      <c r="J14" s="24">
        <f>J6*J23</f>
        <v>279037.0498750605</v>
      </c>
      <c r="K14" s="24">
        <f>K6*K23</f>
        <v>411529.84894551052</v>
      </c>
      <c r="L14" s="24">
        <f>L6*L23</f>
        <v>538121.43698617944</v>
      </c>
      <c r="M14" s="91"/>
      <c r="N14" s="91"/>
      <c r="O14" s="39" t="str">
        <f t="shared" si="4"/>
        <v>General and administrative</v>
      </c>
      <c r="P14" s="99">
        <f>Statement!T10</f>
        <v>38388</v>
      </c>
      <c r="Q14" s="99">
        <f>Statement!U10</f>
        <v>45533</v>
      </c>
      <c r="R14" s="99">
        <f>Statement!V10</f>
        <v>43450</v>
      </c>
      <c r="S14" s="99">
        <f>Statement!W10</f>
        <v>45985</v>
      </c>
      <c r="T14" s="99">
        <f>Statement!X10</f>
        <v>43964</v>
      </c>
      <c r="U14" s="99">
        <f>Statement!Y10</f>
        <v>48488</v>
      </c>
      <c r="V14" s="99">
        <f>Statement!Z10</f>
        <v>46346</v>
      </c>
      <c r="W14" s="100">
        <f>Statement!AA10</f>
        <v>50593</v>
      </c>
      <c r="X14" s="25">
        <f>X23*X$6</f>
        <v>55666.381082000007</v>
      </c>
      <c r="Y14" s="24"/>
      <c r="Z14" s="24"/>
      <c r="AB14" s="24">
        <f t="shared" si="5"/>
        <v>201093.38108200001</v>
      </c>
    </row>
    <row r="15" spans="1:28" x14ac:dyDescent="0.2">
      <c r="B15" s="16" t="s">
        <v>26</v>
      </c>
      <c r="C15" s="108">
        <f>Statement!M11</f>
        <v>241593</v>
      </c>
      <c r="D15" s="108">
        <f>Statement!N11</f>
        <v>335259</v>
      </c>
      <c r="E15" s="108">
        <f>Statement!O11</f>
        <v>402263</v>
      </c>
      <c r="F15" s="108">
        <f>Statement!P11</f>
        <v>481784</v>
      </c>
      <c r="G15" s="109">
        <f>Statement!Q11</f>
        <v>613887</v>
      </c>
      <c r="H15" s="110">
        <f>SUM(H12:H14)</f>
        <v>800659.88243999972</v>
      </c>
      <c r="I15" s="110">
        <f>SUM(I12:I14)</f>
        <v>823622.75488643337</v>
      </c>
      <c r="J15" s="110">
        <f>SUM(J12:J14)</f>
        <v>1011509.3057970942</v>
      </c>
      <c r="K15" s="110">
        <f>SUM(K12:K14)</f>
        <v>1410959.4820988933</v>
      </c>
      <c r="L15" s="110">
        <f>SUM(L12:L14)</f>
        <v>1804289.5240124841</v>
      </c>
      <c r="M15" s="91"/>
      <c r="N15" s="91"/>
      <c r="O15" s="16" t="str">
        <f t="shared" si="4"/>
        <v>OpEx</v>
      </c>
      <c r="P15" s="108">
        <f>Statement!T11</f>
        <v>126840</v>
      </c>
      <c r="Q15" s="108">
        <f>Statement!U11</f>
        <v>136743</v>
      </c>
      <c r="R15" s="108">
        <f>Statement!V11</f>
        <v>140502</v>
      </c>
      <c r="S15" s="108">
        <f>Statement!W11</f>
        <v>149218</v>
      </c>
      <c r="T15" s="108">
        <f>Statement!X11</f>
        <v>161752</v>
      </c>
      <c r="U15" s="108">
        <f>Statement!Y11</f>
        <v>162415</v>
      </c>
      <c r="V15" s="108">
        <f>Statement!Z11</f>
        <v>168569</v>
      </c>
      <c r="W15" s="109">
        <f>Statement!AA11</f>
        <v>182795</v>
      </c>
      <c r="X15" s="110">
        <f>SUM(X12:X14)</f>
        <v>179336.01689120001</v>
      </c>
      <c r="Y15" s="110"/>
      <c r="Z15" s="110"/>
      <c r="AB15" s="110">
        <f t="shared" si="5"/>
        <v>693115.01689119998</v>
      </c>
    </row>
    <row r="18" spans="2:26" x14ac:dyDescent="0.2">
      <c r="C18" s="271" t="s">
        <v>132</v>
      </c>
      <c r="D18" s="271"/>
      <c r="E18" s="271"/>
      <c r="F18" s="271"/>
      <c r="G18" s="271"/>
      <c r="H18" s="271"/>
      <c r="I18" s="271"/>
      <c r="J18" s="271"/>
      <c r="K18" s="271"/>
      <c r="L18" s="271"/>
      <c r="P18" s="273" t="s">
        <v>132</v>
      </c>
      <c r="Q18" s="273"/>
      <c r="R18" s="273"/>
      <c r="S18" s="273"/>
      <c r="T18" s="273"/>
      <c r="U18" s="273"/>
      <c r="V18" s="273"/>
      <c r="W18" s="273"/>
      <c r="X18" s="273"/>
      <c r="Y18" s="273"/>
      <c r="Z18" s="273"/>
    </row>
    <row r="19" spans="2:26" x14ac:dyDescent="0.2">
      <c r="B19" s="16" t="s">
        <v>133</v>
      </c>
      <c r="C19" s="12">
        <f t="shared" ref="C19:L19" si="6">C5</f>
        <v>2021</v>
      </c>
      <c r="D19" s="12">
        <f t="shared" si="6"/>
        <v>2022</v>
      </c>
      <c r="E19" s="12">
        <f t="shared" si="6"/>
        <v>2023</v>
      </c>
      <c r="F19" s="12">
        <f t="shared" si="6"/>
        <v>2024</v>
      </c>
      <c r="G19" s="12">
        <f t="shared" si="6"/>
        <v>2025</v>
      </c>
      <c r="H19" s="12">
        <f t="shared" si="6"/>
        <v>2026</v>
      </c>
      <c r="I19" s="12">
        <f t="shared" si="6"/>
        <v>2027</v>
      </c>
      <c r="J19" s="12">
        <f t="shared" si="6"/>
        <v>2028</v>
      </c>
      <c r="K19" s="12">
        <f t="shared" si="6"/>
        <v>2029</v>
      </c>
      <c r="L19" s="12">
        <f t="shared" si="6"/>
        <v>2030</v>
      </c>
      <c r="O19" s="16" t="s">
        <v>133</v>
      </c>
      <c r="P19" s="12" t="str">
        <f t="shared" ref="P19:Z19" si="7">P5</f>
        <v>Q3 2024</v>
      </c>
      <c r="Q19" s="12" t="str">
        <f t="shared" si="7"/>
        <v>Q4 2024</v>
      </c>
      <c r="R19" s="12" t="str">
        <f t="shared" si="7"/>
        <v>Q1 2025</v>
      </c>
      <c r="S19" s="12" t="str">
        <f t="shared" si="7"/>
        <v>Q2 2025</v>
      </c>
      <c r="T19" s="12" t="str">
        <f t="shared" si="7"/>
        <v>Q3 2025</v>
      </c>
      <c r="U19" s="12" t="str">
        <f t="shared" si="7"/>
        <v>Q4 2025</v>
      </c>
      <c r="V19" s="12" t="str">
        <f t="shared" si="7"/>
        <v>Q1 2026</v>
      </c>
      <c r="W19" s="12" t="str">
        <f t="shared" si="7"/>
        <v>Q2 2026</v>
      </c>
      <c r="X19" s="12" t="str">
        <f t="shared" si="7"/>
        <v>FQ1</v>
      </c>
      <c r="Y19" s="12" t="str">
        <f t="shared" si="7"/>
        <v>FQ2</v>
      </c>
      <c r="Z19" s="12" t="str">
        <f t="shared" si="7"/>
        <v>FQ3</v>
      </c>
    </row>
    <row r="20" spans="2:26" x14ac:dyDescent="0.2">
      <c r="B20" s="16" t="str">
        <f t="shared" ref="B20" si="8">B11</f>
        <v>COGS</v>
      </c>
      <c r="C20" s="104">
        <f>C11/C$6</f>
        <v>0.27589204536391621</v>
      </c>
      <c r="D20" s="104">
        <f t="shared" ref="D20:G20" si="9">D11/D$6</f>
        <v>0.26909971718155862</v>
      </c>
      <c r="E20" s="104">
        <f t="shared" si="9"/>
        <v>0.2675627790152304</v>
      </c>
      <c r="F20" s="104">
        <f t="shared" si="9"/>
        <v>0.27224393869715408</v>
      </c>
      <c r="G20" s="105">
        <f t="shared" si="9"/>
        <v>0.2776937689200637</v>
      </c>
      <c r="H20" s="98">
        <v>0.28000000000000003</v>
      </c>
      <c r="I20" s="98">
        <v>0.27500000000000002</v>
      </c>
      <c r="J20" s="98">
        <v>0.28000000000000003</v>
      </c>
      <c r="K20" s="98">
        <v>0.26800000000000002</v>
      </c>
      <c r="L20" s="98">
        <v>0.27600000000000002</v>
      </c>
      <c r="O20" s="16" t="str">
        <f t="shared" ref="O20:O24" si="10">O11</f>
        <v>COGS</v>
      </c>
      <c r="P20" s="104">
        <f>P11/P$6</f>
        <v>0.27093263549227908</v>
      </c>
      <c r="Q20" s="104">
        <f t="shared" ref="Q20:V20" si="11">Q11/Q$6</f>
        <v>0.28119780481985207</v>
      </c>
      <c r="R20" s="104">
        <f t="shared" si="11"/>
        <v>0.28883649774857745</v>
      </c>
      <c r="S20" s="104">
        <f t="shared" si="11"/>
        <v>0.27623332606584344</v>
      </c>
      <c r="T20" s="104">
        <f t="shared" si="11"/>
        <v>0.27529783263958663</v>
      </c>
      <c r="U20" s="104">
        <f t="shared" si="11"/>
        <v>0.27220823847165465</v>
      </c>
      <c r="V20" s="104">
        <f t="shared" si="11"/>
        <v>0.27013669353043324</v>
      </c>
      <c r="W20" s="105">
        <f t="shared" ref="W20:X24" si="12">W11/W$6</f>
        <v>0.27379093595662984</v>
      </c>
      <c r="X20" s="98">
        <v>0.28000000000000003</v>
      </c>
      <c r="Y20" s="98"/>
      <c r="Z20" s="98"/>
    </row>
    <row r="21" spans="2:26" x14ac:dyDescent="0.2">
      <c r="B21" s="1" t="str">
        <f>B12</f>
        <v>R&amp;D</v>
      </c>
      <c r="C21" s="96">
        <f t="shared" ref="C21:G21" si="13">C12/C$6</f>
        <v>0.41405340309125421</v>
      </c>
      <c r="D21" s="96">
        <f t="shared" si="13"/>
        <v>0.40716112531969312</v>
      </c>
      <c r="E21" s="96">
        <f t="shared" si="13"/>
        <v>0.36593618259152078</v>
      </c>
      <c r="F21" s="96">
        <f t="shared" si="13"/>
        <v>0.31455942590077324</v>
      </c>
      <c r="G21" s="97">
        <f t="shared" si="13"/>
        <v>0.29522575894694336</v>
      </c>
      <c r="H21" s="98">
        <v>0.35</v>
      </c>
      <c r="I21" s="98">
        <v>0.3</v>
      </c>
      <c r="J21" s="98">
        <v>0.3</v>
      </c>
      <c r="K21" s="98">
        <v>0.31</v>
      </c>
      <c r="L21" s="98">
        <v>0.28999999999999998</v>
      </c>
      <c r="O21" s="1" t="str">
        <f t="shared" si="10"/>
        <v>R&amp;D</v>
      </c>
      <c r="P21" s="96">
        <f>P12/P$6</f>
        <v>0.32647953726491996</v>
      </c>
      <c r="Q21" s="96">
        <f t="shared" ref="Q21:V21" si="14">Q12/Q$6</f>
        <v>0.31684562157003104</v>
      </c>
      <c r="R21" s="96">
        <f t="shared" si="14"/>
        <v>0.30505800826027224</v>
      </c>
      <c r="S21" s="96">
        <f t="shared" si="14"/>
        <v>0.29203417041603075</v>
      </c>
      <c r="T21" s="96">
        <f t="shared" si="14"/>
        <v>0.30439103024146802</v>
      </c>
      <c r="U21" s="96">
        <f t="shared" si="14"/>
        <v>0.2812477904888499</v>
      </c>
      <c r="V21" s="96">
        <f t="shared" si="14"/>
        <v>0.2841896515702117</v>
      </c>
      <c r="W21" s="97">
        <f t="shared" si="12"/>
        <v>0.30890857552587669</v>
      </c>
      <c r="X21" s="98">
        <v>0.29599999999999999</v>
      </c>
      <c r="Y21" s="98"/>
      <c r="Z21" s="98"/>
    </row>
    <row r="22" spans="2:26" x14ac:dyDescent="0.2">
      <c r="B22" s="1" t="str">
        <f t="shared" ref="B22:B24" si="15">B13</f>
        <v>Sales and marketing</v>
      </c>
      <c r="C22" s="96">
        <f t="shared" ref="C22:G22" si="16">C13/C$6</f>
        <v>0.23595138213197644</v>
      </c>
      <c r="D22" s="96">
        <f t="shared" si="16"/>
        <v>0.18123925898861959</v>
      </c>
      <c r="E22" s="96">
        <f t="shared" si="16"/>
        <v>0.14269763833789298</v>
      </c>
      <c r="F22" s="96">
        <f t="shared" si="16"/>
        <v>0.12097740179459483</v>
      </c>
      <c r="G22" s="97">
        <f t="shared" si="16"/>
        <v>0.12112406742939642</v>
      </c>
      <c r="H22" s="98">
        <v>0.13</v>
      </c>
      <c r="I22" s="98">
        <v>0.125</v>
      </c>
      <c r="J22" s="98">
        <v>0.12</v>
      </c>
      <c r="K22" s="98">
        <v>0.115</v>
      </c>
      <c r="L22" s="98">
        <v>0.11</v>
      </c>
      <c r="O22" s="1" t="str">
        <f t="shared" si="10"/>
        <v>Sales and marketing</v>
      </c>
      <c r="P22" s="96">
        <f t="shared" ref="P22:V24" si="17">P13/P$6</f>
        <v>0.13278710655575979</v>
      </c>
      <c r="Q22" s="96">
        <f t="shared" si="17"/>
        <v>0.11842042471963732</v>
      </c>
      <c r="R22" s="96">
        <f t="shared" si="17"/>
        <v>0.11554846734245459</v>
      </c>
      <c r="S22" s="96">
        <f t="shared" si="17"/>
        <v>0.11719025627812023</v>
      </c>
      <c r="T22" s="96">
        <f t="shared" si="17"/>
        <v>0.1291104952652247</v>
      </c>
      <c r="U22" s="96">
        <f t="shared" si="17"/>
        <v>0.12150897238287824</v>
      </c>
      <c r="V22" s="96">
        <f t="shared" si="17"/>
        <v>0.1344295759452267</v>
      </c>
      <c r="W22" s="97">
        <f t="shared" si="12"/>
        <v>0.13404745789970984</v>
      </c>
      <c r="X22" s="98">
        <v>0.115</v>
      </c>
      <c r="Y22" s="98"/>
      <c r="Z22" s="98"/>
    </row>
    <row r="23" spans="2:26" x14ac:dyDescent="0.2">
      <c r="B23" s="1" t="str">
        <f t="shared" si="15"/>
        <v>General and administrative</v>
      </c>
      <c r="C23" s="96">
        <f t="shared" ref="C23:G23" si="18">C14/C$6</f>
        <v>0.31339224474821753</v>
      </c>
      <c r="D23" s="96">
        <f t="shared" si="18"/>
        <v>0.31894342277973992</v>
      </c>
      <c r="E23" s="96">
        <f t="shared" si="18"/>
        <v>0.24876814363906469</v>
      </c>
      <c r="F23" s="96">
        <f t="shared" si="18"/>
        <v>0.2085387634621349</v>
      </c>
      <c r="G23" s="97">
        <f t="shared" si="18"/>
        <v>0.17529773349563266</v>
      </c>
      <c r="H23" s="98">
        <v>0.18</v>
      </c>
      <c r="I23" s="98">
        <v>0.17</v>
      </c>
      <c r="J23" s="98">
        <v>0.16</v>
      </c>
      <c r="K23" s="98">
        <v>0.17499999999999999</v>
      </c>
      <c r="L23" s="98">
        <v>0.17</v>
      </c>
      <c r="O23" s="1" t="str">
        <f t="shared" si="10"/>
        <v>General and administrative</v>
      </c>
      <c r="P23" s="96">
        <f t="shared" si="17"/>
        <v>0.19932085111685721</v>
      </c>
      <c r="Q23" s="96">
        <f t="shared" si="17"/>
        <v>0.2172894297303746</v>
      </c>
      <c r="R23" s="96">
        <f t="shared" si="17"/>
        <v>0.18830473730514036</v>
      </c>
      <c r="S23" s="96">
        <f t="shared" si="17"/>
        <v>0.18228846649356828</v>
      </c>
      <c r="T23" s="96">
        <f t="shared" si="17"/>
        <v>0.16180307898407512</v>
      </c>
      <c r="U23" s="96">
        <f t="shared" si="17"/>
        <v>0.17141564263189898</v>
      </c>
      <c r="V23" s="96">
        <f t="shared" si="17"/>
        <v>0.1587371175509561</v>
      </c>
      <c r="W23" s="97">
        <f t="shared" si="12"/>
        <v>0.16951691047866674</v>
      </c>
      <c r="X23" s="98">
        <v>0.185</v>
      </c>
      <c r="Y23" s="98"/>
      <c r="Z23" s="98"/>
    </row>
    <row r="24" spans="2:26" x14ac:dyDescent="0.2">
      <c r="B24" s="16" t="str">
        <f t="shared" si="15"/>
        <v>OpEx</v>
      </c>
      <c r="C24" s="104">
        <f>C15/C$6</f>
        <v>0.96339702997144816</v>
      </c>
      <c r="D24" s="104">
        <f t="shared" ref="D24:L24" si="19">D15/D$6</f>
        <v>0.90734380708805262</v>
      </c>
      <c r="E24" s="104">
        <f t="shared" si="19"/>
        <v>0.75740196456847841</v>
      </c>
      <c r="F24" s="104">
        <f t="shared" si="19"/>
        <v>0.64407559115750301</v>
      </c>
      <c r="G24" s="105">
        <f t="shared" si="19"/>
        <v>0.59164755987197248</v>
      </c>
      <c r="H24" s="104">
        <f t="shared" si="19"/>
        <v>0.66</v>
      </c>
      <c r="I24" s="104">
        <f t="shared" si="19"/>
        <v>0.59499999999999997</v>
      </c>
      <c r="J24" s="104">
        <f t="shared" si="19"/>
        <v>0.57999999999999996</v>
      </c>
      <c r="K24" s="104">
        <f t="shared" si="19"/>
        <v>0.6</v>
      </c>
      <c r="L24" s="104">
        <f t="shared" si="19"/>
        <v>0.57000000000000006</v>
      </c>
      <c r="O24" s="16" t="str">
        <f t="shared" si="10"/>
        <v>OpEx</v>
      </c>
      <c r="P24" s="104">
        <f t="shared" si="17"/>
        <v>0.65858749493753699</v>
      </c>
      <c r="Q24" s="104">
        <f t="shared" si="17"/>
        <v>0.65255547602004293</v>
      </c>
      <c r="R24" s="104">
        <f t="shared" si="17"/>
        <v>0.60891121290786721</v>
      </c>
      <c r="S24" s="104">
        <f t="shared" si="17"/>
        <v>0.59151289318771927</v>
      </c>
      <c r="T24" s="104">
        <f t="shared" si="17"/>
        <v>0.59530460449076783</v>
      </c>
      <c r="U24" s="104">
        <f t="shared" si="17"/>
        <v>0.57417240550362714</v>
      </c>
      <c r="V24" s="104">
        <f t="shared" si="17"/>
        <v>0.57735634506639444</v>
      </c>
      <c r="W24" s="105">
        <f t="shared" si="12"/>
        <v>0.61247294390425322</v>
      </c>
      <c r="X24" s="104">
        <f t="shared" si="12"/>
        <v>0.59599999999999997</v>
      </c>
      <c r="Y24" s="16"/>
      <c r="Z24" s="16"/>
    </row>
  </sheetData>
  <mergeCells count="10">
    <mergeCell ref="C9:L9"/>
    <mergeCell ref="P9:Z9"/>
    <mergeCell ref="C18:L18"/>
    <mergeCell ref="P18:Z18"/>
    <mergeCell ref="C2:G2"/>
    <mergeCell ref="H2:L2"/>
    <mergeCell ref="P2:W2"/>
    <mergeCell ref="X2:Z2"/>
    <mergeCell ref="C4:L4"/>
    <mergeCell ref="P4:Z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A4AF9-34CA-DC41-86C9-B346AEC194A1}">
  <dimension ref="A1:AB46"/>
  <sheetViews>
    <sheetView topLeftCell="B22" zoomScale="189" zoomScaleNormal="100" workbookViewId="0">
      <selection activeCell="I20" sqref="I20"/>
    </sheetView>
  </sheetViews>
  <sheetFormatPr baseColWidth="10" defaultRowHeight="16" x14ac:dyDescent="0.2"/>
  <cols>
    <col min="1" max="1" width="2" style="84"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4" customFormat="1" ht="18" customHeight="1" x14ac:dyDescent="0.2">
      <c r="A1" s="4"/>
      <c r="B1" s="83" t="s">
        <v>135</v>
      </c>
    </row>
    <row r="2" spans="1:28" s="84" customFormat="1" ht="18" customHeight="1" x14ac:dyDescent="0.2">
      <c r="A2" s="4"/>
      <c r="B2" s="83"/>
    </row>
    <row r="3" spans="1:28" x14ac:dyDescent="0.2">
      <c r="A3" s="4"/>
      <c r="C3" s="265" t="s">
        <v>113</v>
      </c>
      <c r="D3" s="265"/>
      <c r="E3" s="265"/>
      <c r="F3" s="265"/>
      <c r="G3" s="274"/>
      <c r="H3" s="275" t="s">
        <v>114</v>
      </c>
      <c r="I3" s="265"/>
      <c r="J3" s="265"/>
      <c r="K3" s="265"/>
      <c r="L3" s="265"/>
      <c r="P3" s="276"/>
      <c r="Q3" s="276"/>
      <c r="R3" s="276"/>
      <c r="S3" s="276"/>
      <c r="T3" s="276"/>
      <c r="U3" s="276"/>
      <c r="V3" s="276"/>
      <c r="W3" s="276"/>
      <c r="X3" s="276"/>
      <c r="Y3" s="276"/>
      <c r="Z3" s="276"/>
      <c r="AB3" s="111"/>
    </row>
    <row r="4" spans="1:28" ht="10" customHeight="1" x14ac:dyDescent="0.2"/>
    <row r="5" spans="1:28" ht="16" customHeight="1" x14ac:dyDescent="0.2">
      <c r="A5" s="87"/>
      <c r="B5" s="60"/>
      <c r="C5" s="271" t="s">
        <v>116</v>
      </c>
      <c r="D5" s="271"/>
      <c r="E5" s="271"/>
      <c r="F5" s="271"/>
      <c r="G5" s="271"/>
      <c r="H5" s="271"/>
      <c r="I5" s="271"/>
      <c r="J5" s="271"/>
      <c r="K5" s="271"/>
      <c r="L5" s="271"/>
      <c r="P5" s="276"/>
      <c r="Q5" s="276"/>
      <c r="R5" s="276"/>
      <c r="S5" s="276"/>
      <c r="T5" s="276"/>
      <c r="U5" s="276"/>
      <c r="V5" s="276"/>
      <c r="W5" s="276"/>
      <c r="X5" s="276"/>
      <c r="Y5" s="276"/>
      <c r="Z5" s="276"/>
      <c r="AB5" s="112"/>
    </row>
    <row r="6" spans="1:28" x14ac:dyDescent="0.2">
      <c r="B6" s="16" t="s">
        <v>117</v>
      </c>
      <c r="C6" s="12">
        <f>Revenue!C5</f>
        <v>2021</v>
      </c>
      <c r="D6" s="12">
        <f>Revenue!D5</f>
        <v>2022</v>
      </c>
      <c r="E6" s="12">
        <f>Revenue!E5</f>
        <v>2023</v>
      </c>
      <c r="F6" s="12">
        <f>Revenue!F5</f>
        <v>2024</v>
      </c>
      <c r="G6" s="12">
        <f>Revenue!G5</f>
        <v>2025</v>
      </c>
      <c r="H6" s="12">
        <f>G6+1</f>
        <v>2026</v>
      </c>
      <c r="I6" s="12">
        <f t="shared" ref="I6:L6" si="0">H6+1</f>
        <v>2027</v>
      </c>
      <c r="J6" s="12">
        <f t="shared" si="0"/>
        <v>2028</v>
      </c>
      <c r="K6" s="12">
        <f t="shared" si="0"/>
        <v>2029</v>
      </c>
      <c r="L6" s="12">
        <f t="shared" si="0"/>
        <v>2030</v>
      </c>
      <c r="O6" s="16"/>
      <c r="P6" s="113"/>
      <c r="Q6" s="113"/>
      <c r="R6" s="113"/>
      <c r="S6" s="113"/>
      <c r="T6" s="113"/>
      <c r="U6" s="113"/>
      <c r="V6" s="113"/>
      <c r="W6" s="113"/>
      <c r="X6" s="113"/>
      <c r="Y6" s="113"/>
      <c r="Z6" s="113"/>
      <c r="AB6" s="112"/>
    </row>
    <row r="7" spans="1:28" x14ac:dyDescent="0.2">
      <c r="B7" s="16" t="s">
        <v>20</v>
      </c>
      <c r="C7" s="93">
        <f>Revenue!C11</f>
        <v>250772</v>
      </c>
      <c r="D7" s="93">
        <f>Revenue!D11</f>
        <v>369495</v>
      </c>
      <c r="E7" s="93">
        <f>Revenue!E11</f>
        <v>531109</v>
      </c>
      <c r="F7" s="93">
        <f>Revenue!F11</f>
        <v>748024</v>
      </c>
      <c r="G7" s="94">
        <f>Revenue!G11</f>
        <v>1037589</v>
      </c>
      <c r="H7" s="93">
        <f>Revenue!H11</f>
        <v>1213121.0339999995</v>
      </c>
      <c r="I7" s="93">
        <f>Revenue!I11</f>
        <v>1384239.9241788797</v>
      </c>
      <c r="J7" s="93">
        <f>Revenue!J11</f>
        <v>1743981.5617191282</v>
      </c>
      <c r="K7" s="93">
        <f>Revenue!K11</f>
        <v>2351599.1368314889</v>
      </c>
      <c r="L7" s="93">
        <f>Revenue!L11</f>
        <v>3165420.2175657614</v>
      </c>
      <c r="N7" s="92"/>
      <c r="O7" s="16"/>
      <c r="P7" s="93"/>
      <c r="Q7" s="93"/>
      <c r="R7" s="93"/>
      <c r="S7" s="93"/>
      <c r="T7" s="93"/>
      <c r="U7" s="93"/>
      <c r="V7" s="93"/>
      <c r="W7" s="93"/>
      <c r="X7" s="95"/>
      <c r="Y7" s="95"/>
      <c r="Z7" s="95"/>
      <c r="AB7" s="95"/>
    </row>
    <row r="8" spans="1:28" x14ac:dyDescent="0.2">
      <c r="B8" s="39" t="s">
        <v>21</v>
      </c>
      <c r="C8" s="114">
        <f>'COGS &amp; OpEx'!C11</f>
        <v>69186</v>
      </c>
      <c r="D8" s="114">
        <f>'COGS &amp; OpEx'!D11</f>
        <v>99431</v>
      </c>
      <c r="E8" s="114">
        <f>'COGS &amp; OpEx'!E11</f>
        <v>142105</v>
      </c>
      <c r="F8" s="114">
        <f>'COGS &amp; OpEx'!F11</f>
        <v>203645</v>
      </c>
      <c r="G8" s="115">
        <f>'COGS &amp; OpEx'!G11</f>
        <v>288132</v>
      </c>
      <c r="H8" s="114">
        <f>'COGS &amp; OpEx'!H11</f>
        <v>339673.88951999991</v>
      </c>
      <c r="I8" s="114">
        <f>'COGS &amp; OpEx'!I11</f>
        <v>380665.97914919193</v>
      </c>
      <c r="J8" s="114">
        <f>'COGS &amp; OpEx'!J11</f>
        <v>488314.83728135593</v>
      </c>
      <c r="K8" s="114">
        <f>'COGS &amp; OpEx'!K11</f>
        <v>630228.56867083907</v>
      </c>
      <c r="L8" s="114">
        <f>'COGS &amp; OpEx'!L11</f>
        <v>873655.98004815017</v>
      </c>
      <c r="N8" s="92"/>
      <c r="O8" s="16"/>
      <c r="P8" s="93"/>
      <c r="Q8" s="93"/>
      <c r="R8" s="93"/>
      <c r="S8" s="93"/>
      <c r="T8" s="93"/>
      <c r="U8" s="93"/>
      <c r="V8" s="93"/>
      <c r="W8" s="93"/>
      <c r="X8" s="95"/>
      <c r="Y8" s="95"/>
      <c r="Z8" s="95"/>
      <c r="AB8" s="95"/>
    </row>
    <row r="9" spans="1:28" x14ac:dyDescent="0.2">
      <c r="N9" s="92"/>
    </row>
    <row r="10" spans="1:28" x14ac:dyDescent="0.2">
      <c r="N10" s="92"/>
    </row>
    <row r="11" spans="1:28" x14ac:dyDescent="0.2">
      <c r="C11" s="271" t="s">
        <v>136</v>
      </c>
      <c r="D11" s="271"/>
      <c r="E11" s="271"/>
      <c r="F11" s="271"/>
      <c r="G11" s="271"/>
      <c r="H11" s="271"/>
      <c r="I11" s="271"/>
      <c r="J11" s="271"/>
      <c r="K11" s="271"/>
      <c r="L11" s="271"/>
      <c r="N11" s="92"/>
      <c r="P11" s="276"/>
      <c r="Q11" s="276"/>
      <c r="R11" s="276"/>
      <c r="S11" s="276"/>
      <c r="T11" s="276"/>
      <c r="U11" s="276"/>
      <c r="V11" s="276"/>
      <c r="W11" s="276"/>
      <c r="X11" s="276"/>
      <c r="Y11" s="276"/>
      <c r="Z11" s="276"/>
      <c r="AB11" s="112"/>
    </row>
    <row r="12" spans="1:28" x14ac:dyDescent="0.2">
      <c r="B12" s="16" t="s">
        <v>137</v>
      </c>
      <c r="C12" s="12">
        <f t="shared" ref="C12:L12" si="1">C6</f>
        <v>2021</v>
      </c>
      <c r="D12" s="12">
        <f t="shared" si="1"/>
        <v>2022</v>
      </c>
      <c r="E12" s="12">
        <f t="shared" si="1"/>
        <v>2023</v>
      </c>
      <c r="F12" s="12">
        <f t="shared" si="1"/>
        <v>2024</v>
      </c>
      <c r="G12" s="12">
        <f t="shared" si="1"/>
        <v>2025</v>
      </c>
      <c r="H12" s="12">
        <f t="shared" si="1"/>
        <v>2026</v>
      </c>
      <c r="I12" s="12">
        <f t="shared" si="1"/>
        <v>2027</v>
      </c>
      <c r="J12" s="12">
        <f t="shared" si="1"/>
        <v>2028</v>
      </c>
      <c r="K12" s="12">
        <f t="shared" si="1"/>
        <v>2029</v>
      </c>
      <c r="L12" s="12">
        <f t="shared" si="1"/>
        <v>2030</v>
      </c>
      <c r="N12" s="92"/>
      <c r="O12" s="16"/>
      <c r="P12" s="113"/>
      <c r="Q12" s="113"/>
      <c r="R12" s="113"/>
      <c r="S12" s="113"/>
      <c r="T12" s="113"/>
      <c r="U12" s="113"/>
      <c r="V12" s="113"/>
      <c r="W12" s="113"/>
      <c r="X12" s="113"/>
      <c r="Y12" s="113"/>
      <c r="Z12" s="113"/>
      <c r="AB12" s="112"/>
    </row>
    <row r="13" spans="1:28" x14ac:dyDescent="0.2">
      <c r="B13" s="39" t="s">
        <v>138</v>
      </c>
      <c r="C13" s="116">
        <f>Statement!M30</f>
        <v>33163</v>
      </c>
      <c r="D13" s="116">
        <f>Statement!N30</f>
        <v>46728</v>
      </c>
      <c r="E13" s="116">
        <f>Statement!O30</f>
        <v>88975</v>
      </c>
      <c r="F13" s="116">
        <f>Statement!P30</f>
        <v>128923</v>
      </c>
      <c r="G13" s="117">
        <f>Statement!Q30</f>
        <v>162827</v>
      </c>
      <c r="H13" s="25">
        <f>H20*H7/365</f>
        <v>149562.86720547939</v>
      </c>
      <c r="I13" s="25">
        <f>I20*I7/365</f>
        <v>170659.71667958793</v>
      </c>
      <c r="J13" s="25">
        <f>J20*J7/365</f>
        <v>215011.42541742677</v>
      </c>
      <c r="K13" s="25">
        <f>K20*K7/365</f>
        <v>289923.18125319725</v>
      </c>
      <c r="L13" s="25">
        <f>L20*L7/365</f>
        <v>390257.28709714871</v>
      </c>
      <c r="N13" s="92"/>
      <c r="O13" s="16"/>
      <c r="P13" s="118"/>
      <c r="Q13" s="118"/>
      <c r="R13" s="118"/>
      <c r="S13" s="118"/>
      <c r="T13" s="118"/>
      <c r="U13" s="118"/>
      <c r="V13" s="118"/>
      <c r="W13" s="118"/>
      <c r="X13" s="110"/>
      <c r="Y13" s="110"/>
      <c r="Z13" s="110"/>
      <c r="AB13" s="24"/>
    </row>
    <row r="14" spans="1:28" x14ac:dyDescent="0.2">
      <c r="B14" s="39" t="s">
        <v>139</v>
      </c>
      <c r="C14" s="116">
        <f>Statement!M31</f>
        <v>0</v>
      </c>
      <c r="D14" s="116">
        <f>Statement!N31</f>
        <v>0</v>
      </c>
      <c r="E14" s="116">
        <f>Statement!O31</f>
        <v>0</v>
      </c>
      <c r="F14" s="116">
        <f>Statement!P31</f>
        <v>0</v>
      </c>
      <c r="G14" s="117">
        <f>Statement!Q31</f>
        <v>0</v>
      </c>
      <c r="H14" s="128">
        <f>H21*H8/365</f>
        <v>0</v>
      </c>
      <c r="I14" s="128">
        <f t="shared" ref="I14:L14" si="2">I21*I8/365</f>
        <v>0</v>
      </c>
      <c r="J14" s="128">
        <f t="shared" si="2"/>
        <v>0</v>
      </c>
      <c r="K14" s="128">
        <f t="shared" si="2"/>
        <v>0</v>
      </c>
      <c r="L14" s="128">
        <f t="shared" si="2"/>
        <v>0</v>
      </c>
      <c r="N14" s="92"/>
      <c r="O14" s="16"/>
      <c r="P14" s="118"/>
      <c r="Q14" s="118"/>
      <c r="R14" s="118"/>
      <c r="S14" s="118"/>
      <c r="T14" s="118"/>
      <c r="U14" s="118"/>
      <c r="V14" s="118"/>
      <c r="W14" s="118"/>
      <c r="X14" s="110"/>
      <c r="Y14" s="110"/>
      <c r="Z14" s="110"/>
      <c r="AB14" s="24"/>
    </row>
    <row r="15" spans="1:28" x14ac:dyDescent="0.2">
      <c r="B15" s="1" t="s">
        <v>140</v>
      </c>
      <c r="C15" s="116">
        <f>Statement!M38</f>
        <v>7818</v>
      </c>
      <c r="D15" s="116">
        <f>Statement!N38</f>
        <v>1177</v>
      </c>
      <c r="E15" s="116">
        <f>Statement!O38</f>
        <v>2447</v>
      </c>
      <c r="F15" s="116">
        <f>Statement!P38</f>
        <v>6381</v>
      </c>
      <c r="G15" s="117">
        <f>Statement!Q38</f>
        <v>7998</v>
      </c>
      <c r="H15" s="24">
        <f>H22*H8/365</f>
        <v>14889.814335123283</v>
      </c>
      <c r="I15" s="24">
        <f>I22*I8/365</f>
        <v>16686.727853115262</v>
      </c>
      <c r="J15" s="24">
        <f>J22*J8/365</f>
        <v>21405.581908223823</v>
      </c>
      <c r="K15" s="24">
        <f>K22*K8/365</f>
        <v>27626.457804749109</v>
      </c>
      <c r="L15" s="24">
        <f>L22*L8/365</f>
        <v>38297.248440466858</v>
      </c>
      <c r="N15" s="92"/>
      <c r="P15" s="119"/>
      <c r="Q15" s="119"/>
      <c r="R15" s="119"/>
      <c r="S15" s="119"/>
      <c r="T15" s="119"/>
      <c r="U15" s="119"/>
      <c r="V15" s="119"/>
      <c r="W15" s="119"/>
      <c r="X15" s="25"/>
      <c r="Y15" s="24"/>
      <c r="Z15" s="24"/>
      <c r="AB15" s="24"/>
    </row>
    <row r="16" spans="1:28" x14ac:dyDescent="0.2">
      <c r="D16" s="24"/>
    </row>
    <row r="18" spans="2:12" x14ac:dyDescent="0.2">
      <c r="C18" s="271" t="s">
        <v>141</v>
      </c>
      <c r="D18" s="271"/>
      <c r="E18" s="271"/>
      <c r="F18" s="271"/>
      <c r="G18" s="271"/>
      <c r="H18" s="271"/>
      <c r="I18" s="271"/>
      <c r="J18" s="271"/>
      <c r="K18" s="271"/>
      <c r="L18" s="271"/>
    </row>
    <row r="19" spans="2:12" x14ac:dyDescent="0.2">
      <c r="B19" s="16" t="s">
        <v>142</v>
      </c>
      <c r="C19" s="12">
        <f t="shared" ref="C19:L19" si="3">C6</f>
        <v>2021</v>
      </c>
      <c r="D19" s="12">
        <f t="shared" si="3"/>
        <v>2022</v>
      </c>
      <c r="E19" s="12">
        <f t="shared" si="3"/>
        <v>2023</v>
      </c>
      <c r="F19" s="12">
        <f t="shared" si="3"/>
        <v>2024</v>
      </c>
      <c r="G19" s="12">
        <f t="shared" si="3"/>
        <v>2025</v>
      </c>
      <c r="H19" s="12">
        <f t="shared" si="3"/>
        <v>2026</v>
      </c>
      <c r="I19" s="12">
        <f t="shared" si="3"/>
        <v>2027</v>
      </c>
      <c r="J19" s="12">
        <f t="shared" si="3"/>
        <v>2028</v>
      </c>
      <c r="K19" s="12">
        <f t="shared" si="3"/>
        <v>2029</v>
      </c>
      <c r="L19" s="12">
        <f t="shared" si="3"/>
        <v>2030</v>
      </c>
    </row>
    <row r="20" spans="2:12" x14ac:dyDescent="0.2">
      <c r="B20" s="1" t="s">
        <v>143</v>
      </c>
      <c r="C20" s="120">
        <f>C13/C7*365</f>
        <v>48.268925557877274</v>
      </c>
      <c r="D20" s="120">
        <f>D13/D7*365</f>
        <v>46.15954207770065</v>
      </c>
      <c r="E20" s="120">
        <f>E13/E7*365</f>
        <v>61.147288033153274</v>
      </c>
      <c r="F20" s="120">
        <f>F13/F7*365</f>
        <v>62.908268986021838</v>
      </c>
      <c r="G20" s="121">
        <f>G13/G7*365</f>
        <v>57.278802107578244</v>
      </c>
      <c r="H20" s="103">
        <v>45</v>
      </c>
      <c r="I20" s="103">
        <v>45</v>
      </c>
      <c r="J20" s="103">
        <v>45</v>
      </c>
      <c r="K20" s="103">
        <v>45</v>
      </c>
      <c r="L20" s="103">
        <v>45</v>
      </c>
    </row>
    <row r="21" spans="2:12" x14ac:dyDescent="0.2">
      <c r="B21" s="1" t="s">
        <v>144</v>
      </c>
      <c r="C21" s="120">
        <f>C14/C8*365</f>
        <v>0</v>
      </c>
      <c r="D21" s="120">
        <f t="shared" ref="D21:G21" si="4">D14/D8*365</f>
        <v>0</v>
      </c>
      <c r="E21" s="120">
        <f t="shared" si="4"/>
        <v>0</v>
      </c>
      <c r="F21" s="120">
        <f t="shared" si="4"/>
        <v>0</v>
      </c>
      <c r="G21" s="121">
        <f t="shared" si="4"/>
        <v>0</v>
      </c>
      <c r="H21" s="103">
        <v>0</v>
      </c>
      <c r="I21" s="103">
        <v>0</v>
      </c>
      <c r="J21" s="103">
        <v>0</v>
      </c>
      <c r="K21" s="103">
        <v>0</v>
      </c>
      <c r="L21" s="103">
        <v>0</v>
      </c>
    </row>
    <row r="22" spans="2:12" x14ac:dyDescent="0.2">
      <c r="B22" s="1" t="s">
        <v>145</v>
      </c>
      <c r="C22" s="120">
        <f>C15/C8*365</f>
        <v>41.244905038591625</v>
      </c>
      <c r="D22" s="120">
        <f>D15/D8*365</f>
        <v>4.3206344097917153</v>
      </c>
      <c r="E22" s="120">
        <f>E15/E8*365</f>
        <v>6.28517645403047</v>
      </c>
      <c r="F22" s="120">
        <f>F15/F8*365</f>
        <v>11.436887721279676</v>
      </c>
      <c r="G22" s="121">
        <f>G15/G8*365</f>
        <v>10.131710466036401</v>
      </c>
      <c r="H22" s="103">
        <v>16</v>
      </c>
      <c r="I22" s="103">
        <v>16</v>
      </c>
      <c r="J22" s="103">
        <v>16</v>
      </c>
      <c r="K22" s="103">
        <v>16</v>
      </c>
      <c r="L22" s="103">
        <v>16</v>
      </c>
    </row>
    <row r="23" spans="2:12" x14ac:dyDescent="0.2">
      <c r="B23" s="1" t="s">
        <v>146</v>
      </c>
      <c r="C23" s="120">
        <f>C20+C21-C22</f>
        <v>7.0240205192856493</v>
      </c>
      <c r="D23" s="120">
        <f t="shared" ref="D23:L23" si="5">D20+D21-D22</f>
        <v>41.838907667908934</v>
      </c>
      <c r="E23" s="120">
        <f t="shared" si="5"/>
        <v>54.862111579122804</v>
      </c>
      <c r="F23" s="120">
        <f t="shared" si="5"/>
        <v>51.471381264742163</v>
      </c>
      <c r="G23" s="121">
        <f t="shared" si="5"/>
        <v>47.147091641541842</v>
      </c>
      <c r="H23" s="120">
        <f t="shared" si="5"/>
        <v>29</v>
      </c>
      <c r="I23" s="120">
        <f t="shared" si="5"/>
        <v>29</v>
      </c>
      <c r="J23" s="120">
        <f t="shared" si="5"/>
        <v>29</v>
      </c>
      <c r="K23" s="120">
        <f t="shared" si="5"/>
        <v>29</v>
      </c>
      <c r="L23" s="120">
        <f t="shared" si="5"/>
        <v>29</v>
      </c>
    </row>
    <row r="25" spans="2:12" x14ac:dyDescent="0.2">
      <c r="B25" s="276"/>
      <c r="C25" s="276"/>
    </row>
    <row r="26" spans="2:12" x14ac:dyDescent="0.2">
      <c r="B26" s="111"/>
      <c r="C26" s="271" t="s">
        <v>147</v>
      </c>
      <c r="D26" s="271"/>
      <c r="E26" s="271"/>
      <c r="F26" s="271"/>
      <c r="G26" s="271"/>
      <c r="H26" s="271"/>
      <c r="I26" s="271"/>
      <c r="J26" s="271"/>
      <c r="K26" s="271"/>
      <c r="L26" s="271"/>
    </row>
    <row r="27" spans="2:12" x14ac:dyDescent="0.2">
      <c r="B27" s="16" t="s">
        <v>137</v>
      </c>
      <c r="C27" s="12">
        <f t="shared" ref="C27:L27" si="6">C6</f>
        <v>2021</v>
      </c>
      <c r="D27" s="12">
        <f t="shared" si="6"/>
        <v>2022</v>
      </c>
      <c r="E27" s="12">
        <f t="shared" si="6"/>
        <v>2023</v>
      </c>
      <c r="F27" s="12">
        <f t="shared" si="6"/>
        <v>2024</v>
      </c>
      <c r="G27" s="12">
        <f t="shared" si="6"/>
        <v>2025</v>
      </c>
      <c r="H27" s="12">
        <f t="shared" si="6"/>
        <v>2026</v>
      </c>
      <c r="I27" s="12">
        <f t="shared" si="6"/>
        <v>2027</v>
      </c>
      <c r="J27" s="12">
        <f t="shared" si="6"/>
        <v>2028</v>
      </c>
      <c r="K27" s="12">
        <f t="shared" si="6"/>
        <v>2029</v>
      </c>
      <c r="L27" s="12">
        <f t="shared" si="6"/>
        <v>2030</v>
      </c>
    </row>
    <row r="28" spans="2:12" x14ac:dyDescent="0.2">
      <c r="B28" s="1" t="s">
        <v>148</v>
      </c>
      <c r="C28" s="116">
        <f>Statement!M55</f>
        <v>-12713</v>
      </c>
      <c r="D28" s="116">
        <f>Statement!N55</f>
        <v>-13565</v>
      </c>
      <c r="E28" s="116">
        <f>Statement!O55</f>
        <v>-42247</v>
      </c>
      <c r="F28" s="116">
        <f>Statement!P55</f>
        <v>-39917</v>
      </c>
      <c r="G28" s="117">
        <f>Statement!Q55</f>
        <v>-33904</v>
      </c>
      <c r="H28" s="128">
        <f>-(H13-G13)</f>
        <v>13264.132794520614</v>
      </c>
      <c r="I28" s="128">
        <f t="shared" ref="I28:L29" si="7">-(I13-H13)</f>
        <v>-21096.849474108545</v>
      </c>
      <c r="J28" s="128">
        <f t="shared" si="7"/>
        <v>-44351.708737838839</v>
      </c>
      <c r="K28" s="128">
        <f t="shared" si="7"/>
        <v>-74911.755835770484</v>
      </c>
      <c r="L28" s="128">
        <f t="shared" si="7"/>
        <v>-100334.10584395146</v>
      </c>
    </row>
    <row r="29" spans="2:12" x14ac:dyDescent="0.2">
      <c r="B29" s="1" t="s">
        <v>149</v>
      </c>
      <c r="C29" s="116">
        <f>Statement!M56</f>
        <v>0</v>
      </c>
      <c r="D29" s="116">
        <f>Statement!N56</f>
        <v>0</v>
      </c>
      <c r="E29" s="116">
        <f>Statement!O56</f>
        <v>0</v>
      </c>
      <c r="F29" s="116">
        <f>Statement!P56</f>
        <v>0</v>
      </c>
      <c r="G29" s="117">
        <f>Statement!Q56</f>
        <v>0</v>
      </c>
      <c r="H29" s="128">
        <f>-(H14-G14)</f>
        <v>0</v>
      </c>
      <c r="I29" s="128">
        <f t="shared" si="7"/>
        <v>0</v>
      </c>
      <c r="J29" s="128">
        <f t="shared" si="7"/>
        <v>0</v>
      </c>
      <c r="K29" s="128">
        <f t="shared" si="7"/>
        <v>0</v>
      </c>
      <c r="L29" s="128">
        <f t="shared" si="7"/>
        <v>0</v>
      </c>
    </row>
    <row r="30" spans="2:12" x14ac:dyDescent="0.2">
      <c r="B30" s="1" t="s">
        <v>150</v>
      </c>
      <c r="C30" s="116">
        <f>Statement!M57</f>
        <v>5622</v>
      </c>
      <c r="D30" s="116">
        <f>Statement!N57</f>
        <v>-6655</v>
      </c>
      <c r="E30" s="116">
        <f>Statement!O57</f>
        <v>1261</v>
      </c>
      <c r="F30" s="116">
        <f>Statement!P57</f>
        <v>3934</v>
      </c>
      <c r="G30" s="117">
        <f>Statement!Q57</f>
        <v>1617</v>
      </c>
      <c r="H30" s="64">
        <f>H15-G15</f>
        <v>6891.8143351232829</v>
      </c>
      <c r="I30" s="64">
        <f t="shared" ref="I30:L30" si="8">I15-H15</f>
        <v>1796.9135179919795</v>
      </c>
      <c r="J30" s="64">
        <f t="shared" si="8"/>
        <v>4718.8540551085607</v>
      </c>
      <c r="K30" s="64">
        <f t="shared" si="8"/>
        <v>6220.8758965252855</v>
      </c>
      <c r="L30" s="64">
        <f t="shared" si="8"/>
        <v>10670.790635717749</v>
      </c>
    </row>
    <row r="31" spans="2:12" x14ac:dyDescent="0.2">
      <c r="B31" s="111"/>
      <c r="C31" s="111"/>
    </row>
    <row r="32" spans="2:12" x14ac:dyDescent="0.2">
      <c r="B32" s="111"/>
      <c r="C32" s="111"/>
    </row>
    <row r="33" spans="2:12" x14ac:dyDescent="0.2">
      <c r="B33" s="111"/>
      <c r="C33" s="271" t="s">
        <v>151</v>
      </c>
      <c r="D33" s="271"/>
      <c r="E33" s="271"/>
      <c r="F33" s="271"/>
      <c r="G33" s="271"/>
      <c r="H33" s="271"/>
      <c r="I33" s="271"/>
      <c r="J33" s="271"/>
      <c r="K33" s="271"/>
      <c r="L33" s="271"/>
    </row>
    <row r="34" spans="2:12" x14ac:dyDescent="0.2">
      <c r="B34" s="16" t="s">
        <v>137</v>
      </c>
      <c r="C34" s="12">
        <f t="shared" ref="C34:L34" si="9">C6</f>
        <v>2021</v>
      </c>
      <c r="D34" s="12">
        <f t="shared" si="9"/>
        <v>2022</v>
      </c>
      <c r="E34" s="12">
        <f t="shared" si="9"/>
        <v>2023</v>
      </c>
      <c r="F34" s="12">
        <f t="shared" si="9"/>
        <v>2024</v>
      </c>
      <c r="G34" s="12">
        <f t="shared" si="9"/>
        <v>2025</v>
      </c>
      <c r="H34" s="12">
        <f t="shared" si="9"/>
        <v>2026</v>
      </c>
      <c r="I34" s="12">
        <f t="shared" si="9"/>
        <v>2027</v>
      </c>
      <c r="J34" s="12">
        <f t="shared" si="9"/>
        <v>2028</v>
      </c>
      <c r="K34" s="12">
        <f t="shared" si="9"/>
        <v>2029</v>
      </c>
      <c r="L34" s="12">
        <f t="shared" si="9"/>
        <v>2030</v>
      </c>
    </row>
    <row r="35" spans="2:12" x14ac:dyDescent="0.2">
      <c r="B35" s="1" t="s">
        <v>152</v>
      </c>
      <c r="C35" s="116">
        <f>Statement!M55+Statement!M56+Statement!M57+Statement!M58</f>
        <v>25775</v>
      </c>
      <c r="D35" s="116">
        <f>Statement!N55+Statement!N56+Statement!N57+Statement!N58</f>
        <v>34540</v>
      </c>
      <c r="E35" s="116">
        <f>Statement!O55+Statement!O56+Statement!O57+Statement!O58</f>
        <v>34898</v>
      </c>
      <c r="F35" s="116">
        <f>Statement!P55+Statement!P56+Statement!P57+Statement!P58</f>
        <v>75921</v>
      </c>
      <c r="G35" s="117">
        <f>Statement!Q55+Statement!Q56+Statement!Q57+Statement!Q58</f>
        <v>48966</v>
      </c>
      <c r="H35" s="128">
        <f>H36+H28+H29+H30</f>
        <v>141468.05052964386</v>
      </c>
      <c r="I35" s="128">
        <f t="shared" ref="I35:L35" si="10">I36+I28+I29+I30</f>
        <v>119124.05646177143</v>
      </c>
      <c r="J35" s="128">
        <f t="shared" si="10"/>
        <v>134765.30148918254</v>
      </c>
      <c r="K35" s="128">
        <f t="shared" si="10"/>
        <v>166469.03374390371</v>
      </c>
      <c r="L35" s="128">
        <f t="shared" si="10"/>
        <v>226878.70654834242</v>
      </c>
    </row>
    <row r="36" spans="2:12" x14ac:dyDescent="0.2">
      <c r="B36" s="1" t="s">
        <v>153</v>
      </c>
      <c r="C36" s="122">
        <f>C35-C28-C29-C30</f>
        <v>32866</v>
      </c>
      <c r="D36" s="122">
        <f t="shared" ref="D36:G36" si="11">D35-D28-D29-D30</f>
        <v>54760</v>
      </c>
      <c r="E36" s="122">
        <f t="shared" si="11"/>
        <v>75884</v>
      </c>
      <c r="F36" s="122">
        <f t="shared" si="11"/>
        <v>111904</v>
      </c>
      <c r="G36" s="123">
        <f t="shared" si="11"/>
        <v>81253</v>
      </c>
      <c r="H36" s="64">
        <f>H7*H37</f>
        <v>121312.10339999996</v>
      </c>
      <c r="I36" s="64">
        <f>I7*I37</f>
        <v>138423.99241788799</v>
      </c>
      <c r="J36" s="64">
        <f>J7*J37</f>
        <v>174398.15617191282</v>
      </c>
      <c r="K36" s="64">
        <f>K7*K37</f>
        <v>235159.91368314892</v>
      </c>
      <c r="L36" s="64">
        <f>L7*L37</f>
        <v>316542.02175657614</v>
      </c>
    </row>
    <row r="37" spans="2:12" x14ac:dyDescent="0.2">
      <c r="B37" s="124" t="s">
        <v>133</v>
      </c>
      <c r="C37" s="125">
        <f>C36/C7</f>
        <v>0.13105928891582791</v>
      </c>
      <c r="D37" s="125">
        <f>D36/D7</f>
        <v>0.14820227607951394</v>
      </c>
      <c r="E37" s="125">
        <f>E36/E7</f>
        <v>0.14287839219444595</v>
      </c>
      <c r="F37" s="125">
        <f>F36/F7</f>
        <v>0.14959947809161203</v>
      </c>
      <c r="G37" s="126">
        <f>G36/G7</f>
        <v>7.8309426950362818E-2</v>
      </c>
      <c r="H37" s="98">
        <v>0.1</v>
      </c>
      <c r="I37" s="98">
        <v>0.1</v>
      </c>
      <c r="J37" s="98">
        <v>0.1</v>
      </c>
      <c r="K37" s="98">
        <v>0.1</v>
      </c>
      <c r="L37" s="98">
        <v>0.1</v>
      </c>
    </row>
    <row r="38" spans="2:12" x14ac:dyDescent="0.2">
      <c r="C38" s="64"/>
    </row>
    <row r="39" spans="2:12" x14ac:dyDescent="0.2">
      <c r="C39" s="127"/>
    </row>
    <row r="40" spans="2:12" x14ac:dyDescent="0.2">
      <c r="C40" s="271" t="s">
        <v>154</v>
      </c>
      <c r="D40" s="271"/>
      <c r="E40" s="271"/>
      <c r="F40" s="271"/>
      <c r="G40" s="271"/>
      <c r="H40" s="271"/>
      <c r="I40" s="271"/>
      <c r="J40" s="271"/>
      <c r="K40" s="271"/>
      <c r="L40" s="271"/>
    </row>
    <row r="41" spans="2:12" x14ac:dyDescent="0.2">
      <c r="B41" s="16" t="s">
        <v>137</v>
      </c>
      <c r="C41" s="12">
        <f t="shared" ref="C41:L41" si="12">C6</f>
        <v>2021</v>
      </c>
      <c r="D41" s="12">
        <f t="shared" si="12"/>
        <v>2022</v>
      </c>
      <c r="E41" s="12">
        <f t="shared" si="12"/>
        <v>2023</v>
      </c>
      <c r="F41" s="12">
        <f t="shared" si="12"/>
        <v>2024</v>
      </c>
      <c r="G41" s="12">
        <f t="shared" si="12"/>
        <v>2025</v>
      </c>
      <c r="H41" s="12">
        <f t="shared" si="12"/>
        <v>2026</v>
      </c>
      <c r="I41" s="12">
        <f t="shared" si="12"/>
        <v>2027</v>
      </c>
      <c r="J41" s="12">
        <f t="shared" si="12"/>
        <v>2028</v>
      </c>
      <c r="K41" s="12">
        <f t="shared" si="12"/>
        <v>2029</v>
      </c>
      <c r="L41" s="12">
        <f t="shared" si="12"/>
        <v>2030</v>
      </c>
    </row>
    <row r="42" spans="2:12" x14ac:dyDescent="0.2">
      <c r="B42" s="1" t="s">
        <v>58</v>
      </c>
      <c r="C42" s="116">
        <f>Statement!M53</f>
        <v>2726</v>
      </c>
      <c r="D42" s="116">
        <f>Statement!N53</f>
        <v>4870</v>
      </c>
      <c r="E42" s="116">
        <f>Statement!O53</f>
        <v>7095</v>
      </c>
      <c r="F42" s="116">
        <f>Statement!P53</f>
        <v>10854</v>
      </c>
      <c r="G42" s="117">
        <f>Statement!Q53</f>
        <v>14391</v>
      </c>
      <c r="H42" s="25">
        <f>H7*H43</f>
        <v>15770.573441999994</v>
      </c>
      <c r="I42" s="25">
        <f>I7*I43</f>
        <v>15226.639165967676</v>
      </c>
      <c r="J42" s="25">
        <f>J7*J43</f>
        <v>17439.815617191281</v>
      </c>
      <c r="K42" s="25">
        <f>K7*K43</f>
        <v>23515.991368314888</v>
      </c>
      <c r="L42" s="25">
        <f>L7*L43</f>
        <v>31654.202175657614</v>
      </c>
    </row>
    <row r="43" spans="2:12" x14ac:dyDescent="0.2">
      <c r="B43" s="124" t="s">
        <v>155</v>
      </c>
      <c r="C43" s="125">
        <f>C42/C7</f>
        <v>1.0870432105657728E-2</v>
      </c>
      <c r="D43" s="125">
        <f>D42/D7</f>
        <v>1.3180151287568167E-2</v>
      </c>
      <c r="E43" s="125">
        <f>E42/E7</f>
        <v>1.3358839710869144E-2</v>
      </c>
      <c r="F43" s="125">
        <f>F42/F7</f>
        <v>1.4510229618301018E-2</v>
      </c>
      <c r="G43" s="126">
        <f>G42/G7</f>
        <v>1.3869653591161818E-2</v>
      </c>
      <c r="H43" s="98">
        <v>1.2999999999999999E-2</v>
      </c>
      <c r="I43" s="98">
        <v>1.0999999999999999E-2</v>
      </c>
      <c r="J43" s="98">
        <v>0.01</v>
      </c>
      <c r="K43" s="98">
        <v>0.01</v>
      </c>
      <c r="L43" s="98">
        <v>0.01</v>
      </c>
    </row>
    <row r="44" spans="2:12" x14ac:dyDescent="0.2">
      <c r="B44" s="124" t="s">
        <v>156</v>
      </c>
      <c r="C44" s="125">
        <f>C42/C45</f>
        <v>0.43925233644859812</v>
      </c>
      <c r="D44" s="125">
        <f t="shared" ref="D44:L44" si="13">D42/D45</f>
        <v>0.48103516396681156</v>
      </c>
      <c r="E44" s="125">
        <f t="shared" si="13"/>
        <v>0.51848874598070738</v>
      </c>
      <c r="F44" s="125">
        <f t="shared" si="13"/>
        <v>0.51343424787133396</v>
      </c>
      <c r="G44" s="126">
        <f t="shared" si="13"/>
        <v>0.52523814737764152</v>
      </c>
      <c r="H44" s="125">
        <f t="shared" si="13"/>
        <v>0.4642857142857143</v>
      </c>
      <c r="I44" s="125">
        <f t="shared" si="13"/>
        <v>0.42307692307692307</v>
      </c>
      <c r="J44" s="125">
        <f t="shared" si="13"/>
        <v>0.39999999999999997</v>
      </c>
      <c r="K44" s="125">
        <f t="shared" si="13"/>
        <v>0.43478260869565216</v>
      </c>
      <c r="L44" s="125">
        <f t="shared" si="13"/>
        <v>0.45454545454545453</v>
      </c>
    </row>
    <row r="45" spans="2:12" x14ac:dyDescent="0.2">
      <c r="B45" s="1" t="s">
        <v>61</v>
      </c>
      <c r="C45" s="116">
        <f>-Statement!M110</f>
        <v>6206</v>
      </c>
      <c r="D45" s="116">
        <f>-Statement!N110</f>
        <v>10124</v>
      </c>
      <c r="E45" s="116">
        <f>-Statement!O110</f>
        <v>13684</v>
      </c>
      <c r="F45" s="116">
        <f>-Statement!P110</f>
        <v>21140</v>
      </c>
      <c r="G45" s="117">
        <f>-Statement!Q110</f>
        <v>27399</v>
      </c>
      <c r="H45" s="25">
        <f>H7*H46</f>
        <v>33967.388951999987</v>
      </c>
      <c r="I45" s="25">
        <f>I7*I46</f>
        <v>35990.238028650871</v>
      </c>
      <c r="J45" s="25">
        <f>J7*J46</f>
        <v>43599.539042978206</v>
      </c>
      <c r="K45" s="25">
        <f>K7*K46</f>
        <v>54086.780147124242</v>
      </c>
      <c r="L45" s="25">
        <f>L7*L46</f>
        <v>69639.244786446754</v>
      </c>
    </row>
    <row r="46" spans="2:12" x14ac:dyDescent="0.2">
      <c r="B46" s="124" t="s">
        <v>155</v>
      </c>
      <c r="C46" s="125">
        <f>C45/C7</f>
        <v>2.474757947458249E-2</v>
      </c>
      <c r="D46" s="125">
        <f>D45/D7</f>
        <v>2.7399558857359368E-2</v>
      </c>
      <c r="E46" s="125">
        <f>E45/E7</f>
        <v>2.5764955969490255E-2</v>
      </c>
      <c r="F46" s="125">
        <f>F45/F7</f>
        <v>2.8261125311487331E-2</v>
      </c>
      <c r="G46" s="126">
        <f>G45/G7</f>
        <v>2.6406409474271603E-2</v>
      </c>
      <c r="H46" s="98">
        <v>2.8000000000000001E-2</v>
      </c>
      <c r="I46" s="98">
        <v>2.5999999999999999E-2</v>
      </c>
      <c r="J46" s="98">
        <v>2.5000000000000001E-2</v>
      </c>
      <c r="K46" s="98">
        <v>2.3E-2</v>
      </c>
      <c r="L46" s="98">
        <v>2.1999999999999999E-2</v>
      </c>
    </row>
  </sheetData>
  <mergeCells count="13">
    <mergeCell ref="C40:L40"/>
    <mergeCell ref="C11:L11"/>
    <mergeCell ref="P11:Z11"/>
    <mergeCell ref="C18:L18"/>
    <mergeCell ref="B25:C25"/>
    <mergeCell ref="C26:L26"/>
    <mergeCell ref="C33:L33"/>
    <mergeCell ref="C3:G3"/>
    <mergeCell ref="H3:L3"/>
    <mergeCell ref="P3:W3"/>
    <mergeCell ref="X3:Z3"/>
    <mergeCell ref="C5:L5"/>
    <mergeCell ref="P5:Z5"/>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0CC1-03C8-8940-8079-159588699646}">
  <dimension ref="A1:AE34"/>
  <sheetViews>
    <sheetView topLeftCell="A9" zoomScale="183" workbookViewId="0">
      <selection activeCell="G16" sqref="G16"/>
    </sheetView>
  </sheetViews>
  <sheetFormatPr baseColWidth="10" defaultRowHeight="16" x14ac:dyDescent="0.2"/>
  <cols>
    <col min="1" max="1" width="2" style="84"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4.6640625" style="1" customWidth="1"/>
    <col min="19" max="29" width="10.83203125" style="1"/>
    <col min="30" max="30" width="2" style="1" customWidth="1"/>
    <col min="31" max="31" width="12.33203125" style="1" customWidth="1"/>
    <col min="32" max="16384" width="10.83203125" style="1"/>
  </cols>
  <sheetData>
    <row r="1" spans="1:31" s="84" customFormat="1" ht="18" customHeight="1" x14ac:dyDescent="0.2">
      <c r="A1" s="4"/>
      <c r="B1" s="83" t="s">
        <v>157</v>
      </c>
    </row>
    <row r="2" spans="1:31" x14ac:dyDescent="0.2">
      <c r="A2" s="4"/>
      <c r="C2" s="265" t="s">
        <v>113</v>
      </c>
      <c r="D2" s="265"/>
      <c r="E2" s="265"/>
      <c r="F2" s="265"/>
      <c r="G2" s="274"/>
      <c r="H2" s="275" t="s">
        <v>114</v>
      </c>
      <c r="I2" s="265"/>
      <c r="J2" s="265"/>
      <c r="K2" s="265"/>
      <c r="L2" s="265"/>
      <c r="S2" s="276"/>
      <c r="T2" s="276"/>
      <c r="U2" s="276"/>
      <c r="V2" s="276"/>
      <c r="W2" s="276"/>
      <c r="X2" s="276"/>
      <c r="Y2" s="276"/>
      <c r="Z2" s="276"/>
      <c r="AA2" s="276"/>
      <c r="AB2" s="276"/>
      <c r="AC2" s="276"/>
      <c r="AE2" s="111"/>
    </row>
    <row r="3" spans="1:31" ht="10" customHeight="1" x14ac:dyDescent="0.2"/>
    <row r="4" spans="1:31" ht="16" customHeight="1" x14ac:dyDescent="0.2">
      <c r="A4" s="87"/>
      <c r="B4" s="60"/>
      <c r="C4" s="271" t="s">
        <v>19</v>
      </c>
      <c r="D4" s="271"/>
      <c r="E4" s="271"/>
      <c r="F4" s="271"/>
      <c r="G4" s="271"/>
      <c r="H4" s="271"/>
      <c r="I4" s="271"/>
      <c r="J4" s="271"/>
      <c r="K4" s="271"/>
      <c r="L4" s="271"/>
      <c r="S4" s="276"/>
      <c r="T4" s="276"/>
      <c r="U4" s="276"/>
      <c r="V4" s="276"/>
      <c r="W4" s="276"/>
      <c r="X4" s="276"/>
      <c r="Y4" s="276"/>
      <c r="Z4" s="276"/>
      <c r="AA4" s="276"/>
      <c r="AB4" s="276"/>
      <c r="AC4" s="276"/>
      <c r="AE4" s="112"/>
    </row>
    <row r="5" spans="1:31" x14ac:dyDescent="0.2">
      <c r="B5" s="16" t="s">
        <v>137</v>
      </c>
      <c r="C5" s="12">
        <f>Revenue!C5</f>
        <v>2021</v>
      </c>
      <c r="D5" s="12">
        <f>Revenue!D5</f>
        <v>2022</v>
      </c>
      <c r="E5" s="12">
        <f>Revenue!E5</f>
        <v>2023</v>
      </c>
      <c r="F5" s="12">
        <f>Revenue!F5</f>
        <v>2024</v>
      </c>
      <c r="G5" s="12">
        <f>Revenue!G5</f>
        <v>2025</v>
      </c>
      <c r="H5" s="12">
        <f>G5+1</f>
        <v>2026</v>
      </c>
      <c r="I5" s="12">
        <f t="shared" ref="I5:L5" si="0">H5+1</f>
        <v>2027</v>
      </c>
      <c r="J5" s="12">
        <f t="shared" si="0"/>
        <v>2028</v>
      </c>
      <c r="K5" s="12">
        <f t="shared" si="0"/>
        <v>2029</v>
      </c>
      <c r="L5" s="12">
        <f t="shared" si="0"/>
        <v>2030</v>
      </c>
      <c r="R5" s="16"/>
      <c r="S5" s="113"/>
      <c r="T5" s="113"/>
      <c r="U5" s="113"/>
      <c r="V5" s="113"/>
      <c r="W5" s="113"/>
      <c r="X5" s="113"/>
      <c r="Y5" s="113"/>
      <c r="Z5" s="113"/>
      <c r="AA5" s="113"/>
      <c r="AB5" s="113"/>
      <c r="AC5" s="113"/>
      <c r="AE5" s="112"/>
    </row>
    <row r="6" spans="1:31" x14ac:dyDescent="0.2">
      <c r="B6" s="16" t="s">
        <v>20</v>
      </c>
      <c r="C6" s="93">
        <f>Revenue!C11</f>
        <v>250772</v>
      </c>
      <c r="D6" s="93">
        <f>Revenue!D11</f>
        <v>369495</v>
      </c>
      <c r="E6" s="93">
        <f>Revenue!E11</f>
        <v>531109</v>
      </c>
      <c r="F6" s="93">
        <f>Revenue!F11</f>
        <v>748024</v>
      </c>
      <c r="G6" s="94">
        <f>Revenue!G11</f>
        <v>1037589</v>
      </c>
      <c r="H6" s="93">
        <f>Revenue!H11</f>
        <v>1213121.0339999995</v>
      </c>
      <c r="I6" s="93">
        <f>Revenue!I11</f>
        <v>1384239.9241788797</v>
      </c>
      <c r="J6" s="93">
        <f>Revenue!J11</f>
        <v>1743981.5617191282</v>
      </c>
      <c r="K6" s="93">
        <f>Revenue!K11</f>
        <v>2351599.1368314889</v>
      </c>
      <c r="L6" s="93">
        <f>Revenue!L11</f>
        <v>3165420.2175657614</v>
      </c>
      <c r="N6" s="91" t="s">
        <v>158</v>
      </c>
      <c r="Q6" s="91"/>
      <c r="S6" s="89"/>
      <c r="T6" s="89"/>
      <c r="U6" s="89"/>
      <c r="V6" s="89"/>
      <c r="W6" s="89"/>
      <c r="X6" s="89"/>
      <c r="Y6" s="89"/>
      <c r="Z6" s="89"/>
      <c r="AA6" s="64"/>
      <c r="AB6" s="64"/>
      <c r="AC6" s="64"/>
      <c r="AE6" s="64"/>
    </row>
    <row r="7" spans="1:31" x14ac:dyDescent="0.2">
      <c r="B7" s="1" t="s">
        <v>21</v>
      </c>
      <c r="C7" s="89">
        <f>'COGS &amp; OpEx'!C11</f>
        <v>69186</v>
      </c>
      <c r="D7" s="89">
        <f>'COGS &amp; OpEx'!D11</f>
        <v>99431</v>
      </c>
      <c r="E7" s="89">
        <f>'COGS &amp; OpEx'!E11</f>
        <v>142105</v>
      </c>
      <c r="F7" s="89">
        <f>'COGS &amp; OpEx'!F11</f>
        <v>203645</v>
      </c>
      <c r="G7" s="90">
        <f>'COGS &amp; OpEx'!G11</f>
        <v>288132</v>
      </c>
      <c r="H7" s="114">
        <f>'COGS &amp; OpEx'!H11</f>
        <v>339673.88951999991</v>
      </c>
      <c r="I7" s="114">
        <f>'COGS &amp; OpEx'!I11</f>
        <v>380665.97914919193</v>
      </c>
      <c r="J7" s="114">
        <f>'COGS &amp; OpEx'!J11</f>
        <v>488314.83728135593</v>
      </c>
      <c r="K7" s="114">
        <f>'COGS &amp; OpEx'!K11</f>
        <v>630228.56867083907</v>
      </c>
      <c r="L7" s="114">
        <f>'COGS &amp; OpEx'!L11</f>
        <v>873655.98004815017</v>
      </c>
      <c r="N7" s="91" t="s">
        <v>159</v>
      </c>
      <c r="Q7" s="91"/>
      <c r="S7" s="89"/>
      <c r="T7" s="89"/>
      <c r="U7" s="89"/>
      <c r="V7" s="89"/>
      <c r="W7" s="89"/>
      <c r="X7" s="89"/>
      <c r="Y7" s="89"/>
      <c r="Z7" s="89"/>
      <c r="AA7" s="64"/>
      <c r="AB7" s="64"/>
      <c r="AC7" s="64"/>
      <c r="AE7" s="64"/>
    </row>
    <row r="8" spans="1:31" x14ac:dyDescent="0.2">
      <c r="B8" s="16" t="s">
        <v>160</v>
      </c>
      <c r="C8" s="95">
        <f>C6-C7</f>
        <v>181586</v>
      </c>
      <c r="D8" s="95">
        <f t="shared" ref="D8:L8" si="1">D6-D7</f>
        <v>270064</v>
      </c>
      <c r="E8" s="95">
        <f t="shared" si="1"/>
        <v>389004</v>
      </c>
      <c r="F8" s="95">
        <f t="shared" si="1"/>
        <v>544379</v>
      </c>
      <c r="G8" s="129">
        <f t="shared" si="1"/>
        <v>749457</v>
      </c>
      <c r="H8" s="95">
        <f t="shared" si="1"/>
        <v>873447.14447999955</v>
      </c>
      <c r="I8" s="95">
        <f t="shared" si="1"/>
        <v>1003573.9450296878</v>
      </c>
      <c r="J8" s="95">
        <f t="shared" si="1"/>
        <v>1255666.7244377723</v>
      </c>
      <c r="K8" s="95">
        <f t="shared" si="1"/>
        <v>1721370.5681606499</v>
      </c>
      <c r="L8" s="95">
        <f t="shared" si="1"/>
        <v>2291764.2375176111</v>
      </c>
      <c r="N8" s="91"/>
      <c r="Q8" s="91"/>
      <c r="S8" s="89"/>
      <c r="T8" s="89"/>
      <c r="U8" s="89"/>
      <c r="V8" s="89"/>
      <c r="W8" s="89"/>
      <c r="X8" s="89"/>
      <c r="Y8" s="89"/>
      <c r="Z8" s="89"/>
      <c r="AA8" s="64"/>
      <c r="AB8" s="64"/>
      <c r="AC8" s="64"/>
      <c r="AE8" s="64"/>
    </row>
    <row r="9" spans="1:31" x14ac:dyDescent="0.2">
      <c r="B9" s="1" t="s">
        <v>26</v>
      </c>
      <c r="C9" s="89">
        <f>'COGS &amp; OpEx'!C15</f>
        <v>241593</v>
      </c>
      <c r="D9" s="89">
        <f>'COGS &amp; OpEx'!D15</f>
        <v>335259</v>
      </c>
      <c r="E9" s="89">
        <f>'COGS &amp; OpEx'!E15</f>
        <v>402263</v>
      </c>
      <c r="F9" s="89">
        <f>'COGS &amp; OpEx'!F15</f>
        <v>481784</v>
      </c>
      <c r="G9" s="90">
        <f>'COGS &amp; OpEx'!G15</f>
        <v>613887</v>
      </c>
      <c r="H9" s="114">
        <f>'COGS &amp; OpEx'!H15</f>
        <v>800659.88243999972</v>
      </c>
      <c r="I9" s="114">
        <f>'COGS &amp; OpEx'!I15</f>
        <v>823622.75488643337</v>
      </c>
      <c r="J9" s="114">
        <f>'COGS &amp; OpEx'!J15</f>
        <v>1011509.3057970942</v>
      </c>
      <c r="K9" s="114">
        <f>'COGS &amp; OpEx'!K15</f>
        <v>1410959.4820988933</v>
      </c>
      <c r="L9" s="114">
        <f>'COGS &amp; OpEx'!L15</f>
        <v>1804289.5240124841</v>
      </c>
      <c r="N9" s="130" t="s">
        <v>159</v>
      </c>
      <c r="Q9" s="91"/>
      <c r="S9" s="89"/>
      <c r="T9" s="89"/>
      <c r="U9" s="89"/>
      <c r="V9" s="89"/>
      <c r="W9" s="89"/>
      <c r="X9" s="89"/>
      <c r="Y9" s="89"/>
      <c r="Z9" s="89"/>
      <c r="AA9" s="64"/>
      <c r="AB9" s="64"/>
      <c r="AC9" s="64"/>
      <c r="AE9" s="64"/>
    </row>
    <row r="10" spans="1:31" x14ac:dyDescent="0.2">
      <c r="B10" s="16" t="s">
        <v>161</v>
      </c>
      <c r="C10" s="95">
        <f t="shared" ref="C10:L10" si="2">C8-C9</f>
        <v>-60007</v>
      </c>
      <c r="D10" s="95">
        <f t="shared" si="2"/>
        <v>-65195</v>
      </c>
      <c r="E10" s="95">
        <f t="shared" si="2"/>
        <v>-13259</v>
      </c>
      <c r="F10" s="95">
        <f t="shared" si="2"/>
        <v>62595</v>
      </c>
      <c r="G10" s="129">
        <f t="shared" si="2"/>
        <v>135570</v>
      </c>
      <c r="H10" s="95">
        <f t="shared" si="2"/>
        <v>72787.262039999827</v>
      </c>
      <c r="I10" s="95">
        <f t="shared" si="2"/>
        <v>179951.19014325447</v>
      </c>
      <c r="J10" s="95">
        <f t="shared" si="2"/>
        <v>244157.41864067805</v>
      </c>
      <c r="K10" s="95">
        <f t="shared" si="2"/>
        <v>310411.08606175659</v>
      </c>
      <c r="L10" s="95">
        <f t="shared" si="2"/>
        <v>487474.713505127</v>
      </c>
      <c r="N10" s="91"/>
      <c r="Q10" s="91"/>
      <c r="S10" s="89"/>
      <c r="T10" s="89"/>
      <c r="U10" s="89"/>
      <c r="V10" s="89"/>
      <c r="W10" s="89"/>
      <c r="X10" s="89"/>
      <c r="Y10" s="89"/>
      <c r="Z10" s="89"/>
      <c r="AA10" s="64"/>
      <c r="AB10" s="64"/>
      <c r="AC10" s="64"/>
      <c r="AE10" s="64"/>
    </row>
    <row r="13" spans="1:31" x14ac:dyDescent="0.2">
      <c r="C13" s="271" t="s">
        <v>162</v>
      </c>
      <c r="D13" s="271"/>
      <c r="E13" s="271"/>
      <c r="F13" s="271"/>
      <c r="G13" s="271"/>
      <c r="H13" s="271"/>
      <c r="I13" s="271"/>
      <c r="J13" s="271"/>
      <c r="K13" s="271"/>
      <c r="L13" s="271"/>
    </row>
    <row r="14" spans="1:31" x14ac:dyDescent="0.2">
      <c r="C14" s="12">
        <f t="shared" ref="C14:L14" si="3">C5</f>
        <v>2021</v>
      </c>
      <c r="D14" s="12">
        <f t="shared" si="3"/>
        <v>2022</v>
      </c>
      <c r="E14" s="12">
        <f t="shared" si="3"/>
        <v>2023</v>
      </c>
      <c r="F14" s="12">
        <f t="shared" si="3"/>
        <v>2024</v>
      </c>
      <c r="G14" s="12">
        <f t="shared" si="3"/>
        <v>2025</v>
      </c>
      <c r="H14" s="12">
        <f t="shared" si="3"/>
        <v>2026</v>
      </c>
      <c r="I14" s="12">
        <f t="shared" si="3"/>
        <v>2027</v>
      </c>
      <c r="J14" s="12">
        <f t="shared" si="3"/>
        <v>2028</v>
      </c>
      <c r="K14" s="12">
        <f t="shared" si="3"/>
        <v>2029</v>
      </c>
      <c r="L14" s="12">
        <f t="shared" si="3"/>
        <v>2030</v>
      </c>
    </row>
    <row r="15" spans="1:31" x14ac:dyDescent="0.2">
      <c r="B15" s="1" t="s">
        <v>74</v>
      </c>
      <c r="C15" s="131">
        <f>Statement!M83</f>
        <v>0</v>
      </c>
      <c r="D15" s="131">
        <f>Statement!N83</f>
        <v>1.599699843099802E-2</v>
      </c>
      <c r="E15" s="131">
        <f>Statement!O83</f>
        <v>9.6191708387241948E-2</v>
      </c>
      <c r="F15" s="131">
        <f>Statement!P83</f>
        <v>0.13422477665044083</v>
      </c>
      <c r="G15" s="132">
        <f>Statement!Q83</f>
        <v>0.13730058659064745</v>
      </c>
      <c r="H15" s="131">
        <f>Overview!$C$26</f>
        <v>0.21</v>
      </c>
      <c r="I15" s="131">
        <f>Overview!$C$26</f>
        <v>0.21</v>
      </c>
      <c r="J15" s="131">
        <f>Overview!$C$26</f>
        <v>0.21</v>
      </c>
      <c r="K15" s="131">
        <f>Overview!$C$26</f>
        <v>0.21</v>
      </c>
      <c r="L15" s="131">
        <f>Overview!$C$26</f>
        <v>0.21</v>
      </c>
      <c r="N15" s="1" t="s">
        <v>167</v>
      </c>
    </row>
    <row r="18" spans="2:14" x14ac:dyDescent="0.2">
      <c r="C18" s="271" t="s">
        <v>163</v>
      </c>
      <c r="D18" s="271"/>
      <c r="E18" s="271"/>
      <c r="F18" s="271"/>
      <c r="G18" s="271"/>
      <c r="H18" s="271"/>
      <c r="I18" s="271"/>
      <c r="J18" s="271"/>
      <c r="K18" s="271"/>
      <c r="L18" s="271"/>
    </row>
    <row r="19" spans="2:14" x14ac:dyDescent="0.2">
      <c r="B19" s="16" t="s">
        <v>137</v>
      </c>
      <c r="C19" s="12">
        <f t="shared" ref="C19:L19" si="4">C5</f>
        <v>2021</v>
      </c>
      <c r="D19" s="12">
        <f t="shared" si="4"/>
        <v>2022</v>
      </c>
      <c r="E19" s="12">
        <f t="shared" si="4"/>
        <v>2023</v>
      </c>
      <c r="F19" s="12">
        <f t="shared" si="4"/>
        <v>2024</v>
      </c>
      <c r="G19" s="12">
        <f t="shared" si="4"/>
        <v>2025</v>
      </c>
      <c r="H19" s="12">
        <f t="shared" si="4"/>
        <v>2026</v>
      </c>
      <c r="I19" s="12">
        <f t="shared" si="4"/>
        <v>2027</v>
      </c>
      <c r="J19" s="12">
        <f t="shared" si="4"/>
        <v>2028</v>
      </c>
      <c r="K19" s="12">
        <f t="shared" si="4"/>
        <v>2029</v>
      </c>
      <c r="L19" s="12">
        <f t="shared" si="4"/>
        <v>2030</v>
      </c>
    </row>
    <row r="20" spans="2:14" x14ac:dyDescent="0.2">
      <c r="B20" s="1" t="s">
        <v>58</v>
      </c>
      <c r="C20" s="89">
        <f>'WC &amp; Investments'!C42</f>
        <v>2726</v>
      </c>
      <c r="D20" s="89">
        <f>'WC &amp; Investments'!D42</f>
        <v>4870</v>
      </c>
      <c r="E20" s="89">
        <f>'WC &amp; Investments'!E42</f>
        <v>7095</v>
      </c>
      <c r="F20" s="89">
        <f>'WC &amp; Investments'!F42</f>
        <v>10854</v>
      </c>
      <c r="G20" s="90">
        <f>'WC &amp; Investments'!G42</f>
        <v>14391</v>
      </c>
      <c r="H20" s="89">
        <f>'WC &amp; Investments'!H42</f>
        <v>15770.573441999994</v>
      </c>
      <c r="I20" s="89">
        <f>'WC &amp; Investments'!I42</f>
        <v>15226.639165967676</v>
      </c>
      <c r="J20" s="89">
        <f>'WC &amp; Investments'!J42</f>
        <v>17439.815617191281</v>
      </c>
      <c r="K20" s="89">
        <f>'WC &amp; Investments'!K42</f>
        <v>23515.991368314888</v>
      </c>
      <c r="L20" s="89">
        <f>'WC &amp; Investments'!L42</f>
        <v>31654.202175657614</v>
      </c>
      <c r="N20" s="1" t="s">
        <v>164</v>
      </c>
    </row>
    <row r="21" spans="2:14" x14ac:dyDescent="0.2">
      <c r="B21" s="1" t="s">
        <v>61</v>
      </c>
      <c r="C21" s="89">
        <f>'WC &amp; Investments'!C45</f>
        <v>6206</v>
      </c>
      <c r="D21" s="89">
        <f>'WC &amp; Investments'!D45</f>
        <v>10124</v>
      </c>
      <c r="E21" s="89">
        <f>'WC &amp; Investments'!E45</f>
        <v>13684</v>
      </c>
      <c r="F21" s="89">
        <f>'WC &amp; Investments'!F45</f>
        <v>21140</v>
      </c>
      <c r="G21" s="90">
        <f>'WC &amp; Investments'!G45</f>
        <v>27399</v>
      </c>
      <c r="H21" s="89">
        <f>'WC &amp; Investments'!H45</f>
        <v>33967.388951999987</v>
      </c>
      <c r="I21" s="89">
        <f>'WC &amp; Investments'!I45</f>
        <v>35990.238028650871</v>
      </c>
      <c r="J21" s="89">
        <f>'WC &amp; Investments'!J45</f>
        <v>43599.539042978206</v>
      </c>
      <c r="K21" s="89">
        <f>'WC &amp; Investments'!K45</f>
        <v>54086.780147124242</v>
      </c>
      <c r="L21" s="89">
        <f>'WC &amp; Investments'!L45</f>
        <v>69639.244786446754</v>
      </c>
      <c r="N21" s="1" t="s">
        <v>164</v>
      </c>
    </row>
    <row r="22" spans="2:14" x14ac:dyDescent="0.2">
      <c r="B22" s="1" t="s">
        <v>165</v>
      </c>
      <c r="C22" s="89">
        <f>'WC &amp; Investments'!C35</f>
        <v>25775</v>
      </c>
      <c r="D22" s="89">
        <f>'WC &amp; Investments'!D35</f>
        <v>34540</v>
      </c>
      <c r="E22" s="89">
        <f>'WC &amp; Investments'!E35</f>
        <v>34898</v>
      </c>
      <c r="F22" s="89">
        <f>'WC &amp; Investments'!F35</f>
        <v>75921</v>
      </c>
      <c r="G22" s="90">
        <f>'WC &amp; Investments'!G35</f>
        <v>48966</v>
      </c>
      <c r="H22" s="89">
        <f>'WC &amp; Investments'!H35</f>
        <v>141468.05052964386</v>
      </c>
      <c r="I22" s="89">
        <f>'WC &amp; Investments'!I35</f>
        <v>119124.05646177143</v>
      </c>
      <c r="J22" s="89">
        <f>'WC &amp; Investments'!J35</f>
        <v>134765.30148918254</v>
      </c>
      <c r="K22" s="89">
        <f>'WC &amp; Investments'!K35</f>
        <v>166469.03374390371</v>
      </c>
      <c r="L22" s="89">
        <f>'WC &amp; Investments'!L35</f>
        <v>226878.70654834242</v>
      </c>
      <c r="N22" s="1" t="s">
        <v>164</v>
      </c>
    </row>
    <row r="25" spans="2:14" x14ac:dyDescent="0.2">
      <c r="C25" s="271" t="s">
        <v>266</v>
      </c>
      <c r="D25" s="271"/>
      <c r="E25" s="271"/>
      <c r="F25" s="271"/>
      <c r="G25" s="271"/>
      <c r="H25" s="271"/>
      <c r="I25" s="271"/>
      <c r="J25" s="271"/>
      <c r="K25" s="271"/>
      <c r="L25" s="271"/>
    </row>
    <row r="26" spans="2:14" x14ac:dyDescent="0.2">
      <c r="B26" s="16" t="s">
        <v>137</v>
      </c>
      <c r="C26" s="12">
        <f t="shared" ref="C26:L26" si="5">C5</f>
        <v>2021</v>
      </c>
      <c r="D26" s="12">
        <f t="shared" si="5"/>
        <v>2022</v>
      </c>
      <c r="E26" s="12">
        <f t="shared" si="5"/>
        <v>2023</v>
      </c>
      <c r="F26" s="12">
        <f t="shared" si="5"/>
        <v>2024</v>
      </c>
      <c r="G26" s="12">
        <f t="shared" si="5"/>
        <v>2025</v>
      </c>
      <c r="H26" s="12">
        <f t="shared" si="5"/>
        <v>2026</v>
      </c>
      <c r="I26" s="12">
        <f t="shared" si="5"/>
        <v>2027</v>
      </c>
      <c r="J26" s="12">
        <f t="shared" si="5"/>
        <v>2028</v>
      </c>
      <c r="K26" s="12">
        <f t="shared" si="5"/>
        <v>2029</v>
      </c>
      <c r="L26" s="12">
        <f t="shared" si="5"/>
        <v>2030</v>
      </c>
    </row>
    <row r="27" spans="2:14" x14ac:dyDescent="0.2">
      <c r="B27" s="1" t="s">
        <v>166</v>
      </c>
      <c r="C27" s="128">
        <f>C10*(1-C15)</f>
        <v>-60007</v>
      </c>
      <c r="D27" s="128">
        <f t="shared" ref="D27:L27" si="6">D10*(1-D15)</f>
        <v>-64152.075687291086</v>
      </c>
      <c r="E27" s="128">
        <f t="shared" si="6"/>
        <v>-11983.59413849356</v>
      </c>
      <c r="F27" s="128">
        <f t="shared" si="6"/>
        <v>54193.200105565651</v>
      </c>
      <c r="G27" s="133">
        <f t="shared" si="6"/>
        <v>116956.15947590592</v>
      </c>
      <c r="H27" s="128">
        <f t="shared" si="6"/>
        <v>57501.937011599868</v>
      </c>
      <c r="I27" s="128">
        <f t="shared" si="6"/>
        <v>142161.44021317104</v>
      </c>
      <c r="J27" s="128">
        <f t="shared" si="6"/>
        <v>192884.36072613567</v>
      </c>
      <c r="K27" s="128">
        <f t="shared" si="6"/>
        <v>245224.75798878772</v>
      </c>
      <c r="L27" s="128">
        <f t="shared" si="6"/>
        <v>385105.02366905037</v>
      </c>
    </row>
    <row r="28" spans="2:14" x14ac:dyDescent="0.2">
      <c r="B28" s="16" t="s">
        <v>266</v>
      </c>
      <c r="C28" s="95">
        <f>C27+C20-C21+C22</f>
        <v>-37712</v>
      </c>
      <c r="D28" s="95">
        <f t="shared" ref="D28:L28" si="7">D27+D20-D21+D22</f>
        <v>-34866.075687291086</v>
      </c>
      <c r="E28" s="95">
        <f t="shared" si="7"/>
        <v>16325.405861506442</v>
      </c>
      <c r="F28" s="95">
        <f t="shared" si="7"/>
        <v>119828.20010556566</v>
      </c>
      <c r="G28" s="129">
        <f t="shared" si="7"/>
        <v>152914.15947590594</v>
      </c>
      <c r="H28" s="95">
        <f t="shared" si="7"/>
        <v>180773.17203124374</v>
      </c>
      <c r="I28" s="95">
        <f t="shared" si="7"/>
        <v>240521.89781225927</v>
      </c>
      <c r="J28" s="95">
        <f t="shared" si="7"/>
        <v>301489.9387895313</v>
      </c>
      <c r="K28" s="95">
        <f t="shared" si="7"/>
        <v>381123.0029538821</v>
      </c>
      <c r="L28" s="95">
        <f t="shared" si="7"/>
        <v>573998.68760660361</v>
      </c>
    </row>
    <row r="31" spans="2:14" x14ac:dyDescent="0.2">
      <c r="C31" s="271" t="s">
        <v>78</v>
      </c>
      <c r="D31" s="271"/>
      <c r="E31" s="271"/>
      <c r="F31" s="271"/>
      <c r="G31" s="271"/>
      <c r="H31" s="271"/>
      <c r="I31" s="271"/>
      <c r="J31" s="271"/>
      <c r="K31" s="271"/>
      <c r="L31" s="271"/>
    </row>
    <row r="32" spans="2:14" x14ac:dyDescent="0.2">
      <c r="B32" s="16" t="s">
        <v>337</v>
      </c>
      <c r="C32" s="12">
        <f>C5</f>
        <v>2021</v>
      </c>
      <c r="D32" s="12">
        <f t="shared" ref="D32:L32" si="8">D5</f>
        <v>2022</v>
      </c>
      <c r="E32" s="12">
        <f t="shared" si="8"/>
        <v>2023</v>
      </c>
      <c r="F32" s="12">
        <f t="shared" si="8"/>
        <v>2024</v>
      </c>
      <c r="G32" s="12">
        <f t="shared" si="8"/>
        <v>2025</v>
      </c>
      <c r="H32" s="12">
        <f t="shared" si="8"/>
        <v>2026</v>
      </c>
      <c r="I32" s="12">
        <f t="shared" si="8"/>
        <v>2027</v>
      </c>
      <c r="J32" s="12">
        <f t="shared" si="8"/>
        <v>2028</v>
      </c>
      <c r="K32" s="12">
        <f t="shared" si="8"/>
        <v>2029</v>
      </c>
      <c r="L32" s="12">
        <f t="shared" si="8"/>
        <v>2030</v>
      </c>
    </row>
    <row r="33" spans="2:12" x14ac:dyDescent="0.2">
      <c r="B33" s="1" t="s">
        <v>79</v>
      </c>
      <c r="C33" s="131">
        <f>Statement!M101</f>
        <v>0.72410795463608379</v>
      </c>
      <c r="D33" s="131">
        <f>Statement!N101</f>
        <v>0.73090028281844144</v>
      </c>
      <c r="E33" s="131">
        <f>Statement!O101</f>
        <v>0.7324372209847696</v>
      </c>
      <c r="F33" s="131">
        <f>Statement!P101</f>
        <v>0.72775606130284587</v>
      </c>
      <c r="G33" s="132">
        <f>Statement!Q101</f>
        <v>0.7223062310799363</v>
      </c>
      <c r="H33" s="215">
        <f>H8/H6</f>
        <v>0.71999999999999986</v>
      </c>
      <c r="I33" s="215">
        <f t="shared" ref="I33:L33" si="9">I8/I6</f>
        <v>0.72500000000000009</v>
      </c>
      <c r="J33" s="215">
        <f t="shared" si="9"/>
        <v>0.72</v>
      </c>
      <c r="K33" s="215">
        <f t="shared" si="9"/>
        <v>0.73199999999999998</v>
      </c>
      <c r="L33" s="215">
        <f t="shared" si="9"/>
        <v>0.72399999999999998</v>
      </c>
    </row>
    <row r="34" spans="2:12" x14ac:dyDescent="0.2">
      <c r="B34" s="1" t="s">
        <v>80</v>
      </c>
      <c r="C34" s="131">
        <f>Statement!M102</f>
        <v>-0.23928907533536439</v>
      </c>
      <c r="D34" s="131">
        <f>Statement!N102</f>
        <v>-0.17644352426961121</v>
      </c>
      <c r="E34" s="131">
        <f>Statement!O102</f>
        <v>-2.4964743583708805E-2</v>
      </c>
      <c r="F34" s="131">
        <f>Statement!P102</f>
        <v>8.3680470145342925E-2</v>
      </c>
      <c r="G34" s="132">
        <f>Statement!Q102</f>
        <v>0.13065867120796384</v>
      </c>
      <c r="H34" s="215">
        <f>H10/H6</f>
        <v>5.999999999999988E-2</v>
      </c>
      <c r="I34" s="215">
        <f t="shared" ref="I34:L34" si="10">I10/I6</f>
        <v>0.13000000000000009</v>
      </c>
      <c r="J34" s="215">
        <f t="shared" si="10"/>
        <v>0.14000000000000007</v>
      </c>
      <c r="K34" s="215">
        <f t="shared" si="10"/>
        <v>0.13200000000000003</v>
      </c>
      <c r="L34" s="215">
        <f t="shared" si="10"/>
        <v>0.15399999999999991</v>
      </c>
    </row>
  </sheetData>
  <mergeCells count="10">
    <mergeCell ref="C31:L31"/>
    <mergeCell ref="C25:L25"/>
    <mergeCell ref="C2:G2"/>
    <mergeCell ref="H2:L2"/>
    <mergeCell ref="S2:Z2"/>
    <mergeCell ref="AA2:AC2"/>
    <mergeCell ref="C4:L4"/>
    <mergeCell ref="S4:AC4"/>
    <mergeCell ref="C13:L13"/>
    <mergeCell ref="C18:L18"/>
  </mergeCells>
  <pageMargins left="0.7" right="0.7" top="0.75" bottom="0.75" header="0.3" footer="0.3"/>
  <ignoredErrors>
    <ignoredError sqref="C9:L9"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B80D-D3C0-DD46-8304-4441946EF9E3}">
  <sheetPr>
    <tabColor theme="6" tint="0.59999389629810485"/>
  </sheetPr>
  <dimension ref="B5:H13"/>
  <sheetViews>
    <sheetView workbookViewId="0">
      <selection activeCell="H6" sqref="H6"/>
    </sheetView>
  </sheetViews>
  <sheetFormatPr baseColWidth="10" defaultRowHeight="16" x14ac:dyDescent="0.2"/>
  <cols>
    <col min="1" max="7" width="10.83203125" style="1"/>
    <col min="8" max="8" width="17.33203125" style="1" customWidth="1"/>
    <col min="9" max="16384" width="10.83203125" style="1"/>
  </cols>
  <sheetData>
    <row r="5" spans="2:8" x14ac:dyDescent="0.2">
      <c r="H5" s="134" t="s">
        <v>440</v>
      </c>
    </row>
    <row r="6" spans="2:8" x14ac:dyDescent="0.2">
      <c r="H6" s="257" t="s">
        <v>445</v>
      </c>
    </row>
    <row r="7" spans="2:8" x14ac:dyDescent="0.2">
      <c r="H7" s="257" t="s">
        <v>441</v>
      </c>
    </row>
    <row r="8" spans="2:8" x14ac:dyDescent="0.2">
      <c r="H8" s="257" t="s">
        <v>442</v>
      </c>
    </row>
    <row r="9" spans="2:8" x14ac:dyDescent="0.2">
      <c r="H9" s="257" t="s">
        <v>443</v>
      </c>
    </row>
    <row r="10" spans="2:8" x14ac:dyDescent="0.2">
      <c r="H10" s="258" t="s">
        <v>444</v>
      </c>
    </row>
    <row r="13" spans="2:8" s="4" customFormat="1" ht="49" x14ac:dyDescent="0.2">
      <c r="B13" s="3" t="s">
        <v>168</v>
      </c>
    </row>
  </sheetData>
  <hyperlinks>
    <hyperlink ref="H6" location="Overview!B3" display="Overview'!B3" xr:uid="{BD4BBD1D-850C-C04D-9BCC-AF07CB5BD671}"/>
    <hyperlink ref="H8" location="'Analysis -&gt;'!B13" display="'Analysis -&gt;'!B13" xr:uid="{E2C5673D-D268-9E48-A2FB-31DB6DD94B6A}"/>
    <hyperlink ref="H9" location="'Forecast -&gt;'!B13" display="'Forecast -&gt;'!B13" xr:uid="{385C5B83-2040-6A4E-959F-22FA9A190462}"/>
    <hyperlink ref="H10" location="'Valuation -&gt;'!B13" display="'Valuation -&gt;'!B13" xr:uid="{9CC1EBF3-31DF-3540-A9CC-5B8E246ED24F}"/>
    <hyperlink ref="H7" location="'Financials -&gt;'!B13" display="'Financials -&gt;'!B13" xr:uid="{54A00459-1C54-A141-837E-D62AA2660345}"/>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FE7C-2B1B-7C49-B055-001352253955}">
  <dimension ref="A1:C20"/>
  <sheetViews>
    <sheetView topLeftCell="A12" zoomScale="171" zoomScaleNormal="65" workbookViewId="0">
      <selection activeCell="C19" sqref="C19"/>
    </sheetView>
  </sheetViews>
  <sheetFormatPr baseColWidth="10" defaultRowHeight="16" x14ac:dyDescent="0.2"/>
  <cols>
    <col min="1" max="1" width="2" style="84" customWidth="1"/>
    <col min="2" max="2" width="34.6640625" style="1" customWidth="1"/>
    <col min="3" max="3" width="11.6640625" style="1" bestFit="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3" s="84" customFormat="1" ht="18" customHeight="1" x14ac:dyDescent="0.2">
      <c r="A1" s="4"/>
      <c r="B1" s="83" t="s">
        <v>169</v>
      </c>
    </row>
    <row r="2" spans="1:3" s="84" customFormat="1" ht="18" customHeight="1" x14ac:dyDescent="0.2">
      <c r="A2" s="4"/>
      <c r="B2" s="83"/>
    </row>
    <row r="3" spans="1:3" ht="17" customHeight="1" x14ac:dyDescent="0.2"/>
    <row r="4" spans="1:3" ht="17" customHeight="1" x14ac:dyDescent="0.2">
      <c r="B4" s="265" t="s">
        <v>170</v>
      </c>
      <c r="C4" s="265"/>
    </row>
    <row r="5" spans="1:3" ht="17" customHeight="1" x14ac:dyDescent="0.2">
      <c r="B5" s="1" t="s">
        <v>171</v>
      </c>
      <c r="C5" s="138">
        <f>Statement!AC78</f>
        <v>50122</v>
      </c>
    </row>
    <row r="6" spans="1:3" ht="17" customHeight="1" x14ac:dyDescent="0.2">
      <c r="B6" s="1" t="s">
        <v>1</v>
      </c>
      <c r="C6" s="135">
        <f ca="1">Overview!C5</f>
        <v>143.04</v>
      </c>
    </row>
    <row r="7" spans="1:3" ht="17" customHeight="1" x14ac:dyDescent="0.2">
      <c r="B7" s="1" t="s">
        <v>172</v>
      </c>
      <c r="C7" s="136">
        <f ca="1">C5*C6</f>
        <v>7169450.8799999999</v>
      </c>
    </row>
    <row r="8" spans="1:3" ht="17" customHeight="1" x14ac:dyDescent="0.2">
      <c r="B8" s="1" t="s">
        <v>173</v>
      </c>
      <c r="C8" s="114">
        <f>Statement!AC108</f>
        <v>0</v>
      </c>
    </row>
    <row r="9" spans="1:3" ht="17" customHeight="1" x14ac:dyDescent="0.2">
      <c r="B9" s="1" t="s">
        <v>174</v>
      </c>
      <c r="C9" s="137">
        <f ca="1">Overview!F27</f>
        <v>4.9530000000000005E-2</v>
      </c>
    </row>
    <row r="10" spans="1:3" ht="17" customHeight="1" x14ac:dyDescent="0.2">
      <c r="B10" s="1" t="s">
        <v>9</v>
      </c>
      <c r="C10" s="135">
        <f ca="1">Overview!C13</f>
        <v>1.0660000000000001</v>
      </c>
    </row>
    <row r="11" spans="1:3" ht="17" customHeight="1" x14ac:dyDescent="0.2">
      <c r="B11" s="1" t="s">
        <v>175</v>
      </c>
      <c r="C11" s="137">
        <f>[1]Sheet1!$C$12</f>
        <v>4.4999999999999998E-2</v>
      </c>
    </row>
    <row r="12" spans="1:3" ht="17" customHeight="1" x14ac:dyDescent="0.2">
      <c r="B12" s="1" t="s">
        <v>74</v>
      </c>
      <c r="C12" s="137">
        <f>Overview!C26</f>
        <v>0.21</v>
      </c>
    </row>
    <row r="13" spans="1:3" ht="17" customHeight="1" x14ac:dyDescent="0.2">
      <c r="B13" s="1" t="s">
        <v>176</v>
      </c>
      <c r="C13" s="137">
        <f>Overview!C27</f>
        <v>0</v>
      </c>
    </row>
    <row r="14" spans="1:3" ht="17" customHeight="1" x14ac:dyDescent="0.2"/>
    <row r="15" spans="1:3" ht="17" customHeight="1" x14ac:dyDescent="0.2">
      <c r="B15" s="265" t="s">
        <v>177</v>
      </c>
      <c r="C15" s="265"/>
    </row>
    <row r="16" spans="1:3" ht="17" customHeight="1" x14ac:dyDescent="0.2">
      <c r="B16" s="1" t="s">
        <v>178</v>
      </c>
      <c r="C16" s="46">
        <f ca="1">C8/(C8+C7)</f>
        <v>0</v>
      </c>
    </row>
    <row r="17" spans="2:3" ht="17" customHeight="1" x14ac:dyDescent="0.2">
      <c r="B17" s="1" t="s">
        <v>179</v>
      </c>
      <c r="C17" s="46">
        <f ca="1">C7/(C8+C7)</f>
        <v>1</v>
      </c>
    </row>
    <row r="18" spans="2:3" ht="17" customHeight="1" x14ac:dyDescent="0.2">
      <c r="B18" s="1" t="s">
        <v>180</v>
      </c>
      <c r="C18" s="46">
        <f>C13*(1-C12)</f>
        <v>0</v>
      </c>
    </row>
    <row r="19" spans="2:3" ht="17" customHeight="1" x14ac:dyDescent="0.2">
      <c r="B19" s="1" t="s">
        <v>181</v>
      </c>
      <c r="C19" s="46">
        <f ca="1">C9+C10*C11</f>
        <v>9.7500000000000003E-2</v>
      </c>
    </row>
    <row r="20" spans="2:3" ht="17" customHeight="1" x14ac:dyDescent="0.2">
      <c r="B20" s="1" t="s">
        <v>169</v>
      </c>
      <c r="C20" s="46">
        <f ca="1">(C17*C19)+(C16*C18)</f>
        <v>9.7500000000000003E-2</v>
      </c>
    </row>
  </sheetData>
  <mergeCells count="2">
    <mergeCell ref="B4:C4"/>
    <mergeCell ref="B15:C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76C87-6799-634E-8DEB-EF0E693AF74F}">
  <dimension ref="A1:AB26"/>
  <sheetViews>
    <sheetView topLeftCell="A12" zoomScale="188" zoomScaleNormal="100" workbookViewId="0">
      <selection activeCell="C27" sqref="C27"/>
    </sheetView>
  </sheetViews>
  <sheetFormatPr baseColWidth="10" defaultRowHeight="16" x14ac:dyDescent="0.2"/>
  <cols>
    <col min="1" max="1" width="2" style="84"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4" customFormat="1" ht="18" customHeight="1" x14ac:dyDescent="0.2">
      <c r="A1" s="4"/>
      <c r="B1" s="83" t="s">
        <v>183</v>
      </c>
    </row>
    <row r="2" spans="1:28" s="84" customFormat="1" ht="18" customHeight="1" x14ac:dyDescent="0.2">
      <c r="A2" s="4"/>
      <c r="B2" s="83"/>
    </row>
    <row r="3" spans="1:28" x14ac:dyDescent="0.2">
      <c r="A3" s="4"/>
      <c r="C3" s="265" t="s">
        <v>113</v>
      </c>
      <c r="D3" s="265"/>
      <c r="E3" s="265"/>
      <c r="F3" s="265"/>
      <c r="G3" s="274"/>
      <c r="H3" s="275" t="s">
        <v>114</v>
      </c>
      <c r="I3" s="265"/>
      <c r="J3" s="265"/>
      <c r="K3" s="265"/>
      <c r="L3" s="265"/>
      <c r="P3" s="276"/>
      <c r="Q3" s="276"/>
      <c r="R3" s="276"/>
      <c r="S3" s="276"/>
      <c r="T3" s="276"/>
      <c r="U3" s="276"/>
      <c r="V3" s="276"/>
      <c r="W3" s="276"/>
      <c r="X3" s="276"/>
      <c r="Y3" s="276"/>
      <c r="Z3" s="276"/>
      <c r="AB3" s="111"/>
    </row>
    <row r="4" spans="1:28" ht="10" customHeight="1" x14ac:dyDescent="0.2"/>
    <row r="5" spans="1:28" ht="16" customHeight="1" x14ac:dyDescent="0.2">
      <c r="A5" s="87"/>
      <c r="B5" s="60"/>
      <c r="C5" s="271" t="s">
        <v>184</v>
      </c>
      <c r="D5" s="271"/>
      <c r="E5" s="271"/>
      <c r="F5" s="271"/>
      <c r="G5" s="271"/>
      <c r="H5" s="271"/>
      <c r="I5" s="271"/>
      <c r="J5" s="271"/>
      <c r="K5" s="271"/>
      <c r="L5" s="271"/>
      <c r="P5" s="276"/>
      <c r="Q5" s="276"/>
      <c r="R5" s="276"/>
      <c r="S5" s="276"/>
      <c r="T5" s="276"/>
      <c r="U5" s="276"/>
      <c r="V5" s="276"/>
      <c r="W5" s="276"/>
      <c r="X5" s="276"/>
      <c r="Y5" s="276"/>
      <c r="Z5" s="276"/>
      <c r="AB5" s="112"/>
    </row>
    <row r="6" spans="1:28" x14ac:dyDescent="0.2">
      <c r="B6" s="16" t="s">
        <v>137</v>
      </c>
      <c r="C6" s="12">
        <f>Revenue!C5</f>
        <v>2021</v>
      </c>
      <c r="D6" s="12">
        <f>Revenue!D5</f>
        <v>2022</v>
      </c>
      <c r="E6" s="12">
        <f>Revenue!E5</f>
        <v>2023</v>
      </c>
      <c r="F6" s="12">
        <f>Revenue!F5</f>
        <v>2024</v>
      </c>
      <c r="G6" s="12">
        <f>Revenue!G5</f>
        <v>2025</v>
      </c>
      <c r="H6" s="12">
        <f>Revenue!H5</f>
        <v>2026</v>
      </c>
      <c r="I6" s="12">
        <f>Revenue!I5</f>
        <v>2027</v>
      </c>
      <c r="J6" s="12">
        <f>Revenue!J5</f>
        <v>2028</v>
      </c>
      <c r="K6" s="12">
        <f>Revenue!K5</f>
        <v>2029</v>
      </c>
      <c r="L6" s="12">
        <f>Revenue!L5</f>
        <v>2030</v>
      </c>
      <c r="O6" s="16"/>
      <c r="P6" s="113"/>
      <c r="Q6" s="113"/>
      <c r="R6" s="113"/>
      <c r="S6" s="113"/>
      <c r="T6" s="113"/>
      <c r="U6" s="113"/>
      <c r="V6" s="113"/>
      <c r="W6" s="113"/>
      <c r="X6" s="113"/>
      <c r="Y6" s="113"/>
      <c r="Z6" s="113"/>
      <c r="AB6" s="112"/>
    </row>
    <row r="7" spans="1:28" x14ac:dyDescent="0.2">
      <c r="B7" s="39" t="s">
        <v>266</v>
      </c>
      <c r="C7" s="114">
        <f>'FCF &amp; Other'!C28</f>
        <v>-37712</v>
      </c>
      <c r="D7" s="114">
        <f>'FCF &amp; Other'!D28</f>
        <v>-34866.075687291086</v>
      </c>
      <c r="E7" s="114">
        <f>'FCF &amp; Other'!E28</f>
        <v>16325.405861506442</v>
      </c>
      <c r="F7" s="114">
        <f>'FCF &amp; Other'!F28</f>
        <v>119828.20010556566</v>
      </c>
      <c r="G7" s="115">
        <f>'FCF &amp; Other'!G28</f>
        <v>152914.15947590594</v>
      </c>
      <c r="H7" s="114">
        <f>'FCF &amp; Other'!H28</f>
        <v>180773.17203124374</v>
      </c>
      <c r="I7" s="114">
        <f>'FCF &amp; Other'!I28</f>
        <v>240521.89781225927</v>
      </c>
      <c r="J7" s="114">
        <f>'FCF &amp; Other'!J28</f>
        <v>301489.9387895313</v>
      </c>
      <c r="K7" s="114">
        <f>'FCF &amp; Other'!K28</f>
        <v>381123.0029538821</v>
      </c>
      <c r="L7" s="114">
        <f>'FCF &amp; Other'!L28</f>
        <v>573998.68760660361</v>
      </c>
      <c r="N7" s="92"/>
      <c r="O7" s="16"/>
      <c r="P7" s="93"/>
      <c r="Q7" s="93"/>
      <c r="R7" s="93"/>
      <c r="S7" s="93"/>
      <c r="T7" s="93"/>
      <c r="U7" s="93"/>
      <c r="V7" s="93"/>
      <c r="W7" s="93"/>
      <c r="X7" s="95"/>
      <c r="Y7" s="95"/>
      <c r="Z7" s="95"/>
      <c r="AB7" s="95"/>
    </row>
    <row r="8" spans="1:28" x14ac:dyDescent="0.2">
      <c r="B8" s="39" t="s">
        <v>185</v>
      </c>
      <c r="C8" s="128">
        <v>0</v>
      </c>
      <c r="D8" s="128">
        <v>0</v>
      </c>
      <c r="E8" s="128">
        <v>0</v>
      </c>
      <c r="F8" s="128">
        <v>0</v>
      </c>
      <c r="G8" s="133">
        <v>0</v>
      </c>
      <c r="H8" s="128">
        <v>0</v>
      </c>
      <c r="I8" s="128">
        <v>0</v>
      </c>
      <c r="J8" s="128">
        <v>0</v>
      </c>
      <c r="K8" s="128">
        <v>0</v>
      </c>
      <c r="L8" s="128">
        <f ca="1">L7*(1+C14)/(C15-C14)</f>
        <v>7554563.3723707823</v>
      </c>
      <c r="N8" s="92"/>
      <c r="O8" s="16"/>
      <c r="P8" s="93"/>
      <c r="Q8" s="93"/>
      <c r="R8" s="93"/>
      <c r="S8" s="93"/>
      <c r="T8" s="93"/>
      <c r="U8" s="93"/>
      <c r="V8" s="93"/>
      <c r="W8" s="93"/>
      <c r="X8" s="95"/>
      <c r="Y8" s="95"/>
      <c r="Z8" s="95"/>
      <c r="AB8" s="95"/>
    </row>
    <row r="9" spans="1:28" x14ac:dyDescent="0.2">
      <c r="B9" s="1" t="s">
        <v>186</v>
      </c>
      <c r="C9" s="139"/>
      <c r="D9" s="139"/>
      <c r="E9" s="139"/>
      <c r="F9" s="139"/>
      <c r="G9" s="140"/>
      <c r="H9" s="141">
        <v>1</v>
      </c>
      <c r="I9" s="141">
        <v>2</v>
      </c>
      <c r="J9" s="141">
        <v>3</v>
      </c>
      <c r="K9" s="141">
        <v>4</v>
      </c>
      <c r="L9" s="141">
        <v>5</v>
      </c>
      <c r="N9" s="92"/>
    </row>
    <row r="10" spans="1:28" x14ac:dyDescent="0.2">
      <c r="B10" s="1" t="s">
        <v>325</v>
      </c>
      <c r="C10" s="139"/>
      <c r="D10" s="139"/>
      <c r="E10" s="139"/>
      <c r="F10" s="139"/>
      <c r="G10" s="140"/>
      <c r="H10" s="128">
        <f ca="1">H7/(1+$C$15)^H9</f>
        <v>164713.59638382119</v>
      </c>
      <c r="I10" s="128">
        <f t="shared" ref="I10:L10" ca="1" si="0">I7/(1+$C$15)^I9</f>
        <v>199685.05585775024</v>
      </c>
      <c r="J10" s="128">
        <f t="shared" ca="1" si="0"/>
        <v>228065.31271136957</v>
      </c>
      <c r="K10" s="128">
        <f t="shared" ca="1" si="0"/>
        <v>262692.12039560592</v>
      </c>
      <c r="L10" s="128">
        <f t="shared" ca="1" si="0"/>
        <v>360485.87709661247</v>
      </c>
      <c r="N10" s="92"/>
    </row>
    <row r="11" spans="1:28" x14ac:dyDescent="0.2">
      <c r="B11" s="1" t="s">
        <v>187</v>
      </c>
      <c r="C11" s="139"/>
      <c r="D11" s="139"/>
      <c r="E11" s="139"/>
      <c r="F11" s="139"/>
      <c r="G11" s="140"/>
      <c r="H11" s="139"/>
      <c r="I11" s="139"/>
      <c r="J11" s="139"/>
      <c r="K11" s="139"/>
      <c r="L11" s="128">
        <f ca="1">L8/(1+C15)^L9</f>
        <v>4744459.2856586417</v>
      </c>
    </row>
    <row r="13" spans="1:28" x14ac:dyDescent="0.2">
      <c r="B13" s="265" t="s">
        <v>188</v>
      </c>
      <c r="C13" s="265"/>
    </row>
    <row r="14" spans="1:28" x14ac:dyDescent="0.2">
      <c r="B14" s="1" t="s">
        <v>189</v>
      </c>
      <c r="C14" s="142">
        <v>0.02</v>
      </c>
    </row>
    <row r="15" spans="1:28" x14ac:dyDescent="0.2">
      <c r="B15" s="1" t="s">
        <v>169</v>
      </c>
      <c r="C15" s="137">
        <f ca="1">IF(Overview!C28&gt;0,Overview!C28,WACC!C20)</f>
        <v>9.7500000000000003E-2</v>
      </c>
    </row>
    <row r="18" spans="2:3" x14ac:dyDescent="0.2">
      <c r="B18" s="265" t="s">
        <v>190</v>
      </c>
      <c r="C18" s="265"/>
    </row>
    <row r="19" spans="2:3" x14ac:dyDescent="0.2">
      <c r="B19" s="1" t="s">
        <v>191</v>
      </c>
      <c r="C19" s="64">
        <f ca="1">SUM(H10:L10)</f>
        <v>1215641.9624451594</v>
      </c>
    </row>
    <row r="20" spans="2:3" x14ac:dyDescent="0.2">
      <c r="B20" s="1" t="s">
        <v>187</v>
      </c>
      <c r="C20" s="64">
        <f ca="1">L11</f>
        <v>4744459.2856586417</v>
      </c>
    </row>
    <row r="21" spans="2:3" x14ac:dyDescent="0.2">
      <c r="B21" s="16" t="s">
        <v>192</v>
      </c>
      <c r="C21" s="95">
        <f ca="1">C19+C20</f>
        <v>5960101.2481038012</v>
      </c>
    </row>
    <row r="22" spans="2:3" x14ac:dyDescent="0.2">
      <c r="B22" s="1" t="s">
        <v>193</v>
      </c>
      <c r="C22" s="89">
        <f>Statement!AC107</f>
        <v>1416559</v>
      </c>
    </row>
    <row r="23" spans="2:3" x14ac:dyDescent="0.2">
      <c r="B23" s="1" t="s">
        <v>194</v>
      </c>
      <c r="C23" s="89">
        <f>Statement!AC108</f>
        <v>0</v>
      </c>
    </row>
    <row r="24" spans="2:3" x14ac:dyDescent="0.2">
      <c r="B24" s="16" t="s">
        <v>195</v>
      </c>
      <c r="C24" s="95">
        <f ca="1">C21+C22-C23</f>
        <v>7376660.2481038012</v>
      </c>
    </row>
    <row r="25" spans="2:3" x14ac:dyDescent="0.2">
      <c r="B25" s="1" t="s">
        <v>70</v>
      </c>
      <c r="C25" s="89">
        <f>Statement!AC78</f>
        <v>50122</v>
      </c>
    </row>
    <row r="26" spans="2:3" x14ac:dyDescent="0.2">
      <c r="B26" s="253" t="s">
        <v>196</v>
      </c>
      <c r="C26" s="254">
        <f ca="1">C24/C25</f>
        <v>147.17410015769124</v>
      </c>
    </row>
  </sheetData>
  <mergeCells count="8">
    <mergeCell ref="X3:Z3"/>
    <mergeCell ref="C5:L5"/>
    <mergeCell ref="P5:Z5"/>
    <mergeCell ref="B13:C13"/>
    <mergeCell ref="B18:C18"/>
    <mergeCell ref="C3:G3"/>
    <mergeCell ref="H3:L3"/>
    <mergeCell ref="P3:W3"/>
  </mergeCell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33819-10E3-B843-9B8A-30FFCAB234A7}">
  <dimension ref="A1:N84"/>
  <sheetViews>
    <sheetView topLeftCell="A74" zoomScale="192" zoomScaleNormal="100" workbookViewId="0">
      <selection activeCell="C77" sqref="C77"/>
    </sheetView>
  </sheetViews>
  <sheetFormatPr baseColWidth="10" defaultRowHeight="16" x14ac:dyDescent="0.2"/>
  <cols>
    <col min="1" max="1" width="2" style="84"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4" customFormat="1" ht="18" customHeight="1" x14ac:dyDescent="0.2">
      <c r="A1" s="4"/>
      <c r="B1" s="83" t="s">
        <v>197</v>
      </c>
    </row>
    <row r="2" spans="1:14" x14ac:dyDescent="0.2">
      <c r="A2" s="4"/>
      <c r="C2" s="265" t="s">
        <v>113</v>
      </c>
      <c r="D2" s="265"/>
      <c r="E2" s="265"/>
      <c r="F2" s="265"/>
      <c r="G2" s="274"/>
      <c r="H2" s="275" t="s">
        <v>114</v>
      </c>
      <c r="I2" s="265"/>
      <c r="J2" s="265"/>
      <c r="K2" s="265"/>
      <c r="L2" s="265"/>
    </row>
    <row r="3" spans="1:14" ht="10" customHeight="1" x14ac:dyDescent="0.2"/>
    <row r="4" spans="1:14" ht="16" customHeight="1" x14ac:dyDescent="0.2">
      <c r="A4" s="87"/>
      <c r="B4" s="60"/>
      <c r="C4" s="271" t="s">
        <v>198</v>
      </c>
      <c r="D4" s="271"/>
      <c r="E4" s="271"/>
      <c r="F4" s="271"/>
      <c r="G4" s="271"/>
      <c r="H4" s="271"/>
      <c r="I4" s="271"/>
      <c r="J4" s="271"/>
      <c r="K4" s="271"/>
      <c r="L4" s="271"/>
    </row>
    <row r="5" spans="1:14" x14ac:dyDescent="0.2">
      <c r="B5" s="16" t="s">
        <v>117</v>
      </c>
      <c r="C5" s="12">
        <f>Revenue!C5</f>
        <v>2021</v>
      </c>
      <c r="D5" s="12">
        <f>Revenue!D5</f>
        <v>2022</v>
      </c>
      <c r="E5" s="12">
        <f>Revenue!E5</f>
        <v>2023</v>
      </c>
      <c r="F5" s="12">
        <f>Revenue!F5</f>
        <v>2024</v>
      </c>
      <c r="G5" s="12">
        <f>Revenue!G5</f>
        <v>2025</v>
      </c>
      <c r="H5" s="12">
        <f>Revenue!H5</f>
        <v>2026</v>
      </c>
      <c r="I5" s="12">
        <f>Revenue!I5</f>
        <v>2027</v>
      </c>
      <c r="J5" s="12">
        <f>Revenue!J5</f>
        <v>2028</v>
      </c>
      <c r="K5" s="12">
        <f>Revenue!K5</f>
        <v>2029</v>
      </c>
      <c r="L5" s="12">
        <f>Revenue!L5</f>
        <v>2030</v>
      </c>
    </row>
    <row r="6" spans="1:14" x14ac:dyDescent="0.2">
      <c r="B6" s="16" t="s">
        <v>20</v>
      </c>
      <c r="C6" s="93">
        <f>Revenue!C11</f>
        <v>250772</v>
      </c>
      <c r="D6" s="93">
        <f>Revenue!D11</f>
        <v>369495</v>
      </c>
      <c r="E6" s="93">
        <f>Revenue!E11</f>
        <v>531109</v>
      </c>
      <c r="F6" s="93">
        <f>Revenue!F11</f>
        <v>748024</v>
      </c>
      <c r="G6" s="94">
        <f>Revenue!G11</f>
        <v>1037589</v>
      </c>
      <c r="H6" s="93">
        <f>Revenue!H11</f>
        <v>1213121.0339999995</v>
      </c>
      <c r="I6" s="93">
        <f>Revenue!I11</f>
        <v>1384239.9241788797</v>
      </c>
      <c r="J6" s="93">
        <f>Revenue!J11</f>
        <v>1743981.5617191282</v>
      </c>
      <c r="K6" s="93">
        <f>Revenue!K11</f>
        <v>2351599.1368314889</v>
      </c>
      <c r="L6" s="93">
        <f>Revenue!L11</f>
        <v>3165420.2175657614</v>
      </c>
      <c r="N6" s="92"/>
    </row>
    <row r="7" spans="1:14" x14ac:dyDescent="0.2">
      <c r="B7" s="16" t="s">
        <v>161</v>
      </c>
      <c r="C7" s="93">
        <f>'FCF &amp; Other'!C10</f>
        <v>-60007</v>
      </c>
      <c r="D7" s="93">
        <f>'FCF &amp; Other'!D10</f>
        <v>-65195</v>
      </c>
      <c r="E7" s="93">
        <f>'FCF &amp; Other'!E10</f>
        <v>-13259</v>
      </c>
      <c r="F7" s="93">
        <f>'FCF &amp; Other'!F10</f>
        <v>62595</v>
      </c>
      <c r="G7" s="94">
        <f>'FCF &amp; Other'!G10</f>
        <v>135570</v>
      </c>
      <c r="H7" s="93">
        <f>'FCF &amp; Other'!H10</f>
        <v>72787.262039999827</v>
      </c>
      <c r="I7" s="93">
        <f>'FCF &amp; Other'!I10</f>
        <v>179951.19014325447</v>
      </c>
      <c r="J7" s="93">
        <f>'FCF &amp; Other'!J10</f>
        <v>244157.41864067805</v>
      </c>
      <c r="K7" s="93">
        <f>'FCF &amp; Other'!K10</f>
        <v>310411.08606175659</v>
      </c>
      <c r="L7" s="93">
        <f>'FCF &amp; Other'!L10</f>
        <v>487474.713505127</v>
      </c>
      <c r="N7" s="92"/>
    </row>
    <row r="8" spans="1:14" x14ac:dyDescent="0.2">
      <c r="B8" s="16" t="s">
        <v>266</v>
      </c>
      <c r="C8" s="93">
        <f>'FCF &amp; Other'!C28</f>
        <v>-37712</v>
      </c>
      <c r="D8" s="93">
        <f>'FCF &amp; Other'!D28</f>
        <v>-34866.075687291086</v>
      </c>
      <c r="E8" s="93">
        <f>'FCF &amp; Other'!E28</f>
        <v>16325.405861506442</v>
      </c>
      <c r="F8" s="93">
        <f>'FCF &amp; Other'!F28</f>
        <v>119828.20010556566</v>
      </c>
      <c r="G8" s="94">
        <f>'FCF &amp; Other'!G28</f>
        <v>152914.15947590594</v>
      </c>
      <c r="H8" s="93">
        <f>'FCF &amp; Other'!H28</f>
        <v>180773.17203124374</v>
      </c>
      <c r="I8" s="93">
        <f>'FCF &amp; Other'!I28</f>
        <v>240521.89781225927</v>
      </c>
      <c r="J8" s="93">
        <f>'FCF &amp; Other'!J28</f>
        <v>301489.9387895313</v>
      </c>
      <c r="K8" s="93">
        <f>'FCF &amp; Other'!K28</f>
        <v>381123.0029538821</v>
      </c>
      <c r="L8" s="93">
        <f>'FCF &amp; Other'!L28</f>
        <v>573998.68760660361</v>
      </c>
      <c r="N8" s="92"/>
    </row>
    <row r="9" spans="1:14" x14ac:dyDescent="0.2">
      <c r="B9" s="16" t="s">
        <v>325</v>
      </c>
      <c r="C9" s="139"/>
      <c r="D9" s="139"/>
      <c r="E9" s="139"/>
      <c r="F9" s="139"/>
      <c r="G9" s="140"/>
      <c r="H9" s="93">
        <f ca="1">DCF!H10</f>
        <v>164713.59638382119</v>
      </c>
      <c r="I9" s="93">
        <f ca="1">DCF!I10</f>
        <v>199685.05585775024</v>
      </c>
      <c r="J9" s="93">
        <f ca="1">DCF!J10</f>
        <v>228065.31271136957</v>
      </c>
      <c r="K9" s="93">
        <f ca="1">DCF!K10</f>
        <v>262692.12039560592</v>
      </c>
      <c r="L9" s="93">
        <f ca="1">DCF!L10</f>
        <v>360485.87709661247</v>
      </c>
      <c r="N9" s="92"/>
    </row>
    <row r="10" spans="1:14" x14ac:dyDescent="0.2">
      <c r="N10" s="92"/>
    </row>
    <row r="11" spans="1:14" x14ac:dyDescent="0.2">
      <c r="C11" s="271" t="s">
        <v>122</v>
      </c>
      <c r="D11" s="271"/>
      <c r="E11" s="271"/>
      <c r="F11" s="271"/>
      <c r="G11" s="271"/>
      <c r="H11" s="271"/>
      <c r="I11" s="271"/>
      <c r="J11" s="271"/>
      <c r="K11" s="271"/>
      <c r="L11" s="271"/>
      <c r="N11" s="92"/>
    </row>
    <row r="12" spans="1:14" x14ac:dyDescent="0.2">
      <c r="B12" s="16" t="s">
        <v>199</v>
      </c>
      <c r="C12" s="12">
        <f>C5</f>
        <v>2021</v>
      </c>
      <c r="D12" s="12">
        <f t="shared" ref="D12:L12" si="0">D5</f>
        <v>2022</v>
      </c>
      <c r="E12" s="12">
        <f t="shared" si="0"/>
        <v>2023</v>
      </c>
      <c r="F12" s="12">
        <f t="shared" si="0"/>
        <v>2024</v>
      </c>
      <c r="G12" s="12">
        <f t="shared" si="0"/>
        <v>2025</v>
      </c>
      <c r="H12" s="12">
        <f t="shared" si="0"/>
        <v>2026</v>
      </c>
      <c r="I12" s="12">
        <f t="shared" si="0"/>
        <v>2027</v>
      </c>
      <c r="J12" s="12">
        <f t="shared" si="0"/>
        <v>2028</v>
      </c>
      <c r="K12" s="12">
        <f t="shared" si="0"/>
        <v>2029</v>
      </c>
      <c r="L12" s="12">
        <f t="shared" si="0"/>
        <v>2030</v>
      </c>
      <c r="N12" s="92"/>
    </row>
    <row r="13" spans="1:14" x14ac:dyDescent="0.2">
      <c r="B13" s="1" t="s">
        <v>20</v>
      </c>
      <c r="C13" s="139"/>
      <c r="D13" s="96">
        <f>(D6-C6)/C6</f>
        <v>0.47343004801173977</v>
      </c>
      <c r="E13" s="96">
        <f t="shared" ref="E13:L13" si="1">(E6-D6)/D6</f>
        <v>0.43739157498748293</v>
      </c>
      <c r="F13" s="96">
        <f t="shared" si="1"/>
        <v>0.40841898743948984</v>
      </c>
      <c r="G13" s="97">
        <f t="shared" si="1"/>
        <v>0.38710656342577243</v>
      </c>
      <c r="H13" s="96">
        <f t="shared" si="1"/>
        <v>0.16917299046154066</v>
      </c>
      <c r="I13" s="96">
        <f t="shared" si="1"/>
        <v>0.14105673332087346</v>
      </c>
      <c r="J13" s="96">
        <f t="shared" si="1"/>
        <v>0.25988387652786737</v>
      </c>
      <c r="K13" s="96">
        <f t="shared" si="1"/>
        <v>0.34840825640002887</v>
      </c>
      <c r="L13" s="96">
        <f t="shared" si="1"/>
        <v>0.34607134693492164</v>
      </c>
      <c r="N13" s="92"/>
    </row>
    <row r="14" spans="1:14" x14ac:dyDescent="0.2">
      <c r="B14" s="1" t="s">
        <v>161</v>
      </c>
      <c r="C14" s="139"/>
      <c r="D14" s="96">
        <f>IF(C7=0,
IF(D7=0,0,IF(D7&gt;0,1,-1)),
(D7-C7)/ABS(C7)
)</f>
        <v>-8.6456580065659011E-2</v>
      </c>
      <c r="E14" s="96">
        <f t="shared" ref="E14:L14" si="2">IF(D7=0,
IF(E7=0,0,IF(E7&gt;0,1,-1)),
(E7-D7)/ABS(D7)
)</f>
        <v>0.79662550809111132</v>
      </c>
      <c r="F14" s="96">
        <f t="shared" si="2"/>
        <v>5.7209442642733235</v>
      </c>
      <c r="G14" s="97">
        <f t="shared" si="2"/>
        <v>1.1658279415288761</v>
      </c>
      <c r="H14" s="96">
        <f t="shared" si="2"/>
        <v>-0.46310199867227392</v>
      </c>
      <c r="I14" s="96">
        <f t="shared" si="2"/>
        <v>1.4722895888618988</v>
      </c>
      <c r="J14" s="96">
        <f t="shared" si="2"/>
        <v>0.35679802087616463</v>
      </c>
      <c r="K14" s="96">
        <f t="shared" si="2"/>
        <v>0.27135635603431257</v>
      </c>
      <c r="L14" s="96">
        <f t="shared" si="2"/>
        <v>0.5704165714240742</v>
      </c>
      <c r="N14" s="92"/>
    </row>
    <row r="15" spans="1:14" x14ac:dyDescent="0.2">
      <c r="B15" s="1" t="s">
        <v>266</v>
      </c>
      <c r="C15" s="139"/>
      <c r="D15" s="96">
        <f>IF(C8=0,
IF(D8=0,0,IF(D8&gt;0,1,-1)),
(D8-C8)/ABS(C8)
)</f>
        <v>7.5464687969583E-2</v>
      </c>
      <c r="E15" s="96">
        <f t="shared" ref="E15:L15" si="3">IF(D8=0,
IF(E8=0,0,IF(E8&gt;0,1,-1)),
(E8-D8)/ABS(D8)
)</f>
        <v>1.4682318138676318</v>
      </c>
      <c r="F15" s="96">
        <f t="shared" si="3"/>
        <v>6.3399829151021425</v>
      </c>
      <c r="G15" s="97">
        <f t="shared" si="3"/>
        <v>0.2761116276568652</v>
      </c>
      <c r="H15" s="96">
        <f t="shared" si="3"/>
        <v>0.18218726539661903</v>
      </c>
      <c r="I15" s="96">
        <f t="shared" si="3"/>
        <v>0.33051765983665388</v>
      </c>
      <c r="J15" s="96">
        <f t="shared" si="3"/>
        <v>0.25348228802377476</v>
      </c>
      <c r="K15" s="96">
        <f t="shared" si="3"/>
        <v>0.26413174676433321</v>
      </c>
      <c r="L15" s="96">
        <f t="shared" si="3"/>
        <v>0.50607201128728641</v>
      </c>
      <c r="N15" s="92"/>
    </row>
    <row r="16" spans="1:14" x14ac:dyDescent="0.2">
      <c r="N16" s="92"/>
    </row>
    <row r="17" spans="2:14" x14ac:dyDescent="0.2">
      <c r="C17" s="271" t="s">
        <v>200</v>
      </c>
      <c r="D17" s="271"/>
      <c r="E17" s="271"/>
      <c r="F17" s="271"/>
      <c r="G17" s="271"/>
      <c r="H17" s="271"/>
      <c r="I17" s="271"/>
      <c r="J17" s="271"/>
      <c r="K17" s="271"/>
      <c r="L17" s="271"/>
      <c r="N17" s="92"/>
    </row>
    <row r="18" spans="2:14" x14ac:dyDescent="0.2">
      <c r="C18" s="12">
        <f t="shared" ref="C18:L18" si="4">C5</f>
        <v>2021</v>
      </c>
      <c r="D18" s="12">
        <f t="shared" si="4"/>
        <v>2022</v>
      </c>
      <c r="E18" s="12">
        <f t="shared" si="4"/>
        <v>2023</v>
      </c>
      <c r="F18" s="12">
        <f t="shared" si="4"/>
        <v>2024</v>
      </c>
      <c r="G18" s="12">
        <f t="shared" si="4"/>
        <v>2025</v>
      </c>
      <c r="H18" s="12">
        <f t="shared" si="4"/>
        <v>2026</v>
      </c>
      <c r="I18" s="12">
        <f t="shared" si="4"/>
        <v>2027</v>
      </c>
      <c r="J18" s="12">
        <f t="shared" si="4"/>
        <v>2028</v>
      </c>
      <c r="K18" s="12">
        <f t="shared" si="4"/>
        <v>2029</v>
      </c>
      <c r="L18" s="12">
        <f t="shared" si="4"/>
        <v>2030</v>
      </c>
      <c r="N18" s="92"/>
    </row>
    <row r="19" spans="2:14" x14ac:dyDescent="0.2">
      <c r="B19" s="1" t="s">
        <v>201</v>
      </c>
      <c r="C19" s="101">
        <f>Statement!M22</f>
        <v>23433</v>
      </c>
      <c r="D19" s="101">
        <f>Statement!N22</f>
        <v>39470</v>
      </c>
      <c r="E19" s="101">
        <f>Statement!O22</f>
        <v>46522</v>
      </c>
      <c r="F19" s="101">
        <f>Statement!P22</f>
        <v>47101</v>
      </c>
      <c r="G19" s="102">
        <f>Statement!Q22</f>
        <v>48315.63593932322</v>
      </c>
      <c r="H19" s="143">
        <f>G19*(1+H20)</f>
        <v>50248.261376896153</v>
      </c>
      <c r="I19" s="143">
        <f t="shared" ref="I19:L19" si="5">H19*(1+I20)</f>
        <v>52258.191831971999</v>
      </c>
      <c r="J19" s="143">
        <f t="shared" si="5"/>
        <v>53825.937586931163</v>
      </c>
      <c r="K19" s="143">
        <f t="shared" si="5"/>
        <v>54902.456338669785</v>
      </c>
      <c r="L19" s="143">
        <f t="shared" si="5"/>
        <v>56000.505465443181</v>
      </c>
      <c r="N19" s="92"/>
    </row>
    <row r="20" spans="2:14" x14ac:dyDescent="0.2">
      <c r="B20" s="1" t="s">
        <v>202</v>
      </c>
      <c r="C20" s="139"/>
      <c r="D20" s="144">
        <f>D19/C19-1</f>
        <v>0.68437673366619722</v>
      </c>
      <c r="E20" s="144">
        <f t="shared" ref="E20:G20" si="6">E19/D19-1</f>
        <v>0.17866734228528003</v>
      </c>
      <c r="F20" s="144">
        <f t="shared" si="6"/>
        <v>1.2445724603413533E-2</v>
      </c>
      <c r="G20" s="145">
        <f t="shared" si="6"/>
        <v>2.5787901304074712E-2</v>
      </c>
      <c r="H20" s="146">
        <v>0.04</v>
      </c>
      <c r="I20" s="168">
        <v>0.04</v>
      </c>
      <c r="J20" s="168">
        <v>0.03</v>
      </c>
      <c r="K20" s="168">
        <v>0.02</v>
      </c>
      <c r="L20" s="168">
        <v>0.02</v>
      </c>
      <c r="N20" s="92"/>
    </row>
    <row r="21" spans="2:14" x14ac:dyDescent="0.2">
      <c r="N21" s="92"/>
    </row>
    <row r="22" spans="2:14" x14ac:dyDescent="0.2">
      <c r="C22" s="271" t="s">
        <v>203</v>
      </c>
      <c r="D22" s="271"/>
      <c r="E22" s="271"/>
      <c r="F22" s="271"/>
      <c r="G22" s="271"/>
      <c r="H22" s="271"/>
      <c r="I22" s="271"/>
      <c r="J22" s="271"/>
      <c r="K22" s="271"/>
      <c r="L22" s="271"/>
      <c r="N22" s="92"/>
    </row>
    <row r="23" spans="2:14" x14ac:dyDescent="0.2">
      <c r="C23" s="12">
        <f>C5</f>
        <v>2021</v>
      </c>
      <c r="D23" s="12">
        <f t="shared" ref="D23:L23" si="7">D5</f>
        <v>2022</v>
      </c>
      <c r="E23" s="12">
        <f t="shared" si="7"/>
        <v>2023</v>
      </c>
      <c r="F23" s="12">
        <f t="shared" si="7"/>
        <v>2024</v>
      </c>
      <c r="G23" s="12">
        <f t="shared" si="7"/>
        <v>2025</v>
      </c>
      <c r="H23" s="12">
        <f t="shared" si="7"/>
        <v>2026</v>
      </c>
      <c r="I23" s="12">
        <f t="shared" si="7"/>
        <v>2027</v>
      </c>
      <c r="J23" s="12">
        <f t="shared" si="7"/>
        <v>2028</v>
      </c>
      <c r="K23" s="12">
        <f t="shared" si="7"/>
        <v>2029</v>
      </c>
      <c r="L23" s="12">
        <f t="shared" si="7"/>
        <v>2030</v>
      </c>
      <c r="N23" s="92"/>
    </row>
    <row r="24" spans="2:14" x14ac:dyDescent="0.2">
      <c r="B24" s="1" t="s">
        <v>1</v>
      </c>
      <c r="C24" s="147">
        <f>Statement!M116</f>
        <v>110.58</v>
      </c>
      <c r="D24" s="147">
        <f>Statement!N116</f>
        <v>71.13</v>
      </c>
      <c r="E24" s="147">
        <f>Statement!O116</f>
        <v>226.85</v>
      </c>
      <c r="F24" s="147">
        <f>Statement!P116</f>
        <v>325.2</v>
      </c>
      <c r="G24" s="148">
        <f>Statement!Q116</f>
        <v>177.14</v>
      </c>
      <c r="H24" s="139"/>
      <c r="I24" s="139"/>
      <c r="J24" s="139"/>
      <c r="K24" s="139"/>
      <c r="L24" s="139"/>
      <c r="N24" s="92"/>
    </row>
    <row r="25" spans="2:14" x14ac:dyDescent="0.2">
      <c r="N25" s="92"/>
    </row>
    <row r="26" spans="2:14" x14ac:dyDescent="0.2">
      <c r="N26" s="92"/>
    </row>
    <row r="27" spans="2:14" x14ac:dyDescent="0.2">
      <c r="C27" s="271" t="s">
        <v>204</v>
      </c>
      <c r="D27" s="271"/>
      <c r="E27" s="271"/>
      <c r="F27" s="271"/>
      <c r="G27" s="271"/>
      <c r="H27" s="271"/>
      <c r="I27" s="271"/>
      <c r="J27" s="271"/>
      <c r="K27" s="271"/>
      <c r="L27" s="271"/>
      <c r="N27" s="92"/>
    </row>
    <row r="28" spans="2:14" x14ac:dyDescent="0.2">
      <c r="C28" s="12">
        <f>C5</f>
        <v>2021</v>
      </c>
      <c r="D28" s="12">
        <f t="shared" ref="D28:L28" si="8">D5</f>
        <v>2022</v>
      </c>
      <c r="E28" s="12">
        <f t="shared" si="8"/>
        <v>2023</v>
      </c>
      <c r="F28" s="12">
        <f t="shared" si="8"/>
        <v>2024</v>
      </c>
      <c r="G28" s="12">
        <f t="shared" si="8"/>
        <v>2025</v>
      </c>
      <c r="H28" s="12">
        <f t="shared" si="8"/>
        <v>2026</v>
      </c>
      <c r="I28" s="12">
        <f t="shared" si="8"/>
        <v>2027</v>
      </c>
      <c r="J28" s="12">
        <f t="shared" si="8"/>
        <v>2028</v>
      </c>
      <c r="K28" s="12">
        <f t="shared" si="8"/>
        <v>2029</v>
      </c>
      <c r="L28" s="12">
        <f t="shared" si="8"/>
        <v>2030</v>
      </c>
      <c r="N28" s="92"/>
    </row>
    <row r="29" spans="2:14" x14ac:dyDescent="0.2">
      <c r="B29" s="16" t="s">
        <v>205</v>
      </c>
      <c r="C29" s="149">
        <f>C24/(C6/C19)</f>
        <v>10.332976329095752</v>
      </c>
      <c r="D29" s="149">
        <f t="shared" ref="D29:G29" si="9">D24/(D6/D19)</f>
        <v>7.5982113425080167</v>
      </c>
      <c r="E29" s="149">
        <f t="shared" si="9"/>
        <v>19.870715239244674</v>
      </c>
      <c r="F29" s="149">
        <f t="shared" si="9"/>
        <v>20.476943520528753</v>
      </c>
      <c r="G29" s="150">
        <f t="shared" si="9"/>
        <v>8.2485760260485748</v>
      </c>
      <c r="H29" s="139"/>
      <c r="I29" s="139"/>
      <c r="J29" s="139"/>
      <c r="K29" s="139"/>
      <c r="L29" s="139"/>
      <c r="N29" s="92"/>
    </row>
    <row r="30" spans="2:14" x14ac:dyDescent="0.2">
      <c r="B30" s="1" t="s">
        <v>206</v>
      </c>
      <c r="C30" s="143">
        <f>C24*C19</f>
        <v>2591221.14</v>
      </c>
      <c r="D30" s="143">
        <f t="shared" ref="D30:G30" si="10">D24*D19</f>
        <v>2807501.0999999996</v>
      </c>
      <c r="E30" s="143">
        <f t="shared" si="10"/>
        <v>10553515.699999999</v>
      </c>
      <c r="F30" s="143">
        <f t="shared" si="10"/>
        <v>15317245.199999999</v>
      </c>
      <c r="G30" s="151">
        <f t="shared" si="10"/>
        <v>8558631.7502917144</v>
      </c>
      <c r="H30" s="139"/>
      <c r="I30" s="139"/>
      <c r="J30" s="139"/>
      <c r="K30" s="139"/>
      <c r="L30" s="139"/>
      <c r="N30" s="92"/>
    </row>
    <row r="31" spans="2:14" x14ac:dyDescent="0.2">
      <c r="B31" s="1" t="s">
        <v>173</v>
      </c>
      <c r="C31" s="89">
        <f>Statement!M108</f>
        <v>0</v>
      </c>
      <c r="D31" s="152">
        <f>Statement!N108</f>
        <v>0</v>
      </c>
      <c r="E31" s="152">
        <f>Statement!O108</f>
        <v>0</v>
      </c>
      <c r="F31" s="152">
        <f>Statement!P108</f>
        <v>0</v>
      </c>
      <c r="G31" s="153">
        <f>Statement!Q108</f>
        <v>0</v>
      </c>
      <c r="H31" s="139"/>
      <c r="I31" s="139"/>
      <c r="J31" s="139"/>
      <c r="K31" s="139"/>
      <c r="L31" s="139"/>
      <c r="N31" s="92"/>
    </row>
    <row r="32" spans="2:14" x14ac:dyDescent="0.2">
      <c r="B32" s="1" t="s">
        <v>182</v>
      </c>
      <c r="C32" s="152">
        <f>Statement!M107</f>
        <v>553922</v>
      </c>
      <c r="D32" s="152">
        <f>Statement!N107</f>
        <v>608180</v>
      </c>
      <c r="E32" s="152">
        <f>Statement!O107</f>
        <v>747610</v>
      </c>
      <c r="F32" s="152">
        <f>Statement!P107</f>
        <v>975937</v>
      </c>
      <c r="G32" s="153">
        <f>Statement!Q107</f>
        <v>1275565</v>
      </c>
      <c r="H32" s="139"/>
      <c r="I32" s="139"/>
      <c r="J32" s="139"/>
      <c r="K32" s="139"/>
      <c r="L32" s="139"/>
      <c r="N32" s="92"/>
    </row>
    <row r="33" spans="2:14" x14ac:dyDescent="0.2">
      <c r="B33" s="1" t="s">
        <v>207</v>
      </c>
      <c r="C33" s="143">
        <f>C30+C31-C32</f>
        <v>2037299.1400000001</v>
      </c>
      <c r="D33" s="143">
        <f t="shared" ref="D33:G33" si="11">D30+D31-D32</f>
        <v>2199321.0999999996</v>
      </c>
      <c r="E33" s="143">
        <f t="shared" si="11"/>
        <v>9805905.6999999993</v>
      </c>
      <c r="F33" s="143">
        <f t="shared" si="11"/>
        <v>14341308.199999999</v>
      </c>
      <c r="G33" s="151">
        <f t="shared" si="11"/>
        <v>7283066.7502917144</v>
      </c>
      <c r="H33" s="139"/>
      <c r="I33" s="139"/>
      <c r="J33" s="139"/>
      <c r="K33" s="139"/>
      <c r="L33" s="139"/>
      <c r="N33" s="92"/>
    </row>
    <row r="34" spans="2:14" x14ac:dyDescent="0.2">
      <c r="B34" s="16" t="s">
        <v>208</v>
      </c>
      <c r="C34" s="149">
        <f>C33/C7</f>
        <v>-33.951024713783397</v>
      </c>
      <c r="D34" s="149">
        <f t="shared" ref="D34:G34" si="12">D33/D7</f>
        <v>-33.734505713628337</v>
      </c>
      <c r="E34" s="149">
        <f t="shared" si="12"/>
        <v>-739.56600799456965</v>
      </c>
      <c r="F34" s="149">
        <f t="shared" si="12"/>
        <v>229.1126799265117</v>
      </c>
      <c r="G34" s="150">
        <f t="shared" si="12"/>
        <v>53.721817144587405</v>
      </c>
      <c r="H34" s="139"/>
      <c r="I34" s="139"/>
      <c r="J34" s="139"/>
      <c r="K34" s="139"/>
      <c r="L34" s="139"/>
      <c r="N34" s="92"/>
    </row>
    <row r="35" spans="2:14" x14ac:dyDescent="0.2">
      <c r="B35" s="16" t="s">
        <v>326</v>
      </c>
      <c r="C35" s="149">
        <f>C33/C8</f>
        <v>-54.02256947390751</v>
      </c>
      <c r="D35" s="149">
        <f t="shared" ref="D35:G35" si="13">D33/D8</f>
        <v>-63.07911219276297</v>
      </c>
      <c r="E35" s="149">
        <f t="shared" si="13"/>
        <v>600.65310370759448</v>
      </c>
      <c r="F35" s="149">
        <f t="shared" si="13"/>
        <v>119.68224664449323</v>
      </c>
      <c r="G35" s="150">
        <f t="shared" si="13"/>
        <v>47.628465377264675</v>
      </c>
      <c r="H35" s="139"/>
      <c r="I35" s="139"/>
      <c r="J35" s="139"/>
      <c r="K35" s="139"/>
      <c r="L35" s="139"/>
      <c r="N35" s="92"/>
    </row>
    <row r="36" spans="2:14" x14ac:dyDescent="0.2">
      <c r="B36" s="16" t="s">
        <v>436</v>
      </c>
      <c r="C36" s="149">
        <f>C33/C6</f>
        <v>8.1241093104493327</v>
      </c>
      <c r="D36" s="149">
        <f t="shared" ref="D36:G36" si="14">D33/D6</f>
        <v>5.9522350776059207</v>
      </c>
      <c r="E36" s="149">
        <f t="shared" si="14"/>
        <v>18.463075752811569</v>
      </c>
      <c r="F36" s="149">
        <f t="shared" si="14"/>
        <v>19.172256772509972</v>
      </c>
      <c r="G36" s="150">
        <f t="shared" si="14"/>
        <v>7.0192212429890013</v>
      </c>
      <c r="H36" s="139"/>
      <c r="I36" s="139"/>
      <c r="J36" s="139"/>
      <c r="K36" s="139"/>
      <c r="L36" s="139"/>
      <c r="N36" s="92"/>
    </row>
    <row r="37" spans="2:14" x14ac:dyDescent="0.2">
      <c r="N37" s="92"/>
    </row>
    <row r="38" spans="2:14" x14ac:dyDescent="0.2">
      <c r="N38" s="92"/>
    </row>
    <row r="39" spans="2:14" x14ac:dyDescent="0.2">
      <c r="B39" s="265" t="s">
        <v>209</v>
      </c>
      <c r="C39" s="265"/>
      <c r="N39" s="92"/>
    </row>
    <row r="40" spans="2:14" x14ac:dyDescent="0.2">
      <c r="B40" s="1" t="s">
        <v>210</v>
      </c>
      <c r="C40" s="64">
        <f>L7</f>
        <v>487474.713505127</v>
      </c>
    </row>
    <row r="41" spans="2:14" x14ac:dyDescent="0.2">
      <c r="B41" s="1" t="s">
        <v>169</v>
      </c>
      <c r="C41" s="137">
        <f ca="1">IF(Overview!C28&gt;0,Overview!C28,WACC!C20)</f>
        <v>9.7500000000000003E-2</v>
      </c>
    </row>
    <row r="42" spans="2:14" x14ac:dyDescent="0.2">
      <c r="B42" s="39" t="s">
        <v>211</v>
      </c>
      <c r="C42" s="106">
        <v>25</v>
      </c>
    </row>
    <row r="43" spans="2:14" x14ac:dyDescent="0.2">
      <c r="B43" s="1" t="s">
        <v>429</v>
      </c>
      <c r="C43" s="24">
        <f>(C40*C42)</f>
        <v>12186867.837628175</v>
      </c>
    </row>
    <row r="44" spans="2:14" x14ac:dyDescent="0.2">
      <c r="B44" s="1" t="s">
        <v>430</v>
      </c>
      <c r="C44" s="24">
        <f ca="1">C43/(1+C41)^5</f>
        <v>7653665.1326262504</v>
      </c>
    </row>
    <row r="45" spans="2:14" x14ac:dyDescent="0.2">
      <c r="B45" s="16" t="s">
        <v>431</v>
      </c>
      <c r="C45" s="110">
        <f ca="1">SUM(H9:K9)+C44</f>
        <v>8508821.2179747969</v>
      </c>
    </row>
    <row r="46" spans="2:14" x14ac:dyDescent="0.2">
      <c r="B46" s="1" t="s">
        <v>193</v>
      </c>
      <c r="C46" s="89">
        <f>Statement!AC107</f>
        <v>1416559</v>
      </c>
    </row>
    <row r="47" spans="2:14" x14ac:dyDescent="0.2">
      <c r="B47" s="1" t="s">
        <v>194</v>
      </c>
      <c r="C47" s="89">
        <f>Statement!AC108</f>
        <v>0</v>
      </c>
    </row>
    <row r="48" spans="2:14" x14ac:dyDescent="0.2">
      <c r="B48" s="16" t="s">
        <v>195</v>
      </c>
      <c r="C48" s="110">
        <f ca="1">C45+C46-C47</f>
        <v>9925380.2179747969</v>
      </c>
    </row>
    <row r="49" spans="2:3" x14ac:dyDescent="0.2">
      <c r="B49" s="1" t="s">
        <v>70</v>
      </c>
      <c r="C49" s="89">
        <f>Statement!AC78</f>
        <v>50122</v>
      </c>
    </row>
    <row r="50" spans="2:3" x14ac:dyDescent="0.2">
      <c r="B50" s="253" t="s">
        <v>213</v>
      </c>
      <c r="C50" s="254">
        <f ca="1">C48/C49</f>
        <v>198.02442476307402</v>
      </c>
    </row>
    <row r="52" spans="2:3" x14ac:dyDescent="0.2">
      <c r="B52" s="265" t="s">
        <v>214</v>
      </c>
      <c r="C52" s="265"/>
    </row>
    <row r="53" spans="2:3" x14ac:dyDescent="0.2">
      <c r="B53" s="1" t="s">
        <v>215</v>
      </c>
      <c r="C53" s="64">
        <f>L6</f>
        <v>3165420.2175657614</v>
      </c>
    </row>
    <row r="54" spans="2:3" x14ac:dyDescent="0.2">
      <c r="B54" s="1" t="s">
        <v>349</v>
      </c>
      <c r="C54" s="137">
        <f ca="1">IF(Overview!C29&gt;0,Overview!C29,WACC!C19)</f>
        <v>9.7500000000000003E-2</v>
      </c>
    </row>
    <row r="55" spans="2:3" x14ac:dyDescent="0.2">
      <c r="B55" s="39" t="s">
        <v>216</v>
      </c>
      <c r="C55" s="106">
        <v>4.5</v>
      </c>
    </row>
    <row r="56" spans="2:3" x14ac:dyDescent="0.2">
      <c r="B56" s="1" t="s">
        <v>212</v>
      </c>
      <c r="C56" s="24">
        <f>L19</f>
        <v>56000.505465443181</v>
      </c>
    </row>
    <row r="57" spans="2:3" x14ac:dyDescent="0.2">
      <c r="B57" s="1" t="s">
        <v>196</v>
      </c>
      <c r="C57" s="24">
        <f>(C53*C55)/C56</f>
        <v>254.36182871306156</v>
      </c>
    </row>
    <row r="58" spans="2:3" x14ac:dyDescent="0.2">
      <c r="B58" s="253" t="s">
        <v>213</v>
      </c>
      <c r="C58" s="254">
        <f ca="1">C57/(1+C54)^5</f>
        <v>159.74574315816156</v>
      </c>
    </row>
    <row r="60" spans="2:3" x14ac:dyDescent="0.2">
      <c r="B60" s="265" t="s">
        <v>327</v>
      </c>
      <c r="C60" s="265"/>
    </row>
    <row r="61" spans="2:3" x14ac:dyDescent="0.2">
      <c r="B61" s="1" t="s">
        <v>432</v>
      </c>
      <c r="C61" s="64">
        <f>L8</f>
        <v>573998.68760660361</v>
      </c>
    </row>
    <row r="62" spans="2:3" x14ac:dyDescent="0.2">
      <c r="B62" s="1" t="s">
        <v>169</v>
      </c>
      <c r="C62" s="137">
        <f ca="1">IF(Overview!C28&gt;0,Overview!C28,WACC!C20)</f>
        <v>9.7500000000000003E-2</v>
      </c>
    </row>
    <row r="63" spans="2:3" x14ac:dyDescent="0.2">
      <c r="B63" s="39" t="s">
        <v>350</v>
      </c>
      <c r="C63" s="106">
        <v>22</v>
      </c>
    </row>
    <row r="64" spans="2:3" x14ac:dyDescent="0.2">
      <c r="B64" s="1" t="s">
        <v>429</v>
      </c>
      <c r="C64" s="24">
        <f>(C61*C63)</f>
        <v>12627971.127345279</v>
      </c>
    </row>
    <row r="65" spans="2:3" x14ac:dyDescent="0.2">
      <c r="B65" s="1" t="s">
        <v>430</v>
      </c>
      <c r="C65" s="24">
        <f ca="1">C64/(1+C62)^5</f>
        <v>7930689.2961254744</v>
      </c>
    </row>
    <row r="66" spans="2:3" x14ac:dyDescent="0.2">
      <c r="B66" s="16" t="s">
        <v>431</v>
      </c>
      <c r="C66" s="110">
        <f ca="1">SUM(H9:K9)+C65</f>
        <v>8785845.3814740218</v>
      </c>
    </row>
    <row r="67" spans="2:3" x14ac:dyDescent="0.2">
      <c r="B67" s="1" t="s">
        <v>193</v>
      </c>
      <c r="C67" s="89">
        <f>Statement!AC107</f>
        <v>1416559</v>
      </c>
    </row>
    <row r="68" spans="2:3" x14ac:dyDescent="0.2">
      <c r="B68" s="1" t="s">
        <v>194</v>
      </c>
      <c r="C68" s="89">
        <f>Statement!AC108</f>
        <v>0</v>
      </c>
    </row>
    <row r="69" spans="2:3" x14ac:dyDescent="0.2">
      <c r="B69" s="16" t="s">
        <v>195</v>
      </c>
      <c r="C69" s="110">
        <f ca="1">C66+C67-C68</f>
        <v>10202404.381474022</v>
      </c>
    </row>
    <row r="70" spans="2:3" x14ac:dyDescent="0.2">
      <c r="B70" s="1" t="s">
        <v>70</v>
      </c>
      <c r="C70" s="89">
        <f>Statement!AC78</f>
        <v>50122</v>
      </c>
    </row>
    <row r="71" spans="2:3" x14ac:dyDescent="0.2">
      <c r="B71" s="253" t="s">
        <v>213</v>
      </c>
      <c r="C71" s="254">
        <f ca="1">C69/C70</f>
        <v>203.55142215941146</v>
      </c>
    </row>
    <row r="73" spans="2:3" x14ac:dyDescent="0.2">
      <c r="B73" s="265" t="s">
        <v>433</v>
      </c>
      <c r="C73" s="265"/>
    </row>
    <row r="74" spans="2:3" x14ac:dyDescent="0.2">
      <c r="B74" s="1" t="s">
        <v>434</v>
      </c>
      <c r="C74" s="64">
        <f>L6</f>
        <v>3165420.2175657614</v>
      </c>
    </row>
    <row r="75" spans="2:3" x14ac:dyDescent="0.2">
      <c r="B75" s="1" t="s">
        <v>169</v>
      </c>
      <c r="C75" s="137">
        <f ca="1">IF(Overview!C28&gt;0,Overview!C28,WACC!C20)</f>
        <v>9.7500000000000003E-2</v>
      </c>
    </row>
    <row r="76" spans="2:3" x14ac:dyDescent="0.2">
      <c r="B76" s="39" t="s">
        <v>435</v>
      </c>
      <c r="C76" s="106">
        <v>4</v>
      </c>
    </row>
    <row r="77" spans="2:3" x14ac:dyDescent="0.2">
      <c r="B77" s="1" t="s">
        <v>429</v>
      </c>
      <c r="C77" s="24">
        <f>(C74*C76)</f>
        <v>12661680.870263046</v>
      </c>
    </row>
    <row r="78" spans="2:3" x14ac:dyDescent="0.2">
      <c r="B78" s="1" t="s">
        <v>430</v>
      </c>
      <c r="C78" s="24">
        <f ca="1">C77/(1+C75)^5</f>
        <v>7951859.8780532517</v>
      </c>
    </row>
    <row r="79" spans="2:3" x14ac:dyDescent="0.2">
      <c r="B79" s="16" t="s">
        <v>431</v>
      </c>
      <c r="C79" s="110">
        <f ca="1">SUM(H9:K9)+C78</f>
        <v>8807015.9634017982</v>
      </c>
    </row>
    <row r="80" spans="2:3" x14ac:dyDescent="0.2">
      <c r="B80" s="1" t="s">
        <v>193</v>
      </c>
      <c r="C80" s="89">
        <f>Statement!AC107</f>
        <v>1416559</v>
      </c>
    </row>
    <row r="81" spans="2:3" x14ac:dyDescent="0.2">
      <c r="B81" s="1" t="s">
        <v>194</v>
      </c>
      <c r="C81" s="89">
        <f>Statement!AC108</f>
        <v>0</v>
      </c>
    </row>
    <row r="82" spans="2:3" x14ac:dyDescent="0.2">
      <c r="B82" s="16" t="s">
        <v>195</v>
      </c>
      <c r="C82" s="110">
        <f ca="1">C79+C80-C81</f>
        <v>10223574.963401798</v>
      </c>
    </row>
    <row r="83" spans="2:3" x14ac:dyDescent="0.2">
      <c r="B83" s="1" t="s">
        <v>70</v>
      </c>
      <c r="C83" s="89">
        <f>Statement!AC78</f>
        <v>50122</v>
      </c>
    </row>
    <row r="84" spans="2:3" x14ac:dyDescent="0.2">
      <c r="B84" s="253" t="s">
        <v>213</v>
      </c>
      <c r="C84" s="254">
        <f ca="1">C82/C83</f>
        <v>203.97380318825662</v>
      </c>
    </row>
  </sheetData>
  <mergeCells count="11">
    <mergeCell ref="C22:L22"/>
    <mergeCell ref="C2:G2"/>
    <mergeCell ref="H2:L2"/>
    <mergeCell ref="C4:L4"/>
    <mergeCell ref="C11:L11"/>
    <mergeCell ref="C17:L17"/>
    <mergeCell ref="B73:C73"/>
    <mergeCell ref="C27:L27"/>
    <mergeCell ref="B39:C39"/>
    <mergeCell ref="B52:C52"/>
    <mergeCell ref="B60:C60"/>
  </mergeCells>
  <pageMargins left="0.7" right="0.7" top="0.75" bottom="0.75" header="0.3" footer="0.3"/>
  <ignoredErrors>
    <ignoredError sqref="D14:L14"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6138-34BE-DB43-85EE-BFBB58F201B2}">
  <dimension ref="A1:N12"/>
  <sheetViews>
    <sheetView zoomScale="168" zoomScaleNormal="100" workbookViewId="0">
      <selection activeCell="C10" sqref="C10"/>
    </sheetView>
  </sheetViews>
  <sheetFormatPr baseColWidth="10" defaultRowHeight="16" x14ac:dyDescent="0.2"/>
  <cols>
    <col min="1" max="1" width="2" style="84"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4" customFormat="1" ht="18" customHeight="1" x14ac:dyDescent="0.2">
      <c r="A1" s="4"/>
      <c r="B1" s="83" t="s">
        <v>217</v>
      </c>
    </row>
    <row r="2" spans="1:14" x14ac:dyDescent="0.2">
      <c r="N2" s="92"/>
    </row>
    <row r="3" spans="1:14" x14ac:dyDescent="0.2">
      <c r="N3" s="92"/>
    </row>
    <row r="4" spans="1:14" x14ac:dyDescent="0.2">
      <c r="B4" s="265" t="s">
        <v>218</v>
      </c>
      <c r="C4" s="265"/>
      <c r="N4" s="92"/>
    </row>
    <row r="5" spans="1:14" x14ac:dyDescent="0.2">
      <c r="B5" s="1" t="s">
        <v>219</v>
      </c>
      <c r="C5" s="135">
        <f ca="1">DCF!C26</f>
        <v>147.17410015769124</v>
      </c>
    </row>
    <row r="6" spans="1:14" x14ac:dyDescent="0.2">
      <c r="B6" s="1" t="s">
        <v>220</v>
      </c>
      <c r="C6" s="135">
        <f ca="1">Multiples!C50</f>
        <v>198.02442476307402</v>
      </c>
    </row>
    <row r="7" spans="1:14" x14ac:dyDescent="0.2">
      <c r="B7" s="1" t="s">
        <v>221</v>
      </c>
      <c r="C7" s="135">
        <f ca="1">Multiples!C58</f>
        <v>159.74574315816156</v>
      </c>
    </row>
    <row r="8" spans="1:14" x14ac:dyDescent="0.2">
      <c r="B8" s="1" t="s">
        <v>328</v>
      </c>
      <c r="C8" s="135">
        <f ca="1">Multiples!C71</f>
        <v>203.55142215941146</v>
      </c>
    </row>
    <row r="9" spans="1:14" x14ac:dyDescent="0.2">
      <c r="B9" s="1" t="s">
        <v>436</v>
      </c>
      <c r="C9" s="135">
        <f ca="1">Multiples!C84</f>
        <v>203.97380318825662</v>
      </c>
    </row>
    <row r="10" spans="1:14" x14ac:dyDescent="0.2">
      <c r="B10" s="253" t="s">
        <v>222</v>
      </c>
      <c r="C10" s="254">
        <f ca="1">AVERAGE(C5:C9)</f>
        <v>182.49389868531898</v>
      </c>
    </row>
    <row r="11" spans="1:14" x14ac:dyDescent="0.2">
      <c r="B11" s="1" t="s">
        <v>223</v>
      </c>
      <c r="C11" s="135">
        <f ca="1">Overview!C5</f>
        <v>143.04</v>
      </c>
    </row>
    <row r="12" spans="1:14" x14ac:dyDescent="0.2">
      <c r="B12" s="1" t="s">
        <v>224</v>
      </c>
      <c r="C12" s="154">
        <f ca="1">(C10-C11)/C11</f>
        <v>0.27582423577544041</v>
      </c>
    </row>
  </sheetData>
  <mergeCells count="1">
    <mergeCell ref="B4:C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F3B3F-C42B-D543-BED5-DFA30C21101C}">
  <dimension ref="A1:N26"/>
  <sheetViews>
    <sheetView topLeftCell="A15" zoomScale="192" zoomScaleNormal="100" workbookViewId="0">
      <selection activeCell="D21" sqref="D21"/>
    </sheetView>
  </sheetViews>
  <sheetFormatPr baseColWidth="10" defaultRowHeight="16" x14ac:dyDescent="0.2"/>
  <cols>
    <col min="1" max="1" width="2" style="84"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4" customFormat="1" ht="18" customHeight="1" x14ac:dyDescent="0.2">
      <c r="A1" s="4"/>
      <c r="B1" s="83" t="s">
        <v>411</v>
      </c>
    </row>
    <row r="2" spans="1:14" x14ac:dyDescent="0.2">
      <c r="A2" s="4"/>
      <c r="C2" s="265" t="s">
        <v>113</v>
      </c>
      <c r="D2" s="265"/>
      <c r="E2" s="265"/>
      <c r="F2" s="265"/>
      <c r="G2" s="274"/>
      <c r="H2" s="275" t="s">
        <v>114</v>
      </c>
      <c r="I2" s="265"/>
      <c r="J2" s="265"/>
      <c r="K2" s="265"/>
      <c r="L2" s="265"/>
    </row>
    <row r="3" spans="1:14" ht="10" customHeight="1" x14ac:dyDescent="0.2"/>
    <row r="4" spans="1:14" ht="16" customHeight="1" x14ac:dyDescent="0.2">
      <c r="A4" s="87"/>
      <c r="B4" s="60"/>
      <c r="C4" s="271" t="s">
        <v>198</v>
      </c>
      <c r="D4" s="271"/>
      <c r="E4" s="271"/>
      <c r="F4" s="271"/>
      <c r="G4" s="271"/>
      <c r="H4" s="271"/>
      <c r="I4" s="271"/>
      <c r="J4" s="271"/>
      <c r="K4" s="271"/>
      <c r="L4" s="271"/>
    </row>
    <row r="5" spans="1:14" x14ac:dyDescent="0.2">
      <c r="B5" s="16" t="s">
        <v>117</v>
      </c>
      <c r="C5" s="12">
        <f>[2]Revenue!C5</f>
        <v>2021</v>
      </c>
      <c r="D5" s="12">
        <f>[2]Revenue!D5</f>
        <v>2022</v>
      </c>
      <c r="E5" s="12">
        <f>[2]Revenue!E5</f>
        <v>2023</v>
      </c>
      <c r="F5" s="12">
        <f>[2]Revenue!F5</f>
        <v>2024</v>
      </c>
      <c r="G5" s="12">
        <f>[2]Revenue!G5</f>
        <v>2025</v>
      </c>
      <c r="H5" s="12">
        <f>[2]Revenue!H5</f>
        <v>2026</v>
      </c>
      <c r="I5" s="12">
        <f>[2]Revenue!I5</f>
        <v>2027</v>
      </c>
      <c r="J5" s="12">
        <f>[2]Revenue!J5</f>
        <v>2028</v>
      </c>
      <c r="K5" s="12">
        <f>[2]Revenue!K5</f>
        <v>2029</v>
      </c>
      <c r="L5" s="12">
        <f>[2]Revenue!L5</f>
        <v>2030</v>
      </c>
    </row>
    <row r="6" spans="1:14" x14ac:dyDescent="0.2">
      <c r="B6" s="16" t="s">
        <v>247</v>
      </c>
      <c r="C6" s="248">
        <f>Statement!M26</f>
        <v>-2.57</v>
      </c>
      <c r="D6" s="248">
        <f>Statement!N26</f>
        <v>-1.51</v>
      </c>
      <c r="E6" s="248">
        <f>Statement!O26</f>
        <v>0.35</v>
      </c>
      <c r="F6" s="248">
        <f>Statement!P26</f>
        <v>1.88</v>
      </c>
      <c r="G6" s="249">
        <f>Statement!Q26</f>
        <v>3.2570201538405805</v>
      </c>
      <c r="H6" s="139"/>
      <c r="I6" s="139"/>
      <c r="J6" s="139"/>
      <c r="K6" s="139"/>
      <c r="L6" s="139"/>
      <c r="N6" s="92"/>
    </row>
    <row r="7" spans="1:14" x14ac:dyDescent="0.2">
      <c r="B7" s="16" t="s">
        <v>412</v>
      </c>
      <c r="C7" s="248">
        <f>Statement!M82</f>
        <v>0</v>
      </c>
      <c r="D7" s="248">
        <f>Statement!N82</f>
        <v>0</v>
      </c>
      <c r="E7" s="248">
        <f>Statement!O82</f>
        <v>0</v>
      </c>
      <c r="F7" s="248">
        <f>Statement!P82</f>
        <v>0</v>
      </c>
      <c r="G7" s="249">
        <f>Statement!Q82</f>
        <v>0</v>
      </c>
      <c r="H7" s="139"/>
      <c r="I7" s="139"/>
      <c r="J7" s="139"/>
      <c r="K7" s="139"/>
      <c r="L7" s="139"/>
      <c r="N7" s="92"/>
    </row>
    <row r="8" spans="1:14" x14ac:dyDescent="0.2">
      <c r="N8" s="92"/>
    </row>
    <row r="9" spans="1:14" x14ac:dyDescent="0.2">
      <c r="C9" s="271" t="s">
        <v>122</v>
      </c>
      <c r="D9" s="271"/>
      <c r="E9" s="271"/>
      <c r="F9" s="271"/>
      <c r="G9" s="271"/>
      <c r="H9" s="271"/>
      <c r="I9" s="271"/>
      <c r="J9" s="271"/>
      <c r="K9" s="271"/>
      <c r="L9" s="271"/>
      <c r="N9" s="92"/>
    </row>
    <row r="10" spans="1:14" x14ac:dyDescent="0.2">
      <c r="B10" s="16" t="s">
        <v>199</v>
      </c>
      <c r="C10" s="12">
        <f t="shared" ref="C10:L10" si="0">C5</f>
        <v>2021</v>
      </c>
      <c r="D10" s="12">
        <f t="shared" si="0"/>
        <v>2022</v>
      </c>
      <c r="E10" s="12">
        <f t="shared" si="0"/>
        <v>2023</v>
      </c>
      <c r="F10" s="12">
        <f t="shared" si="0"/>
        <v>2024</v>
      </c>
      <c r="G10" s="12">
        <f t="shared" si="0"/>
        <v>2025</v>
      </c>
      <c r="H10" s="12">
        <f t="shared" si="0"/>
        <v>2026</v>
      </c>
      <c r="I10" s="12">
        <f t="shared" si="0"/>
        <v>2027</v>
      </c>
      <c r="J10" s="12">
        <f t="shared" si="0"/>
        <v>2028</v>
      </c>
      <c r="K10" s="12">
        <f t="shared" si="0"/>
        <v>2029</v>
      </c>
      <c r="L10" s="12">
        <f t="shared" si="0"/>
        <v>2030</v>
      </c>
      <c r="N10" s="92"/>
    </row>
    <row r="11" spans="1:14" x14ac:dyDescent="0.2">
      <c r="B11" s="1" t="s">
        <v>247</v>
      </c>
      <c r="C11" s="139"/>
      <c r="D11" s="96">
        <f>(D6-C6)/C6</f>
        <v>-0.41245136186770426</v>
      </c>
      <c r="E11" s="96">
        <f>(E6-D6)/D6</f>
        <v>-1.2317880794701985</v>
      </c>
      <c r="F11" s="96">
        <f>(F6-E6)/E6</f>
        <v>4.371428571428571</v>
      </c>
      <c r="G11" s="97">
        <f>(G6-F6)/F6</f>
        <v>0.7324575286386068</v>
      </c>
      <c r="H11" s="139"/>
      <c r="I11" s="139"/>
      <c r="J11" s="139"/>
      <c r="K11" s="139"/>
      <c r="L11" s="139"/>
      <c r="N11" s="92"/>
    </row>
    <row r="12" spans="1:14" x14ac:dyDescent="0.2">
      <c r="B12" s="1" t="s">
        <v>248</v>
      </c>
      <c r="C12" s="139"/>
      <c r="D12" s="96">
        <f>IF(C7=0,
IF(D7=0,0,IF(D7&gt;0,1,-1)),
(D7-C7)/ABS(C7)
)</f>
        <v>0</v>
      </c>
      <c r="E12" s="96">
        <f>IF(D7=0,
IF(E7=0,0,IF(E7&gt;0,1,-1)),
(E7-D7)/ABS(D7)
)</f>
        <v>0</v>
      </c>
      <c r="F12" s="96">
        <f>IF(E7=0,
IF(F7=0,0,IF(F7&gt;0,1,-1)),
(F7-E7)/ABS(E7)
)</f>
        <v>0</v>
      </c>
      <c r="G12" s="97">
        <f>IF(F7=0,
IF(G7=0,0,IF(G7&gt;0,1,-1)),
(G7-F7)/ABS(F7)
)</f>
        <v>0</v>
      </c>
      <c r="H12" s="139"/>
      <c r="I12" s="139"/>
      <c r="J12" s="139"/>
      <c r="K12" s="139"/>
      <c r="L12" s="139"/>
      <c r="N12" s="92"/>
    </row>
    <row r="13" spans="1:14" x14ac:dyDescent="0.2">
      <c r="N13" s="92"/>
    </row>
    <row r="14" spans="1:14" x14ac:dyDescent="0.2">
      <c r="C14" s="271" t="s">
        <v>413</v>
      </c>
      <c r="D14" s="271"/>
      <c r="E14" s="271"/>
      <c r="F14" s="271"/>
      <c r="G14" s="271"/>
      <c r="H14" s="271"/>
      <c r="I14" s="271"/>
      <c r="J14" s="271"/>
      <c r="K14" s="271"/>
      <c r="L14" s="271"/>
      <c r="N14" s="92"/>
    </row>
    <row r="15" spans="1:14" x14ac:dyDescent="0.2">
      <c r="B15" s="16" t="s">
        <v>337</v>
      </c>
      <c r="C15" s="12">
        <f>C5</f>
        <v>2021</v>
      </c>
      <c r="D15" s="12">
        <f t="shared" ref="D15:L15" si="1">D5</f>
        <v>2022</v>
      </c>
      <c r="E15" s="12">
        <f t="shared" si="1"/>
        <v>2023</v>
      </c>
      <c r="F15" s="12">
        <f t="shared" si="1"/>
        <v>2024</v>
      </c>
      <c r="G15" s="12">
        <f t="shared" si="1"/>
        <v>2025</v>
      </c>
      <c r="H15" s="12">
        <f t="shared" si="1"/>
        <v>2026</v>
      </c>
      <c r="I15" s="12">
        <f t="shared" si="1"/>
        <v>2027</v>
      </c>
      <c r="J15" s="12">
        <f t="shared" si="1"/>
        <v>2028</v>
      </c>
      <c r="K15" s="12">
        <f t="shared" si="1"/>
        <v>2029</v>
      </c>
      <c r="L15" s="12">
        <f t="shared" si="1"/>
        <v>2030</v>
      </c>
      <c r="N15" s="92"/>
    </row>
    <row r="16" spans="1:14" x14ac:dyDescent="0.2">
      <c r="B16" s="1" t="s">
        <v>414</v>
      </c>
      <c r="C16" s="96">
        <f>C7/C6</f>
        <v>0</v>
      </c>
      <c r="D16" s="96">
        <f t="shared" ref="D16:G16" si="2">D7/D6</f>
        <v>0</v>
      </c>
      <c r="E16" s="96">
        <f t="shared" si="2"/>
        <v>0</v>
      </c>
      <c r="F16" s="96">
        <f t="shared" si="2"/>
        <v>0</v>
      </c>
      <c r="G16" s="97">
        <f t="shared" si="2"/>
        <v>0</v>
      </c>
      <c r="H16" s="139"/>
      <c r="I16" s="139"/>
      <c r="J16" s="139"/>
      <c r="K16" s="139"/>
      <c r="L16" s="139"/>
      <c r="N16" s="92"/>
    </row>
    <row r="17" spans="2:14" x14ac:dyDescent="0.2">
      <c r="N17" s="92"/>
    </row>
    <row r="18" spans="2:14" x14ac:dyDescent="0.2">
      <c r="N18" s="92"/>
    </row>
    <row r="19" spans="2:14" x14ac:dyDescent="0.2">
      <c r="N19" s="92"/>
    </row>
    <row r="20" spans="2:14" x14ac:dyDescent="0.2">
      <c r="B20" s="265" t="s">
        <v>415</v>
      </c>
      <c r="C20" s="265"/>
      <c r="N20" s="92"/>
    </row>
    <row r="21" spans="2:14" x14ac:dyDescent="0.2">
      <c r="B21" s="1" t="s">
        <v>416</v>
      </c>
      <c r="C21" s="250">
        <f>G7</f>
        <v>0</v>
      </c>
    </row>
    <row r="22" spans="2:14" x14ac:dyDescent="0.2">
      <c r="B22" s="1" t="s">
        <v>417</v>
      </c>
      <c r="C22" s="251">
        <v>0</v>
      </c>
    </row>
    <row r="23" spans="2:14" x14ac:dyDescent="0.2">
      <c r="B23" s="39" t="s">
        <v>418</v>
      </c>
      <c r="C23" s="252">
        <f>C21*(1+C22)</f>
        <v>0</v>
      </c>
    </row>
    <row r="24" spans="2:14" x14ac:dyDescent="0.2">
      <c r="B24" s="1" t="s">
        <v>349</v>
      </c>
      <c r="C24" s="137">
        <f ca="1">IF(Overview!C29&gt;0,Overview!C29,WACC!C19)</f>
        <v>9.7500000000000003E-2</v>
      </c>
    </row>
    <row r="25" spans="2:14" x14ac:dyDescent="0.2">
      <c r="B25" s="39" t="s">
        <v>419</v>
      </c>
      <c r="C25" s="251">
        <v>0</v>
      </c>
    </row>
    <row r="26" spans="2:14" x14ac:dyDescent="0.2">
      <c r="B26" s="253" t="s">
        <v>213</v>
      </c>
      <c r="C26" s="254">
        <f ca="1">C23/(C24-C25)</f>
        <v>0</v>
      </c>
    </row>
  </sheetData>
  <mergeCells count="6">
    <mergeCell ref="B20:C20"/>
    <mergeCell ref="C2:G2"/>
    <mergeCell ref="H2:L2"/>
    <mergeCell ref="C4:L4"/>
    <mergeCell ref="C9:L9"/>
    <mergeCell ref="C14:L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CE1A-CCEC-514B-9208-A0DCC7740441}">
  <dimension ref="A1:AB36"/>
  <sheetViews>
    <sheetView topLeftCell="A12" zoomScale="209" zoomScaleNormal="100" workbookViewId="0">
      <selection activeCell="C17" sqref="C17"/>
    </sheetView>
  </sheetViews>
  <sheetFormatPr baseColWidth="10" defaultRowHeight="16" x14ac:dyDescent="0.2"/>
  <cols>
    <col min="1" max="1" width="2" style="84" customWidth="1"/>
    <col min="2" max="2" width="32" style="1" customWidth="1"/>
    <col min="3" max="3" width="12.6640625" style="1" customWidth="1"/>
    <col min="4" max="4" width="10.83203125" style="1" customWidth="1"/>
    <col min="5" max="7" width="10.83203125" style="1"/>
    <col min="8" max="8" width="10.83203125" style="1" customWidth="1"/>
    <col min="9" max="11" width="10.83203125" style="1"/>
    <col min="12" max="12" width="12.5" style="1" customWidth="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4" customFormat="1" ht="18" customHeight="1" x14ac:dyDescent="0.2">
      <c r="A1" s="4"/>
      <c r="B1" s="83" t="s">
        <v>225</v>
      </c>
    </row>
    <row r="2" spans="1:28" s="84" customFormat="1" ht="18" customHeight="1" x14ac:dyDescent="0.2">
      <c r="A2" s="4"/>
      <c r="B2" s="83"/>
    </row>
    <row r="3" spans="1:28" x14ac:dyDescent="0.2">
      <c r="A3" s="4"/>
      <c r="C3" s="265" t="s">
        <v>113</v>
      </c>
      <c r="D3" s="265"/>
      <c r="E3" s="265"/>
      <c r="F3" s="265"/>
      <c r="G3" s="274"/>
      <c r="H3" s="275" t="s">
        <v>114</v>
      </c>
      <c r="I3" s="265"/>
      <c r="J3" s="265"/>
      <c r="K3" s="265"/>
      <c r="L3" s="265"/>
      <c r="P3" s="276"/>
      <c r="Q3" s="276"/>
      <c r="R3" s="276"/>
      <c r="S3" s="276"/>
      <c r="T3" s="276"/>
      <c r="U3" s="276"/>
      <c r="V3" s="276"/>
      <c r="W3" s="276"/>
      <c r="X3" s="276"/>
      <c r="Y3" s="276"/>
      <c r="Z3" s="276"/>
      <c r="AB3" s="111"/>
    </row>
    <row r="4" spans="1:28" ht="10" customHeight="1" x14ac:dyDescent="0.2"/>
    <row r="5" spans="1:28" ht="16" customHeight="1" x14ac:dyDescent="0.2">
      <c r="A5" s="87"/>
      <c r="B5" s="60"/>
      <c r="C5" s="271" t="s">
        <v>184</v>
      </c>
      <c r="D5" s="271"/>
      <c r="E5" s="271"/>
      <c r="F5" s="271"/>
      <c r="G5" s="271"/>
      <c r="H5" s="271"/>
      <c r="I5" s="271"/>
      <c r="J5" s="271"/>
      <c r="K5" s="271"/>
      <c r="L5" s="271"/>
      <c r="P5" s="276"/>
      <c r="Q5" s="276"/>
      <c r="R5" s="276"/>
      <c r="S5" s="276"/>
      <c r="T5" s="276"/>
      <c r="U5" s="276"/>
      <c r="V5" s="276"/>
      <c r="W5" s="276"/>
      <c r="X5" s="276"/>
      <c r="Y5" s="276"/>
      <c r="Z5" s="276"/>
      <c r="AB5" s="112"/>
    </row>
    <row r="6" spans="1:28" x14ac:dyDescent="0.2">
      <c r="B6" s="16" t="s">
        <v>137</v>
      </c>
      <c r="C6" s="12">
        <f>Revenue!C5</f>
        <v>2021</v>
      </c>
      <c r="D6" s="12">
        <f>Revenue!D5</f>
        <v>2022</v>
      </c>
      <c r="E6" s="12">
        <f>Revenue!E5</f>
        <v>2023</v>
      </c>
      <c r="F6" s="12">
        <f>Revenue!F5</f>
        <v>2024</v>
      </c>
      <c r="G6" s="12">
        <f>Revenue!G5</f>
        <v>2025</v>
      </c>
      <c r="H6" s="12">
        <f>Revenue!H5</f>
        <v>2026</v>
      </c>
      <c r="I6" s="12">
        <f>Revenue!I5</f>
        <v>2027</v>
      </c>
      <c r="J6" s="12">
        <f>Revenue!J5</f>
        <v>2028</v>
      </c>
      <c r="K6" s="12">
        <f>Revenue!K5</f>
        <v>2029</v>
      </c>
      <c r="L6" s="12">
        <f>Revenue!L5</f>
        <v>2030</v>
      </c>
      <c r="O6" s="16"/>
      <c r="P6" s="113"/>
      <c r="Q6" s="113"/>
      <c r="R6" s="113"/>
      <c r="S6" s="113"/>
      <c r="T6" s="113"/>
      <c r="U6" s="113"/>
      <c r="V6" s="113"/>
      <c r="W6" s="113"/>
      <c r="X6" s="113"/>
      <c r="Y6" s="113"/>
      <c r="Z6" s="113"/>
      <c r="AB6" s="112"/>
    </row>
    <row r="7" spans="1:28" x14ac:dyDescent="0.2">
      <c r="B7" s="39" t="s">
        <v>266</v>
      </c>
      <c r="C7" s="114">
        <f>'FCF &amp; Other'!C28</f>
        <v>-37712</v>
      </c>
      <c r="D7" s="114">
        <f>'FCF &amp; Other'!D28</f>
        <v>-34866.075687291086</v>
      </c>
      <c r="E7" s="114">
        <f>'FCF &amp; Other'!E28</f>
        <v>16325.405861506442</v>
      </c>
      <c r="F7" s="114">
        <f>'FCF &amp; Other'!F28</f>
        <v>119828.20010556566</v>
      </c>
      <c r="G7" s="115">
        <f>'FCF &amp; Other'!G28</f>
        <v>152914.15947590594</v>
      </c>
      <c r="H7" s="128">
        <f>G7*(1+$C$17)</f>
        <v>197259.26572391865</v>
      </c>
      <c r="I7" s="128">
        <f t="shared" ref="I7:L7" si="0">H7*(1+$C$17)</f>
        <v>254464.45278385506</v>
      </c>
      <c r="J7" s="128">
        <f t="shared" si="0"/>
        <v>328259.14409117302</v>
      </c>
      <c r="K7" s="128">
        <f t="shared" si="0"/>
        <v>423454.29587761319</v>
      </c>
      <c r="L7" s="128">
        <f t="shared" si="0"/>
        <v>546256.04168212099</v>
      </c>
      <c r="N7" s="92"/>
      <c r="O7" s="16"/>
      <c r="P7" s="93"/>
      <c r="Q7" s="93"/>
      <c r="R7" s="93"/>
      <c r="S7" s="93"/>
      <c r="T7" s="93"/>
      <c r="U7" s="93"/>
      <c r="V7" s="93"/>
      <c r="W7" s="93"/>
      <c r="X7" s="95"/>
      <c r="Y7" s="95"/>
      <c r="Z7" s="95"/>
      <c r="AB7" s="95"/>
    </row>
    <row r="8" spans="1:28" x14ac:dyDescent="0.2">
      <c r="B8" s="39" t="s">
        <v>185</v>
      </c>
      <c r="C8" s="139"/>
      <c r="D8" s="139"/>
      <c r="E8" s="139"/>
      <c r="F8" s="139"/>
      <c r="G8" s="140"/>
      <c r="H8" s="139"/>
      <c r="I8" s="139"/>
      <c r="J8" s="139"/>
      <c r="K8" s="139"/>
      <c r="L8" s="128">
        <f ca="1">L7*(1+C20)/(C21-C20)</f>
        <v>7189434.3550421083</v>
      </c>
      <c r="N8" s="92"/>
      <c r="O8" s="16"/>
      <c r="P8" s="93"/>
      <c r="Q8" s="93"/>
      <c r="R8" s="93"/>
      <c r="S8" s="93"/>
      <c r="T8" s="93"/>
      <c r="U8" s="93"/>
      <c r="V8" s="93"/>
      <c r="W8" s="93"/>
      <c r="X8" s="95"/>
      <c r="Y8" s="95"/>
      <c r="Z8" s="95"/>
      <c r="AB8" s="95"/>
    </row>
    <row r="9" spans="1:28" x14ac:dyDescent="0.2">
      <c r="B9" s="1" t="s">
        <v>186</v>
      </c>
      <c r="C9" s="139"/>
      <c r="D9" s="139"/>
      <c r="E9" s="139"/>
      <c r="F9" s="139"/>
      <c r="G9" s="140"/>
      <c r="H9" s="141">
        <v>1</v>
      </c>
      <c r="I9" s="141">
        <v>2</v>
      </c>
      <c r="J9" s="141">
        <v>3</v>
      </c>
      <c r="K9" s="141">
        <v>4</v>
      </c>
      <c r="L9" s="141">
        <v>5</v>
      </c>
      <c r="N9" s="92"/>
    </row>
    <row r="10" spans="1:28" x14ac:dyDescent="0.2">
      <c r="B10" s="1" t="s">
        <v>325</v>
      </c>
      <c r="C10" s="139"/>
      <c r="D10" s="139"/>
      <c r="E10" s="139"/>
      <c r="F10" s="139"/>
      <c r="G10" s="140"/>
      <c r="H10" s="128">
        <f ca="1">H7/(1+$C$21)^H9</f>
        <v>179735.09405368444</v>
      </c>
      <c r="I10" s="128">
        <f t="shared" ref="I10:L10" ca="1" si="1">I7/(1+$C$21)^I9</f>
        <v>211260.38389909151</v>
      </c>
      <c r="J10" s="128">
        <f t="shared" ca="1" si="1"/>
        <v>248315.16649642648</v>
      </c>
      <c r="K10" s="128">
        <f t="shared" ca="1" si="1"/>
        <v>291869.30731698417</v>
      </c>
      <c r="L10" s="128">
        <f t="shared" ca="1" si="1"/>
        <v>343062.78491016821</v>
      </c>
      <c r="N10" s="92"/>
    </row>
    <row r="11" spans="1:28" x14ac:dyDescent="0.2">
      <c r="B11" s="1" t="s">
        <v>187</v>
      </c>
      <c r="C11" s="139"/>
      <c r="D11" s="139"/>
      <c r="E11" s="139"/>
      <c r="F11" s="139"/>
      <c r="G11" s="140"/>
      <c r="H11" s="139"/>
      <c r="I11" s="139"/>
      <c r="J11" s="139"/>
      <c r="K11" s="139"/>
      <c r="L11" s="128">
        <f ca="1">L8/(1+C21)^L9</f>
        <v>4515148.9110757625</v>
      </c>
    </row>
    <row r="13" spans="1:28" ht="17" thickBot="1" x14ac:dyDescent="0.25"/>
    <row r="14" spans="1:28" x14ac:dyDescent="0.2">
      <c r="B14" s="277" t="s">
        <v>226</v>
      </c>
      <c r="C14" s="278"/>
    </row>
    <row r="15" spans="1:28" x14ac:dyDescent="0.2">
      <c r="B15" s="155" t="s">
        <v>227</v>
      </c>
      <c r="C15" s="156">
        <f ca="1">Overview!C5</f>
        <v>143.04</v>
      </c>
    </row>
    <row r="16" spans="1:28" x14ac:dyDescent="0.2">
      <c r="B16" s="155" t="s">
        <v>228</v>
      </c>
      <c r="C16" s="156">
        <f ca="1">C36</f>
        <v>154.01937861223695</v>
      </c>
    </row>
    <row r="17" spans="2:9" ht="17" thickBot="1" x14ac:dyDescent="0.25">
      <c r="B17" s="157" t="s">
        <v>329</v>
      </c>
      <c r="C17" s="158">
        <v>0.28999999999999998</v>
      </c>
      <c r="E17" s="279" t="s">
        <v>229</v>
      </c>
      <c r="F17" s="279"/>
      <c r="G17" s="279"/>
      <c r="H17" s="279"/>
      <c r="I17" s="279"/>
    </row>
    <row r="18" spans="2:9" ht="17" thickBot="1" x14ac:dyDescent="0.25"/>
    <row r="19" spans="2:9" x14ac:dyDescent="0.2">
      <c r="B19" s="277" t="s">
        <v>188</v>
      </c>
      <c r="C19" s="278"/>
    </row>
    <row r="20" spans="2:9" x14ac:dyDescent="0.2">
      <c r="B20" s="159" t="s">
        <v>189</v>
      </c>
      <c r="C20" s="160">
        <v>0.02</v>
      </c>
    </row>
    <row r="21" spans="2:9" x14ac:dyDescent="0.2">
      <c r="B21" s="159" t="s">
        <v>169</v>
      </c>
      <c r="C21" s="221">
        <f ca="1">IF(Overview!C28&gt;0,Overview!C28,WACC!C20)</f>
        <v>9.7500000000000003E-2</v>
      </c>
    </row>
    <row r="22" spans="2:9" x14ac:dyDescent="0.2">
      <c r="B22" s="159" t="s">
        <v>70</v>
      </c>
      <c r="C22" s="222">
        <f>Statement!AC75</f>
        <v>46786</v>
      </c>
    </row>
    <row r="23" spans="2:9" x14ac:dyDescent="0.2">
      <c r="B23" s="159" t="s">
        <v>230</v>
      </c>
      <c r="C23" s="161">
        <f ca="1">C15*C22</f>
        <v>6692269.4399999995</v>
      </c>
    </row>
    <row r="24" spans="2:9" x14ac:dyDescent="0.2">
      <c r="B24" s="159" t="s">
        <v>182</v>
      </c>
      <c r="C24" s="222">
        <f>Statement!AC107</f>
        <v>1416559</v>
      </c>
    </row>
    <row r="25" spans="2:9" x14ac:dyDescent="0.2">
      <c r="B25" s="159" t="s">
        <v>173</v>
      </c>
      <c r="C25" s="222">
        <f>Statement!AC108</f>
        <v>0</v>
      </c>
    </row>
    <row r="26" spans="2:9" ht="17" thickBot="1" x14ac:dyDescent="0.25">
      <c r="B26" s="157" t="s">
        <v>231</v>
      </c>
      <c r="C26" s="162">
        <f ca="1">C23+C25-C24</f>
        <v>5275710.4399999995</v>
      </c>
    </row>
    <row r="27" spans="2:9" ht="17" thickBot="1" x14ac:dyDescent="0.25"/>
    <row r="28" spans="2:9" x14ac:dyDescent="0.2">
      <c r="B28" s="277" t="s">
        <v>190</v>
      </c>
      <c r="C28" s="278"/>
    </row>
    <row r="29" spans="2:9" x14ac:dyDescent="0.2">
      <c r="B29" s="159" t="s">
        <v>191</v>
      </c>
      <c r="C29" s="161">
        <f ca="1">SUM(H10:L10)</f>
        <v>1274242.7366763549</v>
      </c>
    </row>
    <row r="30" spans="2:9" x14ac:dyDescent="0.2">
      <c r="B30" s="159" t="s">
        <v>187</v>
      </c>
      <c r="C30" s="161">
        <f ca="1">L11</f>
        <v>4515148.9110757625</v>
      </c>
    </row>
    <row r="31" spans="2:9" x14ac:dyDescent="0.2">
      <c r="B31" s="163" t="s">
        <v>192</v>
      </c>
      <c r="C31" s="164">
        <f ca="1">C29+C30</f>
        <v>5789391.6477521174</v>
      </c>
    </row>
    <row r="32" spans="2:9" x14ac:dyDescent="0.2">
      <c r="B32" s="159" t="s">
        <v>193</v>
      </c>
      <c r="C32" s="165">
        <f>C24</f>
        <v>1416559</v>
      </c>
    </row>
    <row r="33" spans="2:3" x14ac:dyDescent="0.2">
      <c r="B33" s="159" t="s">
        <v>194</v>
      </c>
      <c r="C33" s="165">
        <f>C25</f>
        <v>0</v>
      </c>
    </row>
    <row r="34" spans="2:3" x14ac:dyDescent="0.2">
      <c r="B34" s="163" t="s">
        <v>195</v>
      </c>
      <c r="C34" s="164">
        <f ca="1">C31+C32-C33</f>
        <v>7205950.6477521174</v>
      </c>
    </row>
    <row r="35" spans="2:3" x14ac:dyDescent="0.2">
      <c r="B35" s="159" t="s">
        <v>70</v>
      </c>
      <c r="C35" s="161">
        <f>C22</f>
        <v>46786</v>
      </c>
    </row>
    <row r="36" spans="2:3" ht="17" thickBot="1" x14ac:dyDescent="0.25">
      <c r="B36" s="166" t="s">
        <v>196</v>
      </c>
      <c r="C36" s="167">
        <f ca="1">C34/C35</f>
        <v>154.01937861223695</v>
      </c>
    </row>
  </sheetData>
  <mergeCells count="10">
    <mergeCell ref="E17:I17"/>
    <mergeCell ref="B19:C19"/>
    <mergeCell ref="B28:C28"/>
    <mergeCell ref="C3:G3"/>
    <mergeCell ref="H3:L3"/>
    <mergeCell ref="P3:W3"/>
    <mergeCell ref="X3:Z3"/>
    <mergeCell ref="C5:L5"/>
    <mergeCell ref="P5:Z5"/>
    <mergeCell ref="B14:C14"/>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Overview</vt:lpstr>
      <vt:lpstr>Financials -&gt;</vt:lpstr>
      <vt:lpstr>Statement</vt:lpstr>
      <vt:lpstr>Analysis -&gt;</vt:lpstr>
      <vt:lpstr>Basic</vt:lpstr>
      <vt:lpstr>Yearly Analysis</vt:lpstr>
      <vt:lpstr>Quarter analysis</vt:lpstr>
      <vt:lpstr>Graphs Year</vt:lpstr>
      <vt:lpstr>Graphs Quarter</vt:lpstr>
      <vt:lpstr>Forecast -&gt;</vt:lpstr>
      <vt:lpstr>Revenue</vt:lpstr>
      <vt:lpstr>COGS &amp; OpEx</vt:lpstr>
      <vt:lpstr>WC &amp; Investments</vt:lpstr>
      <vt:lpstr>FCF &amp; Other</vt:lpstr>
      <vt:lpstr>Valuation -&gt;</vt:lpstr>
      <vt:lpstr>WACC</vt:lpstr>
      <vt:lpstr>DCF</vt:lpstr>
      <vt:lpstr>Multiples</vt:lpstr>
      <vt:lpstr>AVG target price</vt:lpstr>
      <vt:lpstr>DDM</vt:lpstr>
      <vt:lpstr>Reverse 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dumitras</dc:creator>
  <cp:lastModifiedBy>adi dumitras</cp:lastModifiedBy>
  <dcterms:created xsi:type="dcterms:W3CDTF">2025-11-16T22:36:04Z</dcterms:created>
  <dcterms:modified xsi:type="dcterms:W3CDTF">2026-10-23T22:58:40Z</dcterms:modified>
</cp:coreProperties>
</file>