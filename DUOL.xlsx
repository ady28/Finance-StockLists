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ACA129B-1A81-DB46-BCAF-1F68CA979E77}" xr6:coauthVersionLast="47" xr6:coauthVersionMax="47" xr10:uidLastSave="{00000000-0000-0000-0000-000000000000}"/>
  <bookViews>
    <workbookView xWindow="0" yWindow="0" windowWidth="25600" windowHeight="14400" activeTab="2"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4" i="3" l="1"/>
  <c r="L15" i="27"/>
  <c r="K15" i="27"/>
  <c r="J15" i="27"/>
  <c r="I15" i="27"/>
  <c r="H15" i="27"/>
  <c r="L14" i="27"/>
  <c r="K14" i="27"/>
  <c r="J14" i="27"/>
  <c r="I14" i="27"/>
  <c r="H14" i="27"/>
  <c r="G15" i="27"/>
  <c r="F15" i="27"/>
  <c r="E15" i="27"/>
  <c r="D15" i="27"/>
  <c r="C15" i="27"/>
  <c r="G14" i="27"/>
  <c r="F14" i="27"/>
  <c r="E14" i="27"/>
  <c r="D14" i="27"/>
  <c r="C14" i="27"/>
  <c r="N162" i="3"/>
  <c r="H176" i="1"/>
  <c r="G176" i="1"/>
  <c r="F176" i="1"/>
  <c r="E176" i="1"/>
  <c r="D176" i="1"/>
  <c r="C176" i="1"/>
  <c r="N161" i="3"/>
  <c r="H175" i="1"/>
  <c r="G175" i="1"/>
  <c r="F175" i="1"/>
  <c r="E175" i="1"/>
  <c r="D175" i="1"/>
  <c r="C175" i="1"/>
  <c r="C13" i="21"/>
  <c r="C18" i="21" s="1"/>
  <c r="N119" i="3"/>
  <c r="N120" i="3"/>
  <c r="J160" i="3"/>
  <c r="I160" i="3"/>
  <c r="I162" i="3" s="1"/>
  <c r="I165" i="3" s="1"/>
  <c r="H160" i="3"/>
  <c r="H162" i="3" s="1"/>
  <c r="H165" i="3" s="1"/>
  <c r="G160" i="3"/>
  <c r="G162" i="3" s="1"/>
  <c r="G165" i="3" s="1"/>
  <c r="F160" i="3"/>
  <c r="F162" i="3" s="1"/>
  <c r="F165" i="3" s="1"/>
  <c r="E160" i="3"/>
  <c r="E162" i="3" s="1"/>
  <c r="E165" i="3" s="1"/>
  <c r="D160" i="3"/>
  <c r="D162" i="3" s="1"/>
  <c r="D165" i="3" s="1"/>
  <c r="C160" i="3"/>
  <c r="C162" i="3" s="1"/>
  <c r="C165" i="3" s="1"/>
  <c r="J159" i="3"/>
  <c r="N159" i="3" s="1"/>
  <c r="I159" i="3"/>
  <c r="H159" i="3"/>
  <c r="G159" i="3"/>
  <c r="F159" i="3"/>
  <c r="E159" i="3"/>
  <c r="D159" i="3"/>
  <c r="C159" i="3"/>
  <c r="J158" i="3"/>
  <c r="I158" i="3"/>
  <c r="I163" i="3" s="1"/>
  <c r="H158" i="3"/>
  <c r="H163" i="3" s="1"/>
  <c r="G158" i="3"/>
  <c r="G163" i="3" s="1"/>
  <c r="F158" i="3"/>
  <c r="F163" i="3" s="1"/>
  <c r="E158" i="3"/>
  <c r="E163" i="3" s="1"/>
  <c r="D158" i="3"/>
  <c r="D163" i="3" s="1"/>
  <c r="C158" i="3"/>
  <c r="C163" i="3" s="1"/>
  <c r="H174" i="1"/>
  <c r="G174" i="1"/>
  <c r="F174" i="1"/>
  <c r="E174" i="1"/>
  <c r="D174" i="1"/>
  <c r="C174" i="1"/>
  <c r="H173" i="1"/>
  <c r="G31" i="24" s="1"/>
  <c r="G173" i="1"/>
  <c r="F31" i="24" s="1"/>
  <c r="F173" i="1"/>
  <c r="E31" i="24" s="1"/>
  <c r="E173" i="1"/>
  <c r="D31" i="24" s="1"/>
  <c r="D173" i="1"/>
  <c r="C31" i="24" s="1"/>
  <c r="C173" i="1"/>
  <c r="H172" i="1"/>
  <c r="G172" i="1"/>
  <c r="F172" i="1"/>
  <c r="E172" i="1"/>
  <c r="D172" i="1"/>
  <c r="C172" i="1"/>
  <c r="C177" i="1" s="1"/>
  <c r="C10" i="21"/>
  <c r="C9" i="21"/>
  <c r="C3" i="2"/>
  <c r="G43" i="26"/>
  <c r="F43" i="26"/>
  <c r="E43" i="26"/>
  <c r="D43" i="26"/>
  <c r="C43" i="26"/>
  <c r="Q70" i="23"/>
  <c r="P70" i="23"/>
  <c r="O70" i="23"/>
  <c r="N70" i="23"/>
  <c r="M70" i="23"/>
  <c r="L70" i="23"/>
  <c r="K70" i="23"/>
  <c r="J70" i="23"/>
  <c r="N90" i="3"/>
  <c r="H49" i="23"/>
  <c r="G49" i="23"/>
  <c r="F49" i="23"/>
  <c r="E49" i="23"/>
  <c r="D49" i="23"/>
  <c r="C49" i="23"/>
  <c r="Q49" i="23"/>
  <c r="S49" i="23" s="1"/>
  <c r="P49" i="23"/>
  <c r="O49" i="23"/>
  <c r="N49" i="23"/>
  <c r="M49" i="23"/>
  <c r="L49" i="23"/>
  <c r="K49" i="23"/>
  <c r="J49" i="23"/>
  <c r="N52" i="3"/>
  <c r="I154" i="3"/>
  <c r="H154" i="3"/>
  <c r="G154" i="3"/>
  <c r="F154" i="3"/>
  <c r="E154" i="3"/>
  <c r="D154" i="3"/>
  <c r="C154" i="3"/>
  <c r="I152" i="3"/>
  <c r="H152" i="3"/>
  <c r="G152" i="3"/>
  <c r="F152" i="3"/>
  <c r="E152" i="3"/>
  <c r="D152" i="3"/>
  <c r="C152" i="3"/>
  <c r="I151" i="3"/>
  <c r="H151" i="3"/>
  <c r="G151" i="3"/>
  <c r="F151" i="3"/>
  <c r="E151" i="3"/>
  <c r="D151" i="3"/>
  <c r="C151" i="3"/>
  <c r="I150" i="3"/>
  <c r="H150" i="3"/>
  <c r="G150" i="3"/>
  <c r="F150" i="3"/>
  <c r="E150" i="3"/>
  <c r="D150" i="3"/>
  <c r="C150" i="3"/>
  <c r="I146" i="3"/>
  <c r="H146" i="3"/>
  <c r="G146" i="3"/>
  <c r="F146" i="3"/>
  <c r="E146" i="3"/>
  <c r="D146" i="3"/>
  <c r="C146" i="3"/>
  <c r="I137" i="3"/>
  <c r="I153" i="3" s="1"/>
  <c r="H137" i="3"/>
  <c r="H153" i="3" s="1"/>
  <c r="G137" i="3"/>
  <c r="G153" i="3" s="1"/>
  <c r="F137" i="3"/>
  <c r="F153" i="3" s="1"/>
  <c r="E137" i="3"/>
  <c r="E153" i="3" s="1"/>
  <c r="D137" i="3"/>
  <c r="D153" i="3" s="1"/>
  <c r="C137" i="3"/>
  <c r="C153" i="3" s="1"/>
  <c r="I127" i="3"/>
  <c r="H127" i="3"/>
  <c r="G127" i="3"/>
  <c r="F127" i="3"/>
  <c r="E127" i="3"/>
  <c r="D127" i="3"/>
  <c r="C127" i="3"/>
  <c r="I126" i="3"/>
  <c r="H126" i="3"/>
  <c r="G126" i="3"/>
  <c r="F126" i="3"/>
  <c r="E126" i="3"/>
  <c r="D126" i="3"/>
  <c r="C126" i="3"/>
  <c r="I114" i="3"/>
  <c r="I115" i="3" s="1"/>
  <c r="H114" i="3"/>
  <c r="H115" i="3" s="1"/>
  <c r="G114" i="3"/>
  <c r="G115" i="3" s="1"/>
  <c r="F114" i="3"/>
  <c r="F115" i="3" s="1"/>
  <c r="E114" i="3"/>
  <c r="E115" i="3" s="1"/>
  <c r="D114" i="3"/>
  <c r="D115" i="3" s="1"/>
  <c r="C114" i="3"/>
  <c r="C115" i="3" s="1"/>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7" i="3"/>
  <c r="H107" i="3"/>
  <c r="G107" i="3"/>
  <c r="F107" i="3"/>
  <c r="E107" i="3"/>
  <c r="D107" i="3"/>
  <c r="C107" i="3"/>
  <c r="I105" i="3"/>
  <c r="I106" i="3" s="1"/>
  <c r="H105" i="3"/>
  <c r="H106" i="3" s="1"/>
  <c r="G105" i="3"/>
  <c r="G106" i="3" s="1"/>
  <c r="F105" i="3"/>
  <c r="F106" i="3" s="1"/>
  <c r="E105" i="3"/>
  <c r="E106" i="3" s="1"/>
  <c r="D105" i="3"/>
  <c r="D106" i="3" s="1"/>
  <c r="C105" i="3"/>
  <c r="C106" i="3" s="1"/>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59" i="3"/>
  <c r="H59" i="3"/>
  <c r="G59" i="3"/>
  <c r="F59" i="3"/>
  <c r="E59" i="3"/>
  <c r="D59" i="3"/>
  <c r="C59" i="3"/>
  <c r="I49" i="3"/>
  <c r="P46" i="23" s="1"/>
  <c r="H49" i="3"/>
  <c r="O46" i="23" s="1"/>
  <c r="G49" i="3"/>
  <c r="N46" i="23" s="1"/>
  <c r="F49" i="3"/>
  <c r="M46" i="23" s="1"/>
  <c r="E49" i="3"/>
  <c r="L46" i="23" s="1"/>
  <c r="D49" i="3"/>
  <c r="K46" i="23" s="1"/>
  <c r="C49" i="3"/>
  <c r="J46" i="23" s="1"/>
  <c r="I40" i="3"/>
  <c r="P37" i="23" s="1"/>
  <c r="H40" i="3"/>
  <c r="O37" i="23" s="1"/>
  <c r="G40" i="3"/>
  <c r="N37" i="23" s="1"/>
  <c r="F40" i="3"/>
  <c r="M37" i="23" s="1"/>
  <c r="E40" i="3"/>
  <c r="L37" i="23" s="1"/>
  <c r="D40" i="3"/>
  <c r="K37" i="23" s="1"/>
  <c r="C40" i="3"/>
  <c r="J37" i="23" s="1"/>
  <c r="I11" i="3"/>
  <c r="H11" i="3"/>
  <c r="G11" i="3"/>
  <c r="F11" i="3"/>
  <c r="E11" i="3"/>
  <c r="D11" i="3"/>
  <c r="C11" i="3"/>
  <c r="I7" i="3"/>
  <c r="H7" i="3"/>
  <c r="O7" i="23" s="1"/>
  <c r="G7" i="3"/>
  <c r="N7" i="23" s="1"/>
  <c r="F7" i="3"/>
  <c r="M7" i="23" s="1"/>
  <c r="E7" i="3"/>
  <c r="L7" i="23" s="1"/>
  <c r="D7" i="3"/>
  <c r="K7" i="23" s="1"/>
  <c r="C7" i="3"/>
  <c r="J7" i="23" s="1"/>
  <c r="G44" i="28"/>
  <c r="F44" i="28"/>
  <c r="E44" i="28"/>
  <c r="D44" i="28"/>
  <c r="C44" i="28"/>
  <c r="G42" i="28"/>
  <c r="F42" i="28"/>
  <c r="E42" i="28"/>
  <c r="D42" i="28"/>
  <c r="C42" i="28"/>
  <c r="C33" i="28"/>
  <c r="C32" i="28"/>
  <c r="L6" i="28"/>
  <c r="L40" i="28" s="1"/>
  <c r="K6" i="28"/>
  <c r="K40" i="28" s="1"/>
  <c r="J6" i="28"/>
  <c r="J40" i="28" s="1"/>
  <c r="I6" i="28"/>
  <c r="I40" i="28" s="1"/>
  <c r="H6" i="28"/>
  <c r="H40" i="28" s="1"/>
  <c r="G6" i="28"/>
  <c r="G40" i="28" s="1"/>
  <c r="F6" i="28"/>
  <c r="F40" i="28" s="1"/>
  <c r="E6" i="28"/>
  <c r="E40" i="28" s="1"/>
  <c r="D6" i="28"/>
  <c r="D40" i="28" s="1"/>
  <c r="C6" i="28"/>
  <c r="C40" i="28" s="1"/>
  <c r="G23" i="24"/>
  <c r="F23" i="24"/>
  <c r="E23" i="24"/>
  <c r="D23" i="24"/>
  <c r="C23" i="24"/>
  <c r="G28" i="26"/>
  <c r="F28" i="26"/>
  <c r="E28" i="26"/>
  <c r="D28" i="26"/>
  <c r="C28" i="26"/>
  <c r="G27" i="26"/>
  <c r="F27" i="26"/>
  <c r="E27" i="26"/>
  <c r="D27" i="26"/>
  <c r="C27" i="26"/>
  <c r="G15" i="26"/>
  <c r="F15" i="26"/>
  <c r="E15" i="26"/>
  <c r="D15" i="26"/>
  <c r="C15" i="26"/>
  <c r="G14" i="26"/>
  <c r="F14" i="26"/>
  <c r="E14" i="26"/>
  <c r="D14" i="26"/>
  <c r="C14" i="26"/>
  <c r="F18" i="24"/>
  <c r="E18" i="24"/>
  <c r="D18" i="24"/>
  <c r="C18" i="24"/>
  <c r="G6" i="24"/>
  <c r="F6" i="24"/>
  <c r="E6" i="24"/>
  <c r="D6" i="24"/>
  <c r="C6" i="24"/>
  <c r="Q74" i="23"/>
  <c r="S74" i="23" s="1"/>
  <c r="P74" i="23"/>
  <c r="O74" i="23"/>
  <c r="N74" i="23"/>
  <c r="M74" i="23"/>
  <c r="L74" i="23"/>
  <c r="K74" i="23"/>
  <c r="J74" i="23"/>
  <c r="Q73" i="23"/>
  <c r="P73" i="23"/>
  <c r="O73" i="23"/>
  <c r="N73" i="23"/>
  <c r="S73" i="23" s="1"/>
  <c r="M73" i="23"/>
  <c r="L73" i="23"/>
  <c r="K73" i="23"/>
  <c r="J73" i="23"/>
  <c r="Q72" i="23"/>
  <c r="P72" i="23"/>
  <c r="O72" i="23"/>
  <c r="N72" i="23"/>
  <c r="S72" i="23" s="1"/>
  <c r="M72" i="23"/>
  <c r="L72" i="23"/>
  <c r="K72" i="23"/>
  <c r="J72" i="23"/>
  <c r="Q71" i="23"/>
  <c r="P71" i="23"/>
  <c r="O71" i="23"/>
  <c r="N71" i="23"/>
  <c r="M71" i="23"/>
  <c r="L71" i="23"/>
  <c r="K71" i="23"/>
  <c r="Q69" i="23"/>
  <c r="P69" i="23"/>
  <c r="O69" i="23"/>
  <c r="N69" i="23"/>
  <c r="S69" i="23" s="1"/>
  <c r="M69" i="23"/>
  <c r="L69" i="23"/>
  <c r="K69" i="23"/>
  <c r="J71" i="23"/>
  <c r="J69" i="23"/>
  <c r="Q68" i="23"/>
  <c r="P68" i="23"/>
  <c r="O68" i="23"/>
  <c r="N68" i="23"/>
  <c r="S68" i="23" s="1"/>
  <c r="M68" i="23"/>
  <c r="L68" i="23"/>
  <c r="K68" i="23"/>
  <c r="Q67" i="23"/>
  <c r="P67" i="23"/>
  <c r="O67" i="23"/>
  <c r="N67" i="23"/>
  <c r="S67" i="23" s="1"/>
  <c r="M67" i="23"/>
  <c r="L67" i="23"/>
  <c r="K67" i="23"/>
  <c r="Q66" i="23"/>
  <c r="P66" i="23"/>
  <c r="O66" i="23"/>
  <c r="N66" i="23"/>
  <c r="S66" i="23" s="1"/>
  <c r="M66" i="23"/>
  <c r="L66" i="23"/>
  <c r="K66" i="23"/>
  <c r="J68" i="23"/>
  <c r="J67" i="23"/>
  <c r="J66" i="23"/>
  <c r="Q65" i="23"/>
  <c r="P65" i="23"/>
  <c r="O65" i="23"/>
  <c r="N65" i="23"/>
  <c r="M65" i="23"/>
  <c r="L65" i="23"/>
  <c r="K65" i="23"/>
  <c r="Q64" i="23"/>
  <c r="P64" i="23"/>
  <c r="O64" i="23"/>
  <c r="N64" i="23"/>
  <c r="M64" i="23"/>
  <c r="L64" i="23"/>
  <c r="K64" i="23"/>
  <c r="Q63" i="23"/>
  <c r="P63" i="23"/>
  <c r="O63" i="23"/>
  <c r="N63" i="23"/>
  <c r="S63" i="23" s="1"/>
  <c r="M63" i="23"/>
  <c r="L63" i="23"/>
  <c r="K63" i="23"/>
  <c r="Q62" i="23"/>
  <c r="P62" i="23"/>
  <c r="O62" i="23"/>
  <c r="N62" i="23"/>
  <c r="M62" i="23"/>
  <c r="L62" i="23"/>
  <c r="K62" i="23"/>
  <c r="Q61" i="23"/>
  <c r="P61" i="23"/>
  <c r="O61" i="23"/>
  <c r="N61" i="23"/>
  <c r="S61" i="23" s="1"/>
  <c r="M61" i="23"/>
  <c r="L61" i="23"/>
  <c r="K61" i="23"/>
  <c r="Q60" i="23"/>
  <c r="P60" i="23"/>
  <c r="O60" i="23"/>
  <c r="N60" i="23"/>
  <c r="M60" i="23"/>
  <c r="L60" i="23"/>
  <c r="K60" i="23"/>
  <c r="Q59" i="23"/>
  <c r="P59" i="23"/>
  <c r="O59" i="23"/>
  <c r="N59" i="23"/>
  <c r="S59" i="23" s="1"/>
  <c r="M59" i="23"/>
  <c r="L59" i="23"/>
  <c r="K59" i="23"/>
  <c r="Q58" i="23"/>
  <c r="P58" i="23"/>
  <c r="O58" i="23"/>
  <c r="N58" i="23"/>
  <c r="S58" i="23" s="1"/>
  <c r="M58" i="23"/>
  <c r="L58" i="23"/>
  <c r="K58" i="23"/>
  <c r="Q57" i="23"/>
  <c r="P57" i="23"/>
  <c r="O57" i="23"/>
  <c r="N57" i="23"/>
  <c r="S57" i="23" s="1"/>
  <c r="M57" i="23"/>
  <c r="L57" i="23"/>
  <c r="K57" i="23"/>
  <c r="J65" i="23"/>
  <c r="J64" i="23"/>
  <c r="J63" i="23"/>
  <c r="J62" i="23"/>
  <c r="J61" i="23"/>
  <c r="J60" i="23"/>
  <c r="J59" i="23"/>
  <c r="J58" i="23"/>
  <c r="J57" i="23"/>
  <c r="H74" i="23"/>
  <c r="G74" i="23"/>
  <c r="F74" i="23"/>
  <c r="E74" i="23"/>
  <c r="D74" i="23"/>
  <c r="H73" i="23"/>
  <c r="G73" i="23"/>
  <c r="F73" i="23"/>
  <c r="E73" i="23"/>
  <c r="D73" i="23"/>
  <c r="H72" i="23"/>
  <c r="G72" i="23"/>
  <c r="F72" i="23"/>
  <c r="E72" i="23"/>
  <c r="D72" i="23"/>
  <c r="C74" i="23"/>
  <c r="C73" i="23"/>
  <c r="C72" i="23"/>
  <c r="H71" i="23"/>
  <c r="G71" i="23"/>
  <c r="F71" i="23"/>
  <c r="E71" i="23"/>
  <c r="D71" i="23"/>
  <c r="H70" i="23"/>
  <c r="G70" i="23"/>
  <c r="F70" i="23"/>
  <c r="E70" i="23"/>
  <c r="D70" i="23"/>
  <c r="H69" i="23"/>
  <c r="G69" i="23"/>
  <c r="F69" i="23"/>
  <c r="E69" i="23"/>
  <c r="D69" i="23"/>
  <c r="C71" i="23"/>
  <c r="C70" i="23"/>
  <c r="C69" i="23"/>
  <c r="H68" i="23"/>
  <c r="G68" i="23"/>
  <c r="F68" i="23"/>
  <c r="E68" i="23"/>
  <c r="D68" i="23"/>
  <c r="H67" i="23"/>
  <c r="G67" i="23"/>
  <c r="F67" i="23"/>
  <c r="E67" i="23"/>
  <c r="D67" i="23"/>
  <c r="H66" i="23"/>
  <c r="G66" i="23"/>
  <c r="F66" i="23"/>
  <c r="E66" i="23"/>
  <c r="D66" i="23"/>
  <c r="C68" i="23"/>
  <c r="C67" i="23"/>
  <c r="C66" i="23"/>
  <c r="H65" i="23"/>
  <c r="G65" i="23"/>
  <c r="F65" i="23"/>
  <c r="E65" i="23"/>
  <c r="D65" i="23"/>
  <c r="C65" i="23"/>
  <c r="H64" i="23"/>
  <c r="G33" i="26" s="1"/>
  <c r="G27" i="27" s="1"/>
  <c r="G64" i="23"/>
  <c r="F33" i="26" s="1"/>
  <c r="F27" i="27" s="1"/>
  <c r="F64" i="23"/>
  <c r="E33" i="26" s="1"/>
  <c r="E27" i="27" s="1"/>
  <c r="E64" i="23"/>
  <c r="D33" i="26" s="1"/>
  <c r="D27" i="27" s="1"/>
  <c r="D64" i="23"/>
  <c r="C33" i="26" s="1"/>
  <c r="C27" i="27" s="1"/>
  <c r="C64" i="23"/>
  <c r="H63" i="23"/>
  <c r="G63" i="23"/>
  <c r="F63" i="23"/>
  <c r="E63" i="23"/>
  <c r="D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40" i="26" s="1"/>
  <c r="G57" i="23"/>
  <c r="F40" i="26" s="1"/>
  <c r="F57" i="23"/>
  <c r="E40" i="26" s="1"/>
  <c r="E57" i="23"/>
  <c r="D40" i="26" s="1"/>
  <c r="D57" i="23"/>
  <c r="C40" i="26" s="1"/>
  <c r="C63" i="23"/>
  <c r="C62" i="23"/>
  <c r="C61" i="23"/>
  <c r="C60" i="23"/>
  <c r="C59" i="23"/>
  <c r="C58" i="23"/>
  <c r="C57" i="23"/>
  <c r="Q53" i="23"/>
  <c r="S53" i="23" s="1"/>
  <c r="P53" i="23"/>
  <c r="O53" i="23"/>
  <c r="N53" i="23"/>
  <c r="M53" i="23"/>
  <c r="L53" i="23"/>
  <c r="K53" i="23"/>
  <c r="J53" i="23"/>
  <c r="Q52" i="23"/>
  <c r="S52" i="23" s="1"/>
  <c r="P52" i="23"/>
  <c r="O52" i="23"/>
  <c r="N52" i="23"/>
  <c r="M52" i="23"/>
  <c r="L52" i="23"/>
  <c r="K52" i="23"/>
  <c r="J52" i="23"/>
  <c r="Q51" i="23"/>
  <c r="S51" i="23" s="1"/>
  <c r="P51" i="23"/>
  <c r="O51" i="23"/>
  <c r="N51" i="23"/>
  <c r="M51" i="23"/>
  <c r="L51" i="23"/>
  <c r="K51" i="23"/>
  <c r="J51" i="23"/>
  <c r="Q50" i="23"/>
  <c r="S50" i="23" s="1"/>
  <c r="P50" i="23"/>
  <c r="O50" i="23"/>
  <c r="N50" i="23"/>
  <c r="M50" i="23"/>
  <c r="L50" i="23"/>
  <c r="K50" i="23"/>
  <c r="J50" i="23"/>
  <c r="Q48" i="23"/>
  <c r="S48" i="23" s="1"/>
  <c r="P48" i="23"/>
  <c r="O48" i="23"/>
  <c r="N48" i="23"/>
  <c r="M48" i="23"/>
  <c r="L48" i="23"/>
  <c r="K48" i="23"/>
  <c r="J48" i="23"/>
  <c r="Q47" i="23"/>
  <c r="S47" i="23" s="1"/>
  <c r="P47" i="23"/>
  <c r="O47" i="23"/>
  <c r="N47" i="23"/>
  <c r="M47" i="23"/>
  <c r="L47" i="23"/>
  <c r="K47" i="23"/>
  <c r="J47" i="23"/>
  <c r="Q45" i="23"/>
  <c r="S45" i="23" s="1"/>
  <c r="P45" i="23"/>
  <c r="O45" i="23"/>
  <c r="N45" i="23"/>
  <c r="M45" i="23"/>
  <c r="L45" i="23"/>
  <c r="K45" i="23"/>
  <c r="J45" i="23"/>
  <c r="Q44" i="23"/>
  <c r="S44" i="23" s="1"/>
  <c r="P44" i="23"/>
  <c r="O44" i="23"/>
  <c r="N44" i="23"/>
  <c r="M44" i="23"/>
  <c r="L44" i="23"/>
  <c r="K44" i="23"/>
  <c r="J44" i="23"/>
  <c r="Q43" i="23"/>
  <c r="S43" i="23" s="1"/>
  <c r="P43" i="23"/>
  <c r="O43" i="23"/>
  <c r="N43" i="23"/>
  <c r="M43" i="23"/>
  <c r="L43" i="23"/>
  <c r="K43" i="23"/>
  <c r="J43" i="23"/>
  <c r="Q42" i="23"/>
  <c r="S42" i="23" s="1"/>
  <c r="P42" i="23"/>
  <c r="O42" i="23"/>
  <c r="N42" i="23"/>
  <c r="M42" i="23"/>
  <c r="L42" i="23"/>
  <c r="K42" i="23"/>
  <c r="J42" i="23"/>
  <c r="Q41" i="23"/>
  <c r="S41" i="23" s="1"/>
  <c r="P41" i="23"/>
  <c r="O41" i="23"/>
  <c r="N41" i="23"/>
  <c r="M41" i="23"/>
  <c r="L41" i="23"/>
  <c r="K41" i="23"/>
  <c r="J41" i="23"/>
  <c r="Q40" i="23"/>
  <c r="S40" i="23" s="1"/>
  <c r="P40" i="23"/>
  <c r="O40" i="23"/>
  <c r="N40" i="23"/>
  <c r="M40" i="23"/>
  <c r="L40" i="23"/>
  <c r="K40" i="23"/>
  <c r="J40" i="23"/>
  <c r="Q39" i="23"/>
  <c r="S39" i="23" s="1"/>
  <c r="C47" i="2" s="1"/>
  <c r="P39" i="23"/>
  <c r="O39" i="23"/>
  <c r="N39" i="23"/>
  <c r="M39" i="23"/>
  <c r="L39" i="23"/>
  <c r="K39" i="23"/>
  <c r="J39" i="23"/>
  <c r="Q38" i="23"/>
  <c r="S38" i="23" s="1"/>
  <c r="P38" i="23"/>
  <c r="O38" i="23"/>
  <c r="N38" i="23"/>
  <c r="M38" i="23"/>
  <c r="L38" i="23"/>
  <c r="K38" i="23"/>
  <c r="J38" i="23"/>
  <c r="Q36" i="23"/>
  <c r="S36" i="23" s="1"/>
  <c r="P36" i="23"/>
  <c r="O36" i="23"/>
  <c r="N36" i="23"/>
  <c r="M36" i="23"/>
  <c r="L36" i="23"/>
  <c r="K36" i="23"/>
  <c r="J36" i="23"/>
  <c r="Q35" i="23"/>
  <c r="S35" i="23" s="1"/>
  <c r="P35" i="23"/>
  <c r="O35" i="23"/>
  <c r="N35" i="23"/>
  <c r="M35" i="23"/>
  <c r="L35" i="23"/>
  <c r="K35" i="23"/>
  <c r="J35" i="23"/>
  <c r="Q34" i="23"/>
  <c r="S34" i="23" s="1"/>
  <c r="P34" i="23"/>
  <c r="O34" i="23"/>
  <c r="N34" i="23"/>
  <c r="M34" i="23"/>
  <c r="L34" i="23"/>
  <c r="K34" i="23"/>
  <c r="J34" i="23"/>
  <c r="Q33" i="23"/>
  <c r="S33" i="23" s="1"/>
  <c r="P33" i="23"/>
  <c r="O33" i="23"/>
  <c r="N33" i="23"/>
  <c r="M33" i="23"/>
  <c r="L33" i="23"/>
  <c r="K33" i="23"/>
  <c r="J33" i="23"/>
  <c r="Q32" i="23"/>
  <c r="S32" i="23" s="1"/>
  <c r="P32" i="23"/>
  <c r="O32" i="23"/>
  <c r="N32" i="23"/>
  <c r="M32" i="23"/>
  <c r="L32" i="23"/>
  <c r="K32" i="23"/>
  <c r="J32" i="23"/>
  <c r="Q31" i="23"/>
  <c r="S31" i="23" s="1"/>
  <c r="P31" i="23"/>
  <c r="O31" i="23"/>
  <c r="N31" i="23"/>
  <c r="M31" i="23"/>
  <c r="L31" i="23"/>
  <c r="K31" i="23"/>
  <c r="J31" i="23"/>
  <c r="Q30" i="23"/>
  <c r="S30" i="23" s="1"/>
  <c r="P30" i="23"/>
  <c r="O30" i="23"/>
  <c r="N30" i="23"/>
  <c r="M30" i="23"/>
  <c r="L30" i="23"/>
  <c r="K30" i="23"/>
  <c r="J30" i="23"/>
  <c r="Q29" i="23"/>
  <c r="S29" i="23" s="1"/>
  <c r="P29" i="23"/>
  <c r="O29" i="23"/>
  <c r="N29" i="23"/>
  <c r="M29" i="23"/>
  <c r="L29" i="23"/>
  <c r="K29" i="23"/>
  <c r="J29" i="23"/>
  <c r="Q28" i="23"/>
  <c r="S28" i="23" s="1"/>
  <c r="P28" i="23"/>
  <c r="O28" i="23"/>
  <c r="N28" i="23"/>
  <c r="M28" i="23"/>
  <c r="L28" i="23"/>
  <c r="K28" i="23"/>
  <c r="J28" i="23"/>
  <c r="Q27" i="23"/>
  <c r="S27" i="23" s="1"/>
  <c r="P27" i="23"/>
  <c r="O27" i="23"/>
  <c r="N27" i="23"/>
  <c r="M27" i="23"/>
  <c r="L27" i="23"/>
  <c r="K27" i="23"/>
  <c r="J27" i="23"/>
  <c r="Q26" i="23"/>
  <c r="S26" i="23" s="1"/>
  <c r="P26" i="23"/>
  <c r="O26" i="23"/>
  <c r="N26" i="23"/>
  <c r="M26" i="23"/>
  <c r="L26" i="23"/>
  <c r="K26" i="23"/>
  <c r="J26" i="23"/>
  <c r="Q25" i="23"/>
  <c r="S25" i="23" s="1"/>
  <c r="P25" i="23"/>
  <c r="O25" i="23"/>
  <c r="N25" i="23"/>
  <c r="M25" i="23"/>
  <c r="L25" i="23"/>
  <c r="K25" i="23"/>
  <c r="J25" i="23"/>
  <c r="Q24" i="23"/>
  <c r="S24" i="23" s="1"/>
  <c r="P24" i="23"/>
  <c r="O24" i="23"/>
  <c r="N24" i="23"/>
  <c r="M24" i="23"/>
  <c r="L24" i="23"/>
  <c r="K24" i="23"/>
  <c r="J24" i="23"/>
  <c r="Q23" i="23"/>
  <c r="S23" i="23" s="1"/>
  <c r="P23" i="23"/>
  <c r="O23" i="23"/>
  <c r="N23" i="23"/>
  <c r="M23" i="23"/>
  <c r="L23" i="23"/>
  <c r="K23" i="23"/>
  <c r="J23" i="23"/>
  <c r="H53" i="23"/>
  <c r="G53" i="23"/>
  <c r="F53" i="23"/>
  <c r="E53" i="23"/>
  <c r="D53" i="23"/>
  <c r="H52" i="23"/>
  <c r="G52" i="23"/>
  <c r="F52" i="23"/>
  <c r="E52" i="23"/>
  <c r="D52" i="23"/>
  <c r="H51" i="23"/>
  <c r="G51" i="23"/>
  <c r="F51" i="23"/>
  <c r="E51" i="23"/>
  <c r="D51" i="23"/>
  <c r="H50" i="23"/>
  <c r="G50" i="23"/>
  <c r="F50" i="23"/>
  <c r="E50" i="23"/>
  <c r="D50" i="23"/>
  <c r="H48" i="23"/>
  <c r="G48" i="23"/>
  <c r="F48" i="23"/>
  <c r="E48" i="23"/>
  <c r="D48" i="23"/>
  <c r="H47" i="23"/>
  <c r="G47" i="23"/>
  <c r="F47" i="23"/>
  <c r="E47" i="23"/>
  <c r="D47"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80" i="23" s="1"/>
  <c r="G38" i="23"/>
  <c r="G80" i="23" s="1"/>
  <c r="F38" i="23"/>
  <c r="F80" i="23" s="1"/>
  <c r="E38" i="23"/>
  <c r="E80" i="23" s="1"/>
  <c r="D38" i="23"/>
  <c r="D80" i="23" s="1"/>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3" i="23"/>
  <c r="C52" i="23"/>
  <c r="C51" i="23"/>
  <c r="C50" i="23"/>
  <c r="C48" i="23"/>
  <c r="C47" i="23"/>
  <c r="C45" i="23"/>
  <c r="C44" i="23"/>
  <c r="C43" i="23"/>
  <c r="C42" i="23"/>
  <c r="C41" i="23"/>
  <c r="C40" i="23"/>
  <c r="C39" i="23"/>
  <c r="C38" i="23"/>
  <c r="C80" i="23" s="1"/>
  <c r="C36" i="23"/>
  <c r="C35" i="23"/>
  <c r="C34" i="23"/>
  <c r="C33" i="23"/>
  <c r="C32" i="23"/>
  <c r="C31" i="23"/>
  <c r="C30" i="23"/>
  <c r="C29" i="23"/>
  <c r="C28" i="23"/>
  <c r="C27" i="23"/>
  <c r="C26" i="23"/>
  <c r="C25" i="23"/>
  <c r="C24" i="23"/>
  <c r="C23" i="23"/>
  <c r="Q20" i="23"/>
  <c r="N20" i="23"/>
  <c r="M20" i="23"/>
  <c r="N92" i="23" s="1"/>
  <c r="L20" i="23"/>
  <c r="M92" i="23" s="1"/>
  <c r="K20" i="23"/>
  <c r="L92" i="23" s="1"/>
  <c r="J20" i="23"/>
  <c r="K92" i="23" s="1"/>
  <c r="Q19" i="23"/>
  <c r="P19" i="23"/>
  <c r="P20" i="23" s="1"/>
  <c r="O19" i="23"/>
  <c r="O20" i="23" s="1"/>
  <c r="N19" i="23"/>
  <c r="S19" i="23" s="1"/>
  <c r="M19" i="23"/>
  <c r="L19" i="23"/>
  <c r="K19" i="23"/>
  <c r="J19" i="23"/>
  <c r="Q18" i="23"/>
  <c r="N18" i="23"/>
  <c r="M18" i="23"/>
  <c r="L18" i="23"/>
  <c r="K18" i="23"/>
  <c r="J18" i="23"/>
  <c r="Q17" i="23"/>
  <c r="P17" i="23"/>
  <c r="O17" i="23"/>
  <c r="N17" i="23"/>
  <c r="S17" i="23" s="1"/>
  <c r="M17" i="23"/>
  <c r="L17" i="23"/>
  <c r="K17" i="23"/>
  <c r="J17" i="23"/>
  <c r="Q16" i="23"/>
  <c r="P16" i="23"/>
  <c r="Q89" i="23" s="1"/>
  <c r="O16" i="23"/>
  <c r="P89" i="23" s="1"/>
  <c r="N16" i="23"/>
  <c r="M16" i="23"/>
  <c r="N89" i="23" s="1"/>
  <c r="L16" i="23"/>
  <c r="M89" i="23" s="1"/>
  <c r="K16" i="23"/>
  <c r="L89" i="23" s="1"/>
  <c r="J16" i="23"/>
  <c r="K89" i="23" s="1"/>
  <c r="Q15" i="23"/>
  <c r="P15" i="23"/>
  <c r="O15" i="23"/>
  <c r="N15" i="23"/>
  <c r="M15" i="23"/>
  <c r="L15" i="23"/>
  <c r="K15" i="23"/>
  <c r="J15" i="23"/>
  <c r="Q14" i="23"/>
  <c r="P14" i="23"/>
  <c r="O14" i="23"/>
  <c r="N14" i="23"/>
  <c r="S14" i="23" s="1"/>
  <c r="M14" i="23"/>
  <c r="L14" i="23"/>
  <c r="K14" i="23"/>
  <c r="J14" i="23"/>
  <c r="Q12" i="23"/>
  <c r="P12" i="23"/>
  <c r="P13" i="23" s="1"/>
  <c r="O12" i="23"/>
  <c r="O13" i="23" s="1"/>
  <c r="N12" i="23"/>
  <c r="N13" i="23" s="1"/>
  <c r="M12" i="23"/>
  <c r="M13" i="23" s="1"/>
  <c r="L12" i="23"/>
  <c r="L13" i="23" s="1"/>
  <c r="K12" i="23"/>
  <c r="K13" i="23" s="1"/>
  <c r="J12" i="23"/>
  <c r="J13" i="23" s="1"/>
  <c r="Q10" i="23"/>
  <c r="P10" i="23"/>
  <c r="O10" i="23"/>
  <c r="N10" i="23"/>
  <c r="M10" i="23"/>
  <c r="L10" i="23"/>
  <c r="K10" i="23"/>
  <c r="J10" i="23"/>
  <c r="Q9" i="23"/>
  <c r="P9" i="23"/>
  <c r="O9" i="23"/>
  <c r="N9" i="23"/>
  <c r="S9" i="23" s="1"/>
  <c r="M9" i="23"/>
  <c r="L9" i="23"/>
  <c r="K9" i="23"/>
  <c r="J9" i="23"/>
  <c r="Q8" i="23"/>
  <c r="P8" i="23"/>
  <c r="O8" i="23"/>
  <c r="N8" i="23"/>
  <c r="S8" i="23" s="1"/>
  <c r="M8" i="23"/>
  <c r="L8" i="23"/>
  <c r="K8" i="23"/>
  <c r="J8" i="23"/>
  <c r="Q6" i="23"/>
  <c r="P6" i="23"/>
  <c r="O6" i="23"/>
  <c r="N6" i="23"/>
  <c r="M6" i="23"/>
  <c r="L6" i="23"/>
  <c r="K6" i="23"/>
  <c r="J6" i="23"/>
  <c r="Q5" i="23"/>
  <c r="P5" i="23"/>
  <c r="O5" i="23"/>
  <c r="N5" i="23"/>
  <c r="M5" i="23"/>
  <c r="L5" i="23"/>
  <c r="K5" i="23"/>
  <c r="J5" i="23"/>
  <c r="H17" i="23"/>
  <c r="G20" i="23"/>
  <c r="F20" i="23"/>
  <c r="G92" i="23" s="1"/>
  <c r="E20" i="23"/>
  <c r="F92" i="23" s="1"/>
  <c r="D20" i="23"/>
  <c r="E92" i="23" s="1"/>
  <c r="G19" i="23"/>
  <c r="F19" i="23"/>
  <c r="E19" i="23"/>
  <c r="D19" i="23"/>
  <c r="C20" i="23"/>
  <c r="D92" i="23" s="1"/>
  <c r="C19" i="23"/>
  <c r="G18" i="23"/>
  <c r="F18" i="23"/>
  <c r="E18" i="23"/>
  <c r="D18" i="23"/>
  <c r="G17" i="23"/>
  <c r="F17" i="23"/>
  <c r="E17" i="23"/>
  <c r="D17" i="23"/>
  <c r="H16" i="23"/>
  <c r="G16" i="23"/>
  <c r="H89" i="23" s="1"/>
  <c r="F16" i="23"/>
  <c r="G89" i="23" s="1"/>
  <c r="E16" i="23"/>
  <c r="F89" i="23" s="1"/>
  <c r="D16" i="23"/>
  <c r="E89" i="23" s="1"/>
  <c r="H15" i="23"/>
  <c r="G15" i="23"/>
  <c r="F15" i="23"/>
  <c r="E15" i="23"/>
  <c r="D15" i="23"/>
  <c r="H14" i="23"/>
  <c r="G14" i="23"/>
  <c r="F14" i="23"/>
  <c r="E14" i="23"/>
  <c r="D14" i="23"/>
  <c r="H12" i="23"/>
  <c r="H13" i="23" s="1"/>
  <c r="G12" i="23"/>
  <c r="G13" i="23" s="1"/>
  <c r="F12" i="23"/>
  <c r="F13" i="23" s="1"/>
  <c r="E12" i="23"/>
  <c r="E13" i="23" s="1"/>
  <c r="D12" i="23"/>
  <c r="D13" i="23" s="1"/>
  <c r="H10" i="23"/>
  <c r="G10" i="23"/>
  <c r="F10" i="23"/>
  <c r="E10" i="23"/>
  <c r="D10" i="23"/>
  <c r="H9" i="23"/>
  <c r="G9" i="23"/>
  <c r="F9" i="23"/>
  <c r="E9" i="23"/>
  <c r="D9" i="23"/>
  <c r="H8" i="23"/>
  <c r="G8" i="23"/>
  <c r="F8" i="23"/>
  <c r="E8" i="23"/>
  <c r="D8" i="23"/>
  <c r="H6" i="23"/>
  <c r="G6" i="23"/>
  <c r="F6" i="23"/>
  <c r="E6" i="23"/>
  <c r="D6" i="23"/>
  <c r="H5" i="23"/>
  <c r="G5" i="23"/>
  <c r="F5" i="23"/>
  <c r="E5" i="23"/>
  <c r="D5" i="23"/>
  <c r="C17" i="23"/>
  <c r="C18" i="23"/>
  <c r="C16" i="23"/>
  <c r="D89" i="23" s="1"/>
  <c r="C15" i="23"/>
  <c r="C14" i="23"/>
  <c r="C6" i="23"/>
  <c r="C8" i="23"/>
  <c r="C9" i="23"/>
  <c r="C10" i="23"/>
  <c r="C12" i="23"/>
  <c r="C13" i="23" s="1"/>
  <c r="C5" i="23"/>
  <c r="Q3" i="23"/>
  <c r="P3" i="23"/>
  <c r="O3" i="23"/>
  <c r="N3" i="23"/>
  <c r="M3" i="23"/>
  <c r="L3" i="23"/>
  <c r="K3" i="23"/>
  <c r="Q2" i="23"/>
  <c r="P2" i="23"/>
  <c r="O2" i="23"/>
  <c r="N2" i="23"/>
  <c r="M2" i="23"/>
  <c r="L2" i="23"/>
  <c r="K2" i="23"/>
  <c r="J3" i="23"/>
  <c r="J2" i="23"/>
  <c r="H2" i="23"/>
  <c r="G2" i="23"/>
  <c r="F2" i="23"/>
  <c r="E2" i="23"/>
  <c r="D2" i="23"/>
  <c r="C3" i="23"/>
  <c r="C2" i="23"/>
  <c r="N118" i="3"/>
  <c r="C35" i="2" s="1"/>
  <c r="C36" i="2" s="1"/>
  <c r="G14" i="9"/>
  <c r="G11" i="27" s="1"/>
  <c r="F14" i="9"/>
  <c r="F11" i="27" s="1"/>
  <c r="E14" i="9"/>
  <c r="E11" i="27" s="1"/>
  <c r="D14" i="9"/>
  <c r="D11" i="27" s="1"/>
  <c r="G13" i="9"/>
  <c r="G10" i="27" s="1"/>
  <c r="F13" i="9"/>
  <c r="F10" i="27" s="1"/>
  <c r="E13" i="9"/>
  <c r="E10" i="27" s="1"/>
  <c r="D13" i="9"/>
  <c r="D10" i="27" s="1"/>
  <c r="G12" i="9"/>
  <c r="G9" i="27" s="1"/>
  <c r="F12" i="9"/>
  <c r="F9" i="27" s="1"/>
  <c r="E12" i="9"/>
  <c r="E9" i="27" s="1"/>
  <c r="D12" i="9"/>
  <c r="D9" i="27" s="1"/>
  <c r="C13" i="9"/>
  <c r="C10" i="27" s="1"/>
  <c r="C14" i="9"/>
  <c r="C11" i="27" s="1"/>
  <c r="C12" i="9"/>
  <c r="C9" i="27" s="1"/>
  <c r="D11" i="9"/>
  <c r="E11" i="9"/>
  <c r="F11" i="9"/>
  <c r="G11" i="9"/>
  <c r="C11" i="9"/>
  <c r="D36" i="6"/>
  <c r="E36" i="6"/>
  <c r="F36" i="6"/>
  <c r="G36" i="6"/>
  <c r="E46" i="6"/>
  <c r="F46" i="6"/>
  <c r="G46" i="6"/>
  <c r="C36" i="6"/>
  <c r="D30" i="6"/>
  <c r="E30" i="6"/>
  <c r="F30" i="6"/>
  <c r="G30" i="6"/>
  <c r="E32" i="6"/>
  <c r="F32" i="6"/>
  <c r="C30" i="6"/>
  <c r="D29" i="6"/>
  <c r="E29" i="6"/>
  <c r="F29" i="6"/>
  <c r="G29" i="6"/>
  <c r="E31" i="6"/>
  <c r="F31" i="6"/>
  <c r="C29" i="6"/>
  <c r="G12" i="6"/>
  <c r="F12" i="6"/>
  <c r="E12" i="6"/>
  <c r="D12" i="6"/>
  <c r="C12" i="6"/>
  <c r="G10" i="6"/>
  <c r="F10" i="6"/>
  <c r="E10" i="6"/>
  <c r="D10" i="6"/>
  <c r="G9" i="6"/>
  <c r="F9" i="6"/>
  <c r="E9" i="6"/>
  <c r="D9" i="6"/>
  <c r="G8" i="6"/>
  <c r="F8" i="6"/>
  <c r="E8" i="6"/>
  <c r="D8" i="6"/>
  <c r="G7" i="6"/>
  <c r="F7" i="6"/>
  <c r="E7" i="6"/>
  <c r="D7" i="6"/>
  <c r="F20" i="6"/>
  <c r="F28" i="6" s="1"/>
  <c r="H8" i="6"/>
  <c r="C8" i="6"/>
  <c r="C9" i="6"/>
  <c r="C10" i="6"/>
  <c r="C7" i="6"/>
  <c r="D6" i="6"/>
  <c r="E6" i="6"/>
  <c r="F6" i="6"/>
  <c r="G6" i="6"/>
  <c r="E16" i="6"/>
  <c r="F16" i="6"/>
  <c r="C6" i="6"/>
  <c r="Z10" i="6"/>
  <c r="AA10" i="6" s="1"/>
  <c r="AA20" i="6" s="1"/>
  <c r="Z8" i="6"/>
  <c r="AA8" i="6" s="1"/>
  <c r="AA18" i="6" s="1"/>
  <c r="N96" i="3"/>
  <c r="N95" i="3"/>
  <c r="N94" i="3"/>
  <c r="N93" i="3"/>
  <c r="N92" i="3"/>
  <c r="N91"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J114" i="3"/>
  <c r="J115" i="3" s="1"/>
  <c r="J112" i="3"/>
  <c r="Q22" i="3"/>
  <c r="Q21" i="3"/>
  <c r="J59" i="3"/>
  <c r="Q56" i="23" s="1"/>
  <c r="Q20" i="3"/>
  <c r="Q19" i="3"/>
  <c r="I49" i="1"/>
  <c r="J49" i="1"/>
  <c r="K49" i="1"/>
  <c r="L49" i="1"/>
  <c r="D49" i="1"/>
  <c r="D46" i="23" s="1"/>
  <c r="E49" i="1"/>
  <c r="E46" i="23" s="1"/>
  <c r="F49" i="1"/>
  <c r="F46" i="23" s="1"/>
  <c r="G49" i="1"/>
  <c r="G46" i="23" s="1"/>
  <c r="H49" i="1"/>
  <c r="H46" i="23" s="1"/>
  <c r="C49" i="1"/>
  <c r="C46" i="23" s="1"/>
  <c r="Y38" i="6"/>
  <c r="X38" i="6"/>
  <c r="W38" i="6"/>
  <c r="V38" i="6"/>
  <c r="U38" i="6"/>
  <c r="T38" i="6"/>
  <c r="S38" i="6"/>
  <c r="Y11" i="6"/>
  <c r="X11" i="6"/>
  <c r="W11" i="6"/>
  <c r="V11" i="6"/>
  <c r="U11" i="6"/>
  <c r="T11" i="6"/>
  <c r="S11" i="6"/>
  <c r="H164" i="1"/>
  <c r="G38" i="6" s="1"/>
  <c r="H162" i="1"/>
  <c r="G34" i="6" s="1"/>
  <c r="H34" i="6" s="1"/>
  <c r="H161" i="1"/>
  <c r="G40" i="6" s="1"/>
  <c r="H160" i="1"/>
  <c r="G39" i="6" s="1"/>
  <c r="H156" i="1"/>
  <c r="G11" i="6" s="1"/>
  <c r="H147" i="1"/>
  <c r="H141" i="1"/>
  <c r="H140" i="1"/>
  <c r="H136" i="1"/>
  <c r="H135" i="1"/>
  <c r="H134" i="1"/>
  <c r="H132" i="1"/>
  <c r="H131" i="1"/>
  <c r="H129" i="1"/>
  <c r="H128" i="1"/>
  <c r="H118" i="1"/>
  <c r="H20" i="1"/>
  <c r="H19" i="1"/>
  <c r="N55" i="3"/>
  <c r="N56" i="3"/>
  <c r="N54" i="3"/>
  <c r="N53"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4" i="1"/>
  <c r="C38" i="6" s="1"/>
  <c r="E164" i="1"/>
  <c r="D38" i="6" s="1"/>
  <c r="F164" i="1"/>
  <c r="E38" i="6" s="1"/>
  <c r="G164" i="1"/>
  <c r="F38" i="6" s="1"/>
  <c r="C164" i="1"/>
  <c r="B22" i="6"/>
  <c r="B7" i="6"/>
  <c r="B17" i="6" s="1"/>
  <c r="B8" i="6"/>
  <c r="B18" i="6" s="1"/>
  <c r="B9" i="6"/>
  <c r="B19" i="6" s="1"/>
  <c r="B10" i="6"/>
  <c r="B20" i="6" s="1"/>
  <c r="B11" i="6"/>
  <c r="B21" i="6" s="1"/>
  <c r="B6" i="6"/>
  <c r="B16" i="6" s="1"/>
  <c r="J152" i="3"/>
  <c r="J151" i="3"/>
  <c r="J137" i="3"/>
  <c r="D147" i="1"/>
  <c r="C37" i="6" s="1"/>
  <c r="E147" i="1"/>
  <c r="D37" i="6" s="1"/>
  <c r="F147" i="1"/>
  <c r="E37" i="6" s="1"/>
  <c r="G147" i="1"/>
  <c r="F37" i="6" s="1"/>
  <c r="C147" i="1"/>
  <c r="D156" i="1"/>
  <c r="C11" i="6" s="1"/>
  <c r="E156" i="1"/>
  <c r="D11" i="6" s="1"/>
  <c r="F156" i="1"/>
  <c r="E11" i="6" s="1"/>
  <c r="G156" i="1"/>
  <c r="F11" i="6" s="1"/>
  <c r="C156" i="1"/>
  <c r="D162" i="1"/>
  <c r="C34" i="6" s="1"/>
  <c r="E162" i="1"/>
  <c r="D34" i="6" s="1"/>
  <c r="F162" i="1"/>
  <c r="E34" i="6" s="1"/>
  <c r="G162" i="1"/>
  <c r="F34" i="6" s="1"/>
  <c r="C162" i="1"/>
  <c r="D161" i="1"/>
  <c r="C40" i="6" s="1"/>
  <c r="E161" i="1"/>
  <c r="D40" i="6" s="1"/>
  <c r="F161" i="1"/>
  <c r="E40" i="6" s="1"/>
  <c r="G161" i="1"/>
  <c r="F40" i="6" s="1"/>
  <c r="C161" i="1"/>
  <c r="D160" i="1"/>
  <c r="C39" i="6" s="1"/>
  <c r="E160" i="1"/>
  <c r="D39" i="6" s="1"/>
  <c r="F160" i="1"/>
  <c r="E39" i="6" s="1"/>
  <c r="G160" i="1"/>
  <c r="F39" i="6" s="1"/>
  <c r="C160" i="1"/>
  <c r="H59" i="1"/>
  <c r="P15" i="3"/>
  <c r="J107" i="3"/>
  <c r="J105" i="3"/>
  <c r="J106" i="3" s="1"/>
  <c r="N15" i="3"/>
  <c r="Q15" i="3"/>
  <c r="H110" i="1"/>
  <c r="H111" i="1" s="1"/>
  <c r="I110" i="1"/>
  <c r="I111" i="1" s="1"/>
  <c r="J110" i="1"/>
  <c r="J111" i="1" s="1"/>
  <c r="K110" i="1"/>
  <c r="K111" i="1" s="1"/>
  <c r="L110" i="1"/>
  <c r="L111" i="1" s="1"/>
  <c r="G108" i="1"/>
  <c r="G109" i="1" s="1"/>
  <c r="H108" i="1"/>
  <c r="H109" i="1" s="1"/>
  <c r="I108" i="1"/>
  <c r="I109" i="1" s="1"/>
  <c r="J108" i="1"/>
  <c r="J109" i="1" s="1"/>
  <c r="K108" i="1"/>
  <c r="K109" i="1" s="1"/>
  <c r="L108" i="1"/>
  <c r="L109" i="1" s="1"/>
  <c r="H103" i="1"/>
  <c r="I103" i="1"/>
  <c r="J103" i="1"/>
  <c r="K103" i="1"/>
  <c r="L103" i="1"/>
  <c r="H101" i="1"/>
  <c r="H102" i="1" s="1"/>
  <c r="I101" i="1"/>
  <c r="I102" i="1" s="1"/>
  <c r="J101" i="1"/>
  <c r="J102" i="1" s="1"/>
  <c r="K101" i="1"/>
  <c r="K102" i="1" s="1"/>
  <c r="L101" i="1"/>
  <c r="L102" i="1" s="1"/>
  <c r="G110" i="1"/>
  <c r="G111" i="1" s="1"/>
  <c r="C99" i="1"/>
  <c r="C100" i="1" s="1"/>
  <c r="D99" i="1"/>
  <c r="D100" i="1" s="1"/>
  <c r="E99" i="1"/>
  <c r="E100" i="1" s="1"/>
  <c r="F99" i="1"/>
  <c r="F100" i="1" s="1"/>
  <c r="H99" i="1"/>
  <c r="H100" i="1" s="1"/>
  <c r="G99" i="1"/>
  <c r="G100" i="1" s="1"/>
  <c r="G103" i="1"/>
  <c r="G101" i="1"/>
  <c r="G102" i="1" s="1"/>
  <c r="D108" i="1"/>
  <c r="D109" i="1" s="1"/>
  <c r="E108" i="1"/>
  <c r="E109" i="1" s="1"/>
  <c r="F108" i="1"/>
  <c r="F109" i="1" s="1"/>
  <c r="C108" i="1"/>
  <c r="C109" i="1" s="1"/>
  <c r="F110" i="1"/>
  <c r="F111" i="1" s="1"/>
  <c r="F103" i="1"/>
  <c r="F101" i="1"/>
  <c r="F102" i="1" s="1"/>
  <c r="E118" i="1"/>
  <c r="D20" i="27" s="1"/>
  <c r="E110" i="1"/>
  <c r="E111" i="1" s="1"/>
  <c r="E103" i="1"/>
  <c r="E101" i="1"/>
  <c r="E102" i="1" s="1"/>
  <c r="D110" i="1"/>
  <c r="D111" i="1" s="1"/>
  <c r="C110" i="1"/>
  <c r="C111" i="1" s="1"/>
  <c r="C103" i="1"/>
  <c r="D103" i="1"/>
  <c r="D101" i="1"/>
  <c r="D102" i="1" s="1"/>
  <c r="C101" i="1"/>
  <c r="C102" i="1" s="1"/>
  <c r="D118" i="1"/>
  <c r="C20" i="27" s="1"/>
  <c r="C118" i="1"/>
  <c r="F118" i="1"/>
  <c r="E20" i="27" s="1"/>
  <c r="G118" i="1"/>
  <c r="F20" i="27" s="1"/>
  <c r="D141" i="1"/>
  <c r="E141" i="1"/>
  <c r="F141" i="1"/>
  <c r="G141" i="1"/>
  <c r="C141" i="1"/>
  <c r="D140" i="1"/>
  <c r="E140" i="1"/>
  <c r="F140" i="1"/>
  <c r="G140" i="1"/>
  <c r="C140" i="1"/>
  <c r="E136" i="1"/>
  <c r="F136" i="1"/>
  <c r="G136" i="1"/>
  <c r="D136" i="1"/>
  <c r="E135" i="1"/>
  <c r="F135" i="1"/>
  <c r="G135" i="1"/>
  <c r="D135" i="1"/>
  <c r="E134" i="1"/>
  <c r="F134" i="1"/>
  <c r="G134" i="1"/>
  <c r="D134" i="1"/>
  <c r="E132" i="1"/>
  <c r="F132" i="1"/>
  <c r="G132" i="1"/>
  <c r="E131" i="1"/>
  <c r="F131" i="1"/>
  <c r="G131" i="1"/>
  <c r="D131" i="1"/>
  <c r="D132" i="1"/>
  <c r="E129" i="1"/>
  <c r="F129" i="1"/>
  <c r="G129" i="1"/>
  <c r="D129" i="1"/>
  <c r="E128" i="1"/>
  <c r="F128" i="1"/>
  <c r="G128" i="1"/>
  <c r="D128" i="1"/>
  <c r="P5" i="3"/>
  <c r="P6" i="3"/>
  <c r="P8" i="3"/>
  <c r="P9" i="3"/>
  <c r="P10" i="3"/>
  <c r="P12" i="3"/>
  <c r="P13" i="3"/>
  <c r="P14" i="3"/>
  <c r="P16" i="3"/>
  <c r="P17" i="3"/>
  <c r="P18" i="3"/>
  <c r="P19" i="3"/>
  <c r="P20" i="3"/>
  <c r="P21" i="3"/>
  <c r="P22" i="3"/>
  <c r="P3" i="3"/>
  <c r="J126" i="3"/>
  <c r="J127" i="3"/>
  <c r="Q5" i="3"/>
  <c r="Q6" i="3"/>
  <c r="Q8" i="3"/>
  <c r="Q9" i="3"/>
  <c r="Q10" i="3"/>
  <c r="Q12" i="3"/>
  <c r="Q13" i="3"/>
  <c r="Q14" i="3"/>
  <c r="Q16" i="3"/>
  <c r="Q17" i="3"/>
  <c r="Q18" i="3"/>
  <c r="Q3" i="3"/>
  <c r="N20" i="3"/>
  <c r="N19" i="3"/>
  <c r="N13" i="3"/>
  <c r="N14" i="3"/>
  <c r="N16" i="3"/>
  <c r="N17" i="3"/>
  <c r="N18" i="3"/>
  <c r="N8" i="3"/>
  <c r="N9" i="3"/>
  <c r="N10" i="3"/>
  <c r="N12" i="3"/>
  <c r="N6" i="3"/>
  <c r="N5" i="3"/>
  <c r="J103" i="3"/>
  <c r="J104" i="3" s="1"/>
  <c r="J101" i="3"/>
  <c r="J102" i="3" s="1"/>
  <c r="J49" i="3"/>
  <c r="J40" i="3"/>
  <c r="J11" i="3"/>
  <c r="Q11" i="23" s="1"/>
  <c r="J7" i="3"/>
  <c r="J106" i="1"/>
  <c r="J107" i="1" s="1"/>
  <c r="K106" i="1"/>
  <c r="K107" i="1" s="1"/>
  <c r="L106" i="1"/>
  <c r="L107" i="1" s="1"/>
  <c r="D106" i="1"/>
  <c r="D107" i="1" s="1"/>
  <c r="E106" i="1"/>
  <c r="E107" i="1" s="1"/>
  <c r="F106" i="1"/>
  <c r="F107" i="1" s="1"/>
  <c r="G106" i="1"/>
  <c r="G107" i="1" s="1"/>
  <c r="H106" i="1"/>
  <c r="H107" i="1" s="1"/>
  <c r="I106" i="1"/>
  <c r="I107" i="1" s="1"/>
  <c r="C106" i="1"/>
  <c r="C107" i="1" s="1"/>
  <c r="I99" i="1"/>
  <c r="I100" i="1" s="1"/>
  <c r="J99" i="1"/>
  <c r="J100" i="1" s="1"/>
  <c r="K99" i="1"/>
  <c r="K100" i="1" s="1"/>
  <c r="L99" i="1"/>
  <c r="L100" i="1" s="1"/>
  <c r="K97" i="1"/>
  <c r="K98" i="1" s="1"/>
  <c r="L97" i="1"/>
  <c r="L98" i="1" s="1"/>
  <c r="D97" i="1"/>
  <c r="D98" i="1" s="1"/>
  <c r="E97" i="1"/>
  <c r="E98" i="1" s="1"/>
  <c r="F97" i="1"/>
  <c r="F98" i="1" s="1"/>
  <c r="G97" i="1"/>
  <c r="G98" i="1" s="1"/>
  <c r="H97" i="1"/>
  <c r="H98" i="1" s="1"/>
  <c r="I97" i="1"/>
  <c r="I98" i="1" s="1"/>
  <c r="J97" i="1"/>
  <c r="J98" i="1" s="1"/>
  <c r="C97" i="1"/>
  <c r="C98" i="1" s="1"/>
  <c r="E7" i="1"/>
  <c r="E7" i="23" s="1"/>
  <c r="D59" i="1"/>
  <c r="E59" i="1"/>
  <c r="F59" i="1"/>
  <c r="G59" i="1"/>
  <c r="I59" i="1"/>
  <c r="I104" i="1" s="1"/>
  <c r="I105" i="1" s="1"/>
  <c r="J59" i="1"/>
  <c r="J104" i="1" s="1"/>
  <c r="J105" i="1" s="1"/>
  <c r="K59" i="1"/>
  <c r="K104" i="1" s="1"/>
  <c r="K105" i="1" s="1"/>
  <c r="L59" i="1"/>
  <c r="L104" i="1" s="1"/>
  <c r="L105" i="1" s="1"/>
  <c r="C59" i="1"/>
  <c r="L40" i="1"/>
  <c r="K40" i="1"/>
  <c r="J40" i="1"/>
  <c r="I40" i="1"/>
  <c r="G40" i="1"/>
  <c r="G37" i="23" s="1"/>
  <c r="H40" i="1"/>
  <c r="H37" i="23" s="1"/>
  <c r="E40" i="1"/>
  <c r="E37" i="23" s="1"/>
  <c r="F40" i="1"/>
  <c r="F37" i="23" s="1"/>
  <c r="D40" i="1"/>
  <c r="D37" i="23" s="1"/>
  <c r="C40" i="1"/>
  <c r="C37" i="23" s="1"/>
  <c r="L11" i="1"/>
  <c r="L95" i="1" s="1"/>
  <c r="L96" i="1" s="1"/>
  <c r="L7" i="1"/>
  <c r="K11" i="1"/>
  <c r="K95" i="1" s="1"/>
  <c r="K96" i="1" s="1"/>
  <c r="K7" i="1"/>
  <c r="J11" i="1"/>
  <c r="J95" i="1" s="1"/>
  <c r="J96" i="1" s="1"/>
  <c r="J7" i="1"/>
  <c r="I11" i="1"/>
  <c r="I95" i="1" s="1"/>
  <c r="I96" i="1" s="1"/>
  <c r="I7" i="1"/>
  <c r="H11" i="1"/>
  <c r="H7" i="1"/>
  <c r="G11" i="1"/>
  <c r="G7" i="1"/>
  <c r="F11" i="1"/>
  <c r="F7" i="1"/>
  <c r="F7" i="23" s="1"/>
  <c r="E11" i="1"/>
  <c r="D11" i="1"/>
  <c r="D7" i="1"/>
  <c r="D7" i="23" s="1"/>
  <c r="C11" i="1"/>
  <c r="C11" i="23" s="1"/>
  <c r="C7" i="1"/>
  <c r="C7" i="23" s="1"/>
  <c r="K85" i="23" l="1"/>
  <c r="C24" i="28"/>
  <c r="C22" i="22"/>
  <c r="G99" i="3"/>
  <c r="G100" i="3" s="1"/>
  <c r="N11" i="23"/>
  <c r="F99" i="3"/>
  <c r="F100" i="3" s="1"/>
  <c r="M11" i="23"/>
  <c r="E99" i="3"/>
  <c r="E100" i="3" s="1"/>
  <c r="L11" i="23"/>
  <c r="D99" i="3"/>
  <c r="D100" i="3" s="1"/>
  <c r="K11" i="23"/>
  <c r="C99" i="3"/>
  <c r="C100" i="3" s="1"/>
  <c r="J11" i="23"/>
  <c r="K87" i="23" s="1"/>
  <c r="P7" i="3"/>
  <c r="P7" i="23"/>
  <c r="G13" i="27"/>
  <c r="F13" i="27"/>
  <c r="E13" i="27"/>
  <c r="D13" i="27"/>
  <c r="C13" i="27"/>
  <c r="H177" i="1"/>
  <c r="G30" i="24"/>
  <c r="G177" i="1"/>
  <c r="F30" i="24"/>
  <c r="F177" i="1"/>
  <c r="E30" i="24"/>
  <c r="E177" i="1"/>
  <c r="D30" i="24"/>
  <c r="D177" i="1"/>
  <c r="C30" i="24"/>
  <c r="S70" i="23"/>
  <c r="J162" i="3"/>
  <c r="J165" i="3" s="1"/>
  <c r="N160" i="3"/>
  <c r="J163" i="3"/>
  <c r="N163" i="3" s="1"/>
  <c r="N158" i="3"/>
  <c r="I99" i="3"/>
  <c r="I100" i="3" s="1"/>
  <c r="P11" i="23"/>
  <c r="Q87" i="23" s="1"/>
  <c r="H99" i="3"/>
  <c r="H100" i="3" s="1"/>
  <c r="O11" i="23"/>
  <c r="H178" i="1"/>
  <c r="H179" i="1"/>
  <c r="G178" i="1"/>
  <c r="G179" i="1"/>
  <c r="F178" i="1"/>
  <c r="F179" i="1"/>
  <c r="E178" i="1"/>
  <c r="E179" i="1"/>
  <c r="D178" i="1"/>
  <c r="D179" i="1"/>
  <c r="C178" i="1"/>
  <c r="C179" i="1"/>
  <c r="D20" i="6"/>
  <c r="D28" i="6" s="1"/>
  <c r="C22" i="28"/>
  <c r="C35" i="28" s="1"/>
  <c r="C5" i="21"/>
  <c r="C25" i="22"/>
  <c r="C26" i="27"/>
  <c r="Q91" i="23"/>
  <c r="O92" i="23"/>
  <c r="S65" i="23"/>
  <c r="S62" i="23"/>
  <c r="S64" i="23"/>
  <c r="S60" i="23"/>
  <c r="Q13" i="23"/>
  <c r="S13" i="23" s="1"/>
  <c r="D8" i="26"/>
  <c r="D7" i="27"/>
  <c r="E8" i="26"/>
  <c r="E7" i="27"/>
  <c r="F8" i="26"/>
  <c r="F7" i="27"/>
  <c r="G8" i="26"/>
  <c r="G7" i="27"/>
  <c r="C8" i="26"/>
  <c r="C7" i="27"/>
  <c r="G7" i="26"/>
  <c r="G6" i="9"/>
  <c r="G6" i="27"/>
  <c r="G8" i="27" s="1"/>
  <c r="F6" i="27"/>
  <c r="F8" i="27" s="1"/>
  <c r="F7" i="26"/>
  <c r="F41" i="26" s="1"/>
  <c r="F6" i="9"/>
  <c r="E6" i="27"/>
  <c r="E7" i="26"/>
  <c r="E41" i="26" s="1"/>
  <c r="E6" i="9"/>
  <c r="D6" i="27"/>
  <c r="D8" i="27" s="1"/>
  <c r="D7" i="26"/>
  <c r="D41" i="26" s="1"/>
  <c r="D6" i="9"/>
  <c r="C6" i="27"/>
  <c r="C8" i="27" s="1"/>
  <c r="C7" i="26"/>
  <c r="C6" i="9"/>
  <c r="H163" i="1"/>
  <c r="G33" i="6" s="1"/>
  <c r="G37" i="6"/>
  <c r="G47" i="6" s="1"/>
  <c r="H19" i="23"/>
  <c r="H20" i="23" s="1"/>
  <c r="G18" i="24"/>
  <c r="H104" i="1"/>
  <c r="H105" i="1" s="1"/>
  <c r="H56" i="23"/>
  <c r="D104" i="1"/>
  <c r="D105" i="1" s="1"/>
  <c r="D56" i="23"/>
  <c r="E104" i="1"/>
  <c r="E105" i="1" s="1"/>
  <c r="E56" i="23"/>
  <c r="F104" i="1"/>
  <c r="F105" i="1" s="1"/>
  <c r="F56" i="23"/>
  <c r="G104" i="1"/>
  <c r="G105" i="1" s="1"/>
  <c r="G56" i="23"/>
  <c r="C104" i="1"/>
  <c r="C105" i="1" s="1"/>
  <c r="C56" i="23"/>
  <c r="H95" i="1"/>
  <c r="H96" i="1" s="1"/>
  <c r="G15" i="9"/>
  <c r="H11" i="23"/>
  <c r="H139" i="1"/>
  <c r="H7" i="23"/>
  <c r="F15" i="9"/>
  <c r="G11" i="23"/>
  <c r="H133" i="1"/>
  <c r="G7" i="23"/>
  <c r="H130" i="1"/>
  <c r="F11" i="23"/>
  <c r="E15" i="9"/>
  <c r="E11" i="23"/>
  <c r="D15" i="9"/>
  <c r="C15" i="9"/>
  <c r="D11" i="23"/>
  <c r="D87" i="23" s="1"/>
  <c r="S71" i="23"/>
  <c r="Q85" i="23"/>
  <c r="O85" i="23"/>
  <c r="H92" i="23"/>
  <c r="C24" i="2"/>
  <c r="H96" i="23"/>
  <c r="H91" i="23"/>
  <c r="H95" i="23"/>
  <c r="H85" i="23"/>
  <c r="G85" i="23"/>
  <c r="F85" i="23"/>
  <c r="E85" i="23"/>
  <c r="D85" i="23"/>
  <c r="G44" i="26"/>
  <c r="G26" i="27"/>
  <c r="F44" i="26"/>
  <c r="F26" i="27"/>
  <c r="E44" i="26"/>
  <c r="E26" i="27"/>
  <c r="D44" i="26"/>
  <c r="D26" i="27"/>
  <c r="G41" i="26"/>
  <c r="G42" i="26"/>
  <c r="G25" i="27"/>
  <c r="F42" i="26"/>
  <c r="F25" i="27"/>
  <c r="E42" i="26"/>
  <c r="E25" i="27"/>
  <c r="D42" i="26"/>
  <c r="D25" i="27"/>
  <c r="C42" i="26"/>
  <c r="C25" i="27"/>
  <c r="S15" i="23"/>
  <c r="P85" i="23"/>
  <c r="M84" i="23"/>
  <c r="N49" i="3"/>
  <c r="Q46" i="23"/>
  <c r="S46" i="23" s="1"/>
  <c r="C17" i="2"/>
  <c r="C20" i="2" s="1"/>
  <c r="N40" i="3"/>
  <c r="Q37" i="23"/>
  <c r="S37" i="23" s="1"/>
  <c r="Q92" i="23"/>
  <c r="S10" i="23"/>
  <c r="Q96" i="23"/>
  <c r="Q7" i="3"/>
  <c r="R7" i="3" s="1"/>
  <c r="Q7" i="23"/>
  <c r="S7" i="23" s="1"/>
  <c r="Q84" i="23"/>
  <c r="O84" i="23"/>
  <c r="P92" i="23"/>
  <c r="L85" i="23"/>
  <c r="M85" i="23"/>
  <c r="K84" i="23"/>
  <c r="L84" i="23"/>
  <c r="P56" i="23"/>
  <c r="I108" i="3"/>
  <c r="I109" i="3" s="1"/>
  <c r="O56" i="23"/>
  <c r="H108" i="3"/>
  <c r="H109" i="3" s="1"/>
  <c r="G108" i="3"/>
  <c r="G109" i="3" s="1"/>
  <c r="N56" i="23"/>
  <c r="S56" i="23" s="1"/>
  <c r="F108" i="3"/>
  <c r="F109" i="3" s="1"/>
  <c r="M56" i="23"/>
  <c r="E108" i="3"/>
  <c r="E109" i="3" s="1"/>
  <c r="L56" i="23"/>
  <c r="D108" i="3"/>
  <c r="D109" i="3" s="1"/>
  <c r="K56" i="23"/>
  <c r="J56" i="23"/>
  <c r="C108" i="3"/>
  <c r="C109" i="3" s="1"/>
  <c r="F48" i="28"/>
  <c r="G48" i="28"/>
  <c r="C49" i="28"/>
  <c r="E48" i="28"/>
  <c r="D48" i="28"/>
  <c r="C16" i="2"/>
  <c r="C19" i="2" s="1"/>
  <c r="C15" i="28"/>
  <c r="C10" i="25"/>
  <c r="G47" i="28"/>
  <c r="G49" i="28"/>
  <c r="F49" i="28"/>
  <c r="F47" i="28"/>
  <c r="E47" i="28"/>
  <c r="E49" i="28"/>
  <c r="D47" i="28"/>
  <c r="D49" i="28"/>
  <c r="F29" i="24"/>
  <c r="F32" i="24" s="1"/>
  <c r="F28" i="24"/>
  <c r="E28" i="24"/>
  <c r="E29" i="24"/>
  <c r="E32" i="24" s="1"/>
  <c r="D28" i="24"/>
  <c r="D29" i="24"/>
  <c r="D32" i="24" s="1"/>
  <c r="C29" i="24"/>
  <c r="C32" i="24" s="1"/>
  <c r="C28" i="24"/>
  <c r="F19" i="24"/>
  <c r="D19" i="24"/>
  <c r="E19" i="24"/>
  <c r="G34" i="26"/>
  <c r="F34" i="26"/>
  <c r="E34" i="26"/>
  <c r="D34" i="26"/>
  <c r="C34" i="26"/>
  <c r="C35" i="26" s="1"/>
  <c r="G21" i="26"/>
  <c r="D21" i="26"/>
  <c r="E21" i="26"/>
  <c r="F21" i="26"/>
  <c r="C21" i="26"/>
  <c r="I21" i="26"/>
  <c r="L21" i="26"/>
  <c r="K21" i="26"/>
  <c r="H21" i="26"/>
  <c r="J21" i="26"/>
  <c r="G20" i="26"/>
  <c r="G22" i="26" s="1"/>
  <c r="F20" i="26"/>
  <c r="F22" i="26" s="1"/>
  <c r="E20" i="26"/>
  <c r="E22" i="26" s="1"/>
  <c r="D20" i="26"/>
  <c r="D22" i="26" s="1"/>
  <c r="C20" i="26"/>
  <c r="C19" i="21"/>
  <c r="S80" i="23"/>
  <c r="C46" i="2"/>
  <c r="C48" i="2" s="1"/>
  <c r="Q90" i="23"/>
  <c r="Q97" i="23"/>
  <c r="P90" i="23"/>
  <c r="O97" i="23"/>
  <c r="S18" i="23"/>
  <c r="O90" i="23"/>
  <c r="N97" i="23"/>
  <c r="N90" i="23"/>
  <c r="M97" i="23"/>
  <c r="M90" i="23"/>
  <c r="L97" i="23"/>
  <c r="L90" i="23"/>
  <c r="K97" i="23"/>
  <c r="K90" i="23"/>
  <c r="J97" i="23"/>
  <c r="S16" i="23"/>
  <c r="O89" i="23"/>
  <c r="P96" i="23"/>
  <c r="Q88" i="23"/>
  <c r="O96" i="23"/>
  <c r="P88" i="23"/>
  <c r="S12" i="23"/>
  <c r="N96" i="23"/>
  <c r="O88" i="23"/>
  <c r="N88" i="23"/>
  <c r="M96" i="23"/>
  <c r="L96" i="23"/>
  <c r="M88" i="23"/>
  <c r="L88" i="23"/>
  <c r="K96" i="23"/>
  <c r="K88" i="23"/>
  <c r="J96" i="23"/>
  <c r="N91" i="23"/>
  <c r="M91" i="23"/>
  <c r="N87" i="23"/>
  <c r="L91" i="23"/>
  <c r="M87" i="23"/>
  <c r="L87" i="23"/>
  <c r="K91" i="23"/>
  <c r="P95" i="23"/>
  <c r="O95" i="23"/>
  <c r="P86" i="23"/>
  <c r="N95" i="23"/>
  <c r="O86" i="23"/>
  <c r="M95" i="23"/>
  <c r="N86" i="23"/>
  <c r="M86" i="23"/>
  <c r="L95" i="23"/>
  <c r="L86" i="23"/>
  <c r="K95" i="23"/>
  <c r="J95" i="23"/>
  <c r="K86" i="23"/>
  <c r="S6" i="23"/>
  <c r="N85" i="23"/>
  <c r="P97" i="23"/>
  <c r="P84" i="23"/>
  <c r="S5" i="23"/>
  <c r="S78" i="23" s="1"/>
  <c r="N84" i="23"/>
  <c r="G97" i="23"/>
  <c r="H90" i="23"/>
  <c r="G77" i="23"/>
  <c r="G90" i="23"/>
  <c r="F97" i="23"/>
  <c r="F77" i="23"/>
  <c r="E97" i="23"/>
  <c r="E77" i="23"/>
  <c r="F90" i="23"/>
  <c r="E90" i="23"/>
  <c r="D97" i="23"/>
  <c r="D77" i="23"/>
  <c r="H88" i="23"/>
  <c r="G96" i="23"/>
  <c r="F96" i="23"/>
  <c r="G88" i="23"/>
  <c r="E96" i="23"/>
  <c r="F88" i="23"/>
  <c r="D96" i="23"/>
  <c r="E88" i="23"/>
  <c r="H87" i="23"/>
  <c r="G91" i="23"/>
  <c r="G87" i="23"/>
  <c r="F91" i="23"/>
  <c r="E91" i="23"/>
  <c r="F87" i="23"/>
  <c r="D91" i="23"/>
  <c r="E87" i="23"/>
  <c r="G95" i="23"/>
  <c r="H86" i="23"/>
  <c r="G86" i="23"/>
  <c r="F95" i="23"/>
  <c r="F86" i="23"/>
  <c r="E95" i="23"/>
  <c r="E86" i="23"/>
  <c r="D95" i="23"/>
  <c r="H97" i="23"/>
  <c r="H78" i="23"/>
  <c r="H84" i="23"/>
  <c r="H77" i="23"/>
  <c r="H79" i="23" s="1"/>
  <c r="H81" i="23" s="1"/>
  <c r="G78" i="23"/>
  <c r="G84" i="23"/>
  <c r="F84" i="23"/>
  <c r="F78" i="23"/>
  <c r="E84" i="23"/>
  <c r="E78" i="23"/>
  <c r="D78" i="23"/>
  <c r="D84" i="23"/>
  <c r="C77" i="23"/>
  <c r="C97" i="23"/>
  <c r="D90" i="23"/>
  <c r="C23" i="2"/>
  <c r="C95" i="23"/>
  <c r="D86" i="23"/>
  <c r="C96" i="23"/>
  <c r="D88" i="23"/>
  <c r="C78" i="23"/>
  <c r="C22" i="2"/>
  <c r="C6" i="21"/>
  <c r="G12" i="24"/>
  <c r="F12" i="24"/>
  <c r="E12" i="24"/>
  <c r="D12" i="24"/>
  <c r="S20" i="23"/>
  <c r="C13" i="2" s="1"/>
  <c r="F48" i="6"/>
  <c r="J154" i="3"/>
  <c r="Z38" i="6" s="1"/>
  <c r="Z9" i="6"/>
  <c r="Z19" i="6" s="1"/>
  <c r="Z28" i="6" s="1"/>
  <c r="J146" i="3"/>
  <c r="Z11" i="6" s="1"/>
  <c r="Z21" i="6" s="1"/>
  <c r="Z7" i="6"/>
  <c r="Z17" i="6" s="1"/>
  <c r="J150" i="3"/>
  <c r="Z39" i="6" s="1"/>
  <c r="Z6" i="6"/>
  <c r="Z16" i="6" s="1"/>
  <c r="J113" i="3"/>
  <c r="Y17" i="6"/>
  <c r="N59" i="3"/>
  <c r="Y48" i="6"/>
  <c r="V48" i="6"/>
  <c r="U48" i="6"/>
  <c r="X48" i="6"/>
  <c r="E22" i="6"/>
  <c r="F22" i="6"/>
  <c r="G22" i="6"/>
  <c r="E48" i="6"/>
  <c r="T20" i="6"/>
  <c r="T19" i="6"/>
  <c r="T28" i="6" s="1"/>
  <c r="T18" i="6"/>
  <c r="T27" i="6" s="1"/>
  <c r="C14" i="2"/>
  <c r="X21" i="6"/>
  <c r="T46" i="6"/>
  <c r="T32" i="6"/>
  <c r="T31" i="6"/>
  <c r="Z20" i="6"/>
  <c r="Y20" i="6"/>
  <c r="W20" i="6"/>
  <c r="V20" i="6"/>
  <c r="U20" i="6"/>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W34" i="6"/>
  <c r="V34" i="6"/>
  <c r="U34" i="6"/>
  <c r="T34" i="6"/>
  <c r="S34" i="6"/>
  <c r="W40" i="6"/>
  <c r="V40" i="6"/>
  <c r="U40" i="6"/>
  <c r="T40" i="6"/>
  <c r="S40" i="6"/>
  <c r="W39" i="6"/>
  <c r="V39" i="6"/>
  <c r="U39" i="6"/>
  <c r="T39" i="6"/>
  <c r="S39" i="6"/>
  <c r="J153" i="3"/>
  <c r="Z37" i="6"/>
  <c r="Y37" i="6"/>
  <c r="X37" i="6"/>
  <c r="W37" i="6"/>
  <c r="V37" i="6"/>
  <c r="U37" i="6"/>
  <c r="T37" i="6"/>
  <c r="S37" i="6"/>
  <c r="Y21" i="6"/>
  <c r="W21" i="6"/>
  <c r="V21" i="6"/>
  <c r="U21" i="6"/>
  <c r="T21" i="6"/>
  <c r="T48" i="6"/>
  <c r="W48" i="6"/>
  <c r="J99" i="3"/>
  <c r="J100" i="3" s="1"/>
  <c r="W15" i="9"/>
  <c r="V15" i="9"/>
  <c r="U15" i="9"/>
  <c r="T15" i="9"/>
  <c r="S15" i="9"/>
  <c r="R15" i="9"/>
  <c r="Q15" i="9"/>
  <c r="P15" i="9"/>
  <c r="D46" i="6"/>
  <c r="H48" i="6"/>
  <c r="G48" i="6"/>
  <c r="F50" i="6"/>
  <c r="G50" i="6"/>
  <c r="E49" i="6"/>
  <c r="F49" i="6"/>
  <c r="D48" i="6"/>
  <c r="V23" i="9"/>
  <c r="R23" i="9"/>
  <c r="V22" i="9"/>
  <c r="S22" i="9"/>
  <c r="W21" i="9"/>
  <c r="R21" i="9"/>
  <c r="P21" i="9"/>
  <c r="S20" i="9"/>
  <c r="U20" i="9"/>
  <c r="P20" i="9"/>
  <c r="T23" i="9"/>
  <c r="Q23" i="9"/>
  <c r="U22" i="9"/>
  <c r="T22" i="9"/>
  <c r="Q22" i="9"/>
  <c r="U21" i="9"/>
  <c r="S21" i="9"/>
  <c r="P22" i="9"/>
  <c r="R20" i="9"/>
  <c r="V20" i="9"/>
  <c r="W20" i="9"/>
  <c r="W23" i="9"/>
  <c r="S23" i="9"/>
  <c r="W22" i="9"/>
  <c r="R22" i="9"/>
  <c r="V21" i="9"/>
  <c r="T21" i="9"/>
  <c r="Q21" i="9"/>
  <c r="Q20" i="9"/>
  <c r="T20" i="9"/>
  <c r="U23" i="9"/>
  <c r="P23" i="9"/>
  <c r="W19" i="9"/>
  <c r="W10" i="9"/>
  <c r="V19" i="9"/>
  <c r="V10" i="9"/>
  <c r="U10" i="9"/>
  <c r="U19" i="9"/>
  <c r="T10" i="9"/>
  <c r="T19" i="9"/>
  <c r="S10" i="9"/>
  <c r="S19" i="9"/>
  <c r="R10" i="9"/>
  <c r="R19" i="9"/>
  <c r="Q10" i="9"/>
  <c r="Q19" i="9"/>
  <c r="P10" i="9"/>
  <c r="P19"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D163" i="1"/>
  <c r="C33" i="6" s="1"/>
  <c r="E163" i="1"/>
  <c r="D33" i="6" s="1"/>
  <c r="E47" i="6"/>
  <c r="F163" i="1"/>
  <c r="E33" i="6" s="1"/>
  <c r="G163" i="1"/>
  <c r="F33" i="6" s="1"/>
  <c r="C163" i="1"/>
  <c r="G21" i="6"/>
  <c r="E35" i="6"/>
  <c r="E139" i="1"/>
  <c r="F95" i="1"/>
  <c r="F96" i="1" s="1"/>
  <c r="F139" i="1"/>
  <c r="E95" i="1"/>
  <c r="E96" i="1" s="1"/>
  <c r="D95" i="1"/>
  <c r="D96" i="1" s="1"/>
  <c r="D139" i="1"/>
  <c r="C95" i="1"/>
  <c r="C96" i="1" s="1"/>
  <c r="E20" i="6"/>
  <c r="E28" i="6" s="1"/>
  <c r="R15" i="3"/>
  <c r="R16" i="3"/>
  <c r="R20" i="3"/>
  <c r="R6" i="3"/>
  <c r="P11" i="3"/>
  <c r="G95" i="1"/>
  <c r="G96" i="1" s="1"/>
  <c r="R21" i="3"/>
  <c r="E133" i="1"/>
  <c r="D130" i="1"/>
  <c r="C139" i="1"/>
  <c r="F133" i="1"/>
  <c r="F130" i="1"/>
  <c r="G139" i="1"/>
  <c r="D133" i="1"/>
  <c r="E130" i="1"/>
  <c r="G130" i="1"/>
  <c r="G133" i="1"/>
  <c r="R13" i="3"/>
  <c r="R17" i="3"/>
  <c r="R12" i="3"/>
  <c r="R22" i="3"/>
  <c r="R18" i="3"/>
  <c r="R10" i="3"/>
  <c r="R9" i="3"/>
  <c r="R5" i="3"/>
  <c r="R19" i="3"/>
  <c r="R14" i="3"/>
  <c r="R8" i="3"/>
  <c r="N22" i="3"/>
  <c r="C12" i="2" s="1"/>
  <c r="Q11" i="3"/>
  <c r="N7" i="3"/>
  <c r="N21" i="3"/>
  <c r="N11" i="3"/>
  <c r="J110" i="3"/>
  <c r="J111" i="3" s="1"/>
  <c r="J108" i="3"/>
  <c r="J109" i="3" s="1"/>
  <c r="D3" i="1"/>
  <c r="P91" i="23" l="1"/>
  <c r="C25" i="28"/>
  <c r="C23" i="22"/>
  <c r="C8" i="21"/>
  <c r="E8" i="27"/>
  <c r="N165" i="3"/>
  <c r="P87" i="23"/>
  <c r="O91" i="23"/>
  <c r="S11" i="23"/>
  <c r="O87" i="23"/>
  <c r="C23" i="28"/>
  <c r="C26" i="28" s="1"/>
  <c r="Z48" i="6"/>
  <c r="AA48" i="6"/>
  <c r="G9" i="26"/>
  <c r="G12" i="27"/>
  <c r="F9" i="26"/>
  <c r="F12" i="27"/>
  <c r="E9" i="26"/>
  <c r="E12" i="27"/>
  <c r="D9" i="26"/>
  <c r="D12" i="27"/>
  <c r="C9" i="26"/>
  <c r="C12" i="27"/>
  <c r="G35" i="26"/>
  <c r="F35" i="26"/>
  <c r="E35" i="26"/>
  <c r="D35" i="26"/>
  <c r="G23" i="9"/>
  <c r="G21" i="9"/>
  <c r="G22" i="9"/>
  <c r="G20" i="9"/>
  <c r="G7" i="24"/>
  <c r="G32" i="27"/>
  <c r="G33" i="27" s="1"/>
  <c r="F7" i="24"/>
  <c r="F33" i="24" s="1"/>
  <c r="F32" i="27"/>
  <c r="F33" i="27" s="1"/>
  <c r="F23" i="9"/>
  <c r="F20" i="9"/>
  <c r="F21" i="9"/>
  <c r="F22" i="9"/>
  <c r="E22" i="9"/>
  <c r="E23" i="9"/>
  <c r="E21" i="9"/>
  <c r="E20" i="9"/>
  <c r="D7" i="24"/>
  <c r="D33" i="24" s="1"/>
  <c r="D32" i="27"/>
  <c r="D33" i="27" s="1"/>
  <c r="D23" i="9"/>
  <c r="D20" i="9"/>
  <c r="D22" i="9"/>
  <c r="D21" i="9"/>
  <c r="C7" i="24"/>
  <c r="C33" i="24" s="1"/>
  <c r="C32" i="27"/>
  <c r="C33" i="27" s="1"/>
  <c r="C41" i="26"/>
  <c r="C44" i="26"/>
  <c r="C23" i="9"/>
  <c r="C21" i="9"/>
  <c r="C20" i="9"/>
  <c r="C22" i="9"/>
  <c r="G29" i="24"/>
  <c r="G32" i="24" s="1"/>
  <c r="G33" i="24" s="1"/>
  <c r="H18" i="24"/>
  <c r="I18" i="24" s="1"/>
  <c r="J18" i="24" s="1"/>
  <c r="K18" i="24" s="1"/>
  <c r="L18" i="24" s="1"/>
  <c r="G19" i="24"/>
  <c r="G28" i="24"/>
  <c r="D3" i="23"/>
  <c r="C5" i="6"/>
  <c r="C6" i="26"/>
  <c r="C5" i="24"/>
  <c r="C6" i="22"/>
  <c r="C5" i="9"/>
  <c r="C79" i="23"/>
  <c r="C81" i="23" s="1"/>
  <c r="S95" i="23"/>
  <c r="Q95" i="23"/>
  <c r="Q86" i="23"/>
  <c r="C7" i="21"/>
  <c r="H20" i="26"/>
  <c r="K20" i="26"/>
  <c r="C22" i="26"/>
  <c r="I20" i="26"/>
  <c r="L20" i="26"/>
  <c r="J20" i="26"/>
  <c r="S77" i="23"/>
  <c r="S79" i="23" s="1"/>
  <c r="S81" i="23" s="1"/>
  <c r="S97" i="23"/>
  <c r="C45" i="2"/>
  <c r="C49" i="2" s="1"/>
  <c r="S96" i="23"/>
  <c r="E79" i="23"/>
  <c r="E81" i="23" s="1"/>
  <c r="G79" i="23"/>
  <c r="G81" i="23" s="1"/>
  <c r="F79" i="23"/>
  <c r="F81" i="23" s="1"/>
  <c r="D79" i="23"/>
  <c r="D81" i="23" s="1"/>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21" i="6"/>
  <c r="E21" i="6"/>
  <c r="R11" i="3"/>
  <c r="C58" i="24" l="1"/>
  <c r="C41" i="24"/>
  <c r="C50" i="24"/>
  <c r="F7" i="22"/>
  <c r="F8" i="24"/>
  <c r="F7" i="28"/>
  <c r="F41" i="28" s="1"/>
  <c r="D8" i="24"/>
  <c r="D7" i="28"/>
  <c r="D41" i="28" s="1"/>
  <c r="D7" i="22"/>
  <c r="C8" i="24"/>
  <c r="C34" i="24" s="1"/>
  <c r="C7" i="22"/>
  <c r="C7" i="28"/>
  <c r="C41" i="28" s="1"/>
  <c r="C26" i="6"/>
  <c r="C15" i="6"/>
  <c r="C5" i="27"/>
  <c r="C44" i="6"/>
  <c r="C19" i="26"/>
  <c r="C26" i="26"/>
  <c r="C13" i="26"/>
  <c r="C32" i="26"/>
  <c r="C39" i="26"/>
  <c r="C17" i="24"/>
  <c r="C11" i="24"/>
  <c r="C27" i="24"/>
  <c r="C22" i="24"/>
  <c r="C10" i="9"/>
  <c r="C19" i="9"/>
  <c r="G13" i="24"/>
  <c r="D13" i="24"/>
  <c r="D5" i="6"/>
  <c r="D6" i="26"/>
  <c r="D5" i="24"/>
  <c r="E3" i="23"/>
  <c r="D6" i="22"/>
  <c r="D5" i="9"/>
  <c r="F43" i="28"/>
  <c r="F45" i="28"/>
  <c r="G8" i="24"/>
  <c r="G7" i="22"/>
  <c r="G7" i="28"/>
  <c r="C17" i="21"/>
  <c r="C16" i="21"/>
  <c r="H22" i="26"/>
  <c r="K22" i="26"/>
  <c r="I22" i="26"/>
  <c r="L22" i="26"/>
  <c r="J22" i="26"/>
  <c r="I40" i="6"/>
  <c r="I50" i="6" s="1"/>
  <c r="J29" i="6"/>
  <c r="I9" i="6"/>
  <c r="I19" i="6" s="1"/>
  <c r="W45" i="6"/>
  <c r="AA7" i="6"/>
  <c r="AA47" i="6"/>
  <c r="AE37" i="6"/>
  <c r="AE9" i="6"/>
  <c r="AA19" i="6"/>
  <c r="AA6" i="6"/>
  <c r="AA46" i="6"/>
  <c r="AE36" i="6"/>
  <c r="Z45" i="6"/>
  <c r="AA45" i="6"/>
  <c r="V45" i="6"/>
  <c r="U45" i="6"/>
  <c r="T45" i="6"/>
  <c r="Y45" i="6"/>
  <c r="X45" i="6"/>
  <c r="D45" i="6"/>
  <c r="F45" i="6"/>
  <c r="I20" i="6"/>
  <c r="J10" i="6"/>
  <c r="G45" i="6"/>
  <c r="H45" i="6"/>
  <c r="J30" i="6"/>
  <c r="K8" i="6"/>
  <c r="J18" i="6"/>
  <c r="I34" i="6"/>
  <c r="H36" i="6"/>
  <c r="F3" i="1"/>
  <c r="C45" i="28" l="1"/>
  <c r="C43" i="28"/>
  <c r="E7" i="24"/>
  <c r="E32" i="27"/>
  <c r="E33" i="27" s="1"/>
  <c r="F34" i="24"/>
  <c r="D34" i="24"/>
  <c r="D14" i="24"/>
  <c r="D45" i="28"/>
  <c r="D46" i="28"/>
  <c r="D43" i="28"/>
  <c r="C24" i="27"/>
  <c r="C19" i="27"/>
  <c r="C31" i="27"/>
  <c r="D44" i="6"/>
  <c r="D5" i="27"/>
  <c r="D13" i="26"/>
  <c r="D32" i="26"/>
  <c r="D19" i="26"/>
  <c r="D26" i="26"/>
  <c r="D39" i="26"/>
  <c r="D17" i="24"/>
  <c r="D11" i="24"/>
  <c r="D27" i="24"/>
  <c r="D22" i="24"/>
  <c r="D15" i="6"/>
  <c r="D26" i="6"/>
  <c r="D19" i="9"/>
  <c r="D10" i="9"/>
  <c r="F3" i="23"/>
  <c r="E5" i="9"/>
  <c r="E6" i="26"/>
  <c r="E5" i="24"/>
  <c r="E6" i="22"/>
  <c r="E5" i="6"/>
  <c r="G34" i="24"/>
  <c r="G14" i="24"/>
  <c r="G41" i="28"/>
  <c r="H7" i="28"/>
  <c r="C20" i="21"/>
  <c r="J40" i="6"/>
  <c r="J50" i="6" s="1"/>
  <c r="K29" i="6"/>
  <c r="J9" i="6"/>
  <c r="J19" i="6" s="1"/>
  <c r="AE7" i="6"/>
  <c r="AA11" i="6"/>
  <c r="AA17" i="6"/>
  <c r="AE6" i="6"/>
  <c r="AA16" i="6"/>
  <c r="K10" i="6"/>
  <c r="J20" i="6"/>
  <c r="H37" i="6"/>
  <c r="H46" i="6"/>
  <c r="H6" i="6"/>
  <c r="H16" i="6" s="1"/>
  <c r="K30" i="6"/>
  <c r="K18" i="6"/>
  <c r="L8" i="6"/>
  <c r="L18" i="6" s="1"/>
  <c r="I36" i="6"/>
  <c r="I46" i="6" s="1"/>
  <c r="J34" i="6"/>
  <c r="G3" i="1"/>
  <c r="F13" i="24" l="1"/>
  <c r="E13" i="24"/>
  <c r="E33" i="24"/>
  <c r="E7" i="22"/>
  <c r="E8" i="24"/>
  <c r="E7" i="28"/>
  <c r="E41" i="28" s="1"/>
  <c r="E15" i="6"/>
  <c r="E26" i="6"/>
  <c r="D24" i="27"/>
  <c r="D19" i="27"/>
  <c r="D31" i="27"/>
  <c r="E19" i="9"/>
  <c r="E10" i="9"/>
  <c r="E13" i="26"/>
  <c r="E19" i="26"/>
  <c r="E32" i="26"/>
  <c r="E26" i="26"/>
  <c r="E39" i="26"/>
  <c r="E17" i="24"/>
  <c r="E11" i="24"/>
  <c r="E27" i="24"/>
  <c r="E22" i="24"/>
  <c r="E44" i="6"/>
  <c r="E5" i="27"/>
  <c r="G3" i="23"/>
  <c r="F6" i="22"/>
  <c r="F5" i="6"/>
  <c r="F6" i="26"/>
  <c r="F5" i="24"/>
  <c r="F5" i="9"/>
  <c r="G45" i="28"/>
  <c r="G46" i="28"/>
  <c r="G43" i="28"/>
  <c r="H41" i="28"/>
  <c r="I7" i="28"/>
  <c r="C21" i="28"/>
  <c r="C48" i="24"/>
  <c r="C56" i="24"/>
  <c r="C15" i="22"/>
  <c r="C39" i="24"/>
  <c r="K40" i="6"/>
  <c r="K50" i="6" s="1"/>
  <c r="K9" i="6"/>
  <c r="K19" i="6" s="1"/>
  <c r="L29" i="6"/>
  <c r="L9" i="6" s="1"/>
  <c r="L19" i="6" s="1"/>
  <c r="AA21" i="6"/>
  <c r="AA12" i="6"/>
  <c r="AE11" i="6"/>
  <c r="AE12" i="6" s="1"/>
  <c r="AE33" i="6"/>
  <c r="L10" i="6"/>
  <c r="L20" i="6" s="1"/>
  <c r="K20" i="6"/>
  <c r="H47" i="6"/>
  <c r="H7" i="6"/>
  <c r="I37" i="6"/>
  <c r="I6" i="6"/>
  <c r="I16" i="6" s="1"/>
  <c r="L30" i="6"/>
  <c r="J36" i="6"/>
  <c r="J46" i="6" s="1"/>
  <c r="K34" i="6"/>
  <c r="H3" i="1"/>
  <c r="F14" i="24" l="1"/>
  <c r="E14" i="24"/>
  <c r="E34" i="24"/>
  <c r="E43" i="28"/>
  <c r="E45" i="28"/>
  <c r="E46" i="28"/>
  <c r="F46" i="28"/>
  <c r="E24" i="27"/>
  <c r="E19" i="27"/>
  <c r="E31" i="27"/>
  <c r="F44" i="6"/>
  <c r="F5" i="27"/>
  <c r="F13" i="26"/>
  <c r="F26" i="26"/>
  <c r="F19" i="26"/>
  <c r="F32" i="26"/>
  <c r="F39" i="26"/>
  <c r="F17" i="24"/>
  <c r="F11" i="24"/>
  <c r="F27" i="24"/>
  <c r="F22" i="24"/>
  <c r="F19" i="9"/>
  <c r="F10" i="9"/>
  <c r="F15" i="6"/>
  <c r="F26" i="6"/>
  <c r="I3" i="1"/>
  <c r="J3" i="1" s="1"/>
  <c r="K3" i="1" s="1"/>
  <c r="L3" i="1" s="1"/>
  <c r="G5" i="9"/>
  <c r="G10" i="9" s="1"/>
  <c r="G5" i="6"/>
  <c r="G6" i="26"/>
  <c r="G5" i="24"/>
  <c r="H3" i="23"/>
  <c r="G6" i="22"/>
  <c r="H6" i="22" s="1"/>
  <c r="I6" i="22" s="1"/>
  <c r="J6" i="22" s="1"/>
  <c r="K6" i="22" s="1"/>
  <c r="L6" i="22" s="1"/>
  <c r="H46" i="28"/>
  <c r="H42" i="28"/>
  <c r="H44" i="28"/>
  <c r="H48" i="28" s="1"/>
  <c r="I41" i="28"/>
  <c r="J7" i="28"/>
  <c r="J10" i="28" s="1"/>
  <c r="H10" i="28"/>
  <c r="I10" i="28"/>
  <c r="X6" i="9"/>
  <c r="X11" i="9" s="1"/>
  <c r="AB11" i="9" s="1"/>
  <c r="AA22" i="6"/>
  <c r="L40" i="6"/>
  <c r="L50" i="6" s="1"/>
  <c r="H5" i="9"/>
  <c r="G19" i="9"/>
  <c r="H11" i="6"/>
  <c r="H17" i="6"/>
  <c r="I7" i="6"/>
  <c r="I47" i="6"/>
  <c r="J37" i="6"/>
  <c r="J6" i="6"/>
  <c r="J16" i="6" s="1"/>
  <c r="K36" i="6"/>
  <c r="K46" i="6" s="1"/>
  <c r="L34" i="6"/>
  <c r="L36" i="6" s="1"/>
  <c r="G15" i="6"/>
  <c r="G26" i="6"/>
  <c r="H5" i="6"/>
  <c r="X12" i="9" l="1"/>
  <c r="AB12" i="9" s="1"/>
  <c r="X14" i="9"/>
  <c r="AB14" i="9" s="1"/>
  <c r="X13" i="9"/>
  <c r="AB6" i="9"/>
  <c r="F24" i="27"/>
  <c r="F19" i="27"/>
  <c r="F31" i="27"/>
  <c r="G44" i="6"/>
  <c r="G5" i="27"/>
  <c r="G19" i="26"/>
  <c r="G26" i="26"/>
  <c r="H6" i="26"/>
  <c r="G13" i="26"/>
  <c r="G32" i="26"/>
  <c r="G39" i="26"/>
  <c r="H5" i="24"/>
  <c r="G11" i="24"/>
  <c r="G17" i="24"/>
  <c r="G27" i="24"/>
  <c r="G22" i="24"/>
  <c r="H44" i="6"/>
  <c r="H5" i="27"/>
  <c r="H47" i="28"/>
  <c r="H49" i="28"/>
  <c r="I46" i="28"/>
  <c r="I44" i="28"/>
  <c r="I48" i="28" s="1"/>
  <c r="I42" i="28"/>
  <c r="K7" i="28"/>
  <c r="J41" i="28"/>
  <c r="H19" i="9"/>
  <c r="I5" i="9"/>
  <c r="H10" i="9"/>
  <c r="H12" i="6"/>
  <c r="H21" i="6"/>
  <c r="L46" i="6"/>
  <c r="I17" i="6"/>
  <c r="I11" i="6"/>
  <c r="J7" i="6"/>
  <c r="J47" i="6"/>
  <c r="K37" i="6"/>
  <c r="K6" i="6"/>
  <c r="K16" i="6" s="1"/>
  <c r="L37" i="6"/>
  <c r="L6" i="6"/>
  <c r="H15" i="6"/>
  <c r="H26" i="6"/>
  <c r="I5" i="6"/>
  <c r="AB13" i="9" l="1"/>
  <c r="X15" i="9"/>
  <c r="AB15" i="9" s="1"/>
  <c r="G19" i="27"/>
  <c r="G24" i="27"/>
  <c r="G31" i="27"/>
  <c r="H13" i="26"/>
  <c r="H19" i="26"/>
  <c r="H26" i="26"/>
  <c r="I6" i="26"/>
  <c r="H32" i="26"/>
  <c r="H39" i="26"/>
  <c r="I5" i="24"/>
  <c r="H17" i="24"/>
  <c r="H27" i="24"/>
  <c r="H11" i="24"/>
  <c r="H22" i="24"/>
  <c r="H19" i="27"/>
  <c r="H24" i="27"/>
  <c r="H31" i="27"/>
  <c r="H6" i="27"/>
  <c r="H7" i="26"/>
  <c r="H6" i="24"/>
  <c r="H12" i="24" s="1"/>
  <c r="H6" i="9"/>
  <c r="I44" i="6"/>
  <c r="I5" i="27"/>
  <c r="I49" i="28"/>
  <c r="I47" i="28"/>
  <c r="K41" i="28"/>
  <c r="K10" i="28"/>
  <c r="L7" i="28"/>
  <c r="J46" i="28"/>
  <c r="J42" i="28"/>
  <c r="J44" i="28"/>
  <c r="J48" i="28" s="1"/>
  <c r="I10" i="9"/>
  <c r="I19" i="9"/>
  <c r="J5" i="9"/>
  <c r="L16" i="6"/>
  <c r="H22" i="6"/>
  <c r="I21" i="6"/>
  <c r="I12" i="6"/>
  <c r="J17" i="6"/>
  <c r="J11" i="6"/>
  <c r="K7" i="6"/>
  <c r="K47" i="6"/>
  <c r="L7" i="6"/>
  <c r="L47" i="6"/>
  <c r="I15" i="6"/>
  <c r="I26" i="6"/>
  <c r="J5" i="6"/>
  <c r="J6" i="26" l="1"/>
  <c r="I19" i="26"/>
  <c r="I13" i="26"/>
  <c r="I32" i="26"/>
  <c r="I26" i="26"/>
  <c r="I39" i="26"/>
  <c r="I22" i="24"/>
  <c r="J5" i="24"/>
  <c r="I17" i="24"/>
  <c r="I11" i="24"/>
  <c r="I27" i="24"/>
  <c r="H14" i="26"/>
  <c r="H27" i="26" s="1"/>
  <c r="H40" i="26"/>
  <c r="H43" i="26"/>
  <c r="H26" i="27" s="1"/>
  <c r="H34" i="26"/>
  <c r="I19" i="27"/>
  <c r="I24" i="27"/>
  <c r="I31" i="27"/>
  <c r="I6" i="27"/>
  <c r="I7" i="26"/>
  <c r="I6" i="24"/>
  <c r="I12" i="24" s="1"/>
  <c r="I6" i="9"/>
  <c r="J44" i="6"/>
  <c r="J5" i="27"/>
  <c r="K46" i="28"/>
  <c r="K44" i="28"/>
  <c r="K48" i="28" s="1"/>
  <c r="K42" i="28"/>
  <c r="L10" i="28"/>
  <c r="C29" i="28" s="1"/>
  <c r="L8" i="28"/>
  <c r="L11" i="28" s="1"/>
  <c r="C30" i="28" s="1"/>
  <c r="L41" i="28"/>
  <c r="J47" i="28"/>
  <c r="J49" i="28"/>
  <c r="J10" i="9"/>
  <c r="J19" i="9"/>
  <c r="K5" i="9"/>
  <c r="H14" i="9"/>
  <c r="H11" i="27" s="1"/>
  <c r="H12" i="9"/>
  <c r="H9" i="27" s="1"/>
  <c r="H13" i="9"/>
  <c r="H10" i="27" s="1"/>
  <c r="H11" i="9"/>
  <c r="I22" i="6"/>
  <c r="J12" i="6"/>
  <c r="J21" i="6"/>
  <c r="K11" i="6"/>
  <c r="K17" i="6"/>
  <c r="L11" i="6"/>
  <c r="L17" i="6"/>
  <c r="J15" i="6"/>
  <c r="J26" i="6"/>
  <c r="K5" i="6"/>
  <c r="J13" i="26" l="1"/>
  <c r="J19" i="26"/>
  <c r="K6" i="26"/>
  <c r="J32" i="26"/>
  <c r="J26" i="26"/>
  <c r="J39" i="26"/>
  <c r="K5" i="24"/>
  <c r="J17" i="24"/>
  <c r="J11" i="24"/>
  <c r="J27" i="24"/>
  <c r="J22" i="24"/>
  <c r="H42" i="26"/>
  <c r="H25" i="27"/>
  <c r="I14" i="26"/>
  <c r="I27" i="26" s="1"/>
  <c r="I40" i="26"/>
  <c r="I43" i="26"/>
  <c r="I26" i="27" s="1"/>
  <c r="I34" i="26"/>
  <c r="J19" i="27"/>
  <c r="J24" i="27"/>
  <c r="J31" i="27"/>
  <c r="H7" i="27"/>
  <c r="H8" i="27" s="1"/>
  <c r="H8" i="26"/>
  <c r="H15" i="26" s="1"/>
  <c r="H28" i="26" s="1"/>
  <c r="H33" i="26" s="1"/>
  <c r="H27" i="27" s="1"/>
  <c r="J6" i="27"/>
  <c r="J7" i="26"/>
  <c r="J6" i="24"/>
  <c r="J12" i="24" s="1"/>
  <c r="J6" i="9"/>
  <c r="K44" i="6"/>
  <c r="K5" i="27"/>
  <c r="K49" i="28"/>
  <c r="K47" i="28"/>
  <c r="L42" i="28"/>
  <c r="L46" i="28"/>
  <c r="L44" i="28"/>
  <c r="L48" i="28" s="1"/>
  <c r="C31" i="28"/>
  <c r="C34" i="28" s="1"/>
  <c r="C36" i="28" s="1"/>
  <c r="C16" i="28" s="1"/>
  <c r="L5" i="9"/>
  <c r="K10" i="9"/>
  <c r="K19" i="9"/>
  <c r="H15" i="9"/>
  <c r="K21" i="6"/>
  <c r="K12" i="6"/>
  <c r="I14" i="9"/>
  <c r="I11" i="27" s="1"/>
  <c r="I13" i="9"/>
  <c r="I10" i="27" s="1"/>
  <c r="I12" i="9"/>
  <c r="I9" i="27" s="1"/>
  <c r="I11" i="9"/>
  <c r="J22" i="6"/>
  <c r="L10" i="9"/>
  <c r="L19" i="9"/>
  <c r="L21" i="6"/>
  <c r="L12" i="6"/>
  <c r="K15" i="6"/>
  <c r="K26" i="6"/>
  <c r="L5" i="6"/>
  <c r="K13" i="26" l="1"/>
  <c r="L6" i="26"/>
  <c r="K19" i="26"/>
  <c r="K32" i="26"/>
  <c r="K26" i="26"/>
  <c r="K39" i="26"/>
  <c r="L5" i="24"/>
  <c r="K17" i="24"/>
  <c r="K11" i="24"/>
  <c r="K27" i="24"/>
  <c r="K22" i="24"/>
  <c r="I42" i="26"/>
  <c r="I25" i="27"/>
  <c r="J14" i="26"/>
  <c r="J27" i="26" s="1"/>
  <c r="J40" i="26"/>
  <c r="J43" i="26"/>
  <c r="J26" i="27" s="1"/>
  <c r="J34" i="26"/>
  <c r="K19" i="27"/>
  <c r="K24" i="27"/>
  <c r="K31" i="27"/>
  <c r="H12" i="27"/>
  <c r="H9" i="26"/>
  <c r="K6" i="27"/>
  <c r="K7" i="26"/>
  <c r="K6" i="24"/>
  <c r="K12" i="24" s="1"/>
  <c r="K6" i="9"/>
  <c r="I7" i="27"/>
  <c r="I8" i="27" s="1"/>
  <c r="I8" i="26"/>
  <c r="I15" i="26" s="1"/>
  <c r="I28" i="26" s="1"/>
  <c r="I33" i="26" s="1"/>
  <c r="I27" i="27" s="1"/>
  <c r="L6" i="27"/>
  <c r="L7" i="26"/>
  <c r="L6" i="24"/>
  <c r="L6" i="9"/>
  <c r="L44" i="6"/>
  <c r="L5" i="27"/>
  <c r="L47" i="28"/>
  <c r="L49" i="28"/>
  <c r="I15" i="9"/>
  <c r="K22" i="6"/>
  <c r="J13" i="9"/>
  <c r="J10" i="27" s="1"/>
  <c r="J11" i="9"/>
  <c r="J14" i="9"/>
  <c r="J11" i="27" s="1"/>
  <c r="J12" i="9"/>
  <c r="J9" i="27" s="1"/>
  <c r="L22" i="6"/>
  <c r="L15" i="6"/>
  <c r="L26" i="6"/>
  <c r="L19" i="26" l="1"/>
  <c r="L13" i="26"/>
  <c r="L32" i="26"/>
  <c r="L26" i="26"/>
  <c r="L39" i="26"/>
  <c r="L17" i="24"/>
  <c r="L11" i="24"/>
  <c r="L27" i="24"/>
  <c r="L22" i="24"/>
  <c r="J42" i="26"/>
  <c r="J25" i="27"/>
  <c r="H7" i="24"/>
  <c r="H13" i="24" s="1"/>
  <c r="H32" i="27"/>
  <c r="H33" i="27" s="1"/>
  <c r="K14" i="26"/>
  <c r="K27" i="26" s="1"/>
  <c r="K40" i="26"/>
  <c r="K43" i="26"/>
  <c r="K26" i="27" s="1"/>
  <c r="K34" i="26"/>
  <c r="L14" i="26"/>
  <c r="L40" i="26"/>
  <c r="L43" i="26"/>
  <c r="L26" i="27" s="1"/>
  <c r="L34" i="26"/>
  <c r="L12" i="24"/>
  <c r="C47" i="24"/>
  <c r="C51" i="24" s="1"/>
  <c r="C52" i="24" s="1"/>
  <c r="C7" i="25" s="1"/>
  <c r="L19" i="27"/>
  <c r="L24" i="27"/>
  <c r="L31" i="27"/>
  <c r="I12" i="27"/>
  <c r="I9" i="26"/>
  <c r="J7" i="27"/>
  <c r="J8" i="27" s="1"/>
  <c r="J8" i="26"/>
  <c r="J15" i="26" s="1"/>
  <c r="J28" i="26" s="1"/>
  <c r="J33" i="26" s="1"/>
  <c r="J27" i="27" s="1"/>
  <c r="K13" i="9"/>
  <c r="K10" i="27" s="1"/>
  <c r="K14" i="9"/>
  <c r="K11" i="27" s="1"/>
  <c r="K12" i="9"/>
  <c r="K9" i="27" s="1"/>
  <c r="K11" i="9"/>
  <c r="J15" i="9"/>
  <c r="L11" i="9"/>
  <c r="L12" i="9"/>
  <c r="L9" i="27" s="1"/>
  <c r="L13" i="9"/>
  <c r="L10" i="27" s="1"/>
  <c r="L14" i="9"/>
  <c r="L11" i="27" s="1"/>
  <c r="H7" i="22" l="1"/>
  <c r="H8" i="24"/>
  <c r="H14" i="24" s="1"/>
  <c r="K42" i="26"/>
  <c r="K25" i="27"/>
  <c r="L42" i="26"/>
  <c r="L25" i="27"/>
  <c r="I7" i="24"/>
  <c r="I13" i="24" s="1"/>
  <c r="I32" i="27"/>
  <c r="I33" i="27" s="1"/>
  <c r="L27" i="26"/>
  <c r="K7" i="27"/>
  <c r="K8" i="27" s="1"/>
  <c r="K8" i="26"/>
  <c r="K15" i="26" s="1"/>
  <c r="K28" i="26" s="1"/>
  <c r="K33" i="26" s="1"/>
  <c r="K27" i="27" s="1"/>
  <c r="J12" i="27"/>
  <c r="J9" i="26"/>
  <c r="L7" i="27"/>
  <c r="L8" i="27" s="1"/>
  <c r="L8" i="26"/>
  <c r="L15" i="26" s="1"/>
  <c r="K15" i="9"/>
  <c r="L15" i="9"/>
  <c r="I7" i="22" l="1"/>
  <c r="I10" i="22" s="1"/>
  <c r="I8" i="24"/>
  <c r="I14" i="24" s="1"/>
  <c r="J7" i="24"/>
  <c r="J13" i="24" s="1"/>
  <c r="J32" i="27"/>
  <c r="J33" i="27" s="1"/>
  <c r="L28" i="26"/>
  <c r="L33" i="26" s="1"/>
  <c r="L27" i="27" s="1"/>
  <c r="K12" i="27"/>
  <c r="K9" i="26"/>
  <c r="L12" i="27"/>
  <c r="L9" i="26"/>
  <c r="H10" i="22"/>
  <c r="J7" i="22" l="1"/>
  <c r="J10" i="22" s="1"/>
  <c r="J8" i="24"/>
  <c r="J14" i="24" s="1"/>
  <c r="K7" i="24"/>
  <c r="K13" i="24" s="1"/>
  <c r="K32" i="27"/>
  <c r="K33" i="27" s="1"/>
  <c r="L7" i="24"/>
  <c r="L32" i="27"/>
  <c r="L33" i="27" s="1"/>
  <c r="K7" i="22" l="1"/>
  <c r="K10" i="22" s="1"/>
  <c r="K8" i="24"/>
  <c r="K14" i="24" s="1"/>
  <c r="L13" i="24"/>
  <c r="C38" i="24"/>
  <c r="C42" i="24" s="1"/>
  <c r="C43" i="24" s="1"/>
  <c r="C44" i="24" s="1"/>
  <c r="C6" i="25" s="1"/>
  <c r="L7" i="22"/>
  <c r="L8" i="24"/>
  <c r="L10" i="22" l="1"/>
  <c r="C19" i="22" s="1"/>
  <c r="L8" i="22"/>
  <c r="L11" i="22" s="1"/>
  <c r="C20" i="22" s="1"/>
  <c r="L14" i="24"/>
  <c r="C55" i="24"/>
  <c r="C59" i="24" s="1"/>
  <c r="C60" i="24" s="1"/>
  <c r="C61" i="24" s="1"/>
  <c r="C8" i="25" s="1"/>
  <c r="C21" i="22" l="1"/>
  <c r="C24" i="22" s="1"/>
  <c r="C26" i="22" s="1"/>
  <c r="C5" i="25" s="1"/>
  <c r="C9" i="25" s="1"/>
  <c r="C11"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9"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1"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3"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4"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5"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8"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4"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5"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Check footnote to DAU in the letter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tc={F8761907-3661-7D4B-841B-005D03D72312}</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O18" authorId="1" shapeId="0" xr:uid="{F8761907-3661-7D4B-841B-005D03D72312}">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<sst xmlns="http://schemas.openxmlformats.org/spreadsheetml/2006/main" count="812" uniqueCount="387">
  <si>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</si>
  <si>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</si>
  <si>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</si>
  <si>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</si>
  <si>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</si>
  <si>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</si>
  <si>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</si>
  <si>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</si>
  <si>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</si>
  <si>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</si>
  <si>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</si>
  <si>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</si>
  <si>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</si>
  <si>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</si>
  <si>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</si>
  <si>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</si>
  <si>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</si>
  <si>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</si>
  <si>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</si>
  <si>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</si>
  <si>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</si>
  <si>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</si>
  <si>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</si>
  <si>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</si>
  <si>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</si>
  <si>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</si>
  <si>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</si>
  <si>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</si>
  <si>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</si>
  <si>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</si>
  <si>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</si>
  <si>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</si>
  <si>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</si>
  <si>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</si>
  <si>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</si>
  <si>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</si>
  <si>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</si>
  <si>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</si>
  <si>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</si>
  <si>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</si>
  <si>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</si>
  <si>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</si>
  <si>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</si>
  <si>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</si>
  <si>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</si>
  <si>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</si>
  <si>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</si>
  <si>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</si>
  <si>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</si>
  <si>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</si>
  <si>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</si>
  <si>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</si>
  <si>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</si>
  <si>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</si>
  <si>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</si>
  <si>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</si>
  <si>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</si>
  <si>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</si>
  <si>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</si>
  <si>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</si>
  <si>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</si>
  <si>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</si>
  <si>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</si>
  <si>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</si>
  <si>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</si>
  <si>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</si>
  <si>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</si>
  <si>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</si>
  <si>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</si>
  <si>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</si>
  <si>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</si>
  <si>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</si>
  <si>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</si>
  <si>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</si>
  <si>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</si>
  <si>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</si>
  <si>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</si>
  <si>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</si>
  <si>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</si>
  <si>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</si>
  <si>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</si>
  <si>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</si>
  <si>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</si>
  <si>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</si>
  <si>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</si>
  <si>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</si>
  <si>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</si>
  <si>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</si>
  <si>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</si>
  <si>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</si>
  <si>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</si>
  <si>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</si>
  <si>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</si>
  <si>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</si>
  <si>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</si>
  <si>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</si>
  <si>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</si>
  <si>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</si>
  <si>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</si>
  <si>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</si>
  <si>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</si>
  <si>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</si>
  <si>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</si>
  <si>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</si>
  <si>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</si>
  <si>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</si>
  <si>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</si>
  <si>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</si>
  <si>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</si>
  <si>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</si>
  <si>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</si>
  <si>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</si>
  <si>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</si>
  <si>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</si>
  <si>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</si>
  <si>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</si>
  <si>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</si>
  <si>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</si>
  <si>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</si>
  <si>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</si>
  <si>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</si>
  <si>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</si>
  <si>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</si>
  <si>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</si>
  <si>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</si>
  <si>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</si>
  <si>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</si>
  <si>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</si>
  <si>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</si>
  <si>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</si>
  <si>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</si>
  <si>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</si>
  <si>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</si>
  <si>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</si>
  <si>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</si>
  <si>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</si>
  <si>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</si>
  <si>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</si>
  <si>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</si>
  <si>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</si>
  <si>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</si>
  <si>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</si>
  <si>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</si>
  <si>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</si>
  <si>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</si>
  <si>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</si>
  <si>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</si>
  <si>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</si>
  <si>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</si>
  <si>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</si>
  <si>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</si>
  <si>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</si>
  <si>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</si>
  <si>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</si>
  <si>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</si>
  <si>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</si>
  <si>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</si>
  <si>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</si>
  <si>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</si>
  <si>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</si>
  <si>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</si>
  <si>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</si>
  <si>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</si>
  <si>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</si>
  <si>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</si>
  <si>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</si>
  <si>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</si>
  <si>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</si>
  <si>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</si>
  <si>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</si>
  <si>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</si>
  <si>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</si>
  <si>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</si>
  <si>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</si>
  <si>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</si>
  <si>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</si>
  <si>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</si>
  <si>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</si>
  <si>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</si>
  <si>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</si>
  <si>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</si>
  <si>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</si>
  <si>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</si>
  <si>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</si>
  <si>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</si>
  <si>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</si>
  <si>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</si>
  <si>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</si>
  <si>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</si>
  <si>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</si>
  <si>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</si>
  <si>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</si>
  <si>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</si>
  <si>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</si>
  <si>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</si>
  <si>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</si>
  <si>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</si>
  <si>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</si>
  <si>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</si>
  <si>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</si>
  <si>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</si>
  <si>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</si>
  <si>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</si>
  <si>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</si>
  <si>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</si>
  <si>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</si>
  <si>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</si>
  <si>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</si>
  <si>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</si>
  <si>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</si>
  <si>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</si>
  <si>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</si>
  <si>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</si>
  <si>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</si>
  <si>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</si>
  <si>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</si>
  <si>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</si>
  <si>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</si>
  <si>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</si>
  <si>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</si>
  <si>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</si>
  <si>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</si>
  <si>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</si>
  <si>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</si>
  <si>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</si>
  <si>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</si>
  <si>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</si>
  <si>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</si>
  <si>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</si>
  <si>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</si>
  <si>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</si>
  <si>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</si>
  <si>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</si>
  <si>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</si>
  <si>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</si>
  <si>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</si>
  <si>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</si>
  <si>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</si>
  <si>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</si>
  <si>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</si>
  <si>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</si>
  <si>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</si>
  <si>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</si>
  <si>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</si>
  <si>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</si>
  <si>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</si>
  <si>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</si>
  <si>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</si>
  <si>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</si>
  <si>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</si>
  <si>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</si>
  <si>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</si>
  <si>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</si>
  <si>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</si>
  <si>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</si>
  <si>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</si>
  <si>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</si>
  <si>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</si>
  <si>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</si>
  <si>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</si>
  <si>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</si>
  <si>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</si>
  <si>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</si>
  <si>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</si>
  <si>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</si>
  <si>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</si>
  <si>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</si>
  <si>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</si>
  <si>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</si>
  <si>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</si>
  <si>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</si>
  <si>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</si>
  <si>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</si>
  <si>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</si>
  <si>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</si>
  <si>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</si>
  <si>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</si>
  <si>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</si>
  <si>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</si>
  <si>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</si>
  <si>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</si>
  <si>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</si>
  <si>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</si>
  <si>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</si>
  <si>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</si>
  <si>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</si>
  <si>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</si>
  <si>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</si>
  <si>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</si>
  <si>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</si>
  <si>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</si>
  <si>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</si>
  <si>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</si>
  <si>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</si>
  <si>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</si>
  <si>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</si>
  <si>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</si>
  <si>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</si>
  <si>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</si>
  <si>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</si>
  <si>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</si>
  <si>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</si>
  <si>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</si>
  <si>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</si>
  <si>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</si>
  <si>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</si>
  <si>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</si>
  <si>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</si>
  <si>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</si>
  <si>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</si>
  <si>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</si>
  <si>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</si>
  <si>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</si>
  <si>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</si>
  <si>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</si>
  <si>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</si>
  <si>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</si>
  <si>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</si>
  <si>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acc receivable</t>
  </si>
  <si>
    <t>Change in acc payable</t>
  </si>
  <si>
    <t>Total change in NWC</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</si>
  <si>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</si>
  <si>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</si>
  <si>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</si>
  <si>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</si>
  <si>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</si>
  <si>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</si>
  <si>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</si>
  <si>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</si>
  <si>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</si>
  <si>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</si>
  <si>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</si>
  <si>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</si>
  <si>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</si>
  <si>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</si>
  <si>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</si>
  <si>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</si>
  <si>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</si>
  <si>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</si>
  <si>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</si>
  <si>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</si>
  <si>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</si>
  <si>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</si>
  <si>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</si>
  <si>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</si>
  <si>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</si>
  <si>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</si>
  <si>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</si>
  <si>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</si>
  <si>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</si>
  <si>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</si>
  <si>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</si>
  <si>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</si>
  <si>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</si>
  <si>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</si>
  <si>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</si>
  <si>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</si>
  <si>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</si>
  <si>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</si>
  <si>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</si>
  <si>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</si>
  <si>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</si>
  <si>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</si>
  <si>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Info</t>
  </si>
  <si>
    <t>Mission:</t>
  </si>
  <si>
    <t>Auditor:</t>
  </si>
  <si>
    <t>Date:</t>
  </si>
  <si>
    <t>Q1 2026</t>
  </si>
  <si>
    <t>04.05.2026</t>
  </si>
  <si>
    <t>Goal to reach 100M DAUs in 2028</t>
  </si>
  <si>
    <t>Treasury stock</t>
  </si>
  <si>
    <t>31.03.2026</t>
  </si>
  <si>
    <t>Expecting 20% DAU growth  through 2026</t>
  </si>
  <si>
    <t>Chess has reached 7M DAUs after 1 year</t>
  </si>
  <si>
    <t>Change in RIP NWC</t>
  </si>
  <si>
    <t>Total change in NWC and less RIP</t>
  </si>
  <si>
    <t>Change in NWC less RIP</t>
  </si>
  <si>
    <t>Adjustments</t>
  </si>
  <si>
    <t>Operating Interest</t>
  </si>
  <si>
    <t>EBITDAR</t>
  </si>
  <si>
    <t>Operating lease cost</t>
  </si>
  <si>
    <t>Cost of operating lease debt</t>
  </si>
  <si>
    <t>Operating lease interest</t>
  </si>
  <si>
    <t>From 10-K Leases note</t>
  </si>
  <si>
    <t>Cost of financial lease debt</t>
  </si>
  <si>
    <t>Operating lease amortization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</si>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</sst>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xf numFmtId="3" fontId="0" fillId="8" borderId="0" xfId="0" applyNumberFormat="1" applyFill="1"/>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4">
          <cell r="C4">
            <v>112.06</v>
          </cell>
          <cell r="F4">
            <v>0.89770000000000005</v>
          </cell>
        </row>
        <row r="10">
          <cell r="C10">
            <v>45.95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row>
        <row r="27">
          <cell r="W27">
            <v>144114</v>
          </cell>
        </row>
        <row r="35">
          <cell r="W35">
            <v>9331</v>
          </cell>
        </row>
        <row r="36">
          <cell r="W36">
            <v>1997</v>
          </cell>
        </row>
        <row r="38">
          <cell r="W38">
            <v>134641</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9" dT="2026-02-17T21:45:28.65" personId="{C1D857D3-F592-2946-8369-15D188CA547D}" id="{1BFA1FE8-C472-D64B-B144-4996766B43E4}">
    <text>Actual number</text>
  </threadedComment>
  <threadedComment ref="B121"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3" dT="2026-02-17T23:24:57.80" personId="{C1D857D3-F592-2946-8369-15D188CA547D}" id="{956F0D8B-0692-4D4E-AB6C-385CCF335882}">
    <text>Can be used as accumulated amortization to calculate the year's amortization expense</text>
  </threadedComment>
  <threadedComment ref="B144" dT="2026-01-18T19:47:23.76" personId="{C1D857D3-F592-2946-8369-15D188CA547D}" id="{62BF7902-5C15-3640-A488-08AAC22928CA}">
    <text>Daily active users</text>
  </threadedComment>
  <threadedComment ref="B145" dT="2026-01-18T19:47:33.64" personId="{C1D857D3-F592-2946-8369-15D188CA547D}" id="{E9E95286-BB0F-9A48-8DD2-49D754B20E3C}">
    <text>Monthly active users</text>
  </threadedComment>
  <threadedComment ref="B168"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4" dT="2026-01-18T19:47:23.76" personId="{C1D857D3-F592-2946-8369-15D188CA547D}" id="{7DB38267-A7EF-9146-B902-E966352B6452}">
    <text>Daily active users</text>
  </threadedComment>
  <threadedComment ref="B135" dT="2026-01-18T19:47:33.64" personId="{C1D857D3-F592-2946-8369-15D188CA547D}" id="{285C01A7-F0A8-3D42-9492-4C51EDE56FEF}">
    <text>Check footnote to DAU in the letter</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O18" dT="2026-05-04T22:09:20.31" personId="{C1D857D3-F592-2946-8369-15D188CA547D}" id="{F8761907-3661-7D4B-841B-005D03D72312}">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63"/>
  <sheetViews>
    <sheetView zoomScale="200" workbookViewId="0">
      <selection activeCell="A6" sqref="A6:XFD6"/>
    </sheetView>
  </sheetViews>
  <sheetFormatPr baseColWidth="10" defaultRowHeight="16" x14ac:dyDescent="0.2"/>
  <cols>
    <col min="1" max="1" width="10.83203125" style="1"/>
    <col min="2" max="2" width="23.6640625" style="1" customWidth="1"/>
    <col min="3" max="3" width="12.6640625" style="1" bestFit="1" customWidth="1"/>
    <col min="4" max="16384" width="10.83203125" style="1"/>
  </cols>
  <sheetData>
    <row r="2" spans="2:5" x14ac:dyDescent="0.2">
      <c r="B2" s="1" t="s">
        <v>2</v>
      </c>
      <c r="C2" s="36" t="s">
        <v>105</v>
      </c>
    </row>
    <row r="3" spans="2:5" x14ac:dyDescent="0.2">
      <c r="B3" s="1" t="s">
        <v>84</v>
      </c>
      <c r="C3" s="35">
        <f>[1]Sheet1!$C$4</f>
        <v>112.06</v>
      </c>
    </row>
    <row r="4" spans="2:5" x14ac:dyDescent="0.2">
      <c r="B4" s="1" t="s">
        <v>381</v>
      </c>
      <c r="C4" s="167">
        <v>7.0000000000000007E-2</v>
      </c>
      <c r="E4" s="95"/>
    </row>
    <row r="5" spans="2:5" x14ac:dyDescent="0.2">
      <c r="B5" s="1" t="s">
        <v>384</v>
      </c>
      <c r="C5" s="167">
        <v>7.0000000000000007E-2</v>
      </c>
      <c r="E5" s="95"/>
    </row>
    <row r="7" spans="2:5" x14ac:dyDescent="0.2">
      <c r="E7" s="35"/>
    </row>
    <row r="8" spans="2:5" x14ac:dyDescent="0.2">
      <c r="B8" s="1" t="s">
        <v>3</v>
      </c>
      <c r="C8" s="1" t="s">
        <v>111</v>
      </c>
    </row>
    <row r="11" spans="2:5" x14ac:dyDescent="0.2">
      <c r="C11" s="95"/>
    </row>
    <row r="12" spans="2:5" x14ac:dyDescent="0.2">
      <c r="B12" s="1" t="s">
        <v>181</v>
      </c>
      <c r="C12" s="95">
        <f>$C$3/'Statement Q'!$N$22</f>
        <v>12.962990378181635</v>
      </c>
    </row>
    <row r="13" spans="2:5" x14ac:dyDescent="0.2">
      <c r="B13" s="1" t="s">
        <v>283</v>
      </c>
      <c r="C13" s="95">
        <f>C3/Statements!S20</f>
        <v>31.266670276719772</v>
      </c>
    </row>
    <row r="14" spans="2:5" x14ac:dyDescent="0.2">
      <c r="B14" s="1" t="s">
        <v>182</v>
      </c>
      <c r="C14" s="102">
        <f>$C$3/('Statement Q'!$N$5/'Statement Q'!$N$20)</f>
        <v>4.9830476212423234</v>
      </c>
    </row>
    <row r="16" spans="2:5" x14ac:dyDescent="0.2">
      <c r="B16" s="1" t="s">
        <v>240</v>
      </c>
      <c r="C16" s="20">
        <f>C3*'Statement Q'!N118</f>
        <v>5221211.58</v>
      </c>
    </row>
    <row r="17" spans="1:4" x14ac:dyDescent="0.2">
      <c r="B17" s="1" t="s">
        <v>241</v>
      </c>
      <c r="C17" s="20">
        <f>Statements!S23</f>
        <v>1251610</v>
      </c>
    </row>
    <row r="18" spans="1:4" x14ac:dyDescent="0.2">
      <c r="B18" s="1" t="s">
        <v>237</v>
      </c>
      <c r="C18" s="20">
        <v>0</v>
      </c>
    </row>
    <row r="19" spans="1:4" x14ac:dyDescent="0.2">
      <c r="B19" s="1" t="s">
        <v>242</v>
      </c>
      <c r="C19" s="20">
        <f>C16+C18-C17</f>
        <v>3969601.58</v>
      </c>
    </row>
    <row r="20" spans="1:4" x14ac:dyDescent="0.2">
      <c r="B20" s="1" t="s">
        <v>243</v>
      </c>
      <c r="C20" s="95">
        <f>C17/'Statement Q'!N118</f>
        <v>26.862618848324857</v>
      </c>
    </row>
    <row r="22" spans="1:4" x14ac:dyDescent="0.2">
      <c r="B22" s="1" t="s">
        <v>284</v>
      </c>
      <c r="C22" s="180">
        <f>_xlfn.RRI(5,Statements!C5,Statements!H5)</f>
        <v>0.45032461021270742</v>
      </c>
      <c r="D22" s="180"/>
    </row>
    <row r="23" spans="1:4" x14ac:dyDescent="0.2">
      <c r="B23" s="1" t="s">
        <v>286</v>
      </c>
      <c r="C23" s="180">
        <f>(Statements!H18-Statements!C18)/ABS(Statements!C18)</f>
        <v>11.577459432048682</v>
      </c>
    </row>
    <row r="24" spans="1:4" x14ac:dyDescent="0.2">
      <c r="B24" s="1" t="s">
        <v>285</v>
      </c>
      <c r="C24" s="180">
        <f>(Statements!H20-Statements!C20)/ABS(Statements!C20)</f>
        <v>3.7852801278278343</v>
      </c>
    </row>
    <row r="29" spans="1:4" x14ac:dyDescent="0.2">
      <c r="B29" s="1" t="s">
        <v>297</v>
      </c>
    </row>
    <row r="30" spans="1:4" x14ac:dyDescent="0.2">
      <c r="A30"/>
      <c r="B30" s="1" t="s">
        <v>298</v>
      </c>
    </row>
    <row r="31" spans="1:4" x14ac:dyDescent="0.2">
      <c r="B31" s="1" t="s">
        <v>299</v>
      </c>
    </row>
    <row r="32" spans="1:4" x14ac:dyDescent="0.2">
      <c r="B32" s="1" t="s">
        <v>303</v>
      </c>
    </row>
    <row r="34" spans="2:4" x14ac:dyDescent="0.2">
      <c r="B34" s="1" t="s">
        <v>300</v>
      </c>
      <c r="C34" s="20">
        <v>7278</v>
      </c>
    </row>
    <row r="35" spans="2:4" x14ac:dyDescent="0.2">
      <c r="B35" s="1" t="s">
        <v>301</v>
      </c>
      <c r="C35" s="20">
        <f>'Statement Q'!N118</f>
        <v>46593</v>
      </c>
    </row>
    <row r="36" spans="2:4" x14ac:dyDescent="0.2">
      <c r="B36" s="1" t="s">
        <v>302</v>
      </c>
      <c r="C36" s="180">
        <f>C34/C35</f>
        <v>0.15620372158907991</v>
      </c>
    </row>
    <row r="38" spans="2:4" x14ac:dyDescent="0.2">
      <c r="B38" s="1" t="s">
        <v>304</v>
      </c>
    </row>
    <row r="39" spans="2:4" x14ac:dyDescent="0.2">
      <c r="B39" s="1" t="s">
        <v>305</v>
      </c>
    </row>
    <row r="40" spans="2:4" x14ac:dyDescent="0.2">
      <c r="B40" s="1" t="s">
        <v>306</v>
      </c>
    </row>
    <row r="41" spans="2:4" x14ac:dyDescent="0.2">
      <c r="B41" s="1" t="s">
        <v>307</v>
      </c>
    </row>
    <row r="42" spans="2:4" x14ac:dyDescent="0.2">
      <c r="B42" s="1" t="s">
        <v>308</v>
      </c>
    </row>
    <row r="43" spans="2:4" x14ac:dyDescent="0.2">
      <c r="B43" s="1" t="s">
        <v>314</v>
      </c>
    </row>
    <row r="45" spans="2:4" x14ac:dyDescent="0.2">
      <c r="B45" s="1" t="s">
        <v>235</v>
      </c>
      <c r="C45" s="20">
        <f>Statements!S12*(1-'Statement Y'!G118)</f>
        <v>135496.41977987604</v>
      </c>
    </row>
    <row r="46" spans="2:4" x14ac:dyDescent="0.2">
      <c r="B46" s="1" t="s">
        <v>310</v>
      </c>
      <c r="C46" s="20">
        <f>Statements!S38-Statements!S23</f>
        <v>806384</v>
      </c>
    </row>
    <row r="47" spans="2:4" x14ac:dyDescent="0.2">
      <c r="B47" s="1" t="s">
        <v>311</v>
      </c>
      <c r="C47" s="20">
        <f>SUM(Statements!S39:S42)</f>
        <v>574114</v>
      </c>
    </row>
    <row r="48" spans="2:4" x14ac:dyDescent="0.2">
      <c r="B48" s="1" t="s">
        <v>312</v>
      </c>
      <c r="C48" s="20">
        <f>C46-C47</f>
        <v>232270</v>
      </c>
      <c r="D48" s="20"/>
    </row>
    <row r="49" spans="1:7" x14ac:dyDescent="0.2">
      <c r="B49" s="1" t="s">
        <v>309</v>
      </c>
      <c r="C49" s="180">
        <f>C45/C48</f>
        <v>0.58335738485330024</v>
      </c>
      <c r="D49" s="180"/>
    </row>
    <row r="51" spans="1:7" x14ac:dyDescent="0.2">
      <c r="C51" s="108"/>
    </row>
    <row r="52" spans="1:7" x14ac:dyDescent="0.2">
      <c r="A52" s="224" t="s">
        <v>363</v>
      </c>
      <c r="B52" s="224"/>
      <c r="C52" s="224"/>
      <c r="D52" s="224"/>
      <c r="E52" s="224"/>
      <c r="F52" s="224"/>
      <c r="G52" s="224"/>
    </row>
    <row r="54" spans="1:7" x14ac:dyDescent="0.2">
      <c r="A54" s="1" t="s">
        <v>364</v>
      </c>
    </row>
    <row r="55" spans="1:7" x14ac:dyDescent="0.2">
      <c r="A55" s="1" t="s">
        <v>365</v>
      </c>
    </row>
    <row r="58" spans="1:7" x14ac:dyDescent="0.2">
      <c r="A58" s="224" t="s">
        <v>297</v>
      </c>
      <c r="B58" s="224"/>
      <c r="C58" s="224"/>
      <c r="D58" s="224"/>
      <c r="E58" s="224"/>
      <c r="F58" s="224"/>
      <c r="G58" s="224"/>
    </row>
    <row r="59" spans="1:7" ht="8" customHeight="1" x14ac:dyDescent="0.2"/>
    <row r="60" spans="1:7" x14ac:dyDescent="0.2">
      <c r="A60" s="7" t="s">
        <v>366</v>
      </c>
      <c r="B60" s="7" t="s">
        <v>368</v>
      </c>
      <c r="C60" s="7" t="s">
        <v>367</v>
      </c>
      <c r="D60" s="8"/>
    </row>
    <row r="61" spans="1:7" x14ac:dyDescent="0.2">
      <c r="B61" s="1" t="s">
        <v>369</v>
      </c>
    </row>
    <row r="62" spans="1:7" x14ac:dyDescent="0.2">
      <c r="B62" s="1" t="s">
        <v>372</v>
      </c>
    </row>
    <row r="63" spans="1:7" x14ac:dyDescent="0.2">
      <c r="B63" s="1" t="s">
        <v>373</v>
      </c>
    </row>
  </sheetData>
  <mergeCells count="2">
    <mergeCell ref="A52:G52"/>
    <mergeCell ref="A58:G5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O181"/>
  <sheetViews>
    <sheetView tabSelected="1" zoomScale="166" zoomScaleNormal="150" workbookViewId="0">
      <pane xSplit="2" ySplit="3" topLeftCell="C172" activePane="bottomRight" state="frozen"/>
      <selection pane="topRight" activeCell="C1" sqref="C1"/>
      <selection pane="bottomLeft" activeCell="A4" sqref="A4"/>
      <selection pane="bottomRight" activeCell="C179" sqref="C179"/>
    </sheetView>
  </sheetViews>
  <sheetFormatPr baseColWidth="10" defaultRowHeight="16" outlineLevelRow="2" outlineLevelCol="1" x14ac:dyDescent="0.2"/>
  <cols>
    <col min="1" max="1" width="1.332031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ht="7" customHeight="1" x14ac:dyDescent="0.2">
      <c r="B1" s="1"/>
    </row>
    <row r="2" spans="1:12" s="3" customFormat="1" x14ac:dyDescent="0.2">
      <c r="A2" s="2"/>
      <c r="B2" s="61" t="s">
        <v>0</v>
      </c>
      <c r="C2" s="3" t="s">
        <v>107</v>
      </c>
      <c r="D2" s="3" t="s">
        <v>106</v>
      </c>
      <c r="E2" s="3" t="s">
        <v>218</v>
      </c>
      <c r="F2" s="3" t="s">
        <v>135</v>
      </c>
      <c r="G2" s="3" t="s">
        <v>140</v>
      </c>
      <c r="H2" s="3" t="s">
        <v>244</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108</v>
      </c>
      <c r="C9" s="27">
        <v>34983</v>
      </c>
      <c r="D9" s="27">
        <v>59170</v>
      </c>
      <c r="E9" s="27">
        <v>66967</v>
      </c>
      <c r="F9" s="27">
        <v>75788</v>
      </c>
      <c r="G9" s="27">
        <v>90494</v>
      </c>
      <c r="H9" s="27">
        <v>125677</v>
      </c>
      <c r="I9" s="27"/>
      <c r="J9" s="27"/>
      <c r="K9" s="27"/>
      <c r="L9" s="27"/>
    </row>
    <row r="10" spans="1:12" outlineLevel="1" x14ac:dyDescent="0.2">
      <c r="B10" s="12" t="s">
        <v>109</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110</v>
      </c>
      <c r="C13" s="27">
        <v>157</v>
      </c>
      <c r="D13" s="27">
        <v>318</v>
      </c>
      <c r="E13" s="27">
        <v>131</v>
      </c>
      <c r="F13" s="27">
        <v>590</v>
      </c>
      <c r="G13" s="27">
        <v>1267</v>
      </c>
      <c r="H13" s="27">
        <v>3382</v>
      </c>
      <c r="I13" s="27"/>
      <c r="J13" s="27"/>
      <c r="K13" s="27"/>
      <c r="L13" s="27"/>
    </row>
    <row r="14" spans="1:12" outlineLevel="1" x14ac:dyDescent="0.2">
      <c r="B14" s="12" t="s">
        <v>130</v>
      </c>
      <c r="C14" s="27">
        <v>-85</v>
      </c>
      <c r="D14" s="27">
        <v>-288</v>
      </c>
      <c r="E14" s="27">
        <v>-807</v>
      </c>
      <c r="F14" s="27">
        <v>-645</v>
      </c>
      <c r="G14" s="27">
        <v>-4253</v>
      </c>
      <c r="H14" s="27">
        <v>-1773</v>
      </c>
      <c r="I14" s="27"/>
      <c r="J14" s="27"/>
      <c r="K14" s="27"/>
      <c r="L14" s="27"/>
    </row>
    <row r="15" spans="1:12" outlineLevel="1" x14ac:dyDescent="0.2">
      <c r="B15" s="12" t="s">
        <v>131</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82</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141</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112</v>
      </c>
      <c r="C28" s="27">
        <v>13585</v>
      </c>
      <c r="D28" s="27">
        <v>24219</v>
      </c>
      <c r="E28" s="27">
        <v>35041</v>
      </c>
      <c r="F28" s="27">
        <v>53931</v>
      </c>
      <c r="G28" s="27">
        <v>80162</v>
      </c>
      <c r="H28" s="27">
        <v>102663</v>
      </c>
      <c r="I28" s="27"/>
      <c r="J28" s="27"/>
      <c r="K28" s="27"/>
      <c r="L28" s="27"/>
    </row>
    <row r="29" spans="1:12" outlineLevel="1" x14ac:dyDescent="0.2">
      <c r="B29" s="9" t="s">
        <v>150</v>
      </c>
      <c r="C29" s="27">
        <v>0</v>
      </c>
      <c r="D29" s="27">
        <v>0</v>
      </c>
      <c r="E29" s="27">
        <v>0</v>
      </c>
      <c r="F29" s="27">
        <v>0</v>
      </c>
      <c r="G29" s="27">
        <v>27</v>
      </c>
      <c r="H29" s="27">
        <v>14067</v>
      </c>
      <c r="I29" s="27"/>
      <c r="J29" s="27"/>
      <c r="K29" s="27"/>
      <c r="L29" s="27"/>
    </row>
    <row r="30" spans="1:12" outlineLevel="1" x14ac:dyDescent="0.2">
      <c r="B30" s="9" t="s">
        <v>132</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133</v>
      </c>
      <c r="C34" s="27">
        <v>2296</v>
      </c>
      <c r="D34" s="27">
        <v>4566</v>
      </c>
      <c r="E34" s="27">
        <v>8497</v>
      </c>
      <c r="F34" s="27">
        <v>15995</v>
      </c>
      <c r="G34" s="27">
        <v>19899</v>
      </c>
      <c r="H34" s="27">
        <v>28309</v>
      </c>
      <c r="I34" s="27"/>
      <c r="J34" s="27"/>
      <c r="K34" s="27"/>
      <c r="L34" s="27"/>
    </row>
    <row r="35" spans="1:12" outlineLevel="1" x14ac:dyDescent="0.2">
      <c r="B35" s="9" t="s">
        <v>114</v>
      </c>
      <c r="C35" s="27">
        <v>8073</v>
      </c>
      <c r="D35" s="27">
        <v>28369</v>
      </c>
      <c r="E35" s="27">
        <v>22508</v>
      </c>
      <c r="F35" s="27">
        <v>19103</v>
      </c>
      <c r="G35" s="27">
        <v>47495</v>
      </c>
      <c r="H35" s="27">
        <v>80380</v>
      </c>
      <c r="I35" s="27"/>
      <c r="J35" s="27"/>
      <c r="K35" s="27"/>
      <c r="L35" s="27"/>
    </row>
    <row r="36" spans="1:12" outlineLevel="1" x14ac:dyDescent="0.2">
      <c r="B36" s="9" t="s">
        <v>142</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115</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116</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117</v>
      </c>
      <c r="C47" s="27">
        <v>8131</v>
      </c>
      <c r="D47" s="27">
        <v>29124</v>
      </c>
      <c r="E47" s="27">
        <v>23503</v>
      </c>
      <c r="F47" s="27">
        <v>21094</v>
      </c>
      <c r="G47" s="27">
        <v>54656</v>
      </c>
      <c r="H47" s="27">
        <v>93779</v>
      </c>
      <c r="I47" s="27"/>
      <c r="J47" s="27"/>
      <c r="K47" s="27"/>
      <c r="L47" s="27"/>
    </row>
    <row r="48" spans="1:12" outlineLevel="1" x14ac:dyDescent="0.2">
      <c r="B48" s="9" t="s">
        <v>143</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370</v>
      </c>
      <c r="C52" s="27">
        <v>0</v>
      </c>
      <c r="D52" s="27">
        <v>0</v>
      </c>
      <c r="E52" s="27">
        <v>0</v>
      </c>
      <c r="F52" s="27">
        <v>0</v>
      </c>
      <c r="G52" s="27">
        <v>0</v>
      </c>
      <c r="H52" s="27">
        <v>0</v>
      </c>
      <c r="I52" s="27"/>
      <c r="J52" s="27"/>
      <c r="K52" s="27"/>
      <c r="L52" s="27"/>
    </row>
    <row r="53" spans="1:12" outlineLevel="1" x14ac:dyDescent="0.2">
      <c r="B53" s="9" t="s">
        <v>118</v>
      </c>
      <c r="C53" s="27">
        <v>30087</v>
      </c>
      <c r="D53" s="27">
        <v>683966</v>
      </c>
      <c r="E53" s="27">
        <v>772562</v>
      </c>
      <c r="F53" s="27">
        <v>869918</v>
      </c>
      <c r="G53" s="27">
        <v>950393</v>
      </c>
      <c r="H53" s="27">
        <v>1058783</v>
      </c>
      <c r="I53" s="27"/>
      <c r="J53" s="27"/>
      <c r="K53" s="27"/>
      <c r="L53" s="27"/>
    </row>
    <row r="54" spans="1:12" outlineLevel="1" x14ac:dyDescent="0.2">
      <c r="B54" s="9" t="s">
        <v>34</v>
      </c>
      <c r="C54" s="27">
        <v>-110779</v>
      </c>
      <c r="D54" s="27">
        <v>-170914</v>
      </c>
      <c r="E54" s="27">
        <v>-230488</v>
      </c>
      <c r="F54" s="27">
        <v>-214421</v>
      </c>
      <c r="G54" s="27">
        <v>-125847</v>
      </c>
      <c r="H54" s="27">
        <v>288218</v>
      </c>
      <c r="I54" s="27"/>
      <c r="J54" s="27"/>
      <c r="K54" s="27"/>
      <c r="L54" s="27"/>
    </row>
    <row r="55" spans="1:12" s="52" customFormat="1" outlineLevel="1" x14ac:dyDescent="0.2">
      <c r="A55" s="7"/>
      <c r="B55" s="11" t="s">
        <v>35</v>
      </c>
      <c r="C55" s="55">
        <v>-80691</v>
      </c>
      <c r="D55" s="55">
        <v>513056</v>
      </c>
      <c r="E55" s="55">
        <v>542078</v>
      </c>
      <c r="F55" s="55">
        <v>655501</v>
      </c>
      <c r="G55" s="55">
        <v>824550</v>
      </c>
      <c r="H55" s="55">
        <v>1347006</v>
      </c>
      <c r="I55" s="55"/>
      <c r="J55" s="55"/>
      <c r="K55" s="55"/>
      <c r="L55" s="55"/>
    </row>
    <row r="56" spans="1:12" s="57" customFormat="1" ht="17" outlineLevel="1" thickBot="1" x14ac:dyDescent="0.25">
      <c r="A56" s="7"/>
      <c r="B56" s="19" t="s">
        <v>36</v>
      </c>
      <c r="C56" s="58">
        <v>175739</v>
      </c>
      <c r="D56" s="58">
        <v>661311</v>
      </c>
      <c r="E56" s="58">
        <v>747347</v>
      </c>
      <c r="F56" s="58">
        <v>953957</v>
      </c>
      <c r="G56" s="58">
        <v>1301728</v>
      </c>
      <c r="H56" s="58">
        <v>1992182</v>
      </c>
      <c r="I56" s="58"/>
      <c r="J56" s="58"/>
      <c r="K56" s="58"/>
      <c r="L56" s="58"/>
    </row>
    <row r="57" spans="1:12" x14ac:dyDescent="0.2">
      <c r="B57" s="1"/>
    </row>
    <row r="58" spans="1:12" s="14" customFormat="1" ht="17" thickBot="1" x14ac:dyDescent="0.25">
      <c r="A58" s="4"/>
      <c r="B58" s="15" t="s">
        <v>39</v>
      </c>
    </row>
    <row r="59" spans="1:12" outlineLevel="1" x14ac:dyDescent="0.2">
      <c r="B59" s="9" t="s">
        <v>14</v>
      </c>
      <c r="C59" s="20">
        <f t="shared" ref="C59:L59" si="9">C18</f>
        <v>-15776</v>
      </c>
      <c r="D59" s="20">
        <f t="shared" si="9"/>
        <v>-60135</v>
      </c>
      <c r="E59" s="20">
        <f t="shared" si="9"/>
        <v>-59574</v>
      </c>
      <c r="F59" s="20">
        <f t="shared" si="9"/>
        <v>16067</v>
      </c>
      <c r="G59" s="20">
        <f t="shared" si="9"/>
        <v>88574</v>
      </c>
      <c r="H59" s="20">
        <f t="shared" si="9"/>
        <v>414065</v>
      </c>
      <c r="I59" s="20">
        <f t="shared" si="9"/>
        <v>0</v>
      </c>
      <c r="J59" s="20">
        <f t="shared" si="9"/>
        <v>0</v>
      </c>
      <c r="K59" s="20">
        <f t="shared" si="9"/>
        <v>0</v>
      </c>
      <c r="L59" s="20">
        <f t="shared" si="9"/>
        <v>0</v>
      </c>
    </row>
    <row r="60" spans="1:12" outlineLevel="1" x14ac:dyDescent="0.2">
      <c r="B60" s="9" t="s">
        <v>40</v>
      </c>
      <c r="C60" s="27">
        <v>2256</v>
      </c>
      <c r="D60" s="27">
        <v>2726</v>
      </c>
      <c r="E60" s="27">
        <v>4870</v>
      </c>
      <c r="F60" s="27">
        <v>7095</v>
      </c>
      <c r="G60" s="27">
        <v>10854</v>
      </c>
      <c r="H60" s="27">
        <v>14391</v>
      </c>
      <c r="I60" s="27"/>
      <c r="J60" s="27"/>
      <c r="K60" s="27"/>
      <c r="L60" s="27"/>
    </row>
    <row r="61" spans="1:12" outlineLevel="1" x14ac:dyDescent="0.2">
      <c r="B61" s="9" t="s">
        <v>155</v>
      </c>
      <c r="C61" s="27">
        <v>0</v>
      </c>
      <c r="D61" s="27">
        <v>0</v>
      </c>
      <c r="E61" s="27">
        <v>0</v>
      </c>
      <c r="F61" s="27">
        <v>0</v>
      </c>
      <c r="G61" s="27">
        <v>0</v>
      </c>
      <c r="H61" s="27">
        <v>-225185</v>
      </c>
      <c r="I61" s="27"/>
      <c r="J61" s="27"/>
      <c r="K61" s="27"/>
      <c r="L61" s="27"/>
    </row>
    <row r="62" spans="1:12" outlineLevel="1" x14ac:dyDescent="0.2">
      <c r="B62" s="12" t="s">
        <v>119</v>
      </c>
      <c r="C62" s="27">
        <v>17031</v>
      </c>
      <c r="D62" s="27">
        <v>40804</v>
      </c>
      <c r="E62" s="27">
        <v>73820</v>
      </c>
      <c r="F62" s="27">
        <v>95221</v>
      </c>
      <c r="G62" s="27">
        <v>110477</v>
      </c>
      <c r="H62" s="27">
        <v>137437</v>
      </c>
      <c r="I62" s="27"/>
      <c r="J62" s="27"/>
      <c r="K62" s="27"/>
      <c r="L62" s="27"/>
    </row>
    <row r="63" spans="1:12" outlineLevel="1" x14ac:dyDescent="0.2">
      <c r="B63" s="12" t="s">
        <v>144</v>
      </c>
      <c r="C63" s="27">
        <v>0</v>
      </c>
      <c r="D63" s="27">
        <v>0</v>
      </c>
      <c r="E63" s="27">
        <v>0</v>
      </c>
      <c r="F63" s="27">
        <v>0</v>
      </c>
      <c r="G63" s="27">
        <v>-551</v>
      </c>
      <c r="H63" s="27">
        <v>-1851</v>
      </c>
      <c r="I63" s="27"/>
      <c r="J63" s="27"/>
      <c r="K63" s="27"/>
      <c r="L63" s="27"/>
    </row>
    <row r="64" spans="1:12" outlineLevel="1" x14ac:dyDescent="0.2">
      <c r="B64" s="12" t="s">
        <v>136</v>
      </c>
      <c r="C64" s="27">
        <v>0</v>
      </c>
      <c r="D64" s="27">
        <v>0</v>
      </c>
      <c r="E64" s="27">
        <v>0</v>
      </c>
      <c r="F64" s="27">
        <v>-100</v>
      </c>
      <c r="G64" s="27">
        <v>0</v>
      </c>
      <c r="H64" s="27">
        <v>0</v>
      </c>
      <c r="I64" s="27"/>
      <c r="J64" s="27"/>
      <c r="K64" s="27"/>
      <c r="L64" s="27"/>
    </row>
    <row r="65" spans="1:12" outlineLevel="1" x14ac:dyDescent="0.2">
      <c r="B65" s="12" t="s">
        <v>137</v>
      </c>
      <c r="C65" s="27">
        <v>0</v>
      </c>
      <c r="D65" s="27">
        <v>0</v>
      </c>
      <c r="E65" s="27">
        <v>0</v>
      </c>
      <c r="F65" s="27">
        <v>433</v>
      </c>
      <c r="G65" s="27">
        <v>0</v>
      </c>
      <c r="H65" s="27">
        <v>0</v>
      </c>
      <c r="I65" s="27"/>
      <c r="J65" s="27"/>
      <c r="K65" s="27"/>
      <c r="L65" s="27"/>
    </row>
    <row r="66" spans="1:12" outlineLevel="1" x14ac:dyDescent="0.2">
      <c r="B66" s="12" t="s">
        <v>145</v>
      </c>
      <c r="C66" s="27">
        <v>0</v>
      </c>
      <c r="D66" s="27">
        <v>0</v>
      </c>
      <c r="E66" s="27">
        <v>0</v>
      </c>
      <c r="F66" s="27">
        <v>0</v>
      </c>
      <c r="G66" s="27">
        <v>238</v>
      </c>
      <c r="H66" s="27">
        <v>0</v>
      </c>
      <c r="I66" s="27"/>
      <c r="J66" s="27"/>
      <c r="K66" s="27"/>
      <c r="L66" s="27"/>
    </row>
    <row r="67" spans="1:12" outlineLevel="1" x14ac:dyDescent="0.2">
      <c r="B67" s="9" t="s">
        <v>120</v>
      </c>
      <c r="C67" s="27">
        <v>28485</v>
      </c>
      <c r="D67" s="27">
        <v>43475</v>
      </c>
      <c r="E67" s="27">
        <v>59283</v>
      </c>
      <c r="F67" s="27">
        <v>91642</v>
      </c>
      <c r="G67" s="27">
        <v>123692</v>
      </c>
      <c r="H67" s="27">
        <v>123321</v>
      </c>
      <c r="I67" s="27"/>
      <c r="J67" s="27"/>
      <c r="K67" s="27"/>
      <c r="L67" s="27"/>
    </row>
    <row r="68" spans="1:12" outlineLevel="1" x14ac:dyDescent="0.2">
      <c r="B68" s="9" t="s">
        <v>41</v>
      </c>
      <c r="C68" s="27">
        <v>-10445</v>
      </c>
      <c r="D68" s="27">
        <v>-12713</v>
      </c>
      <c r="E68" s="27">
        <v>-13565</v>
      </c>
      <c r="F68" s="27">
        <v>-42247</v>
      </c>
      <c r="G68" s="27">
        <v>-39917</v>
      </c>
      <c r="H68" s="27">
        <v>-33904</v>
      </c>
      <c r="I68" s="27"/>
      <c r="J68" s="27"/>
      <c r="K68" s="27"/>
      <c r="L68" s="27"/>
    </row>
    <row r="69" spans="1:12" outlineLevel="1" x14ac:dyDescent="0.2">
      <c r="B69" s="9" t="s">
        <v>121</v>
      </c>
      <c r="C69" s="27">
        <v>-6653</v>
      </c>
      <c r="D69" s="27">
        <v>-10634</v>
      </c>
      <c r="E69" s="27">
        <v>-10822</v>
      </c>
      <c r="F69" s="27">
        <v>-18890</v>
      </c>
      <c r="G69" s="27">
        <v>-26231</v>
      </c>
      <c r="H69" s="27">
        <v>-22501</v>
      </c>
      <c r="I69" s="27"/>
      <c r="J69" s="27"/>
      <c r="K69" s="27"/>
      <c r="L69" s="27"/>
    </row>
    <row r="70" spans="1:12" outlineLevel="1" x14ac:dyDescent="0.2">
      <c r="B70" s="9" t="s">
        <v>122</v>
      </c>
      <c r="C70" s="27">
        <v>-1712</v>
      </c>
      <c r="D70" s="27">
        <v>-4048</v>
      </c>
      <c r="E70" s="27">
        <v>-1415</v>
      </c>
      <c r="F70" s="27">
        <v>-48</v>
      </c>
      <c r="G70" s="27">
        <v>-7570</v>
      </c>
      <c r="H70" s="27">
        <v>-15791</v>
      </c>
      <c r="I70" s="27"/>
      <c r="J70" s="27"/>
      <c r="K70" s="27"/>
      <c r="L70" s="27"/>
    </row>
    <row r="71" spans="1:12" outlineLevel="1" x14ac:dyDescent="0.2">
      <c r="B71" s="9" t="s">
        <v>42</v>
      </c>
      <c r="C71" s="27">
        <v>-1615</v>
      </c>
      <c r="D71" s="27">
        <v>5622</v>
      </c>
      <c r="E71" s="27">
        <v>-6655</v>
      </c>
      <c r="F71" s="27">
        <v>1261</v>
      </c>
      <c r="G71" s="27">
        <v>3934</v>
      </c>
      <c r="H71" s="27">
        <v>1617</v>
      </c>
      <c r="I71" s="27"/>
      <c r="J71" s="27"/>
      <c r="K71" s="27"/>
      <c r="L71" s="27"/>
    </row>
    <row r="72" spans="1:12" outlineLevel="1" x14ac:dyDescent="0.2">
      <c r="B72" s="9" t="s">
        <v>123</v>
      </c>
      <c r="C72" s="27">
        <v>6213</v>
      </c>
      <c r="D72" s="27">
        <v>3708</v>
      </c>
      <c r="E72" s="27">
        <v>8720</v>
      </c>
      <c r="F72" s="27">
        <v>3444</v>
      </c>
      <c r="G72" s="27">
        <v>16850</v>
      </c>
      <c r="H72" s="27">
        <v>255</v>
      </c>
      <c r="I72" s="27"/>
      <c r="J72" s="27"/>
      <c r="K72" s="27"/>
      <c r="L72" s="27"/>
    </row>
    <row r="73" spans="1:12" outlineLevel="1" x14ac:dyDescent="0.2">
      <c r="B73" s="9" t="s">
        <v>124</v>
      </c>
      <c r="C73" s="27">
        <v>-76</v>
      </c>
      <c r="D73" s="27">
        <v>365</v>
      </c>
      <c r="E73" s="27">
        <v>-1006</v>
      </c>
      <c r="F73" s="27">
        <v>-264</v>
      </c>
      <c r="G73" s="27">
        <v>5163</v>
      </c>
      <c r="H73" s="27">
        <v>-4031</v>
      </c>
      <c r="I73" s="27"/>
      <c r="J73" s="27"/>
      <c r="K73" s="27"/>
      <c r="L73" s="27"/>
    </row>
    <row r="74" spans="1:12" s="53" customFormat="1" outlineLevel="1" x14ac:dyDescent="0.2">
      <c r="A74" s="7"/>
      <c r="B74" s="17" t="s">
        <v>43</v>
      </c>
      <c r="C74" s="51">
        <v>17708</v>
      </c>
      <c r="D74" s="51">
        <v>9170</v>
      </c>
      <c r="E74" s="51">
        <v>53656</v>
      </c>
      <c r="F74" s="51">
        <v>153614</v>
      </c>
      <c r="G74" s="51">
        <v>285513</v>
      </c>
      <c r="H74" s="51">
        <v>387823</v>
      </c>
      <c r="I74" s="51"/>
      <c r="J74" s="51"/>
      <c r="K74" s="51"/>
      <c r="L74" s="51"/>
    </row>
    <row r="75" spans="1:12" outlineLevel="1" x14ac:dyDescent="0.2">
      <c r="B75" s="9" t="s">
        <v>44</v>
      </c>
      <c r="C75" s="27">
        <v>-3376</v>
      </c>
      <c r="D75" s="27">
        <v>-3586</v>
      </c>
      <c r="E75" s="27">
        <v>-5562</v>
      </c>
      <c r="F75" s="27">
        <v>-3191</v>
      </c>
      <c r="G75" s="27">
        <v>-12116</v>
      </c>
      <c r="H75" s="27">
        <v>-18096</v>
      </c>
      <c r="I75" s="27"/>
      <c r="J75" s="27"/>
      <c r="K75" s="27"/>
      <c r="L75" s="27"/>
    </row>
    <row r="76" spans="1:12" outlineLevel="1" x14ac:dyDescent="0.2">
      <c r="B76" s="9" t="s">
        <v>146</v>
      </c>
      <c r="C76" s="27">
        <v>0</v>
      </c>
      <c r="D76" s="27">
        <v>0</v>
      </c>
      <c r="E76" s="27">
        <v>0</v>
      </c>
      <c r="F76" s="27">
        <v>0</v>
      </c>
      <c r="G76" s="27">
        <v>-193300</v>
      </c>
      <c r="H76" s="27">
        <v>-162926</v>
      </c>
      <c r="I76" s="27"/>
      <c r="J76" s="27"/>
      <c r="K76" s="27"/>
      <c r="L76" s="27"/>
    </row>
    <row r="77" spans="1:12" outlineLevel="1" x14ac:dyDescent="0.2">
      <c r="B77" s="9" t="s">
        <v>147</v>
      </c>
      <c r="C77" s="27">
        <v>0</v>
      </c>
      <c r="D77" s="27">
        <v>0</v>
      </c>
      <c r="E77" s="27">
        <v>0</v>
      </c>
      <c r="F77" s="27">
        <v>0</v>
      </c>
      <c r="G77" s="27">
        <v>3705</v>
      </c>
      <c r="H77" s="27">
        <v>115747</v>
      </c>
      <c r="I77" s="27"/>
      <c r="J77" s="27"/>
      <c r="K77" s="27"/>
      <c r="L77" s="27"/>
    </row>
    <row r="78" spans="1:12" outlineLevel="1" x14ac:dyDescent="0.2">
      <c r="B78" s="9" t="s">
        <v>134</v>
      </c>
      <c r="C78" s="27">
        <v>0</v>
      </c>
      <c r="D78" s="27">
        <v>0</v>
      </c>
      <c r="E78" s="27">
        <v>-4050</v>
      </c>
      <c r="F78" s="27">
        <v>0</v>
      </c>
      <c r="G78" s="27">
        <v>-6595</v>
      </c>
      <c r="H78" s="27">
        <v>-33100</v>
      </c>
      <c r="I78" s="27"/>
      <c r="J78" s="27"/>
      <c r="K78" s="27"/>
      <c r="L78" s="27"/>
    </row>
    <row r="79" spans="1:12" outlineLevel="1" x14ac:dyDescent="0.2">
      <c r="B79" s="9" t="s">
        <v>138</v>
      </c>
      <c r="C79" s="27">
        <v>0</v>
      </c>
      <c r="D79" s="27">
        <v>0</v>
      </c>
      <c r="E79" s="27">
        <v>0</v>
      </c>
      <c r="F79" s="27">
        <v>100</v>
      </c>
      <c r="G79" s="27">
        <v>0</v>
      </c>
      <c r="H79" s="27">
        <v>0</v>
      </c>
      <c r="I79" s="27"/>
      <c r="J79" s="27"/>
      <c r="K79" s="27"/>
      <c r="L79" s="27"/>
    </row>
    <row r="80" spans="1:12" outlineLevel="1" x14ac:dyDescent="0.2">
      <c r="B80" s="12" t="s">
        <v>113</v>
      </c>
      <c r="C80" s="27">
        <v>-638</v>
      </c>
      <c r="D80" s="27">
        <v>-2620</v>
      </c>
      <c r="E80" s="27">
        <v>-4562</v>
      </c>
      <c r="F80" s="27">
        <v>-10493</v>
      </c>
      <c r="G80" s="27">
        <v>-9024</v>
      </c>
      <c r="H80" s="27">
        <v>-9303</v>
      </c>
      <c r="I80" s="27"/>
      <c r="J80" s="27"/>
      <c r="K80" s="27"/>
      <c r="L80" s="27"/>
    </row>
    <row r="81" spans="1:12" s="53" customFormat="1" outlineLevel="1" x14ac:dyDescent="0.2">
      <c r="A81" s="7"/>
      <c r="B81" s="17" t="s">
        <v>45</v>
      </c>
      <c r="C81" s="51">
        <v>-4014</v>
      </c>
      <c r="D81" s="51">
        <v>-6206</v>
      </c>
      <c r="E81" s="51">
        <v>-14174</v>
      </c>
      <c r="F81" s="51">
        <v>-13584</v>
      </c>
      <c r="G81" s="51">
        <v>-217330</v>
      </c>
      <c r="H81" s="51">
        <v>-107678</v>
      </c>
      <c r="I81" s="51"/>
      <c r="J81" s="51"/>
      <c r="K81" s="51"/>
      <c r="L81" s="51"/>
    </row>
    <row r="82" spans="1:12" outlineLevel="1" x14ac:dyDescent="0.2">
      <c r="B82" s="9" t="s">
        <v>125</v>
      </c>
      <c r="C82" s="27">
        <v>0</v>
      </c>
      <c r="D82" s="27">
        <v>426191</v>
      </c>
      <c r="E82" s="27">
        <v>0</v>
      </c>
      <c r="F82" s="27">
        <v>0</v>
      </c>
      <c r="G82" s="27">
        <v>0</v>
      </c>
      <c r="H82" s="27">
        <v>0</v>
      </c>
      <c r="I82" s="27"/>
      <c r="J82" s="27"/>
      <c r="K82" s="27"/>
      <c r="L82" s="27"/>
    </row>
    <row r="83" spans="1:12" outlineLevel="1" x14ac:dyDescent="0.2">
      <c r="B83" s="9" t="s">
        <v>126</v>
      </c>
      <c r="C83" s="27">
        <v>44923</v>
      </c>
      <c r="D83" s="27">
        <v>0</v>
      </c>
      <c r="E83" s="27">
        <v>0</v>
      </c>
      <c r="F83" s="27">
        <v>0</v>
      </c>
      <c r="G83" s="27">
        <v>0</v>
      </c>
      <c r="H83" s="27">
        <v>0</v>
      </c>
      <c r="I83" s="27"/>
      <c r="J83" s="27"/>
      <c r="K83" s="27"/>
      <c r="L83" s="27"/>
    </row>
    <row r="84" spans="1:12" outlineLevel="1" x14ac:dyDescent="0.2">
      <c r="B84" s="9" t="s">
        <v>127</v>
      </c>
      <c r="C84" s="27">
        <v>2030</v>
      </c>
      <c r="D84" s="27">
        <v>12480</v>
      </c>
      <c r="E84" s="27">
        <v>14776</v>
      </c>
      <c r="F84" s="27">
        <v>13617</v>
      </c>
      <c r="G84" s="27">
        <v>19356</v>
      </c>
      <c r="H84" s="27">
        <v>12570</v>
      </c>
      <c r="I84" s="27"/>
      <c r="J84" s="27"/>
      <c r="K84" s="27"/>
      <c r="L84" s="27"/>
    </row>
    <row r="85" spans="1:12" outlineLevel="1" x14ac:dyDescent="0.2">
      <c r="B85" s="9" t="s">
        <v>128</v>
      </c>
      <c r="C85" s="27">
        <v>0</v>
      </c>
      <c r="D85" s="27">
        <v>-7335</v>
      </c>
      <c r="E85" s="27">
        <v>0</v>
      </c>
      <c r="F85" s="27">
        <v>0</v>
      </c>
      <c r="G85" s="27">
        <v>0</v>
      </c>
      <c r="H85" s="27">
        <v>0</v>
      </c>
      <c r="I85" s="27"/>
      <c r="J85" s="27"/>
      <c r="K85" s="27"/>
      <c r="L85" s="27"/>
    </row>
    <row r="86" spans="1:12" outlineLevel="1" x14ac:dyDescent="0.2">
      <c r="B86" s="9" t="s">
        <v>245</v>
      </c>
      <c r="C86" s="27">
        <v>0</v>
      </c>
      <c r="D86" s="27">
        <v>0</v>
      </c>
      <c r="E86" s="27">
        <v>0</v>
      </c>
      <c r="F86" s="27">
        <v>0</v>
      </c>
      <c r="G86" s="27">
        <v>0</v>
      </c>
      <c r="H86" s="27">
        <v>-500</v>
      </c>
      <c r="I86" s="27"/>
      <c r="J86" s="27"/>
      <c r="K86" s="27"/>
      <c r="L86" s="27"/>
    </row>
    <row r="87" spans="1:12" outlineLevel="1" x14ac:dyDescent="0.2">
      <c r="B87" s="9" t="s">
        <v>129</v>
      </c>
      <c r="C87" s="27">
        <v>0</v>
      </c>
      <c r="D87" s="27">
        <v>-868</v>
      </c>
      <c r="E87" s="27">
        <v>0</v>
      </c>
      <c r="F87" s="27">
        <v>0</v>
      </c>
      <c r="G87" s="27">
        <v>0</v>
      </c>
      <c r="H87" s="27">
        <v>0</v>
      </c>
      <c r="I87" s="27"/>
      <c r="J87" s="27"/>
      <c r="K87" s="27"/>
      <c r="L87" s="27"/>
    </row>
    <row r="88" spans="1:12" outlineLevel="1" x14ac:dyDescent="0.2">
      <c r="B88" s="9" t="s">
        <v>139</v>
      </c>
      <c r="C88" s="27">
        <v>0</v>
      </c>
      <c r="D88" s="27">
        <v>0</v>
      </c>
      <c r="E88" s="27">
        <v>0</v>
      </c>
      <c r="F88" s="27">
        <v>-11482</v>
      </c>
      <c r="G88" s="27">
        <v>-49358</v>
      </c>
      <c r="H88" s="27">
        <v>-41617</v>
      </c>
      <c r="I88" s="27"/>
      <c r="J88" s="27"/>
      <c r="K88" s="27"/>
      <c r="L88" s="27"/>
    </row>
    <row r="89" spans="1:12" s="53" customFormat="1" outlineLevel="1" x14ac:dyDescent="0.2">
      <c r="A89" s="7"/>
      <c r="B89" s="17" t="s">
        <v>51</v>
      </c>
      <c r="C89" s="51">
        <v>46953</v>
      </c>
      <c r="D89" s="51">
        <v>430468</v>
      </c>
      <c r="E89" s="51">
        <v>14776</v>
      </c>
      <c r="F89" s="51">
        <v>2135</v>
      </c>
      <c r="G89" s="51">
        <v>-30002</v>
      </c>
      <c r="H89" s="51">
        <v>-29547</v>
      </c>
      <c r="I89" s="51"/>
      <c r="J89" s="51"/>
      <c r="K89" s="51"/>
      <c r="L89" s="51"/>
    </row>
    <row r="90" spans="1:12" s="52" customFormat="1" outlineLevel="1" x14ac:dyDescent="0.2">
      <c r="A90" s="7"/>
      <c r="B90" s="11" t="s">
        <v>52</v>
      </c>
      <c r="C90" s="55">
        <v>60647</v>
      </c>
      <c r="D90" s="55">
        <v>433432</v>
      </c>
      <c r="E90" s="55">
        <v>54258</v>
      </c>
      <c r="F90" s="55">
        <v>142165</v>
      </c>
      <c r="G90" s="55">
        <v>38181</v>
      </c>
      <c r="H90" s="55">
        <v>250598</v>
      </c>
      <c r="I90" s="55"/>
      <c r="J90" s="55"/>
      <c r="K90" s="55"/>
      <c r="L90" s="55"/>
    </row>
    <row r="91" spans="1:12" s="52" customFormat="1" outlineLevel="1" x14ac:dyDescent="0.2">
      <c r="A91" s="7"/>
      <c r="B91" s="11" t="s">
        <v>53</v>
      </c>
      <c r="C91" s="55">
        <v>59843</v>
      </c>
      <c r="D91" s="55">
        <v>120490</v>
      </c>
      <c r="E91" s="55">
        <v>553922</v>
      </c>
      <c r="F91" s="55">
        <v>608180</v>
      </c>
      <c r="G91" s="55">
        <v>750345</v>
      </c>
      <c r="H91" s="55">
        <v>788526</v>
      </c>
      <c r="I91" s="55"/>
      <c r="J91" s="55"/>
      <c r="K91" s="55"/>
      <c r="L91" s="55"/>
    </row>
    <row r="92" spans="1:12" s="57" customFormat="1" ht="17" outlineLevel="1" thickBot="1" x14ac:dyDescent="0.25">
      <c r="A92" s="7"/>
      <c r="B92" s="19" t="s">
        <v>54</v>
      </c>
      <c r="C92" s="51">
        <v>120490</v>
      </c>
      <c r="D92" s="51">
        <v>553922</v>
      </c>
      <c r="E92" s="51">
        <v>608180</v>
      </c>
      <c r="F92" s="51">
        <v>750345</v>
      </c>
      <c r="G92" s="51">
        <v>788526</v>
      </c>
      <c r="H92" s="51">
        <v>1039124</v>
      </c>
      <c r="I92" s="51"/>
      <c r="J92" s="51"/>
      <c r="K92" s="51"/>
      <c r="L92" s="51"/>
    </row>
    <row r="93" spans="1:12" x14ac:dyDescent="0.2">
      <c r="B93" s="1"/>
    </row>
    <row r="94" spans="1:12" s="14" customFormat="1" ht="17" thickBot="1" x14ac:dyDescent="0.25">
      <c r="A94" s="4"/>
      <c r="B94" s="15" t="s">
        <v>56</v>
      </c>
    </row>
    <row r="95" spans="1:12" hidden="1" outlineLevel="2" x14ac:dyDescent="0.2">
      <c r="B95" s="9" t="s">
        <v>57</v>
      </c>
      <c r="C95" s="20">
        <f>C5-C6-C11+C13+C14+C15+C17</f>
        <v>-15776</v>
      </c>
      <c r="D95" s="20">
        <f>D5-D6-D11+D13+D14+D15+D17</f>
        <v>-60135</v>
      </c>
      <c r="E95" s="20">
        <f>E5-E6-E11+E13+E14+E15+E17</f>
        <v>-59574</v>
      </c>
      <c r="F95" s="20">
        <f>F5-F6-F11+F13+F14+F15+F17</f>
        <v>16067</v>
      </c>
      <c r="G95" s="20">
        <f>G5-G6-G11+G13+G14+G15+G17</f>
        <v>88574</v>
      </c>
      <c r="H95" s="20">
        <f t="shared" ref="H95:L95" si="10">H5-H6-H11+H13+H14+H15+H17</f>
        <v>414065</v>
      </c>
      <c r="I95" s="20">
        <f t="shared" si="10"/>
        <v>0</v>
      </c>
      <c r="J95" s="20">
        <f t="shared" si="10"/>
        <v>0</v>
      </c>
      <c r="K95" s="20">
        <f t="shared" si="10"/>
        <v>0</v>
      </c>
      <c r="L95" s="20">
        <f t="shared" si="10"/>
        <v>0</v>
      </c>
    </row>
    <row r="96" spans="1:12" s="18" customFormat="1" outlineLevel="1" collapsed="1" x14ac:dyDescent="0.2">
      <c r="A96" s="7"/>
      <c r="B96" s="17" t="s">
        <v>58</v>
      </c>
      <c r="C96" s="24">
        <f>C18-C95</f>
        <v>0</v>
      </c>
      <c r="D96" s="24">
        <f>D18-D95</f>
        <v>0</v>
      </c>
      <c r="E96" s="24">
        <f>E18-E95</f>
        <v>0</v>
      </c>
      <c r="F96" s="24">
        <f>F18-F95</f>
        <v>0</v>
      </c>
      <c r="G96" s="24">
        <f>G18-G95</f>
        <v>0</v>
      </c>
      <c r="H96" s="24">
        <f t="shared" ref="H96:L96" si="11">H18-H95</f>
        <v>0</v>
      </c>
      <c r="I96" s="24">
        <f t="shared" si="11"/>
        <v>0</v>
      </c>
      <c r="J96" s="24">
        <f t="shared" si="11"/>
        <v>0</v>
      </c>
      <c r="K96" s="24">
        <f t="shared" si="11"/>
        <v>0</v>
      </c>
      <c r="L96" s="24">
        <f t="shared" si="11"/>
        <v>0</v>
      </c>
    </row>
    <row r="97" spans="1:12" hidden="1" outlineLevel="2" x14ac:dyDescent="0.2">
      <c r="B97" s="9" t="s">
        <v>59</v>
      </c>
      <c r="C97" s="20">
        <f t="shared" ref="C97:L97" si="12">SUM(C25:C30)+SUM(C32:C39)</f>
        <v>175739</v>
      </c>
      <c r="D97" s="20">
        <f t="shared" si="12"/>
        <v>661311</v>
      </c>
      <c r="E97" s="20">
        <f t="shared" si="12"/>
        <v>747347</v>
      </c>
      <c r="F97" s="20">
        <f t="shared" si="12"/>
        <v>953957</v>
      </c>
      <c r="G97" s="20">
        <f t="shared" si="12"/>
        <v>1301728</v>
      </c>
      <c r="H97" s="20">
        <f t="shared" si="12"/>
        <v>1992182</v>
      </c>
      <c r="I97" s="20">
        <f t="shared" si="12"/>
        <v>0</v>
      </c>
      <c r="J97" s="20">
        <f t="shared" si="12"/>
        <v>0</v>
      </c>
      <c r="K97" s="20">
        <f t="shared" si="12"/>
        <v>0</v>
      </c>
      <c r="L97" s="20">
        <f t="shared" si="12"/>
        <v>0</v>
      </c>
    </row>
    <row r="98" spans="1:12" s="7" customFormat="1" outlineLevel="1" collapsed="1" x14ac:dyDescent="0.2">
      <c r="B98" s="11" t="s">
        <v>60</v>
      </c>
      <c r="C98" s="23">
        <f t="shared" ref="C98:L98" si="13">C41-C97</f>
        <v>0</v>
      </c>
      <c r="D98" s="23">
        <f t="shared" si="13"/>
        <v>0</v>
      </c>
      <c r="E98" s="23">
        <f t="shared" si="13"/>
        <v>0</v>
      </c>
      <c r="F98" s="23">
        <f t="shared" si="13"/>
        <v>0</v>
      </c>
      <c r="G98" s="23">
        <f t="shared" si="13"/>
        <v>0</v>
      </c>
      <c r="H98" s="23">
        <f t="shared" si="13"/>
        <v>0</v>
      </c>
      <c r="I98" s="23">
        <f t="shared" si="13"/>
        <v>0</v>
      </c>
      <c r="J98" s="23">
        <f t="shared" si="13"/>
        <v>0</v>
      </c>
      <c r="K98" s="23">
        <f t="shared" si="13"/>
        <v>0</v>
      </c>
      <c r="L98" s="23">
        <f t="shared" si="13"/>
        <v>0</v>
      </c>
    </row>
    <row r="99" spans="1:12" hidden="1" outlineLevel="2" x14ac:dyDescent="0.2">
      <c r="B99" s="9" t="s">
        <v>61</v>
      </c>
      <c r="C99" s="20">
        <f t="shared" ref="C99:H99" si="14">SUM(C42:C45)+SUM(C47:C48)</f>
        <v>73821</v>
      </c>
      <c r="D99" s="20">
        <f t="shared" si="14"/>
        <v>148255</v>
      </c>
      <c r="E99" s="20">
        <f t="shared" si="14"/>
        <v>205269</v>
      </c>
      <c r="F99" s="20">
        <f t="shared" si="14"/>
        <v>298456</v>
      </c>
      <c r="G99" s="20">
        <f t="shared" si="14"/>
        <v>477178</v>
      </c>
      <c r="H99" s="20">
        <f t="shared" si="14"/>
        <v>645176</v>
      </c>
      <c r="I99" s="20">
        <f>SUM(I42:I45)+SUM(I47:I47)</f>
        <v>0</v>
      </c>
      <c r="J99" s="20">
        <f>SUM(J42:J45)+SUM(J47:J47)</f>
        <v>0</v>
      </c>
      <c r="K99" s="20">
        <f>SUM(K42:K45)+SUM(K47:K47)</f>
        <v>0</v>
      </c>
      <c r="L99" s="20">
        <f>SUM(L42:L45)+SUM(L47:L47)</f>
        <v>0</v>
      </c>
    </row>
    <row r="100" spans="1:12" s="7" customFormat="1" outlineLevel="1" collapsed="1" x14ac:dyDescent="0.2">
      <c r="B100" s="11" t="s">
        <v>62</v>
      </c>
      <c r="C100" s="23">
        <f t="shared" ref="C100:L100" si="15">C50-C99</f>
        <v>0</v>
      </c>
      <c r="D100" s="23">
        <f t="shared" si="15"/>
        <v>0</v>
      </c>
      <c r="E100" s="23">
        <f t="shared" si="15"/>
        <v>0</v>
      </c>
      <c r="F100" s="23">
        <f t="shared" si="15"/>
        <v>0</v>
      </c>
      <c r="G100" s="23">
        <f t="shared" si="15"/>
        <v>0</v>
      </c>
      <c r="H100" s="23">
        <f t="shared" si="15"/>
        <v>0</v>
      </c>
      <c r="I100" s="23">
        <f t="shared" si="15"/>
        <v>0</v>
      </c>
      <c r="J100" s="23">
        <f t="shared" si="15"/>
        <v>0</v>
      </c>
      <c r="K100" s="23">
        <f t="shared" si="15"/>
        <v>0</v>
      </c>
      <c r="L100" s="23">
        <f t="shared" si="15"/>
        <v>0</v>
      </c>
    </row>
    <row r="101" spans="1:12" hidden="1" outlineLevel="2" x14ac:dyDescent="0.2">
      <c r="B101" s="9" t="s">
        <v>63</v>
      </c>
      <c r="C101" s="20">
        <f>SUM(C51:C54)</f>
        <v>-80691</v>
      </c>
      <c r="D101" s="20">
        <f>SUM(D51:D54)</f>
        <v>513056</v>
      </c>
      <c r="E101" s="20">
        <f>SUM(E51:E54)</f>
        <v>542078</v>
      </c>
      <c r="F101" s="20">
        <f>SUM(F51:F54)</f>
        <v>655501</v>
      </c>
      <c r="G101" s="20">
        <f>SUM(G51:G54)</f>
        <v>824550</v>
      </c>
      <c r="H101" s="20">
        <f t="shared" ref="H101:L101" si="16">SUM(H51:H54)</f>
        <v>1347006</v>
      </c>
      <c r="I101" s="20">
        <f t="shared" si="16"/>
        <v>0</v>
      </c>
      <c r="J101" s="20">
        <f t="shared" si="16"/>
        <v>0</v>
      </c>
      <c r="K101" s="20">
        <f t="shared" si="16"/>
        <v>0</v>
      </c>
      <c r="L101" s="20">
        <f t="shared" si="16"/>
        <v>0</v>
      </c>
    </row>
    <row r="102" spans="1:12" s="7" customFormat="1" outlineLevel="1" collapsed="1" x14ac:dyDescent="0.2">
      <c r="B102" s="11" t="s">
        <v>64</v>
      </c>
      <c r="C102" s="23">
        <f>C55-C101</f>
        <v>0</v>
      </c>
      <c r="D102" s="23">
        <f>D55-D101</f>
        <v>0</v>
      </c>
      <c r="E102" s="23">
        <f>E55-E101</f>
        <v>0</v>
      </c>
      <c r="F102" s="23">
        <f>F55-F101</f>
        <v>0</v>
      </c>
      <c r="G102" s="23">
        <f>G55-G101</f>
        <v>0</v>
      </c>
      <c r="H102" s="23">
        <f t="shared" ref="H102:L102" si="17">H55-H101</f>
        <v>0</v>
      </c>
      <c r="I102" s="23">
        <f t="shared" si="17"/>
        <v>0</v>
      </c>
      <c r="J102" s="23">
        <f t="shared" si="17"/>
        <v>0</v>
      </c>
      <c r="K102" s="23">
        <f t="shared" si="17"/>
        <v>0</v>
      </c>
      <c r="L102" s="23">
        <f t="shared" si="17"/>
        <v>0</v>
      </c>
    </row>
    <row r="103" spans="1:12" s="18" customFormat="1" outlineLevel="1" x14ac:dyDescent="0.2">
      <c r="A103" s="7"/>
      <c r="B103" s="17" t="s">
        <v>74</v>
      </c>
      <c r="C103" s="22">
        <f>C41-(C50+C55)-182609</f>
        <v>0</v>
      </c>
      <c r="D103" s="22">
        <f>D41-(D50+D55)</f>
        <v>0</v>
      </c>
      <c r="E103" s="22">
        <f>E41-(E50+E55)</f>
        <v>0</v>
      </c>
      <c r="F103" s="22">
        <f>F41-(F50+F55)</f>
        <v>0</v>
      </c>
      <c r="G103" s="22">
        <f>G41-(G50+G55)</f>
        <v>0</v>
      </c>
      <c r="H103" s="22">
        <f t="shared" ref="H103:L103" si="18">H41-(H50+H55)</f>
        <v>0</v>
      </c>
      <c r="I103" s="22">
        <f t="shared" si="18"/>
        <v>0</v>
      </c>
      <c r="J103" s="22">
        <f t="shared" si="18"/>
        <v>0</v>
      </c>
      <c r="K103" s="22">
        <f t="shared" si="18"/>
        <v>0</v>
      </c>
      <c r="L103" s="22">
        <f t="shared" si="18"/>
        <v>0</v>
      </c>
    </row>
    <row r="104" spans="1:12" hidden="1" outlineLevel="2" x14ac:dyDescent="0.2">
      <c r="B104" s="9" t="s">
        <v>65</v>
      </c>
      <c r="C104" s="20">
        <f t="shared" ref="C104:L104" si="19">SUM(C59:C73)</f>
        <v>17708</v>
      </c>
      <c r="D104" s="20">
        <f t="shared" si="19"/>
        <v>9170</v>
      </c>
      <c r="E104" s="20">
        <f t="shared" si="19"/>
        <v>53656</v>
      </c>
      <c r="F104" s="20">
        <f t="shared" si="19"/>
        <v>153614</v>
      </c>
      <c r="G104" s="20">
        <f t="shared" si="19"/>
        <v>285513</v>
      </c>
      <c r="H104" s="20">
        <f t="shared" si="19"/>
        <v>387823</v>
      </c>
      <c r="I104" s="20">
        <f t="shared" si="19"/>
        <v>0</v>
      </c>
      <c r="J104" s="20">
        <f t="shared" si="19"/>
        <v>0</v>
      </c>
      <c r="K104" s="20">
        <f t="shared" si="19"/>
        <v>0</v>
      </c>
      <c r="L104" s="20">
        <f t="shared" si="19"/>
        <v>0</v>
      </c>
    </row>
    <row r="105" spans="1:12" s="7" customFormat="1" outlineLevel="1" collapsed="1" x14ac:dyDescent="0.2">
      <c r="B105" s="11" t="s">
        <v>66</v>
      </c>
      <c r="C105" s="23">
        <f t="shared" ref="C105:L105" si="20">C74-C104</f>
        <v>0</v>
      </c>
      <c r="D105" s="23">
        <f t="shared" si="20"/>
        <v>0</v>
      </c>
      <c r="E105" s="23">
        <f t="shared" si="20"/>
        <v>0</v>
      </c>
      <c r="F105" s="23">
        <f t="shared" si="20"/>
        <v>0</v>
      </c>
      <c r="G105" s="23">
        <f t="shared" si="20"/>
        <v>0</v>
      </c>
      <c r="H105" s="23">
        <f t="shared" si="20"/>
        <v>0</v>
      </c>
      <c r="I105" s="23">
        <f t="shared" si="20"/>
        <v>0</v>
      </c>
      <c r="J105" s="23">
        <f t="shared" si="20"/>
        <v>0</v>
      </c>
      <c r="K105" s="23">
        <f t="shared" si="20"/>
        <v>0</v>
      </c>
      <c r="L105" s="23">
        <f t="shared" si="20"/>
        <v>0</v>
      </c>
    </row>
    <row r="106" spans="1:12" hidden="1" outlineLevel="2" x14ac:dyDescent="0.2">
      <c r="B106" s="9" t="s">
        <v>67</v>
      </c>
      <c r="C106" s="20">
        <f t="shared" ref="C106:L106" si="21">SUM(C75:C80)</f>
        <v>-4014</v>
      </c>
      <c r="D106" s="20">
        <f t="shared" si="21"/>
        <v>-6206</v>
      </c>
      <c r="E106" s="20">
        <f t="shared" si="21"/>
        <v>-14174</v>
      </c>
      <c r="F106" s="20">
        <f t="shared" si="21"/>
        <v>-13584</v>
      </c>
      <c r="G106" s="20">
        <f t="shared" si="21"/>
        <v>-217330</v>
      </c>
      <c r="H106" s="20">
        <f t="shared" si="21"/>
        <v>-107678</v>
      </c>
      <c r="I106" s="20">
        <f t="shared" si="21"/>
        <v>0</v>
      </c>
      <c r="J106" s="20">
        <f t="shared" si="21"/>
        <v>0</v>
      </c>
      <c r="K106" s="20">
        <f t="shared" si="21"/>
        <v>0</v>
      </c>
      <c r="L106" s="20">
        <f t="shared" si="21"/>
        <v>0</v>
      </c>
    </row>
    <row r="107" spans="1:12" s="7" customFormat="1" outlineLevel="1" collapsed="1" x14ac:dyDescent="0.2">
      <c r="B107" s="11" t="s">
        <v>68</v>
      </c>
      <c r="C107" s="23">
        <f t="shared" ref="C107:L107" si="22">C81-C106</f>
        <v>0</v>
      </c>
      <c r="D107" s="23">
        <f t="shared" si="22"/>
        <v>0</v>
      </c>
      <c r="E107" s="23">
        <f t="shared" si="22"/>
        <v>0</v>
      </c>
      <c r="F107" s="23">
        <f t="shared" si="22"/>
        <v>0</v>
      </c>
      <c r="G107" s="23">
        <f t="shared" si="22"/>
        <v>0</v>
      </c>
      <c r="H107" s="23">
        <f t="shared" si="22"/>
        <v>0</v>
      </c>
      <c r="I107" s="23">
        <f t="shared" si="22"/>
        <v>0</v>
      </c>
      <c r="J107" s="23">
        <f t="shared" si="22"/>
        <v>0</v>
      </c>
      <c r="K107" s="23">
        <f t="shared" si="22"/>
        <v>0</v>
      </c>
      <c r="L107" s="23">
        <f t="shared" si="22"/>
        <v>0</v>
      </c>
    </row>
    <row r="108" spans="1:12" hidden="1" outlineLevel="2" x14ac:dyDescent="0.2">
      <c r="B108" s="9" t="s">
        <v>69</v>
      </c>
      <c r="C108" s="20">
        <f>SUM(C82:C88)</f>
        <v>46953</v>
      </c>
      <c r="D108" s="20">
        <f t="shared" ref="D108:L108" si="23">SUM(D82:D88)</f>
        <v>430468</v>
      </c>
      <c r="E108" s="20">
        <f t="shared" si="23"/>
        <v>14776</v>
      </c>
      <c r="F108" s="20">
        <f t="shared" si="23"/>
        <v>2135</v>
      </c>
      <c r="G108" s="20">
        <f t="shared" si="23"/>
        <v>-30002</v>
      </c>
      <c r="H108" s="20">
        <f t="shared" si="23"/>
        <v>-29547</v>
      </c>
      <c r="I108" s="20">
        <f t="shared" si="23"/>
        <v>0</v>
      </c>
      <c r="J108" s="20">
        <f t="shared" si="23"/>
        <v>0</v>
      </c>
      <c r="K108" s="20">
        <f t="shared" si="23"/>
        <v>0</v>
      </c>
      <c r="L108" s="20">
        <f t="shared" si="23"/>
        <v>0</v>
      </c>
    </row>
    <row r="109" spans="1:12" s="7" customFormat="1" outlineLevel="1" collapsed="1" x14ac:dyDescent="0.2">
      <c r="B109" s="11" t="s">
        <v>70</v>
      </c>
      <c r="C109" s="23">
        <f t="shared" ref="C109:L109" si="24">C89-C108</f>
        <v>0</v>
      </c>
      <c r="D109" s="23">
        <f t="shared" si="24"/>
        <v>0</v>
      </c>
      <c r="E109" s="23">
        <f t="shared" si="24"/>
        <v>0</v>
      </c>
      <c r="F109" s="23">
        <f t="shared" si="24"/>
        <v>0</v>
      </c>
      <c r="G109" s="23">
        <f t="shared" si="24"/>
        <v>0</v>
      </c>
      <c r="H109" s="23">
        <f t="shared" si="24"/>
        <v>0</v>
      </c>
      <c r="I109" s="23">
        <f t="shared" si="24"/>
        <v>0</v>
      </c>
      <c r="J109" s="23">
        <f t="shared" si="24"/>
        <v>0</v>
      </c>
      <c r="K109" s="23">
        <f t="shared" si="24"/>
        <v>0</v>
      </c>
      <c r="L109" s="23">
        <f t="shared" si="24"/>
        <v>0</v>
      </c>
    </row>
    <row r="110" spans="1:12" hidden="1" outlineLevel="2" x14ac:dyDescent="0.2">
      <c r="B110" s="9" t="s">
        <v>72</v>
      </c>
      <c r="C110" s="20">
        <f>C74+C81+C89+C91</f>
        <v>120490</v>
      </c>
      <c r="D110" s="20">
        <f>D74+D81+D89+D91</f>
        <v>553922</v>
      </c>
      <c r="E110" s="20">
        <f>E74+E81+E89+E91</f>
        <v>608180</v>
      </c>
      <c r="F110" s="20">
        <f>F74+F81+F89+F91</f>
        <v>750345</v>
      </c>
      <c r="G110" s="20">
        <f>G74+G81+G89+G91</f>
        <v>788526</v>
      </c>
      <c r="H110" s="20">
        <f t="shared" ref="H110:L110" si="25">H74+H81+H89+H91</f>
        <v>1039124</v>
      </c>
      <c r="I110" s="20">
        <f t="shared" si="25"/>
        <v>0</v>
      </c>
      <c r="J110" s="20">
        <f t="shared" si="25"/>
        <v>0</v>
      </c>
      <c r="K110" s="20">
        <f t="shared" si="25"/>
        <v>0</v>
      </c>
      <c r="L110" s="20">
        <f t="shared" si="25"/>
        <v>0</v>
      </c>
    </row>
    <row r="111" spans="1:12" s="18" customFormat="1" outlineLevel="1" collapsed="1" x14ac:dyDescent="0.2">
      <c r="A111" s="7"/>
      <c r="B111" s="17" t="s">
        <v>71</v>
      </c>
      <c r="C111" s="22">
        <f t="shared" ref="C111:L111" si="26">C92-C110</f>
        <v>0</v>
      </c>
      <c r="D111" s="22">
        <f t="shared" si="26"/>
        <v>0</v>
      </c>
      <c r="E111" s="22">
        <f t="shared" si="26"/>
        <v>0</v>
      </c>
      <c r="F111" s="22">
        <f t="shared" si="26"/>
        <v>0</v>
      </c>
      <c r="G111" s="22">
        <f t="shared" si="26"/>
        <v>0</v>
      </c>
      <c r="H111" s="22">
        <f t="shared" si="26"/>
        <v>0</v>
      </c>
      <c r="I111" s="22">
        <f t="shared" si="26"/>
        <v>0</v>
      </c>
      <c r="J111" s="22">
        <f t="shared" si="26"/>
        <v>0</v>
      </c>
      <c r="K111" s="22">
        <f t="shared" si="26"/>
        <v>0</v>
      </c>
      <c r="L111" s="22">
        <f t="shared" si="26"/>
        <v>0</v>
      </c>
    </row>
    <row r="112" spans="1:12" x14ac:dyDescent="0.2">
      <c r="B112" s="8"/>
      <c r="F112" s="8"/>
      <c r="G112" s="8"/>
      <c r="H112" s="8"/>
      <c r="I112" s="8"/>
      <c r="J112" s="8"/>
      <c r="K112" s="8"/>
      <c r="L112" s="8"/>
    </row>
    <row r="113" spans="1:12" s="14" customFormat="1" ht="17" thickBot="1" x14ac:dyDescent="0.25">
      <c r="A113" s="4"/>
      <c r="B113" s="15" t="s">
        <v>73</v>
      </c>
    </row>
    <row r="114" spans="1:12" outlineLevel="1" x14ac:dyDescent="0.2">
      <c r="B114" s="9" t="s">
        <v>4</v>
      </c>
      <c r="C114" s="29"/>
      <c r="D114" s="29">
        <v>38625</v>
      </c>
      <c r="E114" s="29">
        <v>40636</v>
      </c>
      <c r="F114" s="27">
        <v>42876</v>
      </c>
      <c r="G114" s="27">
        <v>45243</v>
      </c>
      <c r="H114" s="27">
        <v>47400</v>
      </c>
      <c r="I114" s="27"/>
      <c r="J114" s="27"/>
      <c r="K114" s="27"/>
      <c r="L114" s="27"/>
    </row>
    <row r="115" spans="1:12" outlineLevel="1" x14ac:dyDescent="0.2">
      <c r="B115" s="12" t="s">
        <v>81</v>
      </c>
      <c r="C115" s="30">
        <v>0</v>
      </c>
      <c r="D115" s="30">
        <v>0</v>
      </c>
      <c r="E115" s="30">
        <v>0</v>
      </c>
      <c r="F115" s="28">
        <v>0</v>
      </c>
      <c r="G115" s="28">
        <v>0</v>
      </c>
      <c r="H115" s="28">
        <v>0</v>
      </c>
      <c r="I115" s="28"/>
      <c r="J115" s="28"/>
      <c r="K115" s="28"/>
      <c r="L115" s="28"/>
    </row>
    <row r="116" spans="1:12" outlineLevel="1" x14ac:dyDescent="0.2">
      <c r="B116" s="9" t="s">
        <v>96</v>
      </c>
      <c r="C116" s="27">
        <v>1624</v>
      </c>
      <c r="D116" s="27">
        <v>2033</v>
      </c>
      <c r="E116" s="27">
        <v>3118</v>
      </c>
      <c r="F116" s="27">
        <v>4100</v>
      </c>
      <c r="G116" s="27">
        <v>4965</v>
      </c>
      <c r="H116" s="27">
        <v>5195</v>
      </c>
      <c r="I116" s="27"/>
      <c r="J116" s="27"/>
      <c r="K116" s="27"/>
      <c r="L116" s="27"/>
    </row>
    <row r="117" spans="1:12" outlineLevel="1" x14ac:dyDescent="0.2">
      <c r="B117" s="9" t="s">
        <v>97</v>
      </c>
      <c r="C117" s="27">
        <v>632</v>
      </c>
      <c r="D117" s="27">
        <v>693</v>
      </c>
      <c r="E117" s="27">
        <v>1752</v>
      </c>
      <c r="F117" s="27">
        <v>2995</v>
      </c>
      <c r="G117" s="27">
        <v>5889</v>
      </c>
      <c r="H117" s="27">
        <v>9196</v>
      </c>
      <c r="I117" s="27"/>
      <c r="J117" s="27"/>
      <c r="K117" s="27"/>
      <c r="L117" s="27"/>
    </row>
    <row r="118" spans="1:12" outlineLevel="1" x14ac:dyDescent="0.2">
      <c r="B118" s="9" t="s">
        <v>103</v>
      </c>
      <c r="C118" s="85">
        <f>(C17)/C16</f>
        <v>4.329004329004329E-3</v>
      </c>
      <c r="D118" s="85">
        <f>(D17)/D16</f>
        <v>2.9520664465125588E-3</v>
      </c>
      <c r="E118" s="85">
        <f>(-1*E17)/E16</f>
        <v>1.599699843099802E-2</v>
      </c>
      <c r="F118" s="85">
        <f>(-1*F17)/F16</f>
        <v>9.6191708387241948E-2</v>
      </c>
      <c r="G118" s="85">
        <f>(-1*G17)/G16</f>
        <v>0.13422477665044083</v>
      </c>
      <c r="H118" s="85">
        <f>(-1*H17)/H16</f>
        <v>-1.2699687517131737</v>
      </c>
      <c r="I118" s="85"/>
      <c r="J118" s="85"/>
      <c r="K118" s="85"/>
      <c r="L118" s="85"/>
    </row>
    <row r="119" spans="1:12" outlineLevel="1" x14ac:dyDescent="0.2">
      <c r="B119" s="9" t="s">
        <v>104</v>
      </c>
      <c r="C119" s="27"/>
      <c r="D119" s="27">
        <v>500</v>
      </c>
      <c r="E119" s="27">
        <v>600</v>
      </c>
      <c r="F119" s="27">
        <v>720</v>
      </c>
      <c r="G119" s="27">
        <v>830</v>
      </c>
      <c r="H119" s="27">
        <v>900</v>
      </c>
      <c r="I119" s="27"/>
      <c r="J119" s="27"/>
      <c r="K119" s="27"/>
      <c r="L119" s="27"/>
    </row>
    <row r="120" spans="1:12" outlineLevel="1" x14ac:dyDescent="0.2">
      <c r="B120" s="9" t="s">
        <v>219</v>
      </c>
      <c r="C120" s="27">
        <v>9495</v>
      </c>
      <c r="D120" s="27">
        <v>13311</v>
      </c>
      <c r="E120" s="27">
        <v>21187</v>
      </c>
      <c r="F120" s="27">
        <v>24060</v>
      </c>
      <c r="G120" s="27">
        <v>35353</v>
      </c>
      <c r="H120" s="27">
        <v>57868</v>
      </c>
      <c r="I120" s="27"/>
      <c r="J120" s="27"/>
      <c r="K120" s="27"/>
      <c r="L120" s="27"/>
    </row>
    <row r="121" spans="1:12" outlineLevel="1" x14ac:dyDescent="0.2">
      <c r="B121" s="9" t="s">
        <v>220</v>
      </c>
      <c r="C121" s="27">
        <v>3067</v>
      </c>
      <c r="D121" s="27">
        <v>5100</v>
      </c>
      <c r="E121" s="27">
        <v>8218</v>
      </c>
      <c r="F121" s="27">
        <v>12268</v>
      </c>
      <c r="G121" s="27">
        <v>16410</v>
      </c>
      <c r="H121" s="27">
        <v>21571</v>
      </c>
      <c r="I121" s="27"/>
      <c r="J121" s="27"/>
      <c r="K121" s="27"/>
      <c r="L121" s="27"/>
    </row>
    <row r="122" spans="1:12" outlineLevel="1" x14ac:dyDescent="0.2">
      <c r="B122" s="9" t="s">
        <v>221</v>
      </c>
      <c r="C122" s="27">
        <v>8181</v>
      </c>
      <c r="D122" s="27">
        <v>11144</v>
      </c>
      <c r="E122" s="27">
        <v>16827</v>
      </c>
      <c r="F122" s="27">
        <v>27012</v>
      </c>
      <c r="G122" s="27">
        <v>36805</v>
      </c>
      <c r="H122" s="27">
        <v>54411</v>
      </c>
      <c r="I122" s="27"/>
      <c r="J122" s="27"/>
      <c r="K122" s="27"/>
      <c r="L122" s="27"/>
    </row>
    <row r="123" spans="1:12" outlineLevel="1" x14ac:dyDescent="0.2">
      <c r="B123" s="9" t="s">
        <v>222</v>
      </c>
      <c r="C123" s="27">
        <v>5885</v>
      </c>
      <c r="D123" s="27">
        <v>6578</v>
      </c>
      <c r="E123" s="27">
        <v>8330</v>
      </c>
      <c r="F123" s="27">
        <v>11017</v>
      </c>
      <c r="G123" s="27">
        <v>16906</v>
      </c>
      <c r="H123" s="27">
        <v>26102</v>
      </c>
      <c r="I123" s="27"/>
      <c r="J123" s="27"/>
      <c r="K123" s="27"/>
      <c r="L123" s="27"/>
    </row>
    <row r="124" spans="1:12" outlineLevel="1" x14ac:dyDescent="0.2">
      <c r="B124" s="9" t="s">
        <v>380</v>
      </c>
      <c r="C124" s="27">
        <v>2038</v>
      </c>
      <c r="D124" s="27">
        <v>3113</v>
      </c>
      <c r="E124" s="27">
        <v>7264</v>
      </c>
      <c r="F124" s="27">
        <v>7759</v>
      </c>
      <c r="G124" s="27">
        <v>10533</v>
      </c>
      <c r="H124" s="27">
        <v>12854</v>
      </c>
      <c r="I124" s="27"/>
      <c r="J124" s="27"/>
      <c r="K124" s="27"/>
      <c r="L124" s="27"/>
    </row>
    <row r="125" spans="1:12" outlineLevel="1" x14ac:dyDescent="0.2"/>
    <row r="126" spans="1:12" x14ac:dyDescent="0.2">
      <c r="B126" s="1"/>
    </row>
    <row r="127" spans="1:12" s="14" customFormat="1" ht="17" thickBot="1" x14ac:dyDescent="0.25">
      <c r="A127" s="4"/>
      <c r="B127" s="15" t="s">
        <v>98</v>
      </c>
    </row>
    <row r="128" spans="1:12" s="18" customFormat="1" outlineLevel="1" x14ac:dyDescent="0.2">
      <c r="A128" s="7"/>
      <c r="B128" s="17" t="s">
        <v>6</v>
      </c>
      <c r="C128" s="81"/>
      <c r="D128" s="76">
        <f t="shared" ref="D128:H132" si="27">IF(C5=0,
IF(D5=0,0,IF(D5&gt;0,1,-1)),
(D5-C5)/ABS(C5)
)</f>
        <v>0.5508856125074213</v>
      </c>
      <c r="E128" s="76">
        <f t="shared" si="27"/>
        <v>0.47343004801173977</v>
      </c>
      <c r="F128" s="76">
        <f t="shared" si="27"/>
        <v>0.43739157498748293</v>
      </c>
      <c r="G128" s="76">
        <f t="shared" si="27"/>
        <v>0.40841898743948984</v>
      </c>
      <c r="H128" s="76">
        <f t="shared" si="27"/>
        <v>0.38710656342577243</v>
      </c>
      <c r="I128" s="76"/>
      <c r="J128" s="76"/>
      <c r="K128" s="76"/>
      <c r="L128" s="76"/>
    </row>
    <row r="129" spans="1:12" outlineLevel="1" x14ac:dyDescent="0.2">
      <c r="B129" s="9" t="s">
        <v>7</v>
      </c>
      <c r="C129" s="80"/>
      <c r="D129" s="75">
        <f t="shared" si="27"/>
        <v>0.5044686541848783</v>
      </c>
      <c r="E129" s="75">
        <f t="shared" si="27"/>
        <v>0.43715491573439713</v>
      </c>
      <c r="F129" s="75">
        <f t="shared" si="27"/>
        <v>0.42918204584083436</v>
      </c>
      <c r="G129" s="75">
        <f t="shared" si="27"/>
        <v>0.43306006122233559</v>
      </c>
      <c r="H129" s="75">
        <f t="shared" si="27"/>
        <v>0.41487392275774021</v>
      </c>
      <c r="I129" s="75"/>
      <c r="J129" s="75"/>
      <c r="K129" s="75"/>
      <c r="L129" s="75"/>
    </row>
    <row r="130" spans="1:12" s="18" customFormat="1" outlineLevel="1" x14ac:dyDescent="0.2">
      <c r="A130" s="7"/>
      <c r="B130" s="17" t="s">
        <v>8</v>
      </c>
      <c r="C130" s="81"/>
      <c r="D130" s="76">
        <f t="shared" si="27"/>
        <v>0.56933341399545412</v>
      </c>
      <c r="E130" s="76">
        <f t="shared" si="27"/>
        <v>0.48725121980769442</v>
      </c>
      <c r="F130" s="76">
        <f t="shared" si="27"/>
        <v>0.44041412405948221</v>
      </c>
      <c r="G130" s="76">
        <f t="shared" si="27"/>
        <v>0.39941748670964822</v>
      </c>
      <c r="H130" s="76">
        <f t="shared" si="27"/>
        <v>0.37671916073176959</v>
      </c>
      <c r="I130" s="76"/>
      <c r="J130" s="76"/>
      <c r="K130" s="76"/>
      <c r="L130" s="76"/>
    </row>
    <row r="131" spans="1:12" outlineLevel="1" x14ac:dyDescent="0.2">
      <c r="B131" s="9" t="s">
        <v>9</v>
      </c>
      <c r="C131" s="80"/>
      <c r="D131" s="75">
        <f t="shared" si="27"/>
        <v>0.95822646348823171</v>
      </c>
      <c r="E131" s="75">
        <f t="shared" si="27"/>
        <v>0.4489035277801855</v>
      </c>
      <c r="F131" s="75">
        <f t="shared" si="27"/>
        <v>0.29185610592645767</v>
      </c>
      <c r="G131" s="75">
        <f t="shared" si="27"/>
        <v>0.2106795916687248</v>
      </c>
      <c r="H131" s="75">
        <f t="shared" si="27"/>
        <v>0.30185126945405399</v>
      </c>
      <c r="I131" s="75"/>
      <c r="J131" s="75"/>
      <c r="K131" s="75"/>
      <c r="L131" s="75"/>
    </row>
    <row r="132" spans="1:12" outlineLevel="1" x14ac:dyDescent="0.2">
      <c r="B132" s="12" t="s">
        <v>10</v>
      </c>
      <c r="C132" s="80"/>
      <c r="D132" s="75">
        <f t="shared" si="27"/>
        <v>0.69139296229597236</v>
      </c>
      <c r="E132" s="75">
        <f t="shared" si="27"/>
        <v>0.13177285786716242</v>
      </c>
      <c r="F132" s="75">
        <f t="shared" si="27"/>
        <v>0.13172159421804769</v>
      </c>
      <c r="G132" s="75">
        <f t="shared" si="27"/>
        <v>0.19404127302475327</v>
      </c>
      <c r="H132" s="75">
        <f t="shared" si="27"/>
        <v>0.38878820695294714</v>
      </c>
      <c r="I132" s="75"/>
      <c r="J132" s="75"/>
      <c r="K132" s="75"/>
      <c r="L132" s="75"/>
    </row>
    <row r="133" spans="1:12" outlineLevel="1" x14ac:dyDescent="0.2">
      <c r="B133" s="12" t="s">
        <v>11</v>
      </c>
      <c r="C133" s="80"/>
      <c r="D133" s="75">
        <f t="shared" ref="D133:H134" si="28">IF(C11=0,
IF(D11=0,0,IF(D11&gt;0,1,-1)),
(D11-C11)/ABS(C11)
)</f>
        <v>0.83414060127543277</v>
      </c>
      <c r="E133" s="75">
        <f t="shared" si="28"/>
        <v>0.38770163042803391</v>
      </c>
      <c r="F133" s="75">
        <f t="shared" si="28"/>
        <v>0.19985742366349599</v>
      </c>
      <c r="G133" s="75">
        <f t="shared" si="28"/>
        <v>0.19768410219184962</v>
      </c>
      <c r="H133" s="75">
        <f t="shared" si="28"/>
        <v>0.27419549009514638</v>
      </c>
      <c r="I133" s="75"/>
      <c r="J133" s="75"/>
      <c r="K133" s="75"/>
      <c r="L133" s="75"/>
    </row>
    <row r="134" spans="1:12" s="18" customFormat="1" outlineLevel="1" x14ac:dyDescent="0.2">
      <c r="A134" s="7"/>
      <c r="B134" s="17" t="s">
        <v>12</v>
      </c>
      <c r="C134" s="81"/>
      <c r="D134" s="76">
        <f t="shared" si="28"/>
        <v>-2.7478608456686029</v>
      </c>
      <c r="E134" s="76">
        <f t="shared" si="28"/>
        <v>-8.6456580065659011E-2</v>
      </c>
      <c r="F134" s="76">
        <f t="shared" si="28"/>
        <v>0.79662550809111132</v>
      </c>
      <c r="G134" s="76">
        <f t="shared" si="28"/>
        <v>5.7209442642733235</v>
      </c>
      <c r="H134" s="76">
        <f t="shared" si="28"/>
        <v>1.1658279415288761</v>
      </c>
      <c r="I134" s="76"/>
      <c r="J134" s="76"/>
      <c r="K134" s="76"/>
      <c r="L134" s="76"/>
    </row>
    <row r="135" spans="1:12" s="77" customFormat="1" outlineLevel="1" x14ac:dyDescent="0.2">
      <c r="A135" s="7"/>
      <c r="B135" s="78" t="s">
        <v>13</v>
      </c>
      <c r="C135" s="81"/>
      <c r="D135" s="79">
        <f>IF(C16=0,
IF(D16=0,0,IF(D16&gt;0,1,-1)),
(D16-C16)/ABS(C16)
)</f>
        <v>-2.8170359052711995</v>
      </c>
      <c r="E135" s="79">
        <f>IF(D16=0,
IF(E16=0,0,IF(E16&gt;0,1,-1)),
(E16-D16)/ABS(D16)
)</f>
        <v>1.9779512325294373</v>
      </c>
      <c r="F135" s="79">
        <f>IF(E16=0,
IF(F16=0,0,IF(F16&gt;0,1,-1)),
(F16-E16)/ABS(E16)
)</f>
        <v>-0.69682447643086154</v>
      </c>
      <c r="G135" s="79">
        <f>IF(F16=0,
IF(G16=0,0,IF(G16&gt;0,1,-1)),
(G16-F16)/ABS(F16)
)</f>
        <v>4.7549642796872362</v>
      </c>
      <c r="H135" s="79">
        <f>IF(G16=0,
IF(H16=0,0,IF(H16&gt;0,1,-1)),
(H16-G16)/ABS(G16)
)</f>
        <v>0.78298438019275507</v>
      </c>
      <c r="I135" s="79"/>
      <c r="J135" s="79"/>
      <c r="K135" s="79"/>
      <c r="L135" s="79"/>
    </row>
    <row r="136" spans="1:12" s="77" customFormat="1" outlineLevel="1" x14ac:dyDescent="0.2">
      <c r="A136" s="7"/>
      <c r="B136" s="78" t="s">
        <v>14</v>
      </c>
      <c r="C136" s="81"/>
      <c r="D136" s="79">
        <f>IF(C18=0,
IF(D18=0,0,IF(D18&gt;0,1,-1)),
(D18-C18)/ABS(C18)
)</f>
        <v>-2.8118027383367141</v>
      </c>
      <c r="E136" s="79">
        <f>IF(D18=0,
IF(E18=0,0,IF(E18&gt;0,1,-1)),
(E18-D18)/ABS(D18)
)</f>
        <v>9.3290097281117489E-3</v>
      </c>
      <c r="F136" s="79">
        <f>IF(E18=0,
IF(F18=0,0,IF(F18&gt;0,1,-1)),
(F18-E18)/ABS(E18)
)</f>
        <v>1.2696981904857825</v>
      </c>
      <c r="G136" s="79">
        <f>IF(F18=0,
IF(G18=0,0,IF(G18&gt;0,1,-1)),
(G18-F18)/ABS(F18)
)</f>
        <v>4.512790191074874</v>
      </c>
      <c r="H136" s="79">
        <f>IF(G18=0,
IF(H18=0,0,IF(H18&gt;0,1,-1)),
(H18-G18)/ABS(G18)
)</f>
        <v>3.6747916995958181</v>
      </c>
      <c r="I136" s="79"/>
      <c r="J136" s="79"/>
      <c r="K136" s="79"/>
      <c r="L136" s="79"/>
    </row>
    <row r="137" spans="1:12" x14ac:dyDescent="0.2">
      <c r="B137" s="1"/>
    </row>
    <row r="138" spans="1:12" s="14" customFormat="1" ht="17" thickBot="1" x14ac:dyDescent="0.25">
      <c r="A138" s="4"/>
      <c r="B138" s="15" t="s">
        <v>99</v>
      </c>
    </row>
    <row r="139" spans="1:12" outlineLevel="1" x14ac:dyDescent="0.2">
      <c r="B139" s="9" t="s">
        <v>100</v>
      </c>
      <c r="C139" s="75">
        <f t="shared" ref="C139:H139" si="29">C7/C5</f>
        <v>0.71559593310904412</v>
      </c>
      <c r="D139" s="75">
        <f t="shared" si="29"/>
        <v>0.72410795463608379</v>
      </c>
      <c r="E139" s="75">
        <f t="shared" si="29"/>
        <v>0.73090028281844144</v>
      </c>
      <c r="F139" s="75">
        <f t="shared" si="29"/>
        <v>0.7324372209847696</v>
      </c>
      <c r="G139" s="75">
        <f t="shared" si="29"/>
        <v>0.72775606130284587</v>
      </c>
      <c r="H139" s="75">
        <f t="shared" si="29"/>
        <v>0.7223062310799363</v>
      </c>
      <c r="I139" s="75"/>
      <c r="J139" s="75"/>
      <c r="K139" s="75"/>
      <c r="L139" s="75"/>
    </row>
    <row r="140" spans="1:12" outlineLevel="1" x14ac:dyDescent="0.2">
      <c r="B140" s="9" t="s">
        <v>101</v>
      </c>
      <c r="C140" s="75">
        <f t="shared" ref="C140:H140" si="30">C12/C5</f>
        <v>-9.9019147041361569E-2</v>
      </c>
      <c r="D140" s="75">
        <f t="shared" si="30"/>
        <v>-0.23928907533536439</v>
      </c>
      <c r="E140" s="75">
        <f t="shared" si="30"/>
        <v>-0.17644352426961121</v>
      </c>
      <c r="F140" s="75">
        <f t="shared" si="30"/>
        <v>-2.4964743583708805E-2</v>
      </c>
      <c r="G140" s="75">
        <f t="shared" si="30"/>
        <v>8.3680470145342925E-2</v>
      </c>
      <c r="H140" s="75">
        <f t="shared" si="30"/>
        <v>0.13065867120796384</v>
      </c>
      <c r="I140" s="75"/>
      <c r="J140" s="75"/>
      <c r="K140" s="75"/>
      <c r="L140" s="75"/>
    </row>
    <row r="141" spans="1:12" s="84" customFormat="1" outlineLevel="1" x14ac:dyDescent="0.2">
      <c r="A141" s="1"/>
      <c r="B141" s="82" t="s">
        <v>102</v>
      </c>
      <c r="C141" s="83">
        <f t="shared" ref="C141:H141" si="31">C18/C5</f>
        <v>-9.7565802493568179E-2</v>
      </c>
      <c r="D141" s="83">
        <f t="shared" si="31"/>
        <v>-0.2397994991466352</v>
      </c>
      <c r="E141" s="83">
        <f t="shared" si="31"/>
        <v>-0.16123086915925791</v>
      </c>
      <c r="F141" s="83">
        <f t="shared" si="31"/>
        <v>3.0251793887883655E-2</v>
      </c>
      <c r="G141" s="83">
        <f t="shared" si="31"/>
        <v>0.11841063923082681</v>
      </c>
      <c r="H141" s="83">
        <f t="shared" si="31"/>
        <v>0.39906456217249797</v>
      </c>
      <c r="I141" s="83"/>
      <c r="J141" s="83"/>
      <c r="K141" s="83"/>
      <c r="L141" s="83"/>
    </row>
    <row r="142" spans="1:12" x14ac:dyDescent="0.2">
      <c r="B142" s="1"/>
    </row>
    <row r="143" spans="1:12" s="14" customFormat="1" ht="17" thickBot="1" x14ac:dyDescent="0.25">
      <c r="A143" s="4"/>
      <c r="B143" s="15" t="s">
        <v>163</v>
      </c>
    </row>
    <row r="144" spans="1:12" outlineLevel="1" x14ac:dyDescent="0.2">
      <c r="B144" s="9" t="s">
        <v>157</v>
      </c>
      <c r="C144" s="27">
        <v>8200</v>
      </c>
      <c r="D144" s="27">
        <v>9600</v>
      </c>
      <c r="E144" s="27">
        <v>16300</v>
      </c>
      <c r="F144" s="27">
        <v>26900</v>
      </c>
      <c r="G144" s="27">
        <v>40500</v>
      </c>
      <c r="H144" s="27">
        <v>52700</v>
      </c>
      <c r="I144" s="27"/>
    </row>
    <row r="145" spans="1:10" outlineLevel="1" x14ac:dyDescent="0.2">
      <c r="B145" s="9" t="s">
        <v>158</v>
      </c>
      <c r="C145" s="27">
        <v>36700</v>
      </c>
      <c r="D145" s="27">
        <v>40500</v>
      </c>
      <c r="E145" s="27">
        <v>60700</v>
      </c>
      <c r="F145" s="27">
        <v>88400</v>
      </c>
      <c r="G145" s="27">
        <v>116700</v>
      </c>
      <c r="H145" s="27">
        <v>133100</v>
      </c>
      <c r="I145" s="27"/>
    </row>
    <row r="146" spans="1:10" outlineLevel="1" x14ac:dyDescent="0.2">
      <c r="B146" s="9" t="s">
        <v>159</v>
      </c>
      <c r="C146" s="27">
        <v>1600</v>
      </c>
      <c r="D146" s="27">
        <v>2500</v>
      </c>
      <c r="E146" s="27">
        <v>4200</v>
      </c>
      <c r="F146" s="27">
        <v>6600</v>
      </c>
      <c r="G146" s="27">
        <v>9500</v>
      </c>
      <c r="H146" s="27">
        <v>12200</v>
      </c>
      <c r="I146" s="27"/>
      <c r="J146" s="27"/>
    </row>
    <row r="147" spans="1:10" outlineLevel="1" x14ac:dyDescent="0.2">
      <c r="B147" s="9" t="s">
        <v>174</v>
      </c>
      <c r="C147" s="34">
        <f>C145-C146</f>
        <v>35100</v>
      </c>
      <c r="D147" s="34">
        <f t="shared" ref="D147:H147" si="32">D145-D146</f>
        <v>38000</v>
      </c>
      <c r="E147" s="34">
        <f t="shared" si="32"/>
        <v>56500</v>
      </c>
      <c r="F147" s="34">
        <f t="shared" si="32"/>
        <v>81800</v>
      </c>
      <c r="G147" s="34">
        <f t="shared" si="32"/>
        <v>107200</v>
      </c>
      <c r="H147" s="34">
        <f t="shared" si="32"/>
        <v>120900</v>
      </c>
      <c r="I147" s="27"/>
      <c r="J147" s="27"/>
    </row>
    <row r="148" spans="1:10" outlineLevel="1" x14ac:dyDescent="0.2">
      <c r="C148" s="34"/>
      <c r="D148" s="34"/>
      <c r="E148" s="34"/>
      <c r="F148" s="34"/>
      <c r="G148" s="34"/>
      <c r="H148" s="27"/>
      <c r="I148" s="27"/>
      <c r="J148" s="27"/>
    </row>
    <row r="149" spans="1:10" x14ac:dyDescent="0.2">
      <c r="B149" s="1"/>
    </row>
    <row r="150" spans="1:10" s="14" customFormat="1" ht="17" thickBot="1" x14ac:dyDescent="0.25">
      <c r="A150" s="4"/>
      <c r="B150" s="15" t="s">
        <v>160</v>
      </c>
    </row>
    <row r="151" spans="1:10" outlineLevel="1" x14ac:dyDescent="0.2">
      <c r="B151" s="9" t="s">
        <v>161</v>
      </c>
      <c r="C151" s="27">
        <v>117501</v>
      </c>
      <c r="D151" s="27">
        <v>180698</v>
      </c>
      <c r="E151" s="27">
        <v>273507</v>
      </c>
      <c r="F151" s="27">
        <v>404684</v>
      </c>
      <c r="G151" s="27">
        <v>607531</v>
      </c>
      <c r="H151" s="27">
        <v>873442</v>
      </c>
      <c r="I151" s="27"/>
    </row>
    <row r="152" spans="1:10" outlineLevel="1" x14ac:dyDescent="0.2">
      <c r="B152" s="9" t="s">
        <v>168</v>
      </c>
      <c r="C152" s="27">
        <v>27043</v>
      </c>
      <c r="D152" s="27">
        <v>38501</v>
      </c>
      <c r="E152" s="27">
        <v>44731</v>
      </c>
      <c r="F152" s="27">
        <v>49858</v>
      </c>
      <c r="G152" s="27">
        <v>54907</v>
      </c>
      <c r="H152" s="27">
        <v>79725</v>
      </c>
      <c r="I152" s="27"/>
    </row>
    <row r="153" spans="1:10" outlineLevel="1" x14ac:dyDescent="0.2">
      <c r="B153" s="9" t="s">
        <v>169</v>
      </c>
      <c r="C153" s="27">
        <v>15155</v>
      </c>
      <c r="D153" s="27">
        <v>24658</v>
      </c>
      <c r="E153" s="27">
        <v>32718</v>
      </c>
      <c r="F153" s="27">
        <v>41212</v>
      </c>
      <c r="G153" s="27">
        <v>45640</v>
      </c>
      <c r="H153" s="27">
        <v>42006</v>
      </c>
      <c r="I153" s="27"/>
    </row>
    <row r="154" spans="1:10" outlineLevel="1" x14ac:dyDescent="0.2">
      <c r="B154" s="9" t="s">
        <v>170</v>
      </c>
      <c r="C154" s="27">
        <v>1997</v>
      </c>
      <c r="D154" s="27">
        <v>6915</v>
      </c>
      <c r="E154" s="27">
        <v>18539</v>
      </c>
      <c r="F154" s="27">
        <v>34673</v>
      </c>
      <c r="G154" s="27">
        <v>38653</v>
      </c>
      <c r="H154" s="27">
        <v>40479</v>
      </c>
      <c r="I154" s="27"/>
    </row>
    <row r="155" spans="1:10" outlineLevel="1" x14ac:dyDescent="0.2">
      <c r="B155" s="9" t="s">
        <v>162</v>
      </c>
      <c r="C155" s="27">
        <v>0</v>
      </c>
      <c r="D155" s="27">
        <v>79</v>
      </c>
      <c r="E155" s="27">
        <v>625</v>
      </c>
      <c r="F155" s="27">
        <v>682</v>
      </c>
      <c r="G155" s="27">
        <v>1293</v>
      </c>
      <c r="H155" s="27">
        <v>1937</v>
      </c>
      <c r="I155" s="27"/>
    </row>
    <row r="156" spans="1:10" outlineLevel="1" x14ac:dyDescent="0.2">
      <c r="B156" s="9" t="s">
        <v>171</v>
      </c>
      <c r="C156" s="34">
        <f>SUM(C152:C155)</f>
        <v>44195</v>
      </c>
      <c r="D156" s="34">
        <f t="shared" ref="D156:H156" si="33">SUM(D152:D155)</f>
        <v>70153</v>
      </c>
      <c r="E156" s="34">
        <f t="shared" si="33"/>
        <v>96613</v>
      </c>
      <c r="F156" s="34">
        <f t="shared" si="33"/>
        <v>126425</v>
      </c>
      <c r="G156" s="34">
        <f t="shared" si="33"/>
        <v>140493</v>
      </c>
      <c r="H156" s="34">
        <f t="shared" si="33"/>
        <v>164147</v>
      </c>
      <c r="I156" s="27"/>
    </row>
    <row r="157" spans="1:10" outlineLevel="1" x14ac:dyDescent="0.2">
      <c r="C157" s="34"/>
      <c r="D157" s="34"/>
      <c r="E157" s="34"/>
      <c r="F157" s="34"/>
      <c r="G157" s="34"/>
      <c r="H157" s="27"/>
      <c r="I157" s="27"/>
    </row>
    <row r="158" spans="1:10" x14ac:dyDescent="0.2">
      <c r="B158" s="1"/>
    </row>
    <row r="159" spans="1:10" s="14" customFormat="1" ht="17" thickBot="1" x14ac:dyDescent="0.25">
      <c r="A159" s="4"/>
      <c r="B159" s="15" t="s">
        <v>164</v>
      </c>
    </row>
    <row r="160" spans="1:10" outlineLevel="1" x14ac:dyDescent="0.2">
      <c r="B160" s="9" t="s">
        <v>165</v>
      </c>
      <c r="C160" s="90">
        <f>C151/C146</f>
        <v>73.438124999999999</v>
      </c>
      <c r="D160" s="90">
        <f t="shared" ref="D160:H160" si="34">D151/D146</f>
        <v>72.279200000000003</v>
      </c>
      <c r="E160" s="90">
        <f t="shared" si="34"/>
        <v>65.120714285714286</v>
      </c>
      <c r="F160" s="90">
        <f t="shared" si="34"/>
        <v>61.315757575757573</v>
      </c>
      <c r="G160" s="90">
        <f t="shared" si="34"/>
        <v>63.950631578947366</v>
      </c>
      <c r="H160" s="90">
        <f t="shared" si="34"/>
        <v>71.593606557377043</v>
      </c>
    </row>
    <row r="161" spans="1:15" outlineLevel="1" x14ac:dyDescent="0.2">
      <c r="B161" s="9" t="s">
        <v>166</v>
      </c>
      <c r="C161" s="89">
        <f>C144/C145</f>
        <v>0.22343324250681199</v>
      </c>
      <c r="D161" s="89">
        <f t="shared" ref="D161:H161" si="35">D144/D145</f>
        <v>0.23703703703703705</v>
      </c>
      <c r="E161" s="89">
        <f t="shared" si="35"/>
        <v>0.26853377265238881</v>
      </c>
      <c r="F161" s="89">
        <f t="shared" si="35"/>
        <v>0.30429864253393663</v>
      </c>
      <c r="G161" s="89">
        <f t="shared" si="35"/>
        <v>0.34704370179948585</v>
      </c>
      <c r="H161" s="89">
        <f t="shared" si="35"/>
        <v>0.3959429000751315</v>
      </c>
    </row>
    <row r="162" spans="1:15" outlineLevel="1" x14ac:dyDescent="0.2">
      <c r="B162" s="9" t="s">
        <v>167</v>
      </c>
      <c r="C162" s="89">
        <f>C146/C145</f>
        <v>4.3596730245231606E-2</v>
      </c>
      <c r="D162" s="89">
        <f t="shared" ref="D162:H162" si="36">D146/D145</f>
        <v>6.1728395061728392E-2</v>
      </c>
      <c r="E162" s="89">
        <f t="shared" si="36"/>
        <v>6.919275123558484E-2</v>
      </c>
      <c r="F162" s="89">
        <f t="shared" si="36"/>
        <v>7.4660633484162894E-2</v>
      </c>
      <c r="G162" s="89">
        <f t="shared" si="36"/>
        <v>8.1405312767780638E-2</v>
      </c>
      <c r="H162" s="89">
        <f t="shared" si="36"/>
        <v>9.1660405709992482E-2</v>
      </c>
    </row>
    <row r="163" spans="1:15" outlineLevel="1" x14ac:dyDescent="0.2">
      <c r="B163" s="9" t="s">
        <v>173</v>
      </c>
      <c r="C163" s="139">
        <f>C152/C147</f>
        <v>0.77045584045584048</v>
      </c>
      <c r="D163" s="139">
        <f t="shared" ref="D163:H163" si="37">D152/D147</f>
        <v>1.0131842105263158</v>
      </c>
      <c r="E163" s="139">
        <f t="shared" si="37"/>
        <v>0.79169911504424784</v>
      </c>
      <c r="F163" s="139">
        <f t="shared" si="37"/>
        <v>0.60951100244498779</v>
      </c>
      <c r="G163" s="139">
        <f t="shared" si="37"/>
        <v>0.51219216417910451</v>
      </c>
      <c r="H163" s="139">
        <f t="shared" si="37"/>
        <v>0.65942928039702231</v>
      </c>
    </row>
    <row r="164" spans="1:15" outlineLevel="1" x14ac:dyDescent="0.2">
      <c r="B164" s="9" t="s">
        <v>202</v>
      </c>
      <c r="C164" s="89">
        <f>C154/C144</f>
        <v>0.24353658536585365</v>
      </c>
      <c r="D164" s="89">
        <f t="shared" ref="D164:H164" si="38">D154/D144</f>
        <v>0.72031250000000002</v>
      </c>
      <c r="E164" s="89">
        <f t="shared" si="38"/>
        <v>1.1373619631901841</v>
      </c>
      <c r="F164" s="89">
        <f t="shared" si="38"/>
        <v>1.2889591078066915</v>
      </c>
      <c r="G164" s="89">
        <f t="shared" si="38"/>
        <v>0.95439506172839506</v>
      </c>
      <c r="H164" s="89">
        <f t="shared" si="38"/>
        <v>0.76810246679316885</v>
      </c>
    </row>
    <row r="165" spans="1:15" outlineLevel="1" x14ac:dyDescent="0.2">
      <c r="C165" s="90"/>
      <c r="D165" s="90"/>
      <c r="E165" s="90"/>
      <c r="F165" s="90"/>
      <c r="G165" s="90"/>
    </row>
    <row r="166" spans="1:15" x14ac:dyDescent="0.2">
      <c r="B166" s="1"/>
    </row>
    <row r="167" spans="1:15" s="14" customFormat="1" ht="17" thickBot="1" x14ac:dyDescent="0.25">
      <c r="A167" s="4"/>
      <c r="B167" s="15" t="s">
        <v>331</v>
      </c>
    </row>
    <row r="168" spans="1:15" x14ac:dyDescent="0.2">
      <c r="B168" s="9" t="s">
        <v>332</v>
      </c>
      <c r="C168" s="31"/>
      <c r="D168" s="31">
        <v>110.58</v>
      </c>
      <c r="E168" s="31">
        <v>71.13</v>
      </c>
      <c r="F168" s="31">
        <v>226.85</v>
      </c>
      <c r="G168" s="31">
        <v>325.2</v>
      </c>
      <c r="H168" s="31">
        <v>177.14</v>
      </c>
      <c r="I168" s="31"/>
      <c r="J168" s="31"/>
    </row>
    <row r="170" spans="1:15" x14ac:dyDescent="0.2">
      <c r="B170" s="1"/>
    </row>
    <row r="171" spans="1:15" s="14" customFormat="1" ht="17" thickBot="1" x14ac:dyDescent="0.25">
      <c r="A171" s="4"/>
      <c r="B171" s="15" t="s">
        <v>377</v>
      </c>
    </row>
    <row r="172" spans="1:15" x14ac:dyDescent="0.2">
      <c r="B172" s="9" t="s">
        <v>237</v>
      </c>
      <c r="C172" s="168">
        <f>C47</f>
        <v>8131</v>
      </c>
      <c r="D172" s="168">
        <f t="shared" ref="D172:H172" si="39">D47</f>
        <v>29124</v>
      </c>
      <c r="E172" s="168">
        <f t="shared" si="39"/>
        <v>23503</v>
      </c>
      <c r="F172" s="168">
        <f t="shared" si="39"/>
        <v>21094</v>
      </c>
      <c r="G172" s="168">
        <f t="shared" si="39"/>
        <v>54656</v>
      </c>
      <c r="H172" s="168">
        <f t="shared" si="39"/>
        <v>93779</v>
      </c>
      <c r="I172" s="31"/>
      <c r="J172" s="31"/>
      <c r="K172" s="31"/>
      <c r="L172" s="31"/>
      <c r="M172" s="31"/>
      <c r="N172" s="31"/>
      <c r="O172" s="31"/>
    </row>
    <row r="173" spans="1:15" x14ac:dyDescent="0.2">
      <c r="B173" s="9" t="s">
        <v>241</v>
      </c>
      <c r="C173" s="168">
        <f>C25+C26</f>
        <v>120490</v>
      </c>
      <c r="D173" s="168">
        <f t="shared" ref="D173:H173" si="40">D25+D26</f>
        <v>553922</v>
      </c>
      <c r="E173" s="168">
        <f t="shared" si="40"/>
        <v>608180</v>
      </c>
      <c r="F173" s="168">
        <f t="shared" si="40"/>
        <v>747610</v>
      </c>
      <c r="G173" s="168">
        <f t="shared" si="40"/>
        <v>877645</v>
      </c>
      <c r="H173" s="168">
        <f t="shared" si="40"/>
        <v>1140467</v>
      </c>
    </row>
    <row r="174" spans="1:15" x14ac:dyDescent="0.2">
      <c r="B174" s="9" t="s">
        <v>378</v>
      </c>
      <c r="C174" s="168">
        <f>C47*Overview!$C$4</f>
        <v>569.17000000000007</v>
      </c>
      <c r="D174" s="168">
        <f>D47*Overview!$C$4</f>
        <v>2038.6800000000003</v>
      </c>
      <c r="E174" s="168">
        <f>E47*Overview!$C$4</f>
        <v>1645.2100000000003</v>
      </c>
      <c r="F174" s="168">
        <f>F47*Overview!$C$4</f>
        <v>1476.5800000000002</v>
      </c>
      <c r="G174" s="168">
        <f>G47*Overview!$C$4</f>
        <v>3825.9200000000005</v>
      </c>
      <c r="H174" s="168">
        <f>H47*Overview!$C$4</f>
        <v>6564.5300000000007</v>
      </c>
    </row>
    <row r="175" spans="1:15" x14ac:dyDescent="0.2">
      <c r="B175" s="9" t="s">
        <v>385</v>
      </c>
      <c r="C175" s="168">
        <f>C124-C174</f>
        <v>1468.83</v>
      </c>
      <c r="D175" s="168">
        <f t="shared" ref="D175:H175" si="41">D124-D174</f>
        <v>1074.3199999999997</v>
      </c>
      <c r="E175" s="168">
        <f t="shared" si="41"/>
        <v>5618.79</v>
      </c>
      <c r="F175" s="168">
        <f t="shared" si="41"/>
        <v>6282.42</v>
      </c>
      <c r="G175" s="168">
        <f t="shared" si="41"/>
        <v>6707.08</v>
      </c>
      <c r="H175" s="168">
        <f t="shared" si="41"/>
        <v>6289.4699999999993</v>
      </c>
    </row>
    <row r="176" spans="1:15" x14ac:dyDescent="0.2">
      <c r="B176" s="9" t="s">
        <v>180</v>
      </c>
      <c r="C176" s="168">
        <f>C12+C174-C175</f>
        <v>-16910.66</v>
      </c>
      <c r="D176" s="168">
        <f t="shared" ref="D176:H176" si="42">D12+D174-D175</f>
        <v>-59042.64</v>
      </c>
      <c r="E176" s="168">
        <f t="shared" si="42"/>
        <v>-69168.58</v>
      </c>
      <c r="F176" s="168">
        <f t="shared" si="42"/>
        <v>-18064.84</v>
      </c>
      <c r="G176" s="168">
        <f t="shared" si="42"/>
        <v>59713.84</v>
      </c>
      <c r="H176" s="168">
        <f t="shared" si="42"/>
        <v>135845.06</v>
      </c>
    </row>
    <row r="177" spans="2:8" x14ac:dyDescent="0.2">
      <c r="B177" s="9" t="s">
        <v>312</v>
      </c>
      <c r="C177" s="195">
        <f>C172+C55-C173</f>
        <v>-193050</v>
      </c>
      <c r="D177" s="195">
        <f t="shared" ref="D177:H177" si="43">D172+D55-D173</f>
        <v>-11742</v>
      </c>
      <c r="E177" s="195">
        <f t="shared" si="43"/>
        <v>-42599</v>
      </c>
      <c r="F177" s="195">
        <f t="shared" si="43"/>
        <v>-71015</v>
      </c>
      <c r="G177" s="195">
        <f t="shared" si="43"/>
        <v>1561</v>
      </c>
      <c r="H177" s="195">
        <f t="shared" si="43"/>
        <v>300318</v>
      </c>
    </row>
    <row r="178" spans="2:8" x14ac:dyDescent="0.2">
      <c r="B178" s="9" t="s">
        <v>235</v>
      </c>
      <c r="C178" s="195">
        <f>C176</f>
        <v>-16910.66</v>
      </c>
      <c r="D178" s="195">
        <f t="shared" ref="D178:F178" si="44">D176</f>
        <v>-59042.64</v>
      </c>
      <c r="E178" s="195">
        <f t="shared" si="44"/>
        <v>-69168.58</v>
      </c>
      <c r="F178" s="195">
        <f t="shared" si="44"/>
        <v>-18064.84</v>
      </c>
      <c r="G178" s="195">
        <f>G176*(1-G118)</f>
        <v>51698.763163059833</v>
      </c>
      <c r="H178" s="195">
        <f>H176</f>
        <v>135845.06</v>
      </c>
    </row>
    <row r="179" spans="2:8" x14ac:dyDescent="0.2">
      <c r="B179" s="9" t="s">
        <v>379</v>
      </c>
      <c r="C179" s="195">
        <f>C176+C60+C124</f>
        <v>-12616.66</v>
      </c>
      <c r="D179" s="195">
        <f t="shared" ref="D179:H179" si="45">D176+D60+D124</f>
        <v>-53203.64</v>
      </c>
      <c r="E179" s="195">
        <f t="shared" si="45"/>
        <v>-57034.58</v>
      </c>
      <c r="F179" s="195">
        <f t="shared" si="45"/>
        <v>-3210.84</v>
      </c>
      <c r="G179" s="195">
        <f t="shared" si="45"/>
        <v>81100.84</v>
      </c>
      <c r="H179" s="195">
        <f t="shared" si="45"/>
        <v>163090.06</v>
      </c>
    </row>
    <row r="181" spans="2:8" x14ac:dyDescent="0.2">
      <c r="B181" s="1"/>
    </row>
  </sheetData>
  <pageMargins left="0.7" right="0.7" top="0.75" bottom="0.75" header="0.3" footer="0.3"/>
  <ignoredErrors>
    <ignoredError sqref="C40:F40 G40:L40 C106 D106:L106 C108:G108 C101:H101 C156:H156 C49:H49" formulaRange="1"/>
    <ignoredError sqref="D133 G178"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7"/>
  <sheetViews>
    <sheetView zoomScale="164" workbookViewId="0">
      <pane xSplit="2" ySplit="3" topLeftCell="K156" activePane="bottomRight" state="frozen"/>
      <selection pane="topRight" activeCell="C1" sqref="C1"/>
      <selection pane="bottomLeft" activeCell="A4" sqref="A4"/>
      <selection pane="bottomRight" activeCell="N164" sqref="N164"/>
    </sheetView>
  </sheetViews>
  <sheetFormatPr baseColWidth="10" defaultRowHeight="16" outlineLevelRow="2" outlineLevelCol="1" x14ac:dyDescent="0.2"/>
  <cols>
    <col min="1" max="1" width="3.6640625" style="1" customWidth="1"/>
    <col min="2" max="2" width="3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152</v>
      </c>
      <c r="D2" s="3" t="s">
        <v>149</v>
      </c>
      <c r="E2" s="3" t="s">
        <v>140</v>
      </c>
      <c r="F2" s="3" t="s">
        <v>153</v>
      </c>
      <c r="G2" s="3" t="s">
        <v>151</v>
      </c>
      <c r="H2" s="37" t="s">
        <v>148</v>
      </c>
      <c r="I2" s="37" t="s">
        <v>244</v>
      </c>
      <c r="J2" s="37" t="s">
        <v>371</v>
      </c>
      <c r="K2" s="2"/>
      <c r="L2" s="2"/>
      <c r="M2" s="2"/>
      <c r="N2" s="42"/>
      <c r="O2" s="2"/>
      <c r="P2" s="44"/>
      <c r="Q2" s="45"/>
      <c r="R2" s="46"/>
      <c r="S2" s="2"/>
    </row>
    <row r="3" spans="1:19" s="5" customFormat="1" x14ac:dyDescent="0.2">
      <c r="A3" s="4"/>
      <c r="B3" s="62" t="s">
        <v>75</v>
      </c>
      <c r="C3" s="3" t="s">
        <v>77</v>
      </c>
      <c r="D3" s="3" t="s">
        <v>78</v>
      </c>
      <c r="E3" s="3" t="s">
        <v>83</v>
      </c>
      <c r="F3" s="3" t="s">
        <v>76</v>
      </c>
      <c r="G3" s="3" t="s">
        <v>79</v>
      </c>
      <c r="H3" s="37" t="s">
        <v>80</v>
      </c>
      <c r="I3" s="37" t="s">
        <v>246</v>
      </c>
      <c r="J3" s="37" t="s">
        <v>367</v>
      </c>
      <c r="K3" s="4"/>
      <c r="L3" s="4"/>
      <c r="M3" s="4"/>
      <c r="N3" s="43"/>
      <c r="O3" s="4"/>
      <c r="P3" s="47" t="str">
        <f>I3</f>
        <v>Q4 2025</v>
      </c>
      <c r="Q3" s="5" t="str">
        <f>J3</f>
        <v>Q1 2026</v>
      </c>
      <c r="R3" s="48" t="s">
        <v>87</v>
      </c>
      <c r="S3" s="4"/>
    </row>
    <row r="4" spans="1:19" s="14" customFormat="1" ht="17" thickBot="1" x14ac:dyDescent="0.25">
      <c r="A4" s="4"/>
      <c r="B4" s="15" t="s">
        <v>5</v>
      </c>
      <c r="K4" s="4"/>
      <c r="L4" s="4"/>
      <c r="M4" s="4"/>
      <c r="N4" s="38" t="s">
        <v>85</v>
      </c>
      <c r="O4" s="4"/>
      <c r="P4" s="228" t="s">
        <v>86</v>
      </c>
      <c r="Q4" s="229"/>
      <c r="R4" s="230"/>
      <c r="S4" s="4"/>
    </row>
    <row r="5" spans="1:19" s="18" customFormat="1" outlineLevel="1" x14ac:dyDescent="0.2">
      <c r="A5" s="7"/>
      <c r="B5" s="17" t="s">
        <v>6</v>
      </c>
      <c r="C5" s="51">
        <v>178327</v>
      </c>
      <c r="D5" s="51">
        <v>192594</v>
      </c>
      <c r="E5" s="51">
        <v>209550</v>
      </c>
      <c r="F5" s="51">
        <v>230743</v>
      </c>
      <c r="G5" s="51">
        <v>252265</v>
      </c>
      <c r="H5" s="51">
        <v>271713</v>
      </c>
      <c r="I5" s="51">
        <v>282868</v>
      </c>
      <c r="J5" s="51">
        <v>291967</v>
      </c>
      <c r="K5" s="21"/>
      <c r="L5" s="21"/>
      <c r="M5" s="21"/>
      <c r="N5" s="59">
        <f t="shared" ref="N5:N18" si="0">SUM(G5:J5)</f>
        <v>1098813</v>
      </c>
      <c r="O5" s="7"/>
      <c r="P5" s="69">
        <f t="shared" ref="P5:P22" si="1">I5</f>
        <v>282868</v>
      </c>
      <c r="Q5" s="54">
        <f t="shared" ref="Q5:Q22" si="2">J5</f>
        <v>291967</v>
      </c>
      <c r="R5" s="66">
        <f t="shared" ref="R5:R22" si="3">IF(P5=0,
IF(Q5=0,0,IF(Q5&gt;0,1,-1)),
(Q5-P5)/ABS(P5)
)</f>
        <v>3.2166947127281985E-2</v>
      </c>
      <c r="S5" s="7"/>
    </row>
    <row r="6" spans="1:19" outlineLevel="1" x14ac:dyDescent="0.2">
      <c r="B6" s="9" t="s">
        <v>7</v>
      </c>
      <c r="C6" s="27">
        <v>47349</v>
      </c>
      <c r="D6" s="27">
        <v>52180</v>
      </c>
      <c r="E6" s="27">
        <v>58925</v>
      </c>
      <c r="F6" s="27">
        <v>66647</v>
      </c>
      <c r="G6" s="27">
        <v>69684</v>
      </c>
      <c r="H6" s="27">
        <v>74802</v>
      </c>
      <c r="I6" s="27">
        <v>76999</v>
      </c>
      <c r="J6" s="27">
        <v>78871</v>
      </c>
      <c r="K6" s="20"/>
      <c r="L6" s="20"/>
      <c r="M6" s="20"/>
      <c r="N6" s="39">
        <f>SUM(G6:J6)</f>
        <v>300356</v>
      </c>
      <c r="P6" s="49">
        <f t="shared" si="1"/>
        <v>76999</v>
      </c>
      <c r="Q6" s="20">
        <f t="shared" si="2"/>
        <v>78871</v>
      </c>
      <c r="R6" s="50">
        <f t="shared" si="3"/>
        <v>2.4312004052000676E-2</v>
      </c>
    </row>
    <row r="7" spans="1:19" s="18" customFormat="1" outlineLevel="1" x14ac:dyDescent="0.2">
      <c r="A7" s="7"/>
      <c r="B7" s="17" t="s">
        <v>8</v>
      </c>
      <c r="C7" s="54">
        <f>C5-C6</f>
        <v>130978</v>
      </c>
      <c r="D7" s="54">
        <f t="shared" ref="D7:H7" si="4">D5-D6</f>
        <v>140414</v>
      </c>
      <c r="E7" s="54">
        <f t="shared" si="4"/>
        <v>150625</v>
      </c>
      <c r="F7" s="54">
        <f t="shared" si="4"/>
        <v>164096</v>
      </c>
      <c r="G7" s="54">
        <f t="shared" si="4"/>
        <v>182581</v>
      </c>
      <c r="H7" s="54">
        <f t="shared" si="4"/>
        <v>196911</v>
      </c>
      <c r="I7" s="54">
        <f t="shared" ref="I7:J7" si="5">I5-I6</f>
        <v>205869</v>
      </c>
      <c r="J7" s="54">
        <f t="shared" si="5"/>
        <v>213096</v>
      </c>
      <c r="K7" s="21"/>
      <c r="L7" s="21"/>
      <c r="M7" s="21"/>
      <c r="N7" s="59">
        <f t="shared" si="0"/>
        <v>798457</v>
      </c>
      <c r="O7" s="7"/>
      <c r="P7" s="69">
        <f t="shared" si="1"/>
        <v>205869</v>
      </c>
      <c r="Q7" s="54">
        <f t="shared" si="2"/>
        <v>213096</v>
      </c>
      <c r="R7" s="66">
        <f t="shared" si="3"/>
        <v>3.5104848228727975E-2</v>
      </c>
      <c r="S7" s="7"/>
    </row>
    <row r="8" spans="1:19" outlineLevel="1" x14ac:dyDescent="0.2">
      <c r="B8" s="9" t="s">
        <v>9</v>
      </c>
      <c r="C8" s="27">
        <v>55147</v>
      </c>
      <c r="D8" s="27">
        <v>62878</v>
      </c>
      <c r="E8" s="27">
        <v>66395</v>
      </c>
      <c r="F8" s="27">
        <v>70390</v>
      </c>
      <c r="G8" s="27">
        <v>73670</v>
      </c>
      <c r="H8" s="27">
        <v>82707</v>
      </c>
      <c r="I8" s="27">
        <v>79556</v>
      </c>
      <c r="J8" s="27">
        <v>82974</v>
      </c>
      <c r="K8" s="20"/>
      <c r="L8" s="20"/>
      <c r="M8" s="20"/>
      <c r="N8" s="39">
        <f t="shared" si="0"/>
        <v>318907</v>
      </c>
      <c r="P8" s="49">
        <f t="shared" si="1"/>
        <v>79556</v>
      </c>
      <c r="Q8" s="20">
        <f t="shared" si="2"/>
        <v>82974</v>
      </c>
      <c r="R8" s="50">
        <f t="shared" si="3"/>
        <v>4.2963447131580269E-2</v>
      </c>
    </row>
    <row r="9" spans="1:19" s="8" customFormat="1" outlineLevel="1" x14ac:dyDescent="0.2">
      <c r="B9" s="12" t="s">
        <v>108</v>
      </c>
      <c r="C9" s="27">
        <v>20174</v>
      </c>
      <c r="D9" s="27">
        <v>25574</v>
      </c>
      <c r="E9" s="27">
        <v>24815</v>
      </c>
      <c r="F9" s="27">
        <v>26662</v>
      </c>
      <c r="G9" s="27">
        <v>29563</v>
      </c>
      <c r="H9" s="27">
        <v>35081</v>
      </c>
      <c r="I9" s="27">
        <v>34371</v>
      </c>
      <c r="J9" s="27">
        <v>39249</v>
      </c>
      <c r="K9" s="20"/>
      <c r="L9" s="20"/>
      <c r="M9" s="20"/>
      <c r="N9" s="39">
        <f t="shared" si="0"/>
        <v>138264</v>
      </c>
      <c r="P9" s="70">
        <f t="shared" si="1"/>
        <v>34371</v>
      </c>
      <c r="Q9" s="34">
        <f t="shared" si="2"/>
        <v>39249</v>
      </c>
      <c r="R9" s="67">
        <f t="shared" si="3"/>
        <v>0.14192196910185911</v>
      </c>
    </row>
    <row r="10" spans="1:19" outlineLevel="1" x14ac:dyDescent="0.2">
      <c r="B10" s="12" t="s">
        <v>109</v>
      </c>
      <c r="C10" s="27">
        <v>36957</v>
      </c>
      <c r="D10" s="27">
        <v>38388</v>
      </c>
      <c r="E10" s="27">
        <v>45533</v>
      </c>
      <c r="F10" s="27">
        <v>43450</v>
      </c>
      <c r="G10" s="27">
        <v>45985</v>
      </c>
      <c r="H10" s="27">
        <v>43964</v>
      </c>
      <c r="I10" s="27">
        <v>48488</v>
      </c>
      <c r="J10" s="27">
        <v>46346</v>
      </c>
      <c r="K10" s="20"/>
      <c r="L10" s="20"/>
      <c r="M10" s="20"/>
      <c r="N10" s="39">
        <f t="shared" si="0"/>
        <v>184783</v>
      </c>
      <c r="P10" s="49">
        <f t="shared" si="1"/>
        <v>48488</v>
      </c>
      <c r="Q10" s="20">
        <f t="shared" si="2"/>
        <v>46346</v>
      </c>
      <c r="R10" s="50">
        <f t="shared" si="3"/>
        <v>-4.4175878567893088E-2</v>
      </c>
    </row>
    <row r="11" spans="1:19" outlineLevel="1" x14ac:dyDescent="0.2">
      <c r="B11" s="12" t="s">
        <v>11</v>
      </c>
      <c r="C11" s="20">
        <f t="shared" ref="C11:H11" si="6">SUM(C8:C10)</f>
        <v>112278</v>
      </c>
      <c r="D11" s="20">
        <f t="shared" si="6"/>
        <v>126840</v>
      </c>
      <c r="E11" s="20">
        <f t="shared" si="6"/>
        <v>136743</v>
      </c>
      <c r="F11" s="20">
        <f t="shared" si="6"/>
        <v>140502</v>
      </c>
      <c r="G11" s="20">
        <f t="shared" si="6"/>
        <v>149218</v>
      </c>
      <c r="H11" s="20">
        <f t="shared" si="6"/>
        <v>161752</v>
      </c>
      <c r="I11" s="20">
        <f t="shared" ref="I11:J11" si="7">SUM(I8:I10)</f>
        <v>162415</v>
      </c>
      <c r="J11" s="20">
        <f t="shared" si="7"/>
        <v>168569</v>
      </c>
      <c r="K11" s="20"/>
      <c r="L11" s="20"/>
      <c r="M11" s="20"/>
      <c r="N11" s="39">
        <f t="shared" si="0"/>
        <v>641954</v>
      </c>
      <c r="P11" s="49">
        <f t="shared" si="1"/>
        <v>162415</v>
      </c>
      <c r="Q11" s="20">
        <f>J11</f>
        <v>168569</v>
      </c>
      <c r="R11" s="50">
        <f t="shared" si="3"/>
        <v>3.7890588923436871E-2</v>
      </c>
    </row>
    <row r="12" spans="1:19" s="18" customFormat="1" outlineLevel="1" x14ac:dyDescent="0.2">
      <c r="A12" s="7"/>
      <c r="B12" s="17" t="s">
        <v>12</v>
      </c>
      <c r="C12" s="51">
        <v>18700</v>
      </c>
      <c r="D12" s="51">
        <v>13574</v>
      </c>
      <c r="E12" s="51">
        <v>13882</v>
      </c>
      <c r="F12" s="51">
        <v>23594</v>
      </c>
      <c r="G12" s="51">
        <v>33363</v>
      </c>
      <c r="H12" s="51">
        <v>35159</v>
      </c>
      <c r="I12" s="51">
        <v>43454</v>
      </c>
      <c r="J12" s="51">
        <v>44527</v>
      </c>
      <c r="K12" s="21"/>
      <c r="L12" s="21"/>
      <c r="M12" s="21"/>
      <c r="N12" s="59">
        <f t="shared" si="0"/>
        <v>156503</v>
      </c>
      <c r="O12" s="7"/>
      <c r="P12" s="69">
        <f t="shared" si="1"/>
        <v>43454</v>
      </c>
      <c r="Q12" s="54">
        <f t="shared" si="2"/>
        <v>44527</v>
      </c>
      <c r="R12" s="66">
        <f t="shared" si="3"/>
        <v>2.4692778570442307E-2</v>
      </c>
      <c r="S12" s="7"/>
    </row>
    <row r="13" spans="1:19" outlineLevel="1" x14ac:dyDescent="0.2">
      <c r="B13" s="12" t="s">
        <v>110</v>
      </c>
      <c r="C13" s="27">
        <v>0</v>
      </c>
      <c r="D13" s="27">
        <v>569</v>
      </c>
      <c r="E13" s="27">
        <v>0</v>
      </c>
      <c r="F13" s="27">
        <v>1001</v>
      </c>
      <c r="G13" s="27">
        <v>1660</v>
      </c>
      <c r="H13" s="27">
        <v>0</v>
      </c>
      <c r="I13" s="27">
        <v>0</v>
      </c>
      <c r="J13" s="27">
        <v>0</v>
      </c>
      <c r="K13" s="20"/>
      <c r="L13" s="20"/>
      <c r="M13" s="20"/>
      <c r="N13" s="39">
        <f t="shared" si="0"/>
        <v>1660</v>
      </c>
      <c r="P13" s="49">
        <f t="shared" si="1"/>
        <v>0</v>
      </c>
      <c r="Q13" s="20">
        <f t="shared" si="2"/>
        <v>0</v>
      </c>
      <c r="R13" s="50">
        <f t="shared" si="3"/>
        <v>0</v>
      </c>
    </row>
    <row r="14" spans="1:19" outlineLevel="1" x14ac:dyDescent="0.2">
      <c r="B14" s="12" t="s">
        <v>130</v>
      </c>
      <c r="C14" s="27">
        <v>-707</v>
      </c>
      <c r="D14" s="27">
        <v>0</v>
      </c>
      <c r="E14" s="27">
        <v>-2227</v>
      </c>
      <c r="F14" s="27">
        <v>0</v>
      </c>
      <c r="G14" s="27">
        <v>0</v>
      </c>
      <c r="H14" s="27">
        <v>-503</v>
      </c>
      <c r="I14" s="27">
        <v>-549</v>
      </c>
      <c r="J14" s="27">
        <v>-786</v>
      </c>
      <c r="K14" s="20"/>
      <c r="L14" s="20"/>
      <c r="M14" s="20"/>
      <c r="N14" s="39">
        <f t="shared" si="0"/>
        <v>-1838</v>
      </c>
      <c r="P14" s="49">
        <f t="shared" si="1"/>
        <v>-549</v>
      </c>
      <c r="Q14" s="20">
        <f t="shared" si="2"/>
        <v>-786</v>
      </c>
      <c r="R14" s="50">
        <f t="shared" si="3"/>
        <v>-0.43169398907103823</v>
      </c>
    </row>
    <row r="15" spans="1:19" outlineLevel="1" x14ac:dyDescent="0.2">
      <c r="B15" s="12" t="s">
        <v>131</v>
      </c>
      <c r="C15" s="27">
        <v>10721</v>
      </c>
      <c r="D15" s="27">
        <v>11246</v>
      </c>
      <c r="E15" s="27">
        <v>10697</v>
      </c>
      <c r="F15" s="27">
        <v>10415</v>
      </c>
      <c r="G15" s="27">
        <v>11427</v>
      </c>
      <c r="H15" s="27">
        <v>11793</v>
      </c>
      <c r="I15" s="27">
        <v>11596</v>
      </c>
      <c r="J15" s="27">
        <v>11811</v>
      </c>
      <c r="K15" s="20"/>
      <c r="L15" s="20"/>
      <c r="M15" s="20"/>
      <c r="N15" s="39">
        <f t="shared" si="0"/>
        <v>46627</v>
      </c>
      <c r="P15" s="49">
        <f t="shared" si="1"/>
        <v>11596</v>
      </c>
      <c r="Q15" s="20">
        <f t="shared" si="2"/>
        <v>11811</v>
      </c>
      <c r="R15" s="50">
        <f t="shared" si="3"/>
        <v>1.8540876164194548E-2</v>
      </c>
    </row>
    <row r="16" spans="1:19" s="18" customFormat="1" outlineLevel="1" x14ac:dyDescent="0.2">
      <c r="A16" s="7"/>
      <c r="B16" s="17" t="s">
        <v>13</v>
      </c>
      <c r="C16" s="51">
        <v>28714</v>
      </c>
      <c r="D16" s="51">
        <v>25389</v>
      </c>
      <c r="E16" s="51">
        <v>22352</v>
      </c>
      <c r="F16" s="51">
        <v>35010</v>
      </c>
      <c r="G16" s="51">
        <v>46450</v>
      </c>
      <c r="H16" s="51">
        <v>46449</v>
      </c>
      <c r="I16" s="51">
        <v>54501</v>
      </c>
      <c r="J16" s="51">
        <v>55552</v>
      </c>
      <c r="K16" s="21"/>
      <c r="L16" s="21"/>
      <c r="M16" s="21"/>
      <c r="N16" s="59">
        <f t="shared" si="0"/>
        <v>202952</v>
      </c>
      <c r="O16" s="7"/>
      <c r="P16" s="69">
        <f t="shared" si="1"/>
        <v>54501</v>
      </c>
      <c r="Q16" s="54">
        <f t="shared" si="2"/>
        <v>55552</v>
      </c>
      <c r="R16" s="66">
        <f t="shared" si="3"/>
        <v>1.9284049833948002E-2</v>
      </c>
      <c r="S16" s="7"/>
    </row>
    <row r="17" spans="1:19" outlineLevel="1" x14ac:dyDescent="0.2">
      <c r="B17" s="12" t="s">
        <v>82</v>
      </c>
      <c r="C17" s="27">
        <v>-4363</v>
      </c>
      <c r="D17" s="27">
        <v>-2029</v>
      </c>
      <c r="E17" s="27">
        <v>-8445</v>
      </c>
      <c r="F17" s="27">
        <v>125</v>
      </c>
      <c r="G17" s="27">
        <v>-1669</v>
      </c>
      <c r="H17" s="27">
        <v>245746</v>
      </c>
      <c r="I17" s="27">
        <v>-12547</v>
      </c>
      <c r="J17" s="27">
        <v>-12092</v>
      </c>
      <c r="K17" s="20"/>
      <c r="L17" s="20"/>
      <c r="M17" s="20"/>
      <c r="N17" s="39">
        <f t="shared" si="0"/>
        <v>219438</v>
      </c>
      <c r="P17" s="49">
        <f t="shared" si="1"/>
        <v>-12547</v>
      </c>
      <c r="Q17" s="20">
        <f t="shared" si="2"/>
        <v>-12092</v>
      </c>
      <c r="R17" s="50">
        <f t="shared" si="3"/>
        <v>3.626364868095959E-2</v>
      </c>
    </row>
    <row r="18" spans="1:19" s="18" customFormat="1" outlineLevel="1" x14ac:dyDescent="0.2">
      <c r="A18" s="7"/>
      <c r="B18" s="17" t="s">
        <v>14</v>
      </c>
      <c r="C18" s="51">
        <v>24351</v>
      </c>
      <c r="D18" s="51">
        <v>23360</v>
      </c>
      <c r="E18" s="51">
        <v>13907</v>
      </c>
      <c r="F18" s="51">
        <v>35135</v>
      </c>
      <c r="G18" s="51">
        <v>44781</v>
      </c>
      <c r="H18" s="51">
        <v>292195</v>
      </c>
      <c r="I18" s="51">
        <v>41954</v>
      </c>
      <c r="J18" s="51">
        <v>43460</v>
      </c>
      <c r="K18" s="21"/>
      <c r="L18" s="21"/>
      <c r="M18" s="21"/>
      <c r="N18" s="59">
        <f t="shared" si="0"/>
        <v>422390</v>
      </c>
      <c r="O18" s="7"/>
      <c r="P18" s="69">
        <f t="shared" si="1"/>
        <v>41954</v>
      </c>
      <c r="Q18" s="54">
        <f t="shared" si="2"/>
        <v>43460</v>
      </c>
      <c r="R18" s="66">
        <f t="shared" si="3"/>
        <v>3.5896458025456456E-2</v>
      </c>
      <c r="S18" s="7"/>
    </row>
    <row r="19" spans="1:19" outlineLevel="1" x14ac:dyDescent="0.2">
      <c r="B19" s="12" t="s">
        <v>15</v>
      </c>
      <c r="C19" s="27">
        <v>43260</v>
      </c>
      <c r="D19" s="27">
        <v>43707</v>
      </c>
      <c r="E19" s="27">
        <v>43504</v>
      </c>
      <c r="F19" s="27">
        <v>45148</v>
      </c>
      <c r="G19" s="27">
        <v>45610</v>
      </c>
      <c r="H19" s="27">
        <v>45950</v>
      </c>
      <c r="I19" s="27">
        <v>45753.038674033145</v>
      </c>
      <c r="J19" s="27">
        <v>46793</v>
      </c>
      <c r="K19" s="20"/>
      <c r="L19" s="20"/>
      <c r="M19" s="20"/>
      <c r="N19" s="39">
        <f>AVERAGE(G19:J19)</f>
        <v>46026.509668508283</v>
      </c>
      <c r="P19" s="49">
        <f t="shared" si="1"/>
        <v>45753.038674033145</v>
      </c>
      <c r="Q19" s="20">
        <f t="shared" si="2"/>
        <v>46793</v>
      </c>
      <c r="R19" s="50">
        <f t="shared" si="3"/>
        <v>2.2729885404465574E-2</v>
      </c>
    </row>
    <row r="20" spans="1:19" outlineLevel="1" x14ac:dyDescent="0.2">
      <c r="B20" s="12" t="s">
        <v>16</v>
      </c>
      <c r="C20" s="27">
        <v>47770</v>
      </c>
      <c r="D20" s="27">
        <v>47969</v>
      </c>
      <c r="E20" s="27">
        <v>47101</v>
      </c>
      <c r="F20" s="27">
        <v>48497</v>
      </c>
      <c r="G20" s="27">
        <v>49000</v>
      </c>
      <c r="H20" s="27">
        <v>49144</v>
      </c>
      <c r="I20" s="27">
        <v>48315.63593932322</v>
      </c>
      <c r="J20" s="27">
        <v>48987</v>
      </c>
      <c r="K20" s="20"/>
      <c r="L20" s="20"/>
      <c r="M20" s="20"/>
      <c r="N20" s="39">
        <f>AVERAGE((G20:J20))</f>
        <v>48861.658984830807</v>
      </c>
      <c r="P20" s="49">
        <f t="shared" si="1"/>
        <v>48315.63593932322</v>
      </c>
      <c r="Q20" s="20">
        <f t="shared" si="2"/>
        <v>48987</v>
      </c>
      <c r="R20" s="50">
        <f t="shared" si="3"/>
        <v>1.3895378744883068E-2</v>
      </c>
    </row>
    <row r="21" spans="1:19" outlineLevel="1" x14ac:dyDescent="0.2">
      <c r="B21" s="12" t="s">
        <v>17</v>
      </c>
      <c r="C21" s="31">
        <v>0.56000000000000005</v>
      </c>
      <c r="D21" s="31">
        <v>0.53</v>
      </c>
      <c r="E21" s="31">
        <v>0.31967175432144168</v>
      </c>
      <c r="F21" s="31">
        <v>0.78</v>
      </c>
      <c r="G21" s="31">
        <v>0.98</v>
      </c>
      <c r="H21" s="31">
        <v>6.36</v>
      </c>
      <c r="I21" s="31">
        <v>0.91696641831596493</v>
      </c>
      <c r="J21" s="31">
        <v>0.93</v>
      </c>
      <c r="K21" s="25"/>
      <c r="L21" s="25"/>
      <c r="M21" s="25"/>
      <c r="N21" s="40">
        <f>N18/N19</f>
        <v>9.1771025663717172</v>
      </c>
      <c r="P21" s="71">
        <f t="shared" si="1"/>
        <v>0.91696641831596493</v>
      </c>
      <c r="Q21" s="72">
        <f t="shared" si="2"/>
        <v>0.93</v>
      </c>
      <c r="R21" s="50">
        <f t="shared" si="3"/>
        <v>1.421380480647445E-2</v>
      </c>
    </row>
    <row r="22" spans="1:19" s="16" customFormat="1" ht="17" outlineLevel="1" thickBot="1" x14ac:dyDescent="0.25">
      <c r="A22" s="1"/>
      <c r="B22" s="10" t="s">
        <v>18</v>
      </c>
      <c r="C22" s="32">
        <v>0.51</v>
      </c>
      <c r="D22" s="32">
        <v>0.49</v>
      </c>
      <c r="E22" s="32">
        <v>0.29525912401010596</v>
      </c>
      <c r="F22" s="32">
        <v>0.72</v>
      </c>
      <c r="G22" s="32">
        <v>0.91</v>
      </c>
      <c r="H22" s="32">
        <v>5.95</v>
      </c>
      <c r="I22" s="32">
        <v>0.86833173535556019</v>
      </c>
      <c r="J22" s="32">
        <v>0.89</v>
      </c>
      <c r="K22" s="25"/>
      <c r="L22" s="25"/>
      <c r="M22" s="25"/>
      <c r="N22" s="41">
        <f>N18/N20</f>
        <v>8.6446102890434346</v>
      </c>
      <c r="O22" s="1"/>
      <c r="P22" s="73">
        <f t="shared" si="1"/>
        <v>0.86833173535556019</v>
      </c>
      <c r="Q22" s="74">
        <f t="shared" si="2"/>
        <v>0.89</v>
      </c>
      <c r="R22" s="68">
        <f t="shared" si="3"/>
        <v>2.4953901558794477E-2</v>
      </c>
      <c r="S22" s="1"/>
    </row>
    <row r="23" spans="1:19" s="16" customFormat="1" ht="17" thickBot="1" x14ac:dyDescent="0.25">
      <c r="A23" s="1"/>
      <c r="B23" s="6"/>
      <c r="D23" s="6"/>
      <c r="E23" s="6"/>
      <c r="F23" s="6"/>
      <c r="G23" s="6"/>
      <c r="H23" s="6"/>
      <c r="I23" s="8"/>
      <c r="J23" s="8"/>
      <c r="K23" s="8"/>
      <c r="L23" s="8"/>
      <c r="M23" s="8"/>
      <c r="O23" s="1"/>
      <c r="S23" s="1"/>
    </row>
    <row r="24" spans="1:19" s="14" customFormat="1" ht="17" thickBot="1" x14ac:dyDescent="0.25">
      <c r="A24" s="4"/>
      <c r="B24" s="15" t="s">
        <v>19</v>
      </c>
      <c r="H24" s="165"/>
      <c r="I24" s="165"/>
      <c r="J24" s="165"/>
      <c r="K24" s="4"/>
      <c r="L24" s="4"/>
      <c r="M24" s="4"/>
      <c r="O24" s="4"/>
      <c r="S24" s="4"/>
    </row>
    <row r="25" spans="1:19" outlineLevel="1" x14ac:dyDescent="0.2">
      <c r="B25" s="9" t="s">
        <v>20</v>
      </c>
      <c r="C25" s="27"/>
      <c r="D25" s="27"/>
      <c r="E25" s="27">
        <v>785791</v>
      </c>
      <c r="F25" s="27">
        <v>883996</v>
      </c>
      <c r="G25" s="27">
        <v>976231</v>
      </c>
      <c r="H25" s="27">
        <v>1011542</v>
      </c>
      <c r="I25" s="27">
        <v>1036389</v>
      </c>
      <c r="J25" s="27">
        <v>1138561</v>
      </c>
      <c r="K25" s="20"/>
      <c r="L25" s="20"/>
      <c r="M25" s="20"/>
      <c r="N25" s="20">
        <f>J25</f>
        <v>1138561</v>
      </c>
    </row>
    <row r="26" spans="1:19" outlineLevel="1" x14ac:dyDescent="0.2">
      <c r="B26" s="9" t="s">
        <v>141</v>
      </c>
      <c r="C26" s="27"/>
      <c r="D26" s="27"/>
      <c r="E26" s="27">
        <v>91854</v>
      </c>
      <c r="F26" s="27">
        <v>115284</v>
      </c>
      <c r="G26" s="27">
        <v>121652</v>
      </c>
      <c r="H26" s="27">
        <v>109912</v>
      </c>
      <c r="I26" s="27">
        <v>104078</v>
      </c>
      <c r="J26" s="27">
        <v>113049</v>
      </c>
      <c r="K26" s="20"/>
      <c r="L26" s="20"/>
      <c r="M26" s="20"/>
      <c r="N26" s="20">
        <f t="shared" ref="N26:N56" si="8">J26</f>
        <v>113049</v>
      </c>
    </row>
    <row r="27" spans="1:19" outlineLevel="1" x14ac:dyDescent="0.2">
      <c r="B27" s="9" t="s">
        <v>21</v>
      </c>
      <c r="C27" s="27"/>
      <c r="D27" s="27"/>
      <c r="E27" s="27">
        <v>128923</v>
      </c>
      <c r="F27" s="27">
        <v>114183</v>
      </c>
      <c r="G27" s="27">
        <v>112919</v>
      </c>
      <c r="H27" s="27">
        <v>124489</v>
      </c>
      <c r="I27" s="27">
        <v>162827</v>
      </c>
      <c r="J27" s="27">
        <v>125086</v>
      </c>
      <c r="K27" s="20"/>
      <c r="L27" s="20"/>
      <c r="M27" s="20"/>
      <c r="N27" s="20">
        <f t="shared" si="8"/>
        <v>125086</v>
      </c>
    </row>
    <row r="28" spans="1:19" outlineLevel="1" x14ac:dyDescent="0.2">
      <c r="B28" s="9" t="s">
        <v>112</v>
      </c>
      <c r="C28" s="27"/>
      <c r="D28" s="27"/>
      <c r="E28" s="27">
        <v>80162</v>
      </c>
      <c r="F28" s="27">
        <v>89564</v>
      </c>
      <c r="G28" s="27">
        <v>93794</v>
      </c>
      <c r="H28" s="27">
        <v>94570</v>
      </c>
      <c r="I28" s="27">
        <v>102663</v>
      </c>
      <c r="J28" s="27">
        <v>104513</v>
      </c>
      <c r="K28" s="20"/>
      <c r="L28" s="20"/>
      <c r="M28" s="20"/>
      <c r="N28" s="20">
        <f t="shared" si="8"/>
        <v>104513</v>
      </c>
    </row>
    <row r="29" spans="1:19" outlineLevel="1" x14ac:dyDescent="0.2">
      <c r="B29" s="9" t="s">
        <v>150</v>
      </c>
      <c r="C29" s="27"/>
      <c r="D29" s="27"/>
      <c r="E29" s="27">
        <v>0</v>
      </c>
      <c r="F29" s="27">
        <v>0</v>
      </c>
      <c r="G29" s="27">
        <v>0</v>
      </c>
      <c r="H29" s="27">
        <v>9886</v>
      </c>
      <c r="I29" s="27">
        <v>14067</v>
      </c>
      <c r="J29" s="27">
        <v>5092</v>
      </c>
      <c r="K29" s="20"/>
      <c r="L29" s="20"/>
      <c r="M29" s="20"/>
      <c r="N29" s="20">
        <f t="shared" si="8"/>
        <v>5092</v>
      </c>
    </row>
    <row r="30" spans="1:19" outlineLevel="1" x14ac:dyDescent="0.2">
      <c r="B30" s="9" t="s">
        <v>132</v>
      </c>
      <c r="C30" s="27"/>
      <c r="D30" s="27"/>
      <c r="E30" s="27">
        <v>14858</v>
      </c>
      <c r="F30" s="27">
        <v>16630</v>
      </c>
      <c r="G30" s="27">
        <v>19394</v>
      </c>
      <c r="H30" s="27">
        <v>16706</v>
      </c>
      <c r="I30" s="27">
        <v>16582</v>
      </c>
      <c r="J30" s="27">
        <v>19658</v>
      </c>
      <c r="K30" s="20"/>
      <c r="L30" s="20"/>
      <c r="M30" s="20"/>
      <c r="N30" s="20">
        <f t="shared" si="8"/>
        <v>19658</v>
      </c>
    </row>
    <row r="31" spans="1:19" s="7" customFormat="1" outlineLevel="1" x14ac:dyDescent="0.2">
      <c r="B31" s="11" t="s">
        <v>22</v>
      </c>
      <c r="C31" s="55"/>
      <c r="D31" s="55"/>
      <c r="E31" s="55">
        <v>1101588</v>
      </c>
      <c r="F31" s="55">
        <v>1219657</v>
      </c>
      <c r="G31" s="55">
        <v>1323990</v>
      </c>
      <c r="H31" s="55">
        <v>1367105</v>
      </c>
      <c r="I31" s="55">
        <v>1436606</v>
      </c>
      <c r="J31" s="55">
        <v>1505959</v>
      </c>
      <c r="K31" s="21"/>
      <c r="L31" s="21"/>
      <c r="M31" s="21"/>
      <c r="N31" s="86">
        <f t="shared" si="8"/>
        <v>1505959</v>
      </c>
    </row>
    <row r="32" spans="1:19" outlineLevel="1" x14ac:dyDescent="0.2">
      <c r="B32" s="9" t="s">
        <v>24</v>
      </c>
      <c r="C32" s="27"/>
      <c r="D32" s="27"/>
      <c r="E32" s="27">
        <v>18943</v>
      </c>
      <c r="F32" s="27">
        <v>19161</v>
      </c>
      <c r="G32" s="27">
        <v>19685</v>
      </c>
      <c r="H32" s="27">
        <v>24626</v>
      </c>
      <c r="I32" s="27">
        <v>36297</v>
      </c>
      <c r="J32" s="27">
        <v>36966</v>
      </c>
      <c r="K32" s="20"/>
      <c r="L32" s="20"/>
      <c r="M32" s="20"/>
      <c r="N32" s="20">
        <f t="shared" si="8"/>
        <v>36966</v>
      </c>
    </row>
    <row r="33" spans="1:19" outlineLevel="1" x14ac:dyDescent="0.2">
      <c r="B33" s="9" t="s">
        <v>25</v>
      </c>
      <c r="C33" s="27"/>
      <c r="D33" s="27"/>
      <c r="E33" s="27">
        <v>10538</v>
      </c>
      <c r="F33" s="27">
        <v>10538</v>
      </c>
      <c r="G33" s="27">
        <v>10538</v>
      </c>
      <c r="H33" s="27">
        <v>35335</v>
      </c>
      <c r="I33" s="27">
        <v>35335</v>
      </c>
      <c r="J33" s="27">
        <v>35335</v>
      </c>
      <c r="K33" s="20"/>
      <c r="L33" s="20"/>
      <c r="M33" s="20"/>
      <c r="N33" s="20">
        <f t="shared" si="8"/>
        <v>35335</v>
      </c>
    </row>
    <row r="34" spans="1:19" outlineLevel="1" x14ac:dyDescent="0.2">
      <c r="B34" s="9" t="s">
        <v>133</v>
      </c>
      <c r="C34" s="27"/>
      <c r="D34" s="27"/>
      <c r="E34" s="27">
        <v>19899</v>
      </c>
      <c r="F34" s="27">
        <v>18872</v>
      </c>
      <c r="G34" s="27">
        <v>19924</v>
      </c>
      <c r="H34" s="27">
        <v>27968</v>
      </c>
      <c r="I34" s="27">
        <v>28309</v>
      </c>
      <c r="J34" s="27">
        <v>28327</v>
      </c>
      <c r="K34" s="20"/>
      <c r="L34" s="20"/>
      <c r="M34" s="20"/>
      <c r="N34" s="20">
        <f t="shared" si="8"/>
        <v>28327</v>
      </c>
    </row>
    <row r="35" spans="1:19" outlineLevel="1" x14ac:dyDescent="0.2">
      <c r="B35" s="9" t="s">
        <v>114</v>
      </c>
      <c r="C35" s="27"/>
      <c r="D35" s="27"/>
      <c r="E35" s="27">
        <v>47495</v>
      </c>
      <c r="F35" s="27">
        <v>46369</v>
      </c>
      <c r="G35" s="27">
        <v>80987</v>
      </c>
      <c r="H35" s="27">
        <v>79266</v>
      </c>
      <c r="I35" s="27">
        <v>80380</v>
      </c>
      <c r="J35" s="27">
        <v>79944</v>
      </c>
      <c r="K35" s="20"/>
      <c r="L35" s="20"/>
      <c r="M35" s="20"/>
      <c r="N35" s="20">
        <f t="shared" si="8"/>
        <v>79944</v>
      </c>
    </row>
    <row r="36" spans="1:19" outlineLevel="1" x14ac:dyDescent="0.2">
      <c r="B36" s="9" t="s">
        <v>142</v>
      </c>
      <c r="C36" s="27"/>
      <c r="D36" s="27"/>
      <c r="E36" s="27">
        <v>98292</v>
      </c>
      <c r="F36" s="27">
        <v>83342</v>
      </c>
      <c r="G36" s="27">
        <v>75362</v>
      </c>
      <c r="H36" s="27">
        <v>98735</v>
      </c>
      <c r="I36" s="27">
        <v>135098</v>
      </c>
      <c r="J36" s="27">
        <v>140211</v>
      </c>
      <c r="K36" s="20"/>
      <c r="L36" s="20"/>
      <c r="M36" s="20"/>
      <c r="N36" s="20">
        <f t="shared" si="8"/>
        <v>140211</v>
      </c>
    </row>
    <row r="37" spans="1:19" outlineLevel="1" x14ac:dyDescent="0.2">
      <c r="B37" s="9" t="s">
        <v>23</v>
      </c>
      <c r="C37" s="27"/>
      <c r="D37" s="27"/>
      <c r="E37" s="27">
        <v>675</v>
      </c>
      <c r="F37" s="27">
        <v>675</v>
      </c>
      <c r="G37" s="27">
        <v>675</v>
      </c>
      <c r="H37" s="27">
        <v>240172</v>
      </c>
      <c r="I37" s="27">
        <v>227339</v>
      </c>
      <c r="J37" s="27">
        <v>217837</v>
      </c>
      <c r="K37" s="20"/>
      <c r="L37" s="20"/>
      <c r="M37" s="20"/>
      <c r="N37" s="20">
        <f t="shared" si="8"/>
        <v>217837</v>
      </c>
    </row>
    <row r="38" spans="1:19" outlineLevel="1" x14ac:dyDescent="0.2">
      <c r="B38" s="9" t="s">
        <v>38</v>
      </c>
      <c r="C38" s="27"/>
      <c r="D38" s="27"/>
      <c r="E38" s="27">
        <v>2735</v>
      </c>
      <c r="F38" s="27">
        <v>2735</v>
      </c>
      <c r="G38" s="27">
        <v>2735</v>
      </c>
      <c r="H38" s="27">
        <v>2735</v>
      </c>
      <c r="I38" s="27">
        <v>2735</v>
      </c>
      <c r="J38" s="27">
        <v>2735</v>
      </c>
      <c r="K38" s="20"/>
      <c r="L38" s="20"/>
      <c r="M38" s="20"/>
      <c r="N38" s="20">
        <f t="shared" si="8"/>
        <v>2735</v>
      </c>
    </row>
    <row r="39" spans="1:19" outlineLevel="1" x14ac:dyDescent="0.2">
      <c r="B39" s="9" t="s">
        <v>26</v>
      </c>
      <c r="C39" s="27"/>
      <c r="D39" s="27"/>
      <c r="E39" s="27">
        <v>1563</v>
      </c>
      <c r="F39" s="27">
        <v>1797</v>
      </c>
      <c r="G39" s="27">
        <v>8663</v>
      </c>
      <c r="H39" s="27">
        <v>9696</v>
      </c>
      <c r="I39" s="27">
        <v>10083</v>
      </c>
      <c r="J39" s="27">
        <v>10680</v>
      </c>
      <c r="K39" s="20"/>
      <c r="L39" s="20"/>
      <c r="M39" s="20"/>
      <c r="N39" s="20">
        <f t="shared" si="8"/>
        <v>10680</v>
      </c>
    </row>
    <row r="40" spans="1:19" s="7" customFormat="1" outlineLevel="1" x14ac:dyDescent="0.2">
      <c r="B40" s="11" t="s">
        <v>27</v>
      </c>
      <c r="C40" s="56">
        <f t="shared" ref="C40:H40" si="9">SUM(C32:C39)</f>
        <v>0</v>
      </c>
      <c r="D40" s="56">
        <f t="shared" si="9"/>
        <v>0</v>
      </c>
      <c r="E40" s="56">
        <f t="shared" si="9"/>
        <v>200140</v>
      </c>
      <c r="F40" s="56">
        <f t="shared" si="9"/>
        <v>183489</v>
      </c>
      <c r="G40" s="56">
        <f t="shared" si="9"/>
        <v>218569</v>
      </c>
      <c r="H40" s="56">
        <f t="shared" si="9"/>
        <v>518533</v>
      </c>
      <c r="I40" s="56">
        <f t="shared" ref="I40:J40" si="10">SUM(I32:I39)</f>
        <v>555576</v>
      </c>
      <c r="J40" s="56">
        <f t="shared" si="10"/>
        <v>552035</v>
      </c>
      <c r="K40" s="21"/>
      <c r="L40" s="21"/>
      <c r="M40" s="21"/>
      <c r="N40" s="87">
        <f t="shared" si="8"/>
        <v>552035</v>
      </c>
    </row>
    <row r="41" spans="1:19" s="18" customFormat="1" outlineLevel="1" x14ac:dyDescent="0.2">
      <c r="A41" s="7"/>
      <c r="B41" s="17" t="s">
        <v>28</v>
      </c>
      <c r="C41" s="51"/>
      <c r="D41" s="51"/>
      <c r="E41" s="51">
        <v>1301728</v>
      </c>
      <c r="F41" s="51">
        <v>1403146</v>
      </c>
      <c r="G41" s="51">
        <v>1542559</v>
      </c>
      <c r="H41" s="51">
        <v>1885638</v>
      </c>
      <c r="I41" s="51">
        <v>1992182</v>
      </c>
      <c r="J41" s="51">
        <v>2057994</v>
      </c>
      <c r="K41" s="21"/>
      <c r="L41" s="21"/>
      <c r="M41" s="21"/>
      <c r="N41" s="60">
        <f t="shared" si="8"/>
        <v>2057994</v>
      </c>
      <c r="O41" s="7"/>
      <c r="S41" s="7"/>
    </row>
    <row r="42" spans="1:19" outlineLevel="1" x14ac:dyDescent="0.2">
      <c r="B42" s="9" t="s">
        <v>29</v>
      </c>
      <c r="C42" s="27"/>
      <c r="D42" s="27"/>
      <c r="E42" s="27">
        <v>6381</v>
      </c>
      <c r="F42" s="27">
        <v>2546</v>
      </c>
      <c r="G42" s="27">
        <v>7729</v>
      </c>
      <c r="H42" s="27">
        <v>3568</v>
      </c>
      <c r="I42" s="27">
        <v>7998</v>
      </c>
      <c r="J42" s="27">
        <v>7486</v>
      </c>
      <c r="K42" s="20"/>
      <c r="L42" s="20"/>
      <c r="M42" s="20"/>
      <c r="N42" s="20">
        <f t="shared" si="8"/>
        <v>7486</v>
      </c>
    </row>
    <row r="43" spans="1:19" outlineLevel="1" x14ac:dyDescent="0.2">
      <c r="B43" s="9" t="s">
        <v>115</v>
      </c>
      <c r="C43" s="27"/>
      <c r="D43" s="27"/>
      <c r="E43" s="27">
        <v>372884</v>
      </c>
      <c r="F43" s="27">
        <v>415023</v>
      </c>
      <c r="G43" s="27">
        <v>431177</v>
      </c>
      <c r="H43" s="27">
        <v>441728</v>
      </c>
      <c r="I43" s="27">
        <v>496205</v>
      </c>
      <c r="J43" s="27">
        <v>513256</v>
      </c>
      <c r="K43" s="20"/>
      <c r="L43" s="20"/>
      <c r="M43" s="20"/>
      <c r="N43" s="20">
        <f t="shared" si="8"/>
        <v>513256</v>
      </c>
    </row>
    <row r="44" spans="1:19" outlineLevel="1" x14ac:dyDescent="0.2">
      <c r="B44" s="9" t="s">
        <v>37</v>
      </c>
      <c r="C44" s="27"/>
      <c r="D44" s="27"/>
      <c r="E44" s="27">
        <v>6591</v>
      </c>
      <c r="F44" s="27">
        <v>6381</v>
      </c>
      <c r="G44" s="27">
        <v>24</v>
      </c>
      <c r="H44" s="27">
        <v>16</v>
      </c>
      <c r="I44" s="27">
        <v>1257</v>
      </c>
      <c r="J44" s="27">
        <v>3814</v>
      </c>
      <c r="K44" s="20"/>
      <c r="L44" s="20"/>
      <c r="M44" s="20"/>
      <c r="N44" s="20">
        <f t="shared" si="8"/>
        <v>3814</v>
      </c>
    </row>
    <row r="45" spans="1:19" outlineLevel="1" x14ac:dyDescent="0.2">
      <c r="B45" s="9" t="s">
        <v>116</v>
      </c>
      <c r="C45" s="27"/>
      <c r="D45" s="27"/>
      <c r="E45" s="27">
        <v>36375</v>
      </c>
      <c r="F45" s="27">
        <v>30535</v>
      </c>
      <c r="G45" s="27">
        <v>32453</v>
      </c>
      <c r="H45" s="27">
        <v>39228</v>
      </c>
      <c r="I45" s="27">
        <v>45688</v>
      </c>
      <c r="J45" s="27">
        <v>49558</v>
      </c>
      <c r="K45" s="20"/>
      <c r="L45" s="20"/>
      <c r="M45" s="20"/>
      <c r="N45" s="20">
        <f t="shared" si="8"/>
        <v>49558</v>
      </c>
    </row>
    <row r="46" spans="1:19" s="7" customFormat="1" outlineLevel="1" x14ac:dyDescent="0.2">
      <c r="B46" s="11" t="s">
        <v>32</v>
      </c>
      <c r="C46" s="55"/>
      <c r="D46" s="55"/>
      <c r="E46" s="55">
        <v>422231</v>
      </c>
      <c r="F46" s="55">
        <v>454485</v>
      </c>
      <c r="G46" s="55">
        <v>471383</v>
      </c>
      <c r="H46" s="55">
        <v>484540</v>
      </c>
      <c r="I46" s="55">
        <v>551148</v>
      </c>
      <c r="J46" s="55">
        <v>574114</v>
      </c>
      <c r="K46" s="21"/>
      <c r="L46" s="21"/>
      <c r="M46" s="21"/>
      <c r="N46" s="86">
        <f t="shared" si="8"/>
        <v>574114</v>
      </c>
    </row>
    <row r="47" spans="1:19" outlineLevel="1" x14ac:dyDescent="0.2">
      <c r="B47" s="9" t="s">
        <v>117</v>
      </c>
      <c r="C47" s="27"/>
      <c r="D47" s="27"/>
      <c r="E47" s="27">
        <v>54656</v>
      </c>
      <c r="F47" s="27">
        <v>54533</v>
      </c>
      <c r="G47" s="27">
        <v>93843</v>
      </c>
      <c r="H47" s="27">
        <v>93257</v>
      </c>
      <c r="I47" s="27">
        <v>93779</v>
      </c>
      <c r="J47" s="27">
        <v>91873</v>
      </c>
      <c r="K47" s="20"/>
      <c r="L47" s="20"/>
      <c r="M47" s="20"/>
      <c r="N47" s="20">
        <f t="shared" si="8"/>
        <v>91873</v>
      </c>
    </row>
    <row r="48" spans="1:19" outlineLevel="1" x14ac:dyDescent="0.2">
      <c r="B48" s="9" t="s">
        <v>143</v>
      </c>
      <c r="C48" s="27"/>
      <c r="D48" s="27"/>
      <c r="E48" s="27">
        <v>291</v>
      </c>
      <c r="F48" s="27">
        <v>302</v>
      </c>
      <c r="G48" s="27">
        <v>302</v>
      </c>
      <c r="H48" s="27">
        <v>302</v>
      </c>
      <c r="I48" s="27">
        <v>249</v>
      </c>
      <c r="J48" s="27">
        <v>243</v>
      </c>
      <c r="K48" s="20"/>
      <c r="L48" s="20"/>
      <c r="M48" s="20"/>
      <c r="N48" s="20">
        <f t="shared" si="8"/>
        <v>243</v>
      </c>
    </row>
    <row r="49" spans="1:19" s="7" customFormat="1" outlineLevel="1" x14ac:dyDescent="0.2">
      <c r="B49" s="11" t="s">
        <v>30</v>
      </c>
      <c r="C49" s="56">
        <f t="shared" ref="C49:H49" si="11">SUM(C47:C48)</f>
        <v>0</v>
      </c>
      <c r="D49" s="56">
        <f t="shared" si="11"/>
        <v>0</v>
      </c>
      <c r="E49" s="56">
        <f t="shared" si="11"/>
        <v>54947</v>
      </c>
      <c r="F49" s="56">
        <f t="shared" si="11"/>
        <v>54835</v>
      </c>
      <c r="G49" s="56">
        <f t="shared" si="11"/>
        <v>94145</v>
      </c>
      <c r="H49" s="56">
        <f t="shared" si="11"/>
        <v>93559</v>
      </c>
      <c r="I49" s="56">
        <f t="shared" ref="I49:J49" si="12">SUM(I47:I48)</f>
        <v>94028</v>
      </c>
      <c r="J49" s="56">
        <f t="shared" si="12"/>
        <v>92116</v>
      </c>
      <c r="K49" s="21"/>
      <c r="L49" s="21"/>
      <c r="M49" s="21"/>
      <c r="N49" s="20">
        <f t="shared" si="8"/>
        <v>92116</v>
      </c>
    </row>
    <row r="50" spans="1:19" s="18" customFormat="1" outlineLevel="1" x14ac:dyDescent="0.2">
      <c r="A50" s="7"/>
      <c r="B50" s="17" t="s">
        <v>31</v>
      </c>
      <c r="C50" s="51"/>
      <c r="D50" s="51"/>
      <c r="E50" s="51">
        <v>477178</v>
      </c>
      <c r="F50" s="51">
        <v>509320</v>
      </c>
      <c r="G50" s="51">
        <v>565528</v>
      </c>
      <c r="H50" s="51">
        <v>578099</v>
      </c>
      <c r="I50" s="51">
        <v>645176</v>
      </c>
      <c r="J50" s="51">
        <v>666230</v>
      </c>
      <c r="K50" s="21"/>
      <c r="L50" s="21"/>
      <c r="M50" s="21"/>
      <c r="N50" s="60">
        <f t="shared" si="8"/>
        <v>666230</v>
      </c>
      <c r="O50" s="7"/>
      <c r="S50" s="7"/>
    </row>
    <row r="51" spans="1:19" outlineLevel="1" x14ac:dyDescent="0.2">
      <c r="B51" s="9" t="s">
        <v>33</v>
      </c>
      <c r="C51" s="27"/>
      <c r="D51" s="27"/>
      <c r="E51" s="27">
        <v>4</v>
      </c>
      <c r="F51" s="27">
        <v>4</v>
      </c>
      <c r="G51" s="27">
        <v>4</v>
      </c>
      <c r="H51" s="27">
        <v>5</v>
      </c>
      <c r="I51" s="27">
        <v>5</v>
      </c>
      <c r="J51" s="27">
        <v>5</v>
      </c>
      <c r="K51" s="20"/>
      <c r="L51" s="20"/>
      <c r="M51" s="20"/>
      <c r="N51" s="20">
        <f t="shared" si="8"/>
        <v>5</v>
      </c>
    </row>
    <row r="52" spans="1:19" outlineLevel="1" x14ac:dyDescent="0.2">
      <c r="B52" s="9" t="s">
        <v>370</v>
      </c>
      <c r="C52" s="27"/>
      <c r="D52" s="27"/>
      <c r="E52" s="27">
        <v>0</v>
      </c>
      <c r="F52" s="27">
        <v>0</v>
      </c>
      <c r="G52" s="27">
        <v>0</v>
      </c>
      <c r="H52" s="27">
        <v>0</v>
      </c>
      <c r="I52" s="27">
        <v>0</v>
      </c>
      <c r="J52" s="27">
        <v>-4499</v>
      </c>
      <c r="K52" s="20"/>
      <c r="L52" s="20"/>
      <c r="M52" s="20"/>
      <c r="N52" s="20">
        <f t="shared" si="8"/>
        <v>-4499</v>
      </c>
    </row>
    <row r="53" spans="1:19" outlineLevel="1" x14ac:dyDescent="0.2">
      <c r="B53" s="9" t="s">
        <v>118</v>
      </c>
      <c r="C53" s="27"/>
      <c r="D53" s="27"/>
      <c r="E53" s="27">
        <v>950393</v>
      </c>
      <c r="F53" s="27">
        <v>984534</v>
      </c>
      <c r="G53" s="27">
        <v>1022958</v>
      </c>
      <c r="H53" s="27">
        <v>1061270</v>
      </c>
      <c r="I53" s="27">
        <v>1058783</v>
      </c>
      <c r="J53" s="27">
        <v>1064580</v>
      </c>
      <c r="K53" s="20"/>
      <c r="L53" s="20"/>
      <c r="M53" s="20"/>
      <c r="N53" s="20">
        <f t="shared" si="8"/>
        <v>1064580</v>
      </c>
    </row>
    <row r="54" spans="1:19" outlineLevel="1" x14ac:dyDescent="0.2">
      <c r="B54" s="9" t="s">
        <v>34</v>
      </c>
      <c r="C54" s="27"/>
      <c r="D54" s="27"/>
      <c r="E54" s="27">
        <v>-125847</v>
      </c>
      <c r="F54" s="27">
        <v>-90712</v>
      </c>
      <c r="G54" s="27">
        <v>-45931</v>
      </c>
      <c r="H54" s="27">
        <v>246264</v>
      </c>
      <c r="I54" s="27">
        <v>288218</v>
      </c>
      <c r="J54" s="27">
        <v>331678</v>
      </c>
      <c r="K54" s="20"/>
      <c r="L54" s="20"/>
      <c r="M54" s="20"/>
      <c r="N54" s="20">
        <f t="shared" si="8"/>
        <v>331678</v>
      </c>
    </row>
    <row r="55" spans="1:19" s="7" customFormat="1" outlineLevel="1" x14ac:dyDescent="0.2">
      <c r="B55" s="11" t="s">
        <v>35</v>
      </c>
      <c r="C55" s="55"/>
      <c r="D55" s="55"/>
      <c r="E55" s="55">
        <v>824550</v>
      </c>
      <c r="F55" s="55">
        <v>893826</v>
      </c>
      <c r="G55" s="55">
        <v>977031</v>
      </c>
      <c r="H55" s="55">
        <v>1307539</v>
      </c>
      <c r="I55" s="55">
        <v>1347006</v>
      </c>
      <c r="J55" s="55">
        <v>1391764</v>
      </c>
      <c r="K55" s="21"/>
      <c r="L55" s="21"/>
      <c r="M55" s="21"/>
      <c r="N55" s="86">
        <f t="shared" si="8"/>
        <v>1391764</v>
      </c>
    </row>
    <row r="56" spans="1:19" s="13" customFormat="1" ht="17" outlineLevel="1" thickBot="1" x14ac:dyDescent="0.25">
      <c r="A56" s="7"/>
      <c r="B56" s="19" t="s">
        <v>36</v>
      </c>
      <c r="C56" s="58"/>
      <c r="D56" s="58"/>
      <c r="E56" s="58">
        <v>1301728</v>
      </c>
      <c r="F56" s="58">
        <v>1403146</v>
      </c>
      <c r="G56" s="58">
        <v>1542559</v>
      </c>
      <c r="H56" s="58">
        <v>1885638</v>
      </c>
      <c r="I56" s="58">
        <v>1992182</v>
      </c>
      <c r="J56" s="58">
        <v>2057994</v>
      </c>
      <c r="K56" s="21"/>
      <c r="L56" s="21"/>
      <c r="M56" s="21"/>
      <c r="N56" s="88">
        <f t="shared" si="8"/>
        <v>2057994</v>
      </c>
      <c r="O56" s="7"/>
      <c r="S56" s="7"/>
    </row>
    <row r="57" spans="1:19" x14ac:dyDescent="0.2">
      <c r="B57" s="1"/>
    </row>
    <row r="58" spans="1:19" s="14" customFormat="1" ht="17" thickBot="1" x14ac:dyDescent="0.25">
      <c r="A58" s="4"/>
      <c r="B58" s="15" t="s">
        <v>39</v>
      </c>
      <c r="K58" s="4"/>
      <c r="L58" s="4"/>
      <c r="M58" s="4"/>
      <c r="O58" s="4"/>
      <c r="S58" s="4"/>
    </row>
    <row r="59" spans="1:19" outlineLevel="1" x14ac:dyDescent="0.2">
      <c r="B59" s="9" t="s">
        <v>14</v>
      </c>
      <c r="C59" s="20">
        <f t="shared" ref="C59:H59" si="13">C18</f>
        <v>24351</v>
      </c>
      <c r="D59" s="20">
        <f t="shared" si="13"/>
        <v>23360</v>
      </c>
      <c r="E59" s="20">
        <f t="shared" si="13"/>
        <v>13907</v>
      </c>
      <c r="F59" s="20">
        <f t="shared" si="13"/>
        <v>35135</v>
      </c>
      <c r="G59" s="20">
        <f t="shared" si="13"/>
        <v>44781</v>
      </c>
      <c r="H59" s="20">
        <f t="shared" si="13"/>
        <v>292195</v>
      </c>
      <c r="I59" s="20">
        <f t="shared" ref="I59:J59" si="14">I18</f>
        <v>41954</v>
      </c>
      <c r="J59" s="20">
        <f t="shared" si="14"/>
        <v>43460</v>
      </c>
      <c r="K59" s="20"/>
      <c r="L59" s="20"/>
      <c r="M59" s="20"/>
      <c r="N59" s="20">
        <f>SUM(G59:J59)</f>
        <v>422390</v>
      </c>
    </row>
    <row r="60" spans="1:19" outlineLevel="1" x14ac:dyDescent="0.2">
      <c r="B60" s="9" t="s">
        <v>40</v>
      </c>
      <c r="C60" s="27">
        <v>2243</v>
      </c>
      <c r="D60" s="27">
        <v>2876</v>
      </c>
      <c r="E60" s="27">
        <v>3661</v>
      </c>
      <c r="F60" s="27">
        <v>3590</v>
      </c>
      <c r="G60" s="27">
        <v>3440</v>
      </c>
      <c r="H60" s="27">
        <v>3553</v>
      </c>
      <c r="I60" s="27">
        <v>3808</v>
      </c>
      <c r="J60" s="27">
        <v>4191</v>
      </c>
      <c r="K60" s="27"/>
      <c r="L60" s="27"/>
      <c r="M60" s="20"/>
      <c r="N60" s="27">
        <f t="shared" ref="N60:N94" si="15">SUM(G60:J60)</f>
        <v>14992</v>
      </c>
    </row>
    <row r="61" spans="1:19" outlineLevel="1" x14ac:dyDescent="0.2">
      <c r="B61" s="9" t="s">
        <v>155</v>
      </c>
      <c r="C61" s="27">
        <v>0</v>
      </c>
      <c r="D61" s="27">
        <v>0</v>
      </c>
      <c r="E61" s="27">
        <v>0</v>
      </c>
      <c r="F61" s="27">
        <v>0</v>
      </c>
      <c r="G61" s="27">
        <v>0</v>
      </c>
      <c r="H61" s="27">
        <v>-239486</v>
      </c>
      <c r="I61" s="27">
        <v>14301</v>
      </c>
      <c r="J61" s="27">
        <v>9496</v>
      </c>
      <c r="K61" s="27"/>
      <c r="L61" s="27"/>
      <c r="M61" s="20"/>
      <c r="N61" s="27">
        <f t="shared" si="15"/>
        <v>-215689</v>
      </c>
    </row>
    <row r="62" spans="1:19" outlineLevel="1" x14ac:dyDescent="0.2">
      <c r="B62" s="12" t="s">
        <v>119</v>
      </c>
      <c r="C62" s="27">
        <v>26746</v>
      </c>
      <c r="D62" s="27">
        <v>28959</v>
      </c>
      <c r="E62" s="27">
        <v>29787</v>
      </c>
      <c r="F62" s="27">
        <v>31018</v>
      </c>
      <c r="G62" s="27">
        <v>34592</v>
      </c>
      <c r="H62" s="27">
        <v>35565</v>
      </c>
      <c r="I62" s="27">
        <v>36262</v>
      </c>
      <c r="J62" s="27">
        <v>34647</v>
      </c>
      <c r="K62" s="27"/>
      <c r="L62" s="27"/>
      <c r="M62" s="20"/>
      <c r="N62" s="27">
        <f t="shared" si="15"/>
        <v>141066</v>
      </c>
    </row>
    <row r="63" spans="1:19" outlineLevel="1" x14ac:dyDescent="0.2">
      <c r="B63" s="12" t="s">
        <v>144</v>
      </c>
      <c r="C63" s="27">
        <v>0</v>
      </c>
      <c r="D63" s="27">
        <v>-12</v>
      </c>
      <c r="E63" s="27">
        <v>-539</v>
      </c>
      <c r="F63" s="27">
        <v>-550</v>
      </c>
      <c r="G63" s="27">
        <v>-467</v>
      </c>
      <c r="H63" s="27">
        <v>-441</v>
      </c>
      <c r="I63" s="27">
        <v>-393</v>
      </c>
      <c r="J63" s="27">
        <v>-321</v>
      </c>
      <c r="K63" s="27"/>
      <c r="L63" s="27"/>
      <c r="M63" s="20"/>
      <c r="N63" s="27">
        <f t="shared" si="15"/>
        <v>-1622</v>
      </c>
    </row>
    <row r="64" spans="1:19" outlineLevel="1" x14ac:dyDescent="0.2">
      <c r="B64" s="12" t="s">
        <v>136</v>
      </c>
      <c r="C64" s="27">
        <v>0</v>
      </c>
      <c r="D64" s="27">
        <v>0</v>
      </c>
      <c r="E64" s="27">
        <v>0</v>
      </c>
      <c r="F64" s="27">
        <v>0</v>
      </c>
      <c r="G64" s="27">
        <v>0</v>
      </c>
      <c r="H64" s="27">
        <v>0</v>
      </c>
      <c r="I64" s="27">
        <v>0</v>
      </c>
      <c r="J64" s="27">
        <v>0</v>
      </c>
      <c r="K64" s="27"/>
      <c r="L64" s="27"/>
      <c r="M64" s="20"/>
      <c r="N64" s="27">
        <f t="shared" si="15"/>
        <v>0</v>
      </c>
    </row>
    <row r="65" spans="1:19" outlineLevel="1" x14ac:dyDescent="0.2">
      <c r="B65" s="12" t="s">
        <v>137</v>
      </c>
      <c r="C65" s="27">
        <v>0</v>
      </c>
      <c r="D65" s="27">
        <v>0</v>
      </c>
      <c r="E65" s="27">
        <v>0</v>
      </c>
      <c r="F65" s="27">
        <v>0</v>
      </c>
      <c r="G65" s="27">
        <v>0</v>
      </c>
      <c r="H65" s="27">
        <v>0</v>
      </c>
      <c r="I65" s="27">
        <v>0</v>
      </c>
      <c r="J65" s="27">
        <v>0</v>
      </c>
      <c r="K65" s="27"/>
      <c r="L65" s="27"/>
      <c r="M65" s="20"/>
      <c r="N65" s="27">
        <f t="shared" si="15"/>
        <v>0</v>
      </c>
    </row>
    <row r="66" spans="1:19" outlineLevel="1" x14ac:dyDescent="0.2">
      <c r="B66" s="12" t="s">
        <v>145</v>
      </c>
      <c r="C66" s="27">
        <v>0</v>
      </c>
      <c r="D66" s="27">
        <v>0</v>
      </c>
      <c r="E66" s="27">
        <v>238</v>
      </c>
      <c r="F66" s="27">
        <v>0</v>
      </c>
      <c r="G66" s="27">
        <v>0</v>
      </c>
      <c r="H66" s="27">
        <v>0</v>
      </c>
      <c r="I66" s="27">
        <v>0</v>
      </c>
      <c r="J66" s="27">
        <v>0</v>
      </c>
      <c r="K66" s="27"/>
      <c r="L66" s="27"/>
      <c r="M66" s="20"/>
      <c r="N66" s="27">
        <f t="shared" si="15"/>
        <v>0</v>
      </c>
    </row>
    <row r="67" spans="1:19" outlineLevel="1" x14ac:dyDescent="0.2">
      <c r="B67" s="9" t="s">
        <v>120</v>
      </c>
      <c r="C67" s="27">
        <v>12164</v>
      </c>
      <c r="D67" s="27">
        <v>19126</v>
      </c>
      <c r="E67" s="27">
        <v>62281</v>
      </c>
      <c r="F67" s="27">
        <v>42139</v>
      </c>
      <c r="G67" s="27">
        <v>16154</v>
      </c>
      <c r="H67" s="27">
        <v>10551</v>
      </c>
      <c r="I67" s="27">
        <v>54477</v>
      </c>
      <c r="J67" s="27">
        <v>17051</v>
      </c>
      <c r="K67" s="27"/>
      <c r="L67" s="27"/>
      <c r="M67" s="20"/>
      <c r="N67" s="27">
        <f t="shared" si="15"/>
        <v>98233</v>
      </c>
    </row>
    <row r="68" spans="1:19" outlineLevel="1" x14ac:dyDescent="0.2">
      <c r="B68" s="9" t="s">
        <v>41</v>
      </c>
      <c r="C68" s="27">
        <v>-1301</v>
      </c>
      <c r="D68" s="27">
        <v>-16462</v>
      </c>
      <c r="E68" s="27">
        <v>-34708</v>
      </c>
      <c r="F68" s="27">
        <v>14740</v>
      </c>
      <c r="G68" s="27">
        <v>1264</v>
      </c>
      <c r="H68" s="27">
        <v>-11570</v>
      </c>
      <c r="I68" s="27">
        <v>-38338</v>
      </c>
      <c r="J68" s="27">
        <v>37741</v>
      </c>
      <c r="K68" s="27"/>
      <c r="L68" s="27"/>
      <c r="M68" s="20"/>
      <c r="N68" s="27">
        <f t="shared" si="15"/>
        <v>-10903</v>
      </c>
    </row>
    <row r="69" spans="1:19" outlineLevel="1" x14ac:dyDescent="0.2">
      <c r="B69" s="9" t="s">
        <v>121</v>
      </c>
      <c r="C69" s="27">
        <v>-2888</v>
      </c>
      <c r="D69" s="27">
        <v>-4044</v>
      </c>
      <c r="E69" s="27">
        <v>-12833</v>
      </c>
      <c r="F69" s="27">
        <v>-9402</v>
      </c>
      <c r="G69" s="27">
        <v>-4230</v>
      </c>
      <c r="H69" s="27">
        <v>-776</v>
      </c>
      <c r="I69" s="27">
        <v>-8093</v>
      </c>
      <c r="J69" s="27">
        <v>-1850</v>
      </c>
      <c r="K69" s="27"/>
      <c r="L69" s="27"/>
      <c r="M69" s="20"/>
      <c r="N69" s="27">
        <f t="shared" si="15"/>
        <v>-14949</v>
      </c>
    </row>
    <row r="70" spans="1:19" outlineLevel="1" x14ac:dyDescent="0.2">
      <c r="B70" s="9" t="s">
        <v>122</v>
      </c>
      <c r="C70" s="27">
        <v>-1570</v>
      </c>
      <c r="D70" s="27">
        <v>-3807</v>
      </c>
      <c r="E70" s="27">
        <v>1272</v>
      </c>
      <c r="F70" s="27">
        <v>-1772</v>
      </c>
      <c r="G70" s="27">
        <v>-2764</v>
      </c>
      <c r="H70" s="27">
        <v>-7198</v>
      </c>
      <c r="I70" s="27">
        <v>-4057</v>
      </c>
      <c r="J70" s="27">
        <v>5899</v>
      </c>
      <c r="K70" s="27"/>
      <c r="L70" s="27"/>
      <c r="M70" s="20"/>
      <c r="N70" s="27">
        <f t="shared" si="15"/>
        <v>-8120</v>
      </c>
    </row>
    <row r="71" spans="1:19" outlineLevel="1" x14ac:dyDescent="0.2">
      <c r="B71" s="9" t="s">
        <v>42</v>
      </c>
      <c r="C71" s="27">
        <v>1134</v>
      </c>
      <c r="D71" s="27">
        <v>-214</v>
      </c>
      <c r="E71" s="27">
        <v>3412</v>
      </c>
      <c r="F71" s="27">
        <v>-3843</v>
      </c>
      <c r="G71" s="27">
        <v>4436</v>
      </c>
      <c r="H71" s="27">
        <v>-3406</v>
      </c>
      <c r="I71" s="27">
        <v>4430</v>
      </c>
      <c r="J71" s="27">
        <v>-2405</v>
      </c>
      <c r="K71" s="27"/>
      <c r="L71" s="27"/>
      <c r="M71" s="20"/>
      <c r="N71" s="27">
        <f t="shared" si="15"/>
        <v>3055</v>
      </c>
    </row>
    <row r="72" spans="1:19" outlineLevel="1" x14ac:dyDescent="0.2">
      <c r="B72" s="9" t="s">
        <v>123</v>
      </c>
      <c r="C72" s="27">
        <v>315</v>
      </c>
      <c r="D72" s="27">
        <v>5550</v>
      </c>
      <c r="E72" s="27">
        <v>15499</v>
      </c>
      <c r="F72" s="27">
        <v>-6204</v>
      </c>
      <c r="G72" s="27">
        <v>-4146</v>
      </c>
      <c r="H72" s="27">
        <v>5160</v>
      </c>
      <c r="I72" s="27">
        <v>5445</v>
      </c>
      <c r="J72" s="27">
        <v>5964</v>
      </c>
      <c r="K72" s="27"/>
      <c r="L72" s="27"/>
      <c r="M72" s="20"/>
      <c r="N72" s="27">
        <f t="shared" si="15"/>
        <v>12423</v>
      </c>
    </row>
    <row r="73" spans="1:19" outlineLevel="1" x14ac:dyDescent="0.2">
      <c r="B73" s="9" t="s">
        <v>124</v>
      </c>
      <c r="C73" s="27">
        <v>1194</v>
      </c>
      <c r="D73" s="27">
        <v>935</v>
      </c>
      <c r="E73" s="27">
        <v>1367</v>
      </c>
      <c r="F73" s="27">
        <v>780</v>
      </c>
      <c r="G73" s="27">
        <v>-2385</v>
      </c>
      <c r="H73" s="27">
        <v>92</v>
      </c>
      <c r="I73" s="27">
        <v>-2518</v>
      </c>
      <c r="J73" s="27">
        <v>-3102</v>
      </c>
      <c r="K73" s="27"/>
      <c r="L73" s="27"/>
      <c r="M73" s="20"/>
      <c r="N73" s="27">
        <f t="shared" si="15"/>
        <v>-7913</v>
      </c>
    </row>
    <row r="74" spans="1:19" s="18" customFormat="1" outlineLevel="1" x14ac:dyDescent="0.2">
      <c r="A74" s="7"/>
      <c r="B74" s="17" t="s">
        <v>43</v>
      </c>
      <c r="C74" s="51">
        <v>62388</v>
      </c>
      <c r="D74" s="51">
        <v>56267</v>
      </c>
      <c r="E74" s="51">
        <v>83344</v>
      </c>
      <c r="F74" s="51">
        <v>105631</v>
      </c>
      <c r="G74" s="51">
        <v>90675</v>
      </c>
      <c r="H74" s="51">
        <v>84239</v>
      </c>
      <c r="I74" s="51">
        <v>107278</v>
      </c>
      <c r="J74" s="51">
        <v>150771</v>
      </c>
      <c r="K74" s="33"/>
      <c r="L74" s="33"/>
      <c r="M74" s="21"/>
      <c r="N74" s="51">
        <f t="shared" si="15"/>
        <v>432963</v>
      </c>
      <c r="O74" s="7"/>
      <c r="S74" s="7"/>
    </row>
    <row r="75" spans="1:19" outlineLevel="1" x14ac:dyDescent="0.2">
      <c r="B75" s="9" t="s">
        <v>44</v>
      </c>
      <c r="C75" s="27">
        <v>-5563</v>
      </c>
      <c r="D75" s="27">
        <v>-3178</v>
      </c>
      <c r="E75" s="27">
        <v>-1961</v>
      </c>
      <c r="F75" s="27">
        <v>-1309</v>
      </c>
      <c r="G75" s="27">
        <v>-1198</v>
      </c>
      <c r="H75" s="27">
        <v>-4862</v>
      </c>
      <c r="I75" s="27">
        <v>-10727</v>
      </c>
      <c r="J75" s="27">
        <v>-132</v>
      </c>
      <c r="K75" s="27"/>
      <c r="L75" s="27"/>
      <c r="M75" s="20"/>
      <c r="N75" s="27">
        <f t="shared" si="15"/>
        <v>-16919</v>
      </c>
    </row>
    <row r="76" spans="1:19" outlineLevel="1" x14ac:dyDescent="0.2">
      <c r="B76" s="9" t="s">
        <v>146</v>
      </c>
      <c r="C76" s="27">
        <v>0</v>
      </c>
      <c r="D76" s="27">
        <v>-81670</v>
      </c>
      <c r="E76" s="27">
        <v>-111630</v>
      </c>
      <c r="F76" s="27">
        <v>-26606</v>
      </c>
      <c r="G76" s="27">
        <v>-21715</v>
      </c>
      <c r="H76" s="27">
        <v>-50799</v>
      </c>
      <c r="I76" s="27">
        <v>-63806</v>
      </c>
      <c r="J76" s="27">
        <v>-56155</v>
      </c>
      <c r="K76" s="27"/>
      <c r="L76" s="27"/>
      <c r="M76" s="20"/>
      <c r="N76" s="27">
        <f t="shared" si="15"/>
        <v>-192475</v>
      </c>
    </row>
    <row r="77" spans="1:19" outlineLevel="1" x14ac:dyDescent="0.2">
      <c r="B77" s="9" t="s">
        <v>147</v>
      </c>
      <c r="C77" s="27">
        <v>0</v>
      </c>
      <c r="D77" s="27">
        <v>0</v>
      </c>
      <c r="E77" s="27">
        <v>3705</v>
      </c>
      <c r="F77" s="27">
        <v>18676</v>
      </c>
      <c r="G77" s="27">
        <v>23794</v>
      </c>
      <c r="H77" s="27">
        <v>39607</v>
      </c>
      <c r="I77" s="27">
        <v>33670</v>
      </c>
      <c r="J77" s="27">
        <v>42391</v>
      </c>
      <c r="K77" s="27"/>
      <c r="L77" s="27"/>
      <c r="M77" s="20"/>
      <c r="N77" s="27">
        <f t="shared" si="15"/>
        <v>139462</v>
      </c>
    </row>
    <row r="78" spans="1:19" outlineLevel="1" x14ac:dyDescent="0.2">
      <c r="B78" s="9" t="s">
        <v>134</v>
      </c>
      <c r="C78" s="27">
        <v>0</v>
      </c>
      <c r="D78" s="27">
        <v>-6595</v>
      </c>
      <c r="E78" s="27">
        <v>0</v>
      </c>
      <c r="F78" s="27">
        <v>0</v>
      </c>
      <c r="G78" s="27">
        <v>0</v>
      </c>
      <c r="H78" s="27">
        <v>-33100</v>
      </c>
      <c r="I78" s="27">
        <v>0</v>
      </c>
      <c r="J78" s="27">
        <v>0</v>
      </c>
      <c r="K78" s="27"/>
      <c r="L78" s="27"/>
      <c r="M78" s="20"/>
      <c r="N78" s="27">
        <f t="shared" si="15"/>
        <v>-33100</v>
      </c>
    </row>
    <row r="79" spans="1:19" outlineLevel="1" x14ac:dyDescent="0.2">
      <c r="B79" s="9" t="s">
        <v>156</v>
      </c>
      <c r="C79" s="27">
        <v>0</v>
      </c>
      <c r="D79" s="27">
        <v>0</v>
      </c>
      <c r="E79" s="27">
        <v>0</v>
      </c>
      <c r="F79" s="27">
        <v>0</v>
      </c>
      <c r="G79" s="27">
        <v>0</v>
      </c>
      <c r="H79" s="27">
        <v>-500</v>
      </c>
      <c r="I79" s="27">
        <v>500</v>
      </c>
      <c r="J79" s="27">
        <v>0</v>
      </c>
      <c r="K79" s="27"/>
      <c r="L79" s="27"/>
      <c r="M79" s="20"/>
      <c r="N79" s="27">
        <f t="shared" si="15"/>
        <v>0</v>
      </c>
    </row>
    <row r="80" spans="1:19" outlineLevel="1" x14ac:dyDescent="0.2">
      <c r="B80" s="9" t="s">
        <v>138</v>
      </c>
      <c r="C80" s="27">
        <v>0</v>
      </c>
      <c r="D80" s="27">
        <v>0</v>
      </c>
      <c r="E80" s="27">
        <v>0</v>
      </c>
      <c r="F80" s="27">
        <v>0</v>
      </c>
      <c r="G80" s="27">
        <v>0</v>
      </c>
      <c r="H80" s="27">
        <v>0</v>
      </c>
      <c r="I80" s="27">
        <v>0</v>
      </c>
      <c r="J80" s="27">
        <v>0</v>
      </c>
      <c r="K80" s="27"/>
      <c r="L80" s="27"/>
      <c r="M80" s="20"/>
      <c r="N80" s="27">
        <f t="shared" si="15"/>
        <v>0</v>
      </c>
    </row>
    <row r="81" spans="1:19" outlineLevel="1" x14ac:dyDescent="0.2">
      <c r="B81" s="12" t="s">
        <v>113</v>
      </c>
      <c r="C81" s="27">
        <v>-3093</v>
      </c>
      <c r="D81" s="27">
        <v>-1845</v>
      </c>
      <c r="E81" s="27">
        <v>-479</v>
      </c>
      <c r="F81" s="27">
        <v>-1310</v>
      </c>
      <c r="G81" s="27">
        <v>-3153</v>
      </c>
      <c r="H81" s="27">
        <v>-2021</v>
      </c>
      <c r="I81" s="27">
        <v>-2819</v>
      </c>
      <c r="J81" s="27">
        <v>-2853</v>
      </c>
      <c r="K81" s="27"/>
      <c r="L81" s="27"/>
      <c r="M81" s="20"/>
      <c r="N81" s="27">
        <f t="shared" si="15"/>
        <v>-10846</v>
      </c>
    </row>
    <row r="82" spans="1:19" s="18" customFormat="1" outlineLevel="1" x14ac:dyDescent="0.2">
      <c r="A82" s="7"/>
      <c r="B82" s="17" t="s">
        <v>45</v>
      </c>
      <c r="C82" s="51">
        <v>-8656</v>
      </c>
      <c r="D82" s="51">
        <v>-93288</v>
      </c>
      <c r="E82" s="51">
        <v>-110365</v>
      </c>
      <c r="F82" s="51">
        <v>-10549</v>
      </c>
      <c r="G82" s="51">
        <v>-2272</v>
      </c>
      <c r="H82" s="51">
        <v>-51675</v>
      </c>
      <c r="I82" s="51">
        <v>-43182</v>
      </c>
      <c r="J82" s="51">
        <v>-16749</v>
      </c>
      <c r="K82" s="33"/>
      <c r="L82" s="33"/>
      <c r="M82" s="21"/>
      <c r="N82" s="51">
        <f t="shared" si="15"/>
        <v>-113878</v>
      </c>
      <c r="O82" s="7"/>
      <c r="S82" s="7"/>
    </row>
    <row r="83" spans="1:19" outlineLevel="1" x14ac:dyDescent="0.2">
      <c r="B83" s="9" t="s">
        <v>46</v>
      </c>
      <c r="C83" s="27">
        <v>0</v>
      </c>
      <c r="D83" s="27">
        <v>0</v>
      </c>
      <c r="E83" s="27">
        <v>0</v>
      </c>
      <c r="F83" s="27">
        <v>0</v>
      </c>
      <c r="G83" s="27">
        <v>0</v>
      </c>
      <c r="H83" s="27">
        <v>0</v>
      </c>
      <c r="I83" s="27">
        <v>0</v>
      </c>
      <c r="J83" s="27">
        <v>0</v>
      </c>
      <c r="K83" s="27"/>
      <c r="L83" s="27"/>
      <c r="M83" s="20"/>
      <c r="N83" s="27">
        <f t="shared" si="15"/>
        <v>0</v>
      </c>
    </row>
    <row r="84" spans="1:19" outlineLevel="1" x14ac:dyDescent="0.2">
      <c r="B84" s="9" t="s">
        <v>47</v>
      </c>
      <c r="C84" s="27">
        <v>0</v>
      </c>
      <c r="D84" s="27">
        <v>0</v>
      </c>
      <c r="E84" s="27">
        <v>0</v>
      </c>
      <c r="F84" s="27">
        <v>0</v>
      </c>
      <c r="G84" s="27">
        <v>0</v>
      </c>
      <c r="H84" s="27">
        <v>0</v>
      </c>
      <c r="I84" s="27">
        <v>0</v>
      </c>
      <c r="J84" s="27">
        <v>0</v>
      </c>
      <c r="K84" s="27"/>
      <c r="L84" s="27"/>
      <c r="M84" s="20"/>
      <c r="N84" s="27">
        <f t="shared" si="15"/>
        <v>0</v>
      </c>
    </row>
    <row r="85" spans="1:19" outlineLevel="1" x14ac:dyDescent="0.2">
      <c r="B85" s="9" t="s">
        <v>55</v>
      </c>
      <c r="C85" s="27">
        <v>0</v>
      </c>
      <c r="D85" s="27">
        <v>0</v>
      </c>
      <c r="E85" s="27">
        <v>19356</v>
      </c>
      <c r="F85" s="27">
        <v>0</v>
      </c>
      <c r="G85" s="27">
        <v>0</v>
      </c>
      <c r="H85" s="27">
        <v>0</v>
      </c>
      <c r="I85" s="27">
        <v>0</v>
      </c>
      <c r="J85" s="27">
        <v>0</v>
      </c>
      <c r="K85" s="27"/>
      <c r="L85" s="27"/>
      <c r="M85" s="20"/>
      <c r="N85" s="27">
        <f t="shared" si="15"/>
        <v>0</v>
      </c>
    </row>
    <row r="86" spans="1:19" outlineLevel="1" x14ac:dyDescent="0.2">
      <c r="B86" s="9" t="s">
        <v>48</v>
      </c>
      <c r="C86" s="27">
        <v>0</v>
      </c>
      <c r="D86" s="27">
        <v>0</v>
      </c>
      <c r="E86" s="27">
        <v>0</v>
      </c>
      <c r="F86" s="27">
        <v>0</v>
      </c>
      <c r="G86" s="27">
        <v>0</v>
      </c>
      <c r="H86" s="27">
        <v>0</v>
      </c>
      <c r="I86" s="27">
        <v>0</v>
      </c>
      <c r="J86" s="27">
        <v>0</v>
      </c>
      <c r="K86" s="27"/>
      <c r="L86" s="27"/>
      <c r="M86" s="20"/>
      <c r="N86" s="27">
        <f t="shared" si="15"/>
        <v>0</v>
      </c>
    </row>
    <row r="87" spans="1:19" outlineLevel="1" x14ac:dyDescent="0.2">
      <c r="B87" s="9" t="s">
        <v>49</v>
      </c>
      <c r="C87" s="27">
        <v>0</v>
      </c>
      <c r="D87" s="27">
        <v>0</v>
      </c>
      <c r="E87" s="27">
        <v>0</v>
      </c>
      <c r="F87" s="27">
        <v>0</v>
      </c>
      <c r="G87" s="27">
        <v>0</v>
      </c>
      <c r="H87" s="27">
        <v>0</v>
      </c>
      <c r="I87" s="27">
        <v>0</v>
      </c>
      <c r="J87" s="27">
        <v>0</v>
      </c>
      <c r="K87" s="27"/>
      <c r="L87" s="27"/>
      <c r="M87" s="20"/>
      <c r="N87" s="27">
        <f t="shared" si="15"/>
        <v>0</v>
      </c>
    </row>
    <row r="88" spans="1:19" outlineLevel="1" x14ac:dyDescent="0.2">
      <c r="B88" s="9" t="s">
        <v>245</v>
      </c>
      <c r="C88" s="27">
        <v>0</v>
      </c>
      <c r="D88" s="27">
        <v>0</v>
      </c>
      <c r="E88" s="27">
        <v>0</v>
      </c>
      <c r="F88" s="27">
        <v>0</v>
      </c>
      <c r="G88" s="27">
        <v>0</v>
      </c>
      <c r="H88" s="27">
        <v>0</v>
      </c>
      <c r="I88" s="27">
        <v>-500</v>
      </c>
      <c r="J88" s="27">
        <v>0</v>
      </c>
      <c r="K88" s="27"/>
      <c r="L88" s="27"/>
      <c r="M88" s="20"/>
      <c r="N88" s="27">
        <f t="shared" si="15"/>
        <v>-500</v>
      </c>
    </row>
    <row r="89" spans="1:19" outlineLevel="1" x14ac:dyDescent="0.2">
      <c r="B89" s="9" t="s">
        <v>139</v>
      </c>
      <c r="C89" s="27">
        <v>0</v>
      </c>
      <c r="D89" s="27">
        <v>0</v>
      </c>
      <c r="E89" s="27">
        <v>0</v>
      </c>
      <c r="F89" s="27">
        <v>0</v>
      </c>
      <c r="G89" s="27">
        <v>0</v>
      </c>
      <c r="H89" s="27">
        <v>0</v>
      </c>
      <c r="I89" s="27">
        <v>-41617</v>
      </c>
      <c r="J89" s="27">
        <v>-9441</v>
      </c>
      <c r="K89" s="27"/>
      <c r="L89" s="27"/>
      <c r="M89" s="20"/>
      <c r="N89" s="27">
        <f t="shared" si="15"/>
        <v>-51058</v>
      </c>
    </row>
    <row r="90" spans="1:19" outlineLevel="1" x14ac:dyDescent="0.2">
      <c r="B90" s="9" t="s">
        <v>129</v>
      </c>
      <c r="C90" s="27">
        <v>0</v>
      </c>
      <c r="D90" s="27">
        <v>0</v>
      </c>
      <c r="E90" s="27">
        <v>0</v>
      </c>
      <c r="F90" s="27">
        <v>0</v>
      </c>
      <c r="G90" s="27">
        <v>0</v>
      </c>
      <c r="H90" s="27">
        <v>0</v>
      </c>
      <c r="I90" s="27">
        <v>0</v>
      </c>
      <c r="J90" s="27">
        <v>-24331</v>
      </c>
      <c r="K90" s="27"/>
      <c r="L90" s="27"/>
      <c r="M90" s="20"/>
      <c r="N90" s="27">
        <f t="shared" si="15"/>
        <v>-24331</v>
      </c>
    </row>
    <row r="91" spans="1:19" outlineLevel="1" x14ac:dyDescent="0.2">
      <c r="B91" s="9" t="s">
        <v>50</v>
      </c>
      <c r="C91" s="27">
        <v>0</v>
      </c>
      <c r="D91" s="27">
        <v>0</v>
      </c>
      <c r="E91" s="27">
        <v>-49358</v>
      </c>
      <c r="F91" s="27">
        <v>0</v>
      </c>
      <c r="G91" s="27">
        <v>0</v>
      </c>
      <c r="H91" s="27">
        <v>0</v>
      </c>
      <c r="I91" s="27">
        <v>0</v>
      </c>
      <c r="J91" s="27">
        <v>0</v>
      </c>
      <c r="K91" s="27"/>
      <c r="L91" s="27"/>
      <c r="M91" s="20"/>
      <c r="N91" s="27">
        <f t="shared" si="15"/>
        <v>0</v>
      </c>
    </row>
    <row r="92" spans="1:19" outlineLevel="1" x14ac:dyDescent="0.2">
      <c r="B92" s="9" t="s">
        <v>154</v>
      </c>
      <c r="C92" s="27">
        <v>4795</v>
      </c>
      <c r="D92" s="27">
        <v>3190</v>
      </c>
      <c r="E92" s="27">
        <v>-11595</v>
      </c>
      <c r="F92" s="27">
        <v>3123</v>
      </c>
      <c r="G92" s="27">
        <v>3832</v>
      </c>
      <c r="H92" s="27">
        <v>2747</v>
      </c>
      <c r="I92" s="27">
        <v>2868</v>
      </c>
      <c r="J92" s="27">
        <v>1922</v>
      </c>
      <c r="K92" s="27"/>
      <c r="L92" s="27"/>
      <c r="M92" s="20"/>
      <c r="N92" s="27">
        <f t="shared" si="15"/>
        <v>11369</v>
      </c>
    </row>
    <row r="93" spans="1:19" s="18" customFormat="1" outlineLevel="1" x14ac:dyDescent="0.2">
      <c r="A93" s="7"/>
      <c r="B93" s="17" t="s">
        <v>51</v>
      </c>
      <c r="C93" s="51">
        <v>4795</v>
      </c>
      <c r="D93" s="51">
        <v>3190</v>
      </c>
      <c r="E93" s="51">
        <v>-41597</v>
      </c>
      <c r="F93" s="51">
        <v>3123</v>
      </c>
      <c r="G93" s="51">
        <v>3832</v>
      </c>
      <c r="H93" s="51">
        <v>2747</v>
      </c>
      <c r="I93" s="51">
        <v>-39249</v>
      </c>
      <c r="J93" s="51">
        <v>-31850</v>
      </c>
      <c r="K93" s="33"/>
      <c r="L93" s="33"/>
      <c r="M93" s="21"/>
      <c r="N93" s="51">
        <f t="shared" si="15"/>
        <v>-64520</v>
      </c>
      <c r="O93" s="7"/>
      <c r="S93" s="7"/>
    </row>
    <row r="94" spans="1:19" s="7" customFormat="1" outlineLevel="1" x14ac:dyDescent="0.2">
      <c r="B94" s="11" t="s">
        <v>52</v>
      </c>
      <c r="C94" s="55">
        <v>58500</v>
      </c>
      <c r="D94" s="55">
        <v>-33831</v>
      </c>
      <c r="E94" s="55">
        <v>-68618</v>
      </c>
      <c r="F94" s="55">
        <v>98205</v>
      </c>
      <c r="G94" s="55">
        <v>92235</v>
      </c>
      <c r="H94" s="55">
        <v>35311</v>
      </c>
      <c r="I94" s="55">
        <v>24847</v>
      </c>
      <c r="J94" s="55">
        <v>102172</v>
      </c>
      <c r="K94" s="33"/>
      <c r="L94" s="33"/>
      <c r="M94" s="21"/>
      <c r="N94" s="55">
        <f t="shared" si="15"/>
        <v>254565</v>
      </c>
    </row>
    <row r="95" spans="1:19" s="7" customFormat="1" outlineLevel="1" x14ac:dyDescent="0.2">
      <c r="B95" s="11" t="s">
        <v>53</v>
      </c>
      <c r="C95" s="55">
        <v>832448</v>
      </c>
      <c r="D95" s="55">
        <v>890975</v>
      </c>
      <c r="E95" s="55">
        <v>857144</v>
      </c>
      <c r="F95" s="55">
        <v>788526</v>
      </c>
      <c r="G95" s="55">
        <v>886731</v>
      </c>
      <c r="H95" s="55">
        <v>978966</v>
      </c>
      <c r="I95" s="55">
        <v>1014277</v>
      </c>
      <c r="J95" s="55">
        <v>1039124</v>
      </c>
      <c r="K95" s="21"/>
      <c r="L95" s="21"/>
      <c r="M95" s="21"/>
      <c r="N95" s="55">
        <f>G95</f>
        <v>886731</v>
      </c>
    </row>
    <row r="96" spans="1:19" s="13" customFormat="1" ht="17" outlineLevel="1" thickBot="1" x14ac:dyDescent="0.25">
      <c r="A96" s="7"/>
      <c r="B96" s="19" t="s">
        <v>54</v>
      </c>
      <c r="C96" s="58">
        <v>890975</v>
      </c>
      <c r="D96" s="58">
        <v>857144</v>
      </c>
      <c r="E96" s="58">
        <v>788526</v>
      </c>
      <c r="F96" s="58">
        <v>886731</v>
      </c>
      <c r="G96" s="58">
        <v>978966</v>
      </c>
      <c r="H96" s="58">
        <v>1014277</v>
      </c>
      <c r="I96" s="51">
        <v>1039124</v>
      </c>
      <c r="J96" s="51">
        <v>1141296</v>
      </c>
      <c r="K96" s="21"/>
      <c r="L96" s="21"/>
      <c r="M96" s="21"/>
      <c r="N96" s="58">
        <f>J96</f>
        <v>1141296</v>
      </c>
      <c r="O96" s="7"/>
      <c r="S96" s="7"/>
    </row>
    <row r="97" spans="1:19" x14ac:dyDescent="0.2">
      <c r="B97" s="1"/>
    </row>
    <row r="98" spans="1:19" s="14" customFormat="1" ht="17" thickBot="1" x14ac:dyDescent="0.25">
      <c r="A98" s="4"/>
      <c r="B98" s="15" t="s">
        <v>56</v>
      </c>
      <c r="K98" s="4"/>
      <c r="L98" s="4"/>
      <c r="M98" s="4"/>
      <c r="O98" s="4"/>
      <c r="S98" s="4"/>
    </row>
    <row r="99" spans="1:19" hidden="1" outlineLevel="2" x14ac:dyDescent="0.2">
      <c r="B99" s="9" t="s">
        <v>57</v>
      </c>
      <c r="C99" s="20">
        <f t="shared" ref="C99:H99" si="16">C5-C6-C11+C13+C14++C15+C17</f>
        <v>24351</v>
      </c>
      <c r="D99" s="20">
        <f t="shared" si="16"/>
        <v>23360</v>
      </c>
      <c r="E99" s="20">
        <f t="shared" si="16"/>
        <v>13907</v>
      </c>
      <c r="F99" s="20">
        <f t="shared" si="16"/>
        <v>35135</v>
      </c>
      <c r="G99" s="20">
        <f t="shared" si="16"/>
        <v>44781</v>
      </c>
      <c r="H99" s="20">
        <f t="shared" si="16"/>
        <v>292195</v>
      </c>
      <c r="I99" s="20">
        <f t="shared" ref="I99:J99" si="17">I5-I6-I11+I13+I14++I15+I17</f>
        <v>41954</v>
      </c>
      <c r="J99" s="20">
        <f t="shared" si="17"/>
        <v>43460</v>
      </c>
      <c r="K99" s="20"/>
      <c r="L99" s="20"/>
      <c r="M99" s="20"/>
    </row>
    <row r="100" spans="1:19" s="18" customFormat="1" outlineLevel="1" collapsed="1" x14ac:dyDescent="0.2">
      <c r="A100" s="7"/>
      <c r="B100" s="17" t="s">
        <v>58</v>
      </c>
      <c r="C100" s="24">
        <f t="shared" ref="C100:H100" si="18">C18-C99</f>
        <v>0</v>
      </c>
      <c r="D100" s="24">
        <f t="shared" si="18"/>
        <v>0</v>
      </c>
      <c r="E100" s="24">
        <f t="shared" si="18"/>
        <v>0</v>
      </c>
      <c r="F100" s="24">
        <f t="shared" si="18"/>
        <v>0</v>
      </c>
      <c r="G100" s="24">
        <f t="shared" si="18"/>
        <v>0</v>
      </c>
      <c r="H100" s="24">
        <f t="shared" si="18"/>
        <v>0</v>
      </c>
      <c r="I100" s="24">
        <f t="shared" ref="I100:J100" si="19">I18-I99</f>
        <v>0</v>
      </c>
      <c r="J100" s="24">
        <f t="shared" si="19"/>
        <v>0</v>
      </c>
      <c r="K100" s="26"/>
      <c r="L100" s="26"/>
      <c r="M100" s="26"/>
      <c r="O100" s="7"/>
      <c r="S100" s="7"/>
    </row>
    <row r="101" spans="1:19" hidden="1" outlineLevel="2" x14ac:dyDescent="0.2">
      <c r="B101" s="9" t="s">
        <v>59</v>
      </c>
      <c r="C101" s="20">
        <f t="shared" ref="C101:H101" si="20">SUM(C25:C30)+SUM(C32:C39)</f>
        <v>0</v>
      </c>
      <c r="D101" s="20">
        <f t="shared" si="20"/>
        <v>0</v>
      </c>
      <c r="E101" s="20">
        <f t="shared" si="20"/>
        <v>1301728</v>
      </c>
      <c r="F101" s="20">
        <f t="shared" si="20"/>
        <v>1403146</v>
      </c>
      <c r="G101" s="20">
        <f t="shared" si="20"/>
        <v>1542559</v>
      </c>
      <c r="H101" s="20">
        <f t="shared" si="20"/>
        <v>1885638</v>
      </c>
      <c r="I101" s="20">
        <f t="shared" ref="I101:J101" si="21">SUM(I25:I30)+SUM(I32:I39)</f>
        <v>1992182</v>
      </c>
      <c r="J101" s="20">
        <f t="shared" si="21"/>
        <v>2057994</v>
      </c>
      <c r="K101" s="20"/>
      <c r="L101" s="20"/>
      <c r="M101" s="20"/>
    </row>
    <row r="102" spans="1:19" s="7" customFormat="1" outlineLevel="1" collapsed="1" x14ac:dyDescent="0.2">
      <c r="B102" s="11" t="s">
        <v>60</v>
      </c>
      <c r="C102" s="23">
        <f t="shared" ref="C102:H102" si="22">C41-C101</f>
        <v>0</v>
      </c>
      <c r="D102" s="23">
        <f t="shared" si="22"/>
        <v>0</v>
      </c>
      <c r="E102" s="23">
        <f t="shared" si="22"/>
        <v>0</v>
      </c>
      <c r="F102" s="23">
        <f t="shared" si="22"/>
        <v>0</v>
      </c>
      <c r="G102" s="23">
        <f t="shared" si="22"/>
        <v>0</v>
      </c>
      <c r="H102" s="23">
        <f t="shared" si="22"/>
        <v>0</v>
      </c>
      <c r="I102" s="23">
        <f t="shared" ref="I102:J102" si="23">I41-I101</f>
        <v>0</v>
      </c>
      <c r="J102" s="23">
        <f t="shared" si="23"/>
        <v>0</v>
      </c>
      <c r="K102" s="26"/>
      <c r="L102" s="26"/>
      <c r="M102" s="26"/>
    </row>
    <row r="103" spans="1:19" hidden="1" outlineLevel="2" x14ac:dyDescent="0.2">
      <c r="B103" s="9" t="s">
        <v>61</v>
      </c>
      <c r="C103" s="20">
        <f t="shared" ref="C103:H103" si="24">SUM(C42:C45)+SUM(C47:C48)</f>
        <v>0</v>
      </c>
      <c r="D103" s="20">
        <f t="shared" si="24"/>
        <v>0</v>
      </c>
      <c r="E103" s="20">
        <f t="shared" si="24"/>
        <v>477178</v>
      </c>
      <c r="F103" s="20">
        <f t="shared" si="24"/>
        <v>509320</v>
      </c>
      <c r="G103" s="20">
        <f t="shared" si="24"/>
        <v>565528</v>
      </c>
      <c r="H103" s="20">
        <f t="shared" si="24"/>
        <v>578099</v>
      </c>
      <c r="I103" s="20">
        <f t="shared" ref="I103:J103" si="25">SUM(I42:I45)+SUM(I47:I48)</f>
        <v>645176</v>
      </c>
      <c r="J103" s="20">
        <f t="shared" si="25"/>
        <v>666230</v>
      </c>
      <c r="K103" s="20"/>
      <c r="L103" s="20"/>
      <c r="M103" s="20"/>
    </row>
    <row r="104" spans="1:19" s="7" customFormat="1" outlineLevel="1" collapsed="1" x14ac:dyDescent="0.2">
      <c r="B104" s="11" t="s">
        <v>62</v>
      </c>
      <c r="C104" s="23">
        <f t="shared" ref="C104:H104" si="26">C50-C103</f>
        <v>0</v>
      </c>
      <c r="D104" s="23">
        <f t="shared" si="26"/>
        <v>0</v>
      </c>
      <c r="E104" s="23">
        <f t="shared" si="26"/>
        <v>0</v>
      </c>
      <c r="F104" s="23">
        <f t="shared" si="26"/>
        <v>0</v>
      </c>
      <c r="G104" s="23">
        <f t="shared" si="26"/>
        <v>0</v>
      </c>
      <c r="H104" s="23">
        <f t="shared" si="26"/>
        <v>0</v>
      </c>
      <c r="I104" s="23">
        <f t="shared" ref="I104:J104" si="27">I50-I103</f>
        <v>0</v>
      </c>
      <c r="J104" s="23">
        <f t="shared" si="27"/>
        <v>0</v>
      </c>
      <c r="K104" s="26"/>
      <c r="L104" s="26"/>
      <c r="M104" s="26"/>
    </row>
    <row r="105" spans="1:19" hidden="1" outlineLevel="2" x14ac:dyDescent="0.2">
      <c r="B105" s="9" t="s">
        <v>63</v>
      </c>
      <c r="C105" s="20">
        <f t="shared" ref="C105:H105" si="28">SUM(C51:C54)</f>
        <v>0</v>
      </c>
      <c r="D105" s="20">
        <f t="shared" si="28"/>
        <v>0</v>
      </c>
      <c r="E105" s="20">
        <f t="shared" si="28"/>
        <v>824550</v>
      </c>
      <c r="F105" s="20">
        <f t="shared" si="28"/>
        <v>893826</v>
      </c>
      <c r="G105" s="20">
        <f t="shared" si="28"/>
        <v>977031</v>
      </c>
      <c r="H105" s="20">
        <f t="shared" si="28"/>
        <v>1307539</v>
      </c>
      <c r="I105" s="20">
        <f t="shared" ref="I105:J105" si="29">SUM(I51:I54)</f>
        <v>1347006</v>
      </c>
      <c r="J105" s="20">
        <f t="shared" si="29"/>
        <v>1391764</v>
      </c>
      <c r="K105" s="20"/>
      <c r="L105" s="20"/>
      <c r="M105" s="20"/>
    </row>
    <row r="106" spans="1:19" s="7" customFormat="1" outlineLevel="1" collapsed="1" x14ac:dyDescent="0.2">
      <c r="B106" s="11" t="s">
        <v>64</v>
      </c>
      <c r="C106" s="23">
        <f t="shared" ref="C106:H106" si="30">C55-C105</f>
        <v>0</v>
      </c>
      <c r="D106" s="23">
        <f t="shared" si="30"/>
        <v>0</v>
      </c>
      <c r="E106" s="23">
        <f t="shared" si="30"/>
        <v>0</v>
      </c>
      <c r="F106" s="23">
        <f t="shared" si="30"/>
        <v>0</v>
      </c>
      <c r="G106" s="23">
        <f t="shared" si="30"/>
        <v>0</v>
      </c>
      <c r="H106" s="23">
        <f t="shared" si="30"/>
        <v>0</v>
      </c>
      <c r="I106" s="23">
        <f t="shared" ref="I106:J106" si="31">I55-I105</f>
        <v>0</v>
      </c>
      <c r="J106" s="23">
        <f t="shared" si="31"/>
        <v>0</v>
      </c>
      <c r="K106" s="26"/>
      <c r="L106" s="26"/>
      <c r="M106" s="26"/>
    </row>
    <row r="107" spans="1:19" s="18" customFormat="1" outlineLevel="1" x14ac:dyDescent="0.2">
      <c r="A107" s="7"/>
      <c r="B107" s="17" t="s">
        <v>74</v>
      </c>
      <c r="C107" s="22">
        <f t="shared" ref="C107:H107" si="32">C41-(C50+C55)</f>
        <v>0</v>
      </c>
      <c r="D107" s="22">
        <f t="shared" si="32"/>
        <v>0</v>
      </c>
      <c r="E107" s="22">
        <f t="shared" si="32"/>
        <v>0</v>
      </c>
      <c r="F107" s="22">
        <f t="shared" si="32"/>
        <v>0</v>
      </c>
      <c r="G107" s="22">
        <f t="shared" si="32"/>
        <v>0</v>
      </c>
      <c r="H107" s="22">
        <f t="shared" si="32"/>
        <v>0</v>
      </c>
      <c r="I107" s="22">
        <f t="shared" ref="I107:J107" si="33">I41-(I50+I55)</f>
        <v>0</v>
      </c>
      <c r="J107" s="22">
        <f t="shared" si="33"/>
        <v>0</v>
      </c>
      <c r="K107" s="26"/>
      <c r="L107" s="26"/>
      <c r="M107" s="26"/>
      <c r="O107" s="7"/>
      <c r="S107" s="7"/>
    </row>
    <row r="108" spans="1:19" hidden="1" outlineLevel="2" x14ac:dyDescent="0.2">
      <c r="B108" s="9" t="s">
        <v>65</v>
      </c>
      <c r="C108" s="20">
        <f t="shared" ref="C108:H108" si="34">SUM(C59:C73)</f>
        <v>62388</v>
      </c>
      <c r="D108" s="20">
        <f t="shared" si="34"/>
        <v>56267</v>
      </c>
      <c r="E108" s="20">
        <f t="shared" si="34"/>
        <v>83344</v>
      </c>
      <c r="F108" s="20">
        <f t="shared" si="34"/>
        <v>105631</v>
      </c>
      <c r="G108" s="20">
        <f t="shared" si="34"/>
        <v>90675</v>
      </c>
      <c r="H108" s="20">
        <f t="shared" si="34"/>
        <v>84239</v>
      </c>
      <c r="I108" s="20">
        <f t="shared" ref="I108:J108" si="35">SUM(I59:I73)</f>
        <v>107278</v>
      </c>
      <c r="J108" s="20">
        <f t="shared" si="35"/>
        <v>150771</v>
      </c>
      <c r="K108" s="20"/>
      <c r="L108" s="20"/>
      <c r="M108" s="20"/>
    </row>
    <row r="109" spans="1:19" s="7" customFormat="1" outlineLevel="1" collapsed="1" x14ac:dyDescent="0.2">
      <c r="B109" s="11" t="s">
        <v>66</v>
      </c>
      <c r="C109" s="23">
        <f t="shared" ref="C109:H109" si="36">C74-C108</f>
        <v>0</v>
      </c>
      <c r="D109" s="23">
        <f t="shared" si="36"/>
        <v>0</v>
      </c>
      <c r="E109" s="23">
        <f t="shared" si="36"/>
        <v>0</v>
      </c>
      <c r="F109" s="23">
        <f t="shared" si="36"/>
        <v>0</v>
      </c>
      <c r="G109" s="23">
        <f t="shared" si="36"/>
        <v>0</v>
      </c>
      <c r="H109" s="23">
        <f t="shared" si="36"/>
        <v>0</v>
      </c>
      <c r="I109" s="23">
        <f t="shared" ref="I109:J109" si="37">I74-I108</f>
        <v>0</v>
      </c>
      <c r="J109" s="23">
        <f t="shared" si="37"/>
        <v>0</v>
      </c>
      <c r="K109" s="26"/>
      <c r="L109" s="26"/>
      <c r="M109" s="26"/>
    </row>
    <row r="110" spans="1:19" hidden="1" outlineLevel="2" x14ac:dyDescent="0.2">
      <c r="B110" s="9" t="s">
        <v>67</v>
      </c>
      <c r="C110" s="20">
        <f t="shared" ref="C110:H110" si="38">SUM(C75:C81)</f>
        <v>-8656</v>
      </c>
      <c r="D110" s="20">
        <f t="shared" si="38"/>
        <v>-93288</v>
      </c>
      <c r="E110" s="20">
        <f t="shared" si="38"/>
        <v>-110365</v>
      </c>
      <c r="F110" s="20">
        <f t="shared" si="38"/>
        <v>-10549</v>
      </c>
      <c r="G110" s="20">
        <f t="shared" si="38"/>
        <v>-2272</v>
      </c>
      <c r="H110" s="20">
        <f t="shared" si="38"/>
        <v>-51675</v>
      </c>
      <c r="I110" s="20">
        <f t="shared" ref="I110:J110" si="39">SUM(I75:I81)</f>
        <v>-43182</v>
      </c>
      <c r="J110" s="20">
        <f t="shared" si="39"/>
        <v>-16749</v>
      </c>
      <c r="K110" s="20"/>
      <c r="L110" s="20"/>
      <c r="M110" s="20"/>
    </row>
    <row r="111" spans="1:19" s="7" customFormat="1" outlineLevel="1" collapsed="1" x14ac:dyDescent="0.2">
      <c r="B111" s="11" t="s">
        <v>68</v>
      </c>
      <c r="C111" s="23">
        <f t="shared" ref="C111:H111" si="40">C82-C110</f>
        <v>0</v>
      </c>
      <c r="D111" s="23">
        <f t="shared" si="40"/>
        <v>0</v>
      </c>
      <c r="E111" s="23">
        <f t="shared" si="40"/>
        <v>0</v>
      </c>
      <c r="F111" s="23">
        <f t="shared" si="40"/>
        <v>0</v>
      </c>
      <c r="G111" s="23">
        <f t="shared" si="40"/>
        <v>0</v>
      </c>
      <c r="H111" s="23">
        <f t="shared" si="40"/>
        <v>0</v>
      </c>
      <c r="I111" s="23">
        <f t="shared" ref="I111:J111" si="41">I82-I110</f>
        <v>0</v>
      </c>
      <c r="J111" s="23">
        <f t="shared" si="41"/>
        <v>0</v>
      </c>
      <c r="K111" s="26"/>
      <c r="L111" s="26"/>
      <c r="M111" s="26"/>
    </row>
    <row r="112" spans="1:19" hidden="1" outlineLevel="2" x14ac:dyDescent="0.2">
      <c r="B112" s="9" t="s">
        <v>69</v>
      </c>
      <c r="C112" s="20">
        <f t="shared" ref="C112:E112" si="42">SUM(C83:C92)</f>
        <v>4795</v>
      </c>
      <c r="D112" s="20">
        <f t="shared" si="42"/>
        <v>3190</v>
      </c>
      <c r="E112" s="20">
        <f t="shared" si="42"/>
        <v>-41597</v>
      </c>
      <c r="F112" s="20">
        <f>SUM(F83:F92)</f>
        <v>3123</v>
      </c>
      <c r="G112" s="20">
        <f t="shared" ref="G112:H112" si="43">SUM(G83:G92)</f>
        <v>3832</v>
      </c>
      <c r="H112" s="20">
        <f t="shared" si="43"/>
        <v>2747</v>
      </c>
      <c r="I112" s="20">
        <f t="shared" ref="I112:J112" si="44">SUM(I83:I92)</f>
        <v>-39249</v>
      </c>
      <c r="J112" s="20">
        <f t="shared" si="44"/>
        <v>-31850</v>
      </c>
      <c r="K112" s="20"/>
      <c r="L112" s="20"/>
      <c r="M112" s="20"/>
    </row>
    <row r="113" spans="1:19" s="7" customFormat="1" outlineLevel="1" collapsed="1" x14ac:dyDescent="0.2">
      <c r="B113" s="11" t="s">
        <v>70</v>
      </c>
      <c r="C113" s="23">
        <f t="shared" ref="C113:H113" si="45">C93-C112</f>
        <v>0</v>
      </c>
      <c r="D113" s="23">
        <f t="shared" si="45"/>
        <v>0</v>
      </c>
      <c r="E113" s="23">
        <f t="shared" si="45"/>
        <v>0</v>
      </c>
      <c r="F113" s="23">
        <f t="shared" si="45"/>
        <v>0</v>
      </c>
      <c r="G113" s="23">
        <f t="shared" si="45"/>
        <v>0</v>
      </c>
      <c r="H113" s="23">
        <f t="shared" si="45"/>
        <v>0</v>
      </c>
      <c r="I113" s="23">
        <f t="shared" ref="I113:J113" si="46">I93-I112</f>
        <v>0</v>
      </c>
      <c r="J113" s="23">
        <f t="shared" si="46"/>
        <v>0</v>
      </c>
      <c r="K113" s="26"/>
      <c r="L113" s="26"/>
      <c r="M113" s="26"/>
    </row>
    <row r="114" spans="1:19" hidden="1" outlineLevel="2" x14ac:dyDescent="0.2">
      <c r="B114" s="9" t="s">
        <v>72</v>
      </c>
      <c r="C114" s="20">
        <f t="shared" ref="C114:E114" si="47">C74+C82+C93+C95</f>
        <v>890975</v>
      </c>
      <c r="D114" s="20">
        <f t="shared" si="47"/>
        <v>857144</v>
      </c>
      <c r="E114" s="20">
        <f t="shared" si="47"/>
        <v>788526</v>
      </c>
      <c r="F114" s="20">
        <f>F74+F82+F93+F95</f>
        <v>886731</v>
      </c>
      <c r="G114" s="20">
        <f t="shared" ref="G114:H114" si="48">G74+G82+G93+G95</f>
        <v>978966</v>
      </c>
      <c r="H114" s="20">
        <f t="shared" si="48"/>
        <v>1014277</v>
      </c>
      <c r="I114" s="20">
        <f t="shared" ref="I114:J114" si="49">I74+I82+I93+I95</f>
        <v>1039124</v>
      </c>
      <c r="J114" s="20">
        <f t="shared" si="49"/>
        <v>1141296</v>
      </c>
      <c r="K114" s="20"/>
      <c r="L114" s="20"/>
      <c r="M114" s="20"/>
    </row>
    <row r="115" spans="1:19" s="18" customFormat="1" outlineLevel="1" collapsed="1" x14ac:dyDescent="0.2">
      <c r="A115" s="7"/>
      <c r="B115" s="17" t="s">
        <v>71</v>
      </c>
      <c r="C115" s="22">
        <f t="shared" ref="C115:H115" si="50">C96-C114</f>
        <v>0</v>
      </c>
      <c r="D115" s="22">
        <f t="shared" si="50"/>
        <v>0</v>
      </c>
      <c r="E115" s="22">
        <f t="shared" si="50"/>
        <v>0</v>
      </c>
      <c r="F115" s="22">
        <f t="shared" si="50"/>
        <v>0</v>
      </c>
      <c r="G115" s="22">
        <f t="shared" si="50"/>
        <v>0</v>
      </c>
      <c r="H115" s="22">
        <f t="shared" si="50"/>
        <v>0</v>
      </c>
      <c r="I115" s="22">
        <f t="shared" ref="I115:J115" si="51">I96-I114</f>
        <v>0</v>
      </c>
      <c r="J115" s="22">
        <f t="shared" si="51"/>
        <v>0</v>
      </c>
      <c r="K115" s="26"/>
      <c r="L115" s="26"/>
      <c r="M115" s="26"/>
      <c r="O115" s="7"/>
      <c r="S115" s="7"/>
    </row>
    <row r="116" spans="1:19" x14ac:dyDescent="0.2">
      <c r="B116" s="8"/>
      <c r="D116" s="8"/>
      <c r="E116" s="8"/>
      <c r="F116" s="8"/>
      <c r="G116" s="8"/>
      <c r="H116" s="8"/>
      <c r="I116" s="8"/>
      <c r="J116" s="8"/>
      <c r="K116" s="8"/>
      <c r="L116" s="8"/>
      <c r="M116" s="8"/>
    </row>
    <row r="117" spans="1:19" s="14" customFormat="1" ht="17" thickBot="1" x14ac:dyDescent="0.25">
      <c r="A117" s="4"/>
      <c r="B117" s="15" t="s">
        <v>73</v>
      </c>
      <c r="K117" s="4"/>
      <c r="L117" s="4"/>
      <c r="M117" s="4"/>
      <c r="O117" s="4"/>
      <c r="S117" s="4"/>
    </row>
    <row r="118" spans="1:19" outlineLevel="1" x14ac:dyDescent="0.2">
      <c r="B118" s="9" t="s">
        <v>4</v>
      </c>
      <c r="C118" s="27">
        <v>43539</v>
      </c>
      <c r="D118" s="27">
        <v>43984</v>
      </c>
      <c r="E118" s="27">
        <v>45243</v>
      </c>
      <c r="F118" s="27">
        <v>45455</v>
      </c>
      <c r="G118" s="27">
        <v>45822</v>
      </c>
      <c r="H118" s="27">
        <v>46228</v>
      </c>
      <c r="I118" s="27">
        <v>47400</v>
      </c>
      <c r="J118" s="27">
        <v>46593</v>
      </c>
      <c r="K118" s="20"/>
      <c r="L118" s="20"/>
      <c r="M118" s="20"/>
      <c r="N118" s="20">
        <f>J118</f>
        <v>46593</v>
      </c>
    </row>
    <row r="119" spans="1:19" outlineLevel="1" x14ac:dyDescent="0.2">
      <c r="B119" s="12" t="s">
        <v>81</v>
      </c>
      <c r="C119" s="28">
        <v>0</v>
      </c>
      <c r="D119" s="28">
        <v>0</v>
      </c>
      <c r="E119" s="28">
        <v>0</v>
      </c>
      <c r="F119" s="28">
        <v>0</v>
      </c>
      <c r="G119" s="28">
        <v>0</v>
      </c>
      <c r="H119" s="28">
        <v>0</v>
      </c>
      <c r="I119" s="28">
        <v>0</v>
      </c>
      <c r="J119" s="28">
        <v>0</v>
      </c>
      <c r="K119" s="8"/>
      <c r="L119" s="8"/>
      <c r="M119" s="8"/>
      <c r="N119" s="1">
        <f>SUM(G119:J119)</f>
        <v>0</v>
      </c>
    </row>
    <row r="120" spans="1:19" outlineLevel="1" x14ac:dyDescent="0.2">
      <c r="B120" s="12" t="s">
        <v>380</v>
      </c>
      <c r="C120" s="27">
        <v>2825</v>
      </c>
      <c r="D120" s="27">
        <v>2267</v>
      </c>
      <c r="E120" s="27">
        <v>3141</v>
      </c>
      <c r="F120" s="27">
        <v>2300</v>
      </c>
      <c r="G120" s="27">
        <v>2954</v>
      </c>
      <c r="H120" s="27">
        <v>3597</v>
      </c>
      <c r="I120" s="27">
        <v>4003</v>
      </c>
      <c r="J120" s="27">
        <v>3450</v>
      </c>
      <c r="K120" s="8"/>
      <c r="L120" s="8"/>
      <c r="M120" s="8"/>
      <c r="N120" s="20">
        <f>SUM(G120:J120)</f>
        <v>14004</v>
      </c>
    </row>
    <row r="121" spans="1:19" outlineLevel="1" x14ac:dyDescent="0.2">
      <c r="B121" s="12"/>
      <c r="C121" s="28"/>
      <c r="D121" s="28"/>
      <c r="E121" s="28"/>
      <c r="F121" s="28"/>
      <c r="G121" s="28"/>
      <c r="H121" s="28"/>
      <c r="I121" s="28"/>
      <c r="J121" s="28"/>
      <c r="K121" s="8"/>
      <c r="L121" s="8"/>
      <c r="M121" s="8"/>
    </row>
    <row r="122" spans="1:19" x14ac:dyDescent="0.2">
      <c r="B122" s="1"/>
    </row>
    <row r="123" spans="1:19" s="63" customFormat="1" ht="17" thickBot="1" x14ac:dyDescent="0.25">
      <c r="A123" s="1"/>
      <c r="B123" s="15" t="s">
        <v>95</v>
      </c>
      <c r="C123" s="65"/>
      <c r="D123" s="65"/>
      <c r="E123" s="65"/>
      <c r="F123" s="65"/>
      <c r="G123" s="65"/>
      <c r="H123" s="65"/>
      <c r="I123" s="65"/>
      <c r="J123" s="65"/>
      <c r="K123" s="1"/>
      <c r="L123" s="1"/>
      <c r="M123" s="1"/>
      <c r="O123" s="4"/>
      <c r="S123" s="4"/>
    </row>
    <row r="124" spans="1:19" outlineLevel="1" x14ac:dyDescent="0.2">
      <c r="B124" s="9" t="s">
        <v>88</v>
      </c>
      <c r="C124" s="27">
        <v>186700</v>
      </c>
      <c r="D124" s="27">
        <v>202500</v>
      </c>
      <c r="E124" s="27">
        <v>220500</v>
      </c>
      <c r="F124" s="27">
        <v>238500</v>
      </c>
      <c r="G124" s="27">
        <v>257000</v>
      </c>
      <c r="H124" s="27">
        <v>273000</v>
      </c>
      <c r="I124" s="27">
        <v>288500</v>
      </c>
      <c r="J124" s="27">
        <v>295500</v>
      </c>
    </row>
    <row r="125" spans="1:19" outlineLevel="1" x14ac:dyDescent="0.2">
      <c r="B125" s="9" t="s">
        <v>89</v>
      </c>
      <c r="C125" s="27">
        <v>189700</v>
      </c>
      <c r="D125" s="27">
        <v>205500</v>
      </c>
      <c r="E125" s="27">
        <v>223500</v>
      </c>
      <c r="F125" s="27">
        <v>241500</v>
      </c>
      <c r="G125" s="27">
        <v>261000</v>
      </c>
      <c r="H125" s="27">
        <v>277000</v>
      </c>
      <c r="I125" s="27">
        <v>288500</v>
      </c>
      <c r="J125" s="27">
        <v>295500</v>
      </c>
    </row>
    <row r="126" spans="1:19" outlineLevel="1" x14ac:dyDescent="0.2">
      <c r="B126" s="9" t="s">
        <v>93</v>
      </c>
      <c r="C126" s="34">
        <f t="shared" ref="C126" si="52">D5</f>
        <v>192594</v>
      </c>
      <c r="D126" s="34">
        <f t="shared" ref="D126" si="53">E5</f>
        <v>209550</v>
      </c>
      <c r="E126" s="34">
        <f t="shared" ref="E126" si="54">F5</f>
        <v>230743</v>
      </c>
      <c r="F126" s="34">
        <f t="shared" ref="F126" si="55">G5</f>
        <v>252265</v>
      </c>
      <c r="G126" s="34">
        <f t="shared" ref="G126" si="56">H5</f>
        <v>271713</v>
      </c>
      <c r="H126" s="34">
        <f t="shared" ref="H126" si="57">I5</f>
        <v>282868</v>
      </c>
      <c r="I126" s="34">
        <f t="shared" ref="I126" si="58">J5</f>
        <v>291967</v>
      </c>
      <c r="J126" s="34">
        <f t="shared" ref="J126" si="59">K5</f>
        <v>0</v>
      </c>
    </row>
    <row r="127" spans="1:19" outlineLevel="1" x14ac:dyDescent="0.2">
      <c r="B127" s="9" t="s">
        <v>90</v>
      </c>
      <c r="C127" s="64" t="str">
        <f t="shared" ref="C127" si="60">IF(D5&gt;C125, "BEAT", IF(D5&lt;C124, "MISSED", "MET"))</f>
        <v>BEAT</v>
      </c>
      <c r="D127" s="64" t="str">
        <f t="shared" ref="D127" si="61">IF(E5&gt;D125, "BEAT", IF(E5&lt;D124, "MISSED", "MET"))</f>
        <v>BEAT</v>
      </c>
      <c r="E127" s="64" t="str">
        <f t="shared" ref="E127" si="62">IF(F5&gt;E125, "BEAT", IF(F5&lt;E124, "MISSED", "MET"))</f>
        <v>BEAT</v>
      </c>
      <c r="F127" s="64" t="str">
        <f t="shared" ref="F127" si="63">IF(G5&gt;F125, "BEAT", IF(G5&lt;F124, "MISSED", "MET"))</f>
        <v>BEAT</v>
      </c>
      <c r="G127" s="64" t="str">
        <f t="shared" ref="G127" si="64">IF(H5&gt;G125, "BEAT", IF(H5&lt;G124, "MISSED", "MET"))</f>
        <v>BEAT</v>
      </c>
      <c r="H127" s="64" t="str">
        <f t="shared" ref="H127" si="65">IF(I5&gt;H125, "BEAT", IF(I5&lt;H124, "MISSED", "MET"))</f>
        <v>BEAT</v>
      </c>
      <c r="I127" s="64" t="str">
        <f t="shared" ref="I127" si="66">IF(J5&gt;I125, "BEAT", IF(J5&lt;I124, "MISSED", "MET"))</f>
        <v>BEAT</v>
      </c>
      <c r="J127" s="64" t="str">
        <f t="shared" ref="J127" si="67">IF(K5&gt;J125, "BEAT", IF(K5&lt;J124, "MISSED", "MET"))</f>
        <v>MISSED</v>
      </c>
    </row>
    <row r="128" spans="1:19" outlineLevel="1" x14ac:dyDescent="0.2">
      <c r="B128" s="9" t="s">
        <v>91</v>
      </c>
      <c r="C128" s="31"/>
      <c r="D128" s="31"/>
      <c r="E128" s="31"/>
      <c r="F128" s="31"/>
      <c r="G128" s="31"/>
      <c r="H128" s="31"/>
      <c r="I128" s="31"/>
      <c r="J128" s="31"/>
    </row>
    <row r="129" spans="1:19" outlineLevel="1" x14ac:dyDescent="0.2">
      <c r="B129" s="9" t="s">
        <v>92</v>
      </c>
      <c r="C129" s="31"/>
      <c r="D129" s="31"/>
      <c r="E129" s="31"/>
      <c r="F129" s="31"/>
      <c r="G129" s="31"/>
      <c r="H129" s="31"/>
      <c r="I129" s="31"/>
      <c r="J129" s="31"/>
    </row>
    <row r="130" spans="1:19" outlineLevel="1" x14ac:dyDescent="0.2">
      <c r="B130" s="9" t="s">
        <v>94</v>
      </c>
      <c r="C130" s="25"/>
      <c r="D130" s="25"/>
      <c r="E130" s="25"/>
      <c r="F130" s="25"/>
      <c r="G130" s="25"/>
      <c r="H130" s="25"/>
      <c r="I130" s="25"/>
      <c r="J130" s="25"/>
      <c r="K130" s="20"/>
      <c r="L130" s="20"/>
      <c r="M130" s="20"/>
    </row>
    <row r="131" spans="1:19" outlineLevel="1" x14ac:dyDescent="0.2">
      <c r="B131" s="12" t="s">
        <v>90</v>
      </c>
      <c r="C131" s="64"/>
      <c r="D131" s="64"/>
      <c r="E131" s="64"/>
      <c r="F131" s="64"/>
      <c r="G131" s="64"/>
      <c r="H131" s="64"/>
      <c r="I131" s="64"/>
      <c r="J131" s="64"/>
      <c r="K131" s="8"/>
      <c r="L131" s="8"/>
      <c r="M131" s="8"/>
    </row>
    <row r="132" spans="1:19" x14ac:dyDescent="0.2">
      <c r="B132" s="1"/>
    </row>
    <row r="133" spans="1:19" s="14" customFormat="1" ht="17" thickBot="1" x14ac:dyDescent="0.25">
      <c r="A133" s="4"/>
      <c r="B133" s="15" t="s">
        <v>163</v>
      </c>
      <c r="K133" s="8"/>
      <c r="L133" s="8"/>
      <c r="M133" s="8"/>
      <c r="O133" s="1"/>
      <c r="S133" s="1"/>
    </row>
    <row r="134" spans="1:19" outlineLevel="1" x14ac:dyDescent="0.2">
      <c r="B134" s="9" t="s">
        <v>157</v>
      </c>
      <c r="C134" s="27">
        <v>34100</v>
      </c>
      <c r="D134" s="27">
        <v>37200</v>
      </c>
      <c r="E134" s="27">
        <v>40500</v>
      </c>
      <c r="F134" s="27">
        <v>46600</v>
      </c>
      <c r="G134" s="27">
        <v>47700</v>
      </c>
      <c r="H134" s="27">
        <v>50500</v>
      </c>
      <c r="I134" s="27">
        <v>52700</v>
      </c>
      <c r="J134" s="27">
        <v>56500</v>
      </c>
    </row>
    <row r="135" spans="1:19" outlineLevel="1" x14ac:dyDescent="0.2">
      <c r="B135" s="9" t="s">
        <v>158</v>
      </c>
      <c r="C135" s="27">
        <v>103600</v>
      </c>
      <c r="D135" s="27">
        <v>113100</v>
      </c>
      <c r="E135" s="27">
        <v>116700</v>
      </c>
      <c r="F135" s="27">
        <v>130200</v>
      </c>
      <c r="G135" s="27">
        <v>128300</v>
      </c>
      <c r="H135" s="27">
        <v>135300</v>
      </c>
      <c r="I135" s="27">
        <v>133100</v>
      </c>
      <c r="J135" s="27">
        <v>137800</v>
      </c>
    </row>
    <row r="136" spans="1:19" outlineLevel="1" x14ac:dyDescent="0.2">
      <c r="B136" s="9" t="s">
        <v>159</v>
      </c>
      <c r="C136" s="27">
        <v>8000</v>
      </c>
      <c r="D136" s="27">
        <v>8600</v>
      </c>
      <c r="E136" s="27">
        <v>9500</v>
      </c>
      <c r="F136" s="27">
        <v>10300</v>
      </c>
      <c r="G136" s="27">
        <v>10900</v>
      </c>
      <c r="H136" s="27">
        <v>11500</v>
      </c>
      <c r="I136" s="27">
        <v>12200</v>
      </c>
      <c r="J136" s="27">
        <v>12500</v>
      </c>
    </row>
    <row r="137" spans="1:19" outlineLevel="1" x14ac:dyDescent="0.2">
      <c r="B137" s="9" t="s">
        <v>174</v>
      </c>
      <c r="C137" s="34">
        <f t="shared" ref="C137:H137" si="68">C135-C136</f>
        <v>95600</v>
      </c>
      <c r="D137" s="34">
        <f t="shared" si="68"/>
        <v>104500</v>
      </c>
      <c r="E137" s="34">
        <f t="shared" si="68"/>
        <v>107200</v>
      </c>
      <c r="F137" s="34">
        <f t="shared" si="68"/>
        <v>119900</v>
      </c>
      <c r="G137" s="34">
        <f t="shared" si="68"/>
        <v>117400</v>
      </c>
      <c r="H137" s="34">
        <f t="shared" si="68"/>
        <v>123800</v>
      </c>
      <c r="I137" s="34">
        <f t="shared" ref="I137:J137" si="69">I135-I136</f>
        <v>120900</v>
      </c>
      <c r="J137" s="34">
        <f t="shared" si="69"/>
        <v>125300</v>
      </c>
    </row>
    <row r="138" spans="1:19" outlineLevel="1" x14ac:dyDescent="0.2">
      <c r="C138" s="34"/>
      <c r="D138" s="34"/>
      <c r="E138" s="34"/>
      <c r="F138" s="34"/>
      <c r="G138" s="34"/>
      <c r="H138" s="34"/>
      <c r="I138" s="34"/>
      <c r="J138" s="34"/>
    </row>
    <row r="139" spans="1:19" x14ac:dyDescent="0.2">
      <c r="B139" s="1"/>
    </row>
    <row r="140" spans="1:19" s="14" customFormat="1" ht="17" thickBot="1" x14ac:dyDescent="0.25">
      <c r="A140" s="4"/>
      <c r="B140" s="15" t="s">
        <v>160</v>
      </c>
      <c r="K140" s="8"/>
      <c r="L140" s="8"/>
      <c r="M140" s="8"/>
      <c r="O140" s="1"/>
      <c r="S140" s="94"/>
    </row>
    <row r="141" spans="1:19" outlineLevel="1" x14ac:dyDescent="0.2">
      <c r="B141" s="9" t="s">
        <v>161</v>
      </c>
      <c r="C141" s="27">
        <v>143909</v>
      </c>
      <c r="D141" s="27">
        <v>157617</v>
      </c>
      <c r="E141" s="27">
        <v>174317</v>
      </c>
      <c r="F141" s="27">
        <v>190987</v>
      </c>
      <c r="G141" s="27">
        <v>210678</v>
      </c>
      <c r="H141" s="27">
        <v>229491</v>
      </c>
      <c r="I141" s="27">
        <v>242286</v>
      </c>
      <c r="J141" s="27">
        <v>250908</v>
      </c>
      <c r="L141" s="27"/>
    </row>
    <row r="142" spans="1:19" outlineLevel="1" x14ac:dyDescent="0.2">
      <c r="B142" s="9" t="s">
        <v>168</v>
      </c>
      <c r="C142" s="27">
        <v>13258</v>
      </c>
      <c r="D142" s="27">
        <v>14405</v>
      </c>
      <c r="E142" s="27">
        <v>14292</v>
      </c>
      <c r="F142" s="27">
        <v>17882</v>
      </c>
      <c r="G142" s="27">
        <v>20603</v>
      </c>
      <c r="H142" s="27">
        <v>21019</v>
      </c>
      <c r="I142" s="27">
        <v>20221</v>
      </c>
      <c r="J142" s="27">
        <v>20614</v>
      </c>
      <c r="L142" s="27"/>
    </row>
    <row r="143" spans="1:19" outlineLevel="1" x14ac:dyDescent="0.2">
      <c r="B143" s="9" t="s">
        <v>169</v>
      </c>
      <c r="C143" s="27">
        <v>10698</v>
      </c>
      <c r="D143" s="27">
        <v>10772</v>
      </c>
      <c r="E143" s="27">
        <v>11415</v>
      </c>
      <c r="F143" s="27">
        <v>11986</v>
      </c>
      <c r="G143" s="27">
        <v>10088</v>
      </c>
      <c r="H143" s="27">
        <v>9649</v>
      </c>
      <c r="I143" s="27">
        <v>10283</v>
      </c>
      <c r="J143" s="27">
        <v>11317</v>
      </c>
      <c r="L143" s="27"/>
    </row>
    <row r="144" spans="1:19" outlineLevel="1" x14ac:dyDescent="0.2">
      <c r="B144" s="9" t="s">
        <v>170</v>
      </c>
      <c r="C144" s="27">
        <v>10176</v>
      </c>
      <c r="D144" s="27">
        <v>9411</v>
      </c>
      <c r="E144" s="27">
        <v>9142</v>
      </c>
      <c r="F144" s="27">
        <v>9442</v>
      </c>
      <c r="G144" s="27">
        <v>10390</v>
      </c>
      <c r="H144" s="27">
        <v>11096</v>
      </c>
      <c r="I144" s="27">
        <v>9551</v>
      </c>
      <c r="J144" s="27">
        <v>8446</v>
      </c>
      <c r="L144" s="27"/>
    </row>
    <row r="145" spans="1:14" outlineLevel="1" x14ac:dyDescent="0.2">
      <c r="B145" s="9" t="s">
        <v>162</v>
      </c>
      <c r="C145" s="27">
        <v>286</v>
      </c>
      <c r="D145" s="27">
        <v>389</v>
      </c>
      <c r="E145" s="27">
        <v>384</v>
      </c>
      <c r="F145" s="27">
        <v>446</v>
      </c>
      <c r="G145" s="27">
        <v>506</v>
      </c>
      <c r="H145" s="27">
        <v>458</v>
      </c>
      <c r="I145" s="27">
        <v>527</v>
      </c>
      <c r="J145" s="27">
        <v>682</v>
      </c>
      <c r="L145" s="27"/>
    </row>
    <row r="146" spans="1:14" outlineLevel="1" x14ac:dyDescent="0.2">
      <c r="B146" s="9" t="s">
        <v>171</v>
      </c>
      <c r="C146" s="34">
        <f t="shared" ref="C146:H146" si="70">SUM(C142:C145)</f>
        <v>34418</v>
      </c>
      <c r="D146" s="34">
        <f t="shared" si="70"/>
        <v>34977</v>
      </c>
      <c r="E146" s="34">
        <f t="shared" si="70"/>
        <v>35233</v>
      </c>
      <c r="F146" s="34">
        <f t="shared" si="70"/>
        <v>39756</v>
      </c>
      <c r="G146" s="34">
        <f t="shared" si="70"/>
        <v>41587</v>
      </c>
      <c r="H146" s="34">
        <f t="shared" si="70"/>
        <v>42222</v>
      </c>
      <c r="I146" s="34">
        <f t="shared" ref="I146:J146" si="71">SUM(I142:I145)</f>
        <v>40582</v>
      </c>
      <c r="J146" s="34">
        <f t="shared" si="71"/>
        <v>41059</v>
      </c>
    </row>
    <row r="147" spans="1:14" outlineLevel="1" x14ac:dyDescent="0.2">
      <c r="C147" s="34"/>
      <c r="D147" s="34"/>
      <c r="E147" s="34"/>
      <c r="F147" s="34"/>
      <c r="G147" s="34"/>
      <c r="H147" s="34"/>
      <c r="I147" s="34"/>
      <c r="J147" s="34"/>
    </row>
    <row r="148" spans="1:14" x14ac:dyDescent="0.2">
      <c r="B148" s="1"/>
    </row>
    <row r="149" spans="1:14" s="14" customFormat="1" ht="17" thickBot="1" x14ac:dyDescent="0.25">
      <c r="A149" s="4"/>
      <c r="B149" s="15" t="s">
        <v>164</v>
      </c>
      <c r="K149" s="1"/>
      <c r="L149" s="1"/>
      <c r="M149" s="1"/>
    </row>
    <row r="150" spans="1:14" outlineLevel="1" x14ac:dyDescent="0.2">
      <c r="B150" s="9" t="s">
        <v>165</v>
      </c>
      <c r="C150" s="90">
        <f t="shared" ref="C150:H150" si="72">C141/C136</f>
        <v>17.988624999999999</v>
      </c>
      <c r="D150" s="90">
        <f t="shared" si="72"/>
        <v>18.327558139534883</v>
      </c>
      <c r="E150" s="90">
        <f t="shared" si="72"/>
        <v>18.349157894736841</v>
      </c>
      <c r="F150" s="90">
        <f t="shared" si="72"/>
        <v>18.542427184466021</v>
      </c>
      <c r="G150" s="90">
        <f t="shared" si="72"/>
        <v>19.328256880733946</v>
      </c>
      <c r="H150" s="90">
        <f t="shared" si="72"/>
        <v>19.955739130434782</v>
      </c>
      <c r="I150" s="90">
        <f t="shared" ref="I150:J150" si="73">I141/I136</f>
        <v>19.859508196721311</v>
      </c>
      <c r="J150" s="90">
        <f t="shared" si="73"/>
        <v>20.07264</v>
      </c>
    </row>
    <row r="151" spans="1:14" outlineLevel="1" x14ac:dyDescent="0.2">
      <c r="B151" s="9" t="s">
        <v>166</v>
      </c>
      <c r="C151" s="89">
        <f t="shared" ref="C151:H151" si="74">C134/C135</f>
        <v>0.32915057915057916</v>
      </c>
      <c r="D151" s="89">
        <f t="shared" si="74"/>
        <v>0.32891246684350134</v>
      </c>
      <c r="E151" s="89">
        <f t="shared" si="74"/>
        <v>0.34704370179948585</v>
      </c>
      <c r="F151" s="89">
        <f t="shared" si="74"/>
        <v>0.3579109062980031</v>
      </c>
      <c r="G151" s="89">
        <f t="shared" si="74"/>
        <v>0.37178487918939984</v>
      </c>
      <c r="H151" s="89">
        <f t="shared" si="74"/>
        <v>0.37324464153732445</v>
      </c>
      <c r="I151" s="89">
        <f t="shared" ref="I151:J151" si="75">I134/I135</f>
        <v>0.3959429000751315</v>
      </c>
      <c r="J151" s="89">
        <f t="shared" si="75"/>
        <v>0.41001451378809867</v>
      </c>
    </row>
    <row r="152" spans="1:14" outlineLevel="1" x14ac:dyDescent="0.2">
      <c r="B152" s="9" t="s">
        <v>167</v>
      </c>
      <c r="C152" s="89">
        <f t="shared" ref="C152:H152" si="76">C136/C135</f>
        <v>7.7220077220077218E-2</v>
      </c>
      <c r="D152" s="89">
        <f t="shared" si="76"/>
        <v>7.6038903625110524E-2</v>
      </c>
      <c r="E152" s="89">
        <f t="shared" si="76"/>
        <v>8.1405312767780638E-2</v>
      </c>
      <c r="F152" s="89">
        <f t="shared" si="76"/>
        <v>7.9109062980030717E-2</v>
      </c>
      <c r="G152" s="89">
        <f t="shared" si="76"/>
        <v>8.4957131722525336E-2</v>
      </c>
      <c r="H152" s="89">
        <f t="shared" si="76"/>
        <v>8.4996304508499626E-2</v>
      </c>
      <c r="I152" s="89">
        <f t="shared" ref="I152:J152" si="77">I136/I135</f>
        <v>9.1660405709992482E-2</v>
      </c>
      <c r="J152" s="89">
        <f t="shared" si="77"/>
        <v>9.071117561683599E-2</v>
      </c>
    </row>
    <row r="153" spans="1:14" outlineLevel="1" x14ac:dyDescent="0.2">
      <c r="B153" s="9" t="s">
        <v>173</v>
      </c>
      <c r="C153" s="139">
        <f t="shared" ref="C153:H153" si="78">C142/C137</f>
        <v>0.13868200836820083</v>
      </c>
      <c r="D153" s="139">
        <f t="shared" si="78"/>
        <v>0.13784688995215311</v>
      </c>
      <c r="E153" s="139">
        <f t="shared" si="78"/>
        <v>0.13332089552238807</v>
      </c>
      <c r="F153" s="139">
        <f t="shared" si="78"/>
        <v>0.14914095079232695</v>
      </c>
      <c r="G153" s="139">
        <f t="shared" si="78"/>
        <v>0.17549403747870529</v>
      </c>
      <c r="H153" s="139">
        <f t="shared" si="78"/>
        <v>0.16978190630048465</v>
      </c>
      <c r="I153" s="139">
        <f t="shared" ref="I153:J153" si="79">I142/I137</f>
        <v>0.1672539288668321</v>
      </c>
      <c r="J153" s="139">
        <f t="shared" si="79"/>
        <v>0.1645171588188348</v>
      </c>
      <c r="K153" s="90"/>
    </row>
    <row r="154" spans="1:14" outlineLevel="1" x14ac:dyDescent="0.2">
      <c r="B154" s="9" t="s">
        <v>202</v>
      </c>
      <c r="C154" s="89">
        <f t="shared" ref="C154:H154" si="80">C144/C134</f>
        <v>0.29841642228739002</v>
      </c>
      <c r="D154" s="89">
        <f t="shared" si="80"/>
        <v>0.25298387096774194</v>
      </c>
      <c r="E154" s="89">
        <f t="shared" si="80"/>
        <v>0.2257283950617284</v>
      </c>
      <c r="F154" s="89">
        <f t="shared" si="80"/>
        <v>0.20261802575107296</v>
      </c>
      <c r="G154" s="89">
        <f t="shared" si="80"/>
        <v>0.21781970649895177</v>
      </c>
      <c r="H154" s="89">
        <f t="shared" si="80"/>
        <v>0.21972277227722772</v>
      </c>
      <c r="I154" s="89">
        <f t="shared" ref="I154:J154" si="81">I144/I134</f>
        <v>0.18123339658444024</v>
      </c>
      <c r="J154" s="89">
        <f t="shared" si="81"/>
        <v>0.14948672566371682</v>
      </c>
    </row>
    <row r="155" spans="1:14" outlineLevel="1" x14ac:dyDescent="0.2"/>
    <row r="156" spans="1:14" x14ac:dyDescent="0.2">
      <c r="B156" s="94"/>
    </row>
    <row r="157" spans="1:14" ht="17" thickBot="1" x14ac:dyDescent="0.25">
      <c r="B157" s="15" t="s">
        <v>377</v>
      </c>
      <c r="C157" s="14"/>
      <c r="D157" s="14"/>
      <c r="E157" s="14"/>
      <c r="F157" s="14"/>
      <c r="G157" s="14"/>
      <c r="H157" s="14"/>
      <c r="I157" s="14"/>
      <c r="J157" s="14"/>
      <c r="N157" s="14"/>
    </row>
    <row r="158" spans="1:14" x14ac:dyDescent="0.2">
      <c r="B158" s="9" t="s">
        <v>237</v>
      </c>
      <c r="C158" s="168">
        <f>C47</f>
        <v>0</v>
      </c>
      <c r="D158" s="168">
        <f t="shared" ref="D158:J158" si="82">D47</f>
        <v>0</v>
      </c>
      <c r="E158" s="168">
        <f t="shared" si="82"/>
        <v>54656</v>
      </c>
      <c r="F158" s="168">
        <f t="shared" si="82"/>
        <v>54533</v>
      </c>
      <c r="G158" s="168">
        <f t="shared" si="82"/>
        <v>93843</v>
      </c>
      <c r="H158" s="168">
        <f t="shared" si="82"/>
        <v>93257</v>
      </c>
      <c r="I158" s="168">
        <f t="shared" si="82"/>
        <v>93779</v>
      </c>
      <c r="J158" s="168">
        <f t="shared" si="82"/>
        <v>91873</v>
      </c>
      <c r="N158" s="168">
        <f>J158</f>
        <v>91873</v>
      </c>
    </row>
    <row r="159" spans="1:14" x14ac:dyDescent="0.2">
      <c r="B159" s="9" t="s">
        <v>241</v>
      </c>
      <c r="C159" s="168">
        <f>C25+C26</f>
        <v>0</v>
      </c>
      <c r="D159" s="168">
        <f t="shared" ref="D159:J159" si="83">D25+D26</f>
        <v>0</v>
      </c>
      <c r="E159" s="168">
        <f t="shared" si="83"/>
        <v>877645</v>
      </c>
      <c r="F159" s="168">
        <f t="shared" si="83"/>
        <v>999280</v>
      </c>
      <c r="G159" s="168">
        <f t="shared" si="83"/>
        <v>1097883</v>
      </c>
      <c r="H159" s="168">
        <f t="shared" si="83"/>
        <v>1121454</v>
      </c>
      <c r="I159" s="168">
        <f t="shared" si="83"/>
        <v>1140467</v>
      </c>
      <c r="J159" s="168">
        <f t="shared" si="83"/>
        <v>1251610</v>
      </c>
      <c r="N159" s="168">
        <f>J159</f>
        <v>1251610</v>
      </c>
    </row>
    <row r="160" spans="1:14" x14ac:dyDescent="0.2">
      <c r="B160" s="9" t="s">
        <v>378</v>
      </c>
      <c r="C160" s="168">
        <f>C47*Overview!$C$4</f>
        <v>0</v>
      </c>
      <c r="D160" s="168">
        <f>D47*Overview!$C$4</f>
        <v>0</v>
      </c>
      <c r="E160" s="168">
        <f>E47*Overview!$C$4</f>
        <v>3825.9200000000005</v>
      </c>
      <c r="F160" s="168">
        <f>F47*Overview!$C$4</f>
        <v>3817.3100000000004</v>
      </c>
      <c r="G160" s="168">
        <f>G47*Overview!$C$4</f>
        <v>6569.01</v>
      </c>
      <c r="H160" s="168">
        <f>H47*Overview!$C$4</f>
        <v>6527.9900000000007</v>
      </c>
      <c r="I160" s="168">
        <f>I47*Overview!$C$4</f>
        <v>6564.5300000000007</v>
      </c>
      <c r="J160" s="168">
        <f>J47*Overview!$C$4</f>
        <v>6431.1100000000006</v>
      </c>
      <c r="N160" s="168">
        <f>J160</f>
        <v>6431.1100000000006</v>
      </c>
    </row>
    <row r="161" spans="2:14" x14ac:dyDescent="0.2">
      <c r="B161" s="9" t="s">
        <v>385</v>
      </c>
      <c r="C161" s="168"/>
      <c r="D161" s="168"/>
      <c r="E161" s="168"/>
      <c r="F161" s="168"/>
      <c r="G161" s="168"/>
      <c r="H161" s="168"/>
      <c r="I161" s="168"/>
      <c r="J161" s="168"/>
      <c r="N161" s="168">
        <f>N120-N160</f>
        <v>7572.8899999999994</v>
      </c>
    </row>
    <row r="162" spans="2:14" x14ac:dyDescent="0.2">
      <c r="B162" s="9" t="s">
        <v>180</v>
      </c>
      <c r="C162" s="168">
        <f>C12+C160</f>
        <v>18700</v>
      </c>
      <c r="D162" s="168">
        <f t="shared" ref="D162:J162" si="84">D12+D160</f>
        <v>13574</v>
      </c>
      <c r="E162" s="168">
        <f t="shared" si="84"/>
        <v>17707.920000000002</v>
      </c>
      <c r="F162" s="168">
        <f t="shared" si="84"/>
        <v>27411.31</v>
      </c>
      <c r="G162" s="168">
        <f t="shared" si="84"/>
        <v>39932.01</v>
      </c>
      <c r="H162" s="168">
        <f t="shared" si="84"/>
        <v>41686.99</v>
      </c>
      <c r="I162" s="168">
        <f t="shared" si="84"/>
        <v>50018.53</v>
      </c>
      <c r="J162" s="168">
        <f t="shared" si="84"/>
        <v>50958.11</v>
      </c>
      <c r="N162" s="168">
        <f>N12+N160-N161</f>
        <v>155361.21999999997</v>
      </c>
    </row>
    <row r="163" spans="2:14" x14ac:dyDescent="0.2">
      <c r="B163" s="9" t="s">
        <v>312</v>
      </c>
      <c r="C163" s="195">
        <f>C158+C55-C159</f>
        <v>0</v>
      </c>
      <c r="D163" s="195">
        <f t="shared" ref="D163:J163" si="85">D158+D55-D159</f>
        <v>0</v>
      </c>
      <c r="E163" s="195">
        <f t="shared" si="85"/>
        <v>1561</v>
      </c>
      <c r="F163" s="195">
        <f t="shared" si="85"/>
        <v>-50921</v>
      </c>
      <c r="G163" s="195">
        <f t="shared" si="85"/>
        <v>-27009</v>
      </c>
      <c r="H163" s="195">
        <f t="shared" si="85"/>
        <v>279342</v>
      </c>
      <c r="I163" s="195">
        <f t="shared" si="85"/>
        <v>300318</v>
      </c>
      <c r="J163" s="195">
        <f t="shared" si="85"/>
        <v>232027</v>
      </c>
      <c r="N163" s="195">
        <f>J163</f>
        <v>232027</v>
      </c>
    </row>
    <row r="164" spans="2:14" x14ac:dyDescent="0.2">
      <c r="B164" s="9" t="s">
        <v>235</v>
      </c>
      <c r="C164" s="195"/>
      <c r="D164" s="195"/>
      <c r="E164" s="195"/>
      <c r="F164" s="195"/>
      <c r="G164" s="195"/>
      <c r="H164" s="195"/>
      <c r="I164" s="195"/>
      <c r="J164" s="195"/>
      <c r="N164" s="195">
        <f>N162*(1-0.21)</f>
        <v>122735.36379999998</v>
      </c>
    </row>
    <row r="165" spans="2:14" x14ac:dyDescent="0.2">
      <c r="B165" s="9" t="s">
        <v>379</v>
      </c>
      <c r="C165" s="195">
        <f>C162+C120+C60</f>
        <v>23768</v>
      </c>
      <c r="D165" s="195">
        <f t="shared" ref="D165:J165" si="86">D162+D120+D60</f>
        <v>18717</v>
      </c>
      <c r="E165" s="195">
        <f t="shared" si="86"/>
        <v>24509.920000000002</v>
      </c>
      <c r="F165" s="195">
        <f t="shared" si="86"/>
        <v>33301.31</v>
      </c>
      <c r="G165" s="195">
        <f t="shared" si="86"/>
        <v>46326.01</v>
      </c>
      <c r="H165" s="195">
        <f t="shared" si="86"/>
        <v>48836.99</v>
      </c>
      <c r="I165" s="195">
        <f t="shared" si="86"/>
        <v>57829.53</v>
      </c>
      <c r="J165" s="195">
        <f t="shared" si="86"/>
        <v>58599.11</v>
      </c>
      <c r="N165" s="195">
        <f>N162+N120+N60</f>
        <v>184357.21999999997</v>
      </c>
    </row>
    <row r="167" spans="2:14" x14ac:dyDescent="0.2">
      <c r="B167" s="94"/>
    </row>
  </sheetData>
  <mergeCells count="1">
    <mergeCell ref="P4:R4"/>
  </mergeCells>
  <phoneticPr fontId="5" type="noConversion"/>
  <pageMargins left="0.7" right="0.7" top="0.75" bottom="0.75" header="0.3" footer="0.3"/>
  <ignoredErrors>
    <ignoredError sqref="J49 J110 J40 N5:N6 N8:N10 N12:N20 J146 N91:N94 N60:N89 N119:N120"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7"/>
  <sheetViews>
    <sheetView zoomScale="161" workbookViewId="0">
      <pane xSplit="2" ySplit="3" topLeftCell="C56" activePane="bottomRight" state="frozen"/>
      <selection pane="topRight" activeCell="C1" sqref="C1"/>
      <selection pane="bottomLeft" activeCell="A4" sqref="A4"/>
      <selection pane="bottomRight" activeCell="C64" sqref="C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30.06.2024</v>
      </c>
      <c r="K2" s="3" t="str">
        <f>'Statement Q'!D2</f>
        <v>30.09.2024</v>
      </c>
      <c r="L2" s="3" t="str">
        <f>'Statement Q'!E2</f>
        <v>31.12.2024</v>
      </c>
      <c r="M2" s="3" t="str">
        <f>'Statement Q'!F2</f>
        <v>31.03.2025</v>
      </c>
      <c r="N2" s="3" t="str">
        <f>'Statement Q'!G2</f>
        <v>30.06.2025</v>
      </c>
      <c r="O2" s="3" t="str">
        <f>'Statement Q'!H2</f>
        <v>30.09.2025</v>
      </c>
      <c r="P2" s="3" t="str">
        <f>'Statement Q'!I2</f>
        <v>31.12.2025</v>
      </c>
      <c r="Q2" s="3" t="str">
        <f>'Statement Q'!J2</f>
        <v>31.03.2026</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Q2 2024</v>
      </c>
      <c r="K3" s="3" t="str">
        <f>'Statement Q'!D3</f>
        <v>Q3 2024</v>
      </c>
      <c r="L3" s="3" t="str">
        <f>'Statement Q'!E3</f>
        <v>Q4 2024</v>
      </c>
      <c r="M3" s="3" t="str">
        <f>'Statement Q'!F3</f>
        <v>Q1 2025</v>
      </c>
      <c r="N3" s="3" t="str">
        <f>'Statement Q'!G3</f>
        <v>Q2 2025</v>
      </c>
      <c r="O3" s="3" t="str">
        <f>'Statement Q'!H3</f>
        <v>Q3 2025</v>
      </c>
      <c r="P3" s="3" t="str">
        <f>'Statement Q'!I3</f>
        <v>Q4 2025</v>
      </c>
      <c r="Q3" s="3" t="str">
        <f>'Statement Q'!J3</f>
        <v>Q1 2026</v>
      </c>
      <c r="S3" s="3" t="s">
        <v>85</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178327</v>
      </c>
      <c r="K5" s="174">
        <f>'Statement Q'!D5</f>
        <v>192594</v>
      </c>
      <c r="L5" s="174">
        <f>'Statement Q'!E5</f>
        <v>209550</v>
      </c>
      <c r="M5" s="174">
        <f>'Statement Q'!F5</f>
        <v>230743</v>
      </c>
      <c r="N5" s="174">
        <f>'Statement Q'!G5</f>
        <v>252265</v>
      </c>
      <c r="O5" s="174">
        <f>'Statement Q'!H5</f>
        <v>271713</v>
      </c>
      <c r="P5" s="174">
        <f>'Statement Q'!I5</f>
        <v>282868</v>
      </c>
      <c r="Q5" s="174">
        <f>'Statement Q'!J5</f>
        <v>291967</v>
      </c>
      <c r="S5" s="174">
        <f>SUM(N5:Q5)</f>
        <v>1098813</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47349</v>
      </c>
      <c r="K6" s="154">
        <f>'Statement Q'!D6</f>
        <v>52180</v>
      </c>
      <c r="L6" s="154">
        <f>'Statement Q'!E6</f>
        <v>58925</v>
      </c>
      <c r="M6" s="154">
        <f>'Statement Q'!F6</f>
        <v>66647</v>
      </c>
      <c r="N6" s="154">
        <f>'Statement Q'!G6</f>
        <v>69684</v>
      </c>
      <c r="O6" s="154">
        <f>'Statement Q'!H6</f>
        <v>74802</v>
      </c>
      <c r="P6" s="154">
        <f>'Statement Q'!I6</f>
        <v>76999</v>
      </c>
      <c r="Q6" s="154">
        <f>'Statement Q'!J6</f>
        <v>78871</v>
      </c>
      <c r="S6" s="154">
        <f t="shared" ref="S6:S20" si="0">SUM(N6:Q6)</f>
        <v>300356</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130978</v>
      </c>
      <c r="K7" s="174">
        <f>'Statement Q'!D7</f>
        <v>140414</v>
      </c>
      <c r="L7" s="174">
        <f>'Statement Q'!E7</f>
        <v>150625</v>
      </c>
      <c r="M7" s="174">
        <f>'Statement Q'!F7</f>
        <v>164096</v>
      </c>
      <c r="N7" s="174">
        <f>'Statement Q'!G7</f>
        <v>182581</v>
      </c>
      <c r="O7" s="174">
        <f>'Statement Q'!H7</f>
        <v>196911</v>
      </c>
      <c r="P7" s="174">
        <f>'Statement Q'!I7</f>
        <v>205869</v>
      </c>
      <c r="Q7" s="174">
        <f>'Statement Q'!J7</f>
        <v>213096</v>
      </c>
      <c r="S7" s="174">
        <f t="shared" si="0"/>
        <v>798457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55147</v>
      </c>
      <c r="K8" s="154">
        <f>'Statement Q'!D8</f>
        <v>62878</v>
      </c>
      <c r="L8" s="154">
        <f>'Statement Q'!E8</f>
        <v>66395</v>
      </c>
      <c r="M8" s="154">
        <f>'Statement Q'!F8</f>
        <v>70390</v>
      </c>
      <c r="N8" s="154">
        <f>'Statement Q'!G8</f>
        <v>73670</v>
      </c>
      <c r="O8" s="154">
        <f>'Statement Q'!H8</f>
        <v>82707</v>
      </c>
      <c r="P8" s="154">
        <f>'Statement Q'!I8</f>
        <v>79556</v>
      </c>
      <c r="Q8" s="154">
        <f>'Statement Q'!J8</f>
        <v>82974</v>
      </c>
      <c r="S8" s="154">
        <f t="shared" si="0"/>
        <v>318907</v>
      </c>
    </row>
    <row r="9" spans="2:19" outlineLevel="1" x14ac:dyDescent="0.2">
      <c r="B9" s="12" t="s">
        <v>108</v>
      </c>
      <c r="C9" s="154">
        <f>'Statement Y'!C9</f>
        <v>34983</v>
      </c>
      <c r="D9" s="154">
        <f>'Statement Y'!D9</f>
        <v>59170</v>
      </c>
      <c r="E9" s="154">
        <f>'Statement Y'!E9</f>
        <v>66967</v>
      </c>
      <c r="F9" s="154">
        <f>'Statement Y'!F9</f>
        <v>75788</v>
      </c>
      <c r="G9" s="154">
        <f>'Statement Y'!G9</f>
        <v>90494</v>
      </c>
      <c r="H9" s="154">
        <f>'Statement Y'!H9</f>
        <v>125677</v>
      </c>
      <c r="J9" s="154">
        <f>'Statement Q'!C9</f>
        <v>20174</v>
      </c>
      <c r="K9" s="154">
        <f>'Statement Q'!D9</f>
        <v>25574</v>
      </c>
      <c r="L9" s="154">
        <f>'Statement Q'!E9</f>
        <v>24815</v>
      </c>
      <c r="M9" s="154">
        <f>'Statement Q'!F9</f>
        <v>26662</v>
      </c>
      <c r="N9" s="154">
        <f>'Statement Q'!G9</f>
        <v>29563</v>
      </c>
      <c r="O9" s="154">
        <f>'Statement Q'!H9</f>
        <v>35081</v>
      </c>
      <c r="P9" s="154">
        <f>'Statement Q'!I9</f>
        <v>34371</v>
      </c>
      <c r="Q9" s="154">
        <f>'Statement Q'!J9</f>
        <v>39249</v>
      </c>
      <c r="S9" s="154">
        <f t="shared" si="0"/>
        <v>138264</v>
      </c>
    </row>
    <row r="10" spans="2:19" outlineLevel="1" x14ac:dyDescent="0.2">
      <c r="B10" s="12" t="s">
        <v>109</v>
      </c>
      <c r="C10" s="154">
        <f>'Statement Y'!C10</f>
        <v>43713</v>
      </c>
      <c r="D10" s="154">
        <f>'Statement Y'!D10</f>
        <v>78590</v>
      </c>
      <c r="E10" s="154">
        <f>'Statement Y'!E10</f>
        <v>117848</v>
      </c>
      <c r="F10" s="154">
        <f>'Statement Y'!F10</f>
        <v>132123</v>
      </c>
      <c r="G10" s="154">
        <f>'Statement Y'!G10</f>
        <v>155992</v>
      </c>
      <c r="H10" s="154">
        <f>'Statement Y'!H10</f>
        <v>181887</v>
      </c>
      <c r="J10" s="154">
        <f>'Statement Q'!C10</f>
        <v>36957</v>
      </c>
      <c r="K10" s="154">
        <f>'Statement Q'!D10</f>
        <v>38388</v>
      </c>
      <c r="L10" s="154">
        <f>'Statement Q'!E10</f>
        <v>45533</v>
      </c>
      <c r="M10" s="154">
        <f>'Statement Q'!F10</f>
        <v>43450</v>
      </c>
      <c r="N10" s="154">
        <f>'Statement Q'!G10</f>
        <v>45985</v>
      </c>
      <c r="O10" s="154">
        <f>'Statement Q'!H10</f>
        <v>43964</v>
      </c>
      <c r="P10" s="154">
        <f>'Statement Q'!I10</f>
        <v>48488</v>
      </c>
      <c r="Q10" s="154">
        <f>'Statement Q'!J10</f>
        <v>46346</v>
      </c>
      <c r="S10" s="154">
        <f t="shared" si="0"/>
        <v>184783</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112278</v>
      </c>
      <c r="K11" s="154">
        <f>'Statement Q'!D11</f>
        <v>126840</v>
      </c>
      <c r="L11" s="154">
        <f>'Statement Q'!E11</f>
        <v>136743</v>
      </c>
      <c r="M11" s="154">
        <f>'Statement Q'!F11</f>
        <v>140502</v>
      </c>
      <c r="N11" s="154">
        <f>'Statement Q'!G11</f>
        <v>149218</v>
      </c>
      <c r="O11" s="154">
        <f>'Statement Q'!H11</f>
        <v>161752</v>
      </c>
      <c r="P11" s="154">
        <f>'Statement Q'!I11</f>
        <v>162415</v>
      </c>
      <c r="Q11" s="154">
        <f>'Statement Q'!J11</f>
        <v>168569</v>
      </c>
      <c r="S11" s="154">
        <f t="shared" si="0"/>
        <v>641954</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18700</v>
      </c>
      <c r="K12" s="174">
        <f>'Statement Q'!D12</f>
        <v>13574</v>
      </c>
      <c r="L12" s="174">
        <f>'Statement Q'!E12</f>
        <v>13882</v>
      </c>
      <c r="M12" s="174">
        <f>'Statement Q'!F12</f>
        <v>23594</v>
      </c>
      <c r="N12" s="174">
        <f>'Statement Q'!G12</f>
        <v>33363</v>
      </c>
      <c r="O12" s="174">
        <f>'Statement Q'!H12</f>
        <v>35159</v>
      </c>
      <c r="P12" s="174">
        <f>'Statement Q'!I12</f>
        <v>43454</v>
      </c>
      <c r="Q12" s="174">
        <f>'Statement Q'!J12</f>
        <v>44527</v>
      </c>
      <c r="S12" s="174">
        <f t="shared" si="0"/>
        <v>156503</v>
      </c>
    </row>
    <row r="13" spans="2:19" outlineLevel="1" x14ac:dyDescent="0.2">
      <c r="B13" s="78" t="s">
        <v>313</v>
      </c>
      <c r="C13" s="190">
        <f>C12+C57</f>
        <v>-13755</v>
      </c>
      <c r="D13" s="190">
        <f t="shared" ref="D13:H13" si="1">D12+D57</f>
        <v>-57281</v>
      </c>
      <c r="E13" s="190">
        <f t="shared" si="1"/>
        <v>-60325</v>
      </c>
      <c r="F13" s="190">
        <f t="shared" si="1"/>
        <v>-6164</v>
      </c>
      <c r="G13" s="190">
        <f t="shared" si="1"/>
        <v>73449</v>
      </c>
      <c r="H13" s="190">
        <f t="shared" si="1"/>
        <v>149961</v>
      </c>
      <c r="J13" s="190">
        <f>J12+J57</f>
        <v>20943</v>
      </c>
      <c r="K13" s="190">
        <f t="shared" ref="K13:Q13" si="2">K12+K57</f>
        <v>16450</v>
      </c>
      <c r="L13" s="190">
        <f t="shared" si="2"/>
        <v>17543</v>
      </c>
      <c r="M13" s="190">
        <f t="shared" si="2"/>
        <v>27184</v>
      </c>
      <c r="N13" s="190">
        <f t="shared" si="2"/>
        <v>36803</v>
      </c>
      <c r="O13" s="190">
        <f t="shared" si="2"/>
        <v>38712</v>
      </c>
      <c r="P13" s="190">
        <f t="shared" si="2"/>
        <v>47262</v>
      </c>
      <c r="Q13" s="190">
        <f t="shared" si="2"/>
        <v>48718</v>
      </c>
      <c r="S13" s="190">
        <f>SUM(N13:Q13)</f>
        <v>171495</v>
      </c>
    </row>
    <row r="14" spans="2:19" outlineLevel="1" x14ac:dyDescent="0.2">
      <c r="B14" s="12" t="s">
        <v>275</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-707</v>
      </c>
      <c r="K14" s="154">
        <f>'Statement Q'!D13+'Statement Q'!D14</f>
        <v>569</v>
      </c>
      <c r="L14" s="154">
        <f>'Statement Q'!E13+'Statement Q'!E14</f>
        <v>-2227</v>
      </c>
      <c r="M14" s="154">
        <f>'Statement Q'!F13+'Statement Q'!F14</f>
        <v>1001</v>
      </c>
      <c r="N14" s="154">
        <f>'Statement Q'!G13+'Statement Q'!G14</f>
        <v>1660</v>
      </c>
      <c r="O14" s="154">
        <f>'Statement Q'!H13+'Statement Q'!H14</f>
        <v>-503</v>
      </c>
      <c r="P14" s="154">
        <f>'Statement Q'!I13+'Statement Q'!I14</f>
        <v>-549</v>
      </c>
      <c r="Q14" s="154">
        <f>'Statement Q'!J13+'Statement Q'!J14</f>
        <v>-786</v>
      </c>
      <c r="S14" s="154">
        <f t="shared" si="0"/>
        <v>-178</v>
      </c>
    </row>
    <row r="15" spans="2:19" outlineLevel="1" x14ac:dyDescent="0.2">
      <c r="B15" s="12" t="s">
        <v>232</v>
      </c>
      <c r="C15" s="154">
        <f>'Statement Y'!C15</f>
        <v>231</v>
      </c>
      <c r="D15" s="154">
        <f>'Statement Y'!D15</f>
        <v>19</v>
      </c>
      <c r="E15" s="154">
        <f>'Statement Y'!E15</f>
        <v>7235</v>
      </c>
      <c r="F15" s="154">
        <f>'Statement Y'!F15</f>
        <v>31091</v>
      </c>
      <c r="G15" s="154">
        <f>'Statement Y'!G15</f>
        <v>42697</v>
      </c>
      <c r="H15" s="154">
        <f>'Statement Y'!H15</f>
        <v>45231</v>
      </c>
      <c r="J15" s="154">
        <f>'Statement Q'!C15</f>
        <v>10721</v>
      </c>
      <c r="K15" s="154">
        <f>'Statement Q'!D15</f>
        <v>11246</v>
      </c>
      <c r="L15" s="154">
        <f>'Statement Q'!E15</f>
        <v>10697</v>
      </c>
      <c r="M15" s="154">
        <f>'Statement Q'!F15</f>
        <v>10415</v>
      </c>
      <c r="N15" s="154">
        <f>'Statement Q'!G15</f>
        <v>11427</v>
      </c>
      <c r="O15" s="154">
        <f>'Statement Q'!H15</f>
        <v>11793</v>
      </c>
      <c r="P15" s="154">
        <f>'Statement Q'!I15</f>
        <v>11596</v>
      </c>
      <c r="Q15" s="154">
        <f>'Statement Q'!J15</f>
        <v>11811</v>
      </c>
      <c r="S15" s="154">
        <f t="shared" si="0"/>
        <v>46627</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28714</v>
      </c>
      <c r="K16" s="174">
        <f>'Statement Q'!D16</f>
        <v>25389</v>
      </c>
      <c r="L16" s="174">
        <f>'Statement Q'!E16</f>
        <v>22352</v>
      </c>
      <c r="M16" s="174">
        <f>'Statement Q'!F16</f>
        <v>35010</v>
      </c>
      <c r="N16" s="174">
        <f>'Statement Q'!G16</f>
        <v>46450</v>
      </c>
      <c r="O16" s="174">
        <f>'Statement Q'!H16</f>
        <v>46449</v>
      </c>
      <c r="P16" s="174">
        <f>'Statement Q'!I16</f>
        <v>54501</v>
      </c>
      <c r="Q16" s="174">
        <f>'Statement Q'!J16</f>
        <v>55552</v>
      </c>
      <c r="S16" s="174">
        <f t="shared" si="0"/>
        <v>202952</v>
      </c>
    </row>
    <row r="17" spans="2:19" outlineLevel="1" x14ac:dyDescent="0.2">
      <c r="B17" s="12" t="s">
        <v>82</v>
      </c>
      <c r="C17" s="154">
        <f>'Statement Y'!C17</f>
        <v>-68</v>
      </c>
      <c r="D17" s="154">
        <f>'Statement Y'!D17</f>
        <v>-177</v>
      </c>
      <c r="E17" s="154">
        <f>'Statement Y'!E17</f>
        <v>-938</v>
      </c>
      <c r="F17" s="154">
        <f>'Statement Y'!F17</f>
        <v>-1710</v>
      </c>
      <c r="G17" s="154">
        <f>'Statement Y'!G17</f>
        <v>-13732</v>
      </c>
      <c r="H17" s="154">
        <f>'Statement Y'!H17</f>
        <v>231655</v>
      </c>
      <c r="J17" s="154">
        <f>'Statement Q'!C17</f>
        <v>-4363</v>
      </c>
      <c r="K17" s="154">
        <f>'Statement Q'!D17</f>
        <v>-2029</v>
      </c>
      <c r="L17" s="154">
        <f>'Statement Q'!E17</f>
        <v>-8445</v>
      </c>
      <c r="M17" s="154">
        <f>'Statement Q'!F17</f>
        <v>125</v>
      </c>
      <c r="N17" s="154">
        <f>'Statement Q'!G17</f>
        <v>-1669</v>
      </c>
      <c r="O17" s="154">
        <f>'Statement Q'!H17</f>
        <v>245746</v>
      </c>
      <c r="P17" s="154">
        <f>'Statement Q'!I17</f>
        <v>-12547</v>
      </c>
      <c r="Q17" s="154">
        <f>'Statement Q'!J17</f>
        <v>-12092</v>
      </c>
      <c r="S17" s="154">
        <f t="shared" si="0"/>
        <v>219438</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24351</v>
      </c>
      <c r="K18" s="174">
        <f>'Statement Q'!D18</f>
        <v>23360</v>
      </c>
      <c r="L18" s="174">
        <f>'Statement Q'!E18</f>
        <v>13907</v>
      </c>
      <c r="M18" s="174">
        <f>'Statement Q'!F18</f>
        <v>35135</v>
      </c>
      <c r="N18" s="174">
        <f>'Statement Q'!G18</f>
        <v>44781</v>
      </c>
      <c r="O18" s="174">
        <v>45000</v>
      </c>
      <c r="P18" s="174">
        <v>41954</v>
      </c>
      <c r="Q18" s="174">
        <f>'Statement Q'!J18</f>
        <v>43460</v>
      </c>
      <c r="S18" s="174">
        <f t="shared" si="0"/>
        <v>175195</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47770</v>
      </c>
      <c r="K19" s="154">
        <f>'Statement Q'!D20</f>
        <v>47969</v>
      </c>
      <c r="L19" s="154">
        <f>'Statement Q'!E20</f>
        <v>47101</v>
      </c>
      <c r="M19" s="154">
        <f>'Statement Q'!F20</f>
        <v>48497</v>
      </c>
      <c r="N19" s="154">
        <f>'Statement Q'!G20</f>
        <v>49000</v>
      </c>
      <c r="O19" s="154">
        <f>'Statement Q'!H20</f>
        <v>49144</v>
      </c>
      <c r="P19" s="154">
        <f>'Statement Q'!I20</f>
        <v>48315.63593932322</v>
      </c>
      <c r="Q19" s="154">
        <f>'Statement Q'!J20</f>
        <v>48987</v>
      </c>
      <c r="S19" s="154">
        <f>AVERAGE(N19:Q19)</f>
        <v>48861.658984830807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0.51</v>
      </c>
      <c r="K20" s="176">
        <f>'Statement Q'!D22</f>
        <v>0.49</v>
      </c>
      <c r="L20" s="176">
        <f>'Statement Q'!E22</f>
        <v>0.29525912401010596</v>
      </c>
      <c r="M20" s="176">
        <f>'Statement Q'!F22</f>
        <v>0.72</v>
      </c>
      <c r="N20" s="176">
        <f>'Statement Q'!G22</f>
        <v>0.91</v>
      </c>
      <c r="O20" s="176">
        <f>O18/O19</f>
        <v>0.91567637961907866</v>
      </c>
      <c r="P20" s="176">
        <f>P18/P19</f>
        <v>0.86833173535556019</v>
      </c>
      <c r="Q20" s="176">
        <f>'Statement Q'!J22</f>
        <v>0.89</v>
      </c>
      <c r="S20" s="176">
        <f t="shared" si="0"/>
        <v>3.584008114974639</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877645</v>
      </c>
      <c r="M23" s="154">
        <f>'Statement Q'!F25+'Statement Q'!F26</f>
        <v>999280</v>
      </c>
      <c r="N23" s="154">
        <f>'Statement Q'!G25+'Statement Q'!G26</f>
        <v>1097883</v>
      </c>
      <c r="O23" s="154">
        <f>'Statement Q'!H25+'Statement Q'!H26</f>
        <v>1121454</v>
      </c>
      <c r="P23" s="154">
        <f>'Statement Q'!I25+'Statement Q'!I26</f>
        <v>1140467</v>
      </c>
      <c r="Q23" s="154">
        <f>'Statement Q'!J25+'Statement Q'!J26</f>
        <v>1251610</v>
      </c>
      <c r="S23" s="154">
        <f>Q23</f>
        <v>1251610</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128923</v>
      </c>
      <c r="M24" s="154">
        <f>'Statement Q'!F27</f>
        <v>114183</v>
      </c>
      <c r="N24" s="154">
        <f>'Statement Q'!G27</f>
        <v>112919</v>
      </c>
      <c r="O24" s="154">
        <f>'Statement Q'!H27</f>
        <v>124489</v>
      </c>
      <c r="P24" s="154">
        <f>'Statement Q'!I27</f>
        <v>162827</v>
      </c>
      <c r="Q24" s="154">
        <f>'Statement Q'!J27</f>
        <v>125086</v>
      </c>
      <c r="S24" s="154">
        <f t="shared" ref="S24:S53" si="3">Q24</f>
        <v>125086</v>
      </c>
    </row>
    <row r="25" spans="2:19" outlineLevel="1" x14ac:dyDescent="0.2">
      <c r="B25" s="9" t="s">
        <v>112</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80162</v>
      </c>
      <c r="M25" s="154">
        <f>'Statement Q'!F28</f>
        <v>89564</v>
      </c>
      <c r="N25" s="154">
        <f>'Statement Q'!G28</f>
        <v>93794</v>
      </c>
      <c r="O25" s="154">
        <f>'Statement Q'!H28</f>
        <v>94570</v>
      </c>
      <c r="P25" s="154">
        <f>'Statement Q'!I28</f>
        <v>102663</v>
      </c>
      <c r="Q25" s="154">
        <f>'Statement Q'!J28</f>
        <v>104513</v>
      </c>
      <c r="S25" s="154">
        <f t="shared" si="3"/>
        <v>104513</v>
      </c>
    </row>
    <row r="26" spans="2:19" outlineLevel="1" x14ac:dyDescent="0.2">
      <c r="B26" s="9" t="s">
        <v>150</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9886</v>
      </c>
      <c r="P26" s="154">
        <f>'Statement Q'!I29</f>
        <v>14067</v>
      </c>
      <c r="Q26" s="154">
        <f>'Statement Q'!J29</f>
        <v>5092</v>
      </c>
      <c r="S26" s="154">
        <f t="shared" si="3"/>
        <v>5092</v>
      </c>
    </row>
    <row r="27" spans="2:19" outlineLevel="1" x14ac:dyDescent="0.2">
      <c r="B27" s="9" t="s">
        <v>132</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14858</v>
      </c>
      <c r="M27" s="154">
        <f>'Statement Q'!F30</f>
        <v>16630</v>
      </c>
      <c r="N27" s="154">
        <f>'Statement Q'!G30</f>
        <v>19394</v>
      </c>
      <c r="O27" s="154">
        <f>'Statement Q'!H30</f>
        <v>16706</v>
      </c>
      <c r="P27" s="154">
        <f>'Statement Q'!I30</f>
        <v>16582</v>
      </c>
      <c r="Q27" s="154">
        <f>'Statement Q'!J30</f>
        <v>19658</v>
      </c>
      <c r="S27" s="154">
        <f t="shared" si="3"/>
        <v>19658</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1101588</v>
      </c>
      <c r="M28" s="177">
        <f>'Statement Q'!F31</f>
        <v>1219657</v>
      </c>
      <c r="N28" s="177">
        <f>'Statement Q'!G31</f>
        <v>1323990</v>
      </c>
      <c r="O28" s="177">
        <f>'Statement Q'!H31</f>
        <v>1367105</v>
      </c>
      <c r="P28" s="177">
        <f>'Statement Q'!I31</f>
        <v>1436606</v>
      </c>
      <c r="Q28" s="177">
        <f>'Statement Q'!J31</f>
        <v>1505959</v>
      </c>
      <c r="S28" s="177">
        <f t="shared" si="3"/>
        <v>1505959</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18943</v>
      </c>
      <c r="M29" s="154">
        <f>'Statement Q'!F32</f>
        <v>19161</v>
      </c>
      <c r="N29" s="154">
        <f>'Statement Q'!G32</f>
        <v>19685</v>
      </c>
      <c r="O29" s="154">
        <f>'Statement Q'!H32</f>
        <v>24626</v>
      </c>
      <c r="P29" s="154">
        <f>'Statement Q'!I32</f>
        <v>36297</v>
      </c>
      <c r="Q29" s="154">
        <f>'Statement Q'!J32</f>
        <v>36966</v>
      </c>
      <c r="S29" s="154">
        <f t="shared" si="3"/>
        <v>36966</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10538</v>
      </c>
      <c r="M30" s="154">
        <f>'Statement Q'!F33</f>
        <v>10538</v>
      </c>
      <c r="N30" s="154">
        <f>'Statement Q'!G33</f>
        <v>10538</v>
      </c>
      <c r="O30" s="154">
        <f>'Statement Q'!H33</f>
        <v>35335</v>
      </c>
      <c r="P30" s="154">
        <f>'Statement Q'!I33</f>
        <v>35335</v>
      </c>
      <c r="Q30" s="154">
        <f>'Statement Q'!J33</f>
        <v>35335</v>
      </c>
      <c r="S30" s="154">
        <f t="shared" si="3"/>
        <v>35335</v>
      </c>
    </row>
    <row r="31" spans="2:19" outlineLevel="1" x14ac:dyDescent="0.2">
      <c r="B31" s="9" t="s">
        <v>133</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19899</v>
      </c>
      <c r="M31" s="154">
        <f>'Statement Q'!F34</f>
        <v>18872</v>
      </c>
      <c r="N31" s="154">
        <f>'Statement Q'!G34</f>
        <v>19924</v>
      </c>
      <c r="O31" s="154">
        <f>'Statement Q'!H34</f>
        <v>27968</v>
      </c>
      <c r="P31" s="154">
        <f>'Statement Q'!I34</f>
        <v>28309</v>
      </c>
      <c r="Q31" s="154">
        <f>'Statement Q'!J34</f>
        <v>28327</v>
      </c>
      <c r="S31" s="154">
        <f t="shared" si="3"/>
        <v>28327</v>
      </c>
    </row>
    <row r="32" spans="2:19" outlineLevel="1" x14ac:dyDescent="0.2">
      <c r="B32" s="9" t="s">
        <v>114</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47495</v>
      </c>
      <c r="M32" s="154">
        <f>'Statement Q'!F35</f>
        <v>46369</v>
      </c>
      <c r="N32" s="154">
        <f>'Statement Q'!G35</f>
        <v>80987</v>
      </c>
      <c r="O32" s="154">
        <f>'Statement Q'!H35</f>
        <v>79266</v>
      </c>
      <c r="P32" s="154">
        <f>'Statement Q'!I35</f>
        <v>80380</v>
      </c>
      <c r="Q32" s="154">
        <f>'Statement Q'!J35</f>
        <v>79944</v>
      </c>
      <c r="S32" s="154">
        <f t="shared" si="3"/>
        <v>79944</v>
      </c>
    </row>
    <row r="33" spans="2:19" outlineLevel="1" x14ac:dyDescent="0.2">
      <c r="B33" s="9" t="s">
        <v>142</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98292</v>
      </c>
      <c r="M33" s="154">
        <f>'Statement Q'!F36</f>
        <v>83342</v>
      </c>
      <c r="N33" s="154">
        <f>'Statement Q'!G36</f>
        <v>75362</v>
      </c>
      <c r="O33" s="154">
        <f>'Statement Q'!H36</f>
        <v>98735</v>
      </c>
      <c r="P33" s="154">
        <f>'Statement Q'!I36</f>
        <v>135098</v>
      </c>
      <c r="Q33" s="154">
        <f>'Statement Q'!J36</f>
        <v>140211</v>
      </c>
      <c r="S33" s="154">
        <f t="shared" si="3"/>
        <v>140211</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675</v>
      </c>
      <c r="M34" s="154">
        <f>'Statement Q'!F37</f>
        <v>675</v>
      </c>
      <c r="N34" s="154">
        <f>'Statement Q'!G37</f>
        <v>675</v>
      </c>
      <c r="O34" s="154">
        <f>'Statement Q'!H37</f>
        <v>240172</v>
      </c>
      <c r="P34" s="154">
        <f>'Statement Q'!I37</f>
        <v>227339</v>
      </c>
      <c r="Q34" s="154">
        <f>'Statement Q'!J37</f>
        <v>217837</v>
      </c>
      <c r="S34" s="154">
        <f t="shared" si="3"/>
        <v>217837</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2735</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1563</v>
      </c>
      <c r="M36" s="154">
        <f>'Statement Q'!F39</f>
        <v>1797</v>
      </c>
      <c r="N36" s="154">
        <f>'Statement Q'!G39</f>
        <v>8663</v>
      </c>
      <c r="O36" s="154">
        <f>'Statement Q'!H39</f>
        <v>9696</v>
      </c>
      <c r="P36" s="154">
        <f>'Statement Q'!I39</f>
        <v>10083</v>
      </c>
      <c r="Q36" s="154">
        <f>'Statement Q'!J39</f>
        <v>10680</v>
      </c>
      <c r="S36" s="154">
        <f t="shared" si="3"/>
        <v>10680</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200140</v>
      </c>
      <c r="M37" s="177">
        <f>'Statement Q'!F40</f>
        <v>183489</v>
      </c>
      <c r="N37" s="177">
        <f>'Statement Q'!G40</f>
        <v>218569</v>
      </c>
      <c r="O37" s="177">
        <f>'Statement Q'!H40</f>
        <v>518533</v>
      </c>
      <c r="P37" s="177">
        <f>'Statement Q'!I40</f>
        <v>555576</v>
      </c>
      <c r="Q37" s="177">
        <f>'Statement Q'!J40</f>
        <v>552035</v>
      </c>
      <c r="S37" s="177">
        <f t="shared" si="3"/>
        <v>552035</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1301728</v>
      </c>
      <c r="M38" s="174">
        <f>'Statement Q'!F41</f>
        <v>1403146</v>
      </c>
      <c r="N38" s="174">
        <f>'Statement Q'!G41</f>
        <v>1542559</v>
      </c>
      <c r="O38" s="174">
        <f>'Statement Q'!H41</f>
        <v>1885638</v>
      </c>
      <c r="P38" s="174">
        <f>'Statement Q'!I41</f>
        <v>1992182</v>
      </c>
      <c r="Q38" s="174">
        <f>'Statement Q'!J41</f>
        <v>2057994</v>
      </c>
      <c r="S38" s="174">
        <f t="shared" si="3"/>
        <v>2057994</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6381</v>
      </c>
      <c r="M39" s="154">
        <f>'Statement Q'!F42</f>
        <v>2546</v>
      </c>
      <c r="N39" s="154">
        <f>'Statement Q'!G42</f>
        <v>7729</v>
      </c>
      <c r="O39" s="154">
        <f>'Statement Q'!H42</f>
        <v>3568</v>
      </c>
      <c r="P39" s="154">
        <f>'Statement Q'!I42</f>
        <v>7998</v>
      </c>
      <c r="Q39" s="154">
        <f>'Statement Q'!J42</f>
        <v>7486</v>
      </c>
      <c r="S39" s="154">
        <f t="shared" si="3"/>
        <v>7486</v>
      </c>
    </row>
    <row r="40" spans="2:19" outlineLevel="1" x14ac:dyDescent="0.2">
      <c r="B40" s="9" t="s">
        <v>115</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372884</v>
      </c>
      <c r="M40" s="154">
        <f>'Statement Q'!F43</f>
        <v>415023</v>
      </c>
      <c r="N40" s="154">
        <f>'Statement Q'!G43</f>
        <v>431177</v>
      </c>
      <c r="O40" s="154">
        <f>'Statement Q'!H43</f>
        <v>441728</v>
      </c>
      <c r="P40" s="154">
        <f>'Statement Q'!I43</f>
        <v>496205</v>
      </c>
      <c r="Q40" s="154">
        <f>'Statement Q'!J43</f>
        <v>513256</v>
      </c>
      <c r="S40" s="154">
        <f t="shared" si="3"/>
        <v>513256</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6591</v>
      </c>
      <c r="M41" s="154">
        <f>'Statement Q'!F44</f>
        <v>6381</v>
      </c>
      <c r="N41" s="154">
        <f>'Statement Q'!G44</f>
        <v>24</v>
      </c>
      <c r="O41" s="154">
        <f>'Statement Q'!H44</f>
        <v>16</v>
      </c>
      <c r="P41" s="154">
        <f>'Statement Q'!I44</f>
        <v>1257</v>
      </c>
      <c r="Q41" s="154">
        <f>'Statement Q'!J44</f>
        <v>3814</v>
      </c>
      <c r="S41" s="154">
        <f t="shared" si="3"/>
        <v>3814</v>
      </c>
    </row>
    <row r="42" spans="2:19" outlineLevel="1" x14ac:dyDescent="0.2">
      <c r="B42" s="9" t="s">
        <v>116</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36375</v>
      </c>
      <c r="M42" s="154">
        <f>'Statement Q'!F45</f>
        <v>30535</v>
      </c>
      <c r="N42" s="154">
        <f>'Statement Q'!G45</f>
        <v>32453</v>
      </c>
      <c r="O42" s="154">
        <f>'Statement Q'!H45</f>
        <v>39228</v>
      </c>
      <c r="P42" s="154">
        <f>'Statement Q'!I45</f>
        <v>45688</v>
      </c>
      <c r="Q42" s="154">
        <f>'Statement Q'!J45</f>
        <v>49558</v>
      </c>
      <c r="S42" s="154">
        <f t="shared" si="3"/>
        <v>49558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422231</v>
      </c>
      <c r="M43" s="177">
        <f>'Statement Q'!F46</f>
        <v>454485</v>
      </c>
      <c r="N43" s="177">
        <f>'Statement Q'!G46</f>
        <v>471383</v>
      </c>
      <c r="O43" s="177">
        <f>'Statement Q'!H46</f>
        <v>484540</v>
      </c>
      <c r="P43" s="177">
        <f>'Statement Q'!I46</f>
        <v>551148</v>
      </c>
      <c r="Q43" s="177">
        <f>'Statement Q'!J46</f>
        <v>574114</v>
      </c>
      <c r="S43" s="177">
        <f t="shared" si="3"/>
        <v>574114</v>
      </c>
    </row>
    <row r="44" spans="2:19" outlineLevel="1" x14ac:dyDescent="0.2">
      <c r="B44" s="9" t="s">
        <v>117</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54656</v>
      </c>
      <c r="M44" s="154">
        <f>'Statement Q'!F47</f>
        <v>54533</v>
      </c>
      <c r="N44" s="154">
        <f>'Statement Q'!G47</f>
        <v>93843</v>
      </c>
      <c r="O44" s="154">
        <f>'Statement Q'!H47</f>
        <v>93257</v>
      </c>
      <c r="P44" s="154">
        <f>'Statement Q'!I47</f>
        <v>93779</v>
      </c>
      <c r="Q44" s="154">
        <f>'Statement Q'!J47</f>
        <v>91873</v>
      </c>
      <c r="S44" s="154">
        <f t="shared" si="3"/>
        <v>91873</v>
      </c>
    </row>
    <row r="45" spans="2:19" outlineLevel="1" x14ac:dyDescent="0.2">
      <c r="B45" s="9" t="s">
        <v>143</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291</v>
      </c>
      <c r="M45" s="154">
        <f>'Statement Q'!F48</f>
        <v>302</v>
      </c>
      <c r="N45" s="154">
        <f>'Statement Q'!G48</f>
        <v>302</v>
      </c>
      <c r="O45" s="154">
        <f>'Statement Q'!H48</f>
        <v>302</v>
      </c>
      <c r="P45" s="154">
        <f>'Statement Q'!I48</f>
        <v>249</v>
      </c>
      <c r="Q45" s="154">
        <f>'Statement Q'!J48</f>
        <v>243</v>
      </c>
      <c r="S45" s="154">
        <f t="shared" si="3"/>
        <v>243</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54947</v>
      </c>
      <c r="M46" s="177">
        <f>'Statement Q'!F49</f>
        <v>54835</v>
      </c>
      <c r="N46" s="177">
        <f>'Statement Q'!G49</f>
        <v>94145</v>
      </c>
      <c r="O46" s="177">
        <f>'Statement Q'!H49</f>
        <v>93559</v>
      </c>
      <c r="P46" s="177">
        <f>'Statement Q'!I49</f>
        <v>94028</v>
      </c>
      <c r="Q46" s="177">
        <f>'Statement Q'!J49</f>
        <v>92116</v>
      </c>
      <c r="S46" s="177">
        <f t="shared" si="3"/>
        <v>92116</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477178</v>
      </c>
      <c r="M47" s="174">
        <f>'Statement Q'!F50</f>
        <v>509320</v>
      </c>
      <c r="N47" s="174">
        <f>'Statement Q'!G50</f>
        <v>565528</v>
      </c>
      <c r="O47" s="174">
        <f>'Statement Q'!H50</f>
        <v>578099</v>
      </c>
      <c r="P47" s="174">
        <f>'Statement Q'!I50</f>
        <v>645176</v>
      </c>
      <c r="Q47" s="174">
        <f>'Statement Q'!J50</f>
        <v>666230</v>
      </c>
      <c r="S47" s="174">
        <f t="shared" si="3"/>
        <v>666230</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4</v>
      </c>
      <c r="M48" s="154">
        <f>'Statement Q'!F51</f>
        <v>4</v>
      </c>
      <c r="N48" s="154">
        <f>'Statement Q'!G51</f>
        <v>4</v>
      </c>
      <c r="O48" s="154">
        <f>'Statement Q'!H51</f>
        <v>5</v>
      </c>
      <c r="P48" s="154">
        <f>'Statement Q'!I51</f>
        <v>5</v>
      </c>
      <c r="Q48" s="154">
        <f>'Statement Q'!J51</f>
        <v>5</v>
      </c>
      <c r="S48" s="154">
        <f t="shared" si="3"/>
        <v>5</v>
      </c>
    </row>
    <row r="49" spans="2:19" outlineLevel="1" x14ac:dyDescent="0.2">
      <c r="B49" s="9" t="s">
        <v>370</v>
      </c>
      <c r="C49" s="154">
        <f>'Statement Y'!C52</f>
        <v>0</v>
      </c>
      <c r="D49" s="154">
        <f>'Statement Y'!D52</f>
        <v>0</v>
      </c>
      <c r="E49" s="154">
        <f>'Statement Y'!E52</f>
        <v>0</v>
      </c>
      <c r="F49" s="154">
        <f>'Statement Y'!F52</f>
        <v>0</v>
      </c>
      <c r="G49" s="154">
        <f>'Statement Y'!G52</f>
        <v>0</v>
      </c>
      <c r="H49" s="154">
        <f>'Statement Y'!H52</f>
        <v>0</v>
      </c>
      <c r="J49" s="154">
        <f>'Statement Q'!C52</f>
        <v>0</v>
      </c>
      <c r="K49" s="154">
        <f>'Statement Q'!D52</f>
        <v>0</v>
      </c>
      <c r="L49" s="154">
        <f>'Statement Q'!E52</f>
        <v>0</v>
      </c>
      <c r="M49" s="154">
        <f>'Statement Q'!F52</f>
        <v>0</v>
      </c>
      <c r="N49" s="154">
        <f>'Statement Q'!G52</f>
        <v>0</v>
      </c>
      <c r="O49" s="154">
        <f>'Statement Q'!H52</f>
        <v>0</v>
      </c>
      <c r="P49" s="154">
        <f>'Statement Q'!I52</f>
        <v>0</v>
      </c>
      <c r="Q49" s="154">
        <f>'Statement Q'!J52</f>
        <v>-4499</v>
      </c>
      <c r="S49" s="154">
        <f t="shared" si="3"/>
        <v>-4499</v>
      </c>
    </row>
    <row r="50" spans="2:19" outlineLevel="1" x14ac:dyDescent="0.2">
      <c r="B50" s="9" t="s">
        <v>118</v>
      </c>
      <c r="C50" s="154">
        <f>'Statement Y'!C53</f>
        <v>30087</v>
      </c>
      <c r="D50" s="154">
        <f>'Statement Y'!D53</f>
        <v>683966</v>
      </c>
      <c r="E50" s="154">
        <f>'Statement Y'!E53</f>
        <v>772562</v>
      </c>
      <c r="F50" s="154">
        <f>'Statement Y'!F53</f>
        <v>869918</v>
      </c>
      <c r="G50" s="154">
        <f>'Statement Y'!G53</f>
        <v>950393</v>
      </c>
      <c r="H50" s="154">
        <f>'Statement Y'!H53</f>
        <v>1058783</v>
      </c>
      <c r="J50" s="154">
        <f>'Statement Q'!C53</f>
        <v>0</v>
      </c>
      <c r="K50" s="154">
        <f>'Statement Q'!D53</f>
        <v>0</v>
      </c>
      <c r="L50" s="154">
        <f>'Statement Q'!E53</f>
        <v>950393</v>
      </c>
      <c r="M50" s="154">
        <f>'Statement Q'!F53</f>
        <v>984534</v>
      </c>
      <c r="N50" s="154">
        <f>'Statement Q'!G53</f>
        <v>1022958</v>
      </c>
      <c r="O50" s="154">
        <f>'Statement Q'!H53</f>
        <v>1061270</v>
      </c>
      <c r="P50" s="154">
        <f>'Statement Q'!I53</f>
        <v>1058783</v>
      </c>
      <c r="Q50" s="154">
        <f>'Statement Q'!J53</f>
        <v>1064580</v>
      </c>
      <c r="S50" s="154">
        <f t="shared" si="3"/>
        <v>1064580</v>
      </c>
    </row>
    <row r="51" spans="2:19" outlineLevel="1" x14ac:dyDescent="0.2">
      <c r="B51" s="9" t="s">
        <v>34</v>
      </c>
      <c r="C51" s="154">
        <f>'Statement Y'!C54</f>
        <v>-110779</v>
      </c>
      <c r="D51" s="154">
        <f>'Statement Y'!D54</f>
        <v>-170914</v>
      </c>
      <c r="E51" s="154">
        <f>'Statement Y'!E54</f>
        <v>-230488</v>
      </c>
      <c r="F51" s="154">
        <f>'Statement Y'!F54</f>
        <v>-214421</v>
      </c>
      <c r="G51" s="154">
        <f>'Statement Y'!G54</f>
        <v>-125847</v>
      </c>
      <c r="H51" s="154">
        <f>'Statement Y'!H54</f>
        <v>288218</v>
      </c>
      <c r="J51" s="154">
        <f>'Statement Q'!C54</f>
        <v>0</v>
      </c>
      <c r="K51" s="154">
        <f>'Statement Q'!D54</f>
        <v>0</v>
      </c>
      <c r="L51" s="154">
        <f>'Statement Q'!E54</f>
        <v>-125847</v>
      </c>
      <c r="M51" s="154">
        <f>'Statement Q'!F54</f>
        <v>-90712</v>
      </c>
      <c r="N51" s="154">
        <f>'Statement Q'!G54</f>
        <v>-45931</v>
      </c>
      <c r="O51" s="154">
        <f>'Statement Q'!H54</f>
        <v>246264</v>
      </c>
      <c r="P51" s="154">
        <f>'Statement Q'!I54</f>
        <v>288218</v>
      </c>
      <c r="Q51" s="154">
        <f>'Statement Q'!J54</f>
        <v>331678</v>
      </c>
      <c r="S51" s="154">
        <f t="shared" si="3"/>
        <v>331678</v>
      </c>
    </row>
    <row r="52" spans="2:19" outlineLevel="1" x14ac:dyDescent="0.2">
      <c r="B52" s="11" t="s">
        <v>35</v>
      </c>
      <c r="C52" s="177">
        <f>'Statement Y'!C55</f>
        <v>-80691</v>
      </c>
      <c r="D52" s="177">
        <f>'Statement Y'!D55</f>
        <v>513056</v>
      </c>
      <c r="E52" s="177">
        <f>'Statement Y'!E55</f>
        <v>542078</v>
      </c>
      <c r="F52" s="177">
        <f>'Statement Y'!F55</f>
        <v>655501</v>
      </c>
      <c r="G52" s="177">
        <f>'Statement Y'!G55</f>
        <v>824550</v>
      </c>
      <c r="H52" s="177">
        <f>'Statement Y'!H55</f>
        <v>1347006</v>
      </c>
      <c r="J52" s="177">
        <f>'Statement Q'!C55</f>
        <v>0</v>
      </c>
      <c r="K52" s="177">
        <f>'Statement Q'!D55</f>
        <v>0</v>
      </c>
      <c r="L52" s="177">
        <f>'Statement Q'!E55</f>
        <v>824550</v>
      </c>
      <c r="M52" s="177">
        <f>'Statement Q'!F55</f>
        <v>893826</v>
      </c>
      <c r="N52" s="177">
        <f>'Statement Q'!G55</f>
        <v>977031</v>
      </c>
      <c r="O52" s="177">
        <f>'Statement Q'!H55</f>
        <v>1307539</v>
      </c>
      <c r="P52" s="177">
        <f>'Statement Q'!I55</f>
        <v>1347006</v>
      </c>
      <c r="Q52" s="177">
        <f>'Statement Q'!J55</f>
        <v>1391764</v>
      </c>
      <c r="S52" s="177">
        <f t="shared" si="3"/>
        <v>1391764</v>
      </c>
    </row>
    <row r="53" spans="2:19" ht="17" outlineLevel="1" thickBot="1" x14ac:dyDescent="0.25">
      <c r="B53" s="19" t="s">
        <v>36</v>
      </c>
      <c r="C53" s="178">
        <f>'Statement Y'!C56</f>
        <v>175739</v>
      </c>
      <c r="D53" s="178">
        <f>'Statement Y'!D56</f>
        <v>661311</v>
      </c>
      <c r="E53" s="178">
        <f>'Statement Y'!E56</f>
        <v>747347</v>
      </c>
      <c r="F53" s="178">
        <f>'Statement Y'!F56</f>
        <v>953957</v>
      </c>
      <c r="G53" s="178">
        <f>'Statement Y'!G56</f>
        <v>1301728</v>
      </c>
      <c r="H53" s="178">
        <f>'Statement Y'!H56</f>
        <v>1992182</v>
      </c>
      <c r="J53" s="178">
        <f>'Statement Q'!C56</f>
        <v>0</v>
      </c>
      <c r="K53" s="178">
        <f>'Statement Q'!D56</f>
        <v>0</v>
      </c>
      <c r="L53" s="178">
        <f>'Statement Q'!E56</f>
        <v>1301728</v>
      </c>
      <c r="M53" s="178">
        <f>'Statement Q'!F56</f>
        <v>1403146</v>
      </c>
      <c r="N53" s="178">
        <f>'Statement Q'!G56</f>
        <v>1542559</v>
      </c>
      <c r="O53" s="178">
        <f>'Statement Q'!H56</f>
        <v>1885638</v>
      </c>
      <c r="P53" s="178">
        <f>'Statement Q'!I56</f>
        <v>1992182</v>
      </c>
      <c r="Q53" s="178">
        <f>'Statement Q'!J56</f>
        <v>2057994</v>
      </c>
      <c r="S53" s="178">
        <f t="shared" si="3"/>
        <v>2057994</v>
      </c>
    </row>
    <row r="55" spans="2:19" ht="17" thickBot="1" x14ac:dyDescent="0.25">
      <c r="B55" s="15" t="s">
        <v>39</v>
      </c>
      <c r="C55" s="14"/>
      <c r="D55" s="14"/>
      <c r="E55" s="14"/>
      <c r="F55" s="14"/>
      <c r="G55" s="14"/>
      <c r="H55" s="14"/>
      <c r="J55" s="14"/>
      <c r="K55" s="14"/>
      <c r="L55" s="14"/>
      <c r="M55" s="14"/>
      <c r="N55" s="14"/>
      <c r="O55" s="14"/>
      <c r="P55" s="14"/>
      <c r="Q55" s="14"/>
      <c r="S55" s="14"/>
    </row>
    <row r="56" spans="2:19" outlineLevel="1" x14ac:dyDescent="0.2">
      <c r="B56" s="9" t="s">
        <v>14</v>
      </c>
      <c r="C56" s="154">
        <f>'Statement Y'!C59</f>
        <v>-15776</v>
      </c>
      <c r="D56" s="154">
        <f>'Statement Y'!D59</f>
        <v>-60135</v>
      </c>
      <c r="E56" s="154">
        <f>'Statement Y'!E59</f>
        <v>-59574</v>
      </c>
      <c r="F56" s="154">
        <f>'Statement Y'!F59</f>
        <v>16067</v>
      </c>
      <c r="G56" s="154">
        <f>'Statement Y'!G59</f>
        <v>88574</v>
      </c>
      <c r="H56" s="154">
        <f>'Statement Y'!H59</f>
        <v>414065</v>
      </c>
      <c r="J56" s="154">
        <f>'Statement Q'!C59</f>
        <v>24351</v>
      </c>
      <c r="K56" s="154">
        <f>'Statement Q'!D59</f>
        <v>23360</v>
      </c>
      <c r="L56" s="154">
        <f>'Statement Q'!E59</f>
        <v>13907</v>
      </c>
      <c r="M56" s="154">
        <f>'Statement Q'!F59</f>
        <v>35135</v>
      </c>
      <c r="N56" s="154">
        <f>'Statement Q'!G59</f>
        <v>44781</v>
      </c>
      <c r="O56" s="154">
        <f>'Statement Q'!H59</f>
        <v>292195</v>
      </c>
      <c r="P56" s="154">
        <f>'Statement Q'!I59</f>
        <v>41954</v>
      </c>
      <c r="Q56" s="154">
        <f>'Statement Q'!J59</f>
        <v>43460</v>
      </c>
      <c r="S56" s="154">
        <f>SUM(N56:Q56)</f>
        <v>422390</v>
      </c>
    </row>
    <row r="57" spans="2:19" outlineLevel="1" x14ac:dyDescent="0.2">
      <c r="B57" s="9" t="s">
        <v>40</v>
      </c>
      <c r="C57" s="154">
        <f>'Statement Y'!C60</f>
        <v>2256</v>
      </c>
      <c r="D57" s="154">
        <f>'Statement Y'!D60</f>
        <v>2726</v>
      </c>
      <c r="E57" s="154">
        <f>'Statement Y'!E60</f>
        <v>4870</v>
      </c>
      <c r="F57" s="154">
        <f>'Statement Y'!F60</f>
        <v>7095</v>
      </c>
      <c r="G57" s="154">
        <f>'Statement Y'!G60</f>
        <v>10854</v>
      </c>
      <c r="H57" s="154">
        <f>'Statement Y'!H60</f>
        <v>14391</v>
      </c>
      <c r="J57" s="154">
        <f>'Statement Q'!C60</f>
        <v>2243</v>
      </c>
      <c r="K57" s="154">
        <f>'Statement Q'!D60</f>
        <v>2876</v>
      </c>
      <c r="L57" s="154">
        <f>'Statement Q'!E60</f>
        <v>3661</v>
      </c>
      <c r="M57" s="154">
        <f>'Statement Q'!F60</f>
        <v>3590</v>
      </c>
      <c r="N57" s="154">
        <f>'Statement Q'!G60</f>
        <v>3440</v>
      </c>
      <c r="O57" s="154">
        <f>'Statement Q'!H60</f>
        <v>3553</v>
      </c>
      <c r="P57" s="154">
        <f>'Statement Q'!I60</f>
        <v>3808</v>
      </c>
      <c r="Q57" s="154">
        <f>'Statement Q'!J60</f>
        <v>4191</v>
      </c>
      <c r="S57" s="154">
        <f t="shared" ref="S57:S72" si="4">SUM(N57:Q57)</f>
        <v>14992</v>
      </c>
    </row>
    <row r="58" spans="2:19" outlineLevel="1" x14ac:dyDescent="0.2">
      <c r="B58" s="9" t="s">
        <v>155</v>
      </c>
      <c r="C58" s="154">
        <f>'Statement Y'!C61</f>
        <v>0</v>
      </c>
      <c r="D58" s="154">
        <f>'Statement Y'!D61</f>
        <v>0</v>
      </c>
      <c r="E58" s="154">
        <f>'Statement Y'!E61</f>
        <v>0</v>
      </c>
      <c r="F58" s="154">
        <f>'Statement Y'!F61</f>
        <v>0</v>
      </c>
      <c r="G58" s="154">
        <f>'Statement Y'!G61</f>
        <v>0</v>
      </c>
      <c r="H58" s="154">
        <f>'Statement Y'!H61</f>
        <v>-225185</v>
      </c>
      <c r="J58" s="154">
        <f>'Statement Q'!C61</f>
        <v>0</v>
      </c>
      <c r="K58" s="154">
        <f>'Statement Q'!D61</f>
        <v>0</v>
      </c>
      <c r="L58" s="154">
        <f>'Statement Q'!E61</f>
        <v>0</v>
      </c>
      <c r="M58" s="154">
        <f>'Statement Q'!F61</f>
        <v>0</v>
      </c>
      <c r="N58" s="154">
        <f>'Statement Q'!G61</f>
        <v>0</v>
      </c>
      <c r="O58" s="154">
        <f>'Statement Q'!H61</f>
        <v>-239486</v>
      </c>
      <c r="P58" s="154">
        <f>'Statement Q'!I61</f>
        <v>14301</v>
      </c>
      <c r="Q58" s="154">
        <f>'Statement Q'!J61</f>
        <v>9496</v>
      </c>
      <c r="S58" s="154">
        <f t="shared" si="4"/>
        <v>-215689</v>
      </c>
    </row>
    <row r="59" spans="2:19" outlineLevel="1" x14ac:dyDescent="0.2">
      <c r="B59" s="12" t="s">
        <v>119</v>
      </c>
      <c r="C59" s="154">
        <f>'Statement Y'!C62</f>
        <v>17031</v>
      </c>
      <c r="D59" s="154">
        <f>'Statement Y'!D62</f>
        <v>40804</v>
      </c>
      <c r="E59" s="154">
        <f>'Statement Y'!E62</f>
        <v>73820</v>
      </c>
      <c r="F59" s="154">
        <f>'Statement Y'!F62</f>
        <v>95221</v>
      </c>
      <c r="G59" s="154">
        <f>'Statement Y'!G62</f>
        <v>110477</v>
      </c>
      <c r="H59" s="154">
        <f>'Statement Y'!H62</f>
        <v>137437</v>
      </c>
      <c r="J59" s="154">
        <f>'Statement Q'!C62</f>
        <v>26746</v>
      </c>
      <c r="K59" s="154">
        <f>'Statement Q'!D62</f>
        <v>28959</v>
      </c>
      <c r="L59" s="154">
        <f>'Statement Q'!E62</f>
        <v>29787</v>
      </c>
      <c r="M59" s="154">
        <f>'Statement Q'!F62</f>
        <v>31018</v>
      </c>
      <c r="N59" s="154">
        <f>'Statement Q'!G62</f>
        <v>34592</v>
      </c>
      <c r="O59" s="154">
        <f>'Statement Q'!H62</f>
        <v>35565</v>
      </c>
      <c r="P59" s="154">
        <f>'Statement Q'!I62</f>
        <v>36262</v>
      </c>
      <c r="Q59" s="154">
        <f>'Statement Q'!J62</f>
        <v>34647</v>
      </c>
      <c r="S59" s="154">
        <f t="shared" si="4"/>
        <v>141066</v>
      </c>
    </row>
    <row r="60" spans="2:19" outlineLevel="1" x14ac:dyDescent="0.2">
      <c r="B60" s="12" t="s">
        <v>144</v>
      </c>
      <c r="C60" s="154">
        <f>'Statement Y'!C63</f>
        <v>0</v>
      </c>
      <c r="D60" s="154">
        <f>'Statement Y'!D63</f>
        <v>0</v>
      </c>
      <c r="E60" s="154">
        <f>'Statement Y'!E63</f>
        <v>0</v>
      </c>
      <c r="F60" s="154">
        <f>'Statement Y'!F63</f>
        <v>0</v>
      </c>
      <c r="G60" s="154">
        <f>'Statement Y'!G63</f>
        <v>-551</v>
      </c>
      <c r="H60" s="154">
        <f>'Statement Y'!H63</f>
        <v>-1851</v>
      </c>
      <c r="J60" s="154">
        <f>'Statement Q'!C63</f>
        <v>0</v>
      </c>
      <c r="K60" s="154">
        <f>'Statement Q'!D63</f>
        <v>-12</v>
      </c>
      <c r="L60" s="154">
        <f>'Statement Q'!E63</f>
        <v>-539</v>
      </c>
      <c r="M60" s="154">
        <f>'Statement Q'!F63</f>
        <v>-550</v>
      </c>
      <c r="N60" s="154">
        <f>'Statement Q'!G63</f>
        <v>-467</v>
      </c>
      <c r="O60" s="154">
        <f>'Statement Q'!H63</f>
        <v>-441</v>
      </c>
      <c r="P60" s="154">
        <f>'Statement Q'!I63</f>
        <v>-393</v>
      </c>
      <c r="Q60" s="154">
        <f>'Statement Q'!J63</f>
        <v>-321</v>
      </c>
      <c r="S60" s="154">
        <f t="shared" si="4"/>
        <v>-1622</v>
      </c>
    </row>
    <row r="61" spans="2:19" outlineLevel="1" x14ac:dyDescent="0.2">
      <c r="B61" s="12" t="s">
        <v>136</v>
      </c>
      <c r="C61" s="154">
        <f>'Statement Y'!C64</f>
        <v>0</v>
      </c>
      <c r="D61" s="154">
        <f>'Statement Y'!D64</f>
        <v>0</v>
      </c>
      <c r="E61" s="154">
        <f>'Statement Y'!E64</f>
        <v>0</v>
      </c>
      <c r="F61" s="154">
        <f>'Statement Y'!F64</f>
        <v>-100</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137</v>
      </c>
      <c r="C62" s="154">
        <f>'Statement Y'!C65</f>
        <v>0</v>
      </c>
      <c r="D62" s="154">
        <f>'Statement Y'!D65</f>
        <v>0</v>
      </c>
      <c r="E62" s="154">
        <f>'Statement Y'!E65</f>
        <v>0</v>
      </c>
      <c r="F62" s="154">
        <f>'Statement Y'!F65</f>
        <v>433</v>
      </c>
      <c r="G62" s="154">
        <f>'Statement Y'!G65</f>
        <v>0</v>
      </c>
      <c r="H62" s="154">
        <f>'Statement Y'!H65</f>
        <v>0</v>
      </c>
      <c r="J62" s="154">
        <f>'Statement Q'!C65</f>
        <v>0</v>
      </c>
      <c r="K62" s="154">
        <f>'Statement Q'!D65</f>
        <v>0</v>
      </c>
      <c r="L62" s="154">
        <f>'Statement Q'!E65</f>
        <v>0</v>
      </c>
      <c r="M62" s="154">
        <f>'Statement Q'!F65</f>
        <v>0</v>
      </c>
      <c r="N62" s="154">
        <f>'Statement Q'!G65</f>
        <v>0</v>
      </c>
      <c r="O62" s="154">
        <f>'Statement Q'!H65</f>
        <v>0</v>
      </c>
      <c r="P62" s="154">
        <f>'Statement Q'!I65</f>
        <v>0</v>
      </c>
      <c r="Q62" s="154">
        <f>'Statement Q'!J65</f>
        <v>0</v>
      </c>
      <c r="S62" s="154">
        <f t="shared" si="4"/>
        <v>0</v>
      </c>
    </row>
    <row r="63" spans="2:19" outlineLevel="1" x14ac:dyDescent="0.2">
      <c r="B63" s="12" t="s">
        <v>145</v>
      </c>
      <c r="C63" s="154">
        <f>'Statement Y'!C66</f>
        <v>0</v>
      </c>
      <c r="D63" s="154">
        <f>'Statement Y'!D66</f>
        <v>0</v>
      </c>
      <c r="E63" s="154">
        <f>'Statement Y'!E66</f>
        <v>0</v>
      </c>
      <c r="F63" s="154">
        <f>'Statement Y'!F66</f>
        <v>0</v>
      </c>
      <c r="G63" s="154">
        <f>'Statement Y'!G66</f>
        <v>238</v>
      </c>
      <c r="H63" s="154">
        <f>'Statement Y'!H66</f>
        <v>0</v>
      </c>
      <c r="J63" s="154">
        <f>'Statement Q'!C66</f>
        <v>0</v>
      </c>
      <c r="K63" s="154">
        <f>'Statement Q'!D66</f>
        <v>0</v>
      </c>
      <c r="L63" s="154">
        <f>'Statement Q'!E66</f>
        <v>238</v>
      </c>
      <c r="M63" s="154">
        <f>'Statement Q'!F66</f>
        <v>0</v>
      </c>
      <c r="N63" s="154">
        <f>'Statement Q'!G66</f>
        <v>0</v>
      </c>
      <c r="O63" s="154">
        <f>'Statement Q'!H66</f>
        <v>0</v>
      </c>
      <c r="P63" s="154">
        <f>'Statement Q'!I66</f>
        <v>0</v>
      </c>
      <c r="Q63" s="154">
        <f>'Statement Q'!J66</f>
        <v>0</v>
      </c>
      <c r="S63" s="154">
        <f t="shared" si="4"/>
        <v>0</v>
      </c>
    </row>
    <row r="64" spans="2:19" outlineLevel="1" x14ac:dyDescent="0.2">
      <c r="B64" s="9" t="s">
        <v>276</v>
      </c>
      <c r="C64" s="154">
        <f>SUM('Statement Y'!C67:C73)</f>
        <v>14197</v>
      </c>
      <c r="D64" s="154">
        <f>SUM('Statement Y'!D67:D73)</f>
        <v>25775</v>
      </c>
      <c r="E64" s="154">
        <f>SUM('Statement Y'!E67:E73)</f>
        <v>34540</v>
      </c>
      <c r="F64" s="154">
        <f>SUM('Statement Y'!F67:F73)</f>
        <v>34898</v>
      </c>
      <c r="G64" s="154">
        <f>SUM('Statement Y'!G67:G73)</f>
        <v>75921</v>
      </c>
      <c r="H64" s="154">
        <f>SUM('Statement Y'!H67:H73)</f>
        <v>48966</v>
      </c>
      <c r="J64" s="154">
        <f>SUM('Statement Q'!C67:C73)</f>
        <v>9048</v>
      </c>
      <c r="K64" s="154">
        <f>SUM('Statement Q'!D67:D73)</f>
        <v>1084</v>
      </c>
      <c r="L64" s="154">
        <f>SUM('Statement Q'!E67:E73)</f>
        <v>36290</v>
      </c>
      <c r="M64" s="154">
        <f>SUM('Statement Q'!F67:F73)</f>
        <v>36438</v>
      </c>
      <c r="N64" s="154">
        <f>SUM('Statement Q'!G67:G73)</f>
        <v>8329</v>
      </c>
      <c r="O64" s="154">
        <f>SUM('Statement Q'!H67:H73)</f>
        <v>-7147</v>
      </c>
      <c r="P64" s="154">
        <f>SUM('Statement Q'!I67:I73)</f>
        <v>11346</v>
      </c>
      <c r="Q64" s="154">
        <f>SUM('Statement Q'!J67:J73)</f>
        <v>59298</v>
      </c>
      <c r="S64" s="154">
        <f t="shared" si="4"/>
        <v>71826</v>
      </c>
    </row>
    <row r="65" spans="2:19" outlineLevel="1" x14ac:dyDescent="0.2">
      <c r="B65" s="17" t="s">
        <v>43</v>
      </c>
      <c r="C65" s="174">
        <f>'Statement Y'!C74</f>
        <v>17708</v>
      </c>
      <c r="D65" s="174">
        <f>'Statement Y'!D74</f>
        <v>9170</v>
      </c>
      <c r="E65" s="174">
        <f>'Statement Y'!E74</f>
        <v>53656</v>
      </c>
      <c r="F65" s="174">
        <f>'Statement Y'!F74</f>
        <v>153614</v>
      </c>
      <c r="G65" s="174">
        <f>'Statement Y'!G74</f>
        <v>285513</v>
      </c>
      <c r="H65" s="174">
        <f>'Statement Y'!H74</f>
        <v>387823</v>
      </c>
      <c r="J65" s="174">
        <f>'Statement Q'!C74</f>
        <v>62388</v>
      </c>
      <c r="K65" s="174">
        <f>'Statement Q'!D74</f>
        <v>56267</v>
      </c>
      <c r="L65" s="174">
        <f>'Statement Q'!E74</f>
        <v>83344</v>
      </c>
      <c r="M65" s="174">
        <f>'Statement Q'!F74</f>
        <v>105631</v>
      </c>
      <c r="N65" s="174">
        <f>'Statement Q'!G74</f>
        <v>90675</v>
      </c>
      <c r="O65" s="174">
        <f>'Statement Q'!H74</f>
        <v>84239</v>
      </c>
      <c r="P65" s="174">
        <f>'Statement Q'!I74</f>
        <v>107278</v>
      </c>
      <c r="Q65" s="174">
        <f>'Statement Q'!J74</f>
        <v>150771</v>
      </c>
      <c r="S65" s="174">
        <f t="shared" si="4"/>
        <v>432963</v>
      </c>
    </row>
    <row r="66" spans="2:19" outlineLevel="1" x14ac:dyDescent="0.2">
      <c r="B66" s="9" t="s">
        <v>44</v>
      </c>
      <c r="C66" s="154">
        <f>'Statement Y'!C75</f>
        <v>-3376</v>
      </c>
      <c r="D66" s="154">
        <f>'Statement Y'!D75</f>
        <v>-3586</v>
      </c>
      <c r="E66" s="154">
        <f>'Statement Y'!E75</f>
        <v>-5562</v>
      </c>
      <c r="F66" s="154">
        <f>'Statement Y'!F75</f>
        <v>-3191</v>
      </c>
      <c r="G66" s="154">
        <f>'Statement Y'!G75</f>
        <v>-12116</v>
      </c>
      <c r="H66" s="154">
        <f>'Statement Y'!H75</f>
        <v>-18096</v>
      </c>
      <c r="J66" s="154">
        <f>'Statement Q'!C75</f>
        <v>-5563</v>
      </c>
      <c r="K66" s="154">
        <f>'Statement Q'!D75</f>
        <v>-3178</v>
      </c>
      <c r="L66" s="154">
        <f>'Statement Q'!E75</f>
        <v>-1961</v>
      </c>
      <c r="M66" s="154">
        <f>'Statement Q'!F75</f>
        <v>-1309</v>
      </c>
      <c r="N66" s="154">
        <f>'Statement Q'!G75</f>
        <v>-1198</v>
      </c>
      <c r="O66" s="154">
        <f>'Statement Q'!H75</f>
        <v>-4862</v>
      </c>
      <c r="P66" s="154">
        <f>'Statement Q'!I75</f>
        <v>-10727</v>
      </c>
      <c r="Q66" s="154">
        <f>'Statement Q'!J75</f>
        <v>-132</v>
      </c>
      <c r="S66" s="154">
        <f t="shared" si="4"/>
        <v>-16919</v>
      </c>
    </row>
    <row r="67" spans="2:19" outlineLevel="1" x14ac:dyDescent="0.2">
      <c r="B67" s="9" t="s">
        <v>113</v>
      </c>
      <c r="C67" s="154">
        <f>'Statement Y'!C80</f>
        <v>-638</v>
      </c>
      <c r="D67" s="154">
        <f>'Statement Y'!D80</f>
        <v>-2620</v>
      </c>
      <c r="E67" s="154">
        <f>'Statement Y'!E80</f>
        <v>-4562</v>
      </c>
      <c r="F67" s="154">
        <f>'Statement Y'!F80</f>
        <v>-10493</v>
      </c>
      <c r="G67" s="154">
        <f>'Statement Y'!G80</f>
        <v>-9024</v>
      </c>
      <c r="H67" s="154">
        <f>'Statement Y'!H80</f>
        <v>-9303</v>
      </c>
      <c r="J67" s="154">
        <f>'Statement Q'!C81</f>
        <v>-3093</v>
      </c>
      <c r="K67" s="154">
        <f>'Statement Q'!D81</f>
        <v>-1845</v>
      </c>
      <c r="L67" s="154">
        <f>'Statement Q'!E81</f>
        <v>-479</v>
      </c>
      <c r="M67" s="154">
        <f>'Statement Q'!F81</f>
        <v>-1310</v>
      </c>
      <c r="N67" s="154">
        <f>'Statement Q'!G81</f>
        <v>-3153</v>
      </c>
      <c r="O67" s="154">
        <f>'Statement Q'!H81</f>
        <v>-2021</v>
      </c>
      <c r="P67" s="154">
        <f>'Statement Q'!I81</f>
        <v>-2819</v>
      </c>
      <c r="Q67" s="154">
        <f>'Statement Q'!J81</f>
        <v>-2853</v>
      </c>
      <c r="S67" s="154">
        <f t="shared" si="4"/>
        <v>-10846</v>
      </c>
    </row>
    <row r="68" spans="2:19" outlineLevel="1" x14ac:dyDescent="0.2">
      <c r="B68" s="17" t="s">
        <v>45</v>
      </c>
      <c r="C68" s="174">
        <f>'Statement Y'!C81</f>
        <v>-4014</v>
      </c>
      <c r="D68" s="174">
        <f>'Statement Y'!D81</f>
        <v>-6206</v>
      </c>
      <c r="E68" s="174">
        <f>'Statement Y'!E81</f>
        <v>-14174</v>
      </c>
      <c r="F68" s="174">
        <f>'Statement Y'!F81</f>
        <v>-13584</v>
      </c>
      <c r="G68" s="174">
        <f>'Statement Y'!G81</f>
        <v>-217330</v>
      </c>
      <c r="H68" s="174">
        <f>'Statement Y'!H81</f>
        <v>-107678</v>
      </c>
      <c r="J68" s="174">
        <f>'Statement Q'!C82</f>
        <v>-8656</v>
      </c>
      <c r="K68" s="174">
        <f>'Statement Q'!D82</f>
        <v>-93288</v>
      </c>
      <c r="L68" s="174">
        <f>'Statement Q'!E82</f>
        <v>-110365</v>
      </c>
      <c r="M68" s="174">
        <f>'Statement Q'!F82</f>
        <v>-10549</v>
      </c>
      <c r="N68" s="174">
        <f>'Statement Q'!G82</f>
        <v>-2272</v>
      </c>
      <c r="O68" s="174">
        <f>'Statement Q'!H82</f>
        <v>-51675</v>
      </c>
      <c r="P68" s="174">
        <f>'Statement Q'!I82</f>
        <v>-43182</v>
      </c>
      <c r="Q68" s="174">
        <f>'Statement Q'!J82</f>
        <v>-16749</v>
      </c>
      <c r="S68" s="174">
        <f t="shared" si="4"/>
        <v>-113878</v>
      </c>
    </row>
    <row r="69" spans="2:19" outlineLevel="1" x14ac:dyDescent="0.2">
      <c r="B69" s="9" t="s">
        <v>125</v>
      </c>
      <c r="C69" s="154">
        <f>'Statement Y'!C82</f>
        <v>0</v>
      </c>
      <c r="D69" s="154">
        <f>'Statement Y'!D82</f>
        <v>426191</v>
      </c>
      <c r="E69" s="154">
        <f>'Statement Y'!E82</f>
        <v>0</v>
      </c>
      <c r="F69" s="154">
        <f>'Statement Y'!F82</f>
        <v>0</v>
      </c>
      <c r="G69" s="154">
        <f>'Statement Y'!G82</f>
        <v>0</v>
      </c>
      <c r="H69" s="154">
        <f>'Statement Y'!H82</f>
        <v>0</v>
      </c>
      <c r="J69" s="154">
        <f>'Statement Q'!C91</f>
        <v>0</v>
      </c>
      <c r="K69" s="154">
        <f>'Statement Q'!D91</f>
        <v>0</v>
      </c>
      <c r="L69" s="154">
        <f>'Statement Q'!E91</f>
        <v>-49358</v>
      </c>
      <c r="M69" s="154">
        <f>'Statement Q'!F91</f>
        <v>0</v>
      </c>
      <c r="N69" s="154">
        <f>'Statement Q'!G91</f>
        <v>0</v>
      </c>
      <c r="O69" s="154">
        <f>'Statement Q'!H91</f>
        <v>0</v>
      </c>
      <c r="P69" s="154">
        <f>'Statement Q'!I91</f>
        <v>0</v>
      </c>
      <c r="Q69" s="154">
        <f>'Statement Q'!J91</f>
        <v>0</v>
      </c>
      <c r="S69" s="154">
        <f t="shared" si="4"/>
        <v>0</v>
      </c>
    </row>
    <row r="70" spans="2:19" outlineLevel="1" x14ac:dyDescent="0.2">
      <c r="B70" s="9" t="s">
        <v>129</v>
      </c>
      <c r="C70" s="154">
        <f>'Statement Y'!C87</f>
        <v>0</v>
      </c>
      <c r="D70" s="154">
        <f>'Statement Y'!D87</f>
        <v>-868</v>
      </c>
      <c r="E70" s="154">
        <f>'Statement Y'!E87</f>
        <v>0</v>
      </c>
      <c r="F70" s="154">
        <f>'Statement Y'!F87</f>
        <v>0</v>
      </c>
      <c r="G70" s="154">
        <f>'Statement Y'!G87</f>
        <v>0</v>
      </c>
      <c r="H70" s="154">
        <f>'Statement Y'!H87</f>
        <v>0</v>
      </c>
      <c r="J70" s="154">
        <f>'Statement Q'!C90</f>
        <v>0</v>
      </c>
      <c r="K70" s="154">
        <f>'Statement Q'!D90</f>
        <v>0</v>
      </c>
      <c r="L70" s="154">
        <f>'Statement Q'!E90</f>
        <v>0</v>
      </c>
      <c r="M70" s="154">
        <f>'Statement Q'!F90</f>
        <v>0</v>
      </c>
      <c r="N70" s="154">
        <f>'Statement Q'!G90</f>
        <v>0</v>
      </c>
      <c r="O70" s="154">
        <f>'Statement Q'!H90</f>
        <v>0</v>
      </c>
      <c r="P70" s="154">
        <f>'Statement Q'!I90</f>
        <v>0</v>
      </c>
      <c r="Q70" s="154">
        <f>'Statement Q'!J90</f>
        <v>-24331</v>
      </c>
      <c r="S70" s="154">
        <f t="shared" si="4"/>
        <v>-24331</v>
      </c>
    </row>
    <row r="71" spans="2:19" outlineLevel="1" x14ac:dyDescent="0.2">
      <c r="B71" s="17" t="s">
        <v>51</v>
      </c>
      <c r="C71" s="174">
        <f>'Statement Y'!C89</f>
        <v>46953</v>
      </c>
      <c r="D71" s="174">
        <f>'Statement Y'!D89</f>
        <v>430468</v>
      </c>
      <c r="E71" s="174">
        <f>'Statement Y'!E89</f>
        <v>14776</v>
      </c>
      <c r="F71" s="174">
        <f>'Statement Y'!F89</f>
        <v>2135</v>
      </c>
      <c r="G71" s="174">
        <f>'Statement Y'!G89</f>
        <v>-30002</v>
      </c>
      <c r="H71" s="174">
        <f>'Statement Y'!H89</f>
        <v>-29547</v>
      </c>
      <c r="J71" s="174">
        <f>'Statement Q'!C93</f>
        <v>4795</v>
      </c>
      <c r="K71" s="174">
        <f>'Statement Q'!D93</f>
        <v>3190</v>
      </c>
      <c r="L71" s="174">
        <f>'Statement Q'!E93</f>
        <v>-41597</v>
      </c>
      <c r="M71" s="174">
        <f>'Statement Q'!F93</f>
        <v>3123</v>
      </c>
      <c r="N71" s="174">
        <f>'Statement Q'!G93</f>
        <v>3832</v>
      </c>
      <c r="O71" s="174">
        <f>'Statement Q'!H93</f>
        <v>2747</v>
      </c>
      <c r="P71" s="174">
        <f>'Statement Q'!I93</f>
        <v>-39249</v>
      </c>
      <c r="Q71" s="174">
        <f>'Statement Q'!J93</f>
        <v>-31850</v>
      </c>
      <c r="S71" s="174">
        <f t="shared" si="4"/>
        <v>-64520</v>
      </c>
    </row>
    <row r="72" spans="2:19" outlineLevel="1" x14ac:dyDescent="0.2">
      <c r="B72" s="11" t="s">
        <v>52</v>
      </c>
      <c r="C72" s="177">
        <f>'Statement Y'!C90</f>
        <v>60647</v>
      </c>
      <c r="D72" s="177">
        <f>'Statement Y'!D90</f>
        <v>433432</v>
      </c>
      <c r="E72" s="177">
        <f>'Statement Y'!E90</f>
        <v>54258</v>
      </c>
      <c r="F72" s="177">
        <f>'Statement Y'!F90</f>
        <v>142165</v>
      </c>
      <c r="G72" s="177">
        <f>'Statement Y'!G90</f>
        <v>38181</v>
      </c>
      <c r="H72" s="177">
        <f>'Statement Y'!H90</f>
        <v>250598</v>
      </c>
      <c r="J72" s="177">
        <f>'Statement Q'!C94</f>
        <v>58500</v>
      </c>
      <c r="K72" s="177">
        <f>'Statement Q'!D94</f>
        <v>-33831</v>
      </c>
      <c r="L72" s="177">
        <f>'Statement Q'!E94</f>
        <v>-68618</v>
      </c>
      <c r="M72" s="177">
        <f>'Statement Q'!F94</f>
        <v>98205</v>
      </c>
      <c r="N72" s="177">
        <f>'Statement Q'!G94</f>
        <v>92235</v>
      </c>
      <c r="O72" s="177">
        <f>'Statement Q'!H94</f>
        <v>35311</v>
      </c>
      <c r="P72" s="177">
        <f>'Statement Q'!I94</f>
        <v>24847</v>
      </c>
      <c r="Q72" s="177">
        <f>'Statement Q'!J94</f>
        <v>102172</v>
      </c>
      <c r="S72" s="177">
        <f t="shared" si="4"/>
        <v>254565</v>
      </c>
    </row>
    <row r="73" spans="2:19" outlineLevel="1" x14ac:dyDescent="0.2">
      <c r="B73" s="11" t="s">
        <v>53</v>
      </c>
      <c r="C73" s="177">
        <f>'Statement Y'!C91</f>
        <v>59843</v>
      </c>
      <c r="D73" s="177">
        <f>'Statement Y'!D91</f>
        <v>120490</v>
      </c>
      <c r="E73" s="177">
        <f>'Statement Y'!E91</f>
        <v>553922</v>
      </c>
      <c r="F73" s="177">
        <f>'Statement Y'!F91</f>
        <v>608180</v>
      </c>
      <c r="G73" s="177">
        <f>'Statement Y'!G91</f>
        <v>750345</v>
      </c>
      <c r="H73" s="177">
        <f>'Statement Y'!H91</f>
        <v>788526</v>
      </c>
      <c r="J73" s="177">
        <f>'Statement Q'!C95</f>
        <v>832448</v>
      </c>
      <c r="K73" s="177">
        <f>'Statement Q'!D95</f>
        <v>890975</v>
      </c>
      <c r="L73" s="177">
        <f>'Statement Q'!E95</f>
        <v>857144</v>
      </c>
      <c r="M73" s="177">
        <f>'Statement Q'!F95</f>
        <v>788526</v>
      </c>
      <c r="N73" s="177">
        <f>'Statement Q'!G95</f>
        <v>886731</v>
      </c>
      <c r="O73" s="177">
        <f>'Statement Q'!H95</f>
        <v>978966</v>
      </c>
      <c r="P73" s="177">
        <f>'Statement Q'!I95</f>
        <v>1014277</v>
      </c>
      <c r="Q73" s="177">
        <f>'Statement Q'!J95</f>
        <v>1039124</v>
      </c>
      <c r="S73" s="177">
        <f>N73</f>
        <v>886731</v>
      </c>
    </row>
    <row r="74" spans="2:19" ht="17" outlineLevel="1" thickBot="1" x14ac:dyDescent="0.25">
      <c r="B74" s="19" t="s">
        <v>54</v>
      </c>
      <c r="C74" s="178">
        <f>'Statement Y'!C92</f>
        <v>120490</v>
      </c>
      <c r="D74" s="178">
        <f>'Statement Y'!D92</f>
        <v>553922</v>
      </c>
      <c r="E74" s="178">
        <f>'Statement Y'!E92</f>
        <v>608180</v>
      </c>
      <c r="F74" s="178">
        <f>'Statement Y'!F92</f>
        <v>750345</v>
      </c>
      <c r="G74" s="178">
        <f>'Statement Y'!G92</f>
        <v>788526</v>
      </c>
      <c r="H74" s="178">
        <f>'Statement Y'!H92</f>
        <v>1039124</v>
      </c>
      <c r="J74" s="178">
        <f>'Statement Q'!C96</f>
        <v>890975</v>
      </c>
      <c r="K74" s="178">
        <f>'Statement Q'!D96</f>
        <v>857144</v>
      </c>
      <c r="L74" s="178">
        <f>'Statement Q'!E96</f>
        <v>788526</v>
      </c>
      <c r="M74" s="178">
        <f>'Statement Q'!F96</f>
        <v>886731</v>
      </c>
      <c r="N74" s="178">
        <f>'Statement Q'!G96</f>
        <v>978966</v>
      </c>
      <c r="O74" s="178">
        <f>'Statement Q'!H96</f>
        <v>1014277</v>
      </c>
      <c r="P74" s="178">
        <f>'Statement Q'!I96</f>
        <v>1039124</v>
      </c>
      <c r="Q74" s="178">
        <f>'Statement Q'!J96</f>
        <v>1141296</v>
      </c>
      <c r="S74" s="178">
        <f>Q74</f>
        <v>1141296</v>
      </c>
    </row>
    <row r="76" spans="2:19" ht="17" thickBot="1" x14ac:dyDescent="0.25">
      <c r="B76" s="15" t="s">
        <v>277</v>
      </c>
      <c r="C76" s="179"/>
      <c r="D76" s="179"/>
      <c r="E76" s="179"/>
      <c r="F76" s="179"/>
      <c r="G76" s="179"/>
      <c r="H76" s="179"/>
      <c r="J76" s="179"/>
      <c r="K76" s="179"/>
      <c r="L76" s="179"/>
      <c r="M76" s="179"/>
      <c r="N76" s="179"/>
      <c r="O76" s="179"/>
      <c r="P76" s="179"/>
      <c r="Q76" s="179"/>
      <c r="S76" s="179"/>
    </row>
    <row r="77" spans="2:19" x14ac:dyDescent="0.2">
      <c r="B77" s="9" t="s">
        <v>278</v>
      </c>
      <c r="C77" s="180">
        <f>C18/C5</f>
        <v>-9.7565802493568179E-2</v>
      </c>
      <c r="D77" s="180">
        <f t="shared" ref="D77:H77" si="5">D18/D5</f>
        <v>-0.2397994991466352</v>
      </c>
      <c r="E77" s="180">
        <f t="shared" si="5"/>
        <v>-0.16123086915925791</v>
      </c>
      <c r="F77" s="180">
        <f t="shared" si="5"/>
        <v>3.0251793887883655E-2</v>
      </c>
      <c r="G77" s="180">
        <f t="shared" si="5"/>
        <v>0.11841063923082681</v>
      </c>
      <c r="H77" s="180">
        <f t="shared" si="5"/>
        <v>0.16082475816532366</v>
      </c>
      <c r="J77" s="183"/>
      <c r="K77" s="183"/>
      <c r="L77" s="183"/>
      <c r="M77" s="183"/>
      <c r="N77" s="183"/>
      <c r="O77" s="183"/>
      <c r="P77" s="183"/>
      <c r="Q77" s="183"/>
      <c r="S77" s="91">
        <f>S18/S5</f>
        <v>0.15944023232342536</v>
      </c>
    </row>
    <row r="78" spans="2:19" x14ac:dyDescent="0.2">
      <c r="B78" s="9" t="s">
        <v>279</v>
      </c>
      <c r="C78" s="181">
        <f>C5/C38</f>
        <v>0.92009172693596752</v>
      </c>
      <c r="D78" s="181">
        <f t="shared" ref="D78:H78" si="6">D5/D38</f>
        <v>0.37920433804972242</v>
      </c>
      <c r="E78" s="181">
        <f t="shared" si="6"/>
        <v>0.49440888904350994</v>
      </c>
      <c r="F78" s="181">
        <f t="shared" si="6"/>
        <v>0.55674312364184131</v>
      </c>
      <c r="G78" s="181">
        <f t="shared" si="6"/>
        <v>0.57463924875242756</v>
      </c>
      <c r="H78" s="181">
        <f t="shared" si="6"/>
        <v>0.52083042613576469</v>
      </c>
      <c r="J78" s="184"/>
      <c r="K78" s="184"/>
      <c r="L78" s="184"/>
      <c r="M78" s="184"/>
      <c r="N78" s="184"/>
      <c r="O78" s="184"/>
      <c r="P78" s="184"/>
      <c r="Q78" s="184"/>
      <c r="S78" s="187">
        <f>S5/S38</f>
        <v>0.53392429715538525</v>
      </c>
    </row>
    <row r="79" spans="2:19" x14ac:dyDescent="0.2">
      <c r="B79" s="11" t="s">
        <v>280</v>
      </c>
      <c r="C79" s="182">
        <f>C77*C78</f>
        <v>-8.9769487706200676E-2</v>
      </c>
      <c r="D79" s="182">
        <f t="shared" ref="D79:H79" si="7">D77*D78</f>
        <v>-9.0933010338554776E-2</v>
      </c>
      <c r="E79" s="182">
        <f t="shared" si="7"/>
        <v>-7.9713974900548212E-2</v>
      </c>
      <c r="F79" s="182">
        <f t="shared" si="7"/>
        <v>1.6842478224909509E-2</v>
      </c>
      <c r="G79" s="182">
        <f t="shared" si="7"/>
        <v>6.804340077189705E-2</v>
      </c>
      <c r="H79" s="182">
        <f t="shared" si="7"/>
        <v>8.3762427328426828E-2</v>
      </c>
      <c r="J79" s="185"/>
      <c r="K79" s="185"/>
      <c r="L79" s="185"/>
      <c r="M79" s="185"/>
      <c r="N79" s="185"/>
      <c r="O79" s="185"/>
      <c r="P79" s="185"/>
      <c r="Q79" s="185"/>
      <c r="S79" s="182">
        <f t="shared" ref="S79" si="8">S77*S78</f>
        <v>8.5129013981576226E-2</v>
      </c>
    </row>
    <row r="80" spans="2:19" x14ac:dyDescent="0.2">
      <c r="B80" s="9" t="s">
        <v>281</v>
      </c>
      <c r="C80" s="181">
        <f>C38/C52</f>
        <v>-2.1779256670508484</v>
      </c>
      <c r="D80" s="181">
        <f t="shared" ref="D80:H80" si="9">D38/D52</f>
        <v>1.2889645574752073</v>
      </c>
      <c r="E80" s="181">
        <f t="shared" si="9"/>
        <v>1.3786705972203261</v>
      </c>
      <c r="F80" s="181">
        <f t="shared" si="9"/>
        <v>1.4553097554389696</v>
      </c>
      <c r="G80" s="181">
        <f t="shared" si="9"/>
        <v>1.5787132375234976</v>
      </c>
      <c r="H80" s="181">
        <f t="shared" si="9"/>
        <v>1.4789703980531639</v>
      </c>
      <c r="J80" s="186"/>
      <c r="K80" s="186"/>
      <c r="L80" s="186"/>
      <c r="M80" s="186"/>
      <c r="N80" s="186"/>
      <c r="O80" s="186"/>
      <c r="P80" s="186"/>
      <c r="Q80" s="186"/>
      <c r="S80" s="181">
        <f>S38/S52</f>
        <v>1.4786946637504634</v>
      </c>
    </row>
    <row r="81" spans="2:19" x14ac:dyDescent="0.2">
      <c r="B81" s="11" t="s">
        <v>282</v>
      </c>
      <c r="C81" s="182">
        <f>C79*C80</f>
        <v>0.19551127139334004</v>
      </c>
      <c r="D81" s="182">
        <f t="shared" ref="D81:H81" si="10">D79*D80</f>
        <v>-0.1172094274309237</v>
      </c>
      <c r="E81" s="182">
        <f t="shared" si="10"/>
        <v>-0.1098993133829449</v>
      </c>
      <c r="F81" s="182">
        <f t="shared" si="10"/>
        <v>2.4511022866479229E-2</v>
      </c>
      <c r="G81" s="182">
        <f t="shared" si="10"/>
        <v>0.10742101752471045</v>
      </c>
      <c r="H81" s="182">
        <f t="shared" si="10"/>
        <v>0.12388215048782264</v>
      </c>
      <c r="J81" s="185"/>
      <c r="K81" s="185"/>
      <c r="L81" s="185"/>
      <c r="M81" s="185"/>
      <c r="N81" s="185"/>
      <c r="O81" s="185"/>
      <c r="P81" s="185"/>
      <c r="Q81" s="185"/>
      <c r="S81" s="182">
        <f t="shared" ref="S81" si="11">S79*S80</f>
        <v>0.12587981870489537</v>
      </c>
    </row>
    <row r="83" spans="2:19" ht="17" thickBot="1" x14ac:dyDescent="0.25">
      <c r="B83" s="179" t="s">
        <v>191</v>
      </c>
      <c r="C83" s="179"/>
      <c r="D83" s="179"/>
      <c r="E83" s="179"/>
      <c r="F83" s="179"/>
      <c r="G83" s="179"/>
      <c r="H83" s="179"/>
      <c r="J83" s="179"/>
      <c r="K83" s="179"/>
      <c r="L83" s="179"/>
      <c r="M83" s="179"/>
      <c r="N83" s="179"/>
      <c r="O83" s="179"/>
      <c r="P83" s="179"/>
      <c r="Q83" s="179"/>
      <c r="S83" s="179"/>
    </row>
    <row r="84" spans="2:19" x14ac:dyDescent="0.2">
      <c r="B84" s="11" t="s">
        <v>6</v>
      </c>
      <c r="C84" s="184"/>
      <c r="D84" s="182">
        <f>(D5-C5)/C5</f>
        <v>0.5508856125074213</v>
      </c>
      <c r="E84" s="182">
        <f t="shared" ref="E84:H84" si="12">(E5-D5)/D5</f>
        <v>0.47343004801173977</v>
      </c>
      <c r="F84" s="182">
        <f t="shared" si="12"/>
        <v>0.43739157498748293</v>
      </c>
      <c r="G84" s="182">
        <f t="shared" si="12"/>
        <v>0.40841898743948984</v>
      </c>
      <c r="H84" s="182">
        <f t="shared" si="12"/>
        <v>0.38710656342577243</v>
      </c>
      <c r="J84" s="184"/>
      <c r="K84" s="182">
        <f t="shared" ref="K84:Q84" si="13">(K5-J5)/J5</f>
        <v>8.0004710447660762E-2</v>
      </c>
      <c r="L84" s="182">
        <f t="shared" si="13"/>
        <v>8.8040125860618712E-2</v>
      </c>
      <c r="M84" s="182">
        <f t="shared" si="13"/>
        <v>0.10113576712001909</v>
      </c>
      <c r="N84" s="182">
        <f t="shared" si="13"/>
        <v>9.3272601985759054E-2</v>
      </c>
      <c r="O84" s="182">
        <f t="shared" si="13"/>
        <v>7.7093532594692094E-2</v>
      </c>
      <c r="P84" s="182">
        <f t="shared" si="13"/>
        <v>4.1054347786083106E-2</v>
      </c>
      <c r="Q84" s="182">
        <f t="shared" si="13"/>
        <v>3.2166947127281985E-2</v>
      </c>
      <c r="S84" s="184"/>
    </row>
    <row r="85" spans="2:19" x14ac:dyDescent="0.2">
      <c r="B85" s="9" t="s">
        <v>7</v>
      </c>
      <c r="C85" s="184"/>
      <c r="D85" s="180">
        <f>(D6-C6)/C6</f>
        <v>0.5044686541848783</v>
      </c>
      <c r="E85" s="180">
        <f t="shared" ref="E85:H85" si="14">(E6-D6)/D6</f>
        <v>0.43715491573439713</v>
      </c>
      <c r="F85" s="180">
        <f t="shared" si="14"/>
        <v>0.42918204584083436</v>
      </c>
      <c r="G85" s="180">
        <f t="shared" si="14"/>
        <v>0.43306006122233559</v>
      </c>
      <c r="H85" s="180">
        <f t="shared" si="14"/>
        <v>0.41487392275774021</v>
      </c>
      <c r="J85" s="184"/>
      <c r="K85" s="180">
        <f t="shared" ref="K85:Q85" si="15">(K6-J6)/J6</f>
        <v>0.1020296099178441</v>
      </c>
      <c r="L85" s="180">
        <f t="shared" si="15"/>
        <v>0.12926408585665006</v>
      </c>
      <c r="M85" s="180">
        <f t="shared" si="15"/>
        <v>0.13104794229953332</v>
      </c>
      <c r="N85" s="180">
        <f t="shared" si="15"/>
        <v>4.5568442690593722E-2</v>
      </c>
      <c r="O85" s="180">
        <f t="shared" si="15"/>
        <v>7.3445841226106423E-2</v>
      </c>
      <c r="P85" s="180">
        <f t="shared" si="15"/>
        <v>2.9370872436565866E-2</v>
      </c>
      <c r="Q85" s="180">
        <f t="shared" si="15"/>
        <v>2.4312004052000676E-2</v>
      </c>
      <c r="S85" s="184"/>
    </row>
    <row r="86" spans="2:19" x14ac:dyDescent="0.2">
      <c r="B86" s="11" t="s">
        <v>8</v>
      </c>
      <c r="C86" s="184"/>
      <c r="D86" s="182">
        <f>IF(C7=0,
IF(D7=0,0,IF(D7&gt;0,1,-1)),
(D7-C7)/ABS(C7)
)</f>
        <v>0.56933341399545412</v>
      </c>
      <c r="E86" s="182">
        <f t="shared" ref="E86:H86" si="16">IF(D7=0,
IF(E7=0,0,IF(E7&gt;0,1,-1)),
(E7-D7)/ABS(D7)
)</f>
        <v>0.48725121980769442</v>
      </c>
      <c r="F86" s="182">
        <f t="shared" si="16"/>
        <v>0.44041412405948221</v>
      </c>
      <c r="G86" s="182">
        <f t="shared" si="16"/>
        <v>0.39941748670964822</v>
      </c>
      <c r="H86" s="182">
        <f t="shared" si="16"/>
        <v>0.37671916073176959</v>
      </c>
      <c r="J86" s="184"/>
      <c r="K86" s="182">
        <f t="shared" ref="K86:Q86" si="17">IF(J7=0,
IF(K7=0,0,IF(K7&gt;0,1,-1)),
(K7-J7)/ABS(J7)
)</f>
        <v>7.2042633113958074E-2</v>
      </c>
      <c r="L86" s="182">
        <f t="shared" si="17"/>
        <v>7.2720668879171599E-2</v>
      </c>
      <c r="M86" s="182">
        <f t="shared" si="17"/>
        <v>8.9434024896265563E-2</v>
      </c>
      <c r="N86" s="182">
        <f t="shared" si="17"/>
        <v>0.11264747464898596</v>
      </c>
      <c r="O86" s="182">
        <f t="shared" si="17"/>
        <v>7.8485713190310058E-2</v>
      </c>
      <c r="P86" s="182">
        <f t="shared" si="17"/>
        <v>4.5492633727927848E-2</v>
      </c>
      <c r="Q86" s="182">
        <f t="shared" si="17"/>
        <v>3.5104848228727975E-2</v>
      </c>
      <c r="S86" s="184"/>
    </row>
    <row r="87" spans="2:19" x14ac:dyDescent="0.2">
      <c r="B87" s="12" t="s">
        <v>11</v>
      </c>
      <c r="C87" s="184"/>
      <c r="D87" s="180">
        <f>IF(C11=0,
IF(D11=0,0,IF(D11&gt;0,1,-1)),
(D11-C11)/ABS(C11)
)</f>
        <v>0.83414060127543277</v>
      </c>
      <c r="E87" s="180">
        <f t="shared" ref="E87:H87" si="18">IF(D11=0,
IF(E11=0,0,IF(E11&gt;0,1,-1)),
(E11-D11)/ABS(D11)
)</f>
        <v>0.38770163042803391</v>
      </c>
      <c r="F87" s="180">
        <f t="shared" si="18"/>
        <v>0.19985742366349599</v>
      </c>
      <c r="G87" s="180">
        <f t="shared" si="18"/>
        <v>0.19768410219184962</v>
      </c>
      <c r="H87" s="180">
        <f t="shared" si="18"/>
        <v>0.27419549009514638</v>
      </c>
      <c r="J87" s="184"/>
      <c r="K87" s="180">
        <f t="shared" ref="K87:Q87" si="19">IF(J11=0,
IF(K11=0,0,IF(K11&gt;0,1,-1)),
(K11-J11)/ABS(J11)
)</f>
        <v>0.12969593330839524</v>
      </c>
      <c r="L87" s="180">
        <f t="shared" si="19"/>
        <v>7.807473982970671E-2</v>
      </c>
      <c r="M87" s="180">
        <f t="shared" si="19"/>
        <v>2.7489524143831861E-2</v>
      </c>
      <c r="N87" s="180">
        <f t="shared" si="19"/>
        <v>6.2034704132325522E-2</v>
      </c>
      <c r="O87" s="180">
        <f t="shared" si="19"/>
        <v>8.3997909099438411E-2</v>
      </c>
      <c r="P87" s="180">
        <f t="shared" si="19"/>
        <v>4.0988674019486618E-3</v>
      </c>
      <c r="Q87" s="180">
        <f t="shared" si="19"/>
        <v>3.7890588923436871E-2</v>
      </c>
      <c r="S87" s="184"/>
    </row>
    <row r="88" spans="2:19" x14ac:dyDescent="0.2">
      <c r="B88" s="11" t="s">
        <v>12</v>
      </c>
      <c r="C88" s="184"/>
      <c r="D88" s="182">
        <f>IF(C12=0,
IF(D12=0,0,IF(D12&gt;0,1,-1)),
(D12-C12)/ABS(C12)
)</f>
        <v>-2.7478608456686029</v>
      </c>
      <c r="E88" s="182">
        <f t="shared" ref="E88:H88" si="20">IF(D12=0,
IF(E12=0,0,IF(E12&gt;0,1,-1)),
(E12-D12)/ABS(D12)
)</f>
        <v>-8.6456580065659011E-2</v>
      </c>
      <c r="F88" s="182">
        <f t="shared" si="20"/>
        <v>0.79662550809111132</v>
      </c>
      <c r="G88" s="182">
        <f t="shared" si="20"/>
        <v>5.7209442642733235</v>
      </c>
      <c r="H88" s="182">
        <f t="shared" si="20"/>
        <v>1.1658279415288761</v>
      </c>
      <c r="J88" s="184"/>
      <c r="K88" s="182">
        <f t="shared" ref="K88:Q88" si="21">IF(J12=0,
IF(K12=0,0,IF(K12&gt;0,1,-1)),
(K12-J12)/ABS(J12)
)</f>
        <v>-0.27411764705882352</v>
      </c>
      <c r="L88" s="182">
        <f t="shared" si="21"/>
        <v>2.2690437601296597E-2</v>
      </c>
      <c r="M88" s="182">
        <f t="shared" si="21"/>
        <v>0.69961100705950152</v>
      </c>
      <c r="N88" s="182">
        <f t="shared" si="21"/>
        <v>0.41404594388403831</v>
      </c>
      <c r="O88" s="182">
        <f t="shared" si="21"/>
        <v>5.3832089440398044E-2</v>
      </c>
      <c r="P88" s="182">
        <f t="shared" si="21"/>
        <v>0.23592821183765181</v>
      </c>
      <c r="Q88" s="182">
        <f t="shared" si="21"/>
        <v>2.4692778570442307E-2</v>
      </c>
      <c r="S88" s="184"/>
    </row>
    <row r="89" spans="2:19" x14ac:dyDescent="0.2">
      <c r="B89" s="11" t="s">
        <v>13</v>
      </c>
      <c r="C89" s="184"/>
      <c r="D89" s="182">
        <f>IF(C16=0,
IF(D16=0,0,IF(D16&gt;0,1,-1)),
(D16-C16)/ABS(C16)
)</f>
        <v>-2.8170359052711995</v>
      </c>
      <c r="E89" s="182">
        <f t="shared" ref="E89:H89" si="22">IF(D16=0,
IF(E16=0,0,IF(E16&gt;0,1,-1)),
(E16-D16)/ABS(D16)
)</f>
        <v>1.9779512325294373</v>
      </c>
      <c r="F89" s="182">
        <f t="shared" si="22"/>
        <v>-0.69682447643086154</v>
      </c>
      <c r="G89" s="182">
        <f t="shared" si="22"/>
        <v>4.7549642796872362</v>
      </c>
      <c r="H89" s="182">
        <f t="shared" si="22"/>
        <v>0.78298438019275507</v>
      </c>
      <c r="J89" s="184"/>
      <c r="K89" s="182">
        <f t="shared" ref="K89:Q89" si="23">IF(J16=0,
IF(K16=0,0,IF(K16&gt;0,1,-1)),
(K16-J16)/ABS(J16)
)</f>
        <v>-0.11579717211116529</v>
      </c>
      <c r="L89" s="182">
        <f t="shared" si="23"/>
        <v>-0.11961873252195833</v>
      </c>
      <c r="M89" s="182">
        <f t="shared" si="23"/>
        <v>0.56630279169649245</v>
      </c>
      <c r="N89" s="182">
        <f t="shared" si="23"/>
        <v>0.32676378177663523</v>
      </c>
      <c r="O89" s="182">
        <f t="shared" si="23"/>
        <v>-2.1528525296017223E-5</v>
      </c>
      <c r="P89" s="182">
        <f t="shared" si="23"/>
        <v>0.17335141768391138</v>
      </c>
      <c r="Q89" s="182">
        <f t="shared" si="23"/>
        <v>1.9284049833948002E-2</v>
      </c>
      <c r="S89" s="184"/>
    </row>
    <row r="90" spans="2:19" x14ac:dyDescent="0.2">
      <c r="B90" s="11" t="s">
        <v>14</v>
      </c>
      <c r="C90" s="184"/>
      <c r="D90" s="182">
        <f>IF(C18=0,
IF(D18=0,0,IF(D18&gt;0,1,-1)),
(D18-C18)/ABS(C18)
)</f>
        <v>-2.8118027383367141</v>
      </c>
      <c r="E90" s="182">
        <f t="shared" ref="E90:H90" si="24">IF(D18=0,
IF(E18=0,0,IF(E18&gt;0,1,-1)),
(E18-D18)/ABS(D18)
)</f>
        <v>9.3290097281117489E-3</v>
      </c>
      <c r="F90" s="182">
        <f t="shared" si="24"/>
        <v>1.2696981904857825</v>
      </c>
      <c r="G90" s="182">
        <f t="shared" si="24"/>
        <v>4.512790191074874</v>
      </c>
      <c r="H90" s="182">
        <f t="shared" si="24"/>
        <v>0.88396143337774069</v>
      </c>
      <c r="J90" s="184"/>
      <c r="K90" s="182">
        <f t="shared" ref="K90:Q90" si="25">IF(J18=0,
IF(K18=0,0,IF(K18&gt;0,1,-1)),
(K18-J18)/ABS(J18)
)</f>
        <v>-4.0696480637345489E-2</v>
      </c>
      <c r="L90" s="182">
        <f t="shared" si="25"/>
        <v>-0.40466609589041097</v>
      </c>
      <c r="M90" s="182">
        <f t="shared" si="25"/>
        <v>1.526425541094413</v>
      </c>
      <c r="N90" s="182">
        <f t="shared" si="25"/>
        <v>0.27454105592713818</v>
      </c>
      <c r="O90" s="182">
        <f t="shared" si="25"/>
        <v>4.8904669391036373E-3</v>
      </c>
      <c r="P90" s="182">
        <f t="shared" si="25"/>
        <v>-6.7688888888888896E-2</v>
      </c>
      <c r="Q90" s="182">
        <f t="shared" si="25"/>
        <v>3.5896458025456456E-2</v>
      </c>
      <c r="S90" s="184"/>
    </row>
    <row r="91" spans="2:19" x14ac:dyDescent="0.2">
      <c r="B91" s="12" t="s">
        <v>16</v>
      </c>
      <c r="C91" s="184"/>
      <c r="D91" s="180">
        <f>(D11-C11)/C11</f>
        <v>0.83414060127543277</v>
      </c>
      <c r="E91" s="180">
        <f t="shared" ref="E91:H91" si="26">(E11-D11)/D11</f>
        <v>0.38770163042803391</v>
      </c>
      <c r="F91" s="180">
        <f t="shared" si="26"/>
        <v>0.19985742366349599</v>
      </c>
      <c r="G91" s="180">
        <f t="shared" si="26"/>
        <v>0.19768410219184962</v>
      </c>
      <c r="H91" s="180">
        <f t="shared" si="26"/>
        <v>0.27419549009514638</v>
      </c>
      <c r="J91" s="184"/>
      <c r="K91" s="180">
        <f t="shared" ref="K91:Q91" si="27">(K11-J11)/J11</f>
        <v>0.12969593330839524</v>
      </c>
      <c r="L91" s="180">
        <f t="shared" si="27"/>
        <v>7.807473982970671E-2</v>
      </c>
      <c r="M91" s="180">
        <f t="shared" si="27"/>
        <v>2.7489524143831861E-2</v>
      </c>
      <c r="N91" s="180">
        <f t="shared" si="27"/>
        <v>6.2034704132325522E-2</v>
      </c>
      <c r="O91" s="180">
        <f t="shared" si="27"/>
        <v>8.3997909099438411E-2</v>
      </c>
      <c r="P91" s="180">
        <f t="shared" si="27"/>
        <v>4.0988674019486618E-3</v>
      </c>
      <c r="Q91" s="180">
        <f t="shared" si="27"/>
        <v>3.7890588923436871E-2</v>
      </c>
      <c r="S91" s="184"/>
    </row>
    <row r="92" spans="2:19" x14ac:dyDescent="0.2">
      <c r="B92" s="12" t="s">
        <v>18</v>
      </c>
      <c r="C92" s="184"/>
      <c r="D92" s="180">
        <f>IF(C20=0,
IF(D20=0,0,IF(D20&gt;0,1,-1)),
(D20-C20)/ABS(C20)
)</f>
        <v>-1.0725806451612903</v>
      </c>
      <c r="E92" s="180">
        <f t="shared" ref="E92:H92" si="28">IF(D20=0,
IF(E20=0,0,IF(E20&gt;0,1,-1)),
(E20-D20)/ABS(D20)
)</f>
        <v>0.41245136186770426</v>
      </c>
      <c r="F92" s="180">
        <f t="shared" si="28"/>
        <v>1.2317880794701985</v>
      </c>
      <c r="G92" s="180">
        <f t="shared" si="28"/>
        <v>4.371428571428571</v>
      </c>
      <c r="H92" s="180">
        <f t="shared" si="28"/>
        <v>0.8370996587800611</v>
      </c>
      <c r="J92" s="184"/>
      <c r="K92" s="180">
        <f t="shared" ref="K92:Q92" si="29">IF(J20=0,
IF(K20=0,0,IF(K20&gt;0,1,-1)),
(K20-J20)/ABS(J20)
)</f>
        <v>-3.9215686274509838E-2</v>
      </c>
      <c r="L92" s="180">
        <f t="shared" si="29"/>
        <v>-0.39743035916304909</v>
      </c>
      <c r="M92" s="180">
        <f t="shared" si="29"/>
        <v>1.4385359890702523</v>
      </c>
      <c r="N92" s="180">
        <f t="shared" si="29"/>
        <v>0.26388888888888901</v>
      </c>
      <c r="O92" s="180">
        <f t="shared" si="29"/>
        <v>6.2377798011853088E-3</v>
      </c>
      <c r="P92" s="180">
        <f t="shared" si="29"/>
        <v>-5.1704559948585596E-2</v>
      </c>
      <c r="Q92" s="180">
        <f t="shared" si="29"/>
        <v>2.4953901558794477E-2</v>
      </c>
      <c r="S92" s="184"/>
    </row>
    <row r="94" spans="2:19" ht="17" thickBot="1" x14ac:dyDescent="0.25">
      <c r="B94" s="15" t="s">
        <v>99</v>
      </c>
      <c r="C94" s="14"/>
      <c r="D94" s="14"/>
      <c r="E94" s="14"/>
      <c r="F94" s="14"/>
      <c r="G94" s="14"/>
      <c r="H94" s="14"/>
      <c r="J94" s="14"/>
      <c r="K94" s="14"/>
      <c r="L94" s="14"/>
      <c r="M94" s="14"/>
      <c r="N94" s="14"/>
      <c r="O94" s="14"/>
      <c r="P94" s="14"/>
      <c r="Q94" s="14"/>
      <c r="S94" s="14"/>
    </row>
    <row r="95" spans="2:19" x14ac:dyDescent="0.2">
      <c r="B95" s="9" t="s">
        <v>100</v>
      </c>
      <c r="C95" s="75">
        <f>C7/C5</f>
        <v>0.71559593310904412</v>
      </c>
      <c r="D95" s="75">
        <f t="shared" ref="D95:H95" si="30">D7/D5</f>
        <v>0.72410795463608379</v>
      </c>
      <c r="E95" s="75">
        <f t="shared" si="30"/>
        <v>0.73090028281844144</v>
      </c>
      <c r="F95" s="75">
        <f t="shared" si="30"/>
        <v>0.7324372209847696</v>
      </c>
      <c r="G95" s="75">
        <f t="shared" si="30"/>
        <v>0.72775606130284587</v>
      </c>
      <c r="H95" s="75">
        <f t="shared" si="30"/>
        <v>0.7223062310799363</v>
      </c>
      <c r="J95" s="75">
        <f t="shared" ref="J95:Q95" si="31">J7/J5</f>
        <v>0.73448215917948489</v>
      </c>
      <c r="K95" s="75">
        <f t="shared" si="31"/>
        <v>0.72906736450772092</v>
      </c>
      <c r="L95" s="75">
        <f t="shared" si="31"/>
        <v>0.71880219518014798</v>
      </c>
      <c r="M95" s="75">
        <f t="shared" si="31"/>
        <v>0.71116350225142255</v>
      </c>
      <c r="N95" s="75">
        <f t="shared" si="31"/>
        <v>0.7237666739341565</v>
      </c>
      <c r="O95" s="75">
        <f t="shared" si="31"/>
        <v>0.72470216736041337</v>
      </c>
      <c r="P95" s="75">
        <f t="shared" si="31"/>
        <v>0.72779176152834535</v>
      </c>
      <c r="Q95" s="75">
        <f t="shared" si="31"/>
        <v>0.72986330646956676</v>
      </c>
      <c r="S95" s="75">
        <f t="shared" ref="S95" si="32">S7/S5</f>
        <v>0.72665412586127032</v>
      </c>
    </row>
    <row r="96" spans="2:19" x14ac:dyDescent="0.2">
      <c r="B96" s="9" t="s">
        <v>101</v>
      </c>
      <c r="C96" s="75">
        <f>C12/C5</f>
        <v>-9.9019147041361569E-2</v>
      </c>
      <c r="D96" s="75">
        <f t="shared" ref="D96:H96" si="33">D12/D5</f>
        <v>-0.23928907533536439</v>
      </c>
      <c r="E96" s="75">
        <f t="shared" si="33"/>
        <v>-0.17644352426961121</v>
      </c>
      <c r="F96" s="75">
        <f t="shared" si="33"/>
        <v>-2.4964743583708805E-2</v>
      </c>
      <c r="G96" s="75">
        <f t="shared" si="33"/>
        <v>8.3680470145342925E-2</v>
      </c>
      <c r="H96" s="75">
        <f t="shared" si="33"/>
        <v>0.13065867120796384</v>
      </c>
      <c r="J96" s="75">
        <f t="shared" ref="J96:Q96" si="34">J12/J5</f>
        <v>0.10486353720973268</v>
      </c>
      <c r="K96" s="75">
        <f t="shared" si="34"/>
        <v>7.0479869570183915E-2</v>
      </c>
      <c r="L96" s="75">
        <f t="shared" si="34"/>
        <v>6.624671916010498E-2</v>
      </c>
      <c r="M96" s="75">
        <f t="shared" si="34"/>
        <v>0.10225228934355539</v>
      </c>
      <c r="N96" s="75">
        <f t="shared" si="34"/>
        <v>0.13225378074643729</v>
      </c>
      <c r="O96" s="75">
        <f t="shared" si="34"/>
        <v>0.12939756286964554</v>
      </c>
      <c r="P96" s="75">
        <f t="shared" si="34"/>
        <v>0.15361935602471824</v>
      </c>
      <c r="Q96" s="75">
        <f t="shared" si="34"/>
        <v>0.15250696140317227</v>
      </c>
      <c r="S96" s="75">
        <f t="shared" ref="S96" si="35">S12/S5</f>
        <v>0.14242914854483885</v>
      </c>
    </row>
    <row r="97" spans="2:19" x14ac:dyDescent="0.2">
      <c r="B97" s="82" t="s">
        <v>102</v>
      </c>
      <c r="C97" s="189">
        <f>C18/C5</f>
        <v>-9.7565802493568179E-2</v>
      </c>
      <c r="D97" s="189">
        <f t="shared" ref="D97:H97" si="36">D18/D5</f>
        <v>-0.2397994991466352</v>
      </c>
      <c r="E97" s="189">
        <f t="shared" si="36"/>
        <v>-0.16123086915925791</v>
      </c>
      <c r="F97" s="189">
        <f t="shared" si="36"/>
        <v>3.0251793887883655E-2</v>
      </c>
      <c r="G97" s="189">
        <f t="shared" si="36"/>
        <v>0.11841063923082681</v>
      </c>
      <c r="H97" s="189">
        <f t="shared" si="36"/>
        <v>0.16082475816532366</v>
      </c>
      <c r="J97" s="189">
        <f t="shared" ref="J97:Q97" si="37">J18/J5</f>
        <v>0.13655251307990376</v>
      </c>
      <c r="K97" s="189">
        <f t="shared" si="37"/>
        <v>0.12129142133192104</v>
      </c>
      <c r="L97" s="189">
        <f t="shared" si="37"/>
        <v>6.6366022429014557E-2</v>
      </c>
      <c r="M97" s="189">
        <f t="shared" si="37"/>
        <v>0.15226897457344318</v>
      </c>
      <c r="N97" s="189">
        <f t="shared" si="37"/>
        <v>0.1775157076883436</v>
      </c>
      <c r="O97" s="189">
        <f t="shared" si="37"/>
        <v>0.16561592562740834</v>
      </c>
      <c r="P97" s="189">
        <f t="shared" si="37"/>
        <v>0.14831652926453329</v>
      </c>
      <c r="Q97" s="189">
        <f t="shared" si="37"/>
        <v>0.14885243880301541</v>
      </c>
      <c r="S97" s="189">
        <f t="shared" ref="S97" si="38">S18/S5</f>
        <v>0.15944023232342536</v>
      </c>
    </row>
  </sheetData>
  <pageMargins left="0.7" right="0.7" top="0.75" bottom="0.75" header="0.3" footer="0.3"/>
  <ignoredErrors>
    <ignoredError sqref="S19 C80:H80 S80 D91:H91 K91:Q91" formula="1"/>
    <ignoredError sqref="C64:H64 J64:Q64 S70"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D8" zoomScale="184" zoomScaleNormal="75" workbookViewId="0">
      <selection activeCell="L39" sqref="L39"/>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184</v>
      </c>
      <c r="O1" s="127"/>
    </row>
    <row r="2" spans="1:31" x14ac:dyDescent="0.2">
      <c r="A2" s="104"/>
      <c r="C2" s="224" t="s">
        <v>176</v>
      </c>
      <c r="D2" s="224"/>
      <c r="E2" s="224"/>
      <c r="F2" s="224"/>
      <c r="G2" s="225"/>
      <c r="H2" s="226" t="s">
        <v>177</v>
      </c>
      <c r="I2" s="224"/>
      <c r="J2" s="224"/>
      <c r="K2" s="224"/>
      <c r="L2" s="224"/>
      <c r="O2" s="92"/>
      <c r="S2" s="224" t="s">
        <v>176</v>
      </c>
      <c r="T2" s="224"/>
      <c r="U2" s="224"/>
      <c r="V2" s="224"/>
      <c r="W2" s="224"/>
      <c r="X2" s="224"/>
      <c r="Y2" s="224"/>
      <c r="Z2" s="224"/>
      <c r="AA2" s="224" t="s">
        <v>177</v>
      </c>
      <c r="AB2" s="224"/>
      <c r="AC2" s="224"/>
      <c r="AE2" s="128" t="s">
        <v>85</v>
      </c>
    </row>
    <row r="3" spans="1:31" ht="10" customHeight="1" x14ac:dyDescent="0.2">
      <c r="O3" s="92"/>
    </row>
    <row r="4" spans="1:31" ht="16" customHeight="1" x14ac:dyDescent="0.2">
      <c r="A4" s="109"/>
      <c r="B4" s="94"/>
      <c r="C4" s="223" t="s">
        <v>185</v>
      </c>
      <c r="D4" s="223"/>
      <c r="E4" s="223"/>
      <c r="F4" s="223"/>
      <c r="G4" s="223"/>
      <c r="H4" s="223"/>
      <c r="I4" s="223"/>
      <c r="J4" s="223"/>
      <c r="K4" s="223"/>
      <c r="L4" s="223"/>
      <c r="O4" s="92"/>
      <c r="S4" s="231" t="s">
        <v>185</v>
      </c>
      <c r="T4" s="232"/>
      <c r="U4" s="232"/>
      <c r="V4" s="232"/>
      <c r="W4" s="232"/>
      <c r="X4" s="232"/>
      <c r="Y4" s="232"/>
      <c r="Z4" s="232"/>
      <c r="AA4" s="232"/>
      <c r="AB4" s="232"/>
      <c r="AC4" s="232"/>
      <c r="AE4" s="140" t="s">
        <v>210</v>
      </c>
    </row>
    <row r="5" spans="1:31"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186</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207</v>
      </c>
      <c r="AB5" s="62" t="s">
        <v>208</v>
      </c>
      <c r="AC5" s="62" t="s">
        <v>209</v>
      </c>
      <c r="AE5" s="61" t="s">
        <v>207</v>
      </c>
    </row>
    <row r="6" spans="1:31" x14ac:dyDescent="0.2">
      <c r="B6" s="1" t="str">
        <f>'Statement Y'!B151</f>
        <v>Subscription</v>
      </c>
      <c r="C6" s="107">
        <f>'Statement Y'!D151</f>
        <v>180698</v>
      </c>
      <c r="D6" s="107">
        <f>'Statement Y'!E151</f>
        <v>273507</v>
      </c>
      <c r="E6" s="107">
        <f>'Statement Y'!F151</f>
        <v>404684</v>
      </c>
      <c r="F6" s="107">
        <f>'Statement Y'!G151</f>
        <v>607531</v>
      </c>
      <c r="G6" s="110">
        <f>'Statement Y'!H151</f>
        <v>873442</v>
      </c>
      <c r="H6" s="108">
        <f>H39*H36</f>
        <v>1003048.6199999999</v>
      </c>
      <c r="I6" s="108">
        <f t="shared" ref="I6:L6" si="1">I39*I36</f>
        <v>1140867.5003879999</v>
      </c>
      <c r="J6" s="108">
        <f t="shared" si="1"/>
        <v>1457458.2317456701</v>
      </c>
      <c r="K6" s="108">
        <f t="shared" si="1"/>
        <v>1989131.0086139876</v>
      </c>
      <c r="L6" s="108">
        <f t="shared" si="1"/>
        <v>2715760.5660606776</v>
      </c>
      <c r="N6" s="126" t="s">
        <v>190</v>
      </c>
      <c r="O6" s="92"/>
      <c r="Q6" s="126" t="s">
        <v>190</v>
      </c>
      <c r="R6" s="1" t="str">
        <f>'Statement Q'!B141</f>
        <v>Subscription</v>
      </c>
      <c r="S6" s="107">
        <f>'Statement Q'!C141</f>
        <v>143909</v>
      </c>
      <c r="T6" s="107">
        <f>'Statement Q'!D141</f>
        <v>157617</v>
      </c>
      <c r="U6" s="107">
        <f>'Statement Q'!E141</f>
        <v>174317</v>
      </c>
      <c r="V6" s="107">
        <f>'Statement Q'!F141</f>
        <v>190987</v>
      </c>
      <c r="W6" s="107">
        <f>'Statement Q'!G141</f>
        <v>210678</v>
      </c>
      <c r="X6" s="107">
        <f>'Statement Q'!H141</f>
        <v>229491</v>
      </c>
      <c r="Y6" s="107">
        <f>'Statement Q'!I141</f>
        <v>242286</v>
      </c>
      <c r="Z6" s="110">
        <f>'Statement Q'!J141</f>
        <v>250908</v>
      </c>
      <c r="AA6" s="108">
        <f>AA39*AA36</f>
        <v>252199.99999999997</v>
      </c>
      <c r="AB6" s="108"/>
      <c r="AC6" s="108"/>
      <c r="AE6" s="108">
        <f>SUM(X6:AA6)</f>
        <v>974885</v>
      </c>
    </row>
    <row r="7" spans="1:31" x14ac:dyDescent="0.2">
      <c r="B7" s="1" t="str">
        <f>'Statement Y'!B152</f>
        <v>Advertising</v>
      </c>
      <c r="C7" s="107">
        <f>'Statement Y'!D152</f>
        <v>38501</v>
      </c>
      <c r="D7" s="107">
        <f>'Statement Y'!E152</f>
        <v>44731</v>
      </c>
      <c r="E7" s="107">
        <f>'Statement Y'!F152</f>
        <v>49858</v>
      </c>
      <c r="F7" s="107">
        <f>'Statement Y'!G152</f>
        <v>54907</v>
      </c>
      <c r="G7" s="110">
        <f>'Statement Y'!H152</f>
        <v>79725</v>
      </c>
      <c r="H7" s="108">
        <f>H37*H33</f>
        <v>101319.45600000001</v>
      </c>
      <c r="I7" s="108">
        <f t="shared" ref="I7:L7" si="2">I37*I33</f>
        <v>125051.36506632</v>
      </c>
      <c r="J7" s="108">
        <f t="shared" si="2"/>
        <v>150364.83979524698</v>
      </c>
      <c r="K7" s="108">
        <f t="shared" si="2"/>
        <v>188818.50987070572</v>
      </c>
      <c r="L7" s="108">
        <f t="shared" si="2"/>
        <v>232852.89027672861</v>
      </c>
      <c r="N7" s="126" t="s">
        <v>197</v>
      </c>
      <c r="O7" s="92"/>
      <c r="Q7" s="126" t="s">
        <v>197</v>
      </c>
      <c r="R7" s="1" t="str">
        <f>'Statement Q'!B142</f>
        <v>Advertising</v>
      </c>
      <c r="S7" s="107">
        <f>'Statement Q'!C142</f>
        <v>13258</v>
      </c>
      <c r="T7" s="107">
        <f>'Statement Q'!D142</f>
        <v>14405</v>
      </c>
      <c r="U7" s="107">
        <f>'Statement Q'!E142</f>
        <v>14292</v>
      </c>
      <c r="V7" s="107">
        <f>'Statement Q'!F142</f>
        <v>17882</v>
      </c>
      <c r="W7" s="107">
        <f>'Statement Q'!G142</f>
        <v>20603</v>
      </c>
      <c r="X7" s="107">
        <f>'Statement Q'!H142</f>
        <v>21019</v>
      </c>
      <c r="Y7" s="107">
        <f>'Statement Q'!I142</f>
        <v>20221</v>
      </c>
      <c r="Z7" s="110">
        <f>'Statement Q'!J142</f>
        <v>20614</v>
      </c>
      <c r="AA7" s="108">
        <f>AA37*AA33</f>
        <v>19605.3</v>
      </c>
      <c r="AB7" s="108"/>
      <c r="AC7" s="108"/>
      <c r="AE7" s="108">
        <f t="shared" ref="AE7:AE10" si="3">SUM(X7:AA7)</f>
        <v>81459.3</v>
      </c>
    </row>
    <row r="8" spans="1:31" x14ac:dyDescent="0.2">
      <c r="B8" s="1" t="str">
        <f>'Statement Y'!B153</f>
        <v>English test</v>
      </c>
      <c r="C8" s="107">
        <f>'Statement Y'!D153</f>
        <v>24658</v>
      </c>
      <c r="D8" s="107">
        <f>'Statement Y'!E153</f>
        <v>32718</v>
      </c>
      <c r="E8" s="107">
        <f>'Statement Y'!F153</f>
        <v>41212</v>
      </c>
      <c r="F8" s="107">
        <f>'Statement Y'!G153</f>
        <v>45640</v>
      </c>
      <c r="G8" s="110">
        <f>'Statement Y'!H153</f>
        <v>42006</v>
      </c>
      <c r="H8" s="108">
        <f>G8*(1+H27)</f>
        <v>39905.699999999997</v>
      </c>
      <c r="I8" s="108">
        <f t="shared" ref="I8:L8" si="4">H8*(1+I27)</f>
        <v>39107.585999999996</v>
      </c>
      <c r="J8" s="108">
        <f t="shared" si="4"/>
        <v>40280.813579999995</v>
      </c>
      <c r="K8" s="108">
        <f t="shared" si="4"/>
        <v>42697.662394799998</v>
      </c>
      <c r="L8" s="108">
        <f t="shared" si="4"/>
        <v>46113.475386384001</v>
      </c>
      <c r="N8" s="126" t="s">
        <v>187</v>
      </c>
      <c r="O8" s="92"/>
      <c r="Q8" s="126" t="s">
        <v>187</v>
      </c>
      <c r="R8" s="1" t="str">
        <f>'Statement Q'!B143</f>
        <v>English test</v>
      </c>
      <c r="S8" s="107">
        <f>'Statement Q'!C143</f>
        <v>10698</v>
      </c>
      <c r="T8" s="107">
        <f>'Statement Q'!D143</f>
        <v>10772</v>
      </c>
      <c r="U8" s="107">
        <f>'Statement Q'!E143</f>
        <v>11415</v>
      </c>
      <c r="V8" s="107">
        <f>'Statement Q'!F143</f>
        <v>11986</v>
      </c>
      <c r="W8" s="107">
        <f>'Statement Q'!G143</f>
        <v>10088</v>
      </c>
      <c r="X8" s="107">
        <f>'Statement Q'!H143</f>
        <v>9649</v>
      </c>
      <c r="Y8" s="107">
        <f>'Statement Q'!I143</f>
        <v>10283</v>
      </c>
      <c r="Z8" s="110">
        <f>'Statement Q'!J143</f>
        <v>11317</v>
      </c>
      <c r="AA8" s="108">
        <f>Z8*(1+AA27)</f>
        <v>11882.85</v>
      </c>
      <c r="AB8" s="108"/>
      <c r="AC8" s="108"/>
      <c r="AE8" s="108">
        <f t="shared" si="3"/>
        <v>43131.85</v>
      </c>
    </row>
    <row r="9" spans="1:31" x14ac:dyDescent="0.2">
      <c r="B9" s="1" t="str">
        <f>'Statement Y'!B154</f>
        <v>In-App purchases</v>
      </c>
      <c r="C9" s="107">
        <f>'Statement Y'!D154</f>
        <v>6915</v>
      </c>
      <c r="D9" s="107">
        <f>'Statement Y'!E154</f>
        <v>18539</v>
      </c>
      <c r="E9" s="107">
        <f>'Statement Y'!F154</f>
        <v>34673</v>
      </c>
      <c r="F9" s="107">
        <f>'Statement Y'!G154</f>
        <v>38653</v>
      </c>
      <c r="G9" s="110">
        <f>'Statement Y'!H154</f>
        <v>40479</v>
      </c>
      <c r="H9" s="108">
        <f>H29*H38</f>
        <v>44268</v>
      </c>
      <c r="I9" s="108">
        <f t="shared" ref="I9:L9" si="5">I29*I38</f>
        <v>51382.5</v>
      </c>
      <c r="J9" s="108">
        <f t="shared" si="5"/>
        <v>60236.1</v>
      </c>
      <c r="K9" s="108">
        <f t="shared" si="5"/>
        <v>82874.83425</v>
      </c>
      <c r="L9" s="108">
        <f t="shared" si="5"/>
        <v>106079.78784</v>
      </c>
      <c r="N9" s="126" t="s">
        <v>188</v>
      </c>
      <c r="O9" s="92"/>
      <c r="Q9" s="126" t="s">
        <v>188</v>
      </c>
      <c r="R9" s="1" t="str">
        <f>'Statement Q'!B144</f>
        <v>In-App purchases</v>
      </c>
      <c r="S9" s="107">
        <f>'Statement Q'!C144</f>
        <v>10176</v>
      </c>
      <c r="T9" s="107">
        <f>'Statement Q'!D144</f>
        <v>9411</v>
      </c>
      <c r="U9" s="107">
        <f>'Statement Q'!E144</f>
        <v>9142</v>
      </c>
      <c r="V9" s="107">
        <f>'Statement Q'!F144</f>
        <v>9442</v>
      </c>
      <c r="W9" s="107">
        <f>'Statement Q'!G144</f>
        <v>10390</v>
      </c>
      <c r="X9" s="107">
        <f>'Statement Q'!H144</f>
        <v>11096</v>
      </c>
      <c r="Y9" s="107">
        <f>'Statement Q'!I144</f>
        <v>9551</v>
      </c>
      <c r="Z9" s="110">
        <f>'Statement Q'!J144</f>
        <v>8446</v>
      </c>
      <c r="AA9" s="108">
        <f>AA29*AA38</f>
        <v>7322.4000000000005</v>
      </c>
      <c r="AB9" s="108"/>
      <c r="AC9" s="108"/>
      <c r="AE9" s="108">
        <f t="shared" si="3"/>
        <v>36415.4</v>
      </c>
    </row>
    <row r="10" spans="1:31" x14ac:dyDescent="0.2">
      <c r="B10" s="1" t="str">
        <f>'Statement Y'!B155</f>
        <v>Other</v>
      </c>
      <c r="C10" s="107">
        <f>'Statement Y'!D155</f>
        <v>79</v>
      </c>
      <c r="D10" s="107">
        <f>'Statement Y'!E155</f>
        <v>625</v>
      </c>
      <c r="E10" s="107">
        <f>'Statement Y'!F155</f>
        <v>682</v>
      </c>
      <c r="F10" s="107">
        <f>'Statement Y'!G155</f>
        <v>1293</v>
      </c>
      <c r="G10" s="110">
        <f>'Statement Y'!H155</f>
        <v>1937</v>
      </c>
      <c r="H10" s="108">
        <f>G10*(1+H28)</f>
        <v>2808.65</v>
      </c>
      <c r="I10" s="108">
        <f t="shared" ref="I10:L10" si="6">H10*(1+I28)</f>
        <v>3791.6775000000002</v>
      </c>
      <c r="J10" s="108">
        <f t="shared" si="6"/>
        <v>4929.1807500000004</v>
      </c>
      <c r="K10" s="108">
        <f t="shared" si="6"/>
        <v>6161.4759375000003</v>
      </c>
      <c r="L10" s="108">
        <f t="shared" si="6"/>
        <v>7393.7711250000002</v>
      </c>
      <c r="N10" s="126" t="s">
        <v>175</v>
      </c>
      <c r="O10" s="92"/>
      <c r="Q10" s="126" t="s">
        <v>175</v>
      </c>
      <c r="R10" s="1" t="str">
        <f>'Statement Q'!B145</f>
        <v>Other</v>
      </c>
      <c r="S10" s="107">
        <f>'Statement Q'!C145</f>
        <v>286</v>
      </c>
      <c r="T10" s="107">
        <f>'Statement Q'!D145</f>
        <v>389</v>
      </c>
      <c r="U10" s="107">
        <f>'Statement Q'!E145</f>
        <v>384</v>
      </c>
      <c r="V10" s="107">
        <f>'Statement Q'!F145</f>
        <v>446</v>
      </c>
      <c r="W10" s="107">
        <f>'Statement Q'!G145</f>
        <v>506</v>
      </c>
      <c r="X10" s="107">
        <f>'Statement Q'!H145</f>
        <v>458</v>
      </c>
      <c r="Y10" s="107">
        <f>'Statement Q'!I145</f>
        <v>527</v>
      </c>
      <c r="Z10" s="110">
        <f>'Statement Q'!J145</f>
        <v>682</v>
      </c>
      <c r="AA10" s="108">
        <f>Z10*(1+AA28)</f>
        <v>620.62</v>
      </c>
      <c r="AB10" s="108"/>
      <c r="AC10" s="108"/>
      <c r="AE10" s="108">
        <f t="shared" si="3"/>
        <v>2287.62</v>
      </c>
    </row>
    <row r="11" spans="1:31" x14ac:dyDescent="0.2">
      <c r="B11" s="1" t="str">
        <f>'Statement Y'!B156</f>
        <v>Total Non-Subscription</v>
      </c>
      <c r="C11" s="107">
        <f>'Statement Y'!D156</f>
        <v>70153</v>
      </c>
      <c r="D11" s="107">
        <f>'Statement Y'!E156</f>
        <v>96613</v>
      </c>
      <c r="E11" s="107">
        <f>'Statement Y'!F156</f>
        <v>126425</v>
      </c>
      <c r="F11" s="107">
        <f>'Statement Y'!G156</f>
        <v>140493</v>
      </c>
      <c r="G11" s="110">
        <f>'Statement Y'!H156</f>
        <v>164147</v>
      </c>
      <c r="H11" s="108">
        <f>SUM(H7:H10)</f>
        <v>188301.80600000001</v>
      </c>
      <c r="I11" s="108">
        <f t="shared" ref="I11:L11" si="7">SUM(I7:I10)</f>
        <v>219333.12856632</v>
      </c>
      <c r="J11" s="108">
        <f t="shared" si="7"/>
        <v>255810.93412524697</v>
      </c>
      <c r="K11" s="108">
        <f t="shared" si="7"/>
        <v>320552.48245300574</v>
      </c>
      <c r="L11" s="108">
        <f t="shared" si="7"/>
        <v>392439.92462811264</v>
      </c>
      <c r="O11" s="92"/>
      <c r="Q11" s="93"/>
      <c r="R11" s="1" t="str">
        <f>'Statement Q'!B146</f>
        <v>Total Non-Subscription</v>
      </c>
      <c r="S11" s="107">
        <f>'Statement Q'!C146</f>
        <v>34418</v>
      </c>
      <c r="T11" s="107">
        <f>'Statement Q'!D146</f>
        <v>34977</v>
      </c>
      <c r="U11" s="107">
        <f>'Statement Q'!E146</f>
        <v>35233</v>
      </c>
      <c r="V11" s="107">
        <f>'Statement Q'!F146</f>
        <v>39756</v>
      </c>
      <c r="W11" s="107">
        <f>'Statement Q'!G146</f>
        <v>41587</v>
      </c>
      <c r="X11" s="107">
        <f>'Statement Q'!H146</f>
        <v>42222</v>
      </c>
      <c r="Y11" s="107">
        <f>'Statement Q'!I146</f>
        <v>40582</v>
      </c>
      <c r="Z11" s="110">
        <f>'Statement Q'!J146</f>
        <v>41059</v>
      </c>
      <c r="AA11" s="108">
        <f>SUM(AA7:AA10)</f>
        <v>39431.170000000006</v>
      </c>
      <c r="AB11" s="108">
        <f t="shared" ref="AB11:AE11" si="8">SUM(AB7:AB10)</f>
        <v>0</v>
      </c>
      <c r="AC11" s="108">
        <f t="shared" si="8"/>
        <v>0</v>
      </c>
      <c r="AE11" s="108">
        <f t="shared" si="8"/>
        <v>163294.16999999998</v>
      </c>
    </row>
    <row r="12" spans="1:31" x14ac:dyDescent="0.2">
      <c r="B12" s="7" t="s">
        <v>172</v>
      </c>
      <c r="C12" s="111">
        <f>'Statement Y'!D5</f>
        <v>250772</v>
      </c>
      <c r="D12" s="111">
        <f>'Statement Y'!E5</f>
        <v>369495</v>
      </c>
      <c r="E12" s="111">
        <f>'Statement Y'!F5</f>
        <v>531109</v>
      </c>
      <c r="F12" s="111">
        <f>'Statement Y'!G5</f>
        <v>748024</v>
      </c>
      <c r="G12" s="112">
        <f>'Statement Y'!H5</f>
        <v>1037589</v>
      </c>
      <c r="H12" s="113">
        <f>H6+H11</f>
        <v>1191350.426</v>
      </c>
      <c r="I12" s="113">
        <f t="shared" ref="I12:L12" si="9">I6+I11</f>
        <v>1360200.62895432</v>
      </c>
      <c r="J12" s="113">
        <f t="shared" si="9"/>
        <v>1713269.165870917</v>
      </c>
      <c r="K12" s="113">
        <f t="shared" si="9"/>
        <v>2309683.4910669932</v>
      </c>
      <c r="L12" s="113">
        <f t="shared" si="9"/>
        <v>3108200.4906887901</v>
      </c>
      <c r="O12" s="92"/>
      <c r="Q12" s="93"/>
      <c r="R12" s="7" t="s">
        <v>172</v>
      </c>
      <c r="S12" s="111">
        <f>'Statement Q'!C5</f>
        <v>178327</v>
      </c>
      <c r="T12" s="111">
        <f>'Statement Q'!D5</f>
        <v>192594</v>
      </c>
      <c r="U12" s="111">
        <f>'Statement Q'!E5</f>
        <v>209550</v>
      </c>
      <c r="V12" s="111">
        <f>'Statement Q'!F5</f>
        <v>230743</v>
      </c>
      <c r="W12" s="111">
        <f>'Statement Q'!G5</f>
        <v>252265</v>
      </c>
      <c r="X12" s="111">
        <f>'Statement Q'!H5</f>
        <v>271713</v>
      </c>
      <c r="Y12" s="111">
        <f>'Statement Q'!I5</f>
        <v>282868</v>
      </c>
      <c r="Z12" s="112">
        <f>'Statement Q'!J5</f>
        <v>291967</v>
      </c>
      <c r="AA12" s="113">
        <f>AA6+AA11</f>
        <v>291631.17</v>
      </c>
      <c r="AB12" s="113">
        <f t="shared" ref="AB12:AE12" si="10">AB6+AB11</f>
        <v>0</v>
      </c>
      <c r="AC12" s="113">
        <f t="shared" si="10"/>
        <v>0</v>
      </c>
      <c r="AE12" s="113">
        <f t="shared" si="10"/>
        <v>1138179.17</v>
      </c>
    </row>
    <row r="13" spans="1:31" x14ac:dyDescent="0.2">
      <c r="O13" s="92"/>
      <c r="Q13" s="93"/>
    </row>
    <row r="14" spans="1:31" x14ac:dyDescent="0.2">
      <c r="C14" s="223" t="s">
        <v>191</v>
      </c>
      <c r="D14" s="223"/>
      <c r="E14" s="223"/>
      <c r="F14" s="223"/>
      <c r="G14" s="223"/>
      <c r="H14" s="223"/>
      <c r="I14" s="223"/>
      <c r="J14" s="223"/>
      <c r="K14" s="223"/>
      <c r="L14" s="223"/>
      <c r="O14" s="92"/>
      <c r="Q14" s="93"/>
      <c r="S14" s="231" t="s">
        <v>191</v>
      </c>
      <c r="T14" s="232"/>
      <c r="U14" s="232"/>
      <c r="V14" s="232"/>
      <c r="W14" s="232"/>
      <c r="X14" s="232"/>
      <c r="Y14" s="232"/>
      <c r="Z14" s="232"/>
      <c r="AA14" s="232"/>
      <c r="AB14" s="232"/>
      <c r="AC14" s="232"/>
    </row>
    <row r="15" spans="1:31" x14ac:dyDescent="0.2">
      <c r="B15" s="7" t="s">
        <v>192</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192</v>
      </c>
      <c r="S15" s="62" t="str">
        <f>S5</f>
        <v>Q2 2024</v>
      </c>
      <c r="T15" s="62" t="str">
        <f t="shared" ref="T15:AC15" si="12">T5</f>
        <v>Q3 2024</v>
      </c>
      <c r="U15" s="62" t="str">
        <f t="shared" si="12"/>
        <v>Q4 2024</v>
      </c>
      <c r="V15" s="62" t="str">
        <f t="shared" si="12"/>
        <v>Q1 2025</v>
      </c>
      <c r="W15" s="62" t="str">
        <f t="shared" si="12"/>
        <v>Q2 2025</v>
      </c>
      <c r="X15" s="62" t="str">
        <f t="shared" si="12"/>
        <v>Q3 2025</v>
      </c>
      <c r="Y15" s="62" t="str">
        <f t="shared" si="12"/>
        <v>Q4 2025</v>
      </c>
      <c r="Z15" s="62" t="str">
        <f t="shared" si="12"/>
        <v>Q1 2026</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0.13739999999999997</v>
      </c>
      <c r="J16" s="116">
        <f t="shared" si="13"/>
        <v>0.27750000000000008</v>
      </c>
      <c r="K16" s="116">
        <f t="shared" si="13"/>
        <v>0.36479452054794503</v>
      </c>
      <c r="L16" s="116">
        <f t="shared" si="13"/>
        <v>0.36530000000000018</v>
      </c>
      <c r="O16" s="92"/>
      <c r="Q16" s="93"/>
      <c r="R16" s="1" t="str">
        <f>R6</f>
        <v>Subscription</v>
      </c>
      <c r="S16" s="81"/>
      <c r="T16" s="116">
        <f>T6/S6-1</f>
        <v>9.5254640085053799E-2</v>
      </c>
      <c r="U16" s="116">
        <f t="shared" ref="U16:Z16" si="14">U6/T6-1</f>
        <v>0.10595303806061529</v>
      </c>
      <c r="V16" s="116">
        <f t="shared" si="14"/>
        <v>9.563037454751977E-2</v>
      </c>
      <c r="W16" s="116">
        <f t="shared" si="14"/>
        <v>0.10310125820081995</v>
      </c>
      <c r="X16" s="116">
        <f t="shared" si="14"/>
        <v>8.9297411215219391E-2</v>
      </c>
      <c r="Y16" s="116">
        <f t="shared" si="14"/>
        <v>5.5753820411257982E-2</v>
      </c>
      <c r="Z16" s="117">
        <f t="shared" si="14"/>
        <v>3.5586042940987106E-2</v>
      </c>
      <c r="AA16" s="116">
        <f>AA6/Z6-1</f>
        <v>5.1492977505698256E-3</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0.27086178739416744</v>
      </c>
      <c r="I17" s="116">
        <f t="shared" si="16"/>
        <v>0.23422854803247262</v>
      </c>
      <c r="J17" s="116">
        <f t="shared" si="16"/>
        <v>0.20242461740023532</v>
      </c>
      <c r="K17" s="116">
        <f t="shared" si="16"/>
        <v>0.25573578323111579</v>
      </c>
      <c r="L17" s="116">
        <f t="shared" si="16"/>
        <v>0.23321008324965398</v>
      </c>
      <c r="O17" s="92"/>
      <c r="Q17" s="93"/>
      <c r="R17" s="1" t="str">
        <f t="shared" ref="R17:R22" si="17">R7</f>
        <v>Advertising</v>
      </c>
      <c r="S17" s="81"/>
      <c r="T17" s="116">
        <f t="shared" ref="T17:Z22" si="18">T7/S7-1</f>
        <v>8.6513802986875943E-2</v>
      </c>
      <c r="U17" s="116">
        <f t="shared" si="18"/>
        <v>-7.8444984380423577E-3</v>
      </c>
      <c r="V17" s="116">
        <f t="shared" si="18"/>
        <v>0.25118947663028268</v>
      </c>
      <c r="W17" s="116">
        <f t="shared" si="18"/>
        <v>0.15216418745106819</v>
      </c>
      <c r="X17" s="116">
        <f t="shared" si="18"/>
        <v>2.01912342862689E-2</v>
      </c>
      <c r="Y17" s="116">
        <f t="shared" si="18"/>
        <v>-3.7965650126076445E-2</v>
      </c>
      <c r="Z17" s="117">
        <f t="shared" si="18"/>
        <v>1.9435240591464398E-2</v>
      </c>
      <c r="AA17" s="116">
        <f t="shared" ref="AA17:AA22" si="19">AA7/Z7-1</f>
        <v>-4.8932764140875218E-2</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6.917180781454535E-3</v>
      </c>
      <c r="U18" s="116">
        <f t="shared" si="18"/>
        <v>5.9691793538804383E-2</v>
      </c>
      <c r="V18" s="116">
        <f t="shared" si="18"/>
        <v>5.0021901007446301E-2</v>
      </c>
      <c r="W18" s="116">
        <f t="shared" si="18"/>
        <v>-0.15835140997830799</v>
      </c>
      <c r="X18" s="116">
        <f t="shared" si="18"/>
        <v>-4.3517049960348886E-2</v>
      </c>
      <c r="Y18" s="116">
        <f t="shared" si="18"/>
        <v>6.5706290807337586E-2</v>
      </c>
      <c r="Z18" s="117">
        <f t="shared" si="18"/>
        <v>0.10055431294369344</v>
      </c>
      <c r="AA18" s="116">
        <f t="shared" si="19"/>
        <v>5.0000000000000044E-2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9.3604091010153434E-2</v>
      </c>
      <c r="I19" s="116">
        <f t="shared" si="16"/>
        <v>0.16071428571428581</v>
      </c>
      <c r="J19" s="116">
        <f t="shared" si="16"/>
        <v>0.17230769230769227</v>
      </c>
      <c r="K19" s="116">
        <f t="shared" si="16"/>
        <v>0.37583333333333346</v>
      </c>
      <c r="L19" s="116">
        <f t="shared" si="16"/>
        <v>0.28000000000000003</v>
      </c>
      <c r="O19" s="92"/>
      <c r="Q19" s="93"/>
      <c r="R19" s="1" t="str">
        <f t="shared" si="17"/>
        <v>In-App purchases</v>
      </c>
      <c r="S19" s="81"/>
      <c r="T19" s="116">
        <f t="shared" si="18"/>
        <v>-7.5176886792452824E-2</v>
      </c>
      <c r="U19" s="116">
        <f t="shared" si="18"/>
        <v>-2.8583572415258773E-2</v>
      </c>
      <c r="V19" s="116">
        <f t="shared" si="18"/>
        <v>3.2815576460293094E-2</v>
      </c>
      <c r="W19" s="116">
        <f t="shared" si="18"/>
        <v>0.10040245710654516</v>
      </c>
      <c r="X19" s="116">
        <f t="shared" si="18"/>
        <v>6.7949951876804526E-2</v>
      </c>
      <c r="Y19" s="116">
        <f t="shared" si="18"/>
        <v>-0.13923936553713046</v>
      </c>
      <c r="Z19" s="117">
        <f t="shared" si="18"/>
        <v>-0.11569469165532409</v>
      </c>
      <c r="AA19" s="116">
        <f t="shared" si="19"/>
        <v>-0.13303338858631297</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0.36013986013986021</v>
      </c>
      <c r="U20" s="116">
        <f t="shared" si="18"/>
        <v>-1.2853470437018011E-2</v>
      </c>
      <c r="V20" s="116">
        <f t="shared" si="18"/>
        <v>0.16145833333333326</v>
      </c>
      <c r="W20" s="116">
        <f t="shared" si="18"/>
        <v>0.13452914798206272</v>
      </c>
      <c r="X20" s="116">
        <f t="shared" si="18"/>
        <v>-9.4861660079051391E-2</v>
      </c>
      <c r="Y20" s="116">
        <f t="shared" si="18"/>
        <v>0.15065502183406121</v>
      </c>
      <c r="Z20" s="117">
        <f t="shared" si="18"/>
        <v>0.29411764705882359</v>
      </c>
      <c r="AA20" s="116">
        <f t="shared" si="19"/>
        <v>-8.9999999999999969E-2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0.14715350265310989</v>
      </c>
      <c r="I21" s="116">
        <f t="shared" si="16"/>
        <v>0.1647956715100225</v>
      </c>
      <c r="J21" s="116">
        <f t="shared" si="16"/>
        <v>0.16631233866660122</v>
      </c>
      <c r="K21" s="116">
        <f t="shared" si="16"/>
        <v>0.25308358514519491</v>
      </c>
      <c r="L21" s="116">
        <f t="shared" si="16"/>
        <v>0.22426106834360859</v>
      </c>
      <c r="O21" s="92"/>
      <c r="Q21" s="93"/>
      <c r="R21" s="1" t="str">
        <f t="shared" si="17"/>
        <v>Total Non-Subscription</v>
      </c>
      <c r="S21" s="81"/>
      <c r="T21" s="116">
        <f t="shared" si="18"/>
        <v>1.6241501539892012E-2</v>
      </c>
      <c r="U21" s="116">
        <f t="shared" si="18"/>
        <v>7.3190954055522006E-3</v>
      </c>
      <c r="V21" s="116">
        <f t="shared" si="18"/>
        <v>0.1283739675872051</v>
      </c>
      <c r="W21" s="116">
        <f t="shared" si="18"/>
        <v>4.6055941241573528E-2</v>
      </c>
      <c r="X21" s="116">
        <f t="shared" si="18"/>
        <v>1.5269194700266997E-2</v>
      </c>
      <c r="Y21" s="116">
        <f t="shared" si="18"/>
        <v>-3.8842309696366817E-2</v>
      </c>
      <c r="Z21" s="117">
        <f t="shared" si="18"/>
        <v>1.1753979596865527E-2</v>
      </c>
      <c r="AA21" s="116">
        <f t="shared" si="19"/>
        <v>-3.9646118999488444E-2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0.14819107180203339</v>
      </c>
      <c r="I22" s="116">
        <f t="shared" si="16"/>
        <v>0.14173008987896218</v>
      </c>
      <c r="J22" s="116">
        <f t="shared" si="16"/>
        <v>0.25957092608318022</v>
      </c>
      <c r="K22" s="116">
        <f t="shared" si="16"/>
        <v>0.34811478375780913</v>
      </c>
      <c r="L22" s="116">
        <f t="shared" si="16"/>
        <v>0.34572572506586607</v>
      </c>
      <c r="O22" s="92"/>
      <c r="Q22" s="93"/>
      <c r="R22" s="1" t="str">
        <f t="shared" si="17"/>
        <v>Total</v>
      </c>
      <c r="S22" s="81"/>
      <c r="T22" s="116">
        <f t="shared" si="18"/>
        <v>8.0004710447660665E-2</v>
      </c>
      <c r="U22" s="116">
        <f t="shared" si="18"/>
        <v>8.8040125860618712E-2</v>
      </c>
      <c r="V22" s="116">
        <f t="shared" si="18"/>
        <v>0.10113576712001904</v>
      </c>
      <c r="W22" s="116">
        <f t="shared" si="18"/>
        <v>9.327260198575904E-2</v>
      </c>
      <c r="X22" s="116">
        <f t="shared" si="18"/>
        <v>7.7093532594691982E-2</v>
      </c>
      <c r="Y22" s="116">
        <f t="shared" si="18"/>
        <v>4.105434778608319E-2</v>
      </c>
      <c r="Z22" s="117">
        <f t="shared" si="18"/>
        <v>3.2166947127282075E-2</v>
      </c>
      <c r="AA22" s="116">
        <f t="shared" si="19"/>
        <v>-1.1502327317813865E-3</v>
      </c>
      <c r="AB22" s="116"/>
      <c r="AC22" s="116"/>
    </row>
    <row r="23" spans="2:31" x14ac:dyDescent="0.2">
      <c r="O23" s="92"/>
      <c r="Q23" s="93"/>
    </row>
    <row r="24" spans="2:31" x14ac:dyDescent="0.2">
      <c r="O24" s="92"/>
      <c r="Q24" s="93"/>
    </row>
    <row r="25" spans="2:31" x14ac:dyDescent="0.2">
      <c r="C25" s="223" t="s">
        <v>193</v>
      </c>
      <c r="D25" s="223"/>
      <c r="E25" s="223"/>
      <c r="F25" s="223"/>
      <c r="G25" s="223"/>
      <c r="H25" s="223"/>
      <c r="I25" s="223"/>
      <c r="J25" s="223"/>
      <c r="K25" s="223"/>
      <c r="L25" s="223"/>
      <c r="O25" s="92"/>
      <c r="Q25" s="93"/>
      <c r="S25" s="231" t="s">
        <v>193</v>
      </c>
      <c r="T25" s="232"/>
      <c r="U25" s="232"/>
      <c r="V25" s="232"/>
      <c r="W25" s="232"/>
      <c r="X25" s="232"/>
      <c r="Y25" s="232"/>
      <c r="Z25" s="232"/>
      <c r="AA25" s="232"/>
      <c r="AB25" s="232"/>
      <c r="AC25" s="232"/>
      <c r="AE25" s="140" t="str">
        <f>AE4</f>
        <v>Q1-Q2-Q3</v>
      </c>
    </row>
    <row r="26" spans="2:31" x14ac:dyDescent="0.2">
      <c r="B26" s="7" t="s">
        <v>204</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204</v>
      </c>
      <c r="S26" s="62" t="str">
        <f>S5</f>
        <v>Q2 2024</v>
      </c>
      <c r="T26" s="62" t="str">
        <f t="shared" ref="T26:AC26" si="21">T5</f>
        <v>Q3 2024</v>
      </c>
      <c r="U26" s="62" t="str">
        <f t="shared" si="21"/>
        <v>Q4 2024</v>
      </c>
      <c r="V26" s="62" t="str">
        <f t="shared" si="21"/>
        <v>Q1 2025</v>
      </c>
      <c r="W26" s="62" t="str">
        <f t="shared" si="21"/>
        <v>Q2 2025</v>
      </c>
      <c r="X26" s="62" t="str">
        <f t="shared" si="21"/>
        <v>Q3 2025</v>
      </c>
      <c r="Y26" s="62" t="str">
        <f t="shared" si="21"/>
        <v>Q4 2025</v>
      </c>
      <c r="Z26" s="62" t="str">
        <f t="shared" si="21"/>
        <v>Q1 2026</v>
      </c>
      <c r="AA26" s="62" t="str">
        <f t="shared" si="21"/>
        <v>FQ1</v>
      </c>
      <c r="AB26" s="62" t="str">
        <f t="shared" si="21"/>
        <v>FQ2</v>
      </c>
      <c r="AC26" s="62" t="str">
        <f t="shared" si="21"/>
        <v>FQ3</v>
      </c>
      <c r="AE26" s="61" t="str">
        <f>AE5</f>
        <v>FQ1</v>
      </c>
    </row>
    <row r="27" spans="2:31" x14ac:dyDescent="0.2">
      <c r="B27" s="1" t="s">
        <v>187</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187</v>
      </c>
      <c r="S27" s="81"/>
      <c r="T27" s="118">
        <f>T18</f>
        <v>6.917180781454535E-3</v>
      </c>
      <c r="U27" s="118">
        <f t="shared" ref="U27:Z27" si="23">U18</f>
        <v>5.9691793538804383E-2</v>
      </c>
      <c r="V27" s="118">
        <f t="shared" si="23"/>
        <v>5.0021901007446301E-2</v>
      </c>
      <c r="W27" s="118">
        <f t="shared" si="23"/>
        <v>-0.15835140997830799</v>
      </c>
      <c r="X27" s="118">
        <f t="shared" si="23"/>
        <v>-4.3517049960348886E-2</v>
      </c>
      <c r="Y27" s="118">
        <f t="shared" si="23"/>
        <v>6.5706290807337586E-2</v>
      </c>
      <c r="Z27" s="129">
        <f t="shared" si="23"/>
        <v>0.10055431294369344</v>
      </c>
      <c r="AA27" s="119">
        <v>0.05</v>
      </c>
      <c r="AB27" s="119"/>
      <c r="AC27" s="119"/>
      <c r="AE27" s="81"/>
    </row>
    <row r="28" spans="2:31" x14ac:dyDescent="0.2">
      <c r="B28" s="1" t="s">
        <v>175</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175</v>
      </c>
      <c r="S28" s="81"/>
      <c r="T28" s="118">
        <f>T19</f>
        <v>-7.5176886792452824E-2</v>
      </c>
      <c r="U28" s="118">
        <f t="shared" ref="U28:Z28" si="25">U19</f>
        <v>-2.8583572415258773E-2</v>
      </c>
      <c r="V28" s="118">
        <f t="shared" si="25"/>
        <v>3.2815576460293094E-2</v>
      </c>
      <c r="W28" s="118">
        <f t="shared" si="25"/>
        <v>0.10040245710654516</v>
      </c>
      <c r="X28" s="118">
        <f t="shared" si="25"/>
        <v>6.7949951876804526E-2</v>
      </c>
      <c r="Y28" s="118">
        <f t="shared" si="25"/>
        <v>-0.13923936553713046</v>
      </c>
      <c r="Z28" s="129">
        <f t="shared" si="25"/>
        <v>-0.11569469165532409</v>
      </c>
      <c r="AA28" s="119">
        <v>-0.09</v>
      </c>
      <c r="AB28" s="119"/>
      <c r="AC28" s="119"/>
      <c r="AE28" s="81"/>
    </row>
    <row r="29" spans="2:31" x14ac:dyDescent="0.2">
      <c r="B29" s="1" t="s">
        <v>157</v>
      </c>
      <c r="C29" s="114">
        <f>'Statement Y'!D144</f>
        <v>9600</v>
      </c>
      <c r="D29" s="114">
        <f>'Statement Y'!E144</f>
        <v>16300</v>
      </c>
      <c r="E29" s="114">
        <f>'Statement Y'!F144</f>
        <v>26900</v>
      </c>
      <c r="F29" s="114">
        <f>'Statement Y'!G144</f>
        <v>40500</v>
      </c>
      <c r="G29" s="122">
        <f>'Statement Y'!H144</f>
        <v>52700</v>
      </c>
      <c r="H29" s="20">
        <f>G29*(1+H31)</f>
        <v>63240</v>
      </c>
      <c r="I29" s="20">
        <f t="shared" ref="I29:L29" si="26">H29*(1+I31)</f>
        <v>79050</v>
      </c>
      <c r="J29" s="20">
        <f t="shared" si="26"/>
        <v>100393.5</v>
      </c>
      <c r="K29" s="20">
        <f t="shared" si="26"/>
        <v>127499.745</v>
      </c>
      <c r="L29" s="20">
        <f t="shared" si="26"/>
        <v>163199.67360000001</v>
      </c>
      <c r="N29" s="126" t="s">
        <v>194</v>
      </c>
      <c r="O29" s="92"/>
      <c r="Q29" s="126" t="s">
        <v>194</v>
      </c>
      <c r="R29" s="1" t="s">
        <v>157</v>
      </c>
      <c r="S29" s="114">
        <f>'Statement Q'!C134</f>
        <v>34100</v>
      </c>
      <c r="T29" s="114">
        <f>'Statement Q'!D134</f>
        <v>37200</v>
      </c>
      <c r="U29" s="114">
        <f>'Statement Q'!E134</f>
        <v>40500</v>
      </c>
      <c r="V29" s="114">
        <f>'Statement Q'!F134</f>
        <v>46600</v>
      </c>
      <c r="W29" s="114">
        <f>'Statement Q'!G134</f>
        <v>47700</v>
      </c>
      <c r="X29" s="114">
        <f>'Statement Q'!H134</f>
        <v>50500</v>
      </c>
      <c r="Y29" s="114">
        <f>'Statement Q'!I134</f>
        <v>52700</v>
      </c>
      <c r="Z29" s="130">
        <f>'Statement Q'!J134</f>
        <v>56500</v>
      </c>
      <c r="AA29" s="20">
        <f>Z29*(1+AA31)</f>
        <v>61020.000000000007</v>
      </c>
      <c r="AB29" s="20"/>
      <c r="AC29" s="20"/>
      <c r="AE29" s="20">
        <f>AA29</f>
        <v>61020.000000000007</v>
      </c>
    </row>
    <row r="30" spans="2:31" x14ac:dyDescent="0.2">
      <c r="B30" s="1" t="s">
        <v>158</v>
      </c>
      <c r="C30" s="114">
        <f>'Statement Y'!D145</f>
        <v>40500</v>
      </c>
      <c r="D30" s="114">
        <f>'Statement Y'!E145</f>
        <v>60700</v>
      </c>
      <c r="E30" s="114">
        <f>'Statement Y'!F145</f>
        <v>88400</v>
      </c>
      <c r="F30" s="114">
        <f>'Statement Y'!G145</f>
        <v>116700</v>
      </c>
      <c r="G30" s="122">
        <f>'Statement Y'!H145</f>
        <v>133100</v>
      </c>
      <c r="H30" s="20">
        <f>G30*(1+H32)</f>
        <v>158389</v>
      </c>
      <c r="I30" s="20">
        <f t="shared" ref="I30:L30" si="27">H30*(1+I32)</f>
        <v>191650.69</v>
      </c>
      <c r="J30" s="20">
        <f t="shared" si="27"/>
        <v>234772.09525000001</v>
      </c>
      <c r="K30" s="20">
        <f t="shared" si="27"/>
        <v>288769.6771575</v>
      </c>
      <c r="L30" s="20">
        <f t="shared" si="27"/>
        <v>355186.70290372497</v>
      </c>
      <c r="N30" s="126" t="s">
        <v>195</v>
      </c>
      <c r="O30" s="92"/>
      <c r="Q30" s="126" t="s">
        <v>195</v>
      </c>
      <c r="R30" s="1" t="s">
        <v>158</v>
      </c>
      <c r="S30" s="114">
        <f>'Statement Q'!C135</f>
        <v>103600</v>
      </c>
      <c r="T30" s="114">
        <f>'Statement Q'!D135</f>
        <v>113100</v>
      </c>
      <c r="U30" s="114">
        <f>'Statement Q'!E135</f>
        <v>116700</v>
      </c>
      <c r="V30" s="114">
        <f>'Statement Q'!F135</f>
        <v>130200</v>
      </c>
      <c r="W30" s="114">
        <f>'Statement Q'!G135</f>
        <v>128300</v>
      </c>
      <c r="X30" s="114">
        <f>'Statement Q'!H135</f>
        <v>135300</v>
      </c>
      <c r="Y30" s="114">
        <f>'Statement Q'!I135</f>
        <v>133100</v>
      </c>
      <c r="Z30" s="130">
        <f>'Statement Q'!J135</f>
        <v>137800</v>
      </c>
      <c r="AA30" s="20">
        <f>Z30*(1+AA32)</f>
        <v>143312</v>
      </c>
      <c r="AB30" s="20"/>
      <c r="AC30" s="20"/>
      <c r="AE30" s="20">
        <f>AA30</f>
        <v>143312</v>
      </c>
    </row>
    <row r="31" spans="2:31" x14ac:dyDescent="0.2">
      <c r="B31" s="1" t="s">
        <v>194</v>
      </c>
      <c r="C31" s="81"/>
      <c r="D31" s="116">
        <f>D29/C29-1</f>
        <v>0.69791666666666674</v>
      </c>
      <c r="E31" s="116">
        <f t="shared" ref="E31:G31" si="28">E29/D29-1</f>
        <v>0.65030674846625769</v>
      </c>
      <c r="F31" s="116">
        <f t="shared" si="28"/>
        <v>0.50557620817843874</v>
      </c>
      <c r="G31" s="117">
        <f t="shared" si="28"/>
        <v>0.30123456790123448</v>
      </c>
      <c r="H31" s="119">
        <v>0.2</v>
      </c>
      <c r="I31" s="119">
        <v>0.25</v>
      </c>
      <c r="J31" s="119">
        <v>0.27</v>
      </c>
      <c r="K31" s="119">
        <v>0.27</v>
      </c>
      <c r="L31" s="119">
        <v>0.28000000000000003</v>
      </c>
      <c r="N31" s="126"/>
      <c r="O31" s="92"/>
      <c r="Q31" s="126"/>
      <c r="R31" s="1" t="s">
        <v>194</v>
      </c>
      <c r="S31" s="81"/>
      <c r="T31" s="116">
        <f>T29/S29-1</f>
        <v>9.0909090909090828E-2</v>
      </c>
      <c r="U31" s="116">
        <f t="shared" ref="U31:Z31" si="29">U29/T29-1</f>
        <v>8.870967741935476E-2</v>
      </c>
      <c r="V31" s="116">
        <f t="shared" si="29"/>
        <v>0.15061728395061724</v>
      </c>
      <c r="W31" s="116">
        <f t="shared" si="29"/>
        <v>2.3605150214592197E-2</v>
      </c>
      <c r="X31" s="116">
        <f t="shared" si="29"/>
        <v>5.8700209643605783E-2</v>
      </c>
      <c r="Y31" s="116">
        <f t="shared" si="29"/>
        <v>4.3564356435643603E-2</v>
      </c>
      <c r="Z31" s="131">
        <f t="shared" si="29"/>
        <v>7.2106261859582466E-2</v>
      </c>
      <c r="AA31" s="119">
        <v>0.08</v>
      </c>
      <c r="AB31" s="119"/>
      <c r="AC31" s="119"/>
      <c r="AE31" s="81"/>
    </row>
    <row r="32" spans="2:31" x14ac:dyDescent="0.2">
      <c r="B32" s="1" t="s">
        <v>195</v>
      </c>
      <c r="C32" s="81"/>
      <c r="D32" s="116">
        <f>D30/C30-1</f>
        <v>0.49876543209876534</v>
      </c>
      <c r="E32" s="116">
        <f t="shared" ref="E32:G32" si="30">E30/D30-1</f>
        <v>0.45634266886326191</v>
      </c>
      <c r="F32" s="116">
        <f t="shared" si="30"/>
        <v>0.32013574660633481</v>
      </c>
      <c r="G32" s="117">
        <f t="shared" si="30"/>
        <v>0.14053127677806332</v>
      </c>
      <c r="H32" s="120">
        <v>0.19</v>
      </c>
      <c r="I32" s="120">
        <v>0.21</v>
      </c>
      <c r="J32" s="120">
        <v>0.22500000000000001</v>
      </c>
      <c r="K32" s="120">
        <v>0.23</v>
      </c>
      <c r="L32" s="120">
        <v>0.23</v>
      </c>
      <c r="N32" s="126"/>
      <c r="O32" s="92"/>
      <c r="Q32" s="126"/>
      <c r="R32" s="1" t="s">
        <v>195</v>
      </c>
      <c r="S32" s="81"/>
      <c r="T32" s="116">
        <f>T30/S30-1</f>
        <v>9.1698841698841793E-2</v>
      </c>
      <c r="U32" s="116">
        <f t="shared" ref="U32:Z32" si="31">U30/T30-1</f>
        <v>3.1830238726790361E-2</v>
      </c>
      <c r="V32" s="116">
        <f t="shared" si="31"/>
        <v>0.11568123393316188</v>
      </c>
      <c r="W32" s="116">
        <f t="shared" si="31"/>
        <v>-1.4592933947772613E-2</v>
      </c>
      <c r="X32" s="116">
        <f t="shared" si="31"/>
        <v>5.4559625876851037E-2</v>
      </c>
      <c r="Y32" s="116">
        <f t="shared" si="31"/>
        <v>-1.6260162601625994E-2</v>
      </c>
      <c r="Z32" s="131">
        <f t="shared" si="31"/>
        <v>3.5311795642374078E-2</v>
      </c>
      <c r="AA32" s="119">
        <v>0.04</v>
      </c>
      <c r="AB32" s="119"/>
      <c r="AC32" s="119"/>
      <c r="AE32" s="81"/>
    </row>
    <row r="33" spans="2:31" x14ac:dyDescent="0.2">
      <c r="B33" s="1" t="s">
        <v>196</v>
      </c>
      <c r="C33" s="135">
        <f>'Statement Y'!D163</f>
        <v>1.0131842105263158</v>
      </c>
      <c r="D33" s="135">
        <f>'Statement Y'!E163</f>
        <v>0.79169911504424784</v>
      </c>
      <c r="E33" s="135">
        <f>'Statement Y'!F163</f>
        <v>0.60951100244498779</v>
      </c>
      <c r="F33" s="135">
        <f>'Statement Y'!G163</f>
        <v>0.51219216417910451</v>
      </c>
      <c r="G33" s="137">
        <f>'Statement Y'!H163</f>
        <v>0.65942928039702231</v>
      </c>
      <c r="H33" s="138">
        <v>0.7</v>
      </c>
      <c r="I33" s="138">
        <v>0.71</v>
      </c>
      <c r="J33" s="138">
        <v>0.7</v>
      </c>
      <c r="K33" s="138">
        <v>0.72</v>
      </c>
      <c r="L33" s="138">
        <v>0.73</v>
      </c>
      <c r="N33" s="126"/>
      <c r="O33" s="92"/>
      <c r="Q33" s="126"/>
      <c r="R33" s="1" t="s">
        <v>196</v>
      </c>
      <c r="S33" s="135">
        <f>'Statement Q'!C153</f>
        <v>0.13868200836820083</v>
      </c>
      <c r="T33" s="135">
        <f>'Statement Q'!D153</f>
        <v>0.13784688995215311</v>
      </c>
      <c r="U33" s="135">
        <f>'Statement Q'!E153</f>
        <v>0.13332089552238807</v>
      </c>
      <c r="V33" s="135">
        <f>'Statement Q'!F153</f>
        <v>0.14914095079232695</v>
      </c>
      <c r="W33" s="135">
        <f>'Statement Q'!G153</f>
        <v>0.17549403747870529</v>
      </c>
      <c r="X33" s="135">
        <f>'Statement Q'!H153</f>
        <v>0.16978190630048465</v>
      </c>
      <c r="Y33" s="135">
        <f>'Statement Q'!I153</f>
        <v>0.1672539288668321</v>
      </c>
      <c r="Z33" s="136">
        <f>'Statement Q'!J153</f>
        <v>0.1645171588188348</v>
      </c>
      <c r="AA33" s="138">
        <v>0.15</v>
      </c>
      <c r="AB33" s="138"/>
      <c r="AC33" s="138"/>
      <c r="AE33" s="95">
        <f>AE7/AE37</f>
        <v>0.6232444798090313</v>
      </c>
    </row>
    <row r="34" spans="2:31" x14ac:dyDescent="0.2">
      <c r="B34" s="1" t="s">
        <v>167</v>
      </c>
      <c r="C34" s="97">
        <f>'Statement Y'!D162</f>
        <v>6.1728395061728392E-2</v>
      </c>
      <c r="D34" s="97">
        <f>'Statement Y'!E162</f>
        <v>6.919275123558484E-2</v>
      </c>
      <c r="E34" s="97">
        <f>'Statement Y'!F162</f>
        <v>7.4660633484162894E-2</v>
      </c>
      <c r="F34" s="97">
        <f>'Statement Y'!G162</f>
        <v>8.1405312767780638E-2</v>
      </c>
      <c r="G34" s="123">
        <f>'Statement Y'!H162</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198</v>
      </c>
      <c r="O34" s="92"/>
      <c r="Q34" s="126" t="s">
        <v>198</v>
      </c>
      <c r="R34" s="1" t="s">
        <v>167</v>
      </c>
      <c r="S34" s="97">
        <f>'Statement Q'!C152</f>
        <v>7.7220077220077218E-2</v>
      </c>
      <c r="T34" s="97">
        <f>'Statement Q'!D152</f>
        <v>7.6038903625110524E-2</v>
      </c>
      <c r="U34" s="97">
        <f>'Statement Q'!E152</f>
        <v>8.1405312767780638E-2</v>
      </c>
      <c r="V34" s="97">
        <f>'Statement Q'!F152</f>
        <v>7.9109062980030717E-2</v>
      </c>
      <c r="W34" s="97">
        <f>'Statement Q'!G152</f>
        <v>8.4957131722525336E-2</v>
      </c>
      <c r="X34" s="97">
        <f>'Statement Q'!H152</f>
        <v>8.4996304508499626E-2</v>
      </c>
      <c r="Y34" s="97">
        <f>'Statement Q'!I152</f>
        <v>9.1660405709992482E-2</v>
      </c>
      <c r="Z34" s="132">
        <f>'Statement Q'!J152</f>
        <v>9.071117561683599E-2</v>
      </c>
      <c r="AA34" s="91">
        <f>Z34*(1+AA35)</f>
        <v>8.7989840348330906E-2</v>
      </c>
      <c r="AB34" s="91"/>
      <c r="AC34" s="91"/>
      <c r="AE34" s="81"/>
    </row>
    <row r="35" spans="2:31" x14ac:dyDescent="0.2">
      <c r="B35" s="1" t="s">
        <v>198</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198</v>
      </c>
      <c r="S35" s="81"/>
      <c r="T35" s="116">
        <f>T34/S34-1</f>
        <v>-1.5296198054818744E-2</v>
      </c>
      <c r="U35" s="116">
        <f t="shared" ref="U35:Z35" si="34">U34/T34-1</f>
        <v>7.0574520236742933E-2</v>
      </c>
      <c r="V35" s="116">
        <f t="shared" si="34"/>
        <v>-2.8207615813727993E-2</v>
      </c>
      <c r="W35" s="116">
        <f t="shared" si="34"/>
        <v>7.392413109444651E-2</v>
      </c>
      <c r="X35" s="116">
        <f t="shared" si="34"/>
        <v>4.6108884775231118E-4</v>
      </c>
      <c r="Y35" s="116">
        <f t="shared" si="34"/>
        <v>7.8404599353215865E-2</v>
      </c>
      <c r="Z35" s="131">
        <f t="shared" si="34"/>
        <v>-1.0355944704846687E-2</v>
      </c>
      <c r="AA35" s="119">
        <v>-0.03</v>
      </c>
      <c r="AB35" s="119"/>
      <c r="AC35" s="119"/>
      <c r="AE35" s="81"/>
    </row>
    <row r="36" spans="2:31" x14ac:dyDescent="0.2">
      <c r="B36" s="1" t="s">
        <v>199</v>
      </c>
      <c r="C36" s="96">
        <f>'Statement Y'!D146</f>
        <v>2500</v>
      </c>
      <c r="D36" s="96">
        <f>'Statement Y'!E146</f>
        <v>4200</v>
      </c>
      <c r="E36" s="96">
        <f>'Statement Y'!F146</f>
        <v>6600</v>
      </c>
      <c r="F36" s="96">
        <f>'Statement Y'!G146</f>
        <v>9500</v>
      </c>
      <c r="G36" s="124">
        <f>'Statement Y'!H146</f>
        <v>12200</v>
      </c>
      <c r="H36" s="20">
        <f>H34*H30</f>
        <v>13646.919999999998</v>
      </c>
      <c r="I36" s="20">
        <f t="shared" ref="I36:L36" si="35">I34*I30</f>
        <v>15522.006807999998</v>
      </c>
      <c r="J36" s="20">
        <f t="shared" si="35"/>
        <v>19965.181256790001</v>
      </c>
      <c r="K36" s="20">
        <f t="shared" si="35"/>
        <v>26521.746781519836</v>
      </c>
      <c r="L36" s="20">
        <f t="shared" si="35"/>
        <v>36210.140880809035</v>
      </c>
      <c r="N36" s="126" t="s">
        <v>200</v>
      </c>
      <c r="O36" s="92"/>
      <c r="Q36" s="126" t="s">
        <v>200</v>
      </c>
      <c r="R36" s="1" t="s">
        <v>199</v>
      </c>
      <c r="S36" s="96">
        <f>'Statement Q'!C136</f>
        <v>8000</v>
      </c>
      <c r="T36" s="96">
        <f>'Statement Q'!D136</f>
        <v>8600</v>
      </c>
      <c r="U36" s="96">
        <f>'Statement Q'!E136</f>
        <v>9500</v>
      </c>
      <c r="V36" s="96">
        <f>'Statement Q'!F136</f>
        <v>10300</v>
      </c>
      <c r="W36" s="96">
        <f>'Statement Q'!G136</f>
        <v>10900</v>
      </c>
      <c r="X36" s="96">
        <f>'Statement Q'!H136</f>
        <v>11500</v>
      </c>
      <c r="Y36" s="96">
        <f>'Statement Q'!I136</f>
        <v>12200</v>
      </c>
      <c r="Z36" s="133">
        <f>'Statement Q'!J136</f>
        <v>12500</v>
      </c>
      <c r="AA36" s="20">
        <f>AA34*AA30</f>
        <v>12609.999999999998</v>
      </c>
      <c r="AB36" s="20"/>
      <c r="AC36" s="20"/>
      <c r="AE36" s="20">
        <f>AA36</f>
        <v>12609.999999999998</v>
      </c>
    </row>
    <row r="37" spans="2:31" x14ac:dyDescent="0.2">
      <c r="B37" s="1" t="s">
        <v>174</v>
      </c>
      <c r="C37" s="96">
        <f>'Statement Y'!D147</f>
        <v>38000</v>
      </c>
      <c r="D37" s="96">
        <f>'Statement Y'!E147</f>
        <v>56500</v>
      </c>
      <c r="E37" s="96">
        <f>'Statement Y'!F147</f>
        <v>81800</v>
      </c>
      <c r="F37" s="96">
        <f>'Statement Y'!G147</f>
        <v>107200</v>
      </c>
      <c r="G37" s="124">
        <f>'Statement Y'!H147</f>
        <v>120900</v>
      </c>
      <c r="H37" s="20">
        <f>H30-H36</f>
        <v>144742.08000000002</v>
      </c>
      <c r="I37" s="20">
        <f t="shared" ref="I37:L37" si="36">I30-I36</f>
        <v>176128.683192</v>
      </c>
      <c r="J37" s="20">
        <f t="shared" si="36"/>
        <v>214806.91399321001</v>
      </c>
      <c r="K37" s="20">
        <f t="shared" si="36"/>
        <v>262247.93037598016</v>
      </c>
      <c r="L37" s="20">
        <f t="shared" si="36"/>
        <v>318976.56202291592</v>
      </c>
      <c r="N37" s="126" t="s">
        <v>201</v>
      </c>
      <c r="O37" s="92"/>
      <c r="Q37" s="126" t="s">
        <v>201</v>
      </c>
      <c r="R37" s="1" t="s">
        <v>174</v>
      </c>
      <c r="S37" s="96">
        <f>'Statement Q'!C137</f>
        <v>95600</v>
      </c>
      <c r="T37" s="96">
        <f>'Statement Q'!D137</f>
        <v>104500</v>
      </c>
      <c r="U37" s="96">
        <f>'Statement Q'!E137</f>
        <v>107200</v>
      </c>
      <c r="V37" s="96">
        <f>'Statement Q'!F137</f>
        <v>119900</v>
      </c>
      <c r="W37" s="96">
        <f>'Statement Q'!G137</f>
        <v>117400</v>
      </c>
      <c r="X37" s="96">
        <f>'Statement Q'!H137</f>
        <v>123800</v>
      </c>
      <c r="Y37" s="96">
        <f>'Statement Q'!I137</f>
        <v>120900</v>
      </c>
      <c r="Z37" s="133">
        <f>'Statement Q'!J137</f>
        <v>125300</v>
      </c>
      <c r="AA37" s="20">
        <f>AA30-AA36</f>
        <v>130702</v>
      </c>
      <c r="AB37" s="20"/>
      <c r="AC37" s="20"/>
      <c r="AE37" s="20">
        <f>AA37</f>
        <v>130702</v>
      </c>
    </row>
    <row r="38" spans="2:31" x14ac:dyDescent="0.2">
      <c r="B38" s="1" t="s">
        <v>203</v>
      </c>
      <c r="C38" s="97">
        <f>'Statement Y'!D164</f>
        <v>0.72031250000000002</v>
      </c>
      <c r="D38" s="97">
        <f>'Statement Y'!E164</f>
        <v>1.1373619631901841</v>
      </c>
      <c r="E38" s="97">
        <f>'Statement Y'!F164</f>
        <v>1.2889591078066915</v>
      </c>
      <c r="F38" s="97">
        <f>'Statement Y'!G164</f>
        <v>0.95439506172839506</v>
      </c>
      <c r="G38" s="123">
        <f>'Statement Y'!H164</f>
        <v>0.76810246679316885</v>
      </c>
      <c r="H38" s="100">
        <v>0.7</v>
      </c>
      <c r="I38" s="100">
        <v>0.65</v>
      </c>
      <c r="J38" s="100">
        <v>0.6</v>
      </c>
      <c r="K38" s="100">
        <v>0.65</v>
      </c>
      <c r="L38" s="100">
        <v>0.65</v>
      </c>
      <c r="N38" s="126"/>
      <c r="O38" s="92"/>
      <c r="R38" s="1" t="s">
        <v>203</v>
      </c>
      <c r="S38" s="97">
        <f>'Statement Q'!C154</f>
        <v>0.29841642228739002</v>
      </c>
      <c r="T38" s="97">
        <f>'Statement Q'!D154</f>
        <v>0.25298387096774194</v>
      </c>
      <c r="U38" s="97">
        <f>'Statement Q'!E154</f>
        <v>0.2257283950617284</v>
      </c>
      <c r="V38" s="97">
        <f>'Statement Q'!F154</f>
        <v>0.20261802575107296</v>
      </c>
      <c r="W38" s="97">
        <f>'Statement Q'!G154</f>
        <v>0.21781970649895177</v>
      </c>
      <c r="X38" s="97">
        <f>'Statement Q'!H154</f>
        <v>0.21972277227722772</v>
      </c>
      <c r="Y38" s="97">
        <f>'Statement Q'!I154</f>
        <v>0.18123339658444024</v>
      </c>
      <c r="Z38" s="132">
        <f>'Statement Q'!J154</f>
        <v>0.14948672566371682</v>
      </c>
      <c r="AA38" s="100">
        <v>0.12</v>
      </c>
      <c r="AB38" s="100"/>
      <c r="AC38" s="100"/>
      <c r="AE38" s="81"/>
    </row>
    <row r="39" spans="2:31" x14ac:dyDescent="0.2">
      <c r="B39" s="1" t="s">
        <v>189</v>
      </c>
      <c r="C39" s="115">
        <f>'Statement Y'!D160</f>
        <v>72.279200000000003</v>
      </c>
      <c r="D39" s="115">
        <f>'Statement Y'!E160</f>
        <v>65.120714285714286</v>
      </c>
      <c r="E39" s="115">
        <f>'Statement Y'!F160</f>
        <v>61.315757575757573</v>
      </c>
      <c r="F39" s="115">
        <f>'Statement Y'!G160</f>
        <v>63.950631578947366</v>
      </c>
      <c r="G39" s="125">
        <f>'Statement Y'!H160</f>
        <v>71.593606557377043</v>
      </c>
      <c r="H39" s="101">
        <v>73.5</v>
      </c>
      <c r="I39" s="101">
        <v>73.5</v>
      </c>
      <c r="J39" s="101">
        <v>73</v>
      </c>
      <c r="K39" s="101">
        <v>75</v>
      </c>
      <c r="L39" s="101">
        <v>75</v>
      </c>
      <c r="N39" s="126"/>
      <c r="O39" s="92"/>
      <c r="R39" s="1" t="s">
        <v>189</v>
      </c>
      <c r="S39" s="115">
        <f>'Statement Q'!C150</f>
        <v>17.988624999999999</v>
      </c>
      <c r="T39" s="115">
        <f>'Statement Q'!D150</f>
        <v>18.327558139534883</v>
      </c>
      <c r="U39" s="115">
        <f>'Statement Q'!E150</f>
        <v>18.349157894736841</v>
      </c>
      <c r="V39" s="115">
        <f>'Statement Q'!F150</f>
        <v>18.542427184466021</v>
      </c>
      <c r="W39" s="115">
        <f>'Statement Q'!G150</f>
        <v>19.328256880733946</v>
      </c>
      <c r="X39" s="115">
        <f>'Statement Q'!H150</f>
        <v>19.955739130434782</v>
      </c>
      <c r="Y39" s="115">
        <f>'Statement Q'!I150</f>
        <v>19.859508196721311</v>
      </c>
      <c r="Z39" s="134">
        <f>'Statement Q'!J150</f>
        <v>20.07264</v>
      </c>
      <c r="AA39" s="101">
        <v>20</v>
      </c>
      <c r="AB39" s="101"/>
      <c r="AC39" s="101"/>
      <c r="AE39" s="81"/>
    </row>
    <row r="40" spans="2:31" x14ac:dyDescent="0.2">
      <c r="B40" s="1" t="s">
        <v>166</v>
      </c>
      <c r="C40" s="97">
        <f>'Statement Y'!D161</f>
        <v>0.23703703703703705</v>
      </c>
      <c r="D40" s="97">
        <f>'Statement Y'!E161</f>
        <v>0.26853377265238881</v>
      </c>
      <c r="E40" s="97">
        <f>'Statement Y'!F161</f>
        <v>0.30429864253393663</v>
      </c>
      <c r="F40" s="97">
        <f>'Statement Y'!G161</f>
        <v>0.34704370179948585</v>
      </c>
      <c r="G40" s="123">
        <f>'Statement Y'!H161</f>
        <v>0.3959429000751315</v>
      </c>
      <c r="H40" s="91">
        <v>0.44</v>
      </c>
      <c r="I40" s="91">
        <f t="shared" ref="I40:L40" si="37">I29/I30</f>
        <v>0.41246916460358163</v>
      </c>
      <c r="J40" s="91">
        <f t="shared" si="37"/>
        <v>0.42762109309922341</v>
      </c>
      <c r="K40" s="91">
        <f t="shared" si="37"/>
        <v>0.44152747011058024</v>
      </c>
      <c r="L40" s="91">
        <f t="shared" si="37"/>
        <v>0.45947574125328688</v>
      </c>
      <c r="N40" s="126"/>
      <c r="O40" s="92"/>
      <c r="R40" s="1" t="s">
        <v>166</v>
      </c>
      <c r="S40" s="97">
        <f>'Statement Q'!C151</f>
        <v>0.32915057915057916</v>
      </c>
      <c r="T40" s="97">
        <f>'Statement Q'!D151</f>
        <v>0.32891246684350134</v>
      </c>
      <c r="U40" s="97">
        <f>'Statement Q'!E151</f>
        <v>0.34704370179948585</v>
      </c>
      <c r="V40" s="97">
        <f>'Statement Q'!F151</f>
        <v>0.3579109062980031</v>
      </c>
      <c r="W40" s="97">
        <f>'Statement Q'!G151</f>
        <v>0.37178487918939984</v>
      </c>
      <c r="X40" s="97">
        <f>'Statement Q'!H151</f>
        <v>0.37324464153732445</v>
      </c>
      <c r="Y40" s="97">
        <f>'Statement Q'!I151</f>
        <v>0.3959429000751315</v>
      </c>
      <c r="Z40" s="132">
        <f>'Statement Q'!J151</f>
        <v>0.41001451378809867</v>
      </c>
      <c r="AA40" s="91">
        <f>AA29/AA30</f>
        <v>0.42578430277994872</v>
      </c>
      <c r="AB40" s="91"/>
      <c r="AC40" s="91"/>
      <c r="AE40" s="81"/>
    </row>
    <row r="41" spans="2:31" x14ac:dyDescent="0.2">
      <c r="O41" s="92"/>
    </row>
    <row r="42" spans="2:31" x14ac:dyDescent="0.2">
      <c r="O42" s="92"/>
    </row>
    <row r="43" spans="2:31" x14ac:dyDescent="0.2">
      <c r="C43" s="223" t="s">
        <v>205</v>
      </c>
      <c r="D43" s="223"/>
      <c r="E43" s="223"/>
      <c r="F43" s="223"/>
      <c r="G43" s="223"/>
      <c r="H43" s="223"/>
      <c r="I43" s="223"/>
      <c r="J43" s="223"/>
      <c r="K43" s="223"/>
      <c r="L43" s="223"/>
      <c r="O43" s="92"/>
      <c r="S43" s="231" t="s">
        <v>205</v>
      </c>
      <c r="T43" s="232"/>
      <c r="U43" s="232"/>
      <c r="V43" s="232"/>
      <c r="W43" s="232"/>
      <c r="X43" s="232"/>
      <c r="Y43" s="232"/>
      <c r="Z43" s="232"/>
      <c r="AA43" s="232"/>
      <c r="AB43" s="232"/>
      <c r="AC43" s="232"/>
    </row>
    <row r="44" spans="2:31" x14ac:dyDescent="0.2">
      <c r="B44" s="7" t="s">
        <v>206</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206</v>
      </c>
      <c r="S44" s="62" t="str">
        <f>S5</f>
        <v>Q2 2024</v>
      </c>
      <c r="T44" s="62" t="str">
        <f t="shared" ref="T44:AC44" si="39">T5</f>
        <v>Q3 2024</v>
      </c>
      <c r="U44" s="62" t="str">
        <f t="shared" si="39"/>
        <v>Q4 2024</v>
      </c>
      <c r="V44" s="62" t="str">
        <f t="shared" si="39"/>
        <v>Q1 2025</v>
      </c>
      <c r="W44" s="62" t="str">
        <f t="shared" si="39"/>
        <v>Q2 2025</v>
      </c>
      <c r="X44" s="62" t="str">
        <f t="shared" si="39"/>
        <v>Q3 2025</v>
      </c>
      <c r="Y44" s="62" t="str">
        <f t="shared" si="39"/>
        <v>Q4 2025</v>
      </c>
      <c r="Z44" s="62" t="str">
        <f t="shared" si="39"/>
        <v>Q1 2026</v>
      </c>
      <c r="AA44" s="62" t="str">
        <f t="shared" si="39"/>
        <v>FQ1</v>
      </c>
      <c r="AB44" s="62" t="str">
        <f t="shared" si="39"/>
        <v>FQ2</v>
      </c>
      <c r="AC44" s="62" t="str">
        <f t="shared" si="39"/>
        <v>FQ3</v>
      </c>
    </row>
    <row r="45" spans="2:31" x14ac:dyDescent="0.2">
      <c r="B45" s="1" t="s">
        <v>196</v>
      </c>
      <c r="C45" s="81"/>
      <c r="D45" s="116">
        <f>D33/C33-1</f>
        <v>-0.21860298767093278</v>
      </c>
      <c r="E45" s="116">
        <f t="shared" ref="E45:L45" si="40">E33/D33-1</f>
        <v>-0.23012292061116879</v>
      </c>
      <c r="F45" s="116">
        <f t="shared" si="40"/>
        <v>-0.15966707389284074</v>
      </c>
      <c r="G45" s="117">
        <f t="shared" si="40"/>
        <v>0.28746460120860329</v>
      </c>
      <c r="H45" s="116">
        <f t="shared" si="40"/>
        <v>6.1523988711194688E-2</v>
      </c>
      <c r="I45" s="116">
        <f t="shared" si="40"/>
        <v>1.4285714285714235E-2</v>
      </c>
      <c r="J45" s="116">
        <f t="shared" si="40"/>
        <v>-1.4084507042253502E-2</v>
      </c>
      <c r="K45" s="116">
        <f t="shared" si="40"/>
        <v>2.8571428571428692E-2</v>
      </c>
      <c r="L45" s="116">
        <f t="shared" si="40"/>
        <v>1.388888888888884E-2</v>
      </c>
      <c r="O45" s="92"/>
      <c r="R45" s="1" t="s">
        <v>196</v>
      </c>
      <c r="S45" s="81"/>
      <c r="T45" s="116">
        <f>T33/S33-1</f>
        <v>-6.0218223392790593E-3</v>
      </c>
      <c r="U45" s="116">
        <f t="shared" ref="U45:AA45" si="41">U33/T33-1</f>
        <v>-3.2833489615442302E-2</v>
      </c>
      <c r="V45" s="116">
        <f t="shared" si="41"/>
        <v>0.11866148369279639</v>
      </c>
      <c r="W45" s="116">
        <f t="shared" si="41"/>
        <v>0.17669919996067351</v>
      </c>
      <c r="X45" s="116">
        <f t="shared" si="41"/>
        <v>-3.2548861831922737E-2</v>
      </c>
      <c r="Y45" s="116">
        <f t="shared" si="41"/>
        <v>-1.4889557366486783E-2</v>
      </c>
      <c r="Z45" s="117">
        <f t="shared" si="41"/>
        <v>-1.6362964185889561E-2</v>
      </c>
      <c r="AA45" s="116">
        <f t="shared" si="41"/>
        <v>-8.8241001261278762E-2</v>
      </c>
    </row>
    <row r="46" spans="2:31" x14ac:dyDescent="0.2">
      <c r="B46" s="1" t="s">
        <v>199</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0.13739999999999997</v>
      </c>
      <c r="J46" s="116">
        <f t="shared" si="42"/>
        <v>0.28625000000000034</v>
      </c>
      <c r="K46" s="116">
        <f t="shared" si="42"/>
        <v>0.3283999999999998</v>
      </c>
      <c r="L46" s="116">
        <f t="shared" si="42"/>
        <v>0.36530000000000018</v>
      </c>
      <c r="O46" s="92"/>
      <c r="R46" s="1" t="s">
        <v>199</v>
      </c>
      <c r="S46" s="81"/>
      <c r="T46" s="116">
        <f>T36/S36-1</f>
        <v>7.4999999999999956E-2</v>
      </c>
      <c r="U46" s="116">
        <f t="shared" ref="U46:AA50" si="43">U36/T36-1</f>
        <v>0.10465116279069764</v>
      </c>
      <c r="V46" s="116">
        <f t="shared" si="43"/>
        <v>8.4210526315789513E-2</v>
      </c>
      <c r="W46" s="116">
        <f t="shared" si="43"/>
        <v>5.8252427184465994E-2</v>
      </c>
      <c r="X46" s="116">
        <f t="shared" si="43"/>
        <v>5.504587155963292E-2</v>
      </c>
      <c r="Y46" s="116">
        <f t="shared" si="43"/>
        <v>6.0869565217391397E-2</v>
      </c>
      <c r="Z46" s="117">
        <f t="shared" si="43"/>
        <v>2.4590163934426146E-2</v>
      </c>
      <c r="AA46" s="116">
        <f t="shared" si="43"/>
        <v>8.799999999999919E-3</v>
      </c>
    </row>
    <row r="47" spans="2:31" x14ac:dyDescent="0.2">
      <c r="B47" s="1" t="s">
        <v>174</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0.21684504735595889</v>
      </c>
      <c r="J47" s="116">
        <f t="shared" si="44"/>
        <v>0.21960211193452461</v>
      </c>
      <c r="K47" s="116">
        <f t="shared" si="44"/>
        <v>0.22085423369691792</v>
      </c>
      <c r="L47" s="116">
        <f t="shared" si="44"/>
        <v>0.2163167944380151</v>
      </c>
      <c r="O47" s="92"/>
      <c r="R47" s="1" t="s">
        <v>174</v>
      </c>
      <c r="S47" s="81"/>
      <c r="T47" s="116">
        <f>T37/S37-1</f>
        <v>9.3096234309623327E-2</v>
      </c>
      <c r="U47" s="116">
        <f t="shared" ref="U47:Z47" si="45">U37/T37-1</f>
        <v>2.5837320574162659E-2</v>
      </c>
      <c r="V47" s="116">
        <f t="shared" si="45"/>
        <v>0.11847014925373145</v>
      </c>
      <c r="W47" s="116">
        <f t="shared" si="45"/>
        <v>-2.0850708924103456E-2</v>
      </c>
      <c r="X47" s="116">
        <f t="shared" si="45"/>
        <v>5.4514480408858645E-2</v>
      </c>
      <c r="Y47" s="116">
        <f t="shared" si="45"/>
        <v>-2.342487883683364E-2</v>
      </c>
      <c r="Z47" s="117">
        <f t="shared" si="45"/>
        <v>3.6393713813068551E-2</v>
      </c>
      <c r="AA47" s="116">
        <f t="shared" si="43"/>
        <v>4.3112529928172494E-2</v>
      </c>
    </row>
    <row r="48" spans="2:31" x14ac:dyDescent="0.2">
      <c r="B48" s="1" t="s">
        <v>203</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203</v>
      </c>
      <c r="S48" s="81"/>
      <c r="T48" s="116">
        <f>T38/S38-1</f>
        <v>-0.15224547955974832</v>
      </c>
      <c r="U48" s="116">
        <f t="shared" ref="U48:Z48" si="47">U38/T38-1</f>
        <v>-0.10773602207031174</v>
      </c>
      <c r="V48" s="116">
        <f t="shared" si="47"/>
        <v>-0.10238131230382252</v>
      </c>
      <c r="W48" s="116">
        <f t="shared" si="47"/>
        <v>7.5026299814779929E-2</v>
      </c>
      <c r="X48" s="116">
        <f t="shared" si="47"/>
        <v>8.7368852380906858E-3</v>
      </c>
      <c r="Y48" s="116">
        <f t="shared" si="47"/>
        <v>-0.17517244705170942</v>
      </c>
      <c r="Z48" s="117">
        <f t="shared" si="47"/>
        <v>-0.17517009292452357</v>
      </c>
      <c r="AA48" s="116">
        <f t="shared" si="43"/>
        <v>-0.19725313757991958</v>
      </c>
    </row>
    <row r="49" spans="2:27" x14ac:dyDescent="0.2">
      <c r="B49" s="1" t="s">
        <v>189</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0</v>
      </c>
      <c r="J49" s="116">
        <f t="shared" si="48"/>
        <v>-6.8027210884353817E-3</v>
      </c>
      <c r="K49" s="116">
        <f t="shared" si="48"/>
        <v>2.7397260273972712E-2</v>
      </c>
      <c r="L49" s="116">
        <f t="shared" si="48"/>
        <v>0</v>
      </c>
      <c r="O49" s="92"/>
      <c r="R49" s="1" t="s">
        <v>189</v>
      </c>
      <c r="S49" s="81"/>
      <c r="T49" s="116">
        <f>T39/S39-1</f>
        <v>1.8841525660515224E-2</v>
      </c>
      <c r="U49" s="116">
        <f t="shared" ref="U49:Z49" si="49">U39/T39-1</f>
        <v>1.1785397180306134E-3</v>
      </c>
      <c r="V49" s="116">
        <f t="shared" si="49"/>
        <v>1.0532869728295147E-2</v>
      </c>
      <c r="W49" s="116">
        <f t="shared" si="49"/>
        <v>4.2380088024627893E-2</v>
      </c>
      <c r="X49" s="116">
        <f t="shared" si="49"/>
        <v>3.2464502803990491E-2</v>
      </c>
      <c r="Y49" s="116">
        <f t="shared" si="49"/>
        <v>-4.8222184647978006E-3</v>
      </c>
      <c r="Z49" s="117">
        <f t="shared" si="49"/>
        <v>1.0731977910403367E-2</v>
      </c>
      <c r="AA49" s="116">
        <f t="shared" si="43"/>
        <v>-3.6188563138680463E-3</v>
      </c>
    </row>
    <row r="50" spans="2:27" x14ac:dyDescent="0.2">
      <c r="B50" s="1" t="s">
        <v>166</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-6.2570080446405441E-2</v>
      </c>
      <c r="J50" s="116">
        <f t="shared" si="50"/>
        <v>3.6734693877551017E-2</v>
      </c>
      <c r="K50" s="116">
        <f t="shared" si="50"/>
        <v>3.2520325203251987E-2</v>
      </c>
      <c r="L50" s="116">
        <f t="shared" si="50"/>
        <v>4.0650406504065373E-2</v>
      </c>
      <c r="O50" s="92"/>
      <c r="R50" s="1" t="s">
        <v>166</v>
      </c>
      <c r="S50" s="81"/>
      <c r="T50" s="116">
        <f>T40/S40-1</f>
        <v>-7.2341451651791733E-4</v>
      </c>
      <c r="U50" s="116">
        <f t="shared" ref="U50:Z50" si="51">U40/T40-1</f>
        <v>5.5124803051662674E-2</v>
      </c>
      <c r="V50" s="116">
        <f t="shared" si="51"/>
        <v>3.131364851794971E-2</v>
      </c>
      <c r="W50" s="116">
        <f t="shared" si="51"/>
        <v>3.8763761168666422E-2</v>
      </c>
      <c r="X50" s="116">
        <f t="shared" si="51"/>
        <v>3.9263628771222248E-3</v>
      </c>
      <c r="Y50" s="116">
        <f t="shared" si="51"/>
        <v>6.0813354062679181E-2</v>
      </c>
      <c r="Z50" s="117">
        <f t="shared" si="51"/>
        <v>3.5539502565387737E-2</v>
      </c>
      <c r="AA50" s="116">
        <f t="shared" si="43"/>
        <v>3.8461538461538769E-2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E11"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211</v>
      </c>
    </row>
    <row r="2" spans="1:28" x14ac:dyDescent="0.2">
      <c r="A2" s="104"/>
      <c r="C2" s="224" t="s">
        <v>176</v>
      </c>
      <c r="D2" s="224"/>
      <c r="E2" s="224"/>
      <c r="F2" s="224"/>
      <c r="G2" s="225"/>
      <c r="H2" s="226" t="s">
        <v>177</v>
      </c>
      <c r="I2" s="224"/>
      <c r="J2" s="224"/>
      <c r="K2" s="224"/>
      <c r="L2" s="224"/>
      <c r="P2" s="224" t="s">
        <v>176</v>
      </c>
      <c r="Q2" s="224"/>
      <c r="R2" s="224"/>
      <c r="S2" s="224"/>
      <c r="T2" s="224"/>
      <c r="U2" s="224"/>
      <c r="V2" s="224"/>
      <c r="W2" s="224"/>
      <c r="X2" s="224" t="s">
        <v>177</v>
      </c>
      <c r="Y2" s="224"/>
      <c r="Z2" s="224"/>
      <c r="AB2" s="128" t="s">
        <v>85</v>
      </c>
    </row>
    <row r="3" spans="1:28" ht="10" customHeight="1" x14ac:dyDescent="0.2"/>
    <row r="4" spans="1:28" ht="16" customHeight="1" x14ac:dyDescent="0.2">
      <c r="A4" s="109"/>
      <c r="B4" s="94"/>
      <c r="C4" s="223" t="s">
        <v>185</v>
      </c>
      <c r="D4" s="223"/>
      <c r="E4" s="223"/>
      <c r="F4" s="223"/>
      <c r="G4" s="223"/>
      <c r="H4" s="223"/>
      <c r="I4" s="223"/>
      <c r="J4" s="223"/>
      <c r="K4" s="223"/>
      <c r="L4" s="223"/>
      <c r="P4" s="232" t="s">
        <v>185</v>
      </c>
      <c r="Q4" s="232"/>
      <c r="R4" s="232"/>
      <c r="S4" s="232"/>
      <c r="T4" s="232"/>
      <c r="U4" s="232"/>
      <c r="V4" s="232"/>
      <c r="W4" s="232"/>
      <c r="X4" s="232"/>
      <c r="Y4" s="232"/>
      <c r="Z4" s="232"/>
      <c r="AB4" s="140" t="s">
        <v>210</v>
      </c>
    </row>
    <row r="5" spans="1:28"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186</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207</v>
      </c>
      <c r="Y5" s="62" t="s">
        <v>208</v>
      </c>
      <c r="Z5" s="62" t="s">
        <v>209</v>
      </c>
      <c r="AB5" s="61" t="s">
        <v>207</v>
      </c>
    </row>
    <row r="6" spans="1:28"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93"/>
      <c r="O6" s="7" t="s">
        <v>6</v>
      </c>
      <c r="P6" s="111">
        <f>'Statement Q'!C5</f>
        <v>178327</v>
      </c>
      <c r="Q6" s="111">
        <f>'Statement Q'!D5</f>
        <v>192594</v>
      </c>
      <c r="R6" s="111">
        <f>'Statement Q'!E5</f>
        <v>209550</v>
      </c>
      <c r="S6" s="111">
        <f>'Statement Q'!F5</f>
        <v>230743</v>
      </c>
      <c r="T6" s="111">
        <f>'Statement Q'!G5</f>
        <v>252265</v>
      </c>
      <c r="U6" s="111">
        <f>'Statement Q'!H5</f>
        <v>271713</v>
      </c>
      <c r="V6" s="111">
        <f>'Statement Q'!I5</f>
        <v>282868</v>
      </c>
      <c r="W6" s="112">
        <f>'Statement Q'!J5</f>
        <v>291967</v>
      </c>
      <c r="X6" s="113">
        <f>Revenue!AA12</f>
        <v>291631.17</v>
      </c>
      <c r="Y6" s="113">
        <f>Revenue!AB12</f>
        <v>0</v>
      </c>
      <c r="Z6" s="113">
        <f>Revenue!AC12</f>
        <v>0</v>
      </c>
      <c r="AB6" s="113">
        <f>SUM(U6:X6)</f>
        <v>1138179.17</v>
      </c>
    </row>
    <row r="7" spans="1:28" x14ac:dyDescent="0.2">
      <c r="N7" s="93"/>
    </row>
    <row r="8" spans="1:28" x14ac:dyDescent="0.2">
      <c r="N8" s="93"/>
    </row>
    <row r="9" spans="1:28" x14ac:dyDescent="0.2">
      <c r="C9" s="223" t="s">
        <v>212</v>
      </c>
      <c r="D9" s="223"/>
      <c r="E9" s="223"/>
      <c r="F9" s="223"/>
      <c r="G9" s="223"/>
      <c r="H9" s="223"/>
      <c r="I9" s="223"/>
      <c r="J9" s="223"/>
      <c r="K9" s="223"/>
      <c r="L9" s="223"/>
      <c r="N9" s="93"/>
      <c r="P9" s="232" t="s">
        <v>217</v>
      </c>
      <c r="Q9" s="232"/>
      <c r="R9" s="232"/>
      <c r="S9" s="232"/>
      <c r="T9" s="232"/>
      <c r="U9" s="232"/>
      <c r="V9" s="232"/>
      <c r="W9" s="232"/>
      <c r="X9" s="232"/>
      <c r="Y9" s="232"/>
      <c r="Z9" s="232"/>
      <c r="AB9" s="140" t="str">
        <f>AB4</f>
        <v>Q1-Q2-Q3</v>
      </c>
    </row>
    <row r="10" spans="1:28" x14ac:dyDescent="0.2">
      <c r="B10" s="7" t="s">
        <v>214</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214</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333578.11928000004</v>
      </c>
      <c r="I11" s="21">
        <f t="shared" ref="I11:L11" si="3">I20*I$6</f>
        <v>374055.17296243802</v>
      </c>
      <c r="J11" s="21">
        <f t="shared" si="3"/>
        <v>479715.36644385679</v>
      </c>
      <c r="K11" s="21">
        <f t="shared" si="3"/>
        <v>618995.17560595425</v>
      </c>
      <c r="L11" s="21">
        <f t="shared" si="3"/>
        <v>857863.33543010615</v>
      </c>
      <c r="N11" s="93"/>
      <c r="O11" s="7" t="s">
        <v>7</v>
      </c>
      <c r="P11" s="141">
        <f>'Statement Q'!C6</f>
        <v>47349</v>
      </c>
      <c r="Q11" s="141">
        <f>'Statement Q'!D6</f>
        <v>52180</v>
      </c>
      <c r="R11" s="141">
        <f>'Statement Q'!E6</f>
        <v>58925</v>
      </c>
      <c r="S11" s="141">
        <f>'Statement Q'!F6</f>
        <v>66647</v>
      </c>
      <c r="T11" s="141">
        <f>'Statement Q'!G6</f>
        <v>69684</v>
      </c>
      <c r="U11" s="141">
        <f>'Statement Q'!H6</f>
        <v>74802</v>
      </c>
      <c r="V11" s="141">
        <f>'Statement Q'!I6</f>
        <v>76999</v>
      </c>
      <c r="W11" s="142">
        <f>'Statement Q'!J6</f>
        <v>78871</v>
      </c>
      <c r="X11" s="21">
        <f>X20*X$6</f>
        <v>81656.727599999998</v>
      </c>
      <c r="Y11" s="21"/>
      <c r="Z11" s="21"/>
      <c r="AB11" s="20">
        <f>SUM(U11:X11)</f>
        <v>312328.72759999998</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416972.64909999998</v>
      </c>
      <c r="I12" s="20">
        <f t="shared" si="4"/>
        <v>408060.18868629599</v>
      </c>
      <c r="J12" s="20">
        <f t="shared" si="4"/>
        <v>513980.74976127507</v>
      </c>
      <c r="K12" s="20">
        <f t="shared" si="4"/>
        <v>716001.88223076786</v>
      </c>
      <c r="L12" s="20">
        <f t="shared" si="4"/>
        <v>901378.14229974907</v>
      </c>
      <c r="N12" s="93"/>
      <c r="O12" s="1" t="s">
        <v>9</v>
      </c>
      <c r="P12" s="114">
        <f>'Statement Q'!C8</f>
        <v>55147</v>
      </c>
      <c r="Q12" s="114">
        <f>'Statement Q'!D8</f>
        <v>62878</v>
      </c>
      <c r="R12" s="114">
        <f>'Statement Q'!E8</f>
        <v>66395</v>
      </c>
      <c r="S12" s="114">
        <f>'Statement Q'!F8</f>
        <v>70390</v>
      </c>
      <c r="T12" s="114">
        <f>'Statement Q'!G8</f>
        <v>73670</v>
      </c>
      <c r="U12" s="114">
        <f>'Statement Q'!H8</f>
        <v>82707</v>
      </c>
      <c r="V12" s="114">
        <f>'Statement Q'!I8</f>
        <v>79556</v>
      </c>
      <c r="W12" s="122">
        <f>'Statement Q'!J8</f>
        <v>82974</v>
      </c>
      <c r="X12" s="34">
        <f t="shared" ref="X12:X14" si="5">X21*X$6</f>
        <v>86322.826319999993</v>
      </c>
      <c r="Y12" s="20"/>
      <c r="Z12" s="20"/>
      <c r="AB12" s="20">
        <f t="shared" ref="AB12:AB15" si="6">SUM(U12:X12)</f>
        <v>331559.82631999999</v>
      </c>
    </row>
    <row r="13" spans="1:28" x14ac:dyDescent="0.2">
      <c r="B13" s="1" t="s">
        <v>108</v>
      </c>
      <c r="C13" s="114">
        <f>'Statement Y'!D9</f>
        <v>59170</v>
      </c>
      <c r="D13" s="114">
        <f>'Statement Y'!E9</f>
        <v>66967</v>
      </c>
      <c r="E13" s="114">
        <f>'Statement Y'!F9</f>
        <v>75788</v>
      </c>
      <c r="F13" s="114">
        <f>'Statement Y'!G9</f>
        <v>90494</v>
      </c>
      <c r="G13" s="122">
        <f>'Statement Y'!H9</f>
        <v>125677</v>
      </c>
      <c r="H13" s="20">
        <f t="shared" ref="H13:L13" si="7">H22*H$6</f>
        <v>154875.55538000001</v>
      </c>
      <c r="I13" s="20">
        <f t="shared" si="7"/>
        <v>170025.07861929</v>
      </c>
      <c r="J13" s="20">
        <f t="shared" si="7"/>
        <v>205592.29990451003</v>
      </c>
      <c r="K13" s="20">
        <f t="shared" si="7"/>
        <v>265613.60147270421</v>
      </c>
      <c r="L13" s="20">
        <f t="shared" si="7"/>
        <v>341902.05397576693</v>
      </c>
      <c r="M13" s="126"/>
      <c r="N13" s="126"/>
      <c r="O13" s="1" t="s">
        <v>108</v>
      </c>
      <c r="P13" s="114">
        <f>'Statement Q'!C9</f>
        <v>20174</v>
      </c>
      <c r="Q13" s="114">
        <f>'Statement Q'!D9</f>
        <v>25574</v>
      </c>
      <c r="R13" s="114">
        <f>'Statement Q'!E9</f>
        <v>24815</v>
      </c>
      <c r="S13" s="114">
        <f>'Statement Q'!F9</f>
        <v>26662</v>
      </c>
      <c r="T13" s="114">
        <f>'Statement Q'!G9</f>
        <v>29563</v>
      </c>
      <c r="U13" s="114">
        <f>'Statement Q'!H9</f>
        <v>35081</v>
      </c>
      <c r="V13" s="114">
        <f>'Statement Q'!I9</f>
        <v>34371</v>
      </c>
      <c r="W13" s="122">
        <f>'Statement Q'!J9</f>
        <v>39249</v>
      </c>
      <c r="X13" s="34">
        <f t="shared" si="5"/>
        <v>33537.58455</v>
      </c>
      <c r="Y13" s="20"/>
      <c r="Z13" s="20"/>
      <c r="AB13" s="20">
        <f t="shared" si="6"/>
        <v>142238.58455</v>
      </c>
    </row>
    <row r="14" spans="1:28" x14ac:dyDescent="0.2">
      <c r="B14" s="1" t="s">
        <v>213</v>
      </c>
      <c r="C14" s="114">
        <f>'Statement Y'!D10</f>
        <v>78590</v>
      </c>
      <c r="D14" s="114">
        <f>'Statement Y'!E10</f>
        <v>117848</v>
      </c>
      <c r="E14" s="114">
        <f>'Statement Y'!F10</f>
        <v>132123</v>
      </c>
      <c r="F14" s="114">
        <f>'Statement Y'!G10</f>
        <v>155992</v>
      </c>
      <c r="G14" s="122">
        <f>'Statement Y'!H10</f>
        <v>181887</v>
      </c>
      <c r="H14" s="20">
        <f t="shared" ref="H14:L14" si="8">H23*H$6</f>
        <v>214443.07668</v>
      </c>
      <c r="I14" s="20">
        <f t="shared" si="8"/>
        <v>231234.10692223441</v>
      </c>
      <c r="J14" s="20">
        <f t="shared" si="8"/>
        <v>274123.06653934671</v>
      </c>
      <c r="K14" s="20">
        <f t="shared" si="8"/>
        <v>404194.61093672377</v>
      </c>
      <c r="L14" s="20">
        <f t="shared" si="8"/>
        <v>528394.08341709431</v>
      </c>
      <c r="M14" s="126"/>
      <c r="N14" s="126"/>
      <c r="O14" s="1" t="s">
        <v>213</v>
      </c>
      <c r="P14" s="114">
        <f>'Statement Q'!C10</f>
        <v>36957</v>
      </c>
      <c r="Q14" s="114">
        <f>'Statement Q'!D10</f>
        <v>38388</v>
      </c>
      <c r="R14" s="114">
        <f>'Statement Q'!E10</f>
        <v>45533</v>
      </c>
      <c r="S14" s="114">
        <f>'Statement Q'!F10</f>
        <v>43450</v>
      </c>
      <c r="T14" s="114">
        <f>'Statement Q'!G10</f>
        <v>45985</v>
      </c>
      <c r="U14" s="114">
        <f>'Statement Q'!H10</f>
        <v>43964</v>
      </c>
      <c r="V14" s="114">
        <f>'Statement Q'!I10</f>
        <v>48488</v>
      </c>
      <c r="W14" s="122">
        <f>'Statement Q'!J10</f>
        <v>46346</v>
      </c>
      <c r="X14" s="34">
        <f t="shared" si="5"/>
        <v>53951.766449999996</v>
      </c>
      <c r="Y14" s="20"/>
      <c r="Z14" s="20"/>
      <c r="AB14" s="20">
        <f t="shared" si="6"/>
        <v>192749.76645</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786291.28116000001</v>
      </c>
      <c r="I15" s="21">
        <f t="shared" ref="I15:L15" si="9">SUM(I12:I14)</f>
        <v>809319.37422782043</v>
      </c>
      <c r="J15" s="21">
        <f t="shared" si="9"/>
        <v>993696.11620513187</v>
      </c>
      <c r="K15" s="21">
        <f t="shared" si="9"/>
        <v>1385810.0946401958</v>
      </c>
      <c r="L15" s="21">
        <f t="shared" si="9"/>
        <v>1771674.2796926103</v>
      </c>
      <c r="M15" s="126"/>
      <c r="N15" s="126"/>
      <c r="O15" s="7" t="s">
        <v>11</v>
      </c>
      <c r="P15" s="141">
        <f>'Statement Q'!C11</f>
        <v>112278</v>
      </c>
      <c r="Q15" s="141">
        <f>'Statement Q'!D11</f>
        <v>126840</v>
      </c>
      <c r="R15" s="141">
        <f>'Statement Q'!E11</f>
        <v>136743</v>
      </c>
      <c r="S15" s="141">
        <f>'Statement Q'!F11</f>
        <v>140502</v>
      </c>
      <c r="T15" s="141">
        <f>'Statement Q'!G11</f>
        <v>149218</v>
      </c>
      <c r="U15" s="141">
        <f>'Statement Q'!H11</f>
        <v>161752</v>
      </c>
      <c r="V15" s="141">
        <f>'Statement Q'!I11</f>
        <v>162415</v>
      </c>
      <c r="W15" s="142">
        <f>'Statement Q'!J11</f>
        <v>168569</v>
      </c>
      <c r="X15" s="21">
        <f>SUM(X12:X14)</f>
        <v>173812.17731999999</v>
      </c>
      <c r="Y15" s="21"/>
      <c r="Z15" s="21"/>
      <c r="AB15" s="20">
        <f t="shared" si="6"/>
        <v>666548.17732000002</v>
      </c>
    </row>
    <row r="18" spans="2:26" x14ac:dyDescent="0.2">
      <c r="C18" s="223" t="s">
        <v>215</v>
      </c>
      <c r="D18" s="223"/>
      <c r="E18" s="223"/>
      <c r="F18" s="223"/>
      <c r="G18" s="223"/>
      <c r="H18" s="223"/>
      <c r="I18" s="223"/>
      <c r="J18" s="223"/>
      <c r="K18" s="223"/>
      <c r="L18" s="223"/>
      <c r="P18" s="232" t="s">
        <v>215</v>
      </c>
      <c r="Q18" s="232"/>
      <c r="R18" s="232"/>
      <c r="S18" s="232"/>
      <c r="T18" s="232"/>
      <c r="U18" s="232"/>
      <c r="V18" s="232"/>
      <c r="W18" s="232"/>
      <c r="X18" s="232"/>
      <c r="Y18" s="232"/>
      <c r="Z18" s="232"/>
    </row>
    <row r="19" spans="2:26" x14ac:dyDescent="0.2">
      <c r="B19" s="7" t="s">
        <v>178</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178</v>
      </c>
      <c r="P19" s="62" t="str">
        <f t="shared" ref="P19:Z19" si="11">P5</f>
        <v>Q2 2024</v>
      </c>
      <c r="Q19" s="62" t="str">
        <f t="shared" si="11"/>
        <v>Q3 2024</v>
      </c>
      <c r="R19" s="62" t="str">
        <f t="shared" si="11"/>
        <v>Q4 2024</v>
      </c>
      <c r="S19" s="62" t="str">
        <f t="shared" si="11"/>
        <v>Q1 2025</v>
      </c>
      <c r="T19" s="62" t="str">
        <f t="shared" si="11"/>
        <v>Q2 2025</v>
      </c>
      <c r="U19" s="62" t="str">
        <f t="shared" si="11"/>
        <v>Q3 2025</v>
      </c>
      <c r="V19" s="62" t="str">
        <f t="shared" si="11"/>
        <v>Q4 2025</v>
      </c>
      <c r="W19" s="62" t="str">
        <f t="shared" si="11"/>
        <v>Q1 2026</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0.26551784082051511</v>
      </c>
      <c r="Q20" s="116">
        <f t="shared" si="13"/>
        <v>0.27093263549227908</v>
      </c>
      <c r="R20" s="116">
        <f t="shared" si="13"/>
        <v>0.28119780481985207</v>
      </c>
      <c r="S20" s="116">
        <f t="shared" si="13"/>
        <v>0.28883649774857745</v>
      </c>
      <c r="T20" s="116">
        <f t="shared" si="13"/>
        <v>0.27623332606584344</v>
      </c>
      <c r="U20" s="116">
        <f t="shared" si="13"/>
        <v>0.27529783263958663</v>
      </c>
      <c r="V20" s="116">
        <f t="shared" si="13"/>
        <v>0.27220823847165465</v>
      </c>
      <c r="W20" s="117">
        <f t="shared" si="13"/>
        <v>0.27013669353043324</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0.30924649660455233</v>
      </c>
      <c r="Q21" s="116">
        <f t="shared" si="17"/>
        <v>0.32647953726491996</v>
      </c>
      <c r="R21" s="116">
        <f t="shared" si="17"/>
        <v>0.31684562157003104</v>
      </c>
      <c r="S21" s="116">
        <f t="shared" si="17"/>
        <v>0.30505800826027224</v>
      </c>
      <c r="T21" s="116">
        <f t="shared" si="17"/>
        <v>0.29203417041603075</v>
      </c>
      <c r="U21" s="116">
        <f t="shared" si="17"/>
        <v>0.30439103024146802</v>
      </c>
      <c r="V21" s="116">
        <f t="shared" si="17"/>
        <v>0.2812477904888499</v>
      </c>
      <c r="W21" s="117">
        <f t="shared" si="17"/>
        <v>0.2841896515702117</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0.11312925131920573</v>
      </c>
      <c r="Q22" s="116">
        <f t="shared" si="19"/>
        <v>0.13278710655575979</v>
      </c>
      <c r="R22" s="116">
        <f t="shared" si="19"/>
        <v>0.11842042471963732</v>
      </c>
      <c r="S22" s="116">
        <f t="shared" si="19"/>
        <v>0.11554846734245459</v>
      </c>
      <c r="T22" s="116">
        <f t="shared" si="19"/>
        <v>0.11719025627812023</v>
      </c>
      <c r="U22" s="116">
        <f t="shared" si="19"/>
        <v>0.1291104952652247</v>
      </c>
      <c r="V22" s="116">
        <f t="shared" si="19"/>
        <v>0.12150897238287824</v>
      </c>
      <c r="W22" s="117">
        <f t="shared" si="19"/>
        <v>0.1344295759452267</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0.20724287404599415</v>
      </c>
      <c r="Q23" s="116">
        <f t="shared" si="21"/>
        <v>0.19932085111685721</v>
      </c>
      <c r="R23" s="116">
        <f t="shared" si="21"/>
        <v>0.2172894297303746</v>
      </c>
      <c r="S23" s="116">
        <f t="shared" si="21"/>
        <v>0.18830473730514036</v>
      </c>
      <c r="T23" s="116">
        <f t="shared" si="21"/>
        <v>0.18228846649356828</v>
      </c>
      <c r="U23" s="116">
        <f t="shared" si="21"/>
        <v>0.16180307898407512</v>
      </c>
      <c r="V23" s="116">
        <f t="shared" si="21"/>
        <v>0.17141564263189898</v>
      </c>
      <c r="W23" s="117">
        <f t="shared" si="21"/>
        <v>0.1587371175509561</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topLeftCell="A25" zoomScale="189" zoomScaleNormal="100" workbookViewId="0">
      <selection activeCell="H20" sqref="H20:L20"/>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321</v>
      </c>
    </row>
    <row r="2" spans="1:28" s="103" customFormat="1" ht="18" customHeight="1" x14ac:dyDescent="0.2">
      <c r="A2" s="104"/>
      <c r="B2" s="105"/>
    </row>
    <row r="3" spans="1:28" x14ac:dyDescent="0.2">
      <c r="A3" s="104"/>
      <c r="C3" s="224" t="s">
        <v>176</v>
      </c>
      <c r="D3" s="224"/>
      <c r="E3" s="224"/>
      <c r="F3" s="224"/>
      <c r="G3" s="225"/>
      <c r="H3" s="226" t="s">
        <v>177</v>
      </c>
      <c r="I3" s="224"/>
      <c r="J3" s="224"/>
      <c r="K3" s="224"/>
      <c r="L3" s="224"/>
      <c r="P3" s="227"/>
      <c r="Q3" s="227"/>
      <c r="R3" s="227"/>
      <c r="S3" s="227"/>
      <c r="T3" s="227"/>
      <c r="U3" s="227"/>
      <c r="V3" s="227"/>
      <c r="W3" s="227"/>
      <c r="X3" s="227"/>
      <c r="Y3" s="227"/>
      <c r="Z3" s="227"/>
      <c r="AB3" s="143"/>
    </row>
    <row r="4" spans="1:28" ht="10" customHeight="1" x14ac:dyDescent="0.2"/>
    <row r="5" spans="1:28" ht="16" customHeight="1" x14ac:dyDescent="0.2">
      <c r="A5" s="109"/>
      <c r="B5" s="94"/>
      <c r="C5" s="223" t="s">
        <v>185</v>
      </c>
      <c r="D5" s="223"/>
      <c r="E5" s="223"/>
      <c r="F5" s="223"/>
      <c r="G5" s="223"/>
      <c r="H5" s="223"/>
      <c r="I5" s="223"/>
      <c r="J5" s="223"/>
      <c r="K5" s="223"/>
      <c r="L5" s="223"/>
      <c r="P5" s="227"/>
      <c r="Q5" s="227"/>
      <c r="R5" s="227"/>
      <c r="S5" s="227"/>
      <c r="T5" s="227"/>
      <c r="U5" s="227"/>
      <c r="V5" s="227"/>
      <c r="W5" s="227"/>
      <c r="X5" s="227"/>
      <c r="Y5" s="227"/>
      <c r="Z5" s="227"/>
      <c r="AB5" s="144"/>
    </row>
    <row r="6" spans="1:28" x14ac:dyDescent="0.2">
      <c r="B6" s="7" t="s">
        <v>186</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1191350.426</v>
      </c>
      <c r="I7" s="111">
        <f>Revenue!I12</f>
        <v>1360200.62895432</v>
      </c>
      <c r="J7" s="111">
        <f>Revenue!J12</f>
        <v>1713269.165870917</v>
      </c>
      <c r="K7" s="111">
        <f>Revenue!K12</f>
        <v>2309683.4910669932</v>
      </c>
      <c r="L7" s="111">
        <f>Revenue!L12</f>
        <v>3108200.4906887901</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333578.11928000004</v>
      </c>
      <c r="I8" s="153">
        <f>'COGS &amp; OpEx'!I11</f>
        <v>374055.17296243802</v>
      </c>
      <c r="J8" s="153">
        <f>'COGS &amp; OpEx'!J11</f>
        <v>479715.36644385679</v>
      </c>
      <c r="K8" s="153">
        <f>'COGS &amp; OpEx'!K11</f>
        <v>618995.17560595425</v>
      </c>
      <c r="L8" s="153">
        <f>'COGS &amp; OpEx'!L11</f>
        <v>857863.33543010615</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786291.28116000001</v>
      </c>
      <c r="I9" s="153">
        <f>'COGS &amp; OpEx'!I15</f>
        <v>809319.37422782043</v>
      </c>
      <c r="J9" s="153">
        <f>'COGS &amp; OpEx'!J15</f>
        <v>993696.11620513187</v>
      </c>
      <c r="K9" s="153">
        <f>'COGS &amp; OpEx'!K15</f>
        <v>1385810.0946401958</v>
      </c>
      <c r="L9" s="153">
        <f>'COGS &amp; OpEx'!L15</f>
        <v>1771674.2796926103</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23" t="s">
        <v>224</v>
      </c>
      <c r="D12" s="223"/>
      <c r="E12" s="223"/>
      <c r="F12" s="223"/>
      <c r="G12" s="223"/>
      <c r="H12" s="223"/>
      <c r="I12" s="223"/>
      <c r="J12" s="223"/>
      <c r="K12" s="223"/>
      <c r="L12" s="223"/>
      <c r="N12" s="93"/>
      <c r="P12" s="227"/>
      <c r="Q12" s="227"/>
      <c r="R12" s="227"/>
      <c r="S12" s="227"/>
      <c r="T12" s="227"/>
      <c r="U12" s="227"/>
      <c r="V12" s="227"/>
      <c r="W12" s="227"/>
      <c r="X12" s="227"/>
      <c r="Y12" s="227"/>
      <c r="Z12" s="227"/>
      <c r="AB12" s="144"/>
    </row>
    <row r="13" spans="1:28" x14ac:dyDescent="0.2">
      <c r="B13" s="7" t="s">
        <v>223</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225</v>
      </c>
      <c r="C14" s="148">
        <f>'Statement Y'!D27</f>
        <v>33163</v>
      </c>
      <c r="D14" s="148">
        <f>'Statement Y'!E27</f>
        <v>46728</v>
      </c>
      <c r="E14" s="148">
        <f>'Statement Y'!F27</f>
        <v>88975</v>
      </c>
      <c r="F14" s="148">
        <f>'Statement Y'!G27</f>
        <v>128923</v>
      </c>
      <c r="G14" s="149">
        <f>'Statement Y'!H27</f>
        <v>162827</v>
      </c>
      <c r="H14" s="34">
        <f t="shared" ref="H14:L15" si="2">H20*H7/365</f>
        <v>180016.52665110552</v>
      </c>
      <c r="I14" s="34">
        <f t="shared" si="2"/>
        <v>205530.28515306531</v>
      </c>
      <c r="J14" s="34">
        <f t="shared" si="2"/>
        <v>258879.97160838658</v>
      </c>
      <c r="K14" s="34">
        <f t="shared" si="2"/>
        <v>348999.91694406787</v>
      </c>
      <c r="L14" s="34">
        <f t="shared" si="2"/>
        <v>469658.16627748276</v>
      </c>
      <c r="N14" s="93"/>
      <c r="O14" s="7"/>
      <c r="P14" s="146"/>
      <c r="Q14" s="146"/>
      <c r="R14" s="146"/>
      <c r="S14" s="146"/>
      <c r="T14" s="146"/>
      <c r="U14" s="146"/>
      <c r="V14" s="146"/>
      <c r="W14" s="146"/>
      <c r="X14" s="21"/>
      <c r="Y14" s="21"/>
      <c r="Z14" s="21"/>
      <c r="AB14" s="20"/>
    </row>
    <row r="15" spans="1:28" x14ac:dyDescent="0.2">
      <c r="B15" s="1" t="s">
        <v>226</v>
      </c>
      <c r="C15" s="148">
        <f>'Statement Y'!D42</f>
        <v>7818</v>
      </c>
      <c r="D15" s="148">
        <f>'Statement Y'!E42</f>
        <v>1177</v>
      </c>
      <c r="E15" s="148">
        <f>'Statement Y'!F42</f>
        <v>2447</v>
      </c>
      <c r="F15" s="148">
        <f>'Statement Y'!G42</f>
        <v>6381</v>
      </c>
      <c r="G15" s="149">
        <f>'Statement Y'!H42</f>
        <v>7998</v>
      </c>
      <c r="H15" s="20">
        <f t="shared" si="2"/>
        <v>7351.1499042630912</v>
      </c>
      <c r="I15" s="20">
        <f t="shared" si="2"/>
        <v>8243.1535223203809</v>
      </c>
      <c r="J15" s="20">
        <f t="shared" si="2"/>
        <v>10571.615361699543</v>
      </c>
      <c r="K15" s="20">
        <f t="shared" si="2"/>
        <v>13640.961630566531</v>
      </c>
      <c r="L15" s="20">
        <f t="shared" si="2"/>
        <v>18904.962920617854</v>
      </c>
      <c r="N15" s="93"/>
      <c r="P15" s="147"/>
      <c r="Q15" s="147"/>
      <c r="R15" s="147"/>
      <c r="S15" s="147"/>
      <c r="T15" s="147"/>
      <c r="U15" s="147"/>
      <c r="V15" s="147"/>
      <c r="W15" s="147"/>
      <c r="X15" s="34"/>
      <c r="Y15" s="20"/>
      <c r="Z15" s="20"/>
      <c r="AB15" s="20"/>
    </row>
    <row r="16" spans="1:28" x14ac:dyDescent="0.2">
      <c r="D16" s="20"/>
    </row>
    <row r="18" spans="2:12" x14ac:dyDescent="0.2">
      <c r="C18" s="223" t="s">
        <v>233</v>
      </c>
      <c r="D18" s="223"/>
      <c r="E18" s="223"/>
      <c r="F18" s="223"/>
      <c r="G18" s="223"/>
      <c r="H18" s="223"/>
      <c r="I18" s="223"/>
      <c r="J18" s="223"/>
      <c r="K18" s="223"/>
      <c r="L18" s="223"/>
    </row>
    <row r="19" spans="2:12" x14ac:dyDescent="0.2">
      <c r="B19" s="7" t="s">
        <v>228</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229</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230</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227</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27"/>
      <c r="C24" s="227"/>
    </row>
    <row r="25" spans="2:12" x14ac:dyDescent="0.2">
      <c r="B25" s="143"/>
      <c r="C25" s="223" t="s">
        <v>374</v>
      </c>
      <c r="D25" s="223"/>
      <c r="E25" s="223"/>
      <c r="F25" s="223"/>
      <c r="G25" s="223"/>
      <c r="H25" s="223"/>
      <c r="I25" s="223"/>
      <c r="J25" s="223"/>
      <c r="K25" s="223"/>
      <c r="L25" s="223"/>
    </row>
    <row r="26" spans="2:12" x14ac:dyDescent="0.2">
      <c r="B26" s="7" t="s">
        <v>223</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318</v>
      </c>
      <c r="C27" s="148">
        <f>'Statement Y'!D68</f>
        <v>-12713</v>
      </c>
      <c r="D27" s="148">
        <f>'Statement Y'!E68</f>
        <v>-13565</v>
      </c>
      <c r="E27" s="148">
        <f>'Statement Y'!F68</f>
        <v>-42247</v>
      </c>
      <c r="F27" s="148">
        <f>'Statement Y'!G68</f>
        <v>-39917</v>
      </c>
      <c r="G27" s="149">
        <f>'Statement Y'!H68</f>
        <v>-33904</v>
      </c>
      <c r="H27" s="34">
        <f>-(H14-G14)</f>
        <v>-17189.526651105523</v>
      </c>
      <c r="I27" s="34">
        <f t="shared" ref="I27:L27" si="9">-(I14-H14)</f>
        <v>-25513.75850195979</v>
      </c>
      <c r="J27" s="34">
        <f t="shared" si="9"/>
        <v>-53349.686455321265</v>
      </c>
      <c r="K27" s="34">
        <f t="shared" si="9"/>
        <v>-90119.945335681288</v>
      </c>
      <c r="L27" s="34">
        <f t="shared" si="9"/>
        <v>-120658.24933341489</v>
      </c>
    </row>
    <row r="28" spans="2:12" x14ac:dyDescent="0.2">
      <c r="B28" s="1" t="s">
        <v>319</v>
      </c>
      <c r="C28" s="148">
        <f>'Statement Y'!D71</f>
        <v>5622</v>
      </c>
      <c r="D28" s="148">
        <f>'Statement Y'!E71</f>
        <v>-6655</v>
      </c>
      <c r="E28" s="148">
        <f>'Statement Y'!F71</f>
        <v>1261</v>
      </c>
      <c r="F28" s="148">
        <f>'Statement Y'!G71</f>
        <v>3934</v>
      </c>
      <c r="G28" s="149">
        <f>'Statement Y'!H71</f>
        <v>1617</v>
      </c>
      <c r="H28" s="20">
        <f>H15-G15</f>
        <v>-646.85009573690877</v>
      </c>
      <c r="I28" s="20">
        <f t="shared" ref="I28:L28" si="10">I15-H15</f>
        <v>892.00361805728971</v>
      </c>
      <c r="J28" s="20">
        <f t="shared" si="10"/>
        <v>2328.4618393791625</v>
      </c>
      <c r="K28" s="20">
        <f t="shared" si="10"/>
        <v>3069.3462688669879</v>
      </c>
      <c r="L28" s="20">
        <f t="shared" si="10"/>
        <v>5264.0012900513229</v>
      </c>
    </row>
    <row r="29" spans="2:12" x14ac:dyDescent="0.2">
      <c r="B29" s="143"/>
      <c r="C29" s="143"/>
    </row>
    <row r="30" spans="2:12" x14ac:dyDescent="0.2">
      <c r="B30" s="143"/>
      <c r="C30" s="143"/>
    </row>
    <row r="31" spans="2:12" x14ac:dyDescent="0.2">
      <c r="B31" s="143"/>
      <c r="C31" s="223" t="s">
        <v>375</v>
      </c>
      <c r="D31" s="223"/>
      <c r="E31" s="223"/>
      <c r="F31" s="223"/>
      <c r="G31" s="223"/>
      <c r="H31" s="223"/>
      <c r="I31" s="223"/>
      <c r="J31" s="223"/>
      <c r="K31" s="223"/>
      <c r="L31" s="223"/>
    </row>
    <row r="32" spans="2:12" x14ac:dyDescent="0.2">
      <c r="B32" s="7" t="s">
        <v>223</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320</v>
      </c>
      <c r="C33" s="148">
        <f>Statements!D64</f>
        <v>25775</v>
      </c>
      <c r="D33" s="148">
        <f>Statements!E64</f>
        <v>34540</v>
      </c>
      <c r="E33" s="148">
        <f>Statements!F64</f>
        <v>34898</v>
      </c>
      <c r="F33" s="148">
        <f>Statements!G64</f>
        <v>75921</v>
      </c>
      <c r="G33" s="149">
        <f>Statements!H64</f>
        <v>48966</v>
      </c>
      <c r="H33" s="34">
        <f>H34+H27+H28</f>
        <v>101298.66585315757</v>
      </c>
      <c r="I33" s="34">
        <f t="shared" ref="I33:L33" si="12">I34+I27+I28</f>
        <v>111398.3080115295</v>
      </c>
      <c r="J33" s="34">
        <f t="shared" si="12"/>
        <v>120305.69197114962</v>
      </c>
      <c r="K33" s="34">
        <f t="shared" si="12"/>
        <v>143917.75003988505</v>
      </c>
      <c r="L33" s="34">
        <f t="shared" si="12"/>
        <v>195425.80102551548</v>
      </c>
    </row>
    <row r="34" spans="2:12" x14ac:dyDescent="0.2">
      <c r="B34" s="1" t="s">
        <v>376</v>
      </c>
      <c r="C34" s="162">
        <f>C33-C27-C28</f>
        <v>32866</v>
      </c>
      <c r="D34" s="162">
        <f t="shared" ref="D34:G34" si="13">D33-D27-D28</f>
        <v>54760</v>
      </c>
      <c r="E34" s="162">
        <f t="shared" si="13"/>
        <v>75884</v>
      </c>
      <c r="F34" s="162">
        <f t="shared" si="13"/>
        <v>111904</v>
      </c>
      <c r="G34" s="163">
        <f t="shared" si="13"/>
        <v>81253</v>
      </c>
      <c r="H34" s="20">
        <f>H7*H35</f>
        <v>119135.0426</v>
      </c>
      <c r="I34" s="20">
        <f t="shared" ref="I34:L34" si="14">I7*I35</f>
        <v>136020.062895432</v>
      </c>
      <c r="J34" s="20">
        <f t="shared" si="14"/>
        <v>171326.91658709172</v>
      </c>
      <c r="K34" s="20">
        <f t="shared" si="14"/>
        <v>230968.34910669934</v>
      </c>
      <c r="L34" s="20">
        <f t="shared" si="14"/>
        <v>310820.04906887905</v>
      </c>
    </row>
    <row r="35" spans="2:12" x14ac:dyDescent="0.2">
      <c r="B35" s="198" t="s">
        <v>178</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23" t="s">
        <v>322</v>
      </c>
      <c r="D38" s="223"/>
      <c r="E38" s="223"/>
      <c r="F38" s="223"/>
      <c r="G38" s="223"/>
      <c r="H38" s="223"/>
      <c r="I38" s="223"/>
      <c r="J38" s="223"/>
      <c r="K38" s="223"/>
      <c r="L38" s="223"/>
    </row>
    <row r="39" spans="2:12" x14ac:dyDescent="0.2">
      <c r="B39" s="7" t="s">
        <v>223</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Statements!D57</f>
        <v>2726</v>
      </c>
      <c r="D40" s="148">
        <f>Statements!E57</f>
        <v>4870</v>
      </c>
      <c r="E40" s="148">
        <f>Statements!F57</f>
        <v>7095</v>
      </c>
      <c r="F40" s="148">
        <f>Statements!G57</f>
        <v>10854</v>
      </c>
      <c r="G40" s="149">
        <f>Statements!H57</f>
        <v>14391</v>
      </c>
      <c r="H40" s="34">
        <f>H7*H41</f>
        <v>15487.555537999999</v>
      </c>
      <c r="I40" s="34">
        <f t="shared" ref="I40:L40" si="17">I7*I41</f>
        <v>17682.60817640616</v>
      </c>
      <c r="J40" s="34">
        <f t="shared" si="17"/>
        <v>22272.499156321919</v>
      </c>
      <c r="K40" s="34">
        <f t="shared" si="17"/>
        <v>30025.885383870911</v>
      </c>
      <c r="L40" s="34">
        <f t="shared" si="17"/>
        <v>40406.606378954268</v>
      </c>
    </row>
    <row r="41" spans="2:12" x14ac:dyDescent="0.2">
      <c r="B41" s="198" t="s">
        <v>323</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1.2999999999999999E-2</v>
      </c>
      <c r="I41" s="119">
        <v>1.2999999999999999E-2</v>
      </c>
      <c r="J41" s="119">
        <v>1.2999999999999999E-2</v>
      </c>
      <c r="K41" s="119">
        <v>1.2999999999999999E-2</v>
      </c>
      <c r="L41" s="119">
        <v>1.2999999999999999E-2</v>
      </c>
    </row>
    <row r="42" spans="2:12" x14ac:dyDescent="0.2">
      <c r="B42" s="198" t="s">
        <v>324</v>
      </c>
      <c r="C42" s="196">
        <f>C40/C43</f>
        <v>0.64535984848484851</v>
      </c>
      <c r="D42" s="196">
        <f t="shared" ref="D42:L42" si="20">D40/D43</f>
        <v>0.59520899535565874</v>
      </c>
      <c r="E42" s="196">
        <f t="shared" si="20"/>
        <v>0.91512962724106794</v>
      </c>
      <c r="F42" s="196">
        <f t="shared" si="20"/>
        <v>0.48007430669202528</v>
      </c>
      <c r="G42" s="197">
        <f t="shared" si="20"/>
        <v>0.53064159292035395</v>
      </c>
      <c r="H42" s="196">
        <f t="shared" si="20"/>
        <v>0.51999999999999991</v>
      </c>
      <c r="I42" s="196">
        <f t="shared" si="20"/>
        <v>0.52</v>
      </c>
      <c r="J42" s="196">
        <f t="shared" si="20"/>
        <v>0.51999999999999991</v>
      </c>
      <c r="K42" s="196">
        <f t="shared" si="20"/>
        <v>0.51999999999999991</v>
      </c>
      <c r="L42" s="196">
        <f t="shared" si="20"/>
        <v>0.51999999999999991</v>
      </c>
    </row>
    <row r="43" spans="2:12" x14ac:dyDescent="0.2">
      <c r="B43" s="1" t="s">
        <v>44</v>
      </c>
      <c r="C43" s="148">
        <f>-Statements!D66-Statements!C67</f>
        <v>4224</v>
      </c>
      <c r="D43" s="148">
        <f>-Statements!E66-Statements!D67</f>
        <v>8182</v>
      </c>
      <c r="E43" s="148">
        <f>-Statements!F66-Statements!E67</f>
        <v>7753</v>
      </c>
      <c r="F43" s="148">
        <f>-Statements!G66-Statements!F67</f>
        <v>22609</v>
      </c>
      <c r="G43" s="149">
        <f>-Statements!H66-Statements!G67</f>
        <v>27120</v>
      </c>
      <c r="H43" s="34">
        <f>H7*H44</f>
        <v>29783.76065</v>
      </c>
      <c r="I43" s="34">
        <f t="shared" ref="I43:L43" si="21">I7*I44</f>
        <v>34005.015723858</v>
      </c>
      <c r="J43" s="34">
        <f t="shared" si="21"/>
        <v>42831.72914677293</v>
      </c>
      <c r="K43" s="34">
        <f t="shared" si="21"/>
        <v>57742.087276674836</v>
      </c>
      <c r="L43" s="34">
        <f t="shared" si="21"/>
        <v>77705.012267219761</v>
      </c>
    </row>
    <row r="44" spans="2:12" x14ac:dyDescent="0.2">
      <c r="B44" s="198" t="s">
        <v>323</v>
      </c>
      <c r="C44" s="196">
        <f>C43/C7</f>
        <v>1.684398577193626E-2</v>
      </c>
      <c r="D44" s="196">
        <f t="shared" ref="D44:G44" si="22">D43/D7</f>
        <v>2.2143736721741837E-2</v>
      </c>
      <c r="E44" s="196">
        <f t="shared" si="22"/>
        <v>1.459775676932607E-2</v>
      </c>
      <c r="F44" s="196">
        <f t="shared" si="22"/>
        <v>3.022496604387025E-2</v>
      </c>
      <c r="G44" s="197">
        <f t="shared" si="22"/>
        <v>2.613751687807022E-2</v>
      </c>
      <c r="H44" s="119">
        <v>2.5000000000000001E-2</v>
      </c>
      <c r="I44" s="119">
        <v>2.5000000000000001E-2</v>
      </c>
      <c r="J44" s="119">
        <v>2.5000000000000001E-2</v>
      </c>
      <c r="K44" s="119">
        <v>2.5000000000000001E-2</v>
      </c>
      <c r="L44" s="119">
        <v>2.5000000000000001E-2</v>
      </c>
    </row>
  </sheetData>
  <mergeCells count="13">
    <mergeCell ref="C3:G3"/>
    <mergeCell ref="H3:L3"/>
    <mergeCell ref="P3:W3"/>
    <mergeCell ref="X3:Z3"/>
    <mergeCell ref="C5:L5"/>
    <mergeCell ref="P5:Z5"/>
    <mergeCell ref="C25:L25"/>
    <mergeCell ref="C31:L31"/>
    <mergeCell ref="C38:L38"/>
    <mergeCell ref="C12:L12"/>
    <mergeCell ref="P12:Z12"/>
    <mergeCell ref="C18:L18"/>
    <mergeCell ref="B24:C24"/>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3"/>
  <sheetViews>
    <sheetView topLeftCell="A5" zoomScale="177" workbookViewId="0">
      <selection activeCell="G13" sqref="G13"/>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325</v>
      </c>
    </row>
    <row r="2" spans="1:31" x14ac:dyDescent="0.2">
      <c r="A2" s="104"/>
      <c r="C2" s="224" t="s">
        <v>176</v>
      </c>
      <c r="D2" s="224"/>
      <c r="E2" s="224"/>
      <c r="F2" s="224"/>
      <c r="G2" s="225"/>
      <c r="H2" s="226" t="s">
        <v>177</v>
      </c>
      <c r="I2" s="224"/>
      <c r="J2" s="224"/>
      <c r="K2" s="224"/>
      <c r="L2" s="224"/>
      <c r="S2" s="227"/>
      <c r="T2" s="227"/>
      <c r="U2" s="227"/>
      <c r="V2" s="227"/>
      <c r="W2" s="227"/>
      <c r="X2" s="227"/>
      <c r="Y2" s="227"/>
      <c r="Z2" s="227"/>
      <c r="AA2" s="227"/>
      <c r="AB2" s="227"/>
      <c r="AC2" s="227"/>
      <c r="AE2" s="143"/>
    </row>
    <row r="3" spans="1:31" ht="10" customHeight="1" x14ac:dyDescent="0.2"/>
    <row r="4" spans="1:31" ht="16" customHeight="1" x14ac:dyDescent="0.2">
      <c r="A4" s="109"/>
      <c r="B4" s="94"/>
      <c r="C4" s="223" t="s">
        <v>5</v>
      </c>
      <c r="D4" s="223"/>
      <c r="E4" s="223"/>
      <c r="F4" s="223"/>
      <c r="G4" s="223"/>
      <c r="H4" s="223"/>
      <c r="I4" s="223"/>
      <c r="J4" s="223"/>
      <c r="K4" s="223"/>
      <c r="L4" s="223"/>
      <c r="S4" s="227"/>
      <c r="T4" s="227"/>
      <c r="U4" s="227"/>
      <c r="V4" s="227"/>
      <c r="W4" s="227"/>
      <c r="X4" s="227"/>
      <c r="Y4" s="227"/>
      <c r="Z4" s="227"/>
      <c r="AA4" s="227"/>
      <c r="AB4" s="227"/>
      <c r="AC4" s="227"/>
      <c r="AE4" s="144"/>
    </row>
    <row r="5" spans="1:31" x14ac:dyDescent="0.2">
      <c r="B5" s="7" t="s">
        <v>223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126" t="s">
        <v>247</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333578.11928000004</v>
      </c>
      <c r="I7" s="153">
        <f>'COGS &amp; OpEx'!I11</f>
        <v>374055.17296243802</v>
      </c>
      <c r="J7" s="153">
        <f>'COGS &amp; OpEx'!J11</f>
        <v>479715.36644385679</v>
      </c>
      <c r="K7" s="153">
        <f>'COGS &amp; OpEx'!K11</f>
        <v>618995.17560595425</v>
      </c>
      <c r="L7" s="153">
        <f>'COGS &amp; OpEx'!L11</f>
        <v>857863.33543010615</v>
      </c>
      <c r="N7" s="126" t="s">
        <v>239</v>
      </c>
      <c r="Q7" s="126"/>
      <c r="S7" s="107"/>
      <c r="T7" s="107"/>
      <c r="U7" s="107"/>
      <c r="V7" s="107"/>
      <c r="W7" s="107"/>
      <c r="X7" s="107"/>
      <c r="Y7" s="107"/>
      <c r="Z7" s="107"/>
      <c r="AA7" s="108"/>
      <c r="AB7" s="108"/>
      <c r="AC7" s="108"/>
      <c r="AE7" s="108"/>
    </row>
    <row r="8" spans="1:31" x14ac:dyDescent="0.2">
      <c r="B8" s="7" t="s">
        <v>179</v>
      </c>
      <c r="C8" s="113">
        <f>C6-C7</f>
        <v>181586</v>
      </c>
      <c r="D8" s="113">
        <f t="shared" ref="D8:L8" si="0">D6-D7</f>
        <v>270064</v>
      </c>
      <c r="E8" s="113">
        <f t="shared" si="0"/>
        <v>389004</v>
      </c>
      <c r="F8" s="113">
        <f t="shared" si="0"/>
        <v>544379</v>
      </c>
      <c r="G8" s="157">
        <f t="shared" si="0"/>
        <v>749457</v>
      </c>
      <c r="H8" s="113">
        <f t="shared" si="0"/>
        <v>857772.30671999999</v>
      </c>
      <c r="I8" s="113">
        <f t="shared" si="0"/>
        <v>986145.4559918819</v>
      </c>
      <c r="J8" s="113">
        <f t="shared" si="0"/>
        <v>1233553.7994270602</v>
      </c>
      <c r="K8" s="113">
        <f t="shared" si="0"/>
        <v>1690688.3154610391</v>
      </c>
      <c r="L8" s="113">
        <f t="shared" si="0"/>
        <v>2250337.155258684</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416972.64909999998</v>
      </c>
      <c r="I9" s="153">
        <f>'COGS &amp; OpEx'!I12</f>
        <v>408060.18868629599</v>
      </c>
      <c r="J9" s="153">
        <f>'COGS &amp; OpEx'!J12</f>
        <v>513980.74976127507</v>
      </c>
      <c r="K9" s="153">
        <f>'COGS &amp; OpEx'!K12</f>
        <v>716001.88223076786</v>
      </c>
      <c r="L9" s="153">
        <f>'COGS &amp; OpEx'!L12</f>
        <v>901378.14229974907</v>
      </c>
      <c r="N9" s="126" t="s">
        <v>239</v>
      </c>
      <c r="Q9" s="126"/>
      <c r="S9" s="107"/>
      <c r="T9" s="107"/>
      <c r="U9" s="107"/>
      <c r="V9" s="107"/>
      <c r="W9" s="107"/>
      <c r="X9" s="107"/>
      <c r="Y9" s="107"/>
      <c r="Z9" s="107"/>
      <c r="AA9" s="108"/>
      <c r="AB9" s="108"/>
      <c r="AC9" s="108"/>
      <c r="AE9" s="108"/>
    </row>
    <row r="10" spans="1:31" x14ac:dyDescent="0.2">
      <c r="B10" s="1" t="s">
        <v>231</v>
      </c>
      <c r="C10" s="107">
        <f>'COGS &amp; OpEx'!C13</f>
        <v>59170</v>
      </c>
      <c r="D10" s="107">
        <f>'COGS &amp; OpEx'!D13</f>
        <v>66967</v>
      </c>
      <c r="E10" s="107">
        <f>'COGS &amp; OpEx'!E13</f>
        <v>75788</v>
      </c>
      <c r="F10" s="107">
        <f>'COGS &amp; OpEx'!F13</f>
        <v>90494</v>
      </c>
      <c r="G10" s="110">
        <f>'COGS &amp; OpEx'!G13</f>
        <v>125677</v>
      </c>
      <c r="H10" s="153">
        <f>'COGS &amp; OpEx'!H13</f>
        <v>154875.55538000001</v>
      </c>
      <c r="I10" s="153">
        <f>'COGS &amp; OpEx'!I13</f>
        <v>170025.07861929</v>
      </c>
      <c r="J10" s="153">
        <f>'COGS &amp; OpEx'!J13</f>
        <v>205592.29990451003</v>
      </c>
      <c r="K10" s="153">
        <f>'COGS &amp; OpEx'!K13</f>
        <v>265613.60147270421</v>
      </c>
      <c r="L10" s="153">
        <f>'COGS &amp; OpEx'!L13</f>
        <v>341902.05397576693</v>
      </c>
      <c r="N10" s="126" t="s">
        <v>239</v>
      </c>
      <c r="Q10" s="126"/>
      <c r="S10" s="107"/>
      <c r="T10" s="107"/>
      <c r="U10" s="107"/>
      <c r="V10" s="107"/>
      <c r="W10" s="107"/>
      <c r="X10" s="107"/>
      <c r="Y10" s="107"/>
      <c r="Z10" s="107"/>
      <c r="AA10" s="108"/>
      <c r="AB10" s="108"/>
      <c r="AC10" s="108"/>
      <c r="AE10" s="108"/>
    </row>
    <row r="11" spans="1:31" x14ac:dyDescent="0.2">
      <c r="B11" s="1" t="s">
        <v>213</v>
      </c>
      <c r="C11" s="107">
        <f>'COGS &amp; OpEx'!C14</f>
        <v>78590</v>
      </c>
      <c r="D11" s="107">
        <f>'COGS &amp; OpEx'!D14</f>
        <v>117848</v>
      </c>
      <c r="E11" s="107">
        <f>'COGS &amp; OpEx'!E14</f>
        <v>132123</v>
      </c>
      <c r="F11" s="107">
        <f>'COGS &amp; OpEx'!F14</f>
        <v>155992</v>
      </c>
      <c r="G11" s="110">
        <f>'COGS &amp; OpEx'!G14</f>
        <v>181887</v>
      </c>
      <c r="H11" s="153">
        <f>'COGS &amp; OpEx'!H14</f>
        <v>214443.07668</v>
      </c>
      <c r="I11" s="153">
        <f>'COGS &amp; OpEx'!I14</f>
        <v>231234.10692223441</v>
      </c>
      <c r="J11" s="153">
        <f>'COGS &amp; OpEx'!J14</f>
        <v>274123.06653934671</v>
      </c>
      <c r="K11" s="153">
        <f>'COGS &amp; OpEx'!K14</f>
        <v>404194.61093672377</v>
      </c>
      <c r="L11" s="153">
        <f>'COGS &amp; OpEx'!L14</f>
        <v>528394.08341709431</v>
      </c>
      <c r="N11" s="126" t="s">
        <v>239</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786291.28116000001</v>
      </c>
      <c r="I12" s="153">
        <f>'COGS &amp; OpEx'!I15</f>
        <v>809319.37422782043</v>
      </c>
      <c r="J12" s="153">
        <f>'COGS &amp; OpEx'!J15</f>
        <v>993696.11620513187</v>
      </c>
      <c r="K12" s="153">
        <f>'COGS &amp; OpEx'!K15</f>
        <v>1385810.0946401958</v>
      </c>
      <c r="L12" s="153">
        <f>'COGS &amp; OpEx'!L15</f>
        <v>1771674.2796926103</v>
      </c>
      <c r="N12" s="164" t="s">
        <v>239</v>
      </c>
      <c r="Q12" s="126"/>
      <c r="S12" s="107"/>
      <c r="T12" s="107"/>
      <c r="U12" s="107"/>
      <c r="V12" s="107"/>
      <c r="W12" s="107"/>
      <c r="X12" s="107"/>
      <c r="Y12" s="107"/>
      <c r="Z12" s="107"/>
      <c r="AA12" s="108"/>
      <c r="AB12" s="108"/>
      <c r="AC12" s="108"/>
      <c r="AE12" s="108"/>
    </row>
    <row r="13" spans="1:31" x14ac:dyDescent="0.2">
      <c r="B13" s="1" t="s">
        <v>382</v>
      </c>
      <c r="C13" s="107">
        <f>'Statement Y'!D174</f>
        <v>2038.6800000000003</v>
      </c>
      <c r="D13" s="107">
        <f>'Statement Y'!E174</f>
        <v>1645.2100000000003</v>
      </c>
      <c r="E13" s="107">
        <f>'Statement Y'!F174</f>
        <v>1476.5800000000002</v>
      </c>
      <c r="F13" s="107">
        <f>'Statement Y'!G174</f>
        <v>3825.9200000000005</v>
      </c>
      <c r="G13" s="110">
        <f>'Statement Y'!H174</f>
        <v>6564.5300000000007</v>
      </c>
      <c r="H13" s="222">
        <v>13931</v>
      </c>
      <c r="I13" s="222">
        <v>15969</v>
      </c>
      <c r="J13" s="222">
        <v>14606</v>
      </c>
      <c r="K13" s="222">
        <v>15053</v>
      </c>
      <c r="L13" s="222">
        <v>14217</v>
      </c>
      <c r="N13" s="164" t="s">
        <v>383</v>
      </c>
      <c r="Q13" s="126"/>
      <c r="S13" s="107"/>
      <c r="T13" s="107"/>
      <c r="U13" s="107"/>
      <c r="V13" s="107"/>
      <c r="W13" s="107"/>
      <c r="X13" s="107"/>
      <c r="Y13" s="107"/>
      <c r="Z13" s="107"/>
      <c r="AA13" s="108"/>
      <c r="AB13" s="108"/>
      <c r="AC13" s="108"/>
      <c r="AE13" s="108"/>
    </row>
    <row r="14" spans="1:31" x14ac:dyDescent="0.2">
      <c r="B14" s="1" t="s">
        <v>385</v>
      </c>
      <c r="C14" s="107">
        <f>'Statement Y'!D175</f>
        <v>1074.3199999999997</v>
      </c>
      <c r="D14" s="107">
        <f>'Statement Y'!E175</f>
        <v>5618.79</v>
      </c>
      <c r="E14" s="107">
        <f>'Statement Y'!F175</f>
        <v>6282.42</v>
      </c>
      <c r="F14" s="107">
        <f>'Statement Y'!G175</f>
        <v>6707.08</v>
      </c>
      <c r="G14" s="110">
        <f>'Statement Y'!H175</f>
        <v>6289.4699999999993</v>
      </c>
      <c r="H14" s="195">
        <f>H13-H13*Overview!$C$4</f>
        <v>12955.83</v>
      </c>
      <c r="I14" s="195">
        <f>I13-I13*Overview!$C$4</f>
        <v>14851.17</v>
      </c>
      <c r="J14" s="195">
        <f>J13-J13*Overview!$C$4</f>
        <v>13583.58</v>
      </c>
      <c r="K14" s="195">
        <f>K13-K13*Overview!$C$4</f>
        <v>13999.29</v>
      </c>
      <c r="L14" s="195">
        <f>L13-L13*Overview!$C$4</f>
        <v>13221.81</v>
      </c>
      <c r="N14" s="164"/>
      <c r="Q14" s="126"/>
      <c r="S14" s="107"/>
      <c r="T14" s="107"/>
      <c r="U14" s="107"/>
      <c r="V14" s="107"/>
      <c r="W14" s="107"/>
      <c r="X14" s="107"/>
      <c r="Y14" s="107"/>
      <c r="Z14" s="107"/>
      <c r="AA14" s="108"/>
      <c r="AB14" s="108"/>
      <c r="AC14" s="108"/>
      <c r="AE14" s="108"/>
    </row>
    <row r="15" spans="1:31" x14ac:dyDescent="0.2">
      <c r="B15" s="7" t="s">
        <v>180</v>
      </c>
      <c r="C15" s="113">
        <f>C8-C12+C13-C14</f>
        <v>-59042.64</v>
      </c>
      <c r="D15" s="113">
        <f t="shared" ref="D15:G15" si="1">D8-D12+D13-D14</f>
        <v>-69168.58</v>
      </c>
      <c r="E15" s="113">
        <f t="shared" si="1"/>
        <v>-18064.84</v>
      </c>
      <c r="F15" s="113">
        <f t="shared" si="1"/>
        <v>59713.84</v>
      </c>
      <c r="G15" s="157">
        <f t="shared" si="1"/>
        <v>135845.06</v>
      </c>
      <c r="H15" s="113">
        <f>H8-H12+H13*Overview!$C$4-H14</f>
        <v>59500.365559999977</v>
      </c>
      <c r="I15" s="113">
        <f>I8-I12+I13*Overview!$C$4-I14</f>
        <v>163092.74176406144</v>
      </c>
      <c r="J15" s="113">
        <f>J8-J12+J13*Overview!$C$4-J14</f>
        <v>227296.52322192834</v>
      </c>
      <c r="K15" s="113">
        <f>K8-K12+K13*Overview!$C$4-K14</f>
        <v>291932.64082084328</v>
      </c>
      <c r="L15" s="113">
        <f>L8-L12+L13*Overview!$C$4-L14</f>
        <v>466436.2555660737</v>
      </c>
      <c r="N15" s="126"/>
      <c r="Q15" s="126"/>
      <c r="S15" s="107"/>
      <c r="T15" s="107"/>
      <c r="U15" s="107"/>
      <c r="V15" s="107"/>
      <c r="W15" s="107"/>
      <c r="X15" s="107"/>
      <c r="Y15" s="107"/>
      <c r="Z15" s="107"/>
      <c r="AA15" s="108"/>
      <c r="AB15" s="108"/>
      <c r="AC15" s="108"/>
      <c r="AE15" s="108"/>
    </row>
    <row r="18" spans="2:14" x14ac:dyDescent="0.2">
      <c r="C18" s="223" t="s">
        <v>234</v>
      </c>
      <c r="D18" s="223"/>
      <c r="E18" s="223"/>
      <c r="F18" s="223"/>
      <c r="G18" s="223"/>
      <c r="H18" s="223"/>
      <c r="I18" s="223"/>
      <c r="J18" s="223"/>
      <c r="K18" s="223"/>
      <c r="L18" s="223"/>
    </row>
    <row r="19" spans="2:14" x14ac:dyDescent="0.2">
      <c r="C19" s="62">
        <f>C5</f>
        <v>2021</v>
      </c>
      <c r="D19" s="62">
        <f t="shared" ref="D19:L19" si="2">D5</f>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4" x14ac:dyDescent="0.2">
      <c r="B20" s="1" t="s">
        <v>103</v>
      </c>
      <c r="C20" s="98">
        <f>'Statement Y'!D118</f>
        <v>2.9520664465125588E-3</v>
      </c>
      <c r="D20" s="98">
        <f>'Statement Y'!E118</f>
        <v>1.599699843099802E-2</v>
      </c>
      <c r="E20" s="98">
        <f>'Statement Y'!F118</f>
        <v>9.6191708387241948E-2</v>
      </c>
      <c r="F20" s="98">
        <f>'Statement Y'!G118</f>
        <v>0.13422477665044083</v>
      </c>
      <c r="G20" s="158">
        <v>0.21</v>
      </c>
      <c r="H20" s="99">
        <v>0.21</v>
      </c>
      <c r="I20" s="99">
        <v>0.21</v>
      </c>
      <c r="J20" s="99">
        <v>0.21</v>
      </c>
      <c r="K20" s="99">
        <v>0.21</v>
      </c>
      <c r="L20" s="99">
        <v>0.21</v>
      </c>
    </row>
    <row r="23" spans="2:14" x14ac:dyDescent="0.2">
      <c r="C23" s="223" t="s">
        <v>326</v>
      </c>
      <c r="D23" s="223"/>
      <c r="E23" s="223"/>
      <c r="F23" s="223"/>
      <c r="G23" s="223"/>
      <c r="H23" s="223"/>
      <c r="I23" s="223"/>
      <c r="J23" s="223"/>
      <c r="K23" s="223"/>
      <c r="L23" s="223"/>
    </row>
    <row r="24" spans="2:14" x14ac:dyDescent="0.2">
      <c r="B24" s="7" t="s">
        <v>223</v>
      </c>
      <c r="C24" s="62">
        <f>C5</f>
        <v>2021</v>
      </c>
      <c r="D24" s="62">
        <f t="shared" ref="D24:L24" si="3">D5</f>
        <v>2022</v>
      </c>
      <c r="E24" s="62">
        <f t="shared" si="3"/>
        <v>2023</v>
      </c>
      <c r="F24" s="62">
        <f t="shared" si="3"/>
        <v>2024</v>
      </c>
      <c r="G24" s="62">
        <f t="shared" si="3"/>
        <v>2025</v>
      </c>
      <c r="H24" s="62">
        <f t="shared" si="3"/>
        <v>2026</v>
      </c>
      <c r="I24" s="62">
        <f t="shared" si="3"/>
        <v>2027</v>
      </c>
      <c r="J24" s="62">
        <f t="shared" si="3"/>
        <v>2028</v>
      </c>
      <c r="K24" s="62">
        <f t="shared" si="3"/>
        <v>2029</v>
      </c>
      <c r="L24" s="62">
        <f t="shared" si="3"/>
        <v>2030</v>
      </c>
    </row>
    <row r="25" spans="2:14" x14ac:dyDescent="0.2">
      <c r="B25" s="1" t="s">
        <v>40</v>
      </c>
      <c r="C25" s="107">
        <f>'WC &amp; Investments'!C40</f>
        <v>2726</v>
      </c>
      <c r="D25" s="107">
        <f>'WC &amp; Investments'!D40</f>
        <v>4870</v>
      </c>
      <c r="E25" s="107">
        <f>'WC &amp; Investments'!E40</f>
        <v>7095</v>
      </c>
      <c r="F25" s="107">
        <f>'WC &amp; Investments'!F40</f>
        <v>10854</v>
      </c>
      <c r="G25" s="110">
        <f>'WC &amp; Investments'!G40</f>
        <v>14391</v>
      </c>
      <c r="H25" s="107">
        <f>'WC &amp; Investments'!H40</f>
        <v>15487.555537999999</v>
      </c>
      <c r="I25" s="107">
        <f>'WC &amp; Investments'!I40</f>
        <v>17682.60817640616</v>
      </c>
      <c r="J25" s="107">
        <f>'WC &amp; Investments'!J40</f>
        <v>22272.499156321919</v>
      </c>
      <c r="K25" s="107">
        <f>'WC &amp; Investments'!K40</f>
        <v>30025.885383870911</v>
      </c>
      <c r="L25" s="107">
        <f>'WC &amp; Investments'!L40</f>
        <v>40406.606378954268</v>
      </c>
      <c r="N25" s="1" t="s">
        <v>328</v>
      </c>
    </row>
    <row r="26" spans="2:14" x14ac:dyDescent="0.2">
      <c r="B26" s="1" t="s">
        <v>44</v>
      </c>
      <c r="C26" s="107">
        <f>'WC &amp; Investments'!C43</f>
        <v>4224</v>
      </c>
      <c r="D26" s="107">
        <f>'WC &amp; Investments'!D43</f>
        <v>8182</v>
      </c>
      <c r="E26" s="107">
        <f>'WC &amp; Investments'!E43</f>
        <v>7753</v>
      </c>
      <c r="F26" s="107">
        <f>'WC &amp; Investments'!F43</f>
        <v>22609</v>
      </c>
      <c r="G26" s="110">
        <f>'WC &amp; Investments'!G43</f>
        <v>27120</v>
      </c>
      <c r="H26" s="107">
        <f>'WC &amp; Investments'!H43</f>
        <v>29783.76065</v>
      </c>
      <c r="I26" s="107">
        <f>'WC &amp; Investments'!I43</f>
        <v>34005.015723858</v>
      </c>
      <c r="J26" s="107">
        <f>'WC &amp; Investments'!J43</f>
        <v>42831.72914677293</v>
      </c>
      <c r="K26" s="107">
        <f>'WC &amp; Investments'!K43</f>
        <v>57742.087276674836</v>
      </c>
      <c r="L26" s="107">
        <f>'WC &amp; Investments'!L43</f>
        <v>77705.012267219761</v>
      </c>
      <c r="N26" s="1" t="s">
        <v>328</v>
      </c>
    </row>
    <row r="27" spans="2:14" x14ac:dyDescent="0.2">
      <c r="B27" s="1" t="s">
        <v>327</v>
      </c>
      <c r="C27" s="107">
        <f>'WC &amp; Investments'!C33</f>
        <v>25775</v>
      </c>
      <c r="D27" s="107">
        <f>'WC &amp; Investments'!D33</f>
        <v>34540</v>
      </c>
      <c r="E27" s="107">
        <f>'WC &amp; Investments'!E33</f>
        <v>34898</v>
      </c>
      <c r="F27" s="107">
        <f>'WC &amp; Investments'!F33</f>
        <v>75921</v>
      </c>
      <c r="G27" s="110">
        <f>'WC &amp; Investments'!G33</f>
        <v>48966</v>
      </c>
      <c r="H27" s="107">
        <f>'WC &amp; Investments'!H33</f>
        <v>101298.66585315757</v>
      </c>
      <c r="I27" s="107">
        <f>'WC &amp; Investments'!I33</f>
        <v>111398.3080115295</v>
      </c>
      <c r="J27" s="107">
        <f>'WC &amp; Investments'!J33</f>
        <v>120305.69197114962</v>
      </c>
      <c r="K27" s="107">
        <f>'WC &amp; Investments'!K33</f>
        <v>143917.75003988505</v>
      </c>
      <c r="L27" s="107">
        <f>'WC &amp; Investments'!L33</f>
        <v>195425.80102551548</v>
      </c>
      <c r="N27" s="1" t="s">
        <v>328</v>
      </c>
    </row>
    <row r="30" spans="2:14" x14ac:dyDescent="0.2">
      <c r="C30" s="223" t="s">
        <v>236</v>
      </c>
      <c r="D30" s="223"/>
      <c r="E30" s="223"/>
      <c r="F30" s="223"/>
      <c r="G30" s="223"/>
      <c r="H30" s="223"/>
      <c r="I30" s="223"/>
      <c r="J30" s="223"/>
      <c r="K30" s="223"/>
      <c r="L30" s="223"/>
    </row>
    <row r="31" spans="2:14" x14ac:dyDescent="0.2">
      <c r="B31" s="7" t="s">
        <v>223</v>
      </c>
      <c r="C31" s="62">
        <f>C5</f>
        <v>2021</v>
      </c>
      <c r="D31" s="62">
        <f t="shared" ref="D31:L31" si="4">D5</f>
        <v>2022</v>
      </c>
      <c r="E31" s="62">
        <f t="shared" si="4"/>
        <v>2023</v>
      </c>
      <c r="F31" s="62">
        <f t="shared" si="4"/>
        <v>2024</v>
      </c>
      <c r="G31" s="62">
        <f t="shared" si="4"/>
        <v>2025</v>
      </c>
      <c r="H31" s="62">
        <f t="shared" si="4"/>
        <v>2026</v>
      </c>
      <c r="I31" s="62">
        <f t="shared" si="4"/>
        <v>2027</v>
      </c>
      <c r="J31" s="62">
        <f t="shared" si="4"/>
        <v>2028</v>
      </c>
      <c r="K31" s="62">
        <f t="shared" si="4"/>
        <v>2029</v>
      </c>
      <c r="L31" s="62">
        <f t="shared" si="4"/>
        <v>2030</v>
      </c>
    </row>
    <row r="32" spans="2:14" x14ac:dyDescent="0.2">
      <c r="B32" s="1" t="s">
        <v>235</v>
      </c>
      <c r="C32" s="154">
        <f>C15*(1-C20)</f>
        <v>-58868.342203542481</v>
      </c>
      <c r="D32" s="154">
        <f t="shared" ref="D32:L32" si="5">D15*(1-D20)</f>
        <v>-68062.090334265638</v>
      </c>
      <c r="E32" s="154">
        <f t="shared" si="5"/>
        <v>-16327.152178657818</v>
      </c>
      <c r="F32" s="154">
        <f t="shared" si="5"/>
        <v>51698.763163059833</v>
      </c>
      <c r="G32" s="161">
        <f t="shared" si="5"/>
        <v>107317.5974</v>
      </c>
      <c r="H32" s="154">
        <f t="shared" si="5"/>
        <v>47005.288792399981</v>
      </c>
      <c r="I32" s="154">
        <f t="shared" si="5"/>
        <v>128843.26599360854</v>
      </c>
      <c r="J32" s="154">
        <f t="shared" si="5"/>
        <v>179564.25334532341</v>
      </c>
      <c r="K32" s="154">
        <f t="shared" si="5"/>
        <v>230626.7862484662</v>
      </c>
      <c r="L32" s="154">
        <f t="shared" si="5"/>
        <v>368484.64189719822</v>
      </c>
    </row>
    <row r="33" spans="2:12" x14ac:dyDescent="0.2">
      <c r="B33" s="7" t="s">
        <v>236</v>
      </c>
      <c r="C33" s="113">
        <f>C32+C25-C26+C27</f>
        <v>-34591.342203542481</v>
      </c>
      <c r="D33" s="113">
        <f t="shared" ref="D33:L33" si="6">D32+D25-D26+D27</f>
        <v>-36834.090334265638</v>
      </c>
      <c r="E33" s="113">
        <f t="shared" si="6"/>
        <v>17912.847821342184</v>
      </c>
      <c r="F33" s="113">
        <f t="shared" si="6"/>
        <v>115864.76316305983</v>
      </c>
      <c r="G33" s="157">
        <f t="shared" si="6"/>
        <v>143554.5974</v>
      </c>
      <c r="H33" s="113">
        <f t="shared" si="6"/>
        <v>134007.74953355754</v>
      </c>
      <c r="I33" s="113">
        <f t="shared" si="6"/>
        <v>223919.16645768619</v>
      </c>
      <c r="J33" s="113">
        <f t="shared" si="6"/>
        <v>279310.71532602201</v>
      </c>
      <c r="K33" s="113">
        <f t="shared" si="6"/>
        <v>346828.33439554734</v>
      </c>
      <c r="L33" s="113">
        <f t="shared" si="6"/>
        <v>526612.03703444824</v>
      </c>
    </row>
  </sheetData>
  <mergeCells count="9">
    <mergeCell ref="C30:L30"/>
    <mergeCell ref="C2:G2"/>
    <mergeCell ref="H2:L2"/>
    <mergeCell ref="S2:Z2"/>
    <mergeCell ref="AA2:AC2"/>
    <mergeCell ref="C4:L4"/>
    <mergeCell ref="S4:AC4"/>
    <mergeCell ref="C18:L18"/>
    <mergeCell ref="C23:L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248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zoomScale="187" zoomScaleNormal="100" workbookViewId="0">
      <selection activeCell="C21" sqref="C21"/>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249</v>
      </c>
    </row>
    <row r="2" spans="1:3" s="103" customFormat="1" ht="18" customHeight="1" x14ac:dyDescent="0.2">
      <c r="A2" s="104"/>
      <c r="B2" s="105"/>
    </row>
    <row r="3" spans="1:3" ht="17" customHeight="1" x14ac:dyDescent="0.2"/>
    <row r="4" spans="1:3" ht="17" customHeight="1" x14ac:dyDescent="0.2">
      <c r="B4" s="224" t="s">
        <v>253</v>
      </c>
      <c r="C4" s="224"/>
    </row>
    <row r="5" spans="1:3" ht="17" customHeight="1" x14ac:dyDescent="0.2">
      <c r="B5" s="1" t="s">
        <v>254</v>
      </c>
      <c r="C5" s="153">
        <f>'Statement Q'!N20</f>
        <v>48861.658984830807</v>
      </c>
    </row>
    <row r="6" spans="1:3" ht="17" customHeight="1" x14ac:dyDescent="0.2">
      <c r="B6" s="1" t="s">
        <v>84</v>
      </c>
      <c r="C6" s="166">
        <f>Overview!C3</f>
        <v>112.06</v>
      </c>
    </row>
    <row r="7" spans="1:3" ht="17" customHeight="1" x14ac:dyDescent="0.2">
      <c r="B7" s="1" t="s">
        <v>238</v>
      </c>
      <c r="C7" s="168">
        <f>C5*C6</f>
        <v>5475437.5058401404</v>
      </c>
    </row>
    <row r="8" spans="1:3" ht="17" customHeight="1" x14ac:dyDescent="0.2">
      <c r="B8" s="1" t="s">
        <v>237</v>
      </c>
      <c r="C8" s="153">
        <f>'Statement Q'!N158</f>
        <v>91873</v>
      </c>
    </row>
    <row r="9" spans="1:3" ht="17" customHeight="1" x14ac:dyDescent="0.2">
      <c r="B9" s="1" t="s">
        <v>255</v>
      </c>
      <c r="C9" s="191">
        <f>[1]Sheet1!$C$10/1000</f>
        <v>4.5950000000000005E-2</v>
      </c>
    </row>
    <row r="10" spans="1:3" ht="17" customHeight="1" x14ac:dyDescent="0.2">
      <c r="B10" s="1" t="s">
        <v>256</v>
      </c>
      <c r="C10" s="166">
        <f>[1]Sheet1!$F$4</f>
        <v>0.89770000000000005</v>
      </c>
    </row>
    <row r="11" spans="1:3" ht="17" customHeight="1" x14ac:dyDescent="0.2">
      <c r="B11" s="1" t="s">
        <v>257</v>
      </c>
      <c r="C11" s="167">
        <v>0.05</v>
      </c>
    </row>
    <row r="12" spans="1:3" ht="17" customHeight="1" x14ac:dyDescent="0.2">
      <c r="B12" s="1" t="s">
        <v>103</v>
      </c>
      <c r="C12" s="167">
        <v>0.21</v>
      </c>
    </row>
    <row r="13" spans="1:3" ht="17" customHeight="1" x14ac:dyDescent="0.2">
      <c r="B13" s="1" t="s">
        <v>258</v>
      </c>
      <c r="C13" s="167">
        <f>Overview!C5</f>
        <v>7.0000000000000007E-2</v>
      </c>
    </row>
    <row r="14" spans="1:3" ht="17" customHeight="1" x14ac:dyDescent="0.2"/>
    <row r="15" spans="1:3" ht="17" customHeight="1" x14ac:dyDescent="0.2">
      <c r="B15" s="224" t="s">
        <v>259</v>
      </c>
      <c r="C15" s="224"/>
    </row>
    <row r="16" spans="1:3" ht="17" customHeight="1" x14ac:dyDescent="0.2">
      <c r="B16" s="1" t="s">
        <v>250</v>
      </c>
      <c r="C16" s="169">
        <f>C8/(C8+C7)</f>
        <v>1.650222309383044E-2</v>
      </c>
    </row>
    <row r="17" spans="2:3" ht="17" customHeight="1" x14ac:dyDescent="0.2">
      <c r="B17" s="1" t="s">
        <v>251</v>
      </c>
      <c r="C17" s="169">
        <f>C7/(C8+C7)</f>
        <v>0.98349777690616957</v>
      </c>
    </row>
    <row r="18" spans="2:3" ht="17" customHeight="1" x14ac:dyDescent="0.2">
      <c r="B18" s="1" t="s">
        <v>260</v>
      </c>
      <c r="C18" s="169">
        <f>C13*(1-C12)</f>
        <v>5.5300000000000009E-2</v>
      </c>
    </row>
    <row r="19" spans="2:3" ht="17" customHeight="1" x14ac:dyDescent="0.2">
      <c r="B19" s="1" t="s">
        <v>252</v>
      </c>
      <c r="C19" s="169">
        <f>C9+C10*C11</f>
        <v>9.0835000000000013E-2</v>
      </c>
    </row>
    <row r="20" spans="2:3" ht="17" customHeight="1" x14ac:dyDescent="0.2">
      <c r="B20" s="1" t="s">
        <v>249</v>
      </c>
      <c r="C20" s="169">
        <f>(C17*C19)+(C16*C18)</f>
        <v>9.0248593502360752E-2</v>
      </c>
    </row>
    <row r="21" spans="2:3" ht="17" customHeight="1" x14ac:dyDescent="0.2">
      <c r="B21" s="1" t="s">
        <v>386</v>
      </c>
      <c r="C21" s="16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0" zoomScale="188" zoomScaleNormal="100" workbookViewId="0">
      <selection activeCell="C26" sqref="C26"/>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261</v>
      </c>
    </row>
    <row r="2" spans="1:28" s="103" customFormat="1" ht="18" customHeight="1" x14ac:dyDescent="0.2">
      <c r="A2" s="104"/>
      <c r="B2" s="105"/>
    </row>
    <row r="3" spans="1:28" x14ac:dyDescent="0.2">
      <c r="A3" s="104"/>
      <c r="C3" s="224" t="s">
        <v>176</v>
      </c>
      <c r="D3" s="224"/>
      <c r="E3" s="224"/>
      <c r="F3" s="224"/>
      <c r="G3" s="225"/>
      <c r="H3" s="226" t="s">
        <v>177</v>
      </c>
      <c r="I3" s="224"/>
      <c r="J3" s="224"/>
      <c r="K3" s="224"/>
      <c r="L3" s="224"/>
      <c r="P3" s="227"/>
      <c r="Q3" s="227"/>
      <c r="R3" s="227"/>
      <c r="S3" s="227"/>
      <c r="T3" s="227"/>
      <c r="U3" s="227"/>
      <c r="V3" s="227"/>
      <c r="W3" s="227"/>
      <c r="X3" s="227"/>
      <c r="Y3" s="227"/>
      <c r="Z3" s="227"/>
      <c r="AB3" s="143"/>
    </row>
    <row r="4" spans="1:28" ht="10" customHeight="1" x14ac:dyDescent="0.2"/>
    <row r="5" spans="1:28" ht="16" customHeight="1" x14ac:dyDescent="0.2">
      <c r="A5" s="109"/>
      <c r="B5" s="94"/>
      <c r="C5" s="223" t="s">
        <v>273</v>
      </c>
      <c r="D5" s="223"/>
      <c r="E5" s="223"/>
      <c r="F5" s="223"/>
      <c r="G5" s="223"/>
      <c r="H5" s="223"/>
      <c r="I5" s="223"/>
      <c r="J5" s="223"/>
      <c r="K5" s="223"/>
      <c r="L5" s="223"/>
      <c r="P5" s="227"/>
      <c r="Q5" s="227"/>
      <c r="R5" s="227"/>
      <c r="S5" s="227"/>
      <c r="T5" s="227"/>
      <c r="U5" s="227"/>
      <c r="V5" s="227"/>
      <c r="W5" s="227"/>
      <c r="X5" s="227"/>
      <c r="Y5" s="227"/>
      <c r="Z5" s="227"/>
      <c r="AB5" s="144"/>
    </row>
    <row r="6" spans="1:28" x14ac:dyDescent="0.2">
      <c r="B6" s="7" t="s">
        <v>223</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236</v>
      </c>
      <c r="C7" s="153">
        <f>'FCF &amp; Other'!C33</f>
        <v>-34591.342203542481</v>
      </c>
      <c r="D7" s="153">
        <f>'FCF &amp; Other'!D33</f>
        <v>-36834.090334265638</v>
      </c>
      <c r="E7" s="153">
        <f>'FCF &amp; Other'!E33</f>
        <v>17912.847821342184</v>
      </c>
      <c r="F7" s="153">
        <f>'FCF &amp; Other'!F33</f>
        <v>115864.76316305983</v>
      </c>
      <c r="G7" s="155">
        <f>'FCF &amp; Other'!G33</f>
        <v>143554.5974</v>
      </c>
      <c r="H7" s="153">
        <f>'FCF &amp; Other'!H33</f>
        <v>134007.74953355754</v>
      </c>
      <c r="I7" s="153">
        <f>'FCF &amp; Other'!I33</f>
        <v>223919.16645768619</v>
      </c>
      <c r="J7" s="153">
        <f>'FCF &amp; Other'!J33</f>
        <v>279310.71532602201</v>
      </c>
      <c r="K7" s="153">
        <f>'FCF &amp; Other'!K33</f>
        <v>346828.33439554734</v>
      </c>
      <c r="L7" s="153">
        <f>'FCF &amp; Other'!L33</f>
        <v>526612.03703444824</v>
      </c>
      <c r="N7" s="93"/>
      <c r="O7" s="7"/>
      <c r="P7" s="111"/>
      <c r="Q7" s="111"/>
      <c r="R7" s="111"/>
      <c r="S7" s="111"/>
      <c r="T7" s="111"/>
      <c r="U7" s="111"/>
      <c r="V7" s="111"/>
      <c r="W7" s="111"/>
      <c r="X7" s="113"/>
      <c r="Y7" s="113"/>
      <c r="Z7" s="113"/>
      <c r="AB7" s="113"/>
    </row>
    <row r="8" spans="1:28" x14ac:dyDescent="0.2">
      <c r="B8" s="8" t="s">
        <v>262</v>
      </c>
      <c r="C8" s="154">
        <v>0</v>
      </c>
      <c r="D8" s="154">
        <v>0</v>
      </c>
      <c r="E8" s="154">
        <v>0</v>
      </c>
      <c r="F8" s="154">
        <v>0</v>
      </c>
      <c r="G8" s="161">
        <v>0</v>
      </c>
      <c r="H8" s="154">
        <v>0</v>
      </c>
      <c r="I8" s="154">
        <v>0</v>
      </c>
      <c r="J8" s="154">
        <v>0</v>
      </c>
      <c r="K8" s="154">
        <v>0</v>
      </c>
      <c r="L8" s="154">
        <f>L7*(1+C14)/(C15-C14)</f>
        <v>7646334.9797471194</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H7/(1+$C$15)^H9</f>
        <v>122914.85660446061</v>
      </c>
      <c r="I10" s="154">
        <f t="shared" ref="I10:L10" si="1">I7/(1+$C$15)^I9</f>
        <v>188382.3449618867</v>
      </c>
      <c r="J10" s="154">
        <f t="shared" si="1"/>
        <v>215531.61931408988</v>
      </c>
      <c r="K10" s="154">
        <f t="shared" si="1"/>
        <v>245477.91730088624</v>
      </c>
      <c r="L10" s="154">
        <f t="shared" si="1"/>
        <v>341871.66444169253</v>
      </c>
      <c r="N10" s="93"/>
    </row>
    <row r="11" spans="1:28" x14ac:dyDescent="0.2">
      <c r="B11" s="1" t="s">
        <v>266</v>
      </c>
      <c r="C11" s="151"/>
      <c r="D11" s="151"/>
      <c r="E11" s="151"/>
      <c r="F11" s="151"/>
      <c r="G11" s="171"/>
      <c r="H11" s="151"/>
      <c r="I11" s="151"/>
      <c r="J11" s="151"/>
      <c r="K11" s="151"/>
      <c r="L11" s="154">
        <f>L8/(1+C15)^L9</f>
        <v>4963929.957100248</v>
      </c>
    </row>
    <row r="13" spans="1:28" x14ac:dyDescent="0.2">
      <c r="B13" s="224" t="s">
        <v>274</v>
      </c>
      <c r="C13" s="224"/>
    </row>
    <row r="14" spans="1:28" x14ac:dyDescent="0.2">
      <c r="B14" s="1" t="s">
        <v>263</v>
      </c>
      <c r="C14" s="160">
        <v>0.02</v>
      </c>
    </row>
    <row r="15" spans="1:28" x14ac:dyDescent="0.2">
      <c r="B15" s="1" t="s">
        <v>249</v>
      </c>
      <c r="C15" s="170">
        <f>WACC!C20</f>
        <v>9.0248593502360752E-2</v>
      </c>
    </row>
    <row r="18" spans="2:3" x14ac:dyDescent="0.2">
      <c r="B18" s="224" t="s">
        <v>90</v>
      </c>
      <c r="C18" s="224"/>
    </row>
    <row r="19" spans="2:3" x14ac:dyDescent="0.2">
      <c r="B19" s="1" t="s">
        <v>272</v>
      </c>
      <c r="C19" s="108">
        <f>SUM(H10:L10)</f>
        <v>1114178.4026230159</v>
      </c>
    </row>
    <row r="20" spans="2:3" x14ac:dyDescent="0.2">
      <c r="B20" s="1" t="s">
        <v>266</v>
      </c>
      <c r="C20" s="108">
        <f>L11</f>
        <v>4963929.957100248</v>
      </c>
    </row>
    <row r="21" spans="2:3" x14ac:dyDescent="0.2">
      <c r="B21" s="7" t="s">
        <v>269</v>
      </c>
      <c r="C21" s="113">
        <f>C19+C20</f>
        <v>6078108.3597232644</v>
      </c>
    </row>
    <row r="22" spans="2:3" x14ac:dyDescent="0.2">
      <c r="B22" s="1" t="s">
        <v>267</v>
      </c>
      <c r="C22" s="20">
        <f>'Statement Q'!N159</f>
        <v>1251610</v>
      </c>
    </row>
    <row r="23" spans="2:3" x14ac:dyDescent="0.2">
      <c r="B23" s="1" t="s">
        <v>268</v>
      </c>
      <c r="C23" s="20">
        <f>'Statement Q'!N158</f>
        <v>91873</v>
      </c>
    </row>
    <row r="24" spans="2:3" x14ac:dyDescent="0.2">
      <c r="B24" s="7" t="s">
        <v>270</v>
      </c>
      <c r="C24" s="113">
        <f>C21+C22-C23</f>
        <v>7237845.3597232644</v>
      </c>
    </row>
    <row r="25" spans="2:3" x14ac:dyDescent="0.2">
      <c r="B25" s="1" t="s">
        <v>4</v>
      </c>
      <c r="C25" s="108">
        <f>'Statement Q'!N20</f>
        <v>48861.658984830807</v>
      </c>
    </row>
    <row r="26" spans="2:3" x14ac:dyDescent="0.2">
      <c r="B26" s="172" t="s">
        <v>271</v>
      </c>
      <c r="C26" s="173">
        <f>C24/C25</f>
        <v>148.12934128925642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38" zoomScale="192" zoomScaleNormal="100" workbookViewId="0">
      <selection activeCell="C57" sqref="C57"/>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346</v>
      </c>
    </row>
    <row r="2" spans="1:14" x14ac:dyDescent="0.2">
      <c r="A2" s="104"/>
      <c r="C2" s="224" t="s">
        <v>176</v>
      </c>
      <c r="D2" s="224"/>
      <c r="E2" s="224"/>
      <c r="F2" s="224"/>
      <c r="G2" s="225"/>
      <c r="H2" s="226" t="s">
        <v>177</v>
      </c>
      <c r="I2" s="224"/>
      <c r="J2" s="224"/>
      <c r="K2" s="224"/>
      <c r="L2" s="224"/>
    </row>
    <row r="3" spans="1:14" ht="10" customHeight="1" x14ac:dyDescent="0.2"/>
    <row r="4" spans="1:14" ht="16" customHeight="1" x14ac:dyDescent="0.2">
      <c r="A4" s="109"/>
      <c r="B4" s="94"/>
      <c r="C4" s="223" t="s">
        <v>333</v>
      </c>
      <c r="D4" s="223"/>
      <c r="E4" s="223"/>
      <c r="F4" s="223"/>
      <c r="G4" s="223"/>
      <c r="H4" s="223"/>
      <c r="I4" s="223"/>
      <c r="J4" s="223"/>
      <c r="K4" s="223"/>
      <c r="L4" s="223"/>
    </row>
    <row r="5" spans="1:14"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1191350.426</v>
      </c>
      <c r="I6" s="111">
        <f>Revenue!I12</f>
        <v>1360200.62895432</v>
      </c>
      <c r="J6" s="111">
        <f>Revenue!J12</f>
        <v>1713269.165870917</v>
      </c>
      <c r="K6" s="111">
        <f>Revenue!K12</f>
        <v>2309683.4910669932</v>
      </c>
      <c r="L6" s="111">
        <f>Revenue!L12</f>
        <v>3108200.4906887901</v>
      </c>
      <c r="N6" s="93"/>
    </row>
    <row r="7" spans="1:14" x14ac:dyDescent="0.2">
      <c r="B7" s="7" t="s">
        <v>180</v>
      </c>
      <c r="C7" s="111">
        <f>'FCF &amp; Other'!C15</f>
        <v>-59042.64</v>
      </c>
      <c r="D7" s="111">
        <f>'FCF &amp; Other'!D15</f>
        <v>-69168.58</v>
      </c>
      <c r="E7" s="111">
        <f>'FCF &amp; Other'!E15</f>
        <v>-18064.84</v>
      </c>
      <c r="F7" s="111">
        <f>'FCF &amp; Other'!F15</f>
        <v>59713.84</v>
      </c>
      <c r="G7" s="112">
        <f>'FCF &amp; Other'!G15</f>
        <v>135845.06</v>
      </c>
      <c r="H7" s="111">
        <f>'FCF &amp; Other'!H15</f>
        <v>59500.365559999977</v>
      </c>
      <c r="I7" s="111">
        <f>'FCF &amp; Other'!I15</f>
        <v>163092.74176406144</v>
      </c>
      <c r="J7" s="111">
        <f>'FCF &amp; Other'!J15</f>
        <v>227296.52322192834</v>
      </c>
      <c r="K7" s="111">
        <f>'FCF &amp; Other'!K15</f>
        <v>291932.64082084328</v>
      </c>
      <c r="L7" s="111">
        <f>'FCF &amp; Other'!L15</f>
        <v>466436.2555660737</v>
      </c>
      <c r="N7" s="93"/>
    </row>
    <row r="8" spans="1:14" x14ac:dyDescent="0.2">
      <c r="B8" s="7" t="s">
        <v>236</v>
      </c>
      <c r="C8" s="111">
        <f>'FCF &amp; Other'!C33</f>
        <v>-34591.342203542481</v>
      </c>
      <c r="D8" s="111">
        <f>'FCF &amp; Other'!D33</f>
        <v>-36834.090334265638</v>
      </c>
      <c r="E8" s="111">
        <f>'FCF &amp; Other'!E33</f>
        <v>17912.847821342184</v>
      </c>
      <c r="F8" s="111">
        <f>'FCF &amp; Other'!F33</f>
        <v>115864.76316305983</v>
      </c>
      <c r="G8" s="112">
        <f>'FCF &amp; Other'!G33</f>
        <v>143554.5974</v>
      </c>
      <c r="H8" s="111">
        <f>'FCF &amp; Other'!H33</f>
        <v>134007.74953355754</v>
      </c>
      <c r="I8" s="111">
        <f>'FCF &amp; Other'!I33</f>
        <v>223919.16645768619</v>
      </c>
      <c r="J8" s="111">
        <f>'FCF &amp; Other'!J33</f>
        <v>279310.71532602201</v>
      </c>
      <c r="K8" s="111">
        <f>'FCF &amp; Other'!K33</f>
        <v>346828.33439554734</v>
      </c>
      <c r="L8" s="111">
        <f>'FCF &amp; Other'!L33</f>
        <v>526612.03703444824</v>
      </c>
      <c r="N8" s="93"/>
    </row>
    <row r="9" spans="1:14" x14ac:dyDescent="0.2">
      <c r="N9" s="93"/>
    </row>
    <row r="10" spans="1:14" x14ac:dyDescent="0.2">
      <c r="C10" s="223" t="s">
        <v>191</v>
      </c>
      <c r="D10" s="223"/>
      <c r="E10" s="223"/>
      <c r="F10" s="223"/>
      <c r="G10" s="223"/>
      <c r="H10" s="223"/>
      <c r="I10" s="223"/>
      <c r="J10" s="223"/>
      <c r="K10" s="223"/>
      <c r="L10" s="223"/>
      <c r="N10" s="93"/>
    </row>
    <row r="11" spans="1:14" x14ac:dyDescent="0.2">
      <c r="B11" s="7" t="s">
        <v>287</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0.14819107180203334</v>
      </c>
      <c r="I12" s="116">
        <f t="shared" si="2"/>
        <v>0.1417300898789623</v>
      </c>
      <c r="J12" s="116">
        <f t="shared" si="2"/>
        <v>0.25957092608318022</v>
      </c>
      <c r="K12" s="116">
        <f t="shared" si="2"/>
        <v>0.34811478375780908</v>
      </c>
      <c r="L12" s="116">
        <f t="shared" si="2"/>
        <v>0.34572572506586602</v>
      </c>
      <c r="N12" s="93"/>
    </row>
    <row r="13" spans="1:14" x14ac:dyDescent="0.2">
      <c r="B13" s="1" t="s">
        <v>180</v>
      </c>
      <c r="C13" s="151"/>
      <c r="D13" s="116">
        <f t="shared" ref="D13:D14" si="3">(D7-C7)/C7</f>
        <v>0.1715021550526874</v>
      </c>
      <c r="E13" s="116">
        <f t="shared" ref="E13:E14" si="4">(E7-D7)/D7</f>
        <v>-0.73882881504868259</v>
      </c>
      <c r="F13" s="116">
        <f t="shared" ref="F13:F14" si="5">(F7-E7)/E7</f>
        <v>-4.3055283080281912</v>
      </c>
      <c r="G13" s="117">
        <f t="shared" ref="G13:G14" si="6">(G7-F7)/F7</f>
        <v>1.2749342530977743</v>
      </c>
      <c r="H13" s="116">
        <f t="shared" ref="H13:H14" si="7">(H7-G7)/G7</f>
        <v>-0.56199831219479035</v>
      </c>
      <c r="I13" s="116">
        <f t="shared" ref="I13:I14" si="8">(I7-H7)/H7</f>
        <v>1.7410376428628702</v>
      </c>
      <c r="J13" s="116">
        <f t="shared" ref="J13:J14" si="9">(J7-I7)/I7</f>
        <v>0.39366424749145162</v>
      </c>
      <c r="K13" s="116">
        <f t="shared" ref="K13:K14" si="10">(K7-J7)/J7</f>
        <v>0.28436914336699015</v>
      </c>
      <c r="L13" s="116">
        <f t="shared" ref="L13:L14" si="11">(L7-K7)/K7</f>
        <v>0.59775300992231928</v>
      </c>
      <c r="N13" s="93"/>
    </row>
    <row r="14" spans="1:14" x14ac:dyDescent="0.2">
      <c r="B14" s="1" t="s">
        <v>236</v>
      </c>
      <c r="C14" s="151"/>
      <c r="D14" s="116">
        <f t="shared" si="3"/>
        <v>6.4835533629379632E-2</v>
      </c>
      <c r="E14" s="116">
        <f t="shared" si="4"/>
        <v>-1.4863116656006679</v>
      </c>
      <c r="F14" s="116">
        <f t="shared" si="5"/>
        <v>5.4682491761590963</v>
      </c>
      <c r="G14" s="117">
        <f t="shared" si="6"/>
        <v>0.23898408352133305</v>
      </c>
      <c r="H14" s="116">
        <f t="shared" si="7"/>
        <v>-6.6503254088346328E-2</v>
      </c>
      <c r="I14" s="116">
        <f t="shared" si="8"/>
        <v>0.67094192117309981</v>
      </c>
      <c r="J14" s="116">
        <f t="shared" si="9"/>
        <v>0.24737296831087974</v>
      </c>
      <c r="K14" s="116">
        <f t="shared" si="10"/>
        <v>0.24172942663770067</v>
      </c>
      <c r="L14" s="116">
        <f t="shared" si="11"/>
        <v>0.51836509537846165</v>
      </c>
      <c r="N14" s="93"/>
    </row>
    <row r="15" spans="1:14" x14ac:dyDescent="0.2">
      <c r="N15" s="93"/>
    </row>
    <row r="16" spans="1:14" x14ac:dyDescent="0.2">
      <c r="C16" s="223" t="s">
        <v>315</v>
      </c>
      <c r="D16" s="223"/>
      <c r="E16" s="223"/>
      <c r="F16" s="223"/>
      <c r="G16" s="223"/>
      <c r="H16" s="223"/>
      <c r="I16" s="223"/>
      <c r="J16" s="223"/>
      <c r="K16" s="223"/>
      <c r="L16" s="223"/>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316</v>
      </c>
      <c r="C18" s="96">
        <f>'Statement Y'!D20</f>
        <v>23433</v>
      </c>
      <c r="D18" s="96">
        <f>'Statement Y'!E20</f>
        <v>39470</v>
      </c>
      <c r="E18" s="96">
        <f>'Statement Y'!F20</f>
        <v>46522</v>
      </c>
      <c r="F18" s="96">
        <f>'Statement Y'!G20</f>
        <v>47101</v>
      </c>
      <c r="G18" s="124">
        <f>'Statement Y'!H20</f>
        <v>48315.63593932322</v>
      </c>
      <c r="H18" s="195">
        <f>G18*(1+H19)</f>
        <v>50248.261376896153</v>
      </c>
      <c r="I18" s="195">
        <f t="shared" ref="I18:L18" si="13">H18*(1+I19)</f>
        <v>52258.191831971999</v>
      </c>
      <c r="J18" s="195">
        <f t="shared" si="13"/>
        <v>53825.937586931163</v>
      </c>
      <c r="K18" s="195">
        <f t="shared" si="13"/>
        <v>54902.456338669785</v>
      </c>
      <c r="L18" s="195">
        <f t="shared" si="13"/>
        <v>56000.505465443181</v>
      </c>
      <c r="N18" s="93"/>
    </row>
    <row r="19" spans="2:14" x14ac:dyDescent="0.2">
      <c r="B19" s="1" t="s">
        <v>317</v>
      </c>
      <c r="C19" s="151"/>
      <c r="D19" s="192">
        <f>D18/C18-1</f>
        <v>0.68437673366619722</v>
      </c>
      <c r="E19" s="192">
        <f t="shared" ref="E19:G19" si="14">E18/D18-1</f>
        <v>0.17866734228528003</v>
      </c>
      <c r="F19" s="192">
        <f t="shared" si="14"/>
        <v>1.2445724603413533E-2</v>
      </c>
      <c r="G19" s="200">
        <f t="shared" si="14"/>
        <v>2.5787901304074712E-2</v>
      </c>
      <c r="H19" s="193">
        <v>0.04</v>
      </c>
      <c r="I19" s="194">
        <v>0.04</v>
      </c>
      <c r="J19" s="194">
        <v>0.03</v>
      </c>
      <c r="K19" s="194">
        <v>0.02</v>
      </c>
      <c r="L19" s="194">
        <v>0.02</v>
      </c>
      <c r="N19" s="93"/>
    </row>
    <row r="20" spans="2:14" x14ac:dyDescent="0.2">
      <c r="N20" s="93"/>
    </row>
    <row r="21" spans="2:14" x14ac:dyDescent="0.2">
      <c r="C21" s="223" t="s">
        <v>334</v>
      </c>
      <c r="D21" s="223"/>
      <c r="E21" s="223"/>
      <c r="F21" s="223"/>
      <c r="G21" s="223"/>
      <c r="H21" s="223"/>
      <c r="I21" s="223"/>
      <c r="J21" s="223"/>
      <c r="K21" s="223"/>
      <c r="L21" s="223"/>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84</v>
      </c>
      <c r="C23" s="199">
        <f>'Statement Y'!D168</f>
        <v>110.58</v>
      </c>
      <c r="D23" s="199">
        <f>'Statement Y'!E168</f>
        <v>71.13</v>
      </c>
      <c r="E23" s="199">
        <f>'Statement Y'!F168</f>
        <v>226.85</v>
      </c>
      <c r="F23" s="199">
        <f>'Statement Y'!G168</f>
        <v>325.2</v>
      </c>
      <c r="G23" s="201">
        <f>'Statement Y'!H168</f>
        <v>177.14</v>
      </c>
      <c r="H23" s="151"/>
      <c r="I23" s="151"/>
      <c r="J23" s="151"/>
      <c r="K23" s="151"/>
      <c r="L23" s="151"/>
      <c r="N23" s="93"/>
    </row>
    <row r="24" spans="2:14" x14ac:dyDescent="0.2">
      <c r="N24" s="93"/>
    </row>
    <row r="25" spans="2:14" x14ac:dyDescent="0.2">
      <c r="N25" s="93"/>
    </row>
    <row r="26" spans="2:14" x14ac:dyDescent="0.2">
      <c r="C26" s="223" t="s">
        <v>336</v>
      </c>
      <c r="D26" s="223"/>
      <c r="E26" s="223"/>
      <c r="F26" s="223"/>
      <c r="G26" s="223"/>
      <c r="H26" s="223"/>
      <c r="I26" s="223"/>
      <c r="J26" s="223"/>
      <c r="K26" s="223"/>
      <c r="L26" s="223"/>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182</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337</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237</v>
      </c>
      <c r="C30" s="205">
        <f>'Statement Y'!D172</f>
        <v>29124</v>
      </c>
      <c r="D30" s="199">
        <f>'Statement Y'!E172</f>
        <v>23503</v>
      </c>
      <c r="E30" s="199">
        <f>'Statement Y'!F172</f>
        <v>21094</v>
      </c>
      <c r="F30" s="199">
        <f>'Statement Y'!G172</f>
        <v>54656</v>
      </c>
      <c r="G30" s="201">
        <f>'Statement Y'!H172</f>
        <v>93779</v>
      </c>
      <c r="H30" s="151"/>
      <c r="I30" s="151"/>
      <c r="J30" s="151"/>
      <c r="K30" s="151"/>
      <c r="L30" s="151"/>
      <c r="N30" s="93"/>
    </row>
    <row r="31" spans="2:14" x14ac:dyDescent="0.2">
      <c r="B31" s="1" t="s">
        <v>241</v>
      </c>
      <c r="C31" s="205">
        <f>'Statement Y'!D173</f>
        <v>553922</v>
      </c>
      <c r="D31" s="205">
        <f>'Statement Y'!E173</f>
        <v>608180</v>
      </c>
      <c r="E31" s="205">
        <f>'Statement Y'!F173</f>
        <v>747610</v>
      </c>
      <c r="F31" s="205">
        <f>'Statement Y'!G173</f>
        <v>877645</v>
      </c>
      <c r="G31" s="206">
        <f>'Statement Y'!H173</f>
        <v>1140467</v>
      </c>
      <c r="H31" s="151"/>
      <c r="I31" s="151"/>
      <c r="J31" s="151"/>
      <c r="K31" s="151"/>
      <c r="L31" s="151"/>
      <c r="N31" s="93"/>
    </row>
    <row r="32" spans="2:14" x14ac:dyDescent="0.2">
      <c r="B32" s="1" t="s">
        <v>242</v>
      </c>
      <c r="C32" s="195">
        <f>C29+C30-C31</f>
        <v>2066423.1400000001</v>
      </c>
      <c r="D32" s="195">
        <f t="shared" ref="D32:G32" si="19">D29+D30-D31</f>
        <v>2222824.0999999996</v>
      </c>
      <c r="E32" s="195">
        <f t="shared" si="19"/>
        <v>9826999.6999999993</v>
      </c>
      <c r="F32" s="195">
        <f t="shared" si="19"/>
        <v>14494256.199999999</v>
      </c>
      <c r="G32" s="204">
        <f t="shared" si="19"/>
        <v>7511943.7502917144</v>
      </c>
      <c r="H32" s="151"/>
      <c r="I32" s="151"/>
      <c r="J32" s="151"/>
      <c r="K32" s="151"/>
      <c r="L32" s="151"/>
      <c r="N32" s="93"/>
    </row>
    <row r="33" spans="2:14" x14ac:dyDescent="0.2">
      <c r="B33" s="7" t="s">
        <v>330</v>
      </c>
      <c r="C33" s="202">
        <f>C32/C7</f>
        <v>-34.998826949472452</v>
      </c>
      <c r="D33" s="202">
        <f t="shared" ref="D33:G33" si="20">D32/D7</f>
        <v>-32.136326927631011</v>
      </c>
      <c r="E33" s="202">
        <f t="shared" si="20"/>
        <v>-543.98487337834149</v>
      </c>
      <c r="F33" s="202">
        <f t="shared" si="20"/>
        <v>242.7285902229701</v>
      </c>
      <c r="G33" s="203">
        <f t="shared" si="20"/>
        <v>55.297879439206071</v>
      </c>
      <c r="H33" s="151"/>
      <c r="I33" s="151"/>
      <c r="J33" s="151"/>
      <c r="K33" s="151"/>
      <c r="L33" s="151"/>
      <c r="N33" s="93"/>
    </row>
    <row r="34" spans="2:14" x14ac:dyDescent="0.2">
      <c r="B34" s="7" t="s">
        <v>329</v>
      </c>
      <c r="C34" s="202">
        <f>C32/C8</f>
        <v>-59.738160139631091</v>
      </c>
      <c r="D34" s="202">
        <f t="shared" ref="D34:G34" si="21">D32/D8</f>
        <v>-60.346925357137806</v>
      </c>
      <c r="E34" s="202">
        <f t="shared" si="21"/>
        <v>548.6006355891476</v>
      </c>
      <c r="F34" s="202">
        <f t="shared" si="21"/>
        <v>125.09632613326808</v>
      </c>
      <c r="G34" s="203">
        <f t="shared" si="21"/>
        <v>52.328130804201706</v>
      </c>
      <c r="H34" s="151"/>
      <c r="I34" s="151"/>
      <c r="J34" s="151"/>
      <c r="K34" s="151"/>
      <c r="L34" s="151"/>
      <c r="N34" s="93"/>
    </row>
    <row r="35" spans="2:14" x14ac:dyDescent="0.2">
      <c r="N35" s="93"/>
    </row>
    <row r="36" spans="2:14" x14ac:dyDescent="0.2">
      <c r="N36" s="93"/>
    </row>
    <row r="37" spans="2:14" x14ac:dyDescent="0.2">
      <c r="B37" s="224" t="s">
        <v>338</v>
      </c>
      <c r="C37" s="224"/>
      <c r="N37" s="93"/>
    </row>
    <row r="38" spans="2:14" x14ac:dyDescent="0.2">
      <c r="B38" s="1" t="s">
        <v>339</v>
      </c>
      <c r="C38" s="108">
        <f>L7</f>
        <v>466436.2555660737</v>
      </c>
    </row>
    <row r="39" spans="2:14" x14ac:dyDescent="0.2">
      <c r="B39" s="1" t="s">
        <v>249</v>
      </c>
      <c r="C39" s="159">
        <f>WACC!C20</f>
        <v>9.0248593502360752E-2</v>
      </c>
    </row>
    <row r="40" spans="2:14" x14ac:dyDescent="0.2">
      <c r="B40" s="8" t="s">
        <v>340</v>
      </c>
      <c r="C40" s="138">
        <v>25</v>
      </c>
    </row>
    <row r="41" spans="2:14" x14ac:dyDescent="0.2">
      <c r="B41" s="1" t="s">
        <v>291</v>
      </c>
      <c r="C41" s="20">
        <f>L18</f>
        <v>56000.505465443181</v>
      </c>
    </row>
    <row r="42" spans="2:14" x14ac:dyDescent="0.2">
      <c r="B42" s="1" t="s">
        <v>242</v>
      </c>
      <c r="C42" s="20">
        <f>(C38*C40)-G30+G31</f>
        <v>12707594.389151843</v>
      </c>
    </row>
    <row r="43" spans="2:14" x14ac:dyDescent="0.2">
      <c r="B43" s="1" t="s">
        <v>271</v>
      </c>
      <c r="C43" s="20">
        <f>C42/C41</f>
        <v>226.91928016602373</v>
      </c>
    </row>
    <row r="44" spans="2:14" x14ac:dyDescent="0.2">
      <c r="B44" s="172" t="s">
        <v>335</v>
      </c>
      <c r="C44" s="173">
        <f>C43/(1+C48)^5</f>
        <v>147.31389818040671</v>
      </c>
    </row>
    <row r="46" spans="2:14" x14ac:dyDescent="0.2">
      <c r="B46" s="224" t="s">
        <v>288</v>
      </c>
      <c r="C46" s="224"/>
    </row>
    <row r="47" spans="2:14" x14ac:dyDescent="0.2">
      <c r="B47" s="1" t="s">
        <v>289</v>
      </c>
      <c r="C47" s="108">
        <f>L6</f>
        <v>3108200.4906887901</v>
      </c>
    </row>
    <row r="48" spans="2:14" x14ac:dyDescent="0.2">
      <c r="B48" s="1" t="s">
        <v>249</v>
      </c>
      <c r="C48" s="159">
        <f>WACC!C20</f>
        <v>9.0248593502360752E-2</v>
      </c>
    </row>
    <row r="49" spans="2:3" x14ac:dyDescent="0.2">
      <c r="B49" s="8" t="s">
        <v>290</v>
      </c>
      <c r="C49" s="138">
        <v>4</v>
      </c>
    </row>
    <row r="50" spans="2:3" x14ac:dyDescent="0.2">
      <c r="B50" s="1" t="s">
        <v>291</v>
      </c>
      <c r="C50" s="20">
        <f>L18</f>
        <v>56000.505465443181</v>
      </c>
    </row>
    <row r="51" spans="2:3" x14ac:dyDescent="0.2">
      <c r="B51" s="1" t="s">
        <v>271</v>
      </c>
      <c r="C51" s="20">
        <f>(C47*C49)/C50</f>
        <v>222.01231684287563</v>
      </c>
    </row>
    <row r="52" spans="2:3" x14ac:dyDescent="0.2">
      <c r="B52" s="172" t="s">
        <v>335</v>
      </c>
      <c r="C52" s="173">
        <f>C51/(1+C48)^5</f>
        <v>144.1283429696183</v>
      </c>
    </row>
    <row r="54" spans="2:3" x14ac:dyDescent="0.2">
      <c r="B54" s="224" t="s">
        <v>342</v>
      </c>
      <c r="C54" s="224"/>
    </row>
    <row r="55" spans="2:3" x14ac:dyDescent="0.2">
      <c r="B55" s="1" t="s">
        <v>343</v>
      </c>
      <c r="C55" s="108">
        <f>L8</f>
        <v>526612.03703444824</v>
      </c>
    </row>
    <row r="56" spans="2:3" x14ac:dyDescent="0.2">
      <c r="B56" s="1" t="s">
        <v>249</v>
      </c>
      <c r="C56" s="159">
        <f>WACC!C20</f>
        <v>9.0248593502360752E-2</v>
      </c>
    </row>
    <row r="57" spans="2:3" x14ac:dyDescent="0.2">
      <c r="B57" s="8" t="s">
        <v>344</v>
      </c>
      <c r="C57" s="138">
        <v>22</v>
      </c>
    </row>
    <row r="58" spans="2:3" x14ac:dyDescent="0.2">
      <c r="B58" s="1" t="s">
        <v>291</v>
      </c>
      <c r="C58" s="20">
        <f>L18</f>
        <v>56000.505465443181</v>
      </c>
    </row>
    <row r="59" spans="2:3" x14ac:dyDescent="0.2">
      <c r="B59" s="1" t="s">
        <v>242</v>
      </c>
      <c r="C59" s="20">
        <f>(C55*C57)-G30+G31</f>
        <v>12632152.814757861</v>
      </c>
    </row>
    <row r="60" spans="2:3" x14ac:dyDescent="0.2">
      <c r="B60" s="1" t="s">
        <v>271</v>
      </c>
      <c r="C60" s="20">
        <f>C59/C58</f>
        <v>225.57212135438522</v>
      </c>
    </row>
    <row r="61" spans="2:3" x14ac:dyDescent="0.2">
      <c r="B61" s="172" t="s">
        <v>335</v>
      </c>
      <c r="C61" s="173">
        <f>C60/(1+C56)^5</f>
        <v>146.43933513814184</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zoomScale="200" zoomScaleNormal="153"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295</v>
      </c>
    </row>
    <row r="2" spans="1:14" x14ac:dyDescent="0.2">
      <c r="N2" s="93"/>
    </row>
    <row r="3" spans="1:14" x14ac:dyDescent="0.2">
      <c r="N3" s="93"/>
    </row>
    <row r="4" spans="1:14" x14ac:dyDescent="0.2">
      <c r="B4" s="224" t="s">
        <v>296</v>
      </c>
      <c r="C4" s="224"/>
      <c r="N4" s="93"/>
    </row>
    <row r="5" spans="1:14" x14ac:dyDescent="0.2">
      <c r="B5" s="1" t="s">
        <v>293</v>
      </c>
      <c r="C5" s="188">
        <f>DCF!C26</f>
        <v>148.12934128925642</v>
      </c>
    </row>
    <row r="6" spans="1:14" x14ac:dyDescent="0.2">
      <c r="B6" s="1" t="s">
        <v>341</v>
      </c>
      <c r="C6" s="188">
        <f>Multiples!C44</f>
        <v>147.31389818040671</v>
      </c>
    </row>
    <row r="7" spans="1:14" x14ac:dyDescent="0.2">
      <c r="B7" s="1" t="s">
        <v>294</v>
      </c>
      <c r="C7" s="188">
        <f>Multiples!C52</f>
        <v>144.1283429696183</v>
      </c>
    </row>
    <row r="8" spans="1:14" x14ac:dyDescent="0.2">
      <c r="B8" s="1" t="s">
        <v>345</v>
      </c>
      <c r="C8" s="188">
        <f>Multiples!C61</f>
        <v>146.43933513814184</v>
      </c>
    </row>
    <row r="9" spans="1:14" x14ac:dyDescent="0.2">
      <c r="B9" s="172" t="s">
        <v>292</v>
      </c>
      <c r="C9" s="173">
        <f>AVERAGE(C5:C8)</f>
        <v>146.50272939435581</v>
      </c>
    </row>
    <row r="10" spans="1:14" x14ac:dyDescent="0.2">
      <c r="B10" s="1" t="s">
        <v>347</v>
      </c>
      <c r="C10" s="35">
        <f>Overview!C3</f>
        <v>112.06</v>
      </c>
    </row>
    <row r="11" spans="1:14" x14ac:dyDescent="0.2">
      <c r="B11" s="1" t="s">
        <v>348</v>
      </c>
      <c r="C11" s="91">
        <f>(C9-C10)/C10</f>
        <v>0.30735971260356781</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zoomScale="200" zoomScaleNormal="100" workbookViewId="0">
      <selection activeCell="C25" sqref="C25"/>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349</v>
      </c>
    </row>
    <row r="2" spans="1:28" s="103" customFormat="1" ht="18" customHeight="1" x14ac:dyDescent="0.2">
      <c r="A2" s="104"/>
      <c r="B2" s="105"/>
    </row>
    <row r="3" spans="1:28" x14ac:dyDescent="0.2">
      <c r="A3" s="104"/>
      <c r="C3" s="224" t="s">
        <v>176</v>
      </c>
      <c r="D3" s="224"/>
      <c r="E3" s="224"/>
      <c r="F3" s="224"/>
      <c r="G3" s="225"/>
      <c r="H3" s="226" t="s">
        <v>177</v>
      </c>
      <c r="I3" s="224"/>
      <c r="J3" s="224"/>
      <c r="K3" s="224"/>
      <c r="L3" s="224"/>
      <c r="P3" s="227"/>
      <c r="Q3" s="227"/>
      <c r="R3" s="227"/>
      <c r="S3" s="227"/>
      <c r="T3" s="227"/>
      <c r="U3" s="227"/>
      <c r="V3" s="227"/>
      <c r="W3" s="227"/>
      <c r="X3" s="227"/>
      <c r="Y3" s="227"/>
      <c r="Z3" s="227"/>
      <c r="AB3" s="143"/>
    </row>
    <row r="4" spans="1:28" ht="10" customHeight="1" x14ac:dyDescent="0.2"/>
    <row r="5" spans="1:28" ht="16" customHeight="1" x14ac:dyDescent="0.2">
      <c r="A5" s="109"/>
      <c r="B5" s="94"/>
      <c r="C5" s="223" t="s">
        <v>273</v>
      </c>
      <c r="D5" s="223"/>
      <c r="E5" s="223"/>
      <c r="F5" s="223"/>
      <c r="G5" s="223"/>
      <c r="H5" s="223"/>
      <c r="I5" s="223"/>
      <c r="J5" s="223"/>
      <c r="K5" s="223"/>
      <c r="L5" s="223"/>
      <c r="P5" s="227"/>
      <c r="Q5" s="227"/>
      <c r="R5" s="227"/>
      <c r="S5" s="227"/>
      <c r="T5" s="227"/>
      <c r="U5" s="227"/>
      <c r="V5" s="227"/>
      <c r="W5" s="227"/>
      <c r="X5" s="227"/>
      <c r="Y5" s="227"/>
      <c r="Z5" s="227"/>
      <c r="AB5" s="144"/>
    </row>
    <row r="6" spans="1:28" x14ac:dyDescent="0.2">
      <c r="B6" s="7" t="s">
        <v>223</v>
      </c>
      <c r="C6" s="62">
        <f>[2]Revenue!C5</f>
        <v>2021</v>
      </c>
      <c r="D6" s="62">
        <f>[2]Revenue!D5</f>
        <v>2022</v>
      </c>
      <c r="E6" s="62">
        <f>[2]Revenue!E5</f>
        <v>2023</v>
      </c>
      <c r="F6" s="62">
        <f>[2]Revenue!F5</f>
        <v>2024</v>
      </c>
      <c r="G6" s="62">
        <f>[2]Revenue!G5</f>
        <v>2025</v>
      </c>
      <c r="H6" s="62">
        <f>[2]Revenue!H5</f>
        <v>2026</v>
      </c>
      <c r="I6" s="62">
        <f>[2]Revenue!I5</f>
        <v>2027</v>
      </c>
      <c r="J6" s="62">
        <f>[2]Revenue!J5</f>
        <v>2028</v>
      </c>
      <c r="K6" s="62">
        <f>[2]Revenue!K5</f>
        <v>2029</v>
      </c>
      <c r="L6" s="62">
        <f>[2]Revenue!L5</f>
        <v>2030</v>
      </c>
      <c r="O6" s="7"/>
      <c r="P6" s="145"/>
      <c r="Q6" s="145"/>
      <c r="R6" s="145"/>
      <c r="S6" s="145"/>
      <c r="T6" s="145"/>
      <c r="U6" s="145"/>
      <c r="V6" s="145"/>
      <c r="W6" s="145"/>
      <c r="X6" s="145"/>
      <c r="Y6" s="145"/>
      <c r="Z6" s="145"/>
      <c r="AB6" s="144"/>
    </row>
    <row r="7" spans="1:28" x14ac:dyDescent="0.2">
      <c r="B7" s="8" t="s">
        <v>236</v>
      </c>
      <c r="C7" s="153">
        <f>'FCF &amp; Other'!C33</f>
        <v>-34591.342203542481</v>
      </c>
      <c r="D7" s="153">
        <f>'FCF &amp; Other'!D33</f>
        <v>-36834.090334265638</v>
      </c>
      <c r="E7" s="153">
        <f>'FCF &amp; Other'!E33</f>
        <v>17912.847821342184</v>
      </c>
      <c r="F7" s="153">
        <f>'FCF &amp; Other'!F33</f>
        <v>115864.76316305983</v>
      </c>
      <c r="G7" s="155">
        <f>'FCF &amp; Other'!G33</f>
        <v>143554.5974</v>
      </c>
      <c r="H7" s="154">
        <f>G7*(1+$C$17)</f>
        <v>178007.70077599998</v>
      </c>
      <c r="I7" s="154">
        <f t="shared" ref="I7:L7" si="0">H7*(1+$C$17)</f>
        <v>220729.54896223999</v>
      </c>
      <c r="J7" s="154">
        <f t="shared" si="0"/>
        <v>273704.64071317756</v>
      </c>
      <c r="K7" s="154">
        <f t="shared" si="0"/>
        <v>339393.7544843402</v>
      </c>
      <c r="L7" s="154">
        <f t="shared" si="0"/>
        <v>420848.25556058186</v>
      </c>
      <c r="N7" s="93"/>
      <c r="O7" s="7"/>
      <c r="P7" s="111"/>
      <c r="Q7" s="111"/>
      <c r="R7" s="111"/>
      <c r="S7" s="111"/>
      <c r="T7" s="111"/>
      <c r="U7" s="111"/>
      <c r="V7" s="111"/>
      <c r="W7" s="111"/>
      <c r="X7" s="113"/>
      <c r="Y7" s="113"/>
      <c r="Z7" s="113"/>
      <c r="AB7" s="113"/>
    </row>
    <row r="8" spans="1:28" x14ac:dyDescent="0.2">
      <c r="B8" s="8" t="s">
        <v>262</v>
      </c>
      <c r="C8" s="151"/>
      <c r="D8" s="151"/>
      <c r="E8" s="151"/>
      <c r="F8" s="151"/>
      <c r="G8" s="171"/>
      <c r="H8" s="151"/>
      <c r="I8" s="151"/>
      <c r="J8" s="151"/>
      <c r="K8" s="151"/>
      <c r="L8" s="154">
        <f>L7*(1+C20)/(C21-C20)</f>
        <v>6110659.2925218893</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H7/(1+$C$21)^H9</f>
        <v>163272.58006741427</v>
      </c>
      <c r="I10" s="154">
        <f t="shared" ref="I10:L10" si="1">I7/(1+$C$21)^I9</f>
        <v>185698.9318676478</v>
      </c>
      <c r="J10" s="154">
        <f t="shared" si="1"/>
        <v>211205.66161536137</v>
      </c>
      <c r="K10" s="154">
        <f t="shared" si="1"/>
        <v>240215.87550204995</v>
      </c>
      <c r="L10" s="154">
        <f t="shared" si="1"/>
        <v>273210.79559081036</v>
      </c>
      <c r="N10" s="93"/>
    </row>
    <row r="11" spans="1:28" x14ac:dyDescent="0.2">
      <c r="B11" s="1" t="s">
        <v>266</v>
      </c>
      <c r="C11" s="151"/>
      <c r="D11" s="151"/>
      <c r="E11" s="151"/>
      <c r="F11" s="151"/>
      <c r="G11" s="171"/>
      <c r="H11" s="151"/>
      <c r="I11" s="151"/>
      <c r="J11" s="151"/>
      <c r="K11" s="151"/>
      <c r="L11" s="154">
        <f>L8/(1+C21)^L9</f>
        <v>3966983.5025702193</v>
      </c>
    </row>
    <row r="13" spans="1:28" ht="17" thickBot="1" x14ac:dyDescent="0.25"/>
    <row r="14" spans="1:28" x14ac:dyDescent="0.2">
      <c r="B14" s="233" t="s">
        <v>350</v>
      </c>
      <c r="C14" s="234"/>
    </row>
    <row r="15" spans="1:28" x14ac:dyDescent="0.2">
      <c r="B15" s="207" t="s">
        <v>351</v>
      </c>
      <c r="C15" s="208">
        <f>Overview!C3</f>
        <v>112.06</v>
      </c>
    </row>
    <row r="16" spans="1:28" x14ac:dyDescent="0.2">
      <c r="B16" s="207" t="s">
        <v>352</v>
      </c>
      <c r="C16" s="208">
        <f>C36</f>
        <v>103.1224164692768</v>
      </c>
    </row>
    <row r="17" spans="2:9" ht="17" thickBot="1" x14ac:dyDescent="0.25">
      <c r="B17" s="209" t="s">
        <v>353</v>
      </c>
      <c r="C17" s="210">
        <v>0.24</v>
      </c>
      <c r="E17" s="235" t="s">
        <v>354</v>
      </c>
      <c r="F17" s="235"/>
      <c r="G17" s="235"/>
      <c r="H17" s="235"/>
      <c r="I17" s="235"/>
    </row>
    <row r="18" spans="2:9" ht="17" thickBot="1" x14ac:dyDescent="0.25"/>
    <row r="19" spans="2:9" x14ac:dyDescent="0.2">
      <c r="B19" s="233" t="s">
        <v>274</v>
      </c>
      <c r="C19" s="234"/>
    </row>
    <row r="20" spans="2:9" x14ac:dyDescent="0.2">
      <c r="B20" s="211" t="s">
        <v>263</v>
      </c>
      <c r="C20" s="212">
        <v>0.02</v>
      </c>
    </row>
    <row r="21" spans="2:9" x14ac:dyDescent="0.2">
      <c r="B21" s="211" t="s">
        <v>249</v>
      </c>
      <c r="C21" s="213">
        <f>WACC!C20</f>
        <v>9.0248593502360752E-2</v>
      </c>
    </row>
    <row r="22" spans="2:9" x14ac:dyDescent="0.2">
      <c r="B22" s="211" t="s">
        <v>4</v>
      </c>
      <c r="C22" s="214">
        <f>'Statement Q'!N20</f>
        <v>48861.658984830807</v>
      </c>
    </row>
    <row r="23" spans="2:9" x14ac:dyDescent="0.2">
      <c r="B23" s="211" t="s">
        <v>240</v>
      </c>
      <c r="C23" s="214">
        <f>C15*C22</f>
        <v>5475437.5058401404</v>
      </c>
    </row>
    <row r="24" spans="2:9" x14ac:dyDescent="0.2">
      <c r="B24" s="211" t="s">
        <v>241</v>
      </c>
      <c r="C24" s="214">
        <f>'Statement Q'!N159</f>
        <v>1251610</v>
      </c>
    </row>
    <row r="25" spans="2:9" x14ac:dyDescent="0.2">
      <c r="B25" s="211" t="s">
        <v>237</v>
      </c>
      <c r="C25" s="214">
        <f>'Statement Q'!N158</f>
        <v>91873</v>
      </c>
    </row>
    <row r="26" spans="2:9" ht="17" thickBot="1" x14ac:dyDescent="0.25">
      <c r="B26" s="209" t="s">
        <v>355</v>
      </c>
      <c r="C26" s="215">
        <f>C23+C25-C24</f>
        <v>4315700.5058401404</v>
      </c>
    </row>
    <row r="27" spans="2:9" ht="17" thickBot="1" x14ac:dyDescent="0.25"/>
    <row r="28" spans="2:9" x14ac:dyDescent="0.2">
      <c r="B28" s="233" t="s">
        <v>90</v>
      </c>
      <c r="C28" s="234"/>
    </row>
    <row r="29" spans="2:9" x14ac:dyDescent="0.2">
      <c r="B29" s="211" t="s">
        <v>272</v>
      </c>
      <c r="C29" s="214">
        <f>SUM(H10:L10)</f>
        <v>1073603.8446432836</v>
      </c>
    </row>
    <row r="30" spans="2:9" x14ac:dyDescent="0.2">
      <c r="B30" s="211" t="s">
        <v>266</v>
      </c>
      <c r="C30" s="214">
        <f>L11</f>
        <v>3966983.5025702193</v>
      </c>
    </row>
    <row r="31" spans="2:9" x14ac:dyDescent="0.2">
      <c r="B31" s="216" t="s">
        <v>269</v>
      </c>
      <c r="C31" s="217">
        <f>C29+C30</f>
        <v>5040587.347213503</v>
      </c>
    </row>
    <row r="32" spans="2:9" x14ac:dyDescent="0.2">
      <c r="B32" s="211" t="s">
        <v>267</v>
      </c>
      <c r="C32" s="218">
        <f>[2]Statements!W21+[2]Statements!W27</f>
        <v>144114</v>
      </c>
    </row>
    <row r="33" spans="2:12" x14ac:dyDescent="0.2">
      <c r="B33" s="211" t="s">
        <v>268</v>
      </c>
      <c r="C33" s="218">
        <f>[2]Statements!W35+[2]Statements!W36+[2]Statements!W38</f>
        <v>145969</v>
      </c>
    </row>
    <row r="34" spans="2:12" x14ac:dyDescent="0.2">
      <c r="B34" s="216" t="s">
        <v>270</v>
      </c>
      <c r="C34" s="217">
        <f>C31+C32-C33</f>
        <v>5038732.347213503</v>
      </c>
    </row>
    <row r="35" spans="2:12" x14ac:dyDescent="0.2">
      <c r="B35" s="211" t="s">
        <v>4</v>
      </c>
      <c r="C35" s="214">
        <f>C22</f>
        <v>48861.658984830807</v>
      </c>
    </row>
    <row r="36" spans="2:12" ht="17" thickBot="1" x14ac:dyDescent="0.25">
      <c r="B36" s="219" t="s">
        <v>271</v>
      </c>
      <c r="C36" s="220">
        <f>C34/C35</f>
        <v>103.1224164692768</v>
      </c>
    </row>
    <row r="39" spans="2:12" x14ac:dyDescent="0.2">
      <c r="C39" s="223" t="s">
        <v>356</v>
      </c>
      <c r="D39" s="223"/>
      <c r="E39" s="223"/>
      <c r="F39" s="223"/>
      <c r="G39" s="223"/>
      <c r="H39" s="223"/>
      <c r="I39" s="223"/>
      <c r="J39" s="223"/>
      <c r="K39" s="223"/>
      <c r="L39" s="223"/>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236</v>
      </c>
      <c r="C41" s="153">
        <f>C7</f>
        <v>-34591.342203542481</v>
      </c>
      <c r="D41" s="153">
        <f t="shared" si="2"/>
        <v>-36834.090334265638</v>
      </c>
      <c r="E41" s="153">
        <f t="shared" si="2"/>
        <v>17912.847821342184</v>
      </c>
      <c r="F41" s="153">
        <f t="shared" si="2"/>
        <v>115864.76316305983</v>
      </c>
      <c r="G41" s="155">
        <f t="shared" si="2"/>
        <v>143554.5974</v>
      </c>
      <c r="H41" s="195">
        <f t="shared" si="2"/>
        <v>178007.70077599998</v>
      </c>
      <c r="I41" s="195">
        <f t="shared" si="2"/>
        <v>220729.54896223999</v>
      </c>
      <c r="J41" s="195">
        <f t="shared" si="2"/>
        <v>273704.64071317756</v>
      </c>
      <c r="K41" s="195">
        <f t="shared" si="2"/>
        <v>339393.7544843402</v>
      </c>
      <c r="L41" s="195">
        <f t="shared" si="2"/>
        <v>420848.25556058186</v>
      </c>
    </row>
    <row r="42" spans="2:12" x14ac:dyDescent="0.2">
      <c r="B42" s="1" t="s">
        <v>180</v>
      </c>
      <c r="C42" s="153">
        <f>'[2]FCF &amp; Other'!C12</f>
        <v>108949</v>
      </c>
      <c r="D42" s="153">
        <f>'[2]FCF &amp; Other'!D12</f>
        <v>119437</v>
      </c>
      <c r="E42" s="153">
        <f>'[2]FCF &amp; Other'!E12</f>
        <v>114301</v>
      </c>
      <c r="F42" s="153">
        <f>'[2]FCF &amp; Other'!F12</f>
        <v>123216</v>
      </c>
      <c r="G42" s="155">
        <f>'[2]FCF &amp; Other'!G12</f>
        <v>133050</v>
      </c>
      <c r="H42" s="195">
        <f>H41/H43</f>
        <v>178007.70077599998</v>
      </c>
      <c r="I42" s="195">
        <f t="shared" ref="I42:L42" si="3">I41/I43</f>
        <v>220729.54896223999</v>
      </c>
      <c r="J42" s="195">
        <f t="shared" si="3"/>
        <v>288110.1481191343</v>
      </c>
      <c r="K42" s="195">
        <f t="shared" si="3"/>
        <v>377104.17164926691</v>
      </c>
      <c r="L42" s="195">
        <f t="shared" si="3"/>
        <v>526060.31945072731</v>
      </c>
    </row>
    <row r="43" spans="2:12" x14ac:dyDescent="0.2">
      <c r="B43" s="198" t="s">
        <v>357</v>
      </c>
      <c r="C43" s="116">
        <f>C41/C42</f>
        <v>-0.31750031853016075</v>
      </c>
      <c r="D43" s="116">
        <f t="shared" ref="D43:G43" si="4">D41/D42</f>
        <v>-0.30839765176842721</v>
      </c>
      <c r="E43" s="116">
        <f t="shared" si="4"/>
        <v>0.15671645761053871</v>
      </c>
      <c r="F43" s="116">
        <f t="shared" si="4"/>
        <v>0.94033861806145169</v>
      </c>
      <c r="G43" s="117">
        <f t="shared" si="4"/>
        <v>1.0789522540398346</v>
      </c>
      <c r="H43" s="194">
        <v>1</v>
      </c>
      <c r="I43" s="194">
        <v>1</v>
      </c>
      <c r="J43" s="194">
        <v>0.95</v>
      </c>
      <c r="K43" s="194">
        <v>0.9</v>
      </c>
      <c r="L43" s="194">
        <v>0.8</v>
      </c>
    </row>
    <row r="44" spans="2:12" x14ac:dyDescent="0.2">
      <c r="B44" s="1" t="s">
        <v>6</v>
      </c>
      <c r="C44" s="153">
        <f>'[2]FCF &amp; Other'!C6</f>
        <v>365817</v>
      </c>
      <c r="D44" s="153">
        <f>'[2]FCF &amp; Other'!D6</f>
        <v>394328</v>
      </c>
      <c r="E44" s="153">
        <f>'[2]FCF &amp; Other'!E6</f>
        <v>383285</v>
      </c>
      <c r="F44" s="153">
        <f>'[2]FCF &amp; Other'!F6</f>
        <v>391035</v>
      </c>
      <c r="G44" s="155">
        <f>'[2]FCF &amp; Other'!G6</f>
        <v>416161</v>
      </c>
      <c r="H44" s="195">
        <f>H41/H45</f>
        <v>445019.25193999993</v>
      </c>
      <c r="I44" s="195">
        <f t="shared" ref="I44:L44" si="5">I41/I45</f>
        <v>551823.87240559992</v>
      </c>
      <c r="J44" s="195">
        <f t="shared" si="5"/>
        <v>782013.25918050739</v>
      </c>
      <c r="K44" s="195">
        <f t="shared" si="5"/>
        <v>1131312.5149478007</v>
      </c>
      <c r="L44" s="195">
        <f t="shared" si="5"/>
        <v>1402827.5185352729</v>
      </c>
    </row>
    <row r="45" spans="2:12" x14ac:dyDescent="0.2">
      <c r="B45" s="198" t="s">
        <v>358</v>
      </c>
      <c r="C45" s="116">
        <f>C41/C44</f>
        <v>-9.4559143515863073E-2</v>
      </c>
      <c r="D45" s="116">
        <f t="shared" ref="D45:G45" si="6">D41/D44</f>
        <v>-9.3409776465951291E-2</v>
      </c>
      <c r="E45" s="116">
        <f t="shared" si="6"/>
        <v>4.6735060911181459E-2</v>
      </c>
      <c r="F45" s="116">
        <f t="shared" si="6"/>
        <v>0.29630279428455208</v>
      </c>
      <c r="G45" s="117">
        <f t="shared" si="6"/>
        <v>0.34494966467304722</v>
      </c>
      <c r="H45" s="194">
        <v>0.4</v>
      </c>
      <c r="I45" s="194">
        <v>0.4</v>
      </c>
      <c r="J45" s="194">
        <v>0.35</v>
      </c>
      <c r="K45" s="194">
        <v>0.3</v>
      </c>
      <c r="L45" s="194">
        <v>0.3</v>
      </c>
    </row>
    <row r="46" spans="2:12" x14ac:dyDescent="0.2">
      <c r="B46" s="198" t="s">
        <v>359</v>
      </c>
      <c r="C46" s="151"/>
      <c r="D46" s="116">
        <f>D41/C41-1</f>
        <v>6.4835533629379549E-2</v>
      </c>
      <c r="E46" s="116">
        <f t="shared" ref="E46:L47" si="7">E41/D41-1</f>
        <v>-1.4863116656006679</v>
      </c>
      <c r="F46" s="116">
        <f t="shared" si="7"/>
        <v>5.4682491761590954</v>
      </c>
      <c r="G46" s="117">
        <f t="shared" si="7"/>
        <v>0.23898408352133305</v>
      </c>
      <c r="H46" s="221">
        <f t="shared" si="7"/>
        <v>0.24</v>
      </c>
      <c r="I46" s="221">
        <f t="shared" si="7"/>
        <v>0.24</v>
      </c>
      <c r="J46" s="221">
        <f t="shared" si="7"/>
        <v>0.24</v>
      </c>
      <c r="K46" s="221">
        <f t="shared" si="7"/>
        <v>0.24</v>
      </c>
      <c r="L46" s="221">
        <f t="shared" si="7"/>
        <v>0.24</v>
      </c>
    </row>
    <row r="47" spans="2:12" x14ac:dyDescent="0.2">
      <c r="B47" s="198" t="s">
        <v>360</v>
      </c>
      <c r="C47" s="151"/>
      <c r="D47" s="116">
        <f>D42/C42-1</f>
        <v>9.6265225013538513E-2</v>
      </c>
      <c r="E47" s="116">
        <f t="shared" si="7"/>
        <v>-4.3001749876503959E-2</v>
      </c>
      <c r="F47" s="116">
        <f t="shared" si="7"/>
        <v>7.7995818059334532E-2</v>
      </c>
      <c r="G47" s="117">
        <f t="shared" si="7"/>
        <v>7.9811063498246959E-2</v>
      </c>
      <c r="H47" s="221">
        <f t="shared" si="7"/>
        <v>0.33790079500939485</v>
      </c>
      <c r="I47" s="221">
        <f t="shared" si="7"/>
        <v>0.24</v>
      </c>
      <c r="J47" s="221">
        <f t="shared" si="7"/>
        <v>0.3052631578947369</v>
      </c>
      <c r="K47" s="221">
        <f t="shared" si="7"/>
        <v>0.30888888888888899</v>
      </c>
      <c r="L47" s="221">
        <f t="shared" si="7"/>
        <v>0.39500000000000002</v>
      </c>
    </row>
    <row r="48" spans="2:12" x14ac:dyDescent="0.2">
      <c r="B48" s="198" t="s">
        <v>361</v>
      </c>
      <c r="C48" s="151"/>
      <c r="D48" s="116">
        <f>D44/C44-1</f>
        <v>7.7937876041846099E-2</v>
      </c>
      <c r="E48" s="116">
        <f t="shared" ref="E48:L48" si="8">E44/D44-1</f>
        <v>-2.800460530319937E-2</v>
      </c>
      <c r="F48" s="116">
        <f t="shared" si="8"/>
        <v>2.021994077514111E-2</v>
      </c>
      <c r="G48" s="117">
        <f t="shared" si="8"/>
        <v>6.425511782832749E-2</v>
      </c>
      <c r="H48" s="221">
        <f t="shared" si="8"/>
        <v>6.9343960486446088E-2</v>
      </c>
      <c r="I48" s="221">
        <f t="shared" si="8"/>
        <v>0.24</v>
      </c>
      <c r="J48" s="221">
        <f t="shared" si="8"/>
        <v>0.41714285714285726</v>
      </c>
      <c r="K48" s="221">
        <f t="shared" si="8"/>
        <v>0.44666666666666655</v>
      </c>
      <c r="L48" s="221">
        <f t="shared" si="8"/>
        <v>0.24</v>
      </c>
    </row>
    <row r="49" spans="2:12" x14ac:dyDescent="0.2">
      <c r="B49" s="198" t="s">
        <v>362</v>
      </c>
      <c r="C49" s="116">
        <f>C42/C44</f>
        <v>0.29782377527561593</v>
      </c>
      <c r="D49" s="116">
        <f t="shared" ref="D49:L49" si="9">D42/D44</f>
        <v>0.30288744395528594</v>
      </c>
      <c r="E49" s="116">
        <f t="shared" si="9"/>
        <v>0.29821412265024722</v>
      </c>
      <c r="F49" s="116">
        <f t="shared" si="9"/>
        <v>0.31510222870075566</v>
      </c>
      <c r="G49" s="117">
        <f t="shared" si="9"/>
        <v>0.31970799762591884</v>
      </c>
      <c r="H49" s="221">
        <f t="shared" si="9"/>
        <v>0.4</v>
      </c>
      <c r="I49" s="221">
        <f t="shared" si="9"/>
        <v>0.4</v>
      </c>
      <c r="J49" s="221">
        <f t="shared" si="9"/>
        <v>0.36842105263157893</v>
      </c>
      <c r="K49" s="221">
        <f t="shared" si="9"/>
        <v>0.33333333333333337</v>
      </c>
      <c r="L49" s="221">
        <f t="shared" si="9"/>
        <v>0.375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2026-05-19T20:51:44Z</dcterms:modified>
</cp:coreProperties>
</file>