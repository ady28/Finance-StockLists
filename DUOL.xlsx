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5F947DB-3AB4-7741-BC94-65A87E72FE3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54" i="3"/>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102" i="17"/>
  <c r="B101" i="17"/>
  <c r="B100" i="17"/>
  <c r="B99" i="17"/>
  <c r="B98"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102" i="17" s="1"/>
  <c r="P195" i="3"/>
  <c r="F102" i="17" s="1"/>
  <c r="O195" i="3"/>
  <c r="E102" i="17" s="1"/>
  <c r="N195" i="3"/>
  <c r="D102" i="17" s="1"/>
  <c r="M195" i="3"/>
  <c r="C102" i="17" s="1"/>
  <c r="Q194" i="3"/>
  <c r="G101" i="17" s="1"/>
  <c r="P194" i="3"/>
  <c r="F101" i="17" s="1"/>
  <c r="O194" i="3"/>
  <c r="E101" i="17" s="1"/>
  <c r="N194" i="3"/>
  <c r="D101" i="17" s="1"/>
  <c r="M194" i="3"/>
  <c r="C101" i="17" s="1"/>
  <c r="Q193" i="3"/>
  <c r="G100" i="17" s="1"/>
  <c r="P193" i="3"/>
  <c r="F100" i="17" s="1"/>
  <c r="O193" i="3"/>
  <c r="E100" i="17" s="1"/>
  <c r="N193" i="3"/>
  <c r="D100"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9" i="17"/>
  <c r="D99" i="17"/>
  <c r="C99" i="17"/>
  <c r="G98" i="17"/>
  <c r="F20" i="18"/>
  <c r="C20" i="18"/>
  <c r="F18" i="18"/>
  <c r="C18" i="18"/>
  <c r="F12" i="18"/>
  <c r="C12" i="18"/>
  <c r="F10" i="18"/>
  <c r="C10" i="18"/>
  <c r="C100" i="17"/>
  <c r="F99" i="17"/>
  <c r="E99" i="17"/>
  <c r="F98" i="17"/>
  <c r="E98" i="17"/>
  <c r="D98" i="17"/>
  <c r="C98"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I18" i="1" s="1"/>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I14" i="1"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<sst xmlns="http://schemas.openxmlformats.org/spreadsheetml/2006/main" count="896" uniqueCount="451">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</sst>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8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318.83999999999997</v>
    <v>87.89</v>
    <v>1.0669999999999999</v>
    <v>2.71</v>
    <v>1.9553000000000001E-2</v>
    <v>0.47620000000000001</v>
    <v>3.3700000000000002E-3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142.52000000000001</v>
    <v>Software &amp; IT Services</v>
    <v>Stock</v>
    <v>46322.89167665469</v>
    <v>0</v>
    <v>136.51</v>
    <v>6611367813</v>
    <v>DUOLINGO, INC.</v>
    <v>DUOLINGO, INC.</v>
    <v>137.29</v>
    <v>16.843699999999998</v>
    <v>138.6</v>
    <v>141.31</v>
    <v>141.78620000000001</v>
    <v>46786270</v>
    <v>DUOL</v>
    <v>DUOLINGO, INC. (XNAS:DUOL)</v>
    <v>803479</v>
    <v>901532</v>
    <v>2011</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6"/>
  <sheetViews>
    <sheetView tabSelected="1" zoomScale="160" zoomScaleNormal="160" workbookViewId="0">
      <selection activeCell="K15" sqref="K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2" t="s">
        <v>18</v>
      </c>
      <c r="C2" s="263"/>
      <c r="E2" s="262" t="s">
        <v>291</v>
      </c>
      <c r="F2" s="263"/>
      <c r="H2" s="262" t="s">
        <v>330</v>
      </c>
      <c r="I2" s="263"/>
      <c r="K2" s="134" t="s">
        <v>440</v>
      </c>
    </row>
    <row r="3" spans="2:11" x14ac:dyDescent="0.2">
      <c r="B3" s="184" t="s">
        <v>11</v>
      </c>
      <c r="C3" s="216" t="e" vm="1">
        <v>#VALUE!</v>
      </c>
      <c r="D3" s="2"/>
      <c r="E3" s="184" t="s">
        <v>243</v>
      </c>
      <c r="F3" s="186">
        <f ca="1">Statement!AC149</f>
        <v>7082739.8200000003</v>
      </c>
      <c r="H3" s="184" t="str">
        <f>'AVG target price'!B5</f>
        <v>DCF price</v>
      </c>
      <c r="I3" s="210">
        <f ca="1">'AVG target price'!C5</f>
        <v>146.52957244723353</v>
      </c>
      <c r="K3" s="257" t="s">
        <v>441</v>
      </c>
    </row>
    <row r="4" spans="2:11" x14ac:dyDescent="0.2">
      <c r="B4" s="184" t="s">
        <v>0</v>
      </c>
      <c r="C4" s="188" t="str" cm="1">
        <f t="array" aca="1" ref="C4" ca="1">_FV(C3,"Ticker symbol",TRUE)</f>
        <v>DUOL</v>
      </c>
      <c r="E4" s="185" t="s">
        <v>192</v>
      </c>
      <c r="F4" s="187">
        <f ca="1">Statement!AC150</f>
        <v>5666180.8200000003</v>
      </c>
      <c r="H4" s="184" t="str">
        <f>'AVG target price'!B6</f>
        <v>EV/EBIT price</v>
      </c>
      <c r="I4" s="210">
        <f ca="1">'AVG target price'!C6</f>
        <v>197.7481520390493</v>
      </c>
      <c r="K4" s="257" t="s">
        <v>442</v>
      </c>
    </row>
    <row r="5" spans="2:11" x14ac:dyDescent="0.2">
      <c r="B5" s="184" t="s">
        <v>1</v>
      </c>
      <c r="C5" s="207" cm="1">
        <f t="array" aca="1" ref="C5" ca="1">_FV(C3,"Price",TRUE)</f>
        <v>141.31</v>
      </c>
      <c r="E5" s="184" t="s">
        <v>247</v>
      </c>
      <c r="F5" s="189">
        <f>Statement!AC26</f>
        <v>3.1405969152350979</v>
      </c>
      <c r="H5" s="184" t="str">
        <f>'AVG target price'!B7</f>
        <v>PS price</v>
      </c>
      <c r="I5" s="210">
        <f ca="1">'AVG target price'!C7</f>
        <v>159.47310854801978</v>
      </c>
      <c r="K5" s="257" t="s">
        <v>443</v>
      </c>
    </row>
    <row r="6" spans="2:11" x14ac:dyDescent="0.2">
      <c r="B6" s="184" t="s">
        <v>2</v>
      </c>
      <c r="C6" s="207" cm="1">
        <f t="array" aca="1" ref="C6" ca="1">_FV(C3,"Price (Extended hours)",TRUE)</f>
        <v>141.78620000000001</v>
      </c>
      <c r="E6" s="184" t="s">
        <v>241</v>
      </c>
      <c r="F6" s="189">
        <f ca="1">Statement!AC146</f>
        <v>44.994631216283246</v>
      </c>
      <c r="H6" s="184" t="str">
        <f>'AVG target price'!B8</f>
        <v>EV/FCFF price</v>
      </c>
      <c r="I6" s="210">
        <f ca="1">'AVG target price'!C8</f>
        <v>203.26571662828579</v>
      </c>
      <c r="K6" s="258" t="s">
        <v>444</v>
      </c>
    </row>
    <row r="7" spans="2:11" x14ac:dyDescent="0.2">
      <c r="B7" s="184" t="s">
        <v>3</v>
      </c>
      <c r="C7" s="6" cm="1">
        <f t="array" aca="1" ref="C7" ca="1">_FV(C3,"Change")</f>
        <v>2.71</v>
      </c>
      <c r="E7" s="185" t="s">
        <v>205</v>
      </c>
      <c r="F7" s="190">
        <f ca="1">Statement!AC147</f>
        <v>6.0684834791034259</v>
      </c>
      <c r="H7" s="184" t="str">
        <f>'AVG target price'!B9</f>
        <v>EV/Sales</v>
      </c>
      <c r="I7" s="210">
        <f ca="1">'AVG target price'!C9</f>
        <v>203.6873767885503</v>
      </c>
    </row>
    <row r="8" spans="2:11" x14ac:dyDescent="0.2">
      <c r="B8" s="184" t="s">
        <v>4</v>
      </c>
      <c r="C8" s="6" cm="1">
        <f t="array" aca="1" ref="C8" ca="1">_FV(C3,"Change (extended hours)",TRUE)</f>
        <v>0.47620000000000001</v>
      </c>
      <c r="E8" s="184" t="s">
        <v>269</v>
      </c>
      <c r="F8" s="191">
        <f ca="1">Statement!AC157</f>
        <v>3.5695226201320492E-2</v>
      </c>
      <c r="H8" s="183" t="str">
        <f>'AVG target price'!B10</f>
        <v>AVG price</v>
      </c>
      <c r="I8" s="211">
        <f ca="1">'AVG target price'!C10</f>
        <v>182.14078529022774</v>
      </c>
    </row>
    <row r="9" spans="2:11" x14ac:dyDescent="0.2">
      <c r="B9" s="184" t="s">
        <v>5</v>
      </c>
      <c r="C9" s="73" cm="1">
        <f t="array" aca="1" ref="C9" ca="1">_FV(C3,"Change (%)",TRUE)</f>
        <v>1.9553000000000001E-2</v>
      </c>
      <c r="E9" s="184" t="s">
        <v>292</v>
      </c>
      <c r="F9" s="191">
        <f ca="1">Statement!AC158</f>
        <v>2.2224873789789101E-2</v>
      </c>
      <c r="H9" s="183" t="str">
        <f>'AVG target price'!B12</f>
        <v>Upside/Downside</v>
      </c>
      <c r="I9" s="212">
        <f ca="1">'AVG target price'!C12</f>
        <v>0.28894476887854886</v>
      </c>
    </row>
    <row r="10" spans="2:11" x14ac:dyDescent="0.2">
      <c r="B10" s="184" t="s">
        <v>6</v>
      </c>
      <c r="C10" s="73" cm="1">
        <f t="array" aca="1" ref="C10" ca="1">_FV(C3,"Change % (extended hours)",TRUE)</f>
        <v>3.3700000000000002E-3</v>
      </c>
      <c r="E10" s="184" t="s">
        <v>297</v>
      </c>
      <c r="F10" s="191">
        <f ca="1">Statement!AC160</f>
        <v>9.8271292986730086E-3</v>
      </c>
    </row>
    <row r="11" spans="2:11" x14ac:dyDescent="0.2">
      <c r="B11" s="184" t="s">
        <v>7</v>
      </c>
      <c r="C11" s="208" cm="1">
        <f t="array" aca="1" ref="C11" ca="1">_FV(C3,"52 week high",TRUE)</f>
        <v>318.83999999999997</v>
      </c>
      <c r="E11" s="185" t="s">
        <v>293</v>
      </c>
      <c r="F11" s="192">
        <f ca="1">Statement!AC159</f>
        <v>0</v>
      </c>
      <c r="H11" s="183" t="s">
        <v>420</v>
      </c>
      <c r="I11" s="211">
        <f ca="1">DDM!C26</f>
        <v>0</v>
      </c>
    </row>
    <row r="12" spans="2:11" x14ac:dyDescent="0.2">
      <c r="B12" s="184" t="s">
        <v>8</v>
      </c>
      <c r="C12" s="208" cm="1">
        <f t="array" aca="1" ref="C12" ca="1">_FV(C3,"52 week low",TRUE)</f>
        <v>87.89</v>
      </c>
      <c r="E12" s="184" t="s">
        <v>102</v>
      </c>
      <c r="F12" s="191">
        <f>Statement!AC123</f>
        <v>7.428664005404173E-2</v>
      </c>
    </row>
    <row r="13" spans="2:11" x14ac:dyDescent="0.2">
      <c r="B13" s="184" t="s">
        <v>9</v>
      </c>
      <c r="C13" s="208" cm="1">
        <f t="array" aca="1" ref="C13" ca="1">_FV(C3,"Beta")</f>
        <v>1.0669999999999999</v>
      </c>
      <c r="E13" s="184" t="s">
        <v>104</v>
      </c>
      <c r="F13" s="191">
        <f>Statement!AC125</f>
        <v>0.10928737315054812</v>
      </c>
      <c r="H13" s="261" t="s">
        <v>437</v>
      </c>
      <c r="I13" s="259">
        <f>'Reverse DCF'!C17</f>
        <v>0.28999999999999998</v>
      </c>
    </row>
    <row r="14" spans="2:11" x14ac:dyDescent="0.2">
      <c r="B14" s="185" t="s">
        <v>10</v>
      </c>
      <c r="C14" s="209" cm="1">
        <f t="array" aca="1" ref="C14" ca="1">_FV(C3,"Volume average",TRUE)</f>
        <v>901532</v>
      </c>
      <c r="E14" s="185" t="s">
        <v>105</v>
      </c>
      <c r="F14" s="192">
        <f>Statement!AC136</f>
        <v>-17.586668123511064</v>
      </c>
      <c r="H14" s="185" t="s">
        <v>446</v>
      </c>
      <c r="I14" s="260">
        <f ca="1">'Reverse DCF'!C16</f>
        <v>153.35988200476922</v>
      </c>
    </row>
    <row r="15" spans="2:11" x14ac:dyDescent="0.2">
      <c r="E15" s="184" t="s">
        <v>294</v>
      </c>
      <c r="F15" s="191">
        <f ca="1">Statement!AC172</f>
        <v>0.20000155815408732</v>
      </c>
    </row>
    <row r="16" spans="2:11" x14ac:dyDescent="0.2">
      <c r="E16" s="185" t="s">
        <v>299</v>
      </c>
      <c r="F16" s="190">
        <f>Statement!AC171</f>
        <v>30.277412046338647</v>
      </c>
      <c r="H16" s="262" t="s">
        <v>438</v>
      </c>
      <c r="I16" s="263"/>
    </row>
    <row r="17" spans="2:9" x14ac:dyDescent="0.2">
      <c r="B17" s="264" t="s">
        <v>90</v>
      </c>
      <c r="C17" s="264"/>
      <c r="E17" s="183" t="s">
        <v>300</v>
      </c>
      <c r="F17" s="193">
        <f>Statement!AC167</f>
        <v>0.14520569809664419</v>
      </c>
      <c r="H17" s="184" t="s">
        <v>169</v>
      </c>
      <c r="I17" s="255">
        <f ca="1">DCF!C15</f>
        <v>9.787499999999999E-2</v>
      </c>
    </row>
    <row r="18" spans="2:9" x14ac:dyDescent="0.2">
      <c r="B18" s="183" t="s">
        <v>12</v>
      </c>
      <c r="C18" s="69" t="s">
        <v>14</v>
      </c>
      <c r="E18" s="184" t="s">
        <v>301</v>
      </c>
      <c r="F18" s="189">
        <f>Statement!AC140</f>
        <v>22.829226659561293</v>
      </c>
      <c r="H18" s="185" t="s">
        <v>439</v>
      </c>
      <c r="I18" s="256">
        <f ca="1">Multiples!C54</f>
        <v>9.787499999999999E-2</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64" t="s">
        <v>107</v>
      </c>
      <c r="C25" s="264"/>
      <c r="E25" s="262" t="s">
        <v>343</v>
      </c>
      <c r="F25" s="263"/>
    </row>
    <row r="26" spans="2:9" x14ac:dyDescent="0.2">
      <c r="B26" s="183" t="s">
        <v>108</v>
      </c>
      <c r="C26" s="169">
        <v>0.21</v>
      </c>
      <c r="E26" s="184" t="e" vm="2">
        <v>#VALUE!</v>
      </c>
      <c r="F26" s="218" cm="1">
        <f t="array" aca="1" ref="F26" ca="1">_FV(E26,"Price")</f>
        <v>49.86</v>
      </c>
    </row>
    <row r="27" spans="2:9" x14ac:dyDescent="0.2">
      <c r="B27" s="183" t="s">
        <v>176</v>
      </c>
      <c r="C27" s="220">
        <v>0</v>
      </c>
      <c r="E27" s="185" t="s">
        <v>344</v>
      </c>
      <c r="F27" s="219">
        <f ca="1">F26/1000</f>
        <v>4.9860000000000002E-2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832F424A-8F06-9F4F-AF97-7DA683ACB5AB}"/>
    <hyperlink ref="K4" location="'Analysis -&gt;'!B13" display="'Analysis -&gt;'!B13" xr:uid="{2EE05D4C-B9FB-F441-979B-3D7F89BD8BD7}"/>
    <hyperlink ref="K5" location="'Forecast -&gt;'!B13" display="'Forecast -&gt;'!B13" xr:uid="{40305C7F-453F-A74B-872A-0E9BE5931076}"/>
    <hyperlink ref="K6" location="'Valuation -&gt;'!B13" display="'Valuation -&gt;'!B13" xr:uid="{B5F2AFC3-E8B4-0A4D-BF18-F9C84ACE33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15</v>
      </c>
    </row>
  </sheetData>
  <hyperlinks>
    <hyperlink ref="H6" location="Overview!B3" display="Overview'!B3" xr:uid="{43F92576-E081-3349-8041-1D0736C4387B}"/>
    <hyperlink ref="H8" location="'Analysis -&gt;'!B13" display="'Analysis -&gt;'!B13" xr:uid="{768BAAB0-4CD5-A74A-B3E4-FE7E6B235C16}"/>
    <hyperlink ref="H9" location="'Forecast -&gt;'!B13" display="'Forecast -&gt;'!B13" xr:uid="{BDE6F3E7-1153-FF42-8B67-759D125896AC}"/>
    <hyperlink ref="H10" location="'Valuation -&gt;'!B13" display="'Valuation -&gt;'!B13" xr:uid="{DB907F2A-DF85-0D46-8BFA-53745129BEB9}"/>
    <hyperlink ref="H7" location="'Financials -&gt;'!B13" display="'Financials -&gt;'!B13" xr:uid="{B45ACB67-5258-0F4A-9418-8851277B2A4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L157"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141.31</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141.31</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44.994631216283246</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6.0684834791034259</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4.6897444071326531</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7082739.8200000003</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5666180.8200000003</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4.9486208932386146</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36.070794919947801</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28.01495063681671</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33.9839025781964</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3.5695226201320492E-2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2.2224873789789101E-2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9.8271292986730086E-3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9.8271292986730086E-3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0.20000155815408732</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236</v>
      </c>
    </row>
  </sheetData>
  <hyperlinks>
    <hyperlink ref="H6" location="Overview!B3" display="Overview'!B3" xr:uid="{49108935-869E-9741-8C9B-DC045F5EF96E}"/>
    <hyperlink ref="H8" location="'Analysis -&gt;'!B13" display="'Analysis -&gt;'!B13" xr:uid="{3A5D5632-C1EB-BF40-A3F8-475D826AEA93}"/>
    <hyperlink ref="H9" location="'Forecast -&gt;'!B13" display="'Forecast -&gt;'!B13" xr:uid="{9EECD199-A3EA-4C47-AC14-DC5149ED784C}"/>
    <hyperlink ref="H10" location="'Valuation -&gt;'!B13" display="'Valuation -&gt;'!B13" xr:uid="{F0189B84-9339-1F46-92C6-E9D205DC39D7}"/>
    <hyperlink ref="H7" location="'Financials -&gt;'!B13" display="'Financials -&gt;'!B13" xr:uid="{420C8526-7E34-634E-9935-64B927AAC9A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49"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65" t="s">
        <v>237</v>
      </c>
      <c r="C4" s="265"/>
      <c r="E4" s="265" t="s">
        <v>244</v>
      </c>
      <c r="F4" s="265"/>
      <c r="G4" s="265"/>
    </row>
    <row r="5" spans="2:7" x14ac:dyDescent="0.2">
      <c r="B5" s="20" t="s">
        <v>1</v>
      </c>
      <c r="C5" s="171">
        <f ca="1">Overview!C5</f>
        <v>141.31</v>
      </c>
      <c r="E5" s="12"/>
      <c r="F5" s="134" t="s">
        <v>245</v>
      </c>
      <c r="G5" s="134" t="s">
        <v>246</v>
      </c>
    </row>
    <row r="6" spans="2:7" x14ac:dyDescent="0.2">
      <c r="B6" s="20" t="s">
        <v>243</v>
      </c>
      <c r="C6" s="172">
        <f ca="1">Statement!AC149</f>
        <v>7082739.8200000003</v>
      </c>
      <c r="E6" s="20" t="s">
        <v>20</v>
      </c>
      <c r="F6" s="177">
        <f>IF(Statement!M5&lt;=0,"N/A",_xlfn.RRI(4,Statement!M5,Statement!Q5))</f>
        <v>0.42622018562456243</v>
      </c>
      <c r="G6" s="177" t="str">
        <f>IF(Statement!H5&lt;=0,"N/A",_xlfn.RRI(9,Statement!H5,Statement!Q5))</f>
        <v>N/A</v>
      </c>
    </row>
    <row r="7" spans="2:7" x14ac:dyDescent="0.2">
      <c r="B7" s="20" t="s">
        <v>192</v>
      </c>
      <c r="C7" s="172">
        <f ca="1">Statement!AC150</f>
        <v>5666180.8200000003</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44.994631216283246</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6.0684834791034259</v>
      </c>
      <c r="E9" s="20" t="s">
        <v>248</v>
      </c>
      <c r="F9" s="177" t="str">
        <f>IF(Statement!M82&lt;=0,"N/A",_xlfn.RRI(4,Statement!M82,Statement!Q82))</f>
        <v>N/A</v>
      </c>
      <c r="G9" s="177" t="str">
        <f>IF(Statement!H82&lt;=0,"N/A",_xlfn.RRI(9,Statement!H82,Statement!Q82))</f>
        <v>N/A</v>
      </c>
    </row>
    <row r="10" spans="2:7" x14ac:dyDescent="0.2">
      <c r="B10" s="20" t="s">
        <v>242</v>
      </c>
      <c r="C10" s="173">
        <f ca="1">Statement!AC148</f>
        <v>4.6897444071326531</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4.9486208932386146</v>
      </c>
    </row>
    <row r="12" spans="2:7" x14ac:dyDescent="0.2">
      <c r="B12" s="20" t="s">
        <v>208</v>
      </c>
      <c r="C12" s="173">
        <f ca="1">Statement!AC152</f>
        <v>36.070794919947801</v>
      </c>
    </row>
    <row r="15" spans="2:7" x14ac:dyDescent="0.2">
      <c r="B15" s="265" t="s">
        <v>78</v>
      </c>
      <c r="C15" s="265"/>
      <c r="E15" s="265" t="s">
        <v>250</v>
      </c>
      <c r="F15" s="265"/>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65" t="s">
        <v>249</v>
      </c>
      <c r="C21" s="265"/>
      <c r="E21" s="265" t="s">
        <v>253</v>
      </c>
      <c r="F21" s="265"/>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65" t="s">
        <v>254</v>
      </c>
      <c r="C29" s="265"/>
      <c r="E29" s="265" t="s">
        <v>260</v>
      </c>
      <c r="F29" s="265"/>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65" t="s">
        <v>272</v>
      </c>
      <c r="C37" s="265"/>
      <c r="E37" s="265" t="s">
        <v>275</v>
      </c>
      <c r="F37" s="265"/>
    </row>
    <row r="38" spans="2:6" x14ac:dyDescent="0.2">
      <c r="B38" s="20" t="s">
        <v>270</v>
      </c>
      <c r="C38" s="174">
        <f ca="1">Statement!AC158</f>
        <v>2.2224873789789101E-2</v>
      </c>
      <c r="E38" s="20" t="s">
        <v>274</v>
      </c>
      <c r="F38" s="174">
        <f>Statement!AC164</f>
        <v>0</v>
      </c>
    </row>
    <row r="39" spans="2:6" x14ac:dyDescent="0.2">
      <c r="B39" s="54" t="s">
        <v>273</v>
      </c>
      <c r="C39" s="214">
        <f ca="1">Statement!AC157</f>
        <v>3.5695226201320492E-2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9.8271292986730086E-3</v>
      </c>
    </row>
    <row r="42" spans="2:6" x14ac:dyDescent="0.2">
      <c r="B42" s="20" t="s">
        <v>298</v>
      </c>
      <c r="C42" s="174">
        <f ca="1">Statement!AC161</f>
        <v>9.8271292986730086E-3</v>
      </c>
    </row>
    <row r="45" spans="2:6" x14ac:dyDescent="0.2">
      <c r="B45" s="265" t="s">
        <v>283</v>
      </c>
      <c r="C45" s="265"/>
      <c r="E45" s="265" t="s">
        <v>289</v>
      </c>
      <c r="F45" s="265"/>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0.20000155815408732</v>
      </c>
    </row>
    <row r="51" spans="2:6" x14ac:dyDescent="0.2">
      <c r="B51" s="265" t="s">
        <v>286</v>
      </c>
      <c r="C51" s="265"/>
      <c r="E51" s="265" t="s">
        <v>307</v>
      </c>
      <c r="F51" s="265"/>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row r="57" spans="2:6" x14ac:dyDescent="0.2">
      <c r="B57" s="265" t="s">
        <v>447</v>
      </c>
      <c r="C57" s="265"/>
    </row>
    <row r="58" spans="2:6" x14ac:dyDescent="0.2">
      <c r="B58" s="20" t="s">
        <v>267</v>
      </c>
      <c r="C58" s="173">
        <f ca="1">Statement!AC155</f>
        <v>28.01495063681671</v>
      </c>
    </row>
    <row r="59" spans="2:6" x14ac:dyDescent="0.2">
      <c r="B59" s="20" t="s">
        <v>268</v>
      </c>
      <c r="C59" s="173">
        <f ca="1">Statement!AC156</f>
        <v>33.9839025781964</v>
      </c>
    </row>
    <row r="60" spans="2:6" x14ac:dyDescent="0.2">
      <c r="B60" s="20" t="s">
        <v>448</v>
      </c>
      <c r="C60" s="174">
        <f>Statement!AC162</f>
        <v>0.14561661603907672</v>
      </c>
    </row>
    <row r="61" spans="2:6" x14ac:dyDescent="0.2">
      <c r="B61" s="20" t="s">
        <v>449</v>
      </c>
      <c r="C61" s="174">
        <f>Statement!AC163</f>
        <v>0.22080310776749734</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101" activePane="bottomRight" state="frozen"/>
      <selection pane="topRight" activeCell="C1" sqref="C1"/>
      <selection pane="bottomLeft" activeCell="A4" sqref="A4"/>
      <selection pane="bottomRight" activeCell="B105" sqref="B105"/>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141.31</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7082739.8200000003</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5666180.8200000003</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44.994631216283246</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6.0684834791034259</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4.6897444071326531</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4.9486208932386146</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36.070794919947801</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2.2224873789789101E-2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3.5695226201320492E-2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9.8271292986730086E-3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9.8271292986730086E-3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0.20000155815408732</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7" spans="2:9" ht="17" thickBot="1" x14ac:dyDescent="0.25">
      <c r="B87" s="14" t="s">
        <v>447</v>
      </c>
      <c r="C87" s="14"/>
      <c r="D87" s="14"/>
      <c r="E87" s="14"/>
      <c r="F87" s="14"/>
      <c r="G87" s="14"/>
      <c r="I87" s="14"/>
    </row>
    <row r="88" spans="2:9" x14ac:dyDescent="0.2">
      <c r="B88" s="20" t="s">
        <v>267</v>
      </c>
      <c r="C88" s="173">
        <f>Statement!M155</f>
        <v>-112.87400898520085</v>
      </c>
      <c r="D88" s="173">
        <f>Statement!N155</f>
        <v>-95.43181061806655</v>
      </c>
      <c r="E88" s="173">
        <f>Statement!O155</f>
        <v>243.27936097877384</v>
      </c>
      <c r="F88" s="173">
        <f>Statement!P155</f>
        <v>103.20455372459323</v>
      </c>
      <c r="G88" s="173">
        <f>Statement!Q155</f>
        <v>39.668168547942251</v>
      </c>
      <c r="I88" s="173">
        <f ca="1">Statement!AC155</f>
        <v>28.01495063681671</v>
      </c>
    </row>
    <row r="89" spans="2:9" x14ac:dyDescent="0.2">
      <c r="B89" s="20" t="s">
        <v>268</v>
      </c>
      <c r="C89" s="173">
        <f>Statement!M156</f>
        <v>-98.568903797199823</v>
      </c>
      <c r="D89" s="173">
        <f>Statement!N156</f>
        <v>-63.556731738561353</v>
      </c>
      <c r="E89" s="173">
        <f>Statement!O156</f>
        <v>673.03434883720922</v>
      </c>
      <c r="F89" s="173">
        <f>Statement!P156</f>
        <v>124.4016933148245</v>
      </c>
      <c r="G89" s="173">
        <f>Statement!Q156</f>
        <v>49.504381582091227</v>
      </c>
      <c r="I89" s="173">
        <f ca="1">Statement!AC156</f>
        <v>33.9839025781964</v>
      </c>
    </row>
    <row r="90" spans="2:9" x14ac:dyDescent="0.2">
      <c r="B90" s="20" t="s">
        <v>448</v>
      </c>
      <c r="C90" s="174">
        <f>Statement!M162</f>
        <v>-0.1503836153956582</v>
      </c>
      <c r="D90" s="174">
        <f>Statement!N162</f>
        <v>-9.7183994370695137E-2</v>
      </c>
      <c r="E90" s="174">
        <f>Statement!O162</f>
        <v>2.8336932720025455E-2</v>
      </c>
      <c r="F90" s="174">
        <f>Statement!P162</f>
        <v>0.16019298860138934</v>
      </c>
      <c r="G90" s="174">
        <f>Statement!Q162</f>
        <v>0.14737449941730871</v>
      </c>
      <c r="I90" s="174">
        <f>Statement!AC162</f>
        <v>0.14561661603907672</v>
      </c>
    </row>
    <row r="91" spans="2:9" x14ac:dyDescent="0.2">
      <c r="B91" s="20" t="s">
        <v>449</v>
      </c>
      <c r="C91" s="174">
        <f>Statement!M163</f>
        <v>-0.15089403920692901</v>
      </c>
      <c r="D91" s="174">
        <f>Statement!N163</f>
        <v>-8.1971339260341822E-2</v>
      </c>
      <c r="E91" s="174">
        <f>Statement!O163</f>
        <v>8.4180460131536086E-2</v>
      </c>
      <c r="F91" s="174">
        <f>Statement!P163</f>
        <v>0.2057367143300215</v>
      </c>
      <c r="G91" s="174">
        <f>Statement!Q163</f>
        <v>0.21490879336615942</v>
      </c>
      <c r="I91" s="174">
        <f>Statement!AC163</f>
        <v>0.22080310776749734</v>
      </c>
    </row>
    <row r="93" spans="2:9" ht="17" thickBot="1" x14ac:dyDescent="0.25">
      <c r="B93" s="14" t="s">
        <v>450</v>
      </c>
      <c r="C93" s="14"/>
      <c r="D93" s="14"/>
      <c r="E93" s="14"/>
      <c r="F93" s="14"/>
      <c r="G93" s="14"/>
      <c r="I93" s="14"/>
    </row>
    <row r="94" spans="2:9" x14ac:dyDescent="0.2">
      <c r="B94" s="20" t="s">
        <v>288</v>
      </c>
      <c r="C94" s="174">
        <f>Statement!M199</f>
        <v>0</v>
      </c>
      <c r="D94" s="174">
        <f>Statement!N199</f>
        <v>0</v>
      </c>
      <c r="E94" s="174">
        <f>Statement!O199</f>
        <v>0</v>
      </c>
      <c r="F94" s="174">
        <f>Statement!P199</f>
        <v>0</v>
      </c>
      <c r="G94" s="174">
        <f>Statement!Q199</f>
        <v>0</v>
      </c>
      <c r="I94" s="196"/>
    </row>
    <row r="97" spans="2:9" ht="17" thickBot="1" x14ac:dyDescent="0.25">
      <c r="B97" s="14" t="s">
        <v>314</v>
      </c>
      <c r="C97" s="14"/>
      <c r="D97" s="14"/>
      <c r="E97" s="14"/>
      <c r="F97" s="14"/>
      <c r="G97" s="14"/>
      <c r="I97" s="14"/>
    </row>
    <row r="98" spans="2:9" x14ac:dyDescent="0.2">
      <c r="B98" s="20" t="str">
        <f>Statement!B191&amp;" Revenue"</f>
        <v>Subscription Revenue</v>
      </c>
      <c r="C98" s="174">
        <f>Statement!M191</f>
        <v>1</v>
      </c>
      <c r="D98" s="174">
        <f>Statement!N191</f>
        <v>0.51361387508439493</v>
      </c>
      <c r="E98" s="174">
        <f>Statement!O191</f>
        <v>0.47961112512659637</v>
      </c>
      <c r="F98" s="174">
        <f>Statement!P191</f>
        <v>0.50124788724041469</v>
      </c>
      <c r="G98" s="174">
        <f>Statement!Q191</f>
        <v>0.43769124538500914</v>
      </c>
      <c r="I98" s="196"/>
    </row>
    <row r="99" spans="2:9" x14ac:dyDescent="0.2">
      <c r="B99" s="20" t="str">
        <f>Statement!B192&amp;" Revenue"</f>
        <v>Advertising Revenue</v>
      </c>
      <c r="C99" s="174">
        <f>Statement!M192</f>
        <v>1</v>
      </c>
      <c r="D99" s="174">
        <f>Statement!N192</f>
        <v>0.161813978857692</v>
      </c>
      <c r="E99" s="174">
        <f>Statement!O192</f>
        <v>0.11461849723905122</v>
      </c>
      <c r="F99" s="174">
        <f>Statement!P192</f>
        <v>0.10126759998395443</v>
      </c>
      <c r="G99" s="174">
        <f>Statement!Q192</f>
        <v>0.45200065565410602</v>
      </c>
      <c r="I99" s="196"/>
    </row>
    <row r="100" spans="2:9" x14ac:dyDescent="0.2">
      <c r="B100" s="20" t="str">
        <f>Statement!B193&amp;" Revenue"</f>
        <v>English test Revenue</v>
      </c>
      <c r="C100" s="174">
        <f>Statement!M193</f>
        <v>1</v>
      </c>
      <c r="D100" s="174">
        <f>Statement!N193</f>
        <v>0.32687160353637762</v>
      </c>
      <c r="E100" s="174">
        <f>Statement!O193</f>
        <v>0.25961244574851766</v>
      </c>
      <c r="F100" s="174">
        <f>Statement!P193</f>
        <v>0.107444433660099</v>
      </c>
      <c r="G100" s="174">
        <f>Statement!Q193</f>
        <v>-7.9623137598597724E-2</v>
      </c>
      <c r="I100" s="196"/>
    </row>
    <row r="101" spans="2:9" x14ac:dyDescent="0.2">
      <c r="B101" s="20" t="str">
        <f>Statement!B194&amp;" Revenue"</f>
        <v>In-App purchases Revenue</v>
      </c>
      <c r="C101" s="174">
        <f>Statement!M194</f>
        <v>1</v>
      </c>
      <c r="D101" s="174">
        <f>Statement!N194</f>
        <v>1.6809833694866232</v>
      </c>
      <c r="E101" s="174">
        <f>Statement!O194</f>
        <v>0.87027347753384754</v>
      </c>
      <c r="F101" s="174">
        <f>Statement!P194</f>
        <v>0.11478672165662042</v>
      </c>
      <c r="G101" s="174">
        <f>Statement!Q194</f>
        <v>4.7240835122758909E-2</v>
      </c>
      <c r="I101" s="196"/>
    </row>
    <row r="102" spans="2:9" x14ac:dyDescent="0.2">
      <c r="B102" s="20" t="str">
        <f>Statement!B195&amp;" Revenue"</f>
        <v>Other Revenue</v>
      </c>
      <c r="C102" s="174">
        <f>Statement!M195</f>
        <v>1</v>
      </c>
      <c r="D102" s="174">
        <f>Statement!N195</f>
        <v>6.9113924050632916</v>
      </c>
      <c r="E102" s="174">
        <f>Statement!O195</f>
        <v>9.1200000000000003E-2</v>
      </c>
      <c r="F102" s="174">
        <f>Statement!P195</f>
        <v>0.89589442815249265</v>
      </c>
      <c r="G102" s="174">
        <f>Statement!Q195</f>
        <v>0.49806651198762569</v>
      </c>
      <c r="I102"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317</v>
      </c>
      <c r="D3" s="267"/>
      <c r="F3" s="268" t="s">
        <v>318</v>
      </c>
      <c r="G3" s="267"/>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9">
        <f>Statement!AA89</f>
        <v>2.2218264392893719E-2</v>
      </c>
      <c r="D7" s="270"/>
      <c r="F7" s="269">
        <f>IF(F6=0,
IF(G6=0,0,IF(G6&gt;0,1,-1)),
(G6-F6)/ABS(F6)
)</f>
        <v>0.18309713991239371</v>
      </c>
      <c r="G7" s="270"/>
    </row>
    <row r="8" spans="2:7" x14ac:dyDescent="0.2">
      <c r="B8" s="206" t="s">
        <v>21</v>
      </c>
      <c r="C8" s="199">
        <f>Statement!Z6</f>
        <v>78871</v>
      </c>
      <c r="D8" s="197">
        <f>Statement!AA6</f>
        <v>81714</v>
      </c>
      <c r="F8" s="199">
        <f>Statement!W6</f>
        <v>69684</v>
      </c>
      <c r="G8" s="197">
        <f>Statement!AA6</f>
        <v>81714</v>
      </c>
    </row>
    <row r="9" spans="2:7" x14ac:dyDescent="0.2">
      <c r="B9" s="205" t="s">
        <v>319</v>
      </c>
      <c r="C9" s="269">
        <f>Statement!AA90</f>
        <v>3.6046202026093238E-2</v>
      </c>
      <c r="D9" s="270"/>
      <c r="F9" s="269">
        <f>IF(F8=0,
IF(G8=0,0,IF(G8&gt;0,1,-1)),
(G8-F8)/ABS(F8)
)</f>
        <v>0.17263647322197348</v>
      </c>
      <c r="G9" s="270"/>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9">
        <f>Statement!AA91</f>
        <v>1.710027405488606E-2</v>
      </c>
      <c r="D11" s="270"/>
      <c r="F11" s="269">
        <f>IF(F10=0,
IF(G10=0,0,IF(G10&gt;0,1,-1)),
(G10-F10)/ABS(F10)
)</f>
        <v>0.1870895657269924</v>
      </c>
      <c r="G11" s="270"/>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9">
        <f>Statement!AA95</f>
        <v>8.4392741251357012E-2</v>
      </c>
      <c r="D13" s="270"/>
      <c r="F13" s="269">
        <f>IF(F12=0,
IF(G12=0,0,IF(G12&gt;0,1,-1)),
(G12-F12)/ABS(F12)
)</f>
        <v>0.22501976973287405</v>
      </c>
      <c r="G13" s="270"/>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9">
        <f>Statement!AA96</f>
        <v>-0.23765355851505829</v>
      </c>
      <c r="D15" s="270"/>
      <c r="F15" s="269">
        <f>IF(F14=0,
IF(G14=0,0,IF(G14&gt;0,1,-1)),
(G14-F14)/ABS(F14)
)</f>
        <v>1.7444474417768186E-2</v>
      </c>
      <c r="G15" s="270"/>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9">
        <f>Statement!AA98</f>
        <v>-0.23704555913483663</v>
      </c>
      <c r="D17" s="270"/>
      <c r="F17" s="269">
        <f>IF(F16=0,
IF(G16=0,0,IF(G16&gt;0,1,-1)),
(G16-F16)/ABS(F16)
)</f>
        <v>-0.25955204216073779</v>
      </c>
      <c r="G17" s="270"/>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9">
        <f>IF(C18=0,
IF(D18=0,0,IF(D18&gt;0,1,-1)),
(D18-C18)/ABS(C18)
)</f>
        <v>2.5565842762241744E-2</v>
      </c>
      <c r="D19" s="270"/>
      <c r="F19" s="269">
        <f>IF(F18=0,
IF(G18=0,0,IF(G18&gt;0,1,-1)),
(G18-F18)/ABS(F18)
)</f>
        <v>2.5293753865182372E-2</v>
      </c>
      <c r="G19" s="270"/>
    </row>
    <row r="20" spans="2:7" x14ac:dyDescent="0.2">
      <c r="B20" s="206" t="s">
        <v>39</v>
      </c>
      <c r="C20" s="200">
        <f>Statement!Z26</f>
        <v>0.89</v>
      </c>
      <c r="D20" s="201">
        <f>Statement!AA26</f>
        <v>0.66</v>
      </c>
      <c r="F20" s="200">
        <f>Statement!W26</f>
        <v>0.91</v>
      </c>
      <c r="G20" s="201">
        <f>Statement!AA26</f>
        <v>0.66</v>
      </c>
    </row>
    <row r="21" spans="2:7" x14ac:dyDescent="0.2">
      <c r="B21" s="205" t="s">
        <v>319</v>
      </c>
      <c r="C21" s="269">
        <f>IF(C20=0,
IF(D20=0,0,IF(D20&gt;0,1,-1)),
(D20-C20)/ABS(C20)
)</f>
        <v>-0.2584269662921348</v>
      </c>
      <c r="D21" s="270"/>
      <c r="F21" s="269">
        <f>IF(F20=0,
IF(G20=0,0,IF(G20&gt;0,1,-1)),
(G20-F20)/ABS(F20)
)</f>
        <v>-0.27472527472527469</v>
      </c>
      <c r="G21" s="270"/>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9">
        <f>IF(C24=0,
IF(D24=0,0,IF(D24&gt;0,1,-1)),
(D24-C24)/ABS(C24)
)</f>
        <v>2.840483364420425E-2</v>
      </c>
      <c r="D25" s="270"/>
      <c r="F25" s="269">
        <f>IF(F24=0,
IF(G24=0,0,IF(G24&gt;0,1,-1)),
(G24-F24)/ABS(F24)
)</f>
        <v>0.22478379327694395</v>
      </c>
      <c r="G25" s="270"/>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9">
        <f>IF(C26=0,
IF(D26=0,0,IF(D26&gt;0,1,-1)),
(D26-C26)/ABS(C26)
)</f>
        <v>2.1247695740758708E-2</v>
      </c>
      <c r="D27" s="270"/>
      <c r="F27" s="269">
        <f>IF(F26=0,
IF(G26=0,0,IF(G26&gt;0,1,-1)),
(G26-F26)/ABS(F26)
)</f>
        <v>2.1792942775323981E-2</v>
      </c>
      <c r="G27" s="270"/>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9">
        <f>IF(C28=0,
IF(D28=0,0,IF(D28&gt;0,1,-1)),
(D28-C28)/ABS(C28)
)</f>
        <v>-0.10674206945303526</v>
      </c>
      <c r="D29" s="270"/>
      <c r="F29" s="269">
        <f>IF(F28=0,
IF(G28=0,0,IF(G28&gt;0,1,-1)),
(G28-F28)/ABS(F28)
)</f>
        <v>2.0816812053925456E-3</v>
      </c>
      <c r="G29" s="270"/>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9">
        <f>IF(C30=0,
IF(D30=0,0,IF(D30&gt;0,1,-1)),
(D30-C30)/ABS(C30)
)</f>
        <v>-5.2569263556713236E-2</v>
      </c>
      <c r="D31" s="270"/>
      <c r="F31" s="269">
        <f>IF(F30=0,
IF(G30=0,0,IF(G30&gt;0,1,-1)),
(G30-F30)/ABS(F30)
)</f>
        <v>-0.22983638113570742</v>
      </c>
      <c r="G31" s="270"/>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9">
        <f>IF(C32=0,
IF(D32=0,0,IF(D32&gt;0,1,-1)),
(D32-C32)/ABS(C32)
)</f>
        <v>0.84164222873900296</v>
      </c>
      <c r="D33" s="270"/>
      <c r="F33" s="269">
        <f>IF(F32=0,
IF(G32=0,0,IF(G32&gt;0,1,-1)),
(G32-F32)/ABS(F32)
)</f>
        <v>1.482213438735178</v>
      </c>
      <c r="G33" s="270"/>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9">
        <f>IF(C36=0,
IF(D36=0,0,IF(D36&gt;0,1,-1)),
(D36-C36)/ABS(C36)
)</f>
        <v>3.8938053097345132E-2</v>
      </c>
      <c r="D37" s="270"/>
      <c r="F37" s="269">
        <f>IF(F36=0,
IF(G36=0,0,IF(G36&gt;0,1,-1)),
(G36-F36)/ABS(F36)
)</f>
        <v>0.23060796645702306</v>
      </c>
      <c r="G37" s="270"/>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9">
        <f>IF(C38=0,
IF(D38=0,0,IF(D38&gt;0,1,-1)),
(D38-C38)/ABS(C38)
)</f>
        <v>2.0319303338171262E-2</v>
      </c>
      <c r="D39" s="270"/>
      <c r="F39" s="269">
        <f>IF(F38=0,
IF(G38=0,0,IF(G38&gt;0,1,-1)),
(G38-F38)/ABS(F38)
)</f>
        <v>9.5869056897895558E-2</v>
      </c>
      <c r="G39" s="270"/>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9">
        <f>IF(C40=0,
IF(D40=0,0,IF(D40&gt;0,1,-1)),
(D40-C40)/ABS(C40)
)</f>
        <v>1.6E-2</v>
      </c>
      <c r="D41" s="270"/>
      <c r="F41" s="269">
        <f>IF(F40=0,
IF(G40=0,0,IF(G40&gt;0,1,-1)),
(G40-F40)/ABS(F40)
)</f>
        <v>0.16513761467889909</v>
      </c>
      <c r="G41" s="270"/>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9">
        <f>IF(C42=0,
IF(D42=0,0,IF(D42&gt;0,1,-1)),
(D42-C42)/ABS(C42)
)</f>
        <v>2.0750199521149242E-2</v>
      </c>
      <c r="D43" s="270"/>
      <c r="F43" s="269">
        <f>IF(F42=0,
IF(G42=0,0,IF(G42&gt;0,1,-1)),
(G42-F42)/ABS(F42)
)</f>
        <v>8.9437819420783646E-2</v>
      </c>
      <c r="G43" s="270"/>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9">
        <f>IF(C44=0,
IF(D44=0,0,IF(D44&gt;0,1,-1)),
(D44-C44)/ABS(C44)
)</f>
        <v>1.2209481933271921E-2</v>
      </c>
      <c r="D45" s="270"/>
      <c r="F45" s="269">
        <f>IF(F44=0,
IF(G44=0,0,IF(G44&gt;0,1,-1)),
(G44-F44)/ABS(F44)
)</f>
        <v>5.119238950540856E-2</v>
      </c>
      <c r="G45" s="270"/>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9">
        <f>IF(C46=0,
IF(D46=0,0,IF(D46&gt;0,1,-1)),
(D46-C46)/ABS(C46)
)</f>
        <v>1.8247963846473435E-2</v>
      </c>
      <c r="D47" s="270"/>
      <c r="F47" s="269">
        <f>IF(F46=0,
IF(G46=0,0,IF(G46&gt;0,1,-1)),
(G46-F46)/ABS(F46)
)</f>
        <v>0.1229516507570132</v>
      </c>
      <c r="G47" s="270"/>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9">
        <f>IF(C48=0,
IF(D48=0,0,IF(D48&gt;0,1,-1)),
(D48-C48)/ABS(C48)
)</f>
        <v>-4.2332859174963834E-3</v>
      </c>
      <c r="D49" s="270"/>
      <c r="F49" s="269">
        <f>IF(F48=0,
IF(G48=0,0,IF(G48&gt;0,1,-1)),
(G48-F48)/ABS(F48)
)</f>
        <v>6.3208790635154666E-2</v>
      </c>
      <c r="G49" s="270"/>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9">
        <f>IF(C50=0,
IF(D50=0,0,IF(D50&gt;0,1,-1)),
(D50-C50)/ABS(C50)
)</f>
        <v>4.8738292663854846E-4</v>
      </c>
      <c r="D51" s="270"/>
      <c r="F51" s="269">
        <f>IF(F50=0,
IF(G50=0,0,IF(G50&gt;0,1,-1)),
(G50-F50)/ABS(F50)
)</f>
        <v>-6.2091544317255373E-2</v>
      </c>
      <c r="G51" s="270"/>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9">
        <f>IF(C52=0,
IF(D52=0,0,IF(D52&gt;0,1,-1)),
(D52-C52)/ABS(C52)
)</f>
        <v>-8.8077740902117604E-2</v>
      </c>
      <c r="D53" s="270"/>
      <c r="F53" s="269">
        <f>IF(F52=0,
IF(G52=0,0,IF(G52&gt;0,1,-1)),
(G52-F52)/ABS(F52)
)</f>
        <v>-0.37416005758387127</v>
      </c>
      <c r="G53" s="270"/>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1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111</v>
      </c>
    </row>
  </sheetData>
  <hyperlinks>
    <hyperlink ref="H6" location="Overview!B3" display="Overview'!B3" xr:uid="{2FE79ECC-FE2D-DE4D-9B1D-17B797FDC517}"/>
    <hyperlink ref="H8" location="'Analysis -&gt;'!B13" display="'Analysis -&gt;'!B13" xr:uid="{6565A3E3-EAEF-E24A-BD88-AB11899D5D29}"/>
    <hyperlink ref="H9" location="'Forecast -&gt;'!B13" display="'Forecast -&gt;'!B13" xr:uid="{5E4C62ED-FAC3-424A-9651-3EEA2A78A5C5}"/>
    <hyperlink ref="H10" location="'Valuation -&gt;'!B13" display="'Valuation -&gt;'!B13" xr:uid="{A5ED8842-F42F-7342-8F39-C785B981FA4B}"/>
    <hyperlink ref="H7" location="'Financials -&gt;'!B13" display="'Financials -&gt;'!B13" xr:uid="{03D9F6FE-D077-FB4B-B548-AE8A5DC91D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65" t="s">
        <v>113</v>
      </c>
      <c r="D2" s="265"/>
      <c r="E2" s="265"/>
      <c r="F2" s="265"/>
      <c r="G2" s="274"/>
      <c r="H2" s="275" t="s">
        <v>114</v>
      </c>
      <c r="I2" s="265"/>
      <c r="J2" s="265"/>
      <c r="K2" s="265"/>
      <c r="L2" s="265"/>
      <c r="O2" s="5"/>
      <c r="S2" s="265" t="s">
        <v>113</v>
      </c>
      <c r="T2" s="265"/>
      <c r="U2" s="265"/>
      <c r="V2" s="265"/>
      <c r="W2" s="265"/>
      <c r="X2" s="265"/>
      <c r="Y2" s="265"/>
      <c r="Z2" s="265"/>
      <c r="AA2" s="265" t="s">
        <v>114</v>
      </c>
      <c r="AB2" s="265"/>
      <c r="AC2" s="265"/>
      <c r="AE2" s="86" t="s">
        <v>85</v>
      </c>
    </row>
    <row r="3" spans="1:31" ht="10" customHeight="1" x14ac:dyDescent="0.2">
      <c r="O3" s="5"/>
    </row>
    <row r="4" spans="1:31" ht="16" customHeight="1" x14ac:dyDescent="0.2">
      <c r="A4" s="87"/>
      <c r="B4" s="60"/>
      <c r="C4" s="271" t="s">
        <v>116</v>
      </c>
      <c r="D4" s="271"/>
      <c r="E4" s="271"/>
      <c r="F4" s="271"/>
      <c r="G4" s="271"/>
      <c r="H4" s="271"/>
      <c r="I4" s="271"/>
      <c r="J4" s="271"/>
      <c r="K4" s="271"/>
      <c r="L4" s="271"/>
      <c r="O4" s="5"/>
      <c r="S4" s="272" t="s">
        <v>116</v>
      </c>
      <c r="T4" s="273"/>
      <c r="U4" s="273"/>
      <c r="V4" s="273"/>
      <c r="W4" s="273"/>
      <c r="X4" s="273"/>
      <c r="Y4" s="273"/>
      <c r="Z4" s="273"/>
      <c r="AA4" s="273"/>
      <c r="AB4" s="273"/>
      <c r="AC4" s="273"/>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71" t="s">
        <v>122</v>
      </c>
      <c r="D13" s="271"/>
      <c r="E13" s="271"/>
      <c r="F13" s="271"/>
      <c r="G13" s="271"/>
      <c r="H13" s="271"/>
      <c r="I13" s="271"/>
      <c r="J13" s="271"/>
      <c r="K13" s="271"/>
      <c r="L13" s="271"/>
      <c r="O13" s="5"/>
      <c r="Q13" s="92"/>
      <c r="S13" s="272" t="s">
        <v>122</v>
      </c>
      <c r="T13" s="273"/>
      <c r="U13" s="273"/>
      <c r="V13" s="273"/>
      <c r="W13" s="273"/>
      <c r="X13" s="273"/>
      <c r="Y13" s="273"/>
      <c r="Z13" s="273"/>
      <c r="AA13" s="273"/>
      <c r="AB13" s="273"/>
      <c r="AC13" s="273"/>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71" t="s">
        <v>124</v>
      </c>
      <c r="D23" s="271"/>
      <c r="E23" s="271"/>
      <c r="F23" s="271"/>
      <c r="G23" s="271"/>
      <c r="H23" s="271"/>
      <c r="I23" s="271"/>
      <c r="J23" s="271"/>
      <c r="K23" s="271"/>
      <c r="L23" s="271"/>
      <c r="O23" s="5"/>
      <c r="Q23" s="92"/>
      <c r="S23" s="272" t="s">
        <v>124</v>
      </c>
      <c r="T23" s="273"/>
      <c r="U23" s="273"/>
      <c r="V23" s="273"/>
      <c r="W23" s="273"/>
      <c r="X23" s="273"/>
      <c r="Y23" s="273"/>
      <c r="Z23" s="273"/>
      <c r="AA23" s="273"/>
      <c r="AB23" s="273"/>
      <c r="AC23" s="273"/>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71" t="s">
        <v>126</v>
      </c>
      <c r="D40" s="271"/>
      <c r="E40" s="271"/>
      <c r="F40" s="271"/>
      <c r="G40" s="271"/>
      <c r="H40" s="271"/>
      <c r="I40" s="271"/>
      <c r="J40" s="271"/>
      <c r="K40" s="271"/>
      <c r="L40" s="271"/>
      <c r="O40" s="5"/>
      <c r="S40" s="272" t="s">
        <v>126</v>
      </c>
      <c r="T40" s="273"/>
      <c r="U40" s="273"/>
      <c r="V40" s="273"/>
      <c r="W40" s="273"/>
      <c r="X40" s="273"/>
      <c r="Y40" s="273"/>
      <c r="Z40" s="273"/>
      <c r="AA40" s="273"/>
      <c r="AB40" s="273"/>
      <c r="AC40" s="273"/>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65" t="s">
        <v>113</v>
      </c>
      <c r="D2" s="265"/>
      <c r="E2" s="265"/>
      <c r="F2" s="265"/>
      <c r="G2" s="274"/>
      <c r="H2" s="275" t="s">
        <v>114</v>
      </c>
      <c r="I2" s="265"/>
      <c r="J2" s="265"/>
      <c r="K2" s="265"/>
      <c r="L2" s="265"/>
      <c r="P2" s="265" t="s">
        <v>113</v>
      </c>
      <c r="Q2" s="265"/>
      <c r="R2" s="265"/>
      <c r="S2" s="265"/>
      <c r="T2" s="265"/>
      <c r="U2" s="265"/>
      <c r="V2" s="265"/>
      <c r="W2" s="265"/>
      <c r="X2" s="265" t="s">
        <v>114</v>
      </c>
      <c r="Y2" s="265"/>
      <c r="Z2" s="265"/>
      <c r="AB2" s="86" t="s">
        <v>115</v>
      </c>
    </row>
    <row r="3" spans="1:28" ht="10" customHeight="1" x14ac:dyDescent="0.2"/>
    <row r="4" spans="1:28" ht="16" customHeight="1" x14ac:dyDescent="0.2">
      <c r="A4" s="87"/>
      <c r="B4" s="60"/>
      <c r="C4" s="271" t="s">
        <v>116</v>
      </c>
      <c r="D4" s="271"/>
      <c r="E4" s="271"/>
      <c r="F4" s="271"/>
      <c r="G4" s="271"/>
      <c r="H4" s="271"/>
      <c r="I4" s="271"/>
      <c r="J4" s="271"/>
      <c r="K4" s="271"/>
      <c r="L4" s="271"/>
      <c r="P4" s="273" t="s">
        <v>116</v>
      </c>
      <c r="Q4" s="273"/>
      <c r="R4" s="273"/>
      <c r="S4" s="273"/>
      <c r="T4" s="273"/>
      <c r="U4" s="273"/>
      <c r="V4" s="273"/>
      <c r="W4" s="273"/>
      <c r="X4" s="273"/>
      <c r="Y4" s="273"/>
      <c r="Z4" s="273"/>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71" t="s">
        <v>129</v>
      </c>
      <c r="D9" s="271"/>
      <c r="E9" s="271"/>
      <c r="F9" s="271"/>
      <c r="G9" s="271"/>
      <c r="H9" s="271"/>
      <c r="I9" s="271"/>
      <c r="J9" s="271"/>
      <c r="K9" s="271"/>
      <c r="L9" s="271"/>
      <c r="N9" s="92"/>
      <c r="P9" s="273" t="s">
        <v>130</v>
      </c>
      <c r="Q9" s="273"/>
      <c r="R9" s="273"/>
      <c r="S9" s="273"/>
      <c r="T9" s="273"/>
      <c r="U9" s="273"/>
      <c r="V9" s="273"/>
      <c r="W9" s="273"/>
      <c r="X9" s="273"/>
      <c r="Y9" s="273"/>
      <c r="Z9" s="273"/>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71" t="s">
        <v>132</v>
      </c>
      <c r="D18" s="271"/>
      <c r="E18" s="271"/>
      <c r="F18" s="271"/>
      <c r="G18" s="271"/>
      <c r="H18" s="271"/>
      <c r="I18" s="271"/>
      <c r="J18" s="271"/>
      <c r="K18" s="271"/>
      <c r="L18" s="271"/>
      <c r="P18" s="273" t="s">
        <v>132</v>
      </c>
      <c r="Q18" s="273"/>
      <c r="R18" s="273"/>
      <c r="S18" s="273"/>
      <c r="T18" s="273"/>
      <c r="U18" s="273"/>
      <c r="V18" s="273"/>
      <c r="W18" s="273"/>
      <c r="X18" s="273"/>
      <c r="Y18" s="273"/>
      <c r="Z18" s="273"/>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65" t="s">
        <v>113</v>
      </c>
      <c r="D3" s="265"/>
      <c r="E3" s="265"/>
      <c r="F3" s="265"/>
      <c r="G3" s="274"/>
      <c r="H3" s="275"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1" t="s">
        <v>116</v>
      </c>
      <c r="D5" s="271"/>
      <c r="E5" s="271"/>
      <c r="F5" s="271"/>
      <c r="G5" s="271"/>
      <c r="H5" s="271"/>
      <c r="I5" s="271"/>
      <c r="J5" s="271"/>
      <c r="K5" s="271"/>
      <c r="L5" s="271"/>
      <c r="P5" s="276"/>
      <c r="Q5" s="276"/>
      <c r="R5" s="276"/>
      <c r="S5" s="276"/>
      <c r="T5" s="276"/>
      <c r="U5" s="276"/>
      <c r="V5" s="276"/>
      <c r="W5" s="276"/>
      <c r="X5" s="276"/>
      <c r="Y5" s="276"/>
      <c r="Z5" s="276"/>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1" t="s">
        <v>136</v>
      </c>
      <c r="D11" s="271"/>
      <c r="E11" s="271"/>
      <c r="F11" s="271"/>
      <c r="G11" s="271"/>
      <c r="H11" s="271"/>
      <c r="I11" s="271"/>
      <c r="J11" s="271"/>
      <c r="K11" s="271"/>
      <c r="L11" s="271"/>
      <c r="N11" s="92"/>
      <c r="P11" s="276"/>
      <c r="Q11" s="276"/>
      <c r="R11" s="276"/>
      <c r="S11" s="276"/>
      <c r="T11" s="276"/>
      <c r="U11" s="276"/>
      <c r="V11" s="276"/>
      <c r="W11" s="276"/>
      <c r="X11" s="276"/>
      <c r="Y11" s="276"/>
      <c r="Z11" s="276"/>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71" t="s">
        <v>141</v>
      </c>
      <c r="D18" s="271"/>
      <c r="E18" s="271"/>
      <c r="F18" s="271"/>
      <c r="G18" s="271"/>
      <c r="H18" s="271"/>
      <c r="I18" s="271"/>
      <c r="J18" s="271"/>
      <c r="K18" s="271"/>
      <c r="L18" s="271"/>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6"/>
      <c r="C25" s="276"/>
    </row>
    <row r="26" spans="2:12" x14ac:dyDescent="0.2">
      <c r="B26" s="111"/>
      <c r="C26" s="271" t="s">
        <v>147</v>
      </c>
      <c r="D26" s="271"/>
      <c r="E26" s="271"/>
      <c r="F26" s="271"/>
      <c r="G26" s="271"/>
      <c r="H26" s="271"/>
      <c r="I26" s="271"/>
      <c r="J26" s="271"/>
      <c r="K26" s="271"/>
      <c r="L26" s="271"/>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71" t="s">
        <v>151</v>
      </c>
      <c r="D33" s="271"/>
      <c r="E33" s="271"/>
      <c r="F33" s="271"/>
      <c r="G33" s="271"/>
      <c r="H33" s="271"/>
      <c r="I33" s="271"/>
      <c r="J33" s="271"/>
      <c r="K33" s="271"/>
      <c r="L33" s="271"/>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71" t="s">
        <v>154</v>
      </c>
      <c r="D40" s="271"/>
      <c r="E40" s="271"/>
      <c r="F40" s="271"/>
      <c r="G40" s="271"/>
      <c r="H40" s="271"/>
      <c r="I40" s="271"/>
      <c r="J40" s="271"/>
      <c r="K40" s="271"/>
      <c r="L40" s="271"/>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65" t="s">
        <v>113</v>
      </c>
      <c r="D2" s="265"/>
      <c r="E2" s="265"/>
      <c r="F2" s="265"/>
      <c r="G2" s="274"/>
      <c r="H2" s="275" t="s">
        <v>114</v>
      </c>
      <c r="I2" s="265"/>
      <c r="J2" s="265"/>
      <c r="K2" s="265"/>
      <c r="L2" s="265"/>
      <c r="S2" s="276"/>
      <c r="T2" s="276"/>
      <c r="U2" s="276"/>
      <c r="V2" s="276"/>
      <c r="W2" s="276"/>
      <c r="X2" s="276"/>
      <c r="Y2" s="276"/>
      <c r="Z2" s="276"/>
      <c r="AA2" s="276"/>
      <c r="AB2" s="276"/>
      <c r="AC2" s="276"/>
      <c r="AE2" s="111"/>
    </row>
    <row r="3" spans="1:31" ht="10" customHeight="1" x14ac:dyDescent="0.2"/>
    <row r="4" spans="1:31" ht="16" customHeight="1" x14ac:dyDescent="0.2">
      <c r="A4" s="87"/>
      <c r="B4" s="60"/>
      <c r="C4" s="271" t="s">
        <v>19</v>
      </c>
      <c r="D4" s="271"/>
      <c r="E4" s="271"/>
      <c r="F4" s="271"/>
      <c r="G4" s="271"/>
      <c r="H4" s="271"/>
      <c r="I4" s="271"/>
      <c r="J4" s="271"/>
      <c r="K4" s="271"/>
      <c r="L4" s="271"/>
      <c r="S4" s="276"/>
      <c r="T4" s="276"/>
      <c r="U4" s="276"/>
      <c r="V4" s="276"/>
      <c r="W4" s="276"/>
      <c r="X4" s="276"/>
      <c r="Y4" s="276"/>
      <c r="Z4" s="276"/>
      <c r="AA4" s="276"/>
      <c r="AB4" s="276"/>
      <c r="AC4" s="276"/>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71" t="s">
        <v>162</v>
      </c>
      <c r="D13" s="271"/>
      <c r="E13" s="271"/>
      <c r="F13" s="271"/>
      <c r="G13" s="271"/>
      <c r="H13" s="271"/>
      <c r="I13" s="271"/>
      <c r="J13" s="271"/>
      <c r="K13" s="271"/>
      <c r="L13" s="27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71" t="s">
        <v>163</v>
      </c>
      <c r="D18" s="271"/>
      <c r="E18" s="271"/>
      <c r="F18" s="271"/>
      <c r="G18" s="271"/>
      <c r="H18" s="271"/>
      <c r="I18" s="271"/>
      <c r="J18" s="271"/>
      <c r="K18" s="271"/>
      <c r="L18" s="271"/>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71" t="s">
        <v>266</v>
      </c>
      <c r="D25" s="271"/>
      <c r="E25" s="271"/>
      <c r="F25" s="271"/>
      <c r="G25" s="271"/>
      <c r="H25" s="271"/>
      <c r="I25" s="271"/>
      <c r="J25" s="271"/>
      <c r="K25" s="271"/>
      <c r="L25" s="271"/>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71" t="s">
        <v>78</v>
      </c>
      <c r="D31" s="271"/>
      <c r="E31" s="271"/>
      <c r="F31" s="271"/>
      <c r="G31" s="271"/>
      <c r="H31" s="271"/>
      <c r="I31" s="271"/>
      <c r="J31" s="271"/>
      <c r="K31" s="271"/>
      <c r="L31" s="271"/>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3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168</v>
      </c>
    </row>
  </sheetData>
  <hyperlinks>
    <hyperlink ref="H6" location="Overview!B3" display="Overview'!B3" xr:uid="{BD4BBD1D-850C-C04D-9BCC-AF07CB5BD671}"/>
    <hyperlink ref="H8" location="'Analysis -&gt;'!B13" display="'Analysis -&gt;'!B13" xr:uid="{E2C5673D-D268-9E48-A2FB-31DB6DD94B6A}"/>
    <hyperlink ref="H9" location="'Forecast -&gt;'!B13" display="'Forecast -&gt;'!B13" xr:uid="{385C5B83-2040-6A4E-959F-22FA9A190462}"/>
    <hyperlink ref="H10" location="'Valuation -&gt;'!B13" display="'Valuation -&gt;'!B13" xr:uid="{9CC1EBF3-31DF-3540-A9CC-5B8E246ED24F}"/>
    <hyperlink ref="H7" location="'Financials -&gt;'!B13" display="'Financials -&gt;'!B13" xr:uid="{54A00459-1C54-A141-837E-D62AA26603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65" t="s">
        <v>170</v>
      </c>
      <c r="C4" s="265"/>
    </row>
    <row r="5" spans="1:3" ht="17" customHeight="1" x14ac:dyDescent="0.2">
      <c r="B5" s="1" t="s">
        <v>171</v>
      </c>
      <c r="C5" s="138">
        <f>Statement!AC78</f>
        <v>50122</v>
      </c>
    </row>
    <row r="6" spans="1:3" ht="17" customHeight="1" x14ac:dyDescent="0.2">
      <c r="B6" s="1" t="s">
        <v>1</v>
      </c>
      <c r="C6" s="135">
        <f ca="1">Overview!C5</f>
        <v>141.31</v>
      </c>
    </row>
    <row r="7" spans="1:3" ht="17" customHeight="1" x14ac:dyDescent="0.2">
      <c r="B7" s="1" t="s">
        <v>172</v>
      </c>
      <c r="C7" s="136">
        <f ca="1">C5*C6</f>
        <v>7082739.8200000003</v>
      </c>
    </row>
    <row r="8" spans="1:3" ht="17" customHeight="1" x14ac:dyDescent="0.2">
      <c r="B8" s="1" t="s">
        <v>173</v>
      </c>
      <c r="C8" s="114">
        <f>Statement!AC108</f>
        <v>0</v>
      </c>
    </row>
    <row r="9" spans="1:3" ht="17" customHeight="1" x14ac:dyDescent="0.2">
      <c r="B9" s="1" t="s">
        <v>174</v>
      </c>
      <c r="C9" s="137">
        <f ca="1">Overview!F27</f>
        <v>4.9860000000000002E-2</v>
      </c>
    </row>
    <row r="10" spans="1:3" ht="17" customHeight="1" x14ac:dyDescent="0.2">
      <c r="B10" s="1" t="s">
        <v>9</v>
      </c>
      <c r="C10" s="135">
        <f ca="1">Overview!C13</f>
        <v>1.0669999999999999</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65" t="s">
        <v>177</v>
      </c>
      <c r="C15" s="265"/>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9.787499999999999E-2</v>
      </c>
    </row>
    <row r="20" spans="2:3" ht="17" customHeight="1" x14ac:dyDescent="0.2">
      <c r="B20" s="1" t="s">
        <v>169</v>
      </c>
      <c r="C20" s="46">
        <f ca="1">(C17*C19)+(C16*C18)</f>
        <v>9.787499999999999E-2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65" t="s">
        <v>113</v>
      </c>
      <c r="D3" s="265"/>
      <c r="E3" s="265"/>
      <c r="F3" s="265"/>
      <c r="G3" s="274"/>
      <c r="H3" s="275"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1" t="s">
        <v>184</v>
      </c>
      <c r="D5" s="271"/>
      <c r="E5" s="271"/>
      <c r="F5" s="271"/>
      <c r="G5" s="271"/>
      <c r="H5" s="271"/>
      <c r="I5" s="271"/>
      <c r="J5" s="271"/>
      <c r="K5" s="271"/>
      <c r="L5" s="271"/>
      <c r="P5" s="276"/>
      <c r="Q5" s="276"/>
      <c r="R5" s="276"/>
      <c r="S5" s="276"/>
      <c r="T5" s="276"/>
      <c r="U5" s="276"/>
      <c r="V5" s="276"/>
      <c r="W5" s="276"/>
      <c r="X5" s="276"/>
      <c r="Y5" s="276"/>
      <c r="Z5" s="276"/>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7518185.0575760612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164657.33533530115</v>
      </c>
      <c r="I10" s="128">
        <f t="shared" ref="I10:L10" ca="1" si="0">I7/(1+$C$15)^I9</f>
        <v>199548.66672914865</v>
      </c>
      <c r="J10" s="128">
        <f t="shared" ca="1" si="0"/>
        <v>227831.69244563085</v>
      </c>
      <c r="K10" s="128">
        <f t="shared" ca="1" si="0"/>
        <v>262333.39436599764</v>
      </c>
      <c r="L10" s="128">
        <f t="shared" ca="1" si="0"/>
        <v>359870.64363485732</v>
      </c>
      <c r="N10" s="92"/>
    </row>
    <row r="11" spans="1:28" x14ac:dyDescent="0.2">
      <c r="B11" s="1" t="s">
        <v>187</v>
      </c>
      <c r="C11" s="139"/>
      <c r="D11" s="139"/>
      <c r="E11" s="139"/>
      <c r="F11" s="139"/>
      <c r="G11" s="140"/>
      <c r="H11" s="139"/>
      <c r="I11" s="139"/>
      <c r="J11" s="139"/>
      <c r="K11" s="139"/>
      <c r="L11" s="128">
        <f ca="1">L8/(1+C15)^L9</f>
        <v>4713554.4976893039</v>
      </c>
    </row>
    <row r="13" spans="1:28" x14ac:dyDescent="0.2">
      <c r="B13" s="265" t="s">
        <v>188</v>
      </c>
      <c r="C13" s="265"/>
    </row>
    <row r="14" spans="1:28" x14ac:dyDescent="0.2">
      <c r="B14" s="1" t="s">
        <v>189</v>
      </c>
      <c r="C14" s="142">
        <v>0.02</v>
      </c>
    </row>
    <row r="15" spans="1:28" x14ac:dyDescent="0.2">
      <c r="B15" s="1" t="s">
        <v>169</v>
      </c>
      <c r="C15" s="137">
        <f ca="1">IF(Overview!C28&gt;0,Overview!C28,WACC!C20)</f>
        <v>9.787499999999999E-2</v>
      </c>
    </row>
    <row r="18" spans="2:3" x14ac:dyDescent="0.2">
      <c r="B18" s="265" t="s">
        <v>190</v>
      </c>
      <c r="C18" s="265"/>
    </row>
    <row r="19" spans="2:3" x14ac:dyDescent="0.2">
      <c r="B19" s="1" t="s">
        <v>191</v>
      </c>
      <c r="C19" s="64">
        <f ca="1">SUM(H10:L10)</f>
        <v>1214241.7325109355</v>
      </c>
    </row>
    <row r="20" spans="2:3" x14ac:dyDescent="0.2">
      <c r="B20" s="1" t="s">
        <v>187</v>
      </c>
      <c r="C20" s="64">
        <f ca="1">L11</f>
        <v>4713554.4976893039</v>
      </c>
    </row>
    <row r="21" spans="2:3" x14ac:dyDescent="0.2">
      <c r="B21" s="16" t="s">
        <v>192</v>
      </c>
      <c r="C21" s="95">
        <f ca="1">C19+C20</f>
        <v>5927796.2302002395</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7344355.2302002395</v>
      </c>
    </row>
    <row r="25" spans="2:3" x14ac:dyDescent="0.2">
      <c r="B25" s="1" t="s">
        <v>70</v>
      </c>
      <c r="C25" s="89">
        <f>Statement!AC78</f>
        <v>50122</v>
      </c>
    </row>
    <row r="26" spans="2:3" x14ac:dyDescent="0.2">
      <c r="B26" s="253" t="s">
        <v>196</v>
      </c>
      <c r="C26" s="254">
        <f ca="1">C24/C25</f>
        <v>146.52957244723353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65" t="s">
        <v>113</v>
      </c>
      <c r="D2" s="265"/>
      <c r="E2" s="265"/>
      <c r="F2" s="265"/>
      <c r="G2" s="274"/>
      <c r="H2" s="275" t="s">
        <v>114</v>
      </c>
      <c r="I2" s="265"/>
      <c r="J2" s="265"/>
      <c r="K2" s="265"/>
      <c r="L2" s="265"/>
    </row>
    <row r="3" spans="1:14" ht="10" customHeight="1" x14ac:dyDescent="0.2"/>
    <row r="4" spans="1:14" ht="16" customHeight="1" x14ac:dyDescent="0.2">
      <c r="A4" s="87"/>
      <c r="B4" s="60"/>
      <c r="C4" s="271" t="s">
        <v>198</v>
      </c>
      <c r="D4" s="271"/>
      <c r="E4" s="271"/>
      <c r="F4" s="271"/>
      <c r="G4" s="271"/>
      <c r="H4" s="271"/>
      <c r="I4" s="271"/>
      <c r="J4" s="271"/>
      <c r="K4" s="271"/>
      <c r="L4" s="271"/>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164657.33533530115</v>
      </c>
      <c r="I9" s="93">
        <f ca="1">DCF!I10</f>
        <v>199548.66672914865</v>
      </c>
      <c r="J9" s="93">
        <f ca="1">DCF!J10</f>
        <v>227831.69244563085</v>
      </c>
      <c r="K9" s="93">
        <f ca="1">DCF!K10</f>
        <v>262333.39436599764</v>
      </c>
      <c r="L9" s="93">
        <f ca="1">DCF!L10</f>
        <v>359870.64363485732</v>
      </c>
      <c r="N9" s="92"/>
    </row>
    <row r="10" spans="1:14" x14ac:dyDescent="0.2">
      <c r="N10" s="92"/>
    </row>
    <row r="11" spans="1:14" x14ac:dyDescent="0.2">
      <c r="C11" s="271" t="s">
        <v>122</v>
      </c>
      <c r="D11" s="271"/>
      <c r="E11" s="271"/>
      <c r="F11" s="271"/>
      <c r="G11" s="271"/>
      <c r="H11" s="271"/>
      <c r="I11" s="271"/>
      <c r="J11" s="271"/>
      <c r="K11" s="271"/>
      <c r="L11" s="271"/>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71" t="s">
        <v>200</v>
      </c>
      <c r="D17" s="271"/>
      <c r="E17" s="271"/>
      <c r="F17" s="271"/>
      <c r="G17" s="271"/>
      <c r="H17" s="271"/>
      <c r="I17" s="271"/>
      <c r="J17" s="271"/>
      <c r="K17" s="271"/>
      <c r="L17" s="271"/>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71" t="s">
        <v>203</v>
      </c>
      <c r="D22" s="271"/>
      <c r="E22" s="271"/>
      <c r="F22" s="271"/>
      <c r="G22" s="271"/>
      <c r="H22" s="271"/>
      <c r="I22" s="271"/>
      <c r="J22" s="271"/>
      <c r="K22" s="271"/>
      <c r="L22" s="271"/>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71" t="s">
        <v>204</v>
      </c>
      <c r="D27" s="271"/>
      <c r="E27" s="271"/>
      <c r="F27" s="271"/>
      <c r="G27" s="271"/>
      <c r="H27" s="271"/>
      <c r="I27" s="271"/>
      <c r="J27" s="271"/>
      <c r="K27" s="271"/>
      <c r="L27" s="271"/>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65" t="s">
        <v>209</v>
      </c>
      <c r="C39" s="265"/>
      <c r="N39" s="92"/>
    </row>
    <row r="40" spans="2:14" x14ac:dyDescent="0.2">
      <c r="B40" s="1" t="s">
        <v>210</v>
      </c>
      <c r="C40" s="64">
        <f>L7</f>
        <v>487474.713505127</v>
      </c>
    </row>
    <row r="41" spans="2:14" x14ac:dyDescent="0.2">
      <c r="B41" s="1" t="s">
        <v>169</v>
      </c>
      <c r="C41" s="137">
        <f ca="1">IF(Overview!C28&gt;0,Overview!C28,WACC!C20)</f>
        <v>9.787499999999999E-2</v>
      </c>
    </row>
    <row r="42" spans="2:14" x14ac:dyDescent="0.2">
      <c r="B42" s="39" t="s">
        <v>211</v>
      </c>
      <c r="C42" s="106">
        <v>25</v>
      </c>
    </row>
    <row r="43" spans="2:14" x14ac:dyDescent="0.2">
      <c r="B43" s="1" t="s">
        <v>429</v>
      </c>
      <c r="C43" s="24">
        <f>(C40*C42)</f>
        <v>12186867.837628175</v>
      </c>
    </row>
    <row r="44" spans="2:14" x14ac:dyDescent="0.2">
      <c r="B44" s="1" t="s">
        <v>430</v>
      </c>
      <c r="C44" s="24">
        <f ca="1">C43/(1+C41)^5</f>
        <v>7640602.7876251498</v>
      </c>
    </row>
    <row r="45" spans="2:14" x14ac:dyDescent="0.2">
      <c r="B45" s="16" t="s">
        <v>431</v>
      </c>
      <c r="C45" s="110">
        <f ca="1">SUM(H9:K9)+C44</f>
        <v>8494973.8765012287</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9911532.8765012287</v>
      </c>
    </row>
    <row r="49" spans="2:3" x14ac:dyDescent="0.2">
      <c r="B49" s="1" t="s">
        <v>70</v>
      </c>
      <c r="C49" s="89">
        <f>Statement!AC78</f>
        <v>50122</v>
      </c>
    </row>
    <row r="50" spans="2:3" x14ac:dyDescent="0.2">
      <c r="B50" s="253" t="s">
        <v>213</v>
      </c>
      <c r="C50" s="254">
        <f ca="1">C48/C49</f>
        <v>197.7481520390493</v>
      </c>
    </row>
    <row r="52" spans="2:3" x14ac:dyDescent="0.2">
      <c r="B52" s="265" t="s">
        <v>214</v>
      </c>
      <c r="C52" s="265"/>
    </row>
    <row r="53" spans="2:3" x14ac:dyDescent="0.2">
      <c r="B53" s="1" t="s">
        <v>215</v>
      </c>
      <c r="C53" s="64">
        <f>L6</f>
        <v>3165420.2175657614</v>
      </c>
    </row>
    <row r="54" spans="2:3" x14ac:dyDescent="0.2">
      <c r="B54" s="1" t="s">
        <v>349</v>
      </c>
      <c r="C54" s="137">
        <f ca="1">IF(Overview!C29&gt;0,Overview!C29,WACC!C19)</f>
        <v>9.787499999999999E-2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159.47310854801978</v>
      </c>
    </row>
    <row r="60" spans="2:3" x14ac:dyDescent="0.2">
      <c r="B60" s="265" t="s">
        <v>327</v>
      </c>
      <c r="C60" s="265"/>
    </row>
    <row r="61" spans="2:3" x14ac:dyDescent="0.2">
      <c r="B61" s="1" t="s">
        <v>432</v>
      </c>
      <c r="C61" s="64">
        <f>L8</f>
        <v>573998.68760660361</v>
      </c>
    </row>
    <row r="62" spans="2:3" x14ac:dyDescent="0.2">
      <c r="B62" s="1" t="s">
        <v>169</v>
      </c>
      <c r="C62" s="137">
        <f ca="1">IF(Overview!C28&gt;0,Overview!C28,WACC!C20)</f>
        <v>9.787499999999999E-2</v>
      </c>
    </row>
    <row r="63" spans="2:3" x14ac:dyDescent="0.2">
      <c r="B63" s="39" t="s">
        <v>350</v>
      </c>
      <c r="C63" s="106">
        <v>22</v>
      </c>
    </row>
    <row r="64" spans="2:3" x14ac:dyDescent="0.2">
      <c r="B64" s="1" t="s">
        <v>429</v>
      </c>
      <c r="C64" s="24">
        <f>(C61*C63)</f>
        <v>12627971.127345279</v>
      </c>
    </row>
    <row r="65" spans="2:3" x14ac:dyDescent="0.2">
      <c r="B65" s="1" t="s">
        <v>430</v>
      </c>
      <c r="C65" s="24">
        <f ca="1">C64/(1+C62)^5</f>
        <v>7917154.1599668609</v>
      </c>
    </row>
    <row r="66" spans="2:3" x14ac:dyDescent="0.2">
      <c r="B66" s="16" t="s">
        <v>431</v>
      </c>
      <c r="C66" s="110">
        <f ca="1">SUM(H9:K9)+C65</f>
        <v>8771525.2488429397</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10188084.24884294</v>
      </c>
    </row>
    <row r="70" spans="2:3" x14ac:dyDescent="0.2">
      <c r="B70" s="1" t="s">
        <v>70</v>
      </c>
      <c r="C70" s="89">
        <f>Statement!AC78</f>
        <v>50122</v>
      </c>
    </row>
    <row r="71" spans="2:3" x14ac:dyDescent="0.2">
      <c r="B71" s="253" t="s">
        <v>213</v>
      </c>
      <c r="C71" s="254">
        <f ca="1">C69/C70</f>
        <v>203.26571662828579</v>
      </c>
    </row>
    <row r="73" spans="2:3" x14ac:dyDescent="0.2">
      <c r="B73" s="265" t="s">
        <v>433</v>
      </c>
      <c r="C73" s="265"/>
    </row>
    <row r="74" spans="2:3" x14ac:dyDescent="0.2">
      <c r="B74" s="1" t="s">
        <v>434</v>
      </c>
      <c r="C74" s="64">
        <f>L6</f>
        <v>3165420.2175657614</v>
      </c>
    </row>
    <row r="75" spans="2:3" x14ac:dyDescent="0.2">
      <c r="B75" s="1" t="s">
        <v>169</v>
      </c>
      <c r="C75" s="137">
        <f ca="1">IF(Overview!C28&gt;0,Overview!C28,WACC!C20)</f>
        <v>9.787499999999999E-2</v>
      </c>
    </row>
    <row r="76" spans="2:3" x14ac:dyDescent="0.2">
      <c r="B76" s="39" t="s">
        <v>435</v>
      </c>
      <c r="C76" s="106">
        <v>4</v>
      </c>
    </row>
    <row r="77" spans="2:3" x14ac:dyDescent="0.2">
      <c r="B77" s="1" t="s">
        <v>429</v>
      </c>
      <c r="C77" s="24">
        <f>(C74*C76)</f>
        <v>12661680.870263046</v>
      </c>
    </row>
    <row r="78" spans="2:3" x14ac:dyDescent="0.2">
      <c r="B78" s="1" t="s">
        <v>430</v>
      </c>
      <c r="C78" s="24">
        <f ca="1">C77/(1+C75)^5</f>
        <v>7938288.6105196401</v>
      </c>
    </row>
    <row r="79" spans="2:3" x14ac:dyDescent="0.2">
      <c r="B79" s="16" t="s">
        <v>431</v>
      </c>
      <c r="C79" s="110">
        <f ca="1">SUM(H9:K9)+C78</f>
        <v>8792659.6993957181</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10209218.699395718</v>
      </c>
    </row>
    <row r="83" spans="2:3" x14ac:dyDescent="0.2">
      <c r="B83" s="1" t="s">
        <v>70</v>
      </c>
      <c r="C83" s="89">
        <f>Statement!AC78</f>
        <v>50122</v>
      </c>
    </row>
    <row r="84" spans="2:3" x14ac:dyDescent="0.2">
      <c r="B84" s="253" t="s">
        <v>213</v>
      </c>
      <c r="C84" s="254">
        <f ca="1">C82/C83</f>
        <v>203.6873767885503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65" t="s">
        <v>218</v>
      </c>
      <c r="C4" s="265"/>
      <c r="N4" s="92"/>
    </row>
    <row r="5" spans="1:14" x14ac:dyDescent="0.2">
      <c r="B5" s="1" t="s">
        <v>219</v>
      </c>
      <c r="C5" s="135">
        <f ca="1">DCF!C26</f>
        <v>146.52957244723353</v>
      </c>
    </row>
    <row r="6" spans="1:14" x14ac:dyDescent="0.2">
      <c r="B6" s="1" t="s">
        <v>220</v>
      </c>
      <c r="C6" s="135">
        <f ca="1">Multiples!C50</f>
        <v>197.7481520390493</v>
      </c>
    </row>
    <row r="7" spans="1:14" x14ac:dyDescent="0.2">
      <c r="B7" s="1" t="s">
        <v>221</v>
      </c>
      <c r="C7" s="135">
        <f ca="1">Multiples!C58</f>
        <v>159.47310854801978</v>
      </c>
    </row>
    <row r="8" spans="1:14" x14ac:dyDescent="0.2">
      <c r="B8" s="1" t="s">
        <v>328</v>
      </c>
      <c r="C8" s="135">
        <f ca="1">Multiples!C71</f>
        <v>203.26571662828579</v>
      </c>
    </row>
    <row r="9" spans="1:14" x14ac:dyDescent="0.2">
      <c r="B9" s="1" t="s">
        <v>436</v>
      </c>
      <c r="C9" s="135">
        <f ca="1">Multiples!C84</f>
        <v>203.6873767885503</v>
      </c>
    </row>
    <row r="10" spans="1:14" x14ac:dyDescent="0.2">
      <c r="B10" s="253" t="s">
        <v>222</v>
      </c>
      <c r="C10" s="254">
        <f ca="1">AVERAGE(C5:C9)</f>
        <v>182.14078529022774</v>
      </c>
    </row>
    <row r="11" spans="1:14" x14ac:dyDescent="0.2">
      <c r="B11" s="1" t="s">
        <v>223</v>
      </c>
      <c r="C11" s="135">
        <f ca="1">Overview!C5</f>
        <v>141.31</v>
      </c>
    </row>
    <row r="12" spans="1:14" x14ac:dyDescent="0.2">
      <c r="B12" s="1" t="s">
        <v>224</v>
      </c>
      <c r="C12" s="154">
        <f ca="1">(C10-C11)/C11</f>
        <v>0.28894476887854886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65" t="s">
        <v>113</v>
      </c>
      <c r="D2" s="265"/>
      <c r="E2" s="265"/>
      <c r="F2" s="265"/>
      <c r="G2" s="274"/>
      <c r="H2" s="275" t="s">
        <v>114</v>
      </c>
      <c r="I2" s="265"/>
      <c r="J2" s="265"/>
      <c r="K2" s="265"/>
      <c r="L2" s="265"/>
    </row>
    <row r="3" spans="1:14" ht="10" customHeight="1" x14ac:dyDescent="0.2"/>
    <row r="4" spans="1:14" ht="16" customHeight="1" x14ac:dyDescent="0.2">
      <c r="A4" s="87"/>
      <c r="B4" s="60"/>
      <c r="C4" s="271" t="s">
        <v>198</v>
      </c>
      <c r="D4" s="271"/>
      <c r="E4" s="271"/>
      <c r="F4" s="271"/>
      <c r="G4" s="271"/>
      <c r="H4" s="271"/>
      <c r="I4" s="271"/>
      <c r="J4" s="271"/>
      <c r="K4" s="271"/>
      <c r="L4" s="271"/>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71" t="s">
        <v>122</v>
      </c>
      <c r="D9" s="271"/>
      <c r="E9" s="271"/>
      <c r="F9" s="271"/>
      <c r="G9" s="271"/>
      <c r="H9" s="271"/>
      <c r="I9" s="271"/>
      <c r="J9" s="271"/>
      <c r="K9" s="271"/>
      <c r="L9" s="271"/>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71" t="s">
        <v>413</v>
      </c>
      <c r="D14" s="271"/>
      <c r="E14" s="271"/>
      <c r="F14" s="271"/>
      <c r="G14" s="271"/>
      <c r="H14" s="271"/>
      <c r="I14" s="271"/>
      <c r="J14" s="271"/>
      <c r="K14" s="271"/>
      <c r="L14" s="271"/>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65" t="s">
        <v>415</v>
      </c>
      <c r="C20" s="265"/>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9.787499999999999E-2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65" t="s">
        <v>113</v>
      </c>
      <c r="D3" s="265"/>
      <c r="E3" s="265"/>
      <c r="F3" s="265"/>
      <c r="G3" s="274"/>
      <c r="H3" s="275"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1" t="s">
        <v>184</v>
      </c>
      <c r="D5" s="271"/>
      <c r="E5" s="271"/>
      <c r="F5" s="271"/>
      <c r="G5" s="271"/>
      <c r="H5" s="271"/>
      <c r="I5" s="271"/>
      <c r="J5" s="271"/>
      <c r="K5" s="271"/>
      <c r="L5" s="271"/>
      <c r="P5" s="276"/>
      <c r="Q5" s="276"/>
      <c r="R5" s="276"/>
      <c r="S5" s="276"/>
      <c r="T5" s="276"/>
      <c r="U5" s="276"/>
      <c r="V5" s="276"/>
      <c r="W5" s="276"/>
      <c r="X5" s="276"/>
      <c r="Y5" s="276"/>
      <c r="Z5" s="276"/>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7154814.2859167065</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179673.70212812812</v>
      </c>
      <c r="I10" s="128">
        <f t="shared" ref="I10:L10" ca="1" si="1">I7/(1+$C$21)^I9</f>
        <v>211116.08857591735</v>
      </c>
      <c r="J10" s="128">
        <f t="shared" ca="1" si="1"/>
        <v>248060.80315421466</v>
      </c>
      <c r="K10" s="128">
        <f t="shared" ca="1" si="1"/>
        <v>291470.737623989</v>
      </c>
      <c r="L10" s="128">
        <f t="shared" ca="1" si="1"/>
        <v>342477.2870635963</v>
      </c>
      <c r="N10" s="92"/>
    </row>
    <row r="11" spans="1:28" x14ac:dyDescent="0.2">
      <c r="B11" s="1" t="s">
        <v>187</v>
      </c>
      <c r="C11" s="139"/>
      <c r="D11" s="139"/>
      <c r="E11" s="139"/>
      <c r="F11" s="139"/>
      <c r="G11" s="140"/>
      <c r="H11" s="139"/>
      <c r="I11" s="139"/>
      <c r="J11" s="139"/>
      <c r="K11" s="139"/>
      <c r="L11" s="128">
        <f ca="1">L8/(1+C21)^L9</f>
        <v>4485737.8209292879</v>
      </c>
    </row>
    <row r="13" spans="1:28" ht="17" thickBot="1" x14ac:dyDescent="0.25"/>
    <row r="14" spans="1:28" x14ac:dyDescent="0.2">
      <c r="B14" s="277" t="s">
        <v>226</v>
      </c>
      <c r="C14" s="278"/>
    </row>
    <row r="15" spans="1:28" x14ac:dyDescent="0.2">
      <c r="B15" s="155" t="s">
        <v>227</v>
      </c>
      <c r="C15" s="156">
        <f ca="1">Overview!C5</f>
        <v>141.31</v>
      </c>
    </row>
    <row r="16" spans="1:28" x14ac:dyDescent="0.2">
      <c r="B16" s="155" t="s">
        <v>228</v>
      </c>
      <c r="C16" s="156">
        <f ca="1">C36</f>
        <v>153.35988200476922</v>
      </c>
    </row>
    <row r="17" spans="2:9" ht="17" thickBot="1" x14ac:dyDescent="0.25">
      <c r="B17" s="157" t="s">
        <v>329</v>
      </c>
      <c r="C17" s="158">
        <v>0.28999999999999998</v>
      </c>
      <c r="E17" s="279" t="s">
        <v>229</v>
      </c>
      <c r="F17" s="279"/>
      <c r="G17" s="279"/>
      <c r="H17" s="279"/>
      <c r="I17" s="279"/>
    </row>
    <row r="18" spans="2:9" ht="17" thickBot="1" x14ac:dyDescent="0.25"/>
    <row r="19" spans="2:9" x14ac:dyDescent="0.2">
      <c r="B19" s="277" t="s">
        <v>188</v>
      </c>
      <c r="C19" s="278"/>
    </row>
    <row r="20" spans="2:9" x14ac:dyDescent="0.2">
      <c r="B20" s="159" t="s">
        <v>189</v>
      </c>
      <c r="C20" s="160">
        <v>0.02</v>
      </c>
    </row>
    <row r="21" spans="2:9" x14ac:dyDescent="0.2">
      <c r="B21" s="159" t="s">
        <v>169</v>
      </c>
      <c r="C21" s="221">
        <f ca="1">IF(Overview!C28&gt;0,Overview!C28,WACC!C20)</f>
        <v>9.787499999999999E-2</v>
      </c>
    </row>
    <row r="22" spans="2:9" x14ac:dyDescent="0.2">
      <c r="B22" s="159" t="s">
        <v>70</v>
      </c>
      <c r="C22" s="222">
        <f>Statement!AC75</f>
        <v>46786</v>
      </c>
    </row>
    <row r="23" spans="2:9" x14ac:dyDescent="0.2">
      <c r="B23" s="159" t="s">
        <v>230</v>
      </c>
      <c r="C23" s="161">
        <f ca="1">C15*C22</f>
        <v>6611329.6600000001</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5194770.66</v>
      </c>
    </row>
    <row r="27" spans="2:9" ht="17" thickBot="1" x14ac:dyDescent="0.25"/>
    <row r="28" spans="2:9" x14ac:dyDescent="0.2">
      <c r="B28" s="277" t="s">
        <v>190</v>
      </c>
      <c r="C28" s="278"/>
    </row>
    <row r="29" spans="2:9" x14ac:dyDescent="0.2">
      <c r="B29" s="159" t="s">
        <v>191</v>
      </c>
      <c r="C29" s="161">
        <f ca="1">SUM(H10:L10)</f>
        <v>1272798.6185458454</v>
      </c>
    </row>
    <row r="30" spans="2:9" x14ac:dyDescent="0.2">
      <c r="B30" s="159" t="s">
        <v>187</v>
      </c>
      <c r="C30" s="161">
        <f ca="1">L11</f>
        <v>4485737.8209292879</v>
      </c>
    </row>
    <row r="31" spans="2:9" x14ac:dyDescent="0.2">
      <c r="B31" s="163" t="s">
        <v>192</v>
      </c>
      <c r="C31" s="164">
        <f ca="1">C29+C30</f>
        <v>5758536.4394751331</v>
      </c>
    </row>
    <row r="32" spans="2:9" x14ac:dyDescent="0.2">
      <c r="B32" s="159" t="s">
        <v>193</v>
      </c>
      <c r="C32" s="165">
        <f>C24</f>
        <v>1416559</v>
      </c>
    </row>
    <row r="33" spans="2:3" x14ac:dyDescent="0.2">
      <c r="B33" s="159" t="s">
        <v>194</v>
      </c>
      <c r="C33" s="165">
        <f>C25</f>
        <v>0</v>
      </c>
    </row>
    <row r="34" spans="2:3" x14ac:dyDescent="0.2">
      <c r="B34" s="163" t="s">
        <v>195</v>
      </c>
      <c r="C34" s="164">
        <f ca="1">C31+C32-C33</f>
        <v>7175095.4394751331</v>
      </c>
    </row>
    <row r="35" spans="2:3" x14ac:dyDescent="0.2">
      <c r="B35" s="159" t="s">
        <v>70</v>
      </c>
      <c r="C35" s="161">
        <f>C22</f>
        <v>46786</v>
      </c>
    </row>
    <row r="36" spans="2:3" ht="17" thickBot="1" x14ac:dyDescent="0.25">
      <c r="B36" s="166" t="s">
        <v>196</v>
      </c>
      <c r="C36" s="167">
        <f ca="1">C34/C35</f>
        <v>153.35988200476922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2026-10-27T21:49:50Z</dcterms:modified>
</cp:coreProperties>
</file>