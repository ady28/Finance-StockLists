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9E59ABC-2DF0-2449-8BBC-DD79604B782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C49" i="12"/>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33" i="5" l="1"/>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I7" i="14"/>
  <c r="H41" i="14"/>
  <c r="G4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4" i="12"/>
  <c r="C61"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41" i="12"/>
  <c r="C51"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J17" i="5"/>
  <c r="K5" i="5"/>
  <c r="J14" i="5"/>
  <c r="J24" i="5"/>
  <c r="J41" i="5"/>
  <c r="H16" i="5"/>
  <c r="K6" i="14" l="1"/>
  <c r="K40" i="14" s="1"/>
  <c r="K5" i="12"/>
  <c r="K6" i="11"/>
  <c r="F13" i="12"/>
  <c r="J26" i="8"/>
  <c r="J19" i="8"/>
  <c r="J14" i="8"/>
  <c r="K5" i="8"/>
  <c r="K32" i="8" s="1"/>
  <c r="C57"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H47" i="14"/>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17" i="5"/>
  <c r="L5" i="5"/>
  <c r="K14" i="5"/>
  <c r="K24" i="5"/>
  <c r="K41" i="5"/>
  <c r="L6" i="14" l="1"/>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7" i="5"/>
  <c r="I16" i="5"/>
  <c r="L14" i="5"/>
  <c r="L24" i="5"/>
  <c r="L41" i="5"/>
  <c r="J16" i="5"/>
  <c r="L14" i="8" l="1"/>
  <c r="L19" i="8"/>
  <c r="L26" i="8"/>
  <c r="L10" i="6"/>
  <c r="L19" i="6"/>
  <c r="C29" i="14"/>
  <c r="K27" i="12"/>
  <c r="K11" i="12"/>
  <c r="K17" i="12"/>
  <c r="K22" i="12"/>
  <c r="L42" i="14"/>
  <c r="L46" i="14"/>
  <c r="L44" i="14"/>
  <c r="L48" i="14" s="1"/>
  <c r="K47" i="14"/>
  <c r="K49" i="14"/>
  <c r="C31" i="14" l="1"/>
  <c r="C34" i="14" s="1"/>
  <c r="C36" i="14" s="1"/>
  <c r="C16" i="14" s="1"/>
  <c r="L11" i="12"/>
  <c r="L17" i="12"/>
  <c r="L22" i="12"/>
  <c r="L27" i="12"/>
  <c r="L49" i="14"/>
  <c r="L47" i="14"/>
  <c r="K16" i="5"/>
  <c r="L16" i="5" l="1"/>
  <c r="AC66" i="3" l="1"/>
  <c r="H11" i="5" l="1"/>
  <c r="H15" i="5"/>
  <c r="H20" i="5" l="1"/>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48" i="12"/>
  <c r="C52" i="12" s="1"/>
  <c r="C53"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2" i="12" s="1"/>
  <c r="C43" i="12" s="1"/>
  <c r="C45" i="12" s="1"/>
  <c r="C6" i="13" s="1"/>
  <c r="I4" i="1" s="1"/>
  <c r="L8" i="12" l="1"/>
  <c r="L7" i="11"/>
  <c r="L10" i="11" l="1"/>
  <c r="C19" i="11" s="1"/>
  <c r="L8" i="11"/>
  <c r="L11" i="11" s="1"/>
  <c r="C20" i="11" s="1"/>
  <c r="C56" i="12"/>
  <c r="C59" i="12" s="1"/>
  <c r="C60" i="12" s="1"/>
  <c r="C62" i="12" s="1"/>
  <c r="C8" i="13" s="1"/>
  <c r="I6" i="1" s="1"/>
  <c r="L14" i="12"/>
  <c r="C21" i="11" l="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<sst xmlns="http://schemas.openxmlformats.org/spreadsheetml/2006/main" count="811" uniqueCount="423">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</sst>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468</v>
    <v>87.89</v>
    <v>0.82050000000000001</v>
    <v>-12.21</v>
    <v>-9.2394999999999991E-2</v>
    <v>1.5968</v>
    <v>1.3312999999999998E-2</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131.57499999999999</v>
    <v>Software &amp; IT Services</v>
    <v>Stock</v>
    <v>46198.909386943749</v>
    <v>0</v>
    <v>118.87</v>
    <v>5588378812</v>
    <v>DUOLINGO, INC.</v>
    <v>DUOLINGO, INC.</v>
    <v>131.47999999999999</v>
    <v>15.294</v>
    <v>132.15</v>
    <v>119.94</v>
    <v>121.5368</v>
    <v>46593120</v>
    <v>DUOL</v>
    <v>DUOLINGO, INC. (XNAS:DUOL)</v>
    <v>1734040</v>
    <v>1479800</v>
    <v>2011</v>
  </rv>
  <rv s="2">
    <v>1</v>
  </rv>
  <rv s="0">
    <v>https://www.bing.com/financeapi/forcetrigger?t=a33knm&amp;q=10+Y+TSY+YLD+NDX&amp;form=skydnc</v>
    <v>Learn more on Bing</v>
  </rv>
  <rv s="3">
    <v>5</v>
    <v>10 Y TSY YLD NDX</v>
    <v>6</v>
    <v>7</v>
    <v>Finance</v>
    <v>8</v>
    <v>en-US</v>
    <v>a33knm</v>
    <v>268435456</v>
    <v>1</v>
    <v>Powered by Refinitiv</v>
    <v>46.87</v>
    <v>39.47</v>
    <v>-0.91</v>
    <v>-2.0253999999999998E-2</v>
    <v>US</v>
    <v>44.55</v>
    <v>Index</v>
    <v>3</v>
    <v>43.98</v>
    <v>10 Y TSY YLD NDX</v>
    <v>44.53</v>
    <v>44.93</v>
    <v>44.02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tabSelected="1" zoomScale="160" zoomScaleNormal="160" workbookViewId="0">
      <selection activeCell="B57" sqref="B5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1" t="s">
        <v>18</v>
      </c>
      <c r="C2" s="252"/>
      <c r="E2" s="251" t="s">
        <v>296</v>
      </c>
      <c r="F2" s="252"/>
      <c r="H2" s="251" t="s">
        <v>338</v>
      </c>
      <c r="I2" s="252"/>
    </row>
    <row r="3" spans="2:9" x14ac:dyDescent="0.2">
      <c r="B3" s="187" t="s">
        <v>11</v>
      </c>
      <c r="C3" s="219" t="e" vm="1">
        <v>#VALUE!</v>
      </c>
      <c r="D3" s="2"/>
      <c r="E3" s="187" t="s">
        <v>248</v>
      </c>
      <c r="F3" s="189">
        <f ca="1">Statement!AC149</f>
        <v>5851512.7800000003</v>
      </c>
      <c r="H3" s="187" t="str">
        <f>'AVG target price'!B5</f>
        <v>DCF price</v>
      </c>
      <c r="I3" s="213">
        <f>'AVG target price'!C5</f>
        <v>130.91279024586424</v>
      </c>
    </row>
    <row r="4" spans="2:9" x14ac:dyDescent="0.2">
      <c r="B4" s="187" t="s">
        <v>0</v>
      </c>
      <c r="C4" s="191" t="str" cm="1">
        <f t="array" aca="1" ref="C4" ca="1">_FV(C3,"Ticker symbol",TRUE)</f>
        <v>DUOL</v>
      </c>
      <c r="E4" s="188" t="s">
        <v>192</v>
      </c>
      <c r="F4" s="190">
        <f ca="1">Statement!AC150</f>
        <v>4459691.78</v>
      </c>
      <c r="H4" s="187" t="str">
        <f>'AVG target price'!B6</f>
        <v>EV/EBIT price</v>
      </c>
      <c r="I4" s="213">
        <f>'AVG target price'!C6</f>
        <v>171.70850800265185</v>
      </c>
    </row>
    <row r="5" spans="2:9" x14ac:dyDescent="0.2">
      <c r="B5" s="187" t="s">
        <v>1</v>
      </c>
      <c r="C5" s="210" cm="1">
        <f t="array" aca="1" ref="C5" ca="1">_FV(C3,"Price",TRUE)</f>
        <v>119.94</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121.5368</v>
      </c>
      <c r="E6" s="187" t="s">
        <v>246</v>
      </c>
      <c r="F6" s="192">
        <f ca="1">Statement!AC146</f>
        <v>35.374302224209849</v>
      </c>
      <c r="H6" s="187" t="str">
        <f>'AVG target price'!B8</f>
        <v>EV/FCFF price</v>
      </c>
      <c r="I6" s="213">
        <f>'AVG target price'!C8</f>
        <v>178.77179540465104</v>
      </c>
    </row>
    <row r="7" spans="2:9" x14ac:dyDescent="0.2">
      <c r="B7" s="187" t="s">
        <v>3</v>
      </c>
      <c r="C7" s="6" cm="1">
        <f t="array" aca="1" ref="C7" ca="1">_FV(C3,"Change")</f>
        <v>-12.21</v>
      </c>
      <c r="E7" s="188" t="s">
        <v>205</v>
      </c>
      <c r="F7" s="193">
        <f ca="1">Statement!AC147</f>
        <v>5.3334528974817434</v>
      </c>
      <c r="H7" s="186" t="str">
        <f>'AVG target price'!B9</f>
        <v>AVG price</v>
      </c>
      <c r="I7" s="214">
        <f>'AVG target price'!C9</f>
        <v>151.84221113253037</v>
      </c>
    </row>
    <row r="8" spans="2:9" x14ac:dyDescent="0.2">
      <c r="B8" s="187" t="s">
        <v>4</v>
      </c>
      <c r="C8" s="6" cm="1">
        <f t="array" aca="1" ref="C8" ca="1">_FV(C3,"Change (extended hours)",TRUE)</f>
        <v>1.5968</v>
      </c>
      <c r="E8" s="187" t="s">
        <v>274</v>
      </c>
      <c r="F8" s="194">
        <f ca="1">Statement!AC157</f>
        <v>4.513909649189897E-2</v>
      </c>
      <c r="H8" s="186" t="str">
        <f>'AVG target price'!B11</f>
        <v>Upside/Downside</v>
      </c>
      <c r="I8" s="215">
        <f ca="1">'AVG target price'!C11</f>
        <v>0.26598475181365988</v>
      </c>
    </row>
    <row r="9" spans="2:9" x14ac:dyDescent="0.2">
      <c r="B9" s="187" t="s">
        <v>5</v>
      </c>
      <c r="C9" s="73" cm="1">
        <f t="array" aca="1" ref="C9" ca="1">_FV(C3,"Change (%)",TRUE)</f>
        <v>-9.2394999999999991E-2</v>
      </c>
      <c r="E9" s="187" t="s">
        <v>297</v>
      </c>
      <c r="F9" s="194">
        <f ca="1">Statement!AC158</f>
        <v>2.8269108848049843E-2</v>
      </c>
    </row>
    <row r="10" spans="2:9" x14ac:dyDescent="0.2">
      <c r="B10" s="187" t="s">
        <v>6</v>
      </c>
      <c r="C10" s="73" cm="1">
        <f t="array" aca="1" ref="C10" ca="1">_FV(C3,"Change % (extended hours)",TRUE)</f>
        <v>1.3312999999999998E-2</v>
      </c>
      <c r="E10" s="187" t="s">
        <v>302</v>
      </c>
      <c r="F10" s="194">
        <f ca="1">Statement!AC160</f>
        <v>4.1580700435554716E-3</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0.82050000000000001</v>
      </c>
      <c r="E13" s="187" t="s">
        <v>104</v>
      </c>
      <c r="F13" s="194">
        <f>Statement!AC125</f>
        <v>0.11905035623855768</v>
      </c>
    </row>
    <row r="14" spans="2:9" x14ac:dyDescent="0.2">
      <c r="B14" s="188" t="s">
        <v>10</v>
      </c>
      <c r="C14" s="212" cm="1">
        <f t="array" aca="1" ref="C14" ca="1">_FV(C3,"Volume average",TRUE)</f>
        <v>1479800</v>
      </c>
      <c r="E14" s="188" t="s">
        <v>105</v>
      </c>
      <c r="F14" s="195">
        <f>Statement!AC136</f>
        <v>-2241.5620934999406</v>
      </c>
    </row>
    <row r="15" spans="2:9" x14ac:dyDescent="0.2">
      <c r="E15" s="187" t="s">
        <v>299</v>
      </c>
      <c r="F15" s="194">
        <f ca="1">Statement!AC172</f>
        <v>0.23785661115825163</v>
      </c>
    </row>
    <row r="16" spans="2:9" x14ac:dyDescent="0.2">
      <c r="E16" s="188" t="s">
        <v>304</v>
      </c>
      <c r="F16" s="193">
        <f>Statement!AC171</f>
        <v>29.871890627347454</v>
      </c>
    </row>
    <row r="17" spans="2:9" x14ac:dyDescent="0.2">
      <c r="B17" s="253" t="s">
        <v>90</v>
      </c>
      <c r="C17" s="253"/>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3" t="s">
        <v>107</v>
      </c>
      <c r="C25" s="253"/>
      <c r="E25" s="251" t="s">
        <v>353</v>
      </c>
      <c r="F25" s="252"/>
    </row>
    <row r="26" spans="2:9" x14ac:dyDescent="0.2">
      <c r="B26" s="186" t="s">
        <v>108</v>
      </c>
      <c r="C26" s="172">
        <v>0.21</v>
      </c>
      <c r="E26" s="187" t="e" vm="2">
        <v>#VALUE!</v>
      </c>
      <c r="F26" s="221" cm="1">
        <f t="array" aca="1" ref="F26" ca="1">_FV(E26,"Price")</f>
        <v>44.02</v>
      </c>
    </row>
    <row r="27" spans="2:9" x14ac:dyDescent="0.2">
      <c r="B27" s="186" t="s">
        <v>176</v>
      </c>
      <c r="C27" s="223">
        <v>0</v>
      </c>
      <c r="E27" s="188" t="s">
        <v>354</v>
      </c>
      <c r="F27" s="222">
        <f ca="1">F26/1000</f>
        <v>4.4020000000000004E-2</v>
      </c>
    </row>
    <row r="28" spans="2:9" x14ac:dyDescent="0.2">
      <c r="B28" s="186" t="s">
        <v>358</v>
      </c>
      <c r="C28" s="223">
        <v>0.11</v>
      </c>
    </row>
    <row r="29" spans="2:9" x14ac:dyDescent="0.2">
      <c r="B29" s="186" t="s">
        <v>359</v>
      </c>
      <c r="C29" s="223">
        <v>0.12</v>
      </c>
    </row>
    <row r="33" spans="2:8" x14ac:dyDescent="0.2">
      <c r="B33" s="254" t="s">
        <v>348</v>
      </c>
      <c r="C33" s="254"/>
      <c r="D33" s="254"/>
      <c r="E33" s="254"/>
      <c r="F33" s="254"/>
      <c r="G33" s="254"/>
      <c r="H33" s="254"/>
    </row>
    <row r="35" spans="2:8" x14ac:dyDescent="0.2">
      <c r="B35" s="16" t="s">
        <v>349</v>
      </c>
      <c r="C35" s="1" t="s">
        <v>421</v>
      </c>
    </row>
    <row r="36" spans="2:8" x14ac:dyDescent="0.2">
      <c r="B36" s="16" t="s">
        <v>350</v>
      </c>
      <c r="C36" s="1" t="s">
        <v>422</v>
      </c>
    </row>
    <row r="39" spans="2:8" ht="6" customHeight="1" x14ac:dyDescent="0.2">
      <c r="B39" s="254"/>
      <c r="C39" s="254"/>
      <c r="D39" s="254"/>
      <c r="E39" s="254"/>
      <c r="F39" s="254"/>
      <c r="G39" s="254"/>
      <c r="H39" s="254"/>
    </row>
    <row r="42" spans="2:8" x14ac:dyDescent="0.2">
      <c r="B42" s="254" t="s">
        <v>351</v>
      </c>
      <c r="C42" s="254"/>
      <c r="D42" s="254"/>
      <c r="E42" s="254"/>
      <c r="F42" s="254"/>
      <c r="G42" s="254"/>
      <c r="H42" s="254"/>
    </row>
    <row r="44" spans="2:8" x14ac:dyDescent="0.2">
      <c r="B44" s="41" t="s">
        <v>352</v>
      </c>
      <c r="C44" s="41" t="s">
        <v>339</v>
      </c>
      <c r="D44" s="41"/>
      <c r="E44" s="41" t="s">
        <v>340</v>
      </c>
    </row>
    <row r="49" spans="2:8" ht="5" customHeight="1" x14ac:dyDescent="0.2">
      <c r="B49" s="254"/>
      <c r="C49" s="254"/>
      <c r="D49" s="254"/>
      <c r="E49" s="254"/>
      <c r="F49" s="254"/>
      <c r="G49" s="254"/>
      <c r="H49" s="254"/>
    </row>
    <row r="52" spans="2:8" x14ac:dyDescent="0.2">
      <c r="B52" s="254" t="s">
        <v>109</v>
      </c>
      <c r="C52" s="254"/>
      <c r="D52" s="254"/>
      <c r="E52" s="254"/>
      <c r="F52" s="254"/>
      <c r="G52" s="254"/>
      <c r="H52" s="254"/>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4"/>
      <c r="C65" s="254"/>
      <c r="D65" s="254"/>
      <c r="E65" s="254"/>
      <c r="F65" s="254"/>
      <c r="G65" s="254"/>
      <c r="H65" s="254"/>
    </row>
  </sheetData>
  <mergeCells count="12">
    <mergeCell ref="B52:H52"/>
    <mergeCell ref="B65:H65"/>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Q207" activePane="bottomRight" state="frozen"/>
      <selection pane="topRight" activeCell="C1" sqref="C1"/>
      <selection pane="bottomLeft" activeCell="A4" sqref="A4"/>
      <selection pane="bottomRight" activeCell="AC216" sqref="AC21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119.94</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119.94</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8">M30/M5*365</f>
        <v>48.268925557877274</v>
      </c>
      <c r="N137" s="120">
        <f t="shared" si="78"/>
        <v>46.15954207770065</v>
      </c>
      <c r="O137" s="120">
        <f t="shared" si="78"/>
        <v>61.147288033153274</v>
      </c>
      <c r="P137" s="120">
        <f t="shared" si="78"/>
        <v>62.908268986021838</v>
      </c>
      <c r="Q137" s="120">
        <f t="shared" si="78"/>
        <v>57.278802107578244</v>
      </c>
      <c r="T137" s="120">
        <f t="shared" ref="T137:AA137" si="79">T30/T5*90</f>
        <v>39.225579973868236</v>
      </c>
      <c r="U137" s="120">
        <f t="shared" si="79"/>
        <v>44.027072494470232</v>
      </c>
      <c r="V137" s="120">
        <f t="shared" si="79"/>
        <v>55.371367215461703</v>
      </c>
      <c r="W137" s="120">
        <f t="shared" si="79"/>
        <v>44.536432307805654</v>
      </c>
      <c r="X137" s="120">
        <f t="shared" si="79"/>
        <v>40.28585019721325</v>
      </c>
      <c r="Y137" s="120">
        <f t="shared" si="79"/>
        <v>41.234721930860871</v>
      </c>
      <c r="Z137" s="120">
        <f t="shared" si="79"/>
        <v>51.806602372838213</v>
      </c>
      <c r="AA137" s="120">
        <f t="shared" si="79"/>
        <v>38.558261721358917</v>
      </c>
      <c r="AC137" s="120">
        <f>AC30/AC5*365</f>
        <v>41.550646015291044</v>
      </c>
    </row>
    <row r="138" spans="2:29" x14ac:dyDescent="0.2">
      <c r="B138" s="20" t="s">
        <v>144</v>
      </c>
      <c r="M138" s="120">
        <f t="shared" si="78"/>
        <v>0</v>
      </c>
      <c r="N138" s="120">
        <f t="shared" si="78"/>
        <v>0</v>
      </c>
      <c r="O138" s="120">
        <f t="shared" si="78"/>
        <v>0</v>
      </c>
      <c r="P138" s="120">
        <f t="shared" si="78"/>
        <v>0</v>
      </c>
      <c r="Q138" s="120">
        <f t="shared" si="78"/>
        <v>0</v>
      </c>
      <c r="T138" s="120">
        <f t="shared" ref="T138:AA138" si="80">T31/T6*365</f>
        <v>0</v>
      </c>
      <c r="U138" s="120">
        <f t="shared" si="80"/>
        <v>0</v>
      </c>
      <c r="V138" s="120">
        <f t="shared" si="80"/>
        <v>0</v>
      </c>
      <c r="W138" s="120">
        <f t="shared" si="80"/>
        <v>0</v>
      </c>
      <c r="X138" s="120">
        <f t="shared" si="80"/>
        <v>0</v>
      </c>
      <c r="Y138" s="120">
        <f t="shared" si="80"/>
        <v>0</v>
      </c>
      <c r="Z138" s="120">
        <f t="shared" si="80"/>
        <v>0</v>
      </c>
      <c r="AA138" s="120">
        <f t="shared" si="80"/>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1">T38/T6*90</f>
        <v>6.4721535829690167</v>
      </c>
      <c r="U139" s="120">
        <f t="shared" si="81"/>
        <v>6.2937907244154845</v>
      </c>
      <c r="V139" s="120">
        <f t="shared" si="81"/>
        <v>9.7461179465422152</v>
      </c>
      <c r="W139" s="120">
        <f t="shared" si="81"/>
        <v>3.4381142437018921</v>
      </c>
      <c r="X139" s="120">
        <f t="shared" si="81"/>
        <v>9.9823488892715684</v>
      </c>
      <c r="Y139" s="120">
        <f t="shared" si="81"/>
        <v>4.2929333440282349</v>
      </c>
      <c r="Z139" s="120">
        <f t="shared" si="81"/>
        <v>9.3484330965337215</v>
      </c>
      <c r="AA139" s="120">
        <f t="shared" si="81"/>
        <v>8.5423032546816948</v>
      </c>
      <c r="AC139" s="120">
        <f>AC38/AC6*365</f>
        <v>9.0971713566567676</v>
      </c>
    </row>
    <row r="140" spans="2:29" x14ac:dyDescent="0.2">
      <c r="B140" s="20" t="s">
        <v>146</v>
      </c>
      <c r="M140" s="120">
        <f>M137+M138-M139</f>
        <v>7.0240205192856493</v>
      </c>
      <c r="N140" s="120">
        <f t="shared" ref="N140:Q140" si="82">N137+N138-N139</f>
        <v>41.838907667908934</v>
      </c>
      <c r="O140" s="120">
        <f t="shared" si="82"/>
        <v>54.862111579122804</v>
      </c>
      <c r="P140" s="120">
        <f t="shared" si="82"/>
        <v>51.471381264742163</v>
      </c>
      <c r="Q140" s="120">
        <f t="shared" si="82"/>
        <v>47.147091641541842</v>
      </c>
      <c r="T140" s="120">
        <f t="shared" ref="T140" si="83">T137+T138-T139</f>
        <v>32.753426390899222</v>
      </c>
      <c r="U140" s="120">
        <f t="shared" ref="U140" si="84">U137+U138-U139</f>
        <v>37.733281770054745</v>
      </c>
      <c r="V140" s="120">
        <f t="shared" ref="V140" si="85">V137+V138-V139</f>
        <v>45.62524926891949</v>
      </c>
      <c r="W140" s="120">
        <f t="shared" ref="W140" si="86">W137+W138-W139</f>
        <v>41.098318064103765</v>
      </c>
      <c r="X140" s="120">
        <f t="shared" ref="X140" si="87">X137+X138-X139</f>
        <v>30.30350130794168</v>
      </c>
      <c r="Y140" s="120">
        <f t="shared" ref="Y140" si="88">Y137+Y138-Y139</f>
        <v>36.941788586832637</v>
      </c>
      <c r="Z140" s="120">
        <f t="shared" ref="Z140:AA140" si="89">Z137+Z138-Z139</f>
        <v>42.458169276304488</v>
      </c>
      <c r="AA140" s="120">
        <f t="shared" si="89"/>
        <v>30.015958466677223</v>
      </c>
      <c r="AC140" s="120">
        <f t="shared" ref="AC140" si="90">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1">T108/T49</f>
        <v>0</v>
      </c>
      <c r="U141" s="120">
        <f t="shared" si="91"/>
        <v>0</v>
      </c>
      <c r="V141" s="120">
        <f t="shared" si="91"/>
        <v>0</v>
      </c>
      <c r="W141" s="120">
        <f t="shared" si="91"/>
        <v>0</v>
      </c>
      <c r="X141" s="120">
        <f t="shared" si="91"/>
        <v>0</v>
      </c>
      <c r="Y141" s="120">
        <f t="shared" si="91"/>
        <v>0</v>
      </c>
      <c r="Z141" s="120">
        <f t="shared" si="91"/>
        <v>0</v>
      </c>
      <c r="AA141" s="120">
        <f t="shared" si="91"/>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2">(T108-T107)/T49</f>
        <v>-1.1581549630742272</v>
      </c>
      <c r="U142" s="181">
        <f t="shared" si="92"/>
        <v>-1.1381695975332329</v>
      </c>
      <c r="V142" s="181">
        <f t="shared" si="92"/>
        <v>-1.1835995391425627</v>
      </c>
      <c r="W142" s="181">
        <f t="shared" si="92"/>
        <v>-1.2112223184378168</v>
      </c>
      <c r="X142" s="181">
        <f t="shared" si="92"/>
        <v>-1.2008267905521934</v>
      </c>
      <c r="Y142" s="181">
        <f t="shared" si="92"/>
        <v>-0.93319510928545912</v>
      </c>
      <c r="Z142" s="181">
        <f t="shared" si="92"/>
        <v>-0.94696311671959887</v>
      </c>
      <c r="AA142" s="181">
        <f t="shared" si="92"/>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3">(T107+T30)/T40</f>
        <v>3.040255064143722</v>
      </c>
      <c r="U143" s="120">
        <f t="shared" si="93"/>
        <v>3.0114195356776459</v>
      </c>
      <c r="V143" s="120">
        <f t="shared" si="93"/>
        <v>2.6167192839938327</v>
      </c>
      <c r="W143" s="120">
        <f t="shared" si="93"/>
        <v>2.6333212317238193</v>
      </c>
      <c r="X143" s="120">
        <f t="shared" si="93"/>
        <v>2.7284904207406715</v>
      </c>
      <c r="Y143" s="120">
        <f t="shared" si="93"/>
        <v>2.7751640731415361</v>
      </c>
      <c r="Z143" s="120">
        <f t="shared" si="93"/>
        <v>2.6098107949225979</v>
      </c>
      <c r="AA143" s="120">
        <f t="shared" si="93"/>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4">T32/T40</f>
        <v>3.2782037239868567</v>
      </c>
      <c r="U144" s="120">
        <f t="shared" si="94"/>
        <v>3.0936419462606648</v>
      </c>
      <c r="V144" s="120">
        <f t="shared" si="94"/>
        <v>2.6089699714137522</v>
      </c>
      <c r="W144" s="120">
        <f t="shared" si="94"/>
        <v>2.6836023191084415</v>
      </c>
      <c r="X144" s="120">
        <f t="shared" si="94"/>
        <v>2.8087351474278877</v>
      </c>
      <c r="Y144" s="120">
        <f t="shared" si="94"/>
        <v>2.8214492095595824</v>
      </c>
      <c r="Z144" s="120">
        <f t="shared" si="94"/>
        <v>2.6065702860211775</v>
      </c>
      <c r="AA144" s="120">
        <f t="shared" si="94"/>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5">IF(T13&gt;=0,"N/A",IF(T12&lt;=0,"N/A",T12/-T13))</f>
        <v>N/A</v>
      </c>
      <c r="U145" s="183" t="str">
        <f t="shared" si="95"/>
        <v>N/A</v>
      </c>
      <c r="V145" s="183" t="str">
        <f t="shared" si="95"/>
        <v>N/A</v>
      </c>
      <c r="W145" s="183" t="str">
        <f t="shared" si="95"/>
        <v>N/A</v>
      </c>
      <c r="X145" s="183" t="str">
        <f t="shared" si="95"/>
        <v>N/A</v>
      </c>
      <c r="Y145" s="183" t="str">
        <f t="shared" si="95"/>
        <v>N/A</v>
      </c>
      <c r="Z145" s="183" t="str">
        <f t="shared" si="95"/>
        <v>N/A</v>
      </c>
      <c r="AA145" s="183" t="str">
        <f t="shared" si="95"/>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35.374302224209849</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5.3334528974817434</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4.0153103687119369</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5851512.7800000003</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4459691.78</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4.0586449013617427</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28.495886852009228</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6">T59-T54+T110+T65</f>
        <v>26986</v>
      </c>
      <c r="U153" s="64">
        <f t="shared" si="96"/>
        <v>22285</v>
      </c>
      <c r="V153" s="64">
        <f t="shared" si="96"/>
        <v>51117</v>
      </c>
      <c r="W153" s="64">
        <f t="shared" si="96"/>
        <v>71994</v>
      </c>
      <c r="X153" s="64">
        <f t="shared" si="96"/>
        <v>51732</v>
      </c>
      <c r="Y153" s="64">
        <f t="shared" si="96"/>
        <v>41791</v>
      </c>
      <c r="Z153" s="64">
        <f t="shared" si="96"/>
        <v>57470</v>
      </c>
      <c r="AA153" s="64">
        <f t="shared" si="96"/>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7">N149/N153</f>
        <v>-95.43181061806655</v>
      </c>
      <c r="O155" s="72">
        <f t="shared" si="97"/>
        <v>243.27936097877384</v>
      </c>
      <c r="P155" s="72">
        <f t="shared" si="97"/>
        <v>103.20455372459323</v>
      </c>
      <c r="Q155" s="72">
        <f t="shared" si="97"/>
        <v>39.668168547942251</v>
      </c>
      <c r="T155" s="49"/>
      <c r="U155" s="49"/>
      <c r="V155" s="49"/>
      <c r="W155" s="49"/>
      <c r="X155" s="49"/>
      <c r="Y155" s="49"/>
      <c r="Z155" s="49"/>
      <c r="AA155" s="49"/>
      <c r="AC155" s="72">
        <f t="shared" ref="AC155:AC156" ca="1" si="98">AC149/AC153</f>
        <v>22.15374426423152</v>
      </c>
    </row>
    <row r="156" spans="2:29" x14ac:dyDescent="0.2">
      <c r="B156" s="20" t="s">
        <v>273</v>
      </c>
      <c r="M156" s="72">
        <f>M150/M154</f>
        <v>-98.568903797199823</v>
      </c>
      <c r="N156" s="72">
        <f t="shared" ref="N156:Q156" si="99">N150/N154</f>
        <v>-63.556731738561353</v>
      </c>
      <c r="O156" s="72">
        <f t="shared" si="99"/>
        <v>673.03434883720922</v>
      </c>
      <c r="P156" s="72">
        <f t="shared" si="99"/>
        <v>124.4016933148245</v>
      </c>
      <c r="Q156" s="72">
        <f t="shared" si="99"/>
        <v>49.504381582091227</v>
      </c>
      <c r="T156" s="49"/>
      <c r="U156" s="49"/>
      <c r="V156" s="49"/>
      <c r="W156" s="49"/>
      <c r="X156" s="49"/>
      <c r="Y156" s="49"/>
      <c r="Z156" s="49"/>
      <c r="AA156" s="49"/>
      <c r="AC156" s="72">
        <f t="shared" ca="1" si="98"/>
        <v>23.871336572525447</v>
      </c>
    </row>
    <row r="157" spans="2:29" x14ac:dyDescent="0.2">
      <c r="B157" s="20" t="s">
        <v>274</v>
      </c>
      <c r="M157" s="74">
        <f>M153/M149</f>
        <v>-8.8594354802363062E-3</v>
      </c>
      <c r="N157" s="74">
        <f t="shared" ref="N157:Q157" si="100">N153/N149</f>
        <v>-1.0478686231807555E-2</v>
      </c>
      <c r="O157" s="74">
        <f t="shared" si="100"/>
        <v>4.1105007674171346E-3</v>
      </c>
      <c r="P157" s="74">
        <f t="shared" si="100"/>
        <v>9.6894949293473281E-3</v>
      </c>
      <c r="Q157" s="74">
        <f t="shared" si="100"/>
        <v>2.5209129551605529E-2</v>
      </c>
      <c r="T157" s="49"/>
      <c r="U157" s="49"/>
      <c r="V157" s="49"/>
      <c r="W157" s="49"/>
      <c r="X157" s="49"/>
      <c r="Y157" s="49"/>
      <c r="Z157" s="49"/>
      <c r="AA157" s="49"/>
      <c r="AC157" s="74">
        <f t="shared" ref="AC157" ca="1" si="101">AC153/AC149</f>
        <v>4.513909649189897E-2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2.8269108848049843E-2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4.1580700435554716E-3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4.1580700435554716E-3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2">T107/T75</f>
        <v>20.401019775373804</v>
      </c>
      <c r="U168" s="72">
        <f t="shared" si="102"/>
        <v>21.282534558021098</v>
      </c>
      <c r="V168" s="72">
        <f t="shared" si="102"/>
        <v>21.571005459408084</v>
      </c>
      <c r="W168" s="72">
        <f t="shared" si="102"/>
        <v>23.817445825541746</v>
      </c>
      <c r="X168" s="72">
        <f t="shared" si="102"/>
        <v>25.604403998079526</v>
      </c>
      <c r="Y168" s="72">
        <f t="shared" si="102"/>
        <v>26.395020333996712</v>
      </c>
      <c r="Z168" s="72">
        <f t="shared" si="102"/>
        <v>26.910654008438819</v>
      </c>
      <c r="AA168" s="72">
        <f t="shared" si="102"/>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3">T54/T59</f>
        <v>0.42870423799448609</v>
      </c>
      <c r="U169" s="156">
        <f t="shared" si="103"/>
        <v>0.51467112161657813</v>
      </c>
      <c r="V169" s="156">
        <f t="shared" si="103"/>
        <v>0.357398253023613</v>
      </c>
      <c r="W169" s="156">
        <f t="shared" si="103"/>
        <v>0.29364485804356677</v>
      </c>
      <c r="X169" s="156">
        <f t="shared" si="103"/>
        <v>0.38149434794596088</v>
      </c>
      <c r="Y169" s="156">
        <f t="shared" si="103"/>
        <v>0.42219162145799449</v>
      </c>
      <c r="Z169" s="156">
        <f t="shared" si="103"/>
        <v>0.33801897872816422</v>
      </c>
      <c r="AA169" s="156">
        <f t="shared" si="103"/>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4">T54/T5</f>
        <v>0.14998289658885081</v>
      </c>
      <c r="U170" s="156">
        <f t="shared" si="104"/>
        <v>0.15036293965544098</v>
      </c>
      <c r="V170" s="156">
        <f t="shared" si="104"/>
        <v>0.14214745884037222</v>
      </c>
      <c r="W170" s="156">
        <f t="shared" si="104"/>
        <v>0.13442661315836232</v>
      </c>
      <c r="X170" s="156">
        <f t="shared" si="104"/>
        <v>0.13712564168632194</v>
      </c>
      <c r="Y170" s="156">
        <f t="shared" si="104"/>
        <v>0.13089178655419506</v>
      </c>
      <c r="Z170" s="156">
        <f t="shared" si="104"/>
        <v>0.1281940693185514</v>
      </c>
      <c r="AA170" s="156">
        <f t="shared" si="104"/>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5">(T107-T108)/T75</f>
        <v>20.401019775373804</v>
      </c>
      <c r="U171" s="72">
        <f t="shared" si="105"/>
        <v>21.282534558021098</v>
      </c>
      <c r="V171" s="72">
        <f t="shared" si="105"/>
        <v>21.571005459408084</v>
      </c>
      <c r="W171" s="72">
        <f t="shared" si="105"/>
        <v>23.817445825541746</v>
      </c>
      <c r="X171" s="72">
        <f t="shared" si="105"/>
        <v>25.604403998079526</v>
      </c>
      <c r="Y171" s="72">
        <f t="shared" si="105"/>
        <v>26.395020333996712</v>
      </c>
      <c r="Z171" s="72">
        <f t="shared" si="105"/>
        <v>26.910654008438819</v>
      </c>
      <c r="AA171" s="72">
        <f t="shared" si="105"/>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0.23785661115825163</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6">-T110/T5</f>
        <v>4.8540041608954337E-2</v>
      </c>
      <c r="U173" s="156">
        <f t="shared" si="106"/>
        <v>2.60807709482123E-2</v>
      </c>
      <c r="V173" s="156">
        <f t="shared" si="106"/>
        <v>1.1643999045573849E-2</v>
      </c>
      <c r="W173" s="156">
        <f t="shared" si="106"/>
        <v>1.1350290149647009E-2</v>
      </c>
      <c r="X173" s="156">
        <f t="shared" si="106"/>
        <v>1.7247735516223019E-2</v>
      </c>
      <c r="Y173" s="156">
        <f t="shared" si="106"/>
        <v>2.5331875913187814E-2</v>
      </c>
      <c r="Z173" s="156">
        <f t="shared" si="106"/>
        <v>4.7888060862310337E-2</v>
      </c>
      <c r="AA173" s="156">
        <f t="shared" si="106"/>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7">-(T110/T59)</f>
        <v>0.13874463037763674</v>
      </c>
      <c r="U174" s="156">
        <f t="shared" si="107"/>
        <v>8.9270798158778683E-2</v>
      </c>
      <c r="V174" s="156">
        <f t="shared" si="107"/>
        <v>2.9276252639662124E-2</v>
      </c>
      <c r="W174" s="156">
        <f t="shared" si="107"/>
        <v>2.4793857863695316E-2</v>
      </c>
      <c r="X174" s="156">
        <f t="shared" si="107"/>
        <v>4.7984560242624756E-2</v>
      </c>
      <c r="Y174" s="156">
        <f t="shared" si="107"/>
        <v>8.1707997483350947E-2</v>
      </c>
      <c r="Z174" s="156">
        <f t="shared" si="107"/>
        <v>0.12627006469173549</v>
      </c>
      <c r="AA174" s="156">
        <f t="shared" si="107"/>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08">-T110/T53</f>
        <v>3.8591172536781095</v>
      </c>
      <c r="U175" s="156">
        <f t="shared" si="108"/>
        <v>1.7465229485396383</v>
      </c>
      <c r="V175" s="156">
        <f t="shared" si="108"/>
        <v>0.66648456705818082</v>
      </c>
      <c r="W175" s="156">
        <f t="shared" si="108"/>
        <v>0.7295264623955432</v>
      </c>
      <c r="X175" s="156">
        <f t="shared" si="108"/>
        <v>1.2648255813953488</v>
      </c>
      <c r="Y175" s="156">
        <f t="shared" si="108"/>
        <v>1.9372361384745285</v>
      </c>
      <c r="Z175" s="156">
        <f t="shared" si="108"/>
        <v>3.5572478991596639</v>
      </c>
      <c r="AA175" s="156">
        <f t="shared" si="108"/>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09">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09"/>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09"/>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09"/>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0">IF(L183=0,
IF(M183=0,0,IF(M183&gt;0,1,-1)),
(M183-L183)/ABS(L183)
)</f>
        <v>1</v>
      </c>
      <c r="N191" s="81">
        <f t="shared" si="110"/>
        <v>0.51361387508439493</v>
      </c>
      <c r="O191" s="81">
        <f t="shared" si="110"/>
        <v>0.47961112512659637</v>
      </c>
      <c r="P191" s="81">
        <f t="shared" si="110"/>
        <v>0.50124788724041469</v>
      </c>
      <c r="Q191" s="81">
        <f t="shared" si="110"/>
        <v>0.43769124538500914</v>
      </c>
      <c r="T191" s="81">
        <f t="shared" ref="T191:AA193" si="111">IF(S183=0,
IF(T183=0,0,IF(T183&gt;0,1,-1)),
(T183-S183)/ABS(S183)
)</f>
        <v>1</v>
      </c>
      <c r="U191" s="81">
        <f t="shared" si="111"/>
        <v>9.5254640085053743E-2</v>
      </c>
      <c r="V191" s="81">
        <f t="shared" si="111"/>
        <v>0.10595303806061529</v>
      </c>
      <c r="W191" s="81">
        <f t="shared" si="111"/>
        <v>9.5630374547519742E-2</v>
      </c>
      <c r="X191" s="81">
        <f t="shared" si="111"/>
        <v>0.10310125820081995</v>
      </c>
      <c r="Y191" s="81">
        <f t="shared" si="111"/>
        <v>8.9297411215219433E-2</v>
      </c>
      <c r="Z191" s="81">
        <f t="shared" si="111"/>
        <v>5.5753820411257961E-2</v>
      </c>
      <c r="AA191" s="81">
        <f t="shared" si="111"/>
        <v>3.5586042940987099E-2</v>
      </c>
      <c r="AC191" s="49"/>
    </row>
    <row r="192" spans="1:31" x14ac:dyDescent="0.2">
      <c r="B192" s="20" t="s">
        <v>383</v>
      </c>
      <c r="M192" s="81">
        <f t="shared" si="110"/>
        <v>1</v>
      </c>
      <c r="N192" s="81">
        <f t="shared" si="110"/>
        <v>0.161813978857692</v>
      </c>
      <c r="O192" s="81">
        <f t="shared" si="110"/>
        <v>0.11461849723905122</v>
      </c>
      <c r="P192" s="81">
        <f t="shared" si="110"/>
        <v>0.10126759998395443</v>
      </c>
      <c r="Q192" s="81">
        <f t="shared" si="110"/>
        <v>0.45200065565410602</v>
      </c>
      <c r="T192" s="81">
        <f t="shared" si="111"/>
        <v>1</v>
      </c>
      <c r="U192" s="81">
        <f t="shared" si="111"/>
        <v>8.6513802986875846E-2</v>
      </c>
      <c r="V192" s="81">
        <f t="shared" si="111"/>
        <v>-7.8444984380423455E-3</v>
      </c>
      <c r="W192" s="81">
        <f t="shared" si="111"/>
        <v>0.25118947663028268</v>
      </c>
      <c r="X192" s="81">
        <f t="shared" si="111"/>
        <v>0.15216418745106811</v>
      </c>
      <c r="Y192" s="81">
        <f t="shared" si="111"/>
        <v>2.019123428626899E-2</v>
      </c>
      <c r="Z192" s="81">
        <f t="shared" si="111"/>
        <v>-3.796565012607641E-2</v>
      </c>
      <c r="AA192" s="81">
        <f t="shared" si="111"/>
        <v>1.9435240591464318E-2</v>
      </c>
      <c r="AC192" s="49"/>
    </row>
    <row r="193" spans="1:31" x14ac:dyDescent="0.2">
      <c r="B193" s="20" t="s">
        <v>384</v>
      </c>
      <c r="M193" s="81">
        <f t="shared" si="110"/>
        <v>1</v>
      </c>
      <c r="N193" s="81">
        <f t="shared" ref="N193:N195" si="112">IF(M185=0,
IF(N185=0,0,IF(N185&gt;0,1,-1)),
(N185-M185)/ABS(M185)
)</f>
        <v>0.32687160353637762</v>
      </c>
      <c r="O193" s="81">
        <f t="shared" ref="O193:O195" si="113">IF(N185=0,
IF(O185=0,0,IF(O185&gt;0,1,-1)),
(O185-N185)/ABS(N185)
)</f>
        <v>0.25961244574851766</v>
      </c>
      <c r="P193" s="81">
        <f t="shared" ref="P193:P195" si="114">IF(O185=0,
IF(P185=0,0,IF(P185&gt;0,1,-1)),
(P185-O185)/ABS(O185)
)</f>
        <v>0.107444433660099</v>
      </c>
      <c r="Q193" s="81">
        <f t="shared" ref="Q193:Q195" si="115">IF(P185=0,
IF(Q185=0,0,IF(Q185&gt;0,1,-1)),
(Q185-P185)/ABS(P185)
)</f>
        <v>-7.9623137598597724E-2</v>
      </c>
      <c r="T193" s="81">
        <f t="shared" si="111"/>
        <v>1</v>
      </c>
      <c r="U193" s="81">
        <f t="shared" ref="U193:U195" si="116">IF(T185=0,
IF(U185=0,0,IF(U185&gt;0,1,-1)),
(U185-T185)/ABS(T185)
)</f>
        <v>6.9171807814544777E-3</v>
      </c>
      <c r="V193" s="81">
        <f t="shared" ref="V193:V195" si="117">IF(U185=0,
IF(V185=0,0,IF(V185&gt;0,1,-1)),
(V185-U185)/ABS(U185)
)</f>
        <v>5.9691793538804307E-2</v>
      </c>
      <c r="W193" s="81">
        <f t="shared" ref="W193:W195" si="118">IF(V185=0,
IF(W185=0,0,IF(W185&gt;0,1,-1)),
(W185-V185)/ABS(V185)
)</f>
        <v>5.0021901007446343E-2</v>
      </c>
      <c r="X193" s="81">
        <f t="shared" ref="X193:X195" si="119">IF(W185=0,
IF(X185=0,0,IF(X185&gt;0,1,-1)),
(X185-W185)/ABS(W185)
)</f>
        <v>-0.15835140997830802</v>
      </c>
      <c r="Y193" s="81">
        <f t="shared" ref="Y193:Y195" si="120">IF(X185=0,
IF(Y185=0,0,IF(Y185&gt;0,1,-1)),
(Y185-X185)/ABS(X185)
)</f>
        <v>-4.3517049960348927E-2</v>
      </c>
      <c r="Z193" s="81">
        <f t="shared" ref="Z193:Z195" si="121">IF(Y185=0,
IF(Z185=0,0,IF(Z185&gt;0,1,-1)),
(Z185-Y185)/ABS(Y185)
)</f>
        <v>6.5706290807337545E-2</v>
      </c>
      <c r="AA193" s="81">
        <f t="shared" ref="AA193:AA195" si="122">IF(Z185=0,
IF(AA185=0,0,IF(AA185&gt;0,1,-1)),
(AA185-Z185)/ABS(Z185)
)</f>
        <v>0.10055431294369348</v>
      </c>
      <c r="AC193" s="49"/>
    </row>
    <row r="194" spans="1:31" x14ac:dyDescent="0.2">
      <c r="B194" s="20" t="s">
        <v>385</v>
      </c>
      <c r="M194" s="81">
        <f t="shared" ref="M194:M195" si="123">IF(L186=0,
IF(M186=0,0,IF(M186&gt;0,1,-1)),
(M186-L186)/ABS(L186)
)</f>
        <v>1</v>
      </c>
      <c r="N194" s="81">
        <f t="shared" si="112"/>
        <v>1.6809833694866232</v>
      </c>
      <c r="O194" s="81">
        <f t="shared" si="113"/>
        <v>0.87027347753384754</v>
      </c>
      <c r="P194" s="81">
        <f t="shared" si="114"/>
        <v>0.11478672165662042</v>
      </c>
      <c r="Q194" s="81">
        <f t="shared" si="115"/>
        <v>4.7240835122758909E-2</v>
      </c>
      <c r="T194" s="81">
        <f t="shared" ref="T194:T195" si="124">IF(S186=0,
IF(T186=0,0,IF(T186&gt;0,1,-1)),
(T186-S186)/ABS(S186)
)</f>
        <v>1</v>
      </c>
      <c r="U194" s="81">
        <f t="shared" si="116"/>
        <v>-7.5176886792452824E-2</v>
      </c>
      <c r="V194" s="81">
        <f t="shared" si="117"/>
        <v>-2.8583572415258739E-2</v>
      </c>
      <c r="W194" s="81">
        <f t="shared" si="118"/>
        <v>3.281557646029315E-2</v>
      </c>
      <c r="X194" s="81">
        <f t="shared" si="119"/>
        <v>0.10040245710654522</v>
      </c>
      <c r="Y194" s="81">
        <f t="shared" si="120"/>
        <v>6.7949951876804623E-2</v>
      </c>
      <c r="Z194" s="81">
        <f t="shared" si="121"/>
        <v>-0.13923936553713051</v>
      </c>
      <c r="AA194" s="81">
        <f t="shared" si="122"/>
        <v>-0.11569469165532405</v>
      </c>
      <c r="AC194" s="49"/>
    </row>
    <row r="195" spans="1:31" x14ac:dyDescent="0.2">
      <c r="B195" s="20" t="s">
        <v>386</v>
      </c>
      <c r="M195" s="81">
        <f t="shared" si="123"/>
        <v>1</v>
      </c>
      <c r="N195" s="81">
        <f t="shared" si="112"/>
        <v>6.9113924050632916</v>
      </c>
      <c r="O195" s="81">
        <f t="shared" si="113"/>
        <v>9.1200000000000003E-2</v>
      </c>
      <c r="P195" s="81">
        <f t="shared" si="114"/>
        <v>0.89589442815249265</v>
      </c>
      <c r="Q195" s="81">
        <f t="shared" si="115"/>
        <v>0.49806651198762569</v>
      </c>
      <c r="T195" s="81">
        <f t="shared" si="124"/>
        <v>1</v>
      </c>
      <c r="U195" s="81">
        <f t="shared" si="116"/>
        <v>0.36013986013986016</v>
      </c>
      <c r="V195" s="81">
        <f t="shared" si="117"/>
        <v>-1.2853470437017995E-2</v>
      </c>
      <c r="W195" s="81">
        <f t="shared" si="118"/>
        <v>0.16145833333333334</v>
      </c>
      <c r="X195" s="81">
        <f t="shared" si="119"/>
        <v>0.13452914798206278</v>
      </c>
      <c r="Y195" s="81">
        <f t="shared" si="120"/>
        <v>-9.4861660079051377E-2</v>
      </c>
      <c r="Z195" s="81">
        <f t="shared" si="121"/>
        <v>0.15065502183406113</v>
      </c>
      <c r="AA195" s="81">
        <f t="shared" si="122"/>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5">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5"/>
        <v>12500</v>
      </c>
    </row>
    <row r="212" spans="2:29" x14ac:dyDescent="0.2">
      <c r="B212" s="20" t="s">
        <v>390</v>
      </c>
      <c r="M212" s="128">
        <f>M210-M211</f>
        <v>38000</v>
      </c>
      <c r="N212" s="128">
        <f t="shared" ref="N212:Q212" si="126">N210-N211</f>
        <v>56500</v>
      </c>
      <c r="O212" s="128">
        <f t="shared" si="126"/>
        <v>81800</v>
      </c>
      <c r="P212" s="128">
        <f t="shared" si="126"/>
        <v>107200</v>
      </c>
      <c r="Q212" s="128">
        <f t="shared" si="126"/>
        <v>120900</v>
      </c>
      <c r="T212" s="128">
        <f t="shared" ref="T212" si="127">T210-T211</f>
        <v>95600</v>
      </c>
      <c r="U212" s="128">
        <f t="shared" ref="U212" si="128">U210-U211</f>
        <v>104500</v>
      </c>
      <c r="V212" s="128">
        <f t="shared" ref="V212" si="129">V210-V211</f>
        <v>107200</v>
      </c>
      <c r="W212" s="128">
        <f t="shared" ref="W212" si="130">W210-W211</f>
        <v>119900</v>
      </c>
      <c r="X212" s="128">
        <f t="shared" ref="X212" si="131">X210-X211</f>
        <v>117400</v>
      </c>
      <c r="Y212" s="128">
        <f t="shared" ref="Y212" si="132">Y210-Y211</f>
        <v>123800</v>
      </c>
      <c r="Z212" s="128">
        <f t="shared" ref="Z212" si="133">Z210-Z211</f>
        <v>120900</v>
      </c>
      <c r="AA212" s="128">
        <f t="shared" ref="AA212" si="134">AA210-AA211</f>
        <v>125300</v>
      </c>
      <c r="AC212" s="21">
        <f t="shared" si="125"/>
        <v>125300</v>
      </c>
    </row>
    <row r="213" spans="2:29" x14ac:dyDescent="0.2">
      <c r="B213" s="231" t="s">
        <v>391</v>
      </c>
      <c r="M213" s="232">
        <f>M183/M211</f>
        <v>72.279200000000003</v>
      </c>
      <c r="N213" s="232">
        <f t="shared" ref="N213:Q213" si="135">N183/N211</f>
        <v>65.120714285714286</v>
      </c>
      <c r="O213" s="232">
        <f t="shared" si="135"/>
        <v>61.315757575757573</v>
      </c>
      <c r="P213" s="232">
        <f t="shared" si="135"/>
        <v>63.950631578947366</v>
      </c>
      <c r="Q213" s="232">
        <f t="shared" si="135"/>
        <v>71.593606557377043</v>
      </c>
      <c r="T213" s="232">
        <f t="shared" ref="T213:AC213" si="136">T183/T211</f>
        <v>17.988624999999999</v>
      </c>
      <c r="U213" s="232">
        <f t="shared" si="136"/>
        <v>18.327558139534883</v>
      </c>
      <c r="V213" s="232">
        <f t="shared" si="136"/>
        <v>18.349157894736841</v>
      </c>
      <c r="W213" s="232">
        <f t="shared" si="136"/>
        <v>18.542427184466021</v>
      </c>
      <c r="X213" s="232">
        <f t="shared" si="136"/>
        <v>19.328256880733946</v>
      </c>
      <c r="Y213" s="232">
        <f t="shared" si="136"/>
        <v>19.955739130434782</v>
      </c>
      <c r="Z213" s="232">
        <f t="shared" si="136"/>
        <v>19.859508196721311</v>
      </c>
      <c r="AA213" s="232">
        <f t="shared" si="136"/>
        <v>20.07264</v>
      </c>
      <c r="AC213" s="232">
        <f t="shared" si="136"/>
        <v>74.669039999999995</v>
      </c>
    </row>
    <row r="214" spans="2:29" x14ac:dyDescent="0.2">
      <c r="B214" s="231" t="s">
        <v>392</v>
      </c>
      <c r="M214" s="74">
        <f>M209/M210</f>
        <v>0.23703703703703705</v>
      </c>
      <c r="N214" s="74">
        <f t="shared" ref="N214:Q214" si="137">N209/N210</f>
        <v>0.26853377265238881</v>
      </c>
      <c r="O214" s="74">
        <f t="shared" si="137"/>
        <v>0.30429864253393663</v>
      </c>
      <c r="P214" s="74">
        <f t="shared" si="137"/>
        <v>0.34704370179948585</v>
      </c>
      <c r="Q214" s="74">
        <f t="shared" si="137"/>
        <v>0.3959429000751315</v>
      </c>
      <c r="T214" s="74">
        <f t="shared" ref="T214:AA214" si="138">T209/T210</f>
        <v>0.32915057915057916</v>
      </c>
      <c r="U214" s="74">
        <f t="shared" si="138"/>
        <v>0.32891246684350134</v>
      </c>
      <c r="V214" s="74">
        <f t="shared" si="138"/>
        <v>0.34704370179948585</v>
      </c>
      <c r="W214" s="74">
        <f t="shared" si="138"/>
        <v>0.3579109062980031</v>
      </c>
      <c r="X214" s="74">
        <f t="shared" si="138"/>
        <v>0.37178487918939984</v>
      </c>
      <c r="Y214" s="74">
        <f t="shared" si="138"/>
        <v>0.37324464153732445</v>
      </c>
      <c r="Z214" s="74">
        <f t="shared" si="138"/>
        <v>0.3959429000751315</v>
      </c>
      <c r="AA214" s="74">
        <f t="shared" si="138"/>
        <v>0.41001451378809867</v>
      </c>
      <c r="AC214" s="74">
        <f>AA214</f>
        <v>0.41001451378809867</v>
      </c>
    </row>
    <row r="215" spans="2:29" x14ac:dyDescent="0.2">
      <c r="B215" s="231" t="s">
        <v>393</v>
      </c>
      <c r="M215" s="74">
        <f>M211/M210</f>
        <v>6.1728395061728392E-2</v>
      </c>
      <c r="N215" s="74">
        <f t="shared" ref="N215:Q215" si="139">N211/N210</f>
        <v>6.919275123558484E-2</v>
      </c>
      <c r="O215" s="74">
        <f t="shared" si="139"/>
        <v>7.4660633484162894E-2</v>
      </c>
      <c r="P215" s="74">
        <f t="shared" si="139"/>
        <v>8.1405312767780638E-2</v>
      </c>
      <c r="Q215" s="74">
        <f t="shared" si="139"/>
        <v>9.1660405709992482E-2</v>
      </c>
      <c r="T215" s="74">
        <f t="shared" ref="T215:AA215" si="140">T211/T210</f>
        <v>7.7220077220077218E-2</v>
      </c>
      <c r="U215" s="74">
        <f t="shared" si="140"/>
        <v>7.6038903625110524E-2</v>
      </c>
      <c r="V215" s="74">
        <f t="shared" si="140"/>
        <v>8.1405312767780638E-2</v>
      </c>
      <c r="W215" s="74">
        <f t="shared" si="140"/>
        <v>7.9109062980030717E-2</v>
      </c>
      <c r="X215" s="74">
        <f t="shared" si="140"/>
        <v>8.4957131722525336E-2</v>
      </c>
      <c r="Y215" s="74">
        <f t="shared" si="140"/>
        <v>8.4996304508499626E-2</v>
      </c>
      <c r="Z215" s="74">
        <f t="shared" si="140"/>
        <v>9.1660405709992482E-2</v>
      </c>
      <c r="AA215" s="74">
        <f t="shared" si="140"/>
        <v>9.071117561683599E-2</v>
      </c>
      <c r="AC215" s="74">
        <f>AA215</f>
        <v>9.071117561683599E-2</v>
      </c>
    </row>
    <row r="216" spans="2:29" x14ac:dyDescent="0.2">
      <c r="B216" s="231" t="s">
        <v>394</v>
      </c>
      <c r="M216" s="65">
        <f>M184/M212</f>
        <v>1.0131842105263158</v>
      </c>
      <c r="N216" s="65">
        <f t="shared" ref="N216:Q216" si="141">N184/N212</f>
        <v>0.79169911504424784</v>
      </c>
      <c r="O216" s="65">
        <f t="shared" si="141"/>
        <v>0.60951100244498779</v>
      </c>
      <c r="P216" s="65">
        <f t="shared" si="141"/>
        <v>0.51219216417910451</v>
      </c>
      <c r="Q216" s="65">
        <f t="shared" si="141"/>
        <v>0.65942928039702231</v>
      </c>
      <c r="T216" s="65">
        <f t="shared" ref="T216:AC216" si="142">T184/T212</f>
        <v>0.13868200836820083</v>
      </c>
      <c r="U216" s="65">
        <f t="shared" si="142"/>
        <v>0.13784688995215311</v>
      </c>
      <c r="V216" s="65">
        <f t="shared" si="142"/>
        <v>0.13332089552238807</v>
      </c>
      <c r="W216" s="65">
        <f t="shared" si="142"/>
        <v>0.14914095079232695</v>
      </c>
      <c r="X216" s="65">
        <f t="shared" si="142"/>
        <v>0.17549403747870529</v>
      </c>
      <c r="Y216" s="65">
        <f t="shared" si="142"/>
        <v>0.16978190630048465</v>
      </c>
      <c r="Z216" s="65">
        <f t="shared" si="142"/>
        <v>0.1672539288668321</v>
      </c>
      <c r="AA216" s="65">
        <f t="shared" si="142"/>
        <v>0.1645171588188348</v>
      </c>
      <c r="AC216" s="65">
        <f t="shared" si="142"/>
        <v>0.65807661612130885</v>
      </c>
    </row>
    <row r="217" spans="2:29" x14ac:dyDescent="0.2">
      <c r="B217" s="231" t="s">
        <v>395</v>
      </c>
      <c r="M217" s="74">
        <f>M186/M209</f>
        <v>0.72031250000000002</v>
      </c>
      <c r="N217" s="74">
        <f t="shared" ref="N217:Q217" si="143">N186/N209</f>
        <v>1.1373619631901841</v>
      </c>
      <c r="O217" s="74">
        <f t="shared" si="143"/>
        <v>1.2889591078066915</v>
      </c>
      <c r="P217" s="74">
        <f t="shared" si="143"/>
        <v>0.95439506172839506</v>
      </c>
      <c r="Q217" s="74">
        <f t="shared" si="143"/>
        <v>0.76810246679316885</v>
      </c>
      <c r="T217" s="74">
        <f t="shared" ref="T217:AC217" si="144">T186/T209</f>
        <v>0.29841642228739002</v>
      </c>
      <c r="U217" s="74">
        <f t="shared" si="144"/>
        <v>0.25298387096774194</v>
      </c>
      <c r="V217" s="74">
        <f t="shared" si="144"/>
        <v>0.2257283950617284</v>
      </c>
      <c r="W217" s="74">
        <f t="shared" si="144"/>
        <v>0.20261802575107296</v>
      </c>
      <c r="X217" s="74">
        <f t="shared" si="144"/>
        <v>0.21781970649895177</v>
      </c>
      <c r="Y217" s="74">
        <f t="shared" si="144"/>
        <v>0.21972277227722772</v>
      </c>
      <c r="Z217" s="74">
        <f t="shared" si="144"/>
        <v>0.18123339658444024</v>
      </c>
      <c r="AA217" s="74">
        <f t="shared" si="144"/>
        <v>0.14948672566371682</v>
      </c>
      <c r="AC217" s="74">
        <f t="shared" si="144"/>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4" t="s">
        <v>242</v>
      </c>
      <c r="C4" s="254"/>
      <c r="E4" s="254" t="s">
        <v>249</v>
      </c>
      <c r="F4" s="254"/>
      <c r="G4" s="254"/>
    </row>
    <row r="5" spans="2:7" x14ac:dyDescent="0.2">
      <c r="B5" s="20" t="s">
        <v>1</v>
      </c>
      <c r="C5" s="174">
        <f ca="1">Overview!C5</f>
        <v>119.94</v>
      </c>
      <c r="E5" s="12"/>
      <c r="F5" s="134" t="s">
        <v>250</v>
      </c>
      <c r="G5" s="134" t="s">
        <v>251</v>
      </c>
    </row>
    <row r="6" spans="2:7" x14ac:dyDescent="0.2">
      <c r="B6" s="20" t="s">
        <v>248</v>
      </c>
      <c r="C6" s="175">
        <f ca="1">Statement!AC149</f>
        <v>5851512.7800000003</v>
      </c>
      <c r="E6" s="20" t="s">
        <v>20</v>
      </c>
      <c r="F6" s="180">
        <f>IF(Statement!M5&lt;=0,"N/A",_xlfn.RRI(4,Statement!M5,Statement!Q5))</f>
        <v>0.42622018562456243</v>
      </c>
      <c r="G6" s="180" t="str">
        <f>IF(Statement!H5&lt;=0,"N/A",_xlfn.RRI(9,Statement!H5,Statement!Q5))</f>
        <v>N/A</v>
      </c>
    </row>
    <row r="7" spans="2:7" x14ac:dyDescent="0.2">
      <c r="B7" s="20" t="s">
        <v>192</v>
      </c>
      <c r="C7" s="175">
        <f ca="1">Statement!AC150</f>
        <v>4459691.78</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35.374302224209849</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5.3334528974817434</v>
      </c>
      <c r="E9" s="20" t="s">
        <v>253</v>
      </c>
      <c r="F9" s="180" t="str">
        <f>IF(Statement!M82&lt;=0,"N/A",_xlfn.RRI(4,Statement!M82,Statement!Q82))</f>
        <v>N/A</v>
      </c>
      <c r="G9" s="180" t="str">
        <f>IF(Statement!H82&lt;=0,"N/A",_xlfn.RRI(9,Statement!H82,Statement!Q82))</f>
        <v>N/A</v>
      </c>
    </row>
    <row r="10" spans="2:7" x14ac:dyDescent="0.2">
      <c r="B10" s="20" t="s">
        <v>247</v>
      </c>
      <c r="C10" s="176">
        <f ca="1">Statement!AC148</f>
        <v>4.0153103687119369</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4.0586449013617427</v>
      </c>
    </row>
    <row r="12" spans="2:7" x14ac:dyDescent="0.2">
      <c r="B12" s="20" t="s">
        <v>208</v>
      </c>
      <c r="C12" s="176">
        <f ca="1">Statement!AC152</f>
        <v>28.495886852009228</v>
      </c>
    </row>
    <row r="15" spans="2:7" x14ac:dyDescent="0.2">
      <c r="B15" s="254" t="s">
        <v>78</v>
      </c>
      <c r="C15" s="254"/>
      <c r="E15" s="254" t="s">
        <v>255</v>
      </c>
      <c r="F15" s="254"/>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4" t="s">
        <v>254</v>
      </c>
      <c r="C21" s="254"/>
      <c r="E21" s="254" t="s">
        <v>258</v>
      </c>
      <c r="F21" s="254"/>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4" t="s">
        <v>259</v>
      </c>
      <c r="C29" s="254"/>
      <c r="E29" s="254" t="s">
        <v>265</v>
      </c>
      <c r="F29" s="254"/>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4" t="s">
        <v>277</v>
      </c>
      <c r="C37" s="254"/>
      <c r="E37" s="254" t="s">
        <v>280</v>
      </c>
      <c r="F37" s="254"/>
    </row>
    <row r="38" spans="2:6" x14ac:dyDescent="0.2">
      <c r="B38" s="20" t="s">
        <v>275</v>
      </c>
      <c r="C38" s="177">
        <f ca="1">Statement!AC158</f>
        <v>2.8269108848049843E-2</v>
      </c>
      <c r="E38" s="20" t="s">
        <v>279</v>
      </c>
      <c r="F38" s="177">
        <f>Statement!AC164</f>
        <v>0</v>
      </c>
    </row>
    <row r="39" spans="2:6" x14ac:dyDescent="0.2">
      <c r="B39" s="54" t="s">
        <v>278</v>
      </c>
      <c r="C39" s="217">
        <f ca="1">Statement!AC157</f>
        <v>4.513909649189897E-2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4.1580700435554716E-3</v>
      </c>
    </row>
    <row r="42" spans="2:6" x14ac:dyDescent="0.2">
      <c r="B42" s="20" t="s">
        <v>303</v>
      </c>
      <c r="C42" s="177">
        <f ca="1">Statement!AC161</f>
        <v>4.1580700435554716E-3</v>
      </c>
    </row>
    <row r="45" spans="2:6" x14ac:dyDescent="0.2">
      <c r="B45" s="254" t="s">
        <v>288</v>
      </c>
      <c r="C45" s="254"/>
      <c r="E45" s="254" t="s">
        <v>294</v>
      </c>
      <c r="F45" s="254"/>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0.23785661115825163</v>
      </c>
    </row>
    <row r="51" spans="2:6" x14ac:dyDescent="0.2">
      <c r="B51" s="254" t="s">
        <v>291</v>
      </c>
      <c r="C51" s="254"/>
      <c r="E51" s="254" t="s">
        <v>312</v>
      </c>
      <c r="F51" s="254"/>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119.94</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5851512.7800000003</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4459691.78</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35.374302224209849</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5.3334528974817434</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4.0153103687119369</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4.0586449013617427</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28.495886852009228</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2.8269108848049843E-2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4.513909649189897E-2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4.1580700435554716E-3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4.1580700435554716E-3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0.23785661115825163</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322</v>
      </c>
      <c r="D3" s="258"/>
      <c r="F3" s="259" t="s">
        <v>323</v>
      </c>
      <c r="G3" s="258"/>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55">
        <f>Statement!AA89</f>
        <v>3.2166947127281985E-2</v>
      </c>
      <c r="D7" s="256"/>
      <c r="F7" s="255">
        <f>IF(F6=0,
IF(G6=0,0,IF(G6&gt;0,1,-1)),
(G6-F6)/ABS(F6)
)</f>
        <v>0.26533415964948015</v>
      </c>
      <c r="G7" s="256"/>
    </row>
    <row r="8" spans="2:7" x14ac:dyDescent="0.2">
      <c r="B8" s="209" t="s">
        <v>21</v>
      </c>
      <c r="C8" s="202">
        <f>Statement!Z6</f>
        <v>76999</v>
      </c>
      <c r="D8" s="200">
        <f>Statement!AA6</f>
        <v>78871</v>
      </c>
      <c r="F8" s="202">
        <f>Statement!W6</f>
        <v>66647</v>
      </c>
      <c r="G8" s="200">
        <f>Statement!AA6</f>
        <v>78871</v>
      </c>
    </row>
    <row r="9" spans="2:7" x14ac:dyDescent="0.2">
      <c r="B9" s="208" t="s">
        <v>324</v>
      </c>
      <c r="C9" s="255">
        <f>Statement!AA90</f>
        <v>2.4312004052000676E-2</v>
      </c>
      <c r="D9" s="256"/>
      <c r="F9" s="255">
        <f>IF(F8=0,
IF(G8=0,0,IF(G8&gt;0,1,-1)),
(G8-F8)/ABS(F8)
)</f>
        <v>0.18341410716161269</v>
      </c>
      <c r="G9" s="256"/>
    </row>
    <row r="10" spans="2:7" x14ac:dyDescent="0.2">
      <c r="B10" s="209" t="s">
        <v>22</v>
      </c>
      <c r="C10" s="202">
        <f>Statement!Z7</f>
        <v>205869</v>
      </c>
      <c r="D10" s="200">
        <f>Statement!AA7</f>
        <v>213096</v>
      </c>
      <c r="F10" s="202">
        <f>Statement!W7</f>
        <v>164096</v>
      </c>
      <c r="G10" s="200">
        <f>Statement!AA7</f>
        <v>213096</v>
      </c>
    </row>
    <row r="11" spans="2:7" x14ac:dyDescent="0.2">
      <c r="B11" s="208" t="s">
        <v>324</v>
      </c>
      <c r="C11" s="255">
        <f>Statement!AA91</f>
        <v>3.5104848228727975E-2</v>
      </c>
      <c r="D11" s="256"/>
      <c r="F11" s="255">
        <f>IF(F10=0,
IF(G10=0,0,IF(G10&gt;0,1,-1)),
(G10-F10)/ABS(F10)
)</f>
        <v>0.29860569422776911</v>
      </c>
      <c r="G11" s="256"/>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55">
        <f>Statement!AA95</f>
        <v>3.7890588923436871E-2</v>
      </c>
      <c r="D13" s="256"/>
      <c r="F13" s="255">
        <f>IF(F12=0,
IF(G12=0,0,IF(G12&gt;0,1,-1)),
(G12-F12)/ABS(F12)
)</f>
        <v>0.19976228096397206</v>
      </c>
      <c r="G13" s="256"/>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55">
        <f>Statement!AA96</f>
        <v>2.4692778570442307E-2</v>
      </c>
      <c r="D15" s="256"/>
      <c r="F15" s="255">
        <f>IF(F14=0,
IF(G14=0,0,IF(G14&gt;0,1,-1)),
(G14-F14)/ABS(F14)
)</f>
        <v>0.88721708909044672</v>
      </c>
      <c r="G15" s="256"/>
    </row>
    <row r="16" spans="2:7" x14ac:dyDescent="0.2">
      <c r="B16" s="209" t="s">
        <v>32</v>
      </c>
      <c r="C16" s="202">
        <f>Statement!Z18</f>
        <v>41954</v>
      </c>
      <c r="D16" s="200">
        <f>Statement!AA18</f>
        <v>43460</v>
      </c>
      <c r="F16" s="202">
        <f>Statement!W18</f>
        <v>35135</v>
      </c>
      <c r="G16" s="200">
        <f>Statement!AA18</f>
        <v>43460</v>
      </c>
    </row>
    <row r="17" spans="2:7" x14ac:dyDescent="0.2">
      <c r="B17" s="208" t="s">
        <v>324</v>
      </c>
      <c r="C17" s="255">
        <f>Statement!AA98</f>
        <v>3.5896458025456456E-2</v>
      </c>
      <c r="D17" s="256"/>
      <c r="F17" s="255">
        <f>IF(F16=0,
IF(G16=0,0,IF(G16&gt;0,1,-1)),
(G16-F16)/ABS(F16)
)</f>
        <v>0.23694321901238083</v>
      </c>
      <c r="G17" s="256"/>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55">
        <f>IF(C18=0,
IF(D18=0,0,IF(D18&gt;0,1,-1)),
(D18-C18)/ABS(C18)
)</f>
        <v>1.3895378744883068E-2</v>
      </c>
      <c r="D19" s="256"/>
      <c r="F19" s="255">
        <f>IF(F18=0,
IF(G18=0,0,IF(G18&gt;0,1,-1)),
(G18-F18)/ABS(F18)
)</f>
        <v>1.0103717755737469E-2</v>
      </c>
      <c r="G19" s="256"/>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55">
        <f>IF(C20=0,
IF(D20=0,0,IF(D20&gt;0,1,-1)),
(D20-C20)/ABS(C20)
)</f>
        <v>2.4953901558794477E-2</v>
      </c>
      <c r="D21" s="256"/>
      <c r="F21" s="255">
        <f>IF(F20=0,
IF(G20=0,0,IF(G20&gt;0,1,-1)),
(G20-F20)/ABS(F20)
)</f>
        <v>0.23611111111111119</v>
      </c>
      <c r="G21" s="256"/>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55">
        <f>IF(C24=0,
IF(D24=0,0,IF(D24&gt;0,1,-1)),
(D24-C24)/ABS(C24)
)</f>
        <v>3.5586042940987099E-2</v>
      </c>
      <c r="D25" s="256"/>
      <c r="F25" s="255">
        <f>IF(F24=0,
IF(G24=0,0,IF(G24&gt;0,1,-1)),
(G24-F24)/ABS(F24)
)</f>
        <v>0.3137438673836439</v>
      </c>
      <c r="G25" s="256"/>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55">
        <f>IF(C26=0,
IF(D26=0,0,IF(D26&gt;0,1,-1)),
(D26-C26)/ABS(C26)
)</f>
        <v>1.9435240591464318E-2</v>
      </c>
      <c r="D27" s="256"/>
      <c r="F27" s="255">
        <f>IF(F26=0,
IF(G26=0,0,IF(G26&gt;0,1,-1)),
(G26-F26)/ABS(F26)
)</f>
        <v>0.15277933117100995</v>
      </c>
      <c r="G27" s="256"/>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55">
        <f>IF(C28=0,
IF(D28=0,0,IF(D28&gt;0,1,-1)),
(D28-C28)/ABS(C28)
)</f>
        <v>0.10055431294369348</v>
      </c>
      <c r="D29" s="256"/>
      <c r="F29" s="255">
        <f>IF(F28=0,
IF(G28=0,0,IF(G28&gt;0,1,-1)),
(G28-F28)/ABS(F28)
)</f>
        <v>-5.581511763724345E-2</v>
      </c>
      <c r="G29" s="256"/>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55">
        <f>IF(C30=0,
IF(D30=0,0,IF(D30&gt;0,1,-1)),
(D30-C30)/ABS(C30)
)</f>
        <v>-0.11569469165532405</v>
      </c>
      <c r="D31" s="256"/>
      <c r="F31" s="255">
        <f>IF(F30=0,
IF(G30=0,0,IF(G30&gt;0,1,-1)),
(G30-F30)/ABS(F30)
)</f>
        <v>-0.10548612582080068</v>
      </c>
      <c r="G31" s="256"/>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55">
        <f>IF(C32=0,
IF(D32=0,0,IF(D32&gt;0,1,-1)),
(D32-C32)/ABS(C32)
)</f>
        <v>0.29411764705882354</v>
      </c>
      <c r="D33" s="256"/>
      <c r="F33" s="255">
        <f>IF(F32=0,
IF(G32=0,0,IF(G32&gt;0,1,-1)),
(G32-F32)/ABS(F32)
)</f>
        <v>0.52914798206278024</v>
      </c>
      <c r="G33" s="256"/>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55">
        <f>IF(C36=0,
IF(D36=0,0,IF(D36&gt;0,1,-1)),
(D36-C36)/ABS(C36)
)</f>
        <v>7.2106261859582549E-2</v>
      </c>
      <c r="D37" s="256"/>
      <c r="F37" s="255">
        <f>IF(F36=0,
IF(G36=0,0,IF(G36&gt;0,1,-1)),
(G36-F36)/ABS(F36)
)</f>
        <v>0.21244635193133046</v>
      </c>
      <c r="G37" s="256"/>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55">
        <f>IF(C38=0,
IF(D38=0,0,IF(D38&gt;0,1,-1)),
(D38-C38)/ABS(C38)
)</f>
        <v>3.5311795642374154E-2</v>
      </c>
      <c r="D39" s="256"/>
      <c r="F39" s="255">
        <f>IF(F38=0,
IF(G38=0,0,IF(G38&gt;0,1,-1)),
(G38-F38)/ABS(F38)
)</f>
        <v>5.8371735791090631E-2</v>
      </c>
      <c r="G39" s="256"/>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55">
        <f>IF(C40=0,
IF(D40=0,0,IF(D40&gt;0,1,-1)),
(D40-C40)/ABS(C40)
)</f>
        <v>2.4590163934426229E-2</v>
      </c>
      <c r="D41" s="256"/>
      <c r="F41" s="255">
        <f>IF(F40=0,
IF(G40=0,0,IF(G40&gt;0,1,-1)),
(G40-F40)/ABS(F40)
)</f>
        <v>0.21359223300970873</v>
      </c>
      <c r="G41" s="256"/>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55">
        <f>IF(C42=0,
IF(D42=0,0,IF(D42&gt;0,1,-1)),
(D42-C42)/ABS(C42)
)</f>
        <v>3.6393713813068655E-2</v>
      </c>
      <c r="D43" s="256"/>
      <c r="F43" s="255">
        <f>IF(F42=0,
IF(G42=0,0,IF(G42&gt;0,1,-1)),
(G42-F42)/ABS(F42)
)</f>
        <v>4.5037531276063386E-2</v>
      </c>
      <c r="G43" s="256"/>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55">
        <f>IF(C44=0,
IF(D44=0,0,IF(D44&gt;0,1,-1)),
(D44-C44)/ABS(C44)
)</f>
        <v>1.0731977910403413E-2</v>
      </c>
      <c r="D45" s="256"/>
      <c r="F45" s="255">
        <f>IF(F44=0,
IF(G44=0,0,IF(G44&gt;0,1,-1)),
(G44-F44)/ABS(F44)
)</f>
        <v>8.2524946724122472E-2</v>
      </c>
      <c r="G45" s="256"/>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55">
        <f>IF(C46=0,
IF(D46=0,0,IF(D46&gt;0,1,-1)),
(D46-C46)/ABS(C46)
)</f>
        <v>3.5539502565387668E-2</v>
      </c>
      <c r="D47" s="256"/>
      <c r="F47" s="255">
        <f>IF(F46=0,
IF(G46=0,0,IF(G46&gt;0,1,-1)),
(G46-F46)/ABS(F46)
)</f>
        <v>0.14557703208606101</v>
      </c>
      <c r="G47" s="256"/>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55">
        <f>IF(C48=0,
IF(D48=0,0,IF(D48&gt;0,1,-1)),
(D48-C48)/ABS(C48)
)</f>
        <v>-1.0355944704846643E-2</v>
      </c>
      <c r="D49" s="256"/>
      <c r="F49" s="255">
        <f>IF(F48=0,
IF(G48=0,0,IF(G48&gt;0,1,-1)),
(G48-F48)/ABS(F48)
)</f>
        <v>0.14665971507883949</v>
      </c>
      <c r="G49" s="256"/>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55">
        <f>IF(C50=0,
IF(D50=0,0,IF(D50&gt;0,1,-1)),
(D50-C50)/ABS(C50)
)</f>
        <v>-1.63629641858896E-2</v>
      </c>
      <c r="D51" s="256"/>
      <c r="F51" s="255">
        <f>IF(F50=0,
IF(G50=0,0,IF(G50&gt;0,1,-1)),
(G50-F50)/ABS(F50)
)</f>
        <v>0.10309849806387941</v>
      </c>
      <c r="G51" s="256"/>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55">
        <f>IF(C52=0,
IF(D52=0,0,IF(D52&gt;0,1,-1)),
(D52-C52)/ABS(C52)
)</f>
        <v>-0.17517009292452351</v>
      </c>
      <c r="D53" s="256"/>
      <c r="F53" s="255">
        <f>IF(F52=0,
IF(G52=0,0,IF(G52&gt;0,1,-1)),
(G52-F52)/ABS(F52)
)</f>
        <v>-0.26222395510175772</v>
      </c>
      <c r="G53" s="256"/>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4" t="s">
        <v>113</v>
      </c>
      <c r="D2" s="254"/>
      <c r="E2" s="254"/>
      <c r="F2" s="254"/>
      <c r="G2" s="260"/>
      <c r="H2" s="261" t="s">
        <v>114</v>
      </c>
      <c r="I2" s="254"/>
      <c r="J2" s="254"/>
      <c r="K2" s="254"/>
      <c r="L2" s="254"/>
      <c r="O2" s="5"/>
      <c r="S2" s="254" t="s">
        <v>113</v>
      </c>
      <c r="T2" s="254"/>
      <c r="U2" s="254"/>
      <c r="V2" s="254"/>
      <c r="W2" s="254"/>
      <c r="X2" s="254"/>
      <c r="Y2" s="254"/>
      <c r="Z2" s="254"/>
      <c r="AA2" s="254" t="s">
        <v>114</v>
      </c>
      <c r="AB2" s="254"/>
      <c r="AC2" s="254"/>
      <c r="AE2" s="86" t="s">
        <v>85</v>
      </c>
    </row>
    <row r="3" spans="1:31" ht="10" customHeight="1" x14ac:dyDescent="0.2">
      <c r="O3" s="5"/>
    </row>
    <row r="4" spans="1:31" ht="16" customHeight="1" x14ac:dyDescent="0.2">
      <c r="A4" s="87"/>
      <c r="B4" s="60"/>
      <c r="C4" s="262" t="s">
        <v>116</v>
      </c>
      <c r="D4" s="262"/>
      <c r="E4" s="262"/>
      <c r="F4" s="262"/>
      <c r="G4" s="262"/>
      <c r="H4" s="262"/>
      <c r="I4" s="262"/>
      <c r="J4" s="262"/>
      <c r="K4" s="262"/>
      <c r="L4" s="262"/>
      <c r="O4" s="5"/>
      <c r="S4" s="263" t="s">
        <v>116</v>
      </c>
      <c r="T4" s="264"/>
      <c r="U4" s="264"/>
      <c r="V4" s="264"/>
      <c r="W4" s="264"/>
      <c r="X4" s="264"/>
      <c r="Y4" s="264"/>
      <c r="Z4" s="264"/>
      <c r="AA4" s="264"/>
      <c r="AB4" s="264"/>
      <c r="AC4" s="264"/>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2" t="s">
        <v>122</v>
      </c>
      <c r="D13" s="262"/>
      <c r="E13" s="262"/>
      <c r="F13" s="262"/>
      <c r="G13" s="262"/>
      <c r="H13" s="262"/>
      <c r="I13" s="262"/>
      <c r="J13" s="262"/>
      <c r="K13" s="262"/>
      <c r="L13" s="262"/>
      <c r="O13" s="5"/>
      <c r="Q13" s="92"/>
      <c r="S13" s="263" t="s">
        <v>122</v>
      </c>
      <c r="T13" s="264"/>
      <c r="U13" s="264"/>
      <c r="V13" s="264"/>
      <c r="W13" s="264"/>
      <c r="X13" s="264"/>
      <c r="Y13" s="264"/>
      <c r="Z13" s="264"/>
      <c r="AA13" s="264"/>
      <c r="AB13" s="264"/>
      <c r="AC13" s="264"/>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2" t="s">
        <v>124</v>
      </c>
      <c r="D23" s="262"/>
      <c r="E23" s="262"/>
      <c r="F23" s="262"/>
      <c r="G23" s="262"/>
      <c r="H23" s="262"/>
      <c r="I23" s="262"/>
      <c r="J23" s="262"/>
      <c r="K23" s="262"/>
      <c r="L23" s="262"/>
      <c r="O23" s="5"/>
      <c r="Q23" s="92"/>
      <c r="S23" s="263" t="s">
        <v>124</v>
      </c>
      <c r="T23" s="264"/>
      <c r="U23" s="264"/>
      <c r="V23" s="264"/>
      <c r="W23" s="264"/>
      <c r="X23" s="264"/>
      <c r="Y23" s="264"/>
      <c r="Z23" s="264"/>
      <c r="AA23" s="264"/>
      <c r="AB23" s="264"/>
      <c r="AC23" s="264"/>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2" t="s">
        <v>126</v>
      </c>
      <c r="D40" s="262"/>
      <c r="E40" s="262"/>
      <c r="F40" s="262"/>
      <c r="G40" s="262"/>
      <c r="H40" s="262"/>
      <c r="I40" s="262"/>
      <c r="J40" s="262"/>
      <c r="K40" s="262"/>
      <c r="L40" s="262"/>
      <c r="O40" s="5"/>
      <c r="S40" s="263" t="s">
        <v>126</v>
      </c>
      <c r="T40" s="264"/>
      <c r="U40" s="264"/>
      <c r="V40" s="264"/>
      <c r="W40" s="264"/>
      <c r="X40" s="264"/>
      <c r="Y40" s="264"/>
      <c r="Z40" s="264"/>
      <c r="AA40" s="264"/>
      <c r="AB40" s="264"/>
      <c r="AC40" s="264"/>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4" t="s">
        <v>113</v>
      </c>
      <c r="D2" s="254"/>
      <c r="E2" s="254"/>
      <c r="F2" s="254"/>
      <c r="G2" s="260"/>
      <c r="H2" s="261" t="s">
        <v>114</v>
      </c>
      <c r="I2" s="254"/>
      <c r="J2" s="254"/>
      <c r="K2" s="254"/>
      <c r="L2" s="254"/>
      <c r="P2" s="254" t="s">
        <v>113</v>
      </c>
      <c r="Q2" s="254"/>
      <c r="R2" s="254"/>
      <c r="S2" s="254"/>
      <c r="T2" s="254"/>
      <c r="U2" s="254"/>
      <c r="V2" s="254"/>
      <c r="W2" s="254"/>
      <c r="X2" s="254" t="s">
        <v>114</v>
      </c>
      <c r="Y2" s="254"/>
      <c r="Z2" s="254"/>
      <c r="AB2" s="86" t="s">
        <v>115</v>
      </c>
    </row>
    <row r="3" spans="1:28" ht="10" customHeight="1" x14ac:dyDescent="0.2"/>
    <row r="4" spans="1:28" ht="16" customHeight="1" x14ac:dyDescent="0.2">
      <c r="A4" s="87"/>
      <c r="B4" s="60"/>
      <c r="C4" s="262" t="s">
        <v>116</v>
      </c>
      <c r="D4" s="262"/>
      <c r="E4" s="262"/>
      <c r="F4" s="262"/>
      <c r="G4" s="262"/>
      <c r="H4" s="262"/>
      <c r="I4" s="262"/>
      <c r="J4" s="262"/>
      <c r="K4" s="262"/>
      <c r="L4" s="262"/>
      <c r="P4" s="264" t="s">
        <v>116</v>
      </c>
      <c r="Q4" s="264"/>
      <c r="R4" s="264"/>
      <c r="S4" s="264"/>
      <c r="T4" s="264"/>
      <c r="U4" s="264"/>
      <c r="V4" s="264"/>
      <c r="W4" s="264"/>
      <c r="X4" s="264"/>
      <c r="Y4" s="264"/>
      <c r="Z4" s="264"/>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2" t="s">
        <v>129</v>
      </c>
      <c r="D9" s="262"/>
      <c r="E9" s="262"/>
      <c r="F9" s="262"/>
      <c r="G9" s="262"/>
      <c r="H9" s="262"/>
      <c r="I9" s="262"/>
      <c r="J9" s="262"/>
      <c r="K9" s="262"/>
      <c r="L9" s="262"/>
      <c r="N9" s="92"/>
      <c r="P9" s="264" t="s">
        <v>130</v>
      </c>
      <c r="Q9" s="264"/>
      <c r="R9" s="264"/>
      <c r="S9" s="264"/>
      <c r="T9" s="264"/>
      <c r="U9" s="264"/>
      <c r="V9" s="264"/>
      <c r="W9" s="264"/>
      <c r="X9" s="264"/>
      <c r="Y9" s="264"/>
      <c r="Z9" s="264"/>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2" t="s">
        <v>132</v>
      </c>
      <c r="D18" s="262"/>
      <c r="E18" s="262"/>
      <c r="F18" s="262"/>
      <c r="G18" s="262"/>
      <c r="H18" s="262"/>
      <c r="I18" s="262"/>
      <c r="J18" s="262"/>
      <c r="K18" s="262"/>
      <c r="L18" s="262"/>
      <c r="P18" s="264" t="s">
        <v>132</v>
      </c>
      <c r="Q18" s="264"/>
      <c r="R18" s="264"/>
      <c r="S18" s="264"/>
      <c r="T18" s="264"/>
      <c r="U18" s="264"/>
      <c r="V18" s="264"/>
      <c r="W18" s="264"/>
      <c r="X18" s="264"/>
      <c r="Y18" s="264"/>
      <c r="Z18" s="264"/>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2" zoomScale="189" zoomScaleNormal="100" workbookViewId="0">
      <selection activeCell="I46" sqref="I46"/>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116</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2" t="s">
        <v>136</v>
      </c>
      <c r="D11" s="262"/>
      <c r="E11" s="262"/>
      <c r="F11" s="262"/>
      <c r="G11" s="262"/>
      <c r="H11" s="262"/>
      <c r="I11" s="262"/>
      <c r="J11" s="262"/>
      <c r="K11" s="262"/>
      <c r="L11" s="262"/>
      <c r="N11" s="92"/>
      <c r="P11" s="265"/>
      <c r="Q11" s="265"/>
      <c r="R11" s="265"/>
      <c r="S11" s="265"/>
      <c r="T11" s="265"/>
      <c r="U11" s="265"/>
      <c r="V11" s="265"/>
      <c r="W11" s="265"/>
      <c r="X11" s="265"/>
      <c r="Y11" s="265"/>
      <c r="Z11" s="265"/>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2" t="s">
        <v>141</v>
      </c>
      <c r="D18" s="262"/>
      <c r="E18" s="262"/>
      <c r="F18" s="262"/>
      <c r="G18" s="262"/>
      <c r="H18" s="262"/>
      <c r="I18" s="262"/>
      <c r="J18" s="262"/>
      <c r="K18" s="262"/>
      <c r="L18" s="262"/>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65"/>
      <c r="C25" s="265"/>
    </row>
    <row r="26" spans="2:12" x14ac:dyDescent="0.2">
      <c r="B26" s="111"/>
      <c r="C26" s="262" t="s">
        <v>147</v>
      </c>
      <c r="D26" s="262"/>
      <c r="E26" s="262"/>
      <c r="F26" s="262"/>
      <c r="G26" s="262"/>
      <c r="H26" s="262"/>
      <c r="I26" s="262"/>
      <c r="J26" s="262"/>
      <c r="K26" s="262"/>
      <c r="L26" s="262"/>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2" t="s">
        <v>151</v>
      </c>
      <c r="D33" s="262"/>
      <c r="E33" s="262"/>
      <c r="F33" s="262"/>
      <c r="G33" s="262"/>
      <c r="H33" s="262"/>
      <c r="I33" s="262"/>
      <c r="J33" s="262"/>
      <c r="K33" s="262"/>
      <c r="L33" s="262"/>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2" t="s">
        <v>154</v>
      </c>
      <c r="D40" s="262"/>
      <c r="E40" s="262"/>
      <c r="F40" s="262"/>
      <c r="G40" s="262"/>
      <c r="H40" s="262"/>
      <c r="I40" s="262"/>
      <c r="J40" s="262"/>
      <c r="K40" s="262"/>
      <c r="L40" s="262"/>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0.7601784718349136</v>
      </c>
      <c r="D44" s="125">
        <f t="shared" ref="D44:L44" si="13">D42/D45</f>
        <v>0.87558432218626392</v>
      </c>
      <c r="E44" s="125">
        <f t="shared" si="13"/>
        <v>2.2234409276089</v>
      </c>
      <c r="F44" s="125">
        <f t="shared" si="13"/>
        <v>0.89584021129085512</v>
      </c>
      <c r="G44" s="126">
        <f t="shared" si="13"/>
        <v>0.79525862068965514</v>
      </c>
      <c r="H44" s="125">
        <f t="shared" si="13"/>
        <v>0.90909090909090917</v>
      </c>
      <c r="I44" s="125">
        <f t="shared" si="13"/>
        <v>0.90909090909090917</v>
      </c>
      <c r="J44" s="125">
        <f t="shared" si="13"/>
        <v>0.90909090909090917</v>
      </c>
      <c r="K44" s="125">
        <f t="shared" si="13"/>
        <v>0.90909090909090928</v>
      </c>
      <c r="L44" s="125">
        <f t="shared" si="13"/>
        <v>0.90909090909090917</v>
      </c>
    </row>
    <row r="45" spans="2:12" x14ac:dyDescent="0.2">
      <c r="B45" s="1" t="s">
        <v>61</v>
      </c>
      <c r="C45" s="116">
        <f>-Statement!M60</f>
        <v>3586</v>
      </c>
      <c r="D45" s="116">
        <f>-Statement!N60</f>
        <v>5562</v>
      </c>
      <c r="E45" s="116">
        <f>-Statement!O60</f>
        <v>3191</v>
      </c>
      <c r="F45" s="116">
        <f>-Statement!P60</f>
        <v>12116</v>
      </c>
      <c r="G45" s="117">
        <f>-Statement!Q60</f>
        <v>18096</v>
      </c>
      <c r="H45" s="25">
        <f>H7*H46</f>
        <v>13104.854685999997</v>
      </c>
      <c r="I45" s="25">
        <f>I7*I46</f>
        <v>14962.206918497517</v>
      </c>
      <c r="J45" s="25">
        <f>J7*J46</f>
        <v>18845.960824580088</v>
      </c>
      <c r="K45" s="25">
        <f>K7*K46</f>
        <v>25406.518401736928</v>
      </c>
      <c r="L45" s="25">
        <f>L7*L46</f>
        <v>34190.20539757669</v>
      </c>
    </row>
    <row r="46" spans="2:12" x14ac:dyDescent="0.2">
      <c r="B46" s="124" t="s">
        <v>155</v>
      </c>
      <c r="C46" s="125">
        <f>C45/C7</f>
        <v>1.4299842087633389E-2</v>
      </c>
      <c r="D46" s="125">
        <f>D45/D7</f>
        <v>1.505297771282426E-2</v>
      </c>
      <c r="E46" s="125">
        <f>E45/E7</f>
        <v>6.0081828777143673E-3</v>
      </c>
      <c r="F46" s="125">
        <f>F45/F7</f>
        <v>1.6197341261777697E-2</v>
      </c>
      <c r="G46" s="126">
        <f>G45/G7</f>
        <v>1.7440431615986678E-2</v>
      </c>
      <c r="H46" s="98">
        <v>1.0999999999999999E-2</v>
      </c>
      <c r="I46" s="98">
        <v>1.0999999999999999E-2</v>
      </c>
      <c r="J46" s="98">
        <v>1.0999999999999999E-2</v>
      </c>
      <c r="K46" s="98">
        <v>1.0999999999999999E-2</v>
      </c>
      <c r="L46" s="98">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4" t="s">
        <v>113</v>
      </c>
      <c r="D2" s="254"/>
      <c r="E2" s="254"/>
      <c r="F2" s="254"/>
      <c r="G2" s="260"/>
      <c r="H2" s="261" t="s">
        <v>114</v>
      </c>
      <c r="I2" s="254"/>
      <c r="J2" s="254"/>
      <c r="K2" s="254"/>
      <c r="L2" s="254"/>
      <c r="S2" s="265"/>
      <c r="T2" s="265"/>
      <c r="U2" s="265"/>
      <c r="V2" s="265"/>
      <c r="W2" s="265"/>
      <c r="X2" s="265"/>
      <c r="Y2" s="265"/>
      <c r="Z2" s="265"/>
      <c r="AA2" s="265"/>
      <c r="AB2" s="265"/>
      <c r="AC2" s="265"/>
      <c r="AE2" s="111"/>
    </row>
    <row r="3" spans="1:31" ht="10" customHeight="1" x14ac:dyDescent="0.2"/>
    <row r="4" spans="1:31" ht="16" customHeight="1" x14ac:dyDescent="0.2">
      <c r="A4" s="87"/>
      <c r="B4" s="60"/>
      <c r="C4" s="262" t="s">
        <v>19</v>
      </c>
      <c r="D4" s="262"/>
      <c r="E4" s="262"/>
      <c r="F4" s="262"/>
      <c r="G4" s="262"/>
      <c r="H4" s="262"/>
      <c r="I4" s="262"/>
      <c r="J4" s="262"/>
      <c r="K4" s="262"/>
      <c r="L4" s="262"/>
      <c r="S4" s="265"/>
      <c r="T4" s="265"/>
      <c r="U4" s="265"/>
      <c r="V4" s="265"/>
      <c r="W4" s="265"/>
      <c r="X4" s="265"/>
      <c r="Y4" s="265"/>
      <c r="Z4" s="265"/>
      <c r="AA4" s="265"/>
      <c r="AB4" s="265"/>
      <c r="AC4" s="265"/>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2" t="s">
        <v>162</v>
      </c>
      <c r="D13" s="262"/>
      <c r="E13" s="262"/>
      <c r="F13" s="262"/>
      <c r="G13" s="262"/>
      <c r="H13" s="262"/>
      <c r="I13" s="262"/>
      <c r="J13" s="262"/>
      <c r="K13" s="262"/>
      <c r="L13" s="26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2" t="s">
        <v>163</v>
      </c>
      <c r="D18" s="262"/>
      <c r="E18" s="262"/>
      <c r="F18" s="262"/>
      <c r="G18" s="262"/>
      <c r="H18" s="262"/>
      <c r="I18" s="262"/>
      <c r="J18" s="262"/>
      <c r="K18" s="262"/>
      <c r="L18" s="262"/>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3586</v>
      </c>
      <c r="D21" s="89">
        <f>'WC &amp; Investments'!D45</f>
        <v>5562</v>
      </c>
      <c r="E21" s="89">
        <f>'WC &amp; Investments'!E45</f>
        <v>3191</v>
      </c>
      <c r="F21" s="89">
        <f>'WC &amp; Investments'!F45</f>
        <v>12116</v>
      </c>
      <c r="G21" s="90">
        <f>'WC &amp; Investments'!G45</f>
        <v>18096</v>
      </c>
      <c r="H21" s="89">
        <f>'WC &amp; Investments'!H45</f>
        <v>13104.854685999997</v>
      </c>
      <c r="I21" s="89">
        <f>'WC &amp; Investments'!I45</f>
        <v>14962.206918497517</v>
      </c>
      <c r="J21" s="89">
        <f>'WC &amp; Investments'!J45</f>
        <v>18845.960824580088</v>
      </c>
      <c r="K21" s="89">
        <f>'WC &amp; Investments'!K45</f>
        <v>25406.518401736928</v>
      </c>
      <c r="L21" s="89">
        <f>'WC &amp; Investments'!L45</f>
        <v>34190.20539757669</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2" t="s">
        <v>271</v>
      </c>
      <c r="D25" s="262"/>
      <c r="E25" s="262"/>
      <c r="F25" s="262"/>
      <c r="G25" s="262"/>
      <c r="H25" s="262"/>
      <c r="I25" s="262"/>
      <c r="J25" s="262"/>
      <c r="K25" s="262"/>
      <c r="L25" s="262"/>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-35092</v>
      </c>
      <c r="D28" s="95">
        <f t="shared" ref="D28:L28" si="7">D27+D20-D21+D22</f>
        <v>-32389.924312708914</v>
      </c>
      <c r="E28" s="95">
        <f t="shared" si="7"/>
        <v>24267.594138493558</v>
      </c>
      <c r="F28" s="95">
        <f t="shared" si="7"/>
        <v>145655.79989443434</v>
      </c>
      <c r="G28" s="129">
        <f t="shared" si="7"/>
        <v>199444.84052409406</v>
      </c>
      <c r="H28" s="95">
        <f t="shared" si="7"/>
        <v>156382.6515144548</v>
      </c>
      <c r="I28" s="95">
        <f t="shared" si="7"/>
        <v>249703.93323373288</v>
      </c>
      <c r="J28" s="95">
        <f t="shared" si="7"/>
        <v>308021.4865091613</v>
      </c>
      <c r="K28" s="95">
        <f t="shared" si="7"/>
        <v>382367.71409827215</v>
      </c>
      <c r="L28" s="95">
        <f t="shared" si="7"/>
        <v>570328.96383558039</v>
      </c>
    </row>
    <row r="31" spans="2:14" x14ac:dyDescent="0.2">
      <c r="C31" s="262" t="s">
        <v>78</v>
      </c>
      <c r="D31" s="262"/>
      <c r="E31" s="262"/>
      <c r="F31" s="262"/>
      <c r="G31" s="262"/>
      <c r="H31" s="262"/>
      <c r="I31" s="262"/>
      <c r="J31" s="262"/>
      <c r="K31" s="262"/>
      <c r="L31" s="262"/>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4" t="s">
        <v>170</v>
      </c>
      <c r="C4" s="254"/>
    </row>
    <row r="5" spans="1:3" ht="17" customHeight="1" x14ac:dyDescent="0.2">
      <c r="B5" s="1" t="s">
        <v>171</v>
      </c>
      <c r="C5" s="138">
        <f>Statement!AC78</f>
        <v>48787</v>
      </c>
    </row>
    <row r="6" spans="1:3" ht="17" customHeight="1" x14ac:dyDescent="0.2">
      <c r="B6" s="1" t="s">
        <v>1</v>
      </c>
      <c r="C6" s="135">
        <f ca="1">Overview!C5</f>
        <v>119.94</v>
      </c>
    </row>
    <row r="7" spans="1:3" ht="17" customHeight="1" x14ac:dyDescent="0.2">
      <c r="B7" s="1" t="s">
        <v>172</v>
      </c>
      <c r="C7" s="136">
        <f ca="1">C5*C6</f>
        <v>5851512.7800000003</v>
      </c>
    </row>
    <row r="8" spans="1:3" ht="17" customHeight="1" x14ac:dyDescent="0.2">
      <c r="B8" s="1" t="s">
        <v>173</v>
      </c>
      <c r="C8" s="114">
        <f>Statement!AC108</f>
        <v>0</v>
      </c>
    </row>
    <row r="9" spans="1:3" ht="17" customHeight="1" x14ac:dyDescent="0.2">
      <c r="B9" s="1" t="s">
        <v>174</v>
      </c>
      <c r="C9" s="137">
        <f ca="1">Overview!F27</f>
        <v>4.4020000000000004E-2</v>
      </c>
    </row>
    <row r="10" spans="1:3" ht="17" customHeight="1" x14ac:dyDescent="0.2">
      <c r="B10" s="1" t="s">
        <v>9</v>
      </c>
      <c r="C10" s="135">
        <f ca="1">Overview!C13</f>
        <v>0.82050000000000001</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4" t="s">
        <v>177</v>
      </c>
      <c r="C15" s="254"/>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8.0942500000000001E-2</v>
      </c>
    </row>
    <row r="20" spans="2:3" ht="17" customHeight="1" x14ac:dyDescent="0.2">
      <c r="B20" s="1" t="s">
        <v>169</v>
      </c>
      <c r="C20" s="46">
        <f ca="1">(C17*C19)+(C16*C18)</f>
        <v>8.0942500000000001E-2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G7" sqref="G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184</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-35092</v>
      </c>
      <c r="D7" s="114">
        <f>'FCF &amp; Other'!D28</f>
        <v>-32389.924312708914</v>
      </c>
      <c r="E7" s="114">
        <f>'FCF &amp; Other'!E28</f>
        <v>24267.594138493558</v>
      </c>
      <c r="F7" s="114">
        <f>'FCF &amp; Other'!F28</f>
        <v>145655.79989443434</v>
      </c>
      <c r="G7" s="115">
        <f>'FCF &amp; Other'!G28</f>
        <v>199444.84052409406</v>
      </c>
      <c r="H7" s="114">
        <f>'FCF &amp; Other'!H28</f>
        <v>156382.6515144548</v>
      </c>
      <c r="I7" s="114">
        <f>'FCF &amp; Other'!I28</f>
        <v>249703.93323373288</v>
      </c>
      <c r="J7" s="114">
        <f>'FCF &amp; Other'!J28</f>
        <v>308021.4865091613</v>
      </c>
      <c r="K7" s="114">
        <f>'FCF &amp; Other'!K28</f>
        <v>382367.71409827215</v>
      </c>
      <c r="L7" s="114">
        <f>'FCF &amp; Other'!L28</f>
        <v>570328.96383558039</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6463728.2568032444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140885.27163464396</v>
      </c>
      <c r="I10" s="128">
        <f t="shared" ref="I10:L10" si="0">I7/(1+$C$15)^I9</f>
        <v>202665.31388177327</v>
      </c>
      <c r="J10" s="128">
        <f t="shared" si="0"/>
        <v>225222.65619100563</v>
      </c>
      <c r="K10" s="128">
        <f t="shared" si="0"/>
        <v>251877.45678955171</v>
      </c>
      <c r="L10" s="128">
        <f t="shared" si="0"/>
        <v>338462.48101848684</v>
      </c>
      <c r="N10" s="92"/>
    </row>
    <row r="11" spans="1:28" x14ac:dyDescent="0.2">
      <c r="B11" s="1" t="s">
        <v>187</v>
      </c>
      <c r="C11" s="139"/>
      <c r="D11" s="139"/>
      <c r="E11" s="139"/>
      <c r="F11" s="139"/>
      <c r="G11" s="140"/>
      <c r="H11" s="139"/>
      <c r="I11" s="139"/>
      <c r="J11" s="139"/>
      <c r="K11" s="139"/>
      <c r="L11" s="128">
        <f>L8/(1+C15)^L9</f>
        <v>3835908.1182095176</v>
      </c>
    </row>
    <row r="13" spans="1:28" x14ac:dyDescent="0.2">
      <c r="B13" s="254" t="s">
        <v>188</v>
      </c>
      <c r="C13" s="254"/>
    </row>
    <row r="14" spans="1:28" x14ac:dyDescent="0.2">
      <c r="B14" s="1" t="s">
        <v>189</v>
      </c>
      <c r="C14" s="142">
        <v>0.02</v>
      </c>
    </row>
    <row r="15" spans="1:28" x14ac:dyDescent="0.2">
      <c r="B15" s="1" t="s">
        <v>169</v>
      </c>
      <c r="C15" s="137">
        <f>IF(Overview!C28&gt;0,Overview!C28,WACC!C20)</f>
        <v>0.11</v>
      </c>
    </row>
    <row r="18" spans="2:3" x14ac:dyDescent="0.2">
      <c r="B18" s="254" t="s">
        <v>190</v>
      </c>
      <c r="C18" s="254"/>
    </row>
    <row r="19" spans="2:3" x14ac:dyDescent="0.2">
      <c r="B19" s="1" t="s">
        <v>191</v>
      </c>
      <c r="C19" s="64">
        <f>SUM(H10:L10)</f>
        <v>1159113.1795154614</v>
      </c>
    </row>
    <row r="20" spans="2:3" x14ac:dyDescent="0.2">
      <c r="B20" s="1" t="s">
        <v>187</v>
      </c>
      <c r="C20" s="64">
        <f>L11</f>
        <v>3835908.1182095176</v>
      </c>
    </row>
    <row r="21" spans="2:3" x14ac:dyDescent="0.2">
      <c r="B21" s="16" t="s">
        <v>192</v>
      </c>
      <c r="C21" s="95">
        <f>C19+C20</f>
        <v>4995021.297724979</v>
      </c>
    </row>
    <row r="22" spans="2:3" x14ac:dyDescent="0.2">
      <c r="B22" s="1" t="s">
        <v>193</v>
      </c>
      <c r="C22" s="89">
        <f>Statement!AC107</f>
        <v>1391821</v>
      </c>
    </row>
    <row r="23" spans="2:3" x14ac:dyDescent="0.2">
      <c r="B23" s="1" t="s">
        <v>194</v>
      </c>
      <c r="C23" s="89">
        <f>Statement!AC108</f>
        <v>0</v>
      </c>
    </row>
    <row r="24" spans="2:3" x14ac:dyDescent="0.2">
      <c r="B24" s="16" t="s">
        <v>195</v>
      </c>
      <c r="C24" s="95">
        <f>C21+C22-C23</f>
        <v>6386842.297724979</v>
      </c>
    </row>
    <row r="25" spans="2:3" x14ac:dyDescent="0.2">
      <c r="B25" s="1" t="s">
        <v>70</v>
      </c>
      <c r="C25" s="89">
        <f>Statement!AC78</f>
        <v>48787</v>
      </c>
    </row>
    <row r="26" spans="2:3" x14ac:dyDescent="0.2">
      <c r="B26" s="143" t="s">
        <v>196</v>
      </c>
      <c r="C26" s="144">
        <f>C24/C25</f>
        <v>130.91279024586424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40" zoomScale="192" zoomScaleNormal="100" workbookViewId="0">
      <selection activeCell="C58" sqref="C5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4" t="s">
        <v>113</v>
      </c>
      <c r="D2" s="254"/>
      <c r="E2" s="254"/>
      <c r="F2" s="254"/>
      <c r="G2" s="260"/>
      <c r="H2" s="261" t="s">
        <v>114</v>
      </c>
      <c r="I2" s="254"/>
      <c r="J2" s="254"/>
      <c r="K2" s="254"/>
      <c r="L2" s="254"/>
    </row>
    <row r="3" spans="1:14" ht="10" customHeight="1" x14ac:dyDescent="0.2"/>
    <row r="4" spans="1:14" ht="16" customHeight="1" x14ac:dyDescent="0.2">
      <c r="A4" s="87"/>
      <c r="B4" s="60"/>
      <c r="C4" s="262" t="s">
        <v>198</v>
      </c>
      <c r="D4" s="262"/>
      <c r="E4" s="262"/>
      <c r="F4" s="262"/>
      <c r="G4" s="262"/>
      <c r="H4" s="262"/>
      <c r="I4" s="262"/>
      <c r="J4" s="262"/>
      <c r="K4" s="262"/>
      <c r="L4" s="262"/>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-35092</v>
      </c>
      <c r="D8" s="93">
        <f>'FCF &amp; Other'!D28</f>
        <v>-32389.924312708914</v>
      </c>
      <c r="E8" s="93">
        <f>'FCF &amp; Other'!E28</f>
        <v>24267.594138493558</v>
      </c>
      <c r="F8" s="93">
        <f>'FCF &amp; Other'!F28</f>
        <v>145655.79989443434</v>
      </c>
      <c r="G8" s="94">
        <f>'FCF &amp; Other'!G28</f>
        <v>199444.84052409406</v>
      </c>
      <c r="H8" s="93">
        <f>'FCF &amp; Other'!H28</f>
        <v>156382.6515144548</v>
      </c>
      <c r="I8" s="93">
        <f>'FCF &amp; Other'!I28</f>
        <v>249703.93323373288</v>
      </c>
      <c r="J8" s="93">
        <f>'FCF &amp; Other'!J28</f>
        <v>308021.4865091613</v>
      </c>
      <c r="K8" s="93">
        <f>'FCF &amp; Other'!K28</f>
        <v>382367.71409827215</v>
      </c>
      <c r="L8" s="93">
        <f>'FCF &amp; Other'!L28</f>
        <v>570328.96383558039</v>
      </c>
      <c r="N8" s="92"/>
    </row>
    <row r="9" spans="1:14" x14ac:dyDescent="0.2">
      <c r="N9" s="92"/>
    </row>
    <row r="10" spans="1:14" x14ac:dyDescent="0.2">
      <c r="C10" s="262" t="s">
        <v>122</v>
      </c>
      <c r="D10" s="262"/>
      <c r="E10" s="262"/>
      <c r="F10" s="262"/>
      <c r="G10" s="262"/>
      <c r="H10" s="262"/>
      <c r="I10" s="262"/>
      <c r="J10" s="262"/>
      <c r="K10" s="262"/>
      <c r="L10" s="262"/>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7.6999763116695721E-2</v>
      </c>
      <c r="E14" s="96">
        <f t="shared" ref="E14:L14" si="3">IF(D8=0,
IF(E8=0,0,IF(E8&gt;0,1,-1)),
(E8-D8)/ABS(D8)
)</f>
        <v>1.7492328140134499</v>
      </c>
      <c r="F14" s="96">
        <f t="shared" si="3"/>
        <v>5.0020700471248327</v>
      </c>
      <c r="G14" s="97">
        <f t="shared" si="3"/>
        <v>0.36928869752281696</v>
      </c>
      <c r="H14" s="96">
        <f t="shared" si="3"/>
        <v>-0.21591026820489298</v>
      </c>
      <c r="I14" s="96">
        <f t="shared" si="3"/>
        <v>0.59674958069535089</v>
      </c>
      <c r="J14" s="96">
        <f t="shared" si="3"/>
        <v>0.23354679487904123</v>
      </c>
      <c r="K14" s="96">
        <f t="shared" si="3"/>
        <v>0.24136701770932986</v>
      </c>
      <c r="L14" s="96">
        <f t="shared" si="3"/>
        <v>0.49157196804801467</v>
      </c>
      <c r="N14" s="92"/>
    </row>
    <row r="15" spans="1:14" x14ac:dyDescent="0.2">
      <c r="N15" s="92"/>
    </row>
    <row r="16" spans="1:14" x14ac:dyDescent="0.2">
      <c r="C16" s="262" t="s">
        <v>200</v>
      </c>
      <c r="D16" s="262"/>
      <c r="E16" s="262"/>
      <c r="F16" s="262"/>
      <c r="G16" s="262"/>
      <c r="H16" s="262"/>
      <c r="I16" s="262"/>
      <c r="J16" s="262"/>
      <c r="K16" s="262"/>
      <c r="L16" s="262"/>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2" t="s">
        <v>203</v>
      </c>
      <c r="D21" s="262"/>
      <c r="E21" s="262"/>
      <c r="F21" s="262"/>
      <c r="G21" s="262"/>
      <c r="H21" s="262"/>
      <c r="I21" s="262"/>
      <c r="J21" s="262"/>
      <c r="K21" s="262"/>
      <c r="L21" s="262"/>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2" t="s">
        <v>204</v>
      </c>
      <c r="D26" s="262"/>
      <c r="E26" s="262"/>
      <c r="F26" s="262"/>
      <c r="G26" s="262"/>
      <c r="H26" s="262"/>
      <c r="I26" s="262"/>
      <c r="J26" s="262"/>
      <c r="K26" s="262"/>
      <c r="L26" s="262"/>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-58.055942664994873</v>
      </c>
      <c r="D34" s="151">
        <f t="shared" ref="D34:G34" si="13">D32/D8</f>
        <v>-67.901396704932921</v>
      </c>
      <c r="E34" s="151">
        <f t="shared" si="13"/>
        <v>404.07407689605913</v>
      </c>
      <c r="F34" s="151">
        <f t="shared" si="13"/>
        <v>98.460261866633672</v>
      </c>
      <c r="G34" s="152">
        <f t="shared" si="13"/>
        <v>36.516696702474384</v>
      </c>
      <c r="H34" s="139"/>
      <c r="I34" s="139"/>
      <c r="J34" s="139"/>
      <c r="K34" s="139"/>
      <c r="L34" s="139"/>
      <c r="N34" s="92"/>
    </row>
    <row r="35" spans="2:14" x14ac:dyDescent="0.2">
      <c r="N35" s="92"/>
    </row>
    <row r="36" spans="2:14" x14ac:dyDescent="0.2">
      <c r="N36" s="92"/>
    </row>
    <row r="37" spans="2:14" x14ac:dyDescent="0.2">
      <c r="B37" s="254" t="s">
        <v>209</v>
      </c>
      <c r="C37" s="254"/>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212</v>
      </c>
      <c r="C41" s="24">
        <f>L18</f>
        <v>56000.505465443181</v>
      </c>
    </row>
    <row r="42" spans="2:14" x14ac:dyDescent="0.2">
      <c r="B42" s="1" t="s">
        <v>207</v>
      </c>
      <c r="C42" s="24">
        <f>(C38*C40)</f>
        <v>11966571.889151841</v>
      </c>
    </row>
    <row r="43" spans="2:14" x14ac:dyDescent="0.2">
      <c r="B43" s="1" t="s">
        <v>360</v>
      </c>
      <c r="C43" s="24">
        <f>C42/(1+C39)^5-G30+G31</f>
        <v>8377142.9799253754</v>
      </c>
    </row>
    <row r="44" spans="2:14" x14ac:dyDescent="0.2">
      <c r="B44" s="1" t="s">
        <v>70</v>
      </c>
      <c r="C44" s="89">
        <f>Statement!AC78</f>
        <v>48787</v>
      </c>
    </row>
    <row r="45" spans="2:14" x14ac:dyDescent="0.2">
      <c r="B45" s="143" t="s">
        <v>213</v>
      </c>
      <c r="C45" s="144">
        <f>C43/C44</f>
        <v>171.70850800265185</v>
      </c>
    </row>
    <row r="47" spans="2:14" x14ac:dyDescent="0.2">
      <c r="B47" s="254" t="s">
        <v>214</v>
      </c>
      <c r="C47" s="254"/>
    </row>
    <row r="48" spans="2:14" x14ac:dyDescent="0.2">
      <c r="B48" s="1" t="s">
        <v>215</v>
      </c>
      <c r="C48" s="64">
        <f>L6</f>
        <v>3108200.4906887901</v>
      </c>
    </row>
    <row r="49" spans="2:3" x14ac:dyDescent="0.2">
      <c r="B49" s="1" t="s">
        <v>359</v>
      </c>
      <c r="C49" s="137">
        <f>Overview!C29</f>
        <v>0.12</v>
      </c>
    </row>
    <row r="50" spans="2:3" x14ac:dyDescent="0.2">
      <c r="B50" s="39" t="s">
        <v>216</v>
      </c>
      <c r="C50" s="106">
        <v>4</v>
      </c>
    </row>
    <row r="51" spans="2:3" x14ac:dyDescent="0.2">
      <c r="B51" s="1" t="s">
        <v>212</v>
      </c>
      <c r="C51" s="24">
        <f>L18</f>
        <v>56000.505465443181</v>
      </c>
    </row>
    <row r="52" spans="2:3" x14ac:dyDescent="0.2">
      <c r="B52" s="1" t="s">
        <v>196</v>
      </c>
      <c r="C52" s="24">
        <f>(C48*C50)/C51</f>
        <v>222.01231684287563</v>
      </c>
    </row>
    <row r="53" spans="2:3" x14ac:dyDescent="0.2">
      <c r="B53" s="143" t="s">
        <v>213</v>
      </c>
      <c r="C53" s="144">
        <f>C52/(1+C49)^5</f>
        <v>125.97575087695434</v>
      </c>
    </row>
    <row r="55" spans="2:3" x14ac:dyDescent="0.2">
      <c r="B55" s="254" t="s">
        <v>332</v>
      </c>
      <c r="C55" s="254"/>
    </row>
    <row r="56" spans="2:3" x14ac:dyDescent="0.2">
      <c r="B56" s="1" t="s">
        <v>217</v>
      </c>
      <c r="C56" s="64">
        <f>L8</f>
        <v>570328.96383558039</v>
      </c>
    </row>
    <row r="57" spans="2:3" x14ac:dyDescent="0.2">
      <c r="B57" s="1" t="s">
        <v>169</v>
      </c>
      <c r="C57" s="137">
        <f>IF(Overview!C28&gt;0,Overview!C28,WACC!C20)</f>
        <v>0.11</v>
      </c>
    </row>
    <row r="58" spans="2:3" x14ac:dyDescent="0.2">
      <c r="B58" s="39" t="s">
        <v>361</v>
      </c>
      <c r="C58" s="106">
        <v>22</v>
      </c>
    </row>
    <row r="59" spans="2:3" x14ac:dyDescent="0.2">
      <c r="B59" s="1" t="s">
        <v>207</v>
      </c>
      <c r="C59" s="24">
        <f>(C56*C58)</f>
        <v>12547237.204382768</v>
      </c>
    </row>
    <row r="60" spans="2:3" x14ac:dyDescent="0.2">
      <c r="B60" s="1" t="s">
        <v>360</v>
      </c>
      <c r="C60" s="24">
        <f>C59/(1+C57)^5-G30+G31</f>
        <v>8721739.5824067108</v>
      </c>
    </row>
    <row r="61" spans="2:3" x14ac:dyDescent="0.2">
      <c r="B61" s="1" t="s">
        <v>70</v>
      </c>
      <c r="C61" s="89">
        <f>Statement!AC78</f>
        <v>48787</v>
      </c>
    </row>
    <row r="62" spans="2:3" x14ac:dyDescent="0.2">
      <c r="B62" s="143" t="s">
        <v>213</v>
      </c>
      <c r="C62" s="144">
        <f>C60/C61</f>
        <v>178.77179540465104</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4" t="s">
        <v>219</v>
      </c>
      <c r="C4" s="254"/>
      <c r="N4" s="92"/>
    </row>
    <row r="5" spans="1:14" x14ac:dyDescent="0.2">
      <c r="B5" s="1" t="s">
        <v>220</v>
      </c>
      <c r="C5" s="135">
        <f>DCF!C26</f>
        <v>130.91279024586424</v>
      </c>
    </row>
    <row r="6" spans="1:14" x14ac:dyDescent="0.2">
      <c r="B6" s="1" t="s">
        <v>221</v>
      </c>
      <c r="C6" s="135">
        <f>Multiples!C45</f>
        <v>171.70850800265185</v>
      </c>
    </row>
    <row r="7" spans="1:14" x14ac:dyDescent="0.2">
      <c r="B7" s="1" t="s">
        <v>222</v>
      </c>
      <c r="C7" s="135">
        <f>Multiples!C53</f>
        <v>125.97575087695434</v>
      </c>
    </row>
    <row r="8" spans="1:14" x14ac:dyDescent="0.2">
      <c r="B8" s="1" t="s">
        <v>333</v>
      </c>
      <c r="C8" s="135">
        <f>Multiples!C62</f>
        <v>178.77179540465104</v>
      </c>
    </row>
    <row r="9" spans="1:14" x14ac:dyDescent="0.2">
      <c r="B9" s="143" t="s">
        <v>223</v>
      </c>
      <c r="C9" s="144">
        <f>AVERAGE(C5:C8)</f>
        <v>151.84221113253037</v>
      </c>
    </row>
    <row r="10" spans="1:14" x14ac:dyDescent="0.2">
      <c r="B10" s="1" t="s">
        <v>224</v>
      </c>
      <c r="C10" s="135">
        <f ca="1">Overview!C5</f>
        <v>119.94</v>
      </c>
    </row>
    <row r="11" spans="1:14" x14ac:dyDescent="0.2">
      <c r="B11" s="1" t="s">
        <v>225</v>
      </c>
      <c r="C11" s="156">
        <f ca="1">(C9-C10)/C10</f>
        <v>0.26598475181365988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184</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-35092</v>
      </c>
      <c r="D7" s="114">
        <f>'FCF &amp; Other'!D28</f>
        <v>-32389.924312708914</v>
      </c>
      <c r="E7" s="114">
        <f>'FCF &amp; Other'!E28</f>
        <v>24267.594138493558</v>
      </c>
      <c r="F7" s="114">
        <f>'FCF &amp; Other'!F28</f>
        <v>145655.79989443434</v>
      </c>
      <c r="G7" s="115">
        <f>'FCF &amp; Other'!G28</f>
        <v>199444.84052409406</v>
      </c>
      <c r="H7" s="128">
        <f>G7*(1+$C$17)</f>
        <v>239333.80862891287</v>
      </c>
      <c r="I7" s="128">
        <f t="shared" ref="I7:L7" si="0">H7*(1+$C$17)</f>
        <v>287200.57035469543</v>
      </c>
      <c r="J7" s="128">
        <f t="shared" si="0"/>
        <v>344640.68442563451</v>
      </c>
      <c r="K7" s="128">
        <f t="shared" si="0"/>
        <v>413568.82131076138</v>
      </c>
      <c r="L7" s="128">
        <f t="shared" si="0"/>
        <v>496282.58557291364</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5624535.9698263546</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215616.0438098314</v>
      </c>
      <c r="I10" s="128">
        <f t="shared" ref="I10:L10" si="1">I7/(1+$C$21)^I9</f>
        <v>233098.42574035825</v>
      </c>
      <c r="J10" s="128">
        <f t="shared" si="1"/>
        <v>251998.29809768457</v>
      </c>
      <c r="K10" s="128">
        <f t="shared" si="1"/>
        <v>272430.59253803734</v>
      </c>
      <c r="L10" s="128">
        <f t="shared" si="1"/>
        <v>294519.55950058089</v>
      </c>
      <c r="N10" s="92"/>
    </row>
    <row r="11" spans="1:28" x14ac:dyDescent="0.2">
      <c r="B11" s="1" t="s">
        <v>187</v>
      </c>
      <c r="C11" s="139"/>
      <c r="D11" s="139"/>
      <c r="E11" s="139"/>
      <c r="F11" s="139"/>
      <c r="G11" s="140"/>
      <c r="H11" s="139"/>
      <c r="I11" s="139"/>
      <c r="J11" s="139"/>
      <c r="K11" s="139"/>
      <c r="L11" s="128">
        <f>L8/(1+C21)^L9</f>
        <v>3337888.3410065831</v>
      </c>
    </row>
    <row r="13" spans="1:28" ht="17" thickBot="1" x14ac:dyDescent="0.25"/>
    <row r="14" spans="1:28" x14ac:dyDescent="0.2">
      <c r="B14" s="266" t="s">
        <v>227</v>
      </c>
      <c r="C14" s="267"/>
    </row>
    <row r="15" spans="1:28" x14ac:dyDescent="0.2">
      <c r="B15" s="157" t="s">
        <v>228</v>
      </c>
      <c r="C15" s="158">
        <f ca="1">Overview!C5</f>
        <v>119.94</v>
      </c>
    </row>
    <row r="16" spans="1:28" x14ac:dyDescent="0.2">
      <c r="B16" s="157" t="s">
        <v>229</v>
      </c>
      <c r="C16" s="158">
        <f>C36</f>
        <v>128.71831091994667</v>
      </c>
    </row>
    <row r="17" spans="2:9" ht="17" thickBot="1" x14ac:dyDescent="0.25">
      <c r="B17" s="159" t="s">
        <v>334</v>
      </c>
      <c r="C17" s="160">
        <v>0.2</v>
      </c>
      <c r="E17" s="268" t="s">
        <v>230</v>
      </c>
      <c r="F17" s="268"/>
      <c r="G17" s="268"/>
      <c r="H17" s="268"/>
      <c r="I17" s="268"/>
    </row>
    <row r="18" spans="2:9" ht="17" thickBot="1" x14ac:dyDescent="0.25"/>
    <row r="19" spans="2:9" x14ac:dyDescent="0.2">
      <c r="B19" s="266" t="s">
        <v>188</v>
      </c>
      <c r="C19" s="267"/>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5588364.4199999999</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4196543.42</v>
      </c>
    </row>
    <row r="27" spans="2:9" ht="17" thickBot="1" x14ac:dyDescent="0.25"/>
    <row r="28" spans="2:9" x14ac:dyDescent="0.2">
      <c r="B28" s="266" t="s">
        <v>190</v>
      </c>
      <c r="C28" s="267"/>
    </row>
    <row r="29" spans="2:9" x14ac:dyDescent="0.2">
      <c r="B29" s="161" t="s">
        <v>191</v>
      </c>
      <c r="C29" s="163">
        <f>SUM(H10:L10)</f>
        <v>1267662.9196864925</v>
      </c>
    </row>
    <row r="30" spans="2:9" x14ac:dyDescent="0.2">
      <c r="B30" s="161" t="s">
        <v>187</v>
      </c>
      <c r="C30" s="163">
        <f>L11</f>
        <v>3337888.3410065831</v>
      </c>
    </row>
    <row r="31" spans="2:9" x14ac:dyDescent="0.2">
      <c r="B31" s="165" t="s">
        <v>192</v>
      </c>
      <c r="C31" s="166">
        <f>C29+C30</f>
        <v>4605551.2606930751</v>
      </c>
    </row>
    <row r="32" spans="2:9" x14ac:dyDescent="0.2">
      <c r="B32" s="161" t="s">
        <v>193</v>
      </c>
      <c r="C32" s="167">
        <f>C24</f>
        <v>1391821</v>
      </c>
    </row>
    <row r="33" spans="2:12" x14ac:dyDescent="0.2">
      <c r="B33" s="161" t="s">
        <v>194</v>
      </c>
      <c r="C33" s="167">
        <f>C25</f>
        <v>0</v>
      </c>
    </row>
    <row r="34" spans="2:12" x14ac:dyDescent="0.2">
      <c r="B34" s="165" t="s">
        <v>195</v>
      </c>
      <c r="C34" s="166">
        <f>C31+C32-C33</f>
        <v>5997372.2606930751</v>
      </c>
    </row>
    <row r="35" spans="2:12" x14ac:dyDescent="0.2">
      <c r="B35" s="161" t="s">
        <v>70</v>
      </c>
      <c r="C35" s="163">
        <f>C22</f>
        <v>46593</v>
      </c>
    </row>
    <row r="36" spans="2:12" ht="17" thickBot="1" x14ac:dyDescent="0.25">
      <c r="B36" s="168" t="s">
        <v>196</v>
      </c>
      <c r="C36" s="169">
        <f>C34/C35</f>
        <v>128.71831091994667</v>
      </c>
    </row>
    <row r="39" spans="2:12" x14ac:dyDescent="0.2">
      <c r="C39" s="262" t="s">
        <v>233</v>
      </c>
      <c r="D39" s="262"/>
      <c r="E39" s="262"/>
      <c r="F39" s="262"/>
      <c r="G39" s="262"/>
      <c r="H39" s="262"/>
      <c r="I39" s="262"/>
      <c r="J39" s="262"/>
      <c r="K39" s="262"/>
      <c r="L39" s="26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-35092</v>
      </c>
      <c r="D41" s="114">
        <f t="shared" si="2"/>
        <v>-32389.924312708914</v>
      </c>
      <c r="E41" s="114">
        <f t="shared" si="2"/>
        <v>24267.594138493558</v>
      </c>
      <c r="F41" s="114">
        <f t="shared" si="2"/>
        <v>145655.79989443434</v>
      </c>
      <c r="G41" s="115">
        <f t="shared" si="2"/>
        <v>199444.84052409406</v>
      </c>
      <c r="H41" s="145">
        <f t="shared" si="2"/>
        <v>239333.80862891287</v>
      </c>
      <c r="I41" s="145">
        <f t="shared" si="2"/>
        <v>287200.57035469543</v>
      </c>
      <c r="J41" s="145">
        <f t="shared" si="2"/>
        <v>344640.68442563451</v>
      </c>
      <c r="K41" s="145">
        <f t="shared" si="2"/>
        <v>413568.82131076138</v>
      </c>
      <c r="L41" s="145">
        <f t="shared" si="2"/>
        <v>496282.58557291364</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184102.92971454834</v>
      </c>
      <c r="I42" s="145">
        <f t="shared" ref="I42:L42" si="3">I41/I43</f>
        <v>220923.51565745802</v>
      </c>
      <c r="J42" s="145">
        <f t="shared" si="3"/>
        <v>265108.2187889496</v>
      </c>
      <c r="K42" s="145">
        <f t="shared" si="3"/>
        <v>318129.86254673952</v>
      </c>
      <c r="L42" s="145">
        <f t="shared" si="3"/>
        <v>381755.83505608741</v>
      </c>
    </row>
    <row r="43" spans="2:12" x14ac:dyDescent="0.2">
      <c r="B43" s="124" t="s">
        <v>335</v>
      </c>
      <c r="C43" s="96">
        <f>C41/C42</f>
        <v>0.5847984401819788</v>
      </c>
      <c r="D43" s="96">
        <f t="shared" ref="D43:G43" si="4">D41/D42</f>
        <v>0.4968160796488828</v>
      </c>
      <c r="E43" s="96">
        <f t="shared" si="4"/>
        <v>-1.830273334225323</v>
      </c>
      <c r="F43" s="96">
        <f t="shared" si="4"/>
        <v>2.3269558254562561</v>
      </c>
      <c r="G43" s="97">
        <f t="shared" si="4"/>
        <v>1.4711576346101207</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1329632.2701606271</v>
      </c>
      <c r="I44" s="145">
        <f t="shared" ref="I44:L44" si="5">I41/I45</f>
        <v>1595558.7241927525</v>
      </c>
      <c r="J44" s="145">
        <f t="shared" si="5"/>
        <v>1914670.469031303</v>
      </c>
      <c r="K44" s="145">
        <f t="shared" si="5"/>
        <v>2297604.5628375635</v>
      </c>
      <c r="L44" s="145">
        <f t="shared" si="5"/>
        <v>2757125.4754050761</v>
      </c>
    </row>
    <row r="45" spans="2:12" x14ac:dyDescent="0.2">
      <c r="B45" s="124" t="s">
        <v>336</v>
      </c>
      <c r="C45" s="96">
        <f>C41/C44</f>
        <v>-0.1399358780087091</v>
      </c>
      <c r="D45" s="96">
        <f t="shared" ref="D45:G45" si="6">D41/D44</f>
        <v>-8.7659980007060753E-2</v>
      </c>
      <c r="E45" s="96">
        <f t="shared" si="6"/>
        <v>4.5692304477034956E-2</v>
      </c>
      <c r="F45" s="96">
        <f t="shared" si="6"/>
        <v>0.19472075748162404</v>
      </c>
      <c r="G45" s="97">
        <f t="shared" si="6"/>
        <v>0.19221950167560958</v>
      </c>
      <c r="H45" s="170">
        <v>0.18</v>
      </c>
      <c r="I45" s="170">
        <v>0.18</v>
      </c>
      <c r="J45" s="170">
        <v>0.18</v>
      </c>
      <c r="K45" s="170">
        <v>0.18</v>
      </c>
      <c r="L45" s="170">
        <v>0.18</v>
      </c>
    </row>
    <row r="46" spans="2:12" x14ac:dyDescent="0.2">
      <c r="B46" s="124" t="s">
        <v>337</v>
      </c>
      <c r="C46" s="139"/>
      <c r="D46" s="96">
        <f>D41/C41-1</f>
        <v>-7.6999763116695763E-2</v>
      </c>
      <c r="E46" s="96">
        <f t="shared" ref="E46:L47" si="7">E41/D41-1</f>
        <v>-1.7492328140134499</v>
      </c>
      <c r="F46" s="96">
        <f t="shared" si="7"/>
        <v>5.0020700471248327</v>
      </c>
      <c r="G46" s="97">
        <f t="shared" si="7"/>
        <v>0.3692886975228169</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0.35799166271703431</v>
      </c>
      <c r="I47" s="171">
        <f t="shared" si="7"/>
        <v>0.19999999999999996</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0.28146334450406374</v>
      </c>
      <c r="I48" s="171">
        <f t="shared" si="8"/>
        <v>0.19999999999999996</v>
      </c>
      <c r="J48" s="171">
        <f t="shared" si="8"/>
        <v>0.19999999999999996</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0.13846153846153844</v>
      </c>
      <c r="I49" s="171">
        <f t="shared" si="9"/>
        <v>0.13846153846153844</v>
      </c>
      <c r="J49" s="171">
        <f t="shared" si="9"/>
        <v>0.13846153846153844</v>
      </c>
      <c r="K49" s="171">
        <f t="shared" si="9"/>
        <v>0.13846153846153844</v>
      </c>
      <c r="L49" s="171">
        <f t="shared" si="9"/>
        <v>0.13846153846153844</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2026-06-25T21:52:03Z</dcterms:modified>
</cp:coreProperties>
</file>