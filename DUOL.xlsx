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44F0E39-7884-974E-9AB5-AC9069C56E77}"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4" l="1"/>
  <c r="L23" i="7"/>
  <c r="K23" i="7"/>
  <c r="J23" i="7"/>
  <c r="I23" i="7"/>
  <c r="H23" i="7"/>
  <c r="AB11" i="6"/>
  <c r="X11" i="6"/>
  <c r="L11" i="6"/>
  <c r="K11" i="6"/>
  <c r="J11" i="6"/>
  <c r="I11" i="6"/>
  <c r="H11" i="6"/>
  <c r="AA44" i="5"/>
  <c r="AA45" i="5"/>
  <c r="AA46" i="5"/>
  <c r="AA47" i="5"/>
  <c r="Z44" i="5"/>
  <c r="Z45" i="5"/>
  <c r="Z46" i="5"/>
  <c r="Z47" i="5"/>
  <c r="U44" i="5"/>
  <c r="V44" i="5"/>
  <c r="W44" i="5"/>
  <c r="X44" i="5"/>
  <c r="Y44" i="5"/>
  <c r="U45" i="5"/>
  <c r="V45" i="5"/>
  <c r="W45" i="5"/>
  <c r="X45" i="5"/>
  <c r="Y45" i="5"/>
  <c r="U46" i="5"/>
  <c r="V46" i="5"/>
  <c r="W46" i="5"/>
  <c r="X46" i="5"/>
  <c r="Y46" i="5"/>
  <c r="U47" i="5"/>
  <c r="V47" i="5"/>
  <c r="W47" i="5"/>
  <c r="X47" i="5"/>
  <c r="Y47" i="5"/>
  <c r="AA43" i="5"/>
  <c r="Z43" i="5"/>
  <c r="Y43" i="5"/>
  <c r="X43" i="5"/>
  <c r="W43" i="5"/>
  <c r="V43" i="5"/>
  <c r="U43" i="5"/>
  <c r="AA42" i="5"/>
  <c r="Z42" i="5"/>
  <c r="Y42" i="5"/>
  <c r="X42" i="5"/>
  <c r="W42" i="5"/>
  <c r="V42" i="5"/>
  <c r="U42" i="5"/>
  <c r="T47" i="5"/>
  <c r="T46" i="5"/>
  <c r="T45" i="5"/>
  <c r="T44" i="5"/>
  <c r="T43" i="5"/>
  <c r="T42" i="5"/>
  <c r="AA9" i="5"/>
  <c r="AA7" i="5"/>
  <c r="AA6" i="5"/>
  <c r="AA38" i="5"/>
  <c r="Z38" i="5"/>
  <c r="Y38" i="5"/>
  <c r="X38" i="5"/>
  <c r="W38" i="5"/>
  <c r="V38" i="5"/>
  <c r="U38" i="5"/>
  <c r="T38" i="5"/>
  <c r="S38" i="5"/>
  <c r="Z37" i="5"/>
  <c r="Y37" i="5"/>
  <c r="X37" i="5"/>
  <c r="W37" i="5"/>
  <c r="V37" i="5"/>
  <c r="U37" i="5"/>
  <c r="T37" i="5"/>
  <c r="S37" i="5"/>
  <c r="Z36" i="5"/>
  <c r="Y36" i="5"/>
  <c r="X36" i="5"/>
  <c r="W36" i="5"/>
  <c r="V36" i="5"/>
  <c r="U36" i="5"/>
  <c r="T36" i="5"/>
  <c r="S36" i="5"/>
  <c r="AE35" i="5"/>
  <c r="Z35" i="5"/>
  <c r="Y35" i="5"/>
  <c r="X35" i="5"/>
  <c r="W35" i="5"/>
  <c r="V35" i="5"/>
  <c r="U35" i="5"/>
  <c r="T35" i="5"/>
  <c r="S35" i="5"/>
  <c r="AE34" i="5"/>
  <c r="Z34" i="5"/>
  <c r="Y34" i="5"/>
  <c r="X34" i="5"/>
  <c r="W34" i="5"/>
  <c r="V34" i="5"/>
  <c r="U34" i="5"/>
  <c r="T34" i="5"/>
  <c r="S34" i="5"/>
  <c r="Z32" i="5"/>
  <c r="Y32" i="5"/>
  <c r="X32" i="5"/>
  <c r="W32" i="5"/>
  <c r="V32" i="5"/>
  <c r="U32" i="5"/>
  <c r="T32" i="5"/>
  <c r="S32" i="5"/>
  <c r="Z31" i="5"/>
  <c r="Y31" i="5"/>
  <c r="X31" i="5"/>
  <c r="W31" i="5"/>
  <c r="V31" i="5"/>
  <c r="U31" i="5"/>
  <c r="T31" i="5"/>
  <c r="S31" i="5"/>
  <c r="AE28" i="5"/>
  <c r="AE27" i="5"/>
  <c r="Z30" i="5"/>
  <c r="Y30" i="5"/>
  <c r="X30" i="5"/>
  <c r="W30" i="5"/>
  <c r="V30" i="5"/>
  <c r="U30" i="5"/>
  <c r="T30" i="5"/>
  <c r="Z29" i="5"/>
  <c r="Y29" i="5"/>
  <c r="X29" i="5"/>
  <c r="W29" i="5"/>
  <c r="V29" i="5"/>
  <c r="U29" i="5"/>
  <c r="T29" i="5"/>
  <c r="Z28" i="5"/>
  <c r="Y28" i="5"/>
  <c r="X28" i="5"/>
  <c r="W28" i="5"/>
  <c r="V28" i="5"/>
  <c r="U28" i="5"/>
  <c r="T28" i="5"/>
  <c r="Z27" i="5"/>
  <c r="Y27" i="5"/>
  <c r="X27" i="5"/>
  <c r="W27" i="5"/>
  <c r="V27" i="5"/>
  <c r="U27" i="5"/>
  <c r="T27" i="5"/>
  <c r="S28" i="5"/>
  <c r="S27" i="5"/>
  <c r="AA10" i="5"/>
  <c r="AA8" i="5"/>
  <c r="Z26" i="5"/>
  <c r="Y26" i="5"/>
  <c r="X26" i="5"/>
  <c r="W26" i="5"/>
  <c r="V26" i="5"/>
  <c r="U26" i="5"/>
  <c r="T26" i="5"/>
  <c r="AE23" i="5"/>
  <c r="Z25" i="5"/>
  <c r="Y25" i="5"/>
  <c r="X25" i="5"/>
  <c r="W25" i="5"/>
  <c r="V25" i="5"/>
  <c r="U25" i="5"/>
  <c r="T25" i="5"/>
  <c r="Y33" i="5"/>
  <c r="X33" i="5"/>
  <c r="W33" i="5"/>
  <c r="V33" i="5"/>
  <c r="U33" i="5"/>
  <c r="AE10" i="5"/>
  <c r="AE9" i="5"/>
  <c r="L47" i="5"/>
  <c r="K47" i="5"/>
  <c r="J47" i="5"/>
  <c r="I47" i="5"/>
  <c r="H47" i="5"/>
  <c r="G47" i="5"/>
  <c r="F47" i="5"/>
  <c r="E47" i="5"/>
  <c r="D47" i="5"/>
  <c r="L46" i="5"/>
  <c r="K46" i="5"/>
  <c r="J46" i="5"/>
  <c r="I46" i="5"/>
  <c r="H46" i="5"/>
  <c r="G46" i="5"/>
  <c r="F46" i="5"/>
  <c r="E46" i="5"/>
  <c r="D46" i="5"/>
  <c r="L45" i="5"/>
  <c r="K45" i="5"/>
  <c r="J45" i="5"/>
  <c r="I45" i="5"/>
  <c r="H45" i="5"/>
  <c r="G45" i="5"/>
  <c r="F45" i="5"/>
  <c r="E45" i="5"/>
  <c r="D45" i="5"/>
  <c r="L44" i="5"/>
  <c r="K44" i="5"/>
  <c r="J44" i="5"/>
  <c r="I44" i="5"/>
  <c r="H44" i="5"/>
  <c r="G44" i="5"/>
  <c r="F44" i="5"/>
  <c r="E44" i="5"/>
  <c r="D44" i="5"/>
  <c r="L43" i="5"/>
  <c r="K43" i="5"/>
  <c r="J43" i="5"/>
  <c r="I43" i="5"/>
  <c r="H43" i="5"/>
  <c r="G43" i="5"/>
  <c r="F43" i="5"/>
  <c r="E43" i="5"/>
  <c r="D43" i="5"/>
  <c r="L42" i="5"/>
  <c r="K42" i="5"/>
  <c r="J42" i="5"/>
  <c r="I42" i="5"/>
  <c r="H42" i="5"/>
  <c r="G42" i="5"/>
  <c r="F42" i="5"/>
  <c r="E42" i="5"/>
  <c r="D42" i="5"/>
  <c r="L9" i="5"/>
  <c r="K9" i="5"/>
  <c r="J9" i="5"/>
  <c r="I9" i="5"/>
  <c r="H9" i="5"/>
  <c r="I18" i="5" s="1"/>
  <c r="L7" i="5"/>
  <c r="K7" i="5"/>
  <c r="J7" i="5"/>
  <c r="I7" i="5"/>
  <c r="H7" i="5"/>
  <c r="L6" i="5"/>
  <c r="K6" i="5"/>
  <c r="J6" i="5"/>
  <c r="I6" i="5"/>
  <c r="H6" i="5"/>
  <c r="G38" i="5"/>
  <c r="F38" i="5"/>
  <c r="E38" i="5"/>
  <c r="D38" i="5"/>
  <c r="C38" i="5"/>
  <c r="G37" i="5"/>
  <c r="F37" i="5"/>
  <c r="E37" i="5"/>
  <c r="D37" i="5"/>
  <c r="C37" i="5"/>
  <c r="L38" i="5"/>
  <c r="K38" i="5"/>
  <c r="J38" i="5"/>
  <c r="I38" i="5"/>
  <c r="G36" i="5"/>
  <c r="F36" i="5"/>
  <c r="E36" i="5"/>
  <c r="D36" i="5"/>
  <c r="C36" i="5"/>
  <c r="L35" i="5"/>
  <c r="K35" i="5"/>
  <c r="J35" i="5"/>
  <c r="I35" i="5"/>
  <c r="H35" i="5"/>
  <c r="G35" i="5"/>
  <c r="F35" i="5"/>
  <c r="E35" i="5"/>
  <c r="D35" i="5"/>
  <c r="C35" i="5"/>
  <c r="L34" i="5"/>
  <c r="K34" i="5"/>
  <c r="J34" i="5"/>
  <c r="I34" i="5"/>
  <c r="H34" i="5"/>
  <c r="G34" i="5"/>
  <c r="F34" i="5"/>
  <c r="E34" i="5"/>
  <c r="D34" i="5"/>
  <c r="C34" i="5"/>
  <c r="G33" i="5"/>
  <c r="F33" i="5"/>
  <c r="E33" i="5"/>
  <c r="D33" i="5"/>
  <c r="G32" i="5"/>
  <c r="F32" i="5"/>
  <c r="E32" i="5"/>
  <c r="D32" i="5"/>
  <c r="C32" i="5"/>
  <c r="H32" i="5"/>
  <c r="I32" i="5" s="1"/>
  <c r="J32" i="5" s="1"/>
  <c r="K32" i="5" s="1"/>
  <c r="L32" i="5" s="1"/>
  <c r="G31" i="5"/>
  <c r="F31" i="5"/>
  <c r="E31" i="5"/>
  <c r="D31" i="5"/>
  <c r="C31" i="5"/>
  <c r="I28" i="5"/>
  <c r="J28" i="5" s="1"/>
  <c r="K28" i="5" s="1"/>
  <c r="L28" i="5" s="1"/>
  <c r="I27" i="5"/>
  <c r="J27" i="5" s="1"/>
  <c r="K27" i="5" s="1"/>
  <c r="L27" i="5" s="1"/>
  <c r="H28" i="5"/>
  <c r="H27" i="5"/>
  <c r="G30" i="5"/>
  <c r="F30" i="5"/>
  <c r="E30" i="5"/>
  <c r="D30" i="5"/>
  <c r="G29" i="5"/>
  <c r="F29" i="5"/>
  <c r="E29" i="5"/>
  <c r="D29" i="5"/>
  <c r="G28" i="5"/>
  <c r="F28" i="5"/>
  <c r="E28" i="5"/>
  <c r="D28" i="5"/>
  <c r="C28" i="5"/>
  <c r="G27" i="5"/>
  <c r="F27" i="5"/>
  <c r="E27" i="5"/>
  <c r="D27" i="5"/>
  <c r="C27" i="5"/>
  <c r="I10" i="5"/>
  <c r="J10" i="5" s="1"/>
  <c r="H10" i="5"/>
  <c r="I8" i="5"/>
  <c r="J8" i="5" s="1"/>
  <c r="K8" i="5" s="1"/>
  <c r="L8" i="5" s="1"/>
  <c r="H8" i="5"/>
  <c r="G26" i="5"/>
  <c r="F26" i="5"/>
  <c r="E26" i="5"/>
  <c r="D26" i="5"/>
  <c r="G25" i="5"/>
  <c r="F25" i="5"/>
  <c r="E25" i="5"/>
  <c r="D25" i="5"/>
  <c r="I19" i="5"/>
  <c r="L18" i="5"/>
  <c r="K18" i="5"/>
  <c r="J18" i="5"/>
  <c r="Z10" i="5"/>
  <c r="Y10" i="5"/>
  <c r="X10" i="5"/>
  <c r="W10" i="5"/>
  <c r="V10" i="5"/>
  <c r="U10" i="5"/>
  <c r="T10" i="5"/>
  <c r="Z9" i="5"/>
  <c r="Y9" i="5"/>
  <c r="X9" i="5"/>
  <c r="W9" i="5"/>
  <c r="V9" i="5"/>
  <c r="U9" i="5"/>
  <c r="T9" i="5"/>
  <c r="S10" i="5"/>
  <c r="S9" i="5"/>
  <c r="G10" i="5"/>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G52" i="18"/>
  <c r="F52" i="18"/>
  <c r="F53" i="18" s="1"/>
  <c r="D52" i="18"/>
  <c r="C52" i="18"/>
  <c r="C53" i="18" s="1"/>
  <c r="B52" i="18"/>
  <c r="G50" i="18"/>
  <c r="F50" i="18"/>
  <c r="D50" i="18"/>
  <c r="C50" i="18"/>
  <c r="B50" i="18"/>
  <c r="F51" i="18"/>
  <c r="C51" i="18"/>
  <c r="G48" i="18"/>
  <c r="F48" i="18"/>
  <c r="F49" i="18" s="1"/>
  <c r="D48" i="18"/>
  <c r="C48" i="18"/>
  <c r="B48" i="18"/>
  <c r="G46" i="18"/>
  <c r="F46" i="18"/>
  <c r="F47" i="18" s="1"/>
  <c r="D46" i="18"/>
  <c r="C46" i="18"/>
  <c r="B46" i="18"/>
  <c r="G44" i="18"/>
  <c r="F44" i="18"/>
  <c r="D44" i="18"/>
  <c r="C45" i="18" s="1"/>
  <c r="C44" i="18"/>
  <c r="B44" i="18"/>
  <c r="F45" i="18"/>
  <c r="G42" i="18"/>
  <c r="F42" i="18"/>
  <c r="F43" i="18" s="1"/>
  <c r="D42" i="18"/>
  <c r="C43" i="18" s="1"/>
  <c r="C42" i="18"/>
  <c r="B42" i="18"/>
  <c r="G40" i="18"/>
  <c r="F40" i="18"/>
  <c r="F41" i="18" s="1"/>
  <c r="D40" i="18"/>
  <c r="C40" i="18"/>
  <c r="B40" i="18"/>
  <c r="C41" i="18"/>
  <c r="G38" i="18"/>
  <c r="F38" i="18"/>
  <c r="D38" i="18"/>
  <c r="C38" i="18"/>
  <c r="B38" i="18"/>
  <c r="B36" i="18"/>
  <c r="G32" i="18"/>
  <c r="F32" i="18"/>
  <c r="F33" i="18" s="1"/>
  <c r="D32" i="18"/>
  <c r="C32" i="18"/>
  <c r="B32" i="18"/>
  <c r="C33" i="18"/>
  <c r="G30" i="18"/>
  <c r="F31" i="18" s="1"/>
  <c r="F30" i="18"/>
  <c r="D30" i="18"/>
  <c r="C30" i="18"/>
  <c r="B30" i="18"/>
  <c r="C31" i="18"/>
  <c r="B28" i="18"/>
  <c r="B26" i="18"/>
  <c r="B24" i="18"/>
  <c r="G93" i="17"/>
  <c r="F93" i="17"/>
  <c r="E93" i="17"/>
  <c r="D93" i="17"/>
  <c r="C93" i="17"/>
  <c r="G92" i="17"/>
  <c r="F92" i="17"/>
  <c r="E92" i="17"/>
  <c r="D92" i="17"/>
  <c r="C92" i="17"/>
  <c r="G91" i="17"/>
  <c r="F91" i="17"/>
  <c r="E91" i="17"/>
  <c r="D91" i="17"/>
  <c r="B93" i="17"/>
  <c r="B92" i="17"/>
  <c r="B91" i="17"/>
  <c r="B90" i="17"/>
  <c r="B89" i="17"/>
  <c r="AC217" i="3"/>
  <c r="AC216" i="3"/>
  <c r="AC215" i="3"/>
  <c r="AC214" i="3"/>
  <c r="AC213" i="3"/>
  <c r="AC212" i="3"/>
  <c r="AC211" i="3"/>
  <c r="AC210" i="3"/>
  <c r="AC209" i="3"/>
  <c r="AA217" i="3"/>
  <c r="Z217" i="3"/>
  <c r="Y217" i="3"/>
  <c r="X217" i="3"/>
  <c r="W217" i="3"/>
  <c r="V217" i="3"/>
  <c r="U217" i="3"/>
  <c r="AA216" i="3"/>
  <c r="Z216" i="3"/>
  <c r="Y216" i="3"/>
  <c r="X216" i="3"/>
  <c r="W216" i="3"/>
  <c r="V216" i="3"/>
  <c r="U216" i="3"/>
  <c r="AA215" i="3"/>
  <c r="Z215" i="3"/>
  <c r="Y215" i="3"/>
  <c r="X215" i="3"/>
  <c r="W215" i="3"/>
  <c r="V215" i="3"/>
  <c r="U215" i="3"/>
  <c r="AA214" i="3"/>
  <c r="Z214" i="3"/>
  <c r="Y214" i="3"/>
  <c r="X214" i="3"/>
  <c r="W214" i="3"/>
  <c r="V214" i="3"/>
  <c r="U214" i="3"/>
  <c r="AA213" i="3"/>
  <c r="Z213" i="3"/>
  <c r="Y213" i="3"/>
  <c r="X213" i="3"/>
  <c r="W213" i="3"/>
  <c r="V213" i="3"/>
  <c r="U213" i="3"/>
  <c r="T217" i="3"/>
  <c r="T216" i="3"/>
  <c r="T215" i="3"/>
  <c r="T214" i="3"/>
  <c r="T213" i="3"/>
  <c r="AA212" i="3"/>
  <c r="Z212" i="3"/>
  <c r="Y212" i="3"/>
  <c r="X212" i="3"/>
  <c r="W212" i="3"/>
  <c r="V212" i="3"/>
  <c r="U212" i="3"/>
  <c r="T212" i="3"/>
  <c r="AC187" i="3"/>
  <c r="AC186" i="3"/>
  <c r="AA195" i="3"/>
  <c r="Z195" i="3"/>
  <c r="Y195" i="3"/>
  <c r="X195" i="3"/>
  <c r="W195" i="3"/>
  <c r="V195" i="3"/>
  <c r="U195" i="3"/>
  <c r="T195" i="3"/>
  <c r="AA194" i="3"/>
  <c r="Z194" i="3"/>
  <c r="Y194" i="3"/>
  <c r="X194" i="3"/>
  <c r="W194" i="3"/>
  <c r="V194" i="3"/>
  <c r="U194" i="3"/>
  <c r="T194" i="3"/>
  <c r="AA193" i="3"/>
  <c r="Z193" i="3"/>
  <c r="Y193" i="3"/>
  <c r="X193" i="3"/>
  <c r="W193" i="3"/>
  <c r="V193" i="3"/>
  <c r="U193" i="3"/>
  <c r="U76" i="3"/>
  <c r="T76" i="3"/>
  <c r="X76" i="3"/>
  <c r="Y76" i="3"/>
  <c r="Y77" i="3" s="1"/>
  <c r="V76" i="3"/>
  <c r="V77" i="3" s="1"/>
  <c r="Z76" i="3"/>
  <c r="W76" i="3"/>
  <c r="AA76" i="3"/>
  <c r="U29" i="3"/>
  <c r="AA29" i="3"/>
  <c r="Z29" i="3"/>
  <c r="Y29" i="3"/>
  <c r="X29" i="3"/>
  <c r="W29" i="3"/>
  <c r="V29" i="3"/>
  <c r="Y24" i="3"/>
  <c r="Y16" i="3"/>
  <c r="Q217" i="3"/>
  <c r="P217" i="3"/>
  <c r="O217" i="3"/>
  <c r="N217" i="3"/>
  <c r="M217" i="3"/>
  <c r="Q215" i="3"/>
  <c r="P215" i="3"/>
  <c r="O215" i="3"/>
  <c r="N215" i="3"/>
  <c r="M215" i="3"/>
  <c r="Q214" i="3"/>
  <c r="P214" i="3"/>
  <c r="O214" i="3"/>
  <c r="N214" i="3"/>
  <c r="M214" i="3"/>
  <c r="Q213" i="3"/>
  <c r="P213" i="3"/>
  <c r="O213" i="3"/>
  <c r="N213" i="3"/>
  <c r="M213" i="3"/>
  <c r="Q212" i="3"/>
  <c r="Q216" i="3" s="1"/>
  <c r="P212" i="3"/>
  <c r="P216" i="3" s="1"/>
  <c r="O212" i="3"/>
  <c r="O216" i="3" s="1"/>
  <c r="N212" i="3"/>
  <c r="N216" i="3" s="1"/>
  <c r="M212" i="3"/>
  <c r="M216" i="3" s="1"/>
  <c r="Q195" i="3"/>
  <c r="P195" i="3"/>
  <c r="O195" i="3"/>
  <c r="N195" i="3"/>
  <c r="M195" i="3"/>
  <c r="Q194" i="3"/>
  <c r="P194" i="3"/>
  <c r="O194" i="3"/>
  <c r="N194" i="3"/>
  <c r="M194" i="3"/>
  <c r="Q193" i="3"/>
  <c r="P193" i="3"/>
  <c r="O193" i="3"/>
  <c r="N193" i="3"/>
  <c r="Q79" i="3"/>
  <c r="O76" i="3"/>
  <c r="P76" i="3"/>
  <c r="Q76" i="3"/>
  <c r="Q77" i="3" s="1"/>
  <c r="Q29" i="3"/>
  <c r="P29" i="3"/>
  <c r="Q22" i="3"/>
  <c r="Q20" i="3"/>
  <c r="Q14" i="3"/>
  <c r="P14" i="3"/>
  <c r="O14" i="3"/>
  <c r="N14" i="3"/>
  <c r="M14" i="3"/>
  <c r="T26"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C49" i="12"/>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Z112" i="3"/>
  <c r="Y112" i="3"/>
  <c r="X112" i="3"/>
  <c r="W112" i="3"/>
  <c r="V112" i="3"/>
  <c r="U112" i="3"/>
  <c r="T112" i="3"/>
  <c r="Q112" i="3"/>
  <c r="P112" i="3"/>
  <c r="O112" i="3"/>
  <c r="N112" i="3"/>
  <c r="M112" i="3"/>
  <c r="AC48" i="3"/>
  <c r="AA111" i="3"/>
  <c r="Z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T193" i="3"/>
  <c r="Z192" i="3"/>
  <c r="Y192" i="3"/>
  <c r="X192" i="3"/>
  <c r="W192" i="3"/>
  <c r="V192" i="3"/>
  <c r="U192" i="3"/>
  <c r="T192" i="3"/>
  <c r="Z191" i="3"/>
  <c r="Y191" i="3"/>
  <c r="X191" i="3"/>
  <c r="W191" i="3"/>
  <c r="V191" i="3"/>
  <c r="U191" i="3"/>
  <c r="T191" i="3"/>
  <c r="Z170" i="3"/>
  <c r="Y170" i="3"/>
  <c r="X170" i="3"/>
  <c r="W170" i="3"/>
  <c r="V170" i="3"/>
  <c r="U170" i="3"/>
  <c r="T170" i="3"/>
  <c r="Z169" i="3"/>
  <c r="Y169" i="3"/>
  <c r="X169" i="3"/>
  <c r="W169" i="3"/>
  <c r="V169" i="3"/>
  <c r="U169" i="3"/>
  <c r="T169" i="3"/>
  <c r="Z145" i="3"/>
  <c r="Y145" i="3"/>
  <c r="X145" i="3"/>
  <c r="W145" i="3"/>
  <c r="V145" i="3"/>
  <c r="U145" i="3"/>
  <c r="T145" i="3"/>
  <c r="Z144" i="3"/>
  <c r="Y144" i="3"/>
  <c r="X144" i="3"/>
  <c r="W144" i="3"/>
  <c r="V144" i="3"/>
  <c r="U144" i="3"/>
  <c r="T144" i="3"/>
  <c r="Z139" i="3"/>
  <c r="Y139" i="3"/>
  <c r="X139" i="3"/>
  <c r="W139" i="3"/>
  <c r="V139" i="3"/>
  <c r="U139" i="3"/>
  <c r="T139" i="3"/>
  <c r="Z138" i="3"/>
  <c r="Y138" i="3"/>
  <c r="X138" i="3"/>
  <c r="W138" i="3"/>
  <c r="V138" i="3"/>
  <c r="U138" i="3"/>
  <c r="T138"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X77" i="3"/>
  <c r="W77" i="3"/>
  <c r="U77" i="3"/>
  <c r="T77" i="3"/>
  <c r="Z42" i="3"/>
  <c r="Y42" i="3"/>
  <c r="X42" i="3"/>
  <c r="W42" i="3"/>
  <c r="V42" i="3"/>
  <c r="U42" i="3"/>
  <c r="T42" i="3"/>
  <c r="Z36" i="3"/>
  <c r="Y36" i="3"/>
  <c r="X36" i="3"/>
  <c r="W36" i="3"/>
  <c r="V36" i="3"/>
  <c r="U36" i="3"/>
  <c r="T36" i="3"/>
  <c r="Z26" i="3"/>
  <c r="Y26" i="3"/>
  <c r="X26" i="3"/>
  <c r="W26" i="3"/>
  <c r="V26" i="3"/>
  <c r="U26" i="3"/>
  <c r="Z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38" i="3"/>
  <c r="Q138" i="3"/>
  <c r="P138" i="3"/>
  <c r="O138" i="3"/>
  <c r="N138" i="3"/>
  <c r="M138" i="3"/>
  <c r="AC31" i="3"/>
  <c r="AC64" i="3"/>
  <c r="AA170" i="3"/>
  <c r="Q170" i="3"/>
  <c r="P170" i="3"/>
  <c r="O170" i="3"/>
  <c r="N170" i="3"/>
  <c r="M170" i="3"/>
  <c r="AA169"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0" i="12"/>
  <c r="D30" i="12"/>
  <c r="G23" i="12"/>
  <c r="F23" i="12"/>
  <c r="E23" i="12"/>
  <c r="D23" i="12"/>
  <c r="C23" i="12"/>
  <c r="AC108"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Z17" i="5" s="1"/>
  <c r="Y8" i="5"/>
  <c r="Y17" i="5" s="1"/>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G17"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Z33" i="5" l="1"/>
  <c r="AA32" i="5"/>
  <c r="AA28" i="5"/>
  <c r="AA27" i="5"/>
  <c r="K10" i="5"/>
  <c r="J19" i="5"/>
  <c r="U17" i="5"/>
  <c r="F17" i="5"/>
  <c r="X17" i="5"/>
  <c r="E17" i="5"/>
  <c r="Y19" i="5"/>
  <c r="X19" i="5"/>
  <c r="W19" i="5"/>
  <c r="V19" i="5"/>
  <c r="U19" i="5"/>
  <c r="T19" i="5"/>
  <c r="Y18" i="5"/>
  <c r="X18" i="5"/>
  <c r="W18" i="5"/>
  <c r="V18" i="5"/>
  <c r="U18" i="5"/>
  <c r="T18" i="5"/>
  <c r="F19" i="5"/>
  <c r="E19" i="5"/>
  <c r="D19" i="5"/>
  <c r="F18" i="5"/>
  <c r="E18" i="5"/>
  <c r="D18" i="5"/>
  <c r="V17" i="5"/>
  <c r="W17" i="5"/>
  <c r="AA19" i="5"/>
  <c r="Z19" i="5"/>
  <c r="AA18" i="5"/>
  <c r="Z18" i="5"/>
  <c r="G19" i="5"/>
  <c r="H19" i="5"/>
  <c r="G18" i="5"/>
  <c r="H18" i="5"/>
  <c r="R10" i="5"/>
  <c r="R19" i="5" s="1"/>
  <c r="B19" i="5"/>
  <c r="R9" i="5"/>
  <c r="R18" i="5" s="1"/>
  <c r="B18" i="5"/>
  <c r="C49" i="18"/>
  <c r="C47" i="18"/>
  <c r="AA77" i="3"/>
  <c r="AC77" i="3" s="1"/>
  <c r="AC76" i="3"/>
  <c r="H59" i="20"/>
  <c r="Y111" i="3"/>
  <c r="Y103" i="3" s="1"/>
  <c r="H62" i="20" s="1"/>
  <c r="AC176" i="3"/>
  <c r="G6" i="11"/>
  <c r="G5" i="12"/>
  <c r="F5" i="12"/>
  <c r="F6" i="11"/>
  <c r="E5" i="12"/>
  <c r="E6" i="11"/>
  <c r="D5" i="12"/>
  <c r="D6" i="11"/>
  <c r="C6" i="11"/>
  <c r="C5" i="12"/>
  <c r="AC178" i="3"/>
  <c r="AC177" i="3"/>
  <c r="Q178" i="3"/>
  <c r="P178" i="3"/>
  <c r="O178" i="3"/>
  <c r="N178" i="3"/>
  <c r="M178" i="3"/>
  <c r="Q177" i="3"/>
  <c r="P177" i="3"/>
  <c r="O177" i="3"/>
  <c r="N177" i="3"/>
  <c r="M177" i="3"/>
  <c r="AA107" i="3"/>
  <c r="Z107" i="3"/>
  <c r="Y107" i="3"/>
  <c r="X107" i="3"/>
  <c r="W107" i="3"/>
  <c r="V107" i="3"/>
  <c r="U107" i="3"/>
  <c r="T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0" i="12"/>
  <c r="C23" i="11"/>
  <c r="C25" i="14"/>
  <c r="Z132" i="3"/>
  <c r="Y132" i="3"/>
  <c r="X132" i="3"/>
  <c r="W132" i="3"/>
  <c r="V132" i="3"/>
  <c r="U132" i="3"/>
  <c r="T132" i="3"/>
  <c r="AA132" i="3"/>
  <c r="F10" i="16"/>
  <c r="Q159" i="3"/>
  <c r="P159" i="3"/>
  <c r="O159" i="3"/>
  <c r="N159" i="3"/>
  <c r="Q158" i="3"/>
  <c r="P158" i="3"/>
  <c r="O158" i="3"/>
  <c r="N158" i="3"/>
  <c r="M159" i="3"/>
  <c r="M158" i="3"/>
  <c r="Q147" i="3"/>
  <c r="P147" i="3"/>
  <c r="O147" i="3"/>
  <c r="N147" i="3"/>
  <c r="M147" i="3"/>
  <c r="Q146" i="3"/>
  <c r="P146" i="3"/>
  <c r="O146" i="3"/>
  <c r="N146" i="3"/>
  <c r="M146" i="3"/>
  <c r="Z141" i="3"/>
  <c r="Y141" i="3"/>
  <c r="X141" i="3"/>
  <c r="W141" i="3"/>
  <c r="V141" i="3"/>
  <c r="U141" i="3"/>
  <c r="T141" i="3"/>
  <c r="AA153" i="3"/>
  <c r="J68" i="20" s="1"/>
  <c r="Z153" i="3"/>
  <c r="I68" i="20" s="1"/>
  <c r="Y153" i="3"/>
  <c r="H68" i="20" s="1"/>
  <c r="X153" i="3"/>
  <c r="G68" i="20" s="1"/>
  <c r="W153" i="3"/>
  <c r="F68" i="20" s="1"/>
  <c r="V153" i="3"/>
  <c r="E68" i="20" s="1"/>
  <c r="U153" i="3"/>
  <c r="D68" i="20" s="1"/>
  <c r="T153" i="3"/>
  <c r="C68"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3" i="3"/>
  <c r="Q163" i="3" s="1"/>
  <c r="P153" i="3"/>
  <c r="P163" i="3" s="1"/>
  <c r="O153" i="3"/>
  <c r="O163" i="3" s="1"/>
  <c r="N153" i="3"/>
  <c r="N163" i="3" s="1"/>
  <c r="M153" i="3"/>
  <c r="M163" i="3" s="1"/>
  <c r="AC112" i="3"/>
  <c r="Z91" i="3"/>
  <c r="Q121" i="3"/>
  <c r="P121" i="3"/>
  <c r="O121" i="3"/>
  <c r="N121" i="3"/>
  <c r="M121" i="3"/>
  <c r="AA103" i="3"/>
  <c r="J62" i="20" s="1"/>
  <c r="Z103" i="3"/>
  <c r="I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5" i="3"/>
  <c r="Y175" i="3"/>
  <c r="X175" i="3"/>
  <c r="W175" i="3"/>
  <c r="V175" i="3"/>
  <c r="U175" i="3"/>
  <c r="T175" i="3"/>
  <c r="Z174" i="3"/>
  <c r="Y174" i="3"/>
  <c r="X174" i="3"/>
  <c r="W174" i="3"/>
  <c r="V174" i="3"/>
  <c r="U174" i="3"/>
  <c r="T174" i="3"/>
  <c r="Z173" i="3"/>
  <c r="Y173" i="3"/>
  <c r="X173" i="3"/>
  <c r="W173" i="3"/>
  <c r="V173" i="3"/>
  <c r="U173" i="3"/>
  <c r="T173" i="3"/>
  <c r="AC83" i="3"/>
  <c r="AC106" i="3" s="1"/>
  <c r="AA141" i="3"/>
  <c r="Q141" i="3"/>
  <c r="N141" i="3"/>
  <c r="P141" i="3"/>
  <c r="O141" i="3"/>
  <c r="M141" i="3"/>
  <c r="C30" i="12"/>
  <c r="X106" i="3"/>
  <c r="W106" i="3"/>
  <c r="V106" i="3"/>
  <c r="U106" i="3"/>
  <c r="T106" i="3"/>
  <c r="T95" i="3"/>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Z137" i="3"/>
  <c r="Z140" i="3" s="1"/>
  <c r="Y137" i="3"/>
  <c r="Y140" i="3" s="1"/>
  <c r="X137" i="3"/>
  <c r="X140" i="3" s="1"/>
  <c r="W137" i="3"/>
  <c r="W140" i="3" s="1"/>
  <c r="V137" i="3"/>
  <c r="V140" i="3" s="1"/>
  <c r="U137" i="3"/>
  <c r="U140" i="3" s="1"/>
  <c r="T137" i="3"/>
  <c r="T140" i="3" s="1"/>
  <c r="Z95" i="3"/>
  <c r="Y95" i="3"/>
  <c r="W95" i="3"/>
  <c r="V95" i="3"/>
  <c r="U95" i="3"/>
  <c r="V91" i="3"/>
  <c r="U91" i="3"/>
  <c r="F37" i="18"/>
  <c r="Z106" i="3"/>
  <c r="Y106" i="3"/>
  <c r="Z101" i="3"/>
  <c r="I60" i="20" s="1"/>
  <c r="Y101" i="3"/>
  <c r="H60" i="20" s="1"/>
  <c r="X101" i="3"/>
  <c r="G60" i="20" s="1"/>
  <c r="W101" i="3"/>
  <c r="F60" i="20" s="1"/>
  <c r="V101" i="3"/>
  <c r="E60" i="20" s="1"/>
  <c r="U101" i="3"/>
  <c r="D60" i="20" s="1"/>
  <c r="T101" i="3"/>
  <c r="C60" i="20" s="1"/>
  <c r="X95" i="3"/>
  <c r="Y91" i="3"/>
  <c r="X91" i="3"/>
  <c r="W91" i="3"/>
  <c r="T91" i="3"/>
  <c r="C35" i="18"/>
  <c r="Z75" i="3"/>
  <c r="Z78" i="3" s="1"/>
  <c r="Y75" i="3"/>
  <c r="Y78" i="3" s="1"/>
  <c r="X75" i="3"/>
  <c r="X78" i="3" s="1"/>
  <c r="W75" i="3"/>
  <c r="W78" i="3" s="1"/>
  <c r="V75" i="3"/>
  <c r="V78" i="3" s="1"/>
  <c r="U75" i="3"/>
  <c r="U78" i="3" s="1"/>
  <c r="T75" i="3"/>
  <c r="T78" i="3" s="1"/>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G15" i="8"/>
  <c r="E15" i="8"/>
  <c r="C15" i="8"/>
  <c r="F7" i="8"/>
  <c r="C7" i="8"/>
  <c r="F6" i="8"/>
  <c r="G5" i="8"/>
  <c r="D5" i="8"/>
  <c r="D32" i="8" s="1"/>
  <c r="F13" i="7"/>
  <c r="D13" i="7"/>
  <c r="F7" i="7"/>
  <c r="C6" i="7"/>
  <c r="V15" i="6"/>
  <c r="R15" i="6"/>
  <c r="U6" i="6"/>
  <c r="R6" i="6"/>
  <c r="P6" i="6"/>
  <c r="Q5" i="6"/>
  <c r="G15" i="6"/>
  <c r="C15" i="6"/>
  <c r="E5" i="6"/>
  <c r="C5" i="6"/>
  <c r="R7" i="5"/>
  <c r="F21" i="8"/>
  <c r="D21" i="8"/>
  <c r="C21" i="8"/>
  <c r="E20" i="8"/>
  <c r="D20"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A34" i="5" l="1"/>
  <c r="AA35" i="5" s="1"/>
  <c r="L10" i="5"/>
  <c r="L19" i="5" s="1"/>
  <c r="K19" i="5"/>
  <c r="H6" i="14"/>
  <c r="H40" i="14" s="1"/>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T70" i="3"/>
  <c r="C31" i="16"/>
  <c r="F21" i="18"/>
  <c r="C19" i="18"/>
  <c r="C21" i="18"/>
  <c r="F19" i="18"/>
  <c r="F11" i="18"/>
  <c r="F13" i="18"/>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F48" i="14"/>
  <c r="D48" i="14"/>
  <c r="E40" i="14"/>
  <c r="C33" i="14"/>
  <c r="G48" i="14"/>
  <c r="F40" i="14"/>
  <c r="E48" i="14"/>
  <c r="G40" i="14"/>
  <c r="D40" i="14"/>
  <c r="C40" i="14"/>
  <c r="D29" i="12"/>
  <c r="F28" i="12"/>
  <c r="E19" i="12"/>
  <c r="H18" i="12"/>
  <c r="I18" i="12" s="1"/>
  <c r="J18" i="12" s="1"/>
  <c r="K18" i="12" s="1"/>
  <c r="L18"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C179" i="3" s="1"/>
  <c r="AA143" i="3"/>
  <c r="G31" i="12"/>
  <c r="Q143" i="3"/>
  <c r="G46" i="17" s="1"/>
  <c r="F31" i="12"/>
  <c r="P143" i="3"/>
  <c r="F46" i="17" s="1"/>
  <c r="E31" i="12"/>
  <c r="O143" i="3"/>
  <c r="E46" i="17" s="1"/>
  <c r="D31" i="12"/>
  <c r="N143" i="3"/>
  <c r="D46" i="17" s="1"/>
  <c r="C31" i="12"/>
  <c r="M143" i="3"/>
  <c r="C46" i="17" s="1"/>
  <c r="AC109" i="3"/>
  <c r="Q109" i="3"/>
  <c r="Q154" i="3"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I7" i="14"/>
  <c r="H41" i="14"/>
  <c r="G4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AC163" i="3" l="1"/>
  <c r="AC166" i="3"/>
  <c r="I6" i="14"/>
  <c r="I40" i="14" s="1"/>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4" i="12"/>
  <c r="C61"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67" i="3"/>
  <c r="I63" i="17" s="1"/>
  <c r="AC123" i="3"/>
  <c r="I28" i="17" s="1"/>
  <c r="I33" i="17" s="1"/>
  <c r="C22" i="16"/>
  <c r="AC154" i="3"/>
  <c r="AC136" i="3"/>
  <c r="L61" i="19"/>
  <c r="Q136" i="3"/>
  <c r="L72" i="19" s="1"/>
  <c r="C18" i="16"/>
  <c r="I18" i="17"/>
  <c r="F52" i="16"/>
  <c r="I75" i="17"/>
  <c r="F53" i="16"/>
  <c r="I76" i="17"/>
  <c r="F54" i="16"/>
  <c r="I77" i="17"/>
  <c r="AC165" i="3"/>
  <c r="I6" i="17"/>
  <c r="C23" i="14"/>
  <c r="C41" i="12"/>
  <c r="C51" i="12"/>
  <c r="C33" i="16"/>
  <c r="F18" i="1"/>
  <c r="AC168" i="3"/>
  <c r="AC171" i="3"/>
  <c r="I67" i="17" s="1"/>
  <c r="C32" i="12"/>
  <c r="D32" i="12"/>
  <c r="F32" i="12"/>
  <c r="E32" i="12"/>
  <c r="G32" i="12"/>
  <c r="I5" i="6"/>
  <c r="H10" i="6"/>
  <c r="H19" i="6"/>
  <c r="AC143" i="3"/>
  <c r="I46" i="17" s="1"/>
  <c r="AC142"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I17" i="5"/>
  <c r="J5" i="5"/>
  <c r="I14" i="5"/>
  <c r="I24" i="5"/>
  <c r="I41" i="5"/>
  <c r="J6" i="14" l="1"/>
  <c r="J40" i="14" s="1"/>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J17" i="5"/>
  <c r="K5" i="5"/>
  <c r="J14" i="5"/>
  <c r="J24" i="5"/>
  <c r="J41" i="5"/>
  <c r="H16" i="5"/>
  <c r="K6" i="14" l="1"/>
  <c r="K40" i="14" s="1"/>
  <c r="K5" i="12"/>
  <c r="K6" i="11"/>
  <c r="F13" i="12"/>
  <c r="J26" i="8"/>
  <c r="J19" i="8"/>
  <c r="J14" i="8"/>
  <c r="K5" i="8"/>
  <c r="K32" i="8" s="1"/>
  <c r="C57" i="12"/>
  <c r="C39" i="12"/>
  <c r="C15" i="11"/>
  <c r="C26" i="16"/>
  <c r="F23" i="16" s="1"/>
  <c r="F13" i="1"/>
  <c r="G13" i="12"/>
  <c r="E13" i="12"/>
  <c r="C33" i="12"/>
  <c r="D13" i="12"/>
  <c r="C42" i="16"/>
  <c r="I55" i="17"/>
  <c r="F4" i="1"/>
  <c r="I8" i="17"/>
  <c r="F10" i="1"/>
  <c r="C41" i="16"/>
  <c r="F48" i="16"/>
  <c r="F15" i="1"/>
  <c r="C39" i="16"/>
  <c r="F8" i="1"/>
  <c r="D7" i="11"/>
  <c r="D8" i="12"/>
  <c r="G7" i="11"/>
  <c r="G8" i="12"/>
  <c r="G43" i="14"/>
  <c r="G49" i="14"/>
  <c r="K5" i="6"/>
  <c r="J19" i="6"/>
  <c r="J10" i="6"/>
  <c r="G33" i="12"/>
  <c r="H47" i="14"/>
  <c r="AC151" i="3"/>
  <c r="C7" i="16"/>
  <c r="AC152" i="3"/>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17" i="5"/>
  <c r="L5" i="5"/>
  <c r="K14" i="5"/>
  <c r="K24" i="5"/>
  <c r="K41" i="5"/>
  <c r="L6" i="14" l="1"/>
  <c r="L40" i="14" s="1"/>
  <c r="L5" i="12"/>
  <c r="L6" i="11"/>
  <c r="F14" i="12"/>
  <c r="K26" i="8"/>
  <c r="L5" i="8"/>
  <c r="L32" i="8" s="1"/>
  <c r="K19" i="8"/>
  <c r="K14" i="8"/>
  <c r="E14" i="12"/>
  <c r="G14" i="12"/>
  <c r="C34" i="12"/>
  <c r="D14" i="12"/>
  <c r="C11" i="16"/>
  <c r="I12" i="17"/>
  <c r="C12" i="16"/>
  <c r="I13" i="17"/>
  <c r="D34" i="12"/>
  <c r="D43" i="14"/>
  <c r="G34" i="12"/>
  <c r="D45" i="14"/>
  <c r="L5" i="6"/>
  <c r="K19"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L17" i="5"/>
  <c r="I16" i="5"/>
  <c r="L14" i="5"/>
  <c r="L24" i="5"/>
  <c r="L41" i="5"/>
  <c r="J16" i="5"/>
  <c r="L14" i="8" l="1"/>
  <c r="L19" i="8"/>
  <c r="L26" i="8"/>
  <c r="L10" i="6"/>
  <c r="L19" i="6"/>
  <c r="C29" i="14"/>
  <c r="K27" i="12"/>
  <c r="K11" i="12"/>
  <c r="K17" i="12"/>
  <c r="K22" i="12"/>
  <c r="L42" i="14"/>
  <c r="L46" i="14"/>
  <c r="L44" i="14"/>
  <c r="L48" i="14" s="1"/>
  <c r="K47" i="14"/>
  <c r="K49" i="14"/>
  <c r="C31" i="14" l="1"/>
  <c r="C34" i="14" s="1"/>
  <c r="C36" i="14" s="1"/>
  <c r="C16" i="14" s="1"/>
  <c r="L11" i="12"/>
  <c r="L17" i="12"/>
  <c r="L22" i="12"/>
  <c r="L27" i="12"/>
  <c r="L49" i="14"/>
  <c r="L47" i="14"/>
  <c r="K16" i="5"/>
  <c r="L16" i="5" l="1"/>
  <c r="AC66" i="3" l="1"/>
  <c r="H11" i="5" l="1"/>
  <c r="H15" i="5"/>
  <c r="H20" i="5" l="1"/>
  <c r="H7" i="7"/>
  <c r="H6" i="12"/>
  <c r="H12" i="12" s="1"/>
  <c r="H6" i="8"/>
  <c r="H6" i="6"/>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3" i="12" s="1"/>
  <c r="H28" i="8" l="1"/>
  <c r="I11" i="5"/>
  <c r="I15" i="5"/>
  <c r="H8" i="12" l="1"/>
  <c r="H14" i="12" s="1"/>
  <c r="H7" i="11"/>
  <c r="H10" i="11" s="1"/>
  <c r="I20" i="5"/>
  <c r="I7" i="7"/>
  <c r="I13" i="7" s="1"/>
  <c r="I28" i="7" s="1"/>
  <c r="I6" i="12"/>
  <c r="I12" i="12" s="1"/>
  <c r="I6" i="8"/>
  <c r="I6" i="6"/>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3" i="12"/>
  <c r="I8" i="12" l="1"/>
  <c r="I14" i="12" s="1"/>
  <c r="I7" i="11"/>
  <c r="I10" i="11" s="1"/>
  <c r="J11" i="5"/>
  <c r="J15" i="5"/>
  <c r="J6" i="12" l="1"/>
  <c r="J12" i="12" s="1"/>
  <c r="J7" i="7"/>
  <c r="J13" i="7" s="1"/>
  <c r="J28" i="7" s="1"/>
  <c r="J20" i="5"/>
  <c r="J36" i="7"/>
  <c r="J42" i="7"/>
  <c r="J45" i="7"/>
  <c r="J21" i="8" s="1"/>
  <c r="J6" i="6"/>
  <c r="J6" i="8"/>
  <c r="J44" i="7"/>
  <c r="J20" i="8"/>
  <c r="J14" i="6" l="1"/>
  <c r="J13" i="6"/>
  <c r="J12" i="6"/>
  <c r="J15" i="6" l="1"/>
  <c r="J8" i="7"/>
  <c r="J7" i="8"/>
  <c r="J8" i="8" s="1"/>
  <c r="J9" i="8" l="1"/>
  <c r="J10" i="8" s="1"/>
  <c r="J24" i="6"/>
  <c r="J14" i="7"/>
  <c r="J29" i="7" s="1"/>
  <c r="J15" i="7"/>
  <c r="J30" i="7" s="1"/>
  <c r="J33" i="8"/>
  <c r="J35" i="7" l="1"/>
  <c r="J22" i="8" s="1"/>
  <c r="J27" i="8"/>
  <c r="J7" i="12"/>
  <c r="J34" i="8"/>
  <c r="J28" i="8" l="1"/>
  <c r="J13" i="12"/>
  <c r="J7" i="11" l="1"/>
  <c r="J10" i="11" s="1"/>
  <c r="J8" i="12"/>
  <c r="J14" i="12" s="1"/>
  <c r="K11" i="5"/>
  <c r="K15" i="5"/>
  <c r="K6" i="6" l="1"/>
  <c r="K6" i="12"/>
  <c r="K12"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3" i="12"/>
  <c r="K8" i="12" l="1"/>
  <c r="K14" i="12" s="1"/>
  <c r="K7" i="11"/>
  <c r="K10" i="11" s="1"/>
  <c r="L11" i="5"/>
  <c r="L15" i="5"/>
  <c r="L6" i="6" l="1"/>
  <c r="L6" i="12"/>
  <c r="L20" i="5"/>
  <c r="L6" i="8"/>
  <c r="L7" i="7"/>
  <c r="L14" i="6" l="1"/>
  <c r="L13" i="6"/>
  <c r="L12" i="6"/>
  <c r="C48" i="12"/>
  <c r="C52" i="12" s="1"/>
  <c r="C53" i="12" s="1"/>
  <c r="C7" i="13" s="1"/>
  <c r="I5" i="1" s="1"/>
  <c r="L12"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3" i="12"/>
  <c r="C38" i="12"/>
  <c r="C42" i="12" s="1"/>
  <c r="C43" i="12" s="1"/>
  <c r="C45" i="12" s="1"/>
  <c r="C6" i="13" s="1"/>
  <c r="I4" i="1" s="1"/>
  <c r="L8" i="12" l="1"/>
  <c r="L7" i="11"/>
  <c r="L10" i="11" l="1"/>
  <c r="C19" i="11" s="1"/>
  <c r="L8" i="11"/>
  <c r="L11" i="11" s="1"/>
  <c r="C20" i="11" s="1"/>
  <c r="C56" i="12"/>
  <c r="C59" i="12" s="1"/>
  <c r="C60" i="12" s="1"/>
  <c r="C62" i="12" s="1"/>
  <c r="C8" i="13" s="1"/>
  <c r="I6" i="1" s="1"/>
  <c r="L14" i="12"/>
  <c r="C21" i="11" l="1"/>
  <c r="C24" i="11" s="1"/>
  <c r="C26" i="11" s="1"/>
  <c r="C5" i="13" s="1"/>
  <c r="I3" i="1" l="1"/>
  <c r="C9" i="13"/>
  <c r="C11" i="13" l="1"/>
  <c r="I8" i="1" s="1"/>
  <c r="I7" i="1"/>
  <c r="AE6" i="5"/>
  <c r="AE7" i="5"/>
  <c r="AE31" i="5" s="1"/>
  <c r="AE8" i="5"/>
  <c r="AA11" i="5"/>
  <c r="AA15" i="5"/>
  <c r="AA16" i="5"/>
  <c r="AA17" i="5"/>
  <c r="X6" i="6" l="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<sst xmlns="http://schemas.openxmlformats.org/spreadsheetml/2006/main" count="811" uniqueCount="423">
  <si>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</si>
  <si>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</si>
  <si>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</si>
  <si>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</si>
  <si>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</si>
  <si>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</si>
  <si>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</si>
  <si>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</si>
  <si>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</si>
  <si>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</si>
  <si>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</si>
  <si>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</si>
  <si>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</si>
  <si>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</si>
  <si>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</si>
  <si>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</si>
  <si>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</si>
  <si>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</si>
  <si>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</si>
  <si>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</si>
  <si>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</si>
  <si>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</si>
  <si>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</si>
  <si>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</si>
  <si>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</si>
  <si>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</si>
  <si>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</si>
  <si>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</si>
  <si>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</si>
  <si>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</si>
  <si>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</si>
  <si>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</si>
  <si>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</si>
  <si>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</si>
  <si>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</si>
  <si>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</si>
  <si>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</si>
  <si>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</si>
  <si>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</si>
  <si>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</si>
  <si>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</si>
  <si>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</si>
  <si>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</si>
  <si>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</si>
  <si>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</si>
  <si>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</si>
  <si>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</si>
  <si>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</si>
  <si>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</si>
  <si>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</si>
  <si>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</si>
  <si>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</si>
  <si>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</si>
  <si>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</si>
  <si>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</si>
  <si>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</si>
  <si>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</si>
  <si>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</si>
  <si>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</si>
  <si>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</si>
  <si>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</si>
  <si>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</si>
  <si>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</si>
  <si>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</si>
  <si>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</si>
  <si>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</si>
  <si>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</si>
  <si>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</si>
  <si>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</si>
  <si>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</si>
  <si>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</si>
  <si>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</si>
  <si>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</si>
  <si>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</si>
  <si>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</si>
  <si>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</si>
  <si>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</si>
  <si>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</si>
  <si>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</si>
  <si>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</si>
  <si>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</si>
  <si>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</si>
  <si>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</si>
  <si>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</si>
  <si>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</si>
  <si>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</si>
  <si>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</si>
  <si>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</si>
  <si>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</si>
  <si>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</si>
  <si>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</si>
  <si>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</si>
  <si>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</si>
  <si>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</si>
  <si>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</si>
  <si>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</si>
  <si>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</si>
  <si>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</si>
  <si>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</si>
  <si>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</si>
  <si>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</si>
  <si>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</si>
  <si>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</si>
  <si>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</si>
  <si>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</si>
  <si>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</si>
  <si>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</si>
  <si>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</si>
  <si>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</si>
  <si>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</si>
  <si>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</si>
  <si>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</si>
  <si>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</si>
  <si>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</si>
  <si>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</si>
  <si>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</si>
  <si>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</si>
  <si>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</si>
  <si>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</si>
  <si>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</si>
  <si>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</si>
  <si>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</si>
  <si>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</si>
  <si>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</si>
  <si>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</si>
  <si>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</si>
  <si>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</si>
  <si>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</si>
  <si>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</si>
  <si>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</si>
  <si>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</si>
  <si>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</si>
  <si>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</si>
  <si>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</si>
  <si>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</si>
  <si>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</si>
  <si>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</si>
  <si>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</si>
  <si>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</si>
  <si>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</si>
  <si>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</si>
  <si>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</si>
  <si>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</si>
  <si>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</si>
  <si>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</si>
  <si>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</si>
  <si>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</si>
  <si>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</si>
  <si>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</si>
  <si>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</si>
  <si>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</si>
  <si>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</si>
  <si>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</si>
  <si>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</si>
  <si>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</si>
  <si>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</si>
  <si>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</si>
  <si>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</si>
  <si>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</si>
  <si>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</si>
  <si>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</si>
  <si>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</si>
  <si>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</si>
  <si>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</si>
  <si>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</si>
  <si>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</si>
  <si>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</si>
  <si>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</si>
  <si>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</si>
  <si>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</si>
  <si>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</si>
  <si>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</si>
  <si>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</si>
  <si>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</si>
  <si>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</si>
  <si>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</si>
  <si>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</si>
  <si>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</si>
  <si>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</si>
  <si>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</si>
  <si>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</si>
  <si>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</si>
  <si>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</si>
  <si>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</si>
  <si>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</si>
  <si>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</si>
  <si>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</si>
  <si>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</si>
  <si>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</si>
  <si>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</si>
  <si>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</si>
  <si>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</si>
  <si>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</si>
  <si>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</si>
  <si>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</si>
  <si>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</si>
  <si>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</si>
  <si>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</si>
  <si>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</si>
  <si>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</si>
  <si>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</si>
  <si>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</si>
  <si>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</si>
  <si>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</si>
  <si>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</si>
  <si>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</si>
  <si>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</si>
  <si>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</si>
  <si>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</si>
  <si>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</si>
  <si>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</si>
  <si>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</si>
  <si>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</si>
  <si>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</si>
  <si>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</si>
  <si>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</si>
  <si>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</si>
  <si>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</si>
  <si>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</si>
  <si>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</si>
  <si>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</si>
  <si>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</si>
  <si>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</si>
  <si>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</si>
  <si>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</si>
  <si>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</si>
  <si>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</si>
  <si>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</si>
  <si>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</si>
  <si>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</si>
  <si>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</si>
  <si>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</si>
  <si>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</si>
  <si>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</si>
  <si>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</si>
  <si>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</si>
  <si>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</si>
  <si>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</si>
  <si>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</si>
  <si>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</si>
  <si>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</si>
  <si>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</si>
  <si>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</si>
  <si>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</si>
  <si>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</si>
  <si>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</si>
  <si>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</si>
  <si>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</si>
  <si>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</si>
  <si>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</si>
  <si>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</si>
  <si>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</si>
  <si>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</si>
  <si>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</si>
  <si>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</si>
  <si>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</si>
  <si>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</si>
  <si>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</si>
  <si>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</si>
  <si>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</si>
  <si>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</si>
  <si>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</si>
  <si>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</si>
  <si>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</si>
  <si>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</si>
  <si>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</si>
  <si>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</si>
  <si>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</si>
  <si>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</si>
  <si>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</si>
  <si>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</si>
  <si>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</si>
  <si>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</si>
  <si>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</si>
  <si>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</si>
  <si>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</si>
  <si>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</si>
  <si>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</si>
  <si>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</si>
  <si>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</si>
  <si>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</si>
  <si>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</si>
  <si>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</si>
  <si>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</si>
  <si>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</si>
  <si>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</si>
  <si>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</si>
  <si>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</si>
  <si>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</si>
  <si>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</si>
  <si>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</si>
  <si>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</si>
  <si>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</si>
  <si>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</si>
  <si>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</si>
  <si>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</si>
  <si>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</si>
  <si>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</si>
  <si>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</si>
  <si>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</si>
  <si>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</si>
  <si>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</si>
  <si>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</si>
  <si>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</si>
  <si>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</si>
  <si>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</si>
  <si>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</si>
  <si>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</si>
  <si>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</si>
  <si>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</si>
  <si>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</si>
  <si>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</si>
  <si>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</si>
  <si>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</si>
  <si>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</si>
  <si>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</si>
  <si>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</si>
  <si>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</si>
  <si>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</si>
  <si>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</si>
  <si>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</si>
  <si>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</si>
  <si>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</si>
  <si>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</si>
  <si>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</si>
  <si>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</si>
  <si>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</si>
  <si>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</si>
  <si>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</si>
  <si>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</si>
  <si>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</si>
  <si>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</si>
  <si>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</si>
  <si>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</si>
  <si>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</si>
  <si>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</si>
  <si>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</si>
  <si>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</si>
  <si>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</si>
  <si>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</si>
  <si>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</si>
  <si>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</si>
  <si>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</si>
  <si>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</si>
  <si>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</si>
  <si>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</si>
  <si>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</si>
  <si>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</si>
  <si>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</si>
  <si>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</si>
  <si>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</si>
  <si>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</si>
  <si>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</si>
  <si>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</si>
  <si>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</si>
  <si>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</si>
  <si>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</si>
  <si>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</si>
  <si>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</si>
  <si>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</si>
  <si>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</si>
  <si>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</si>
  <si>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</si>
  <si>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</si>
  <si>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</si>
  <si>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</si>
  <si>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</si>
  <si>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</si>
  <si>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</si>
  <si>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</si>
  <si>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</si>
  <si>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</si>
  <si>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</si>
  <si>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</si>
  <si>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</si>
  <si>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</si>
  <si>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</si>
  <si>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</si>
  <si>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</si>
  <si>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</si>
  <si>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</si>
  <si>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</si>
  <si>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</si>
  <si>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</si>
  <si>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</si>
  <si>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</si>
  <si>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</si>
  <si>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</si>
  <si>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</si>
  <si>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</si>
  <si>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</si>
  <si>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</si>
  <si>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</si>
  <si>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</si>
  <si>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</si>
  <si>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</si>
  <si>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30.06.2024</t>
  </si>
  <si>
    <t>30.09.2024</t>
  </si>
  <si>
    <t>31.03.2025</t>
  </si>
  <si>
    <t>30.06.2025</t>
  </si>
  <si>
    <t>30.09.2025</t>
  </si>
  <si>
    <t>31.03.2026</t>
  </si>
  <si>
    <t>Q2 2024</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</si>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</sst>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178327</c:v>
                </c:pt>
                <c:pt idx="1">
                  <c:v>192594</c:v>
                </c:pt>
                <c:pt idx="2">
                  <c:v>209550</c:v>
                </c:pt>
                <c:pt idx="3">
                  <c:v>230743</c:v>
                </c:pt>
                <c:pt idx="4">
                  <c:v>252265</c:v>
                </c:pt>
                <c:pt idx="5">
                  <c:v>271713</c:v>
                </c:pt>
                <c:pt idx="6">
                  <c:v>282868</c:v>
                </c:pt>
                <c:pt idx="7">
                  <c:v>291967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18700</c:v>
                </c:pt>
                <c:pt idx="1">
                  <c:v>13574</c:v>
                </c:pt>
                <c:pt idx="2">
                  <c:v>13882</c:v>
                </c:pt>
                <c:pt idx="3">
                  <c:v>23594</c:v>
                </c:pt>
                <c:pt idx="4">
                  <c:v>33363</c:v>
                </c:pt>
                <c:pt idx="5">
                  <c:v>35159</c:v>
                </c:pt>
                <c:pt idx="6">
                  <c:v>43454</c:v>
                </c:pt>
                <c:pt idx="7">
                  <c:v>44527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24351</c:v>
                </c:pt>
                <c:pt idx="1">
                  <c:v>23360</c:v>
                </c:pt>
                <c:pt idx="2">
                  <c:v>13907</c:v>
                </c:pt>
                <c:pt idx="3">
                  <c:v>35135</c:v>
                </c:pt>
                <c:pt idx="4">
                  <c:v>44781</c:v>
                </c:pt>
                <c:pt idx="5">
                  <c:v>35495</c:v>
                </c:pt>
                <c:pt idx="6">
                  <c:v>41954</c:v>
                </c:pt>
                <c:pt idx="7">
                  <c:v>43460</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0.73448215917948489</c:v>
                </c:pt>
                <c:pt idx="1">
                  <c:v>0.72906736450772092</c:v>
                </c:pt>
                <c:pt idx="2">
                  <c:v>0.71880219518014798</c:v>
                </c:pt>
                <c:pt idx="3">
                  <c:v>0.71116350225142255</c:v>
                </c:pt>
                <c:pt idx="4">
                  <c:v>0.7237666739341565</c:v>
                </c:pt>
                <c:pt idx="5">
                  <c:v>0.72470216736041337</c:v>
                </c:pt>
                <c:pt idx="6">
                  <c:v>0.72779176152834535</c:v>
                </c:pt>
                <c:pt idx="7">
                  <c:v>0.72986330646956676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0.10486353720973268</c:v>
                </c:pt>
                <c:pt idx="1">
                  <c:v>7.0479869570183915E-2</c:v>
                </c:pt>
                <c:pt idx="2">
                  <c:v>6.624671916010498E-2</c:v>
                </c:pt>
                <c:pt idx="3">
                  <c:v>0.10225228934355539</c:v>
                </c:pt>
                <c:pt idx="4">
                  <c:v>0.13225378074643729</c:v>
                </c:pt>
                <c:pt idx="5">
                  <c:v>0.12939756286964554</c:v>
                </c:pt>
                <c:pt idx="6">
                  <c:v>0.15361935602471824</c:v>
                </c:pt>
                <c:pt idx="7">
                  <c:v>0.15250696140317227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0.13655251307990376</c:v>
                </c:pt>
                <c:pt idx="1">
                  <c:v>0.12129142133192104</c:v>
                </c:pt>
                <c:pt idx="2">
                  <c:v>6.6366022429014557E-2</c:v>
                </c:pt>
                <c:pt idx="3">
                  <c:v>0.15226897457344318</c:v>
                </c:pt>
                <c:pt idx="4">
                  <c:v>0.1775157076883436</c:v>
                </c:pt>
                <c:pt idx="5">
                  <c:v>0.13063416178099685</c:v>
                </c:pt>
                <c:pt idx="6">
                  <c:v>0.14831652926453329</c:v>
                </c:pt>
                <c:pt idx="7">
                  <c:v>0.14885243880301541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143909</c:v>
                </c:pt>
                <c:pt idx="1">
                  <c:v>157617</c:v>
                </c:pt>
                <c:pt idx="2">
                  <c:v>174317</c:v>
                </c:pt>
                <c:pt idx="3">
                  <c:v>190987</c:v>
                </c:pt>
                <c:pt idx="4">
                  <c:v>210678</c:v>
                </c:pt>
                <c:pt idx="5">
                  <c:v>229491</c:v>
                </c:pt>
                <c:pt idx="6">
                  <c:v>242286</c:v>
                </c:pt>
                <c:pt idx="7">
                  <c:v>250908</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13258</c:v>
                </c:pt>
                <c:pt idx="1">
                  <c:v>14405</c:v>
                </c:pt>
                <c:pt idx="2">
                  <c:v>14292</c:v>
                </c:pt>
                <c:pt idx="3">
                  <c:v>17882</c:v>
                </c:pt>
                <c:pt idx="4">
                  <c:v>20603</c:v>
                </c:pt>
                <c:pt idx="5">
                  <c:v>21019</c:v>
                </c:pt>
                <c:pt idx="6">
                  <c:v>20221</c:v>
                </c:pt>
                <c:pt idx="7">
                  <c:v>20614</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10698</c:v>
                </c:pt>
                <c:pt idx="1">
                  <c:v>10772</c:v>
                </c:pt>
                <c:pt idx="2">
                  <c:v>11415</c:v>
                </c:pt>
                <c:pt idx="3">
                  <c:v>11986</c:v>
                </c:pt>
                <c:pt idx="4">
                  <c:v>10088</c:v>
                </c:pt>
                <c:pt idx="5">
                  <c:v>9649</c:v>
                </c:pt>
                <c:pt idx="6">
                  <c:v>10283</c:v>
                </c:pt>
                <c:pt idx="7">
                  <c:v>11317</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10176</c:v>
                </c:pt>
                <c:pt idx="1">
                  <c:v>9411</c:v>
                </c:pt>
                <c:pt idx="2">
                  <c:v>9142</c:v>
                </c:pt>
                <c:pt idx="3">
                  <c:v>9442</c:v>
                </c:pt>
                <c:pt idx="4">
                  <c:v>10390</c:v>
                </c:pt>
                <c:pt idx="5">
                  <c:v>11096</c:v>
                </c:pt>
                <c:pt idx="6">
                  <c:v>9551</c:v>
                </c:pt>
                <c:pt idx="7">
                  <c:v>8446</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286</c:v>
                </c:pt>
                <c:pt idx="1">
                  <c:v>389</c:v>
                </c:pt>
                <c:pt idx="2">
                  <c:v>384</c:v>
                </c:pt>
                <c:pt idx="3">
                  <c:v>446</c:v>
                </c:pt>
                <c:pt idx="4">
                  <c:v>506</c:v>
                </c:pt>
                <c:pt idx="5">
                  <c:v>458</c:v>
                </c:pt>
                <c:pt idx="6">
                  <c:v>527</c:v>
                </c:pt>
                <c:pt idx="7">
                  <c:v>682</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26986</c:v>
                </c:pt>
                <c:pt idx="1">
                  <c:v>22285</c:v>
                </c:pt>
                <c:pt idx="2">
                  <c:v>51117</c:v>
                </c:pt>
                <c:pt idx="3">
                  <c:v>71994</c:v>
                </c:pt>
                <c:pt idx="4">
                  <c:v>51732</c:v>
                </c:pt>
                <c:pt idx="5">
                  <c:v>41791</c:v>
                </c:pt>
                <c:pt idx="6">
                  <c:v>57470</c:v>
                </c:pt>
                <c:pt idx="7">
                  <c:v>113139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468</v>
    <v>87.89</v>
    <v>0.87080000000000002</v>
    <v>4.5449999999999999</v>
    <v>3.7495000000000001E-2</v>
    <v>-0.56000000000000005</v>
    <v>-4.4529999999999995E-3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126.88</v>
    <v>Software &amp; IT Services</v>
    <v>Stock</v>
    <v>46205.99772239531</v>
    <v>0</v>
    <v>115.51</v>
    <v>5859550771</v>
    <v>DUOLINGO, INC.</v>
    <v>DUOLINGO, INC.</v>
    <v>119.99</v>
    <v>14.028499999999999</v>
    <v>121.215</v>
    <v>125.76</v>
    <v>125.2</v>
    <v>46593120</v>
    <v>DUOL</v>
    <v>DUOLINGO, INC. (XNAS:DUOL)</v>
    <v>1002431</v>
    <v>1530289</v>
    <v>2011</v>
  </rv>
  <rv s="2">
    <v>1</v>
  </rv>
  <rv s="0">
    <v>https://www.bing.com/financeapi/forcetrigger?t=a33knm&amp;q=10+Y+TSY+YLD+NDX&amp;form=skydnc</v>
    <v>Learn more on Bing</v>
  </rv>
  <rv s="3">
    <v>5</v>
    <v>10 Y TSY YLD NDX</v>
    <v>6</v>
    <v>7</v>
    <v>Finance</v>
    <v>8</v>
    <v>en-US</v>
    <v>a33knm</v>
    <v>268435456</v>
    <v>1</v>
    <v>Powered by Refinitiv</v>
    <v>46.87</v>
    <v>39.47</v>
    <v>0.1</v>
    <v>2.235E-3</v>
    <v>US</v>
    <v>45.05</v>
    <v>Index</v>
    <v>3</v>
    <v>44.53</v>
    <v>10 Y TSY YLD NDX</v>
    <v>45.03</v>
    <v>44.75</v>
    <v>44.85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5"/>
  <sheetViews>
    <sheetView tabSelected="1" topLeftCell="A38" zoomScale="160" zoomScaleNormal="160" workbookViewId="0">
      <selection activeCell="C44" sqref="C4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1" t="s">
        <v>18</v>
      </c>
      <c r="C2" s="252"/>
      <c r="E2" s="251" t="s">
        <v>296</v>
      </c>
      <c r="F2" s="252"/>
      <c r="H2" s="251" t="s">
        <v>338</v>
      </c>
      <c r="I2" s="252"/>
    </row>
    <row r="3" spans="2:9" x14ac:dyDescent="0.2">
      <c r="B3" s="187" t="s">
        <v>11</v>
      </c>
      <c r="C3" s="219" t="e" vm="1">
        <v>#VALUE!</v>
      </c>
      <c r="D3" s="2"/>
      <c r="E3" s="187" t="s">
        <v>248</v>
      </c>
      <c r="F3" s="189">
        <f ca="1">Statement!AC149</f>
        <v>6135453.1200000001</v>
      </c>
      <c r="H3" s="187" t="str">
        <f>'AVG target price'!B5</f>
        <v>DCF price</v>
      </c>
      <c r="I3" s="213">
        <f>'AVG target price'!C5</f>
        <v>130.91279024586424</v>
      </c>
    </row>
    <row r="4" spans="2:9" x14ac:dyDescent="0.2">
      <c r="B4" s="187" t="s">
        <v>0</v>
      </c>
      <c r="C4" s="191" t="str" cm="1">
        <f t="array" aca="1" ref="C4" ca="1">_FV(C3,"Ticker symbol",TRUE)</f>
        <v>DUOL</v>
      </c>
      <c r="E4" s="188" t="s">
        <v>192</v>
      </c>
      <c r="F4" s="190">
        <f ca="1">Statement!AC150</f>
        <v>4743632.12</v>
      </c>
      <c r="H4" s="187" t="str">
        <f>'AVG target price'!B6</f>
        <v>EV/EBIT price</v>
      </c>
      <c r="I4" s="213">
        <f>'AVG target price'!C6</f>
        <v>171.70850800265185</v>
      </c>
    </row>
    <row r="5" spans="2:9" x14ac:dyDescent="0.2">
      <c r="B5" s="187" t="s">
        <v>1</v>
      </c>
      <c r="C5" s="210" cm="1">
        <f t="array" aca="1" ref="C5" ca="1">_FV(C3,"Price",TRUE)</f>
        <v>125.76</v>
      </c>
      <c r="E5" s="187" t="s">
        <v>252</v>
      </c>
      <c r="F5" s="192">
        <f>Statement!AC26</f>
        <v>3.3905969152350983</v>
      </c>
      <c r="H5" s="187" t="str">
        <f>'AVG target price'!B7</f>
        <v>PS price</v>
      </c>
      <c r="I5" s="213">
        <f>'AVG target price'!C7</f>
        <v>125.97575087695434</v>
      </c>
    </row>
    <row r="6" spans="2:9" x14ac:dyDescent="0.2">
      <c r="B6" s="187" t="s">
        <v>2</v>
      </c>
      <c r="C6" s="210" cm="1">
        <f t="array" aca="1" ref="C6" ca="1">_FV(C3,"Price (Extended hours)",TRUE)</f>
        <v>125.2</v>
      </c>
      <c r="E6" s="187" t="s">
        <v>246</v>
      </c>
      <c r="F6" s="192">
        <f ca="1">Statement!AC146</f>
        <v>37.090814138040948</v>
      </c>
      <c r="H6" s="187" t="str">
        <f>'AVG target price'!B8</f>
        <v>EV/FCFF price</v>
      </c>
      <c r="I6" s="213">
        <f>'AVG target price'!C8</f>
        <v>178.77179540465104</v>
      </c>
    </row>
    <row r="7" spans="2:9" x14ac:dyDescent="0.2">
      <c r="B7" s="187" t="s">
        <v>3</v>
      </c>
      <c r="C7" s="6" cm="1">
        <f t="array" aca="1" ref="C7" ca="1">_FV(C3,"Change")</f>
        <v>4.5449999999999999</v>
      </c>
      <c r="E7" s="188" t="s">
        <v>205</v>
      </c>
      <c r="F7" s="193">
        <f ca="1">Statement!AC147</f>
        <v>5.5922547639428393</v>
      </c>
      <c r="H7" s="186" t="str">
        <f>'AVG target price'!B9</f>
        <v>AVG price</v>
      </c>
      <c r="I7" s="214">
        <f>'AVG target price'!C9</f>
        <v>151.84221113253037</v>
      </c>
    </row>
    <row r="8" spans="2:9" x14ac:dyDescent="0.2">
      <c r="B8" s="187" t="s">
        <v>4</v>
      </c>
      <c r="C8" s="6" cm="1">
        <f t="array" aca="1" ref="C8" ca="1">_FV(C3,"Change (extended hours)",TRUE)</f>
        <v>-0.56000000000000005</v>
      </c>
      <c r="E8" s="187" t="s">
        <v>274</v>
      </c>
      <c r="F8" s="194">
        <f ca="1">Statement!AC157</f>
        <v>4.3050121129439907E-2</v>
      </c>
      <c r="H8" s="186" t="str">
        <f>'AVG target price'!B11</f>
        <v>Upside/Downside</v>
      </c>
      <c r="I8" s="215">
        <f ca="1">'AVG target price'!C11</f>
        <v>0.20739671702075668</v>
      </c>
    </row>
    <row r="9" spans="2:9" x14ac:dyDescent="0.2">
      <c r="B9" s="187" t="s">
        <v>5</v>
      </c>
      <c r="C9" s="73" cm="1">
        <f t="array" aca="1" ref="C9" ca="1">_FV(C3,"Change (%)",TRUE)</f>
        <v>3.7495000000000001E-2</v>
      </c>
      <c r="E9" s="187" t="s">
        <v>297</v>
      </c>
      <c r="F9" s="194">
        <f ca="1">Statement!AC158</f>
        <v>2.6960853333612422E-2</v>
      </c>
    </row>
    <row r="10" spans="2:9" x14ac:dyDescent="0.2">
      <c r="B10" s="187" t="s">
        <v>6</v>
      </c>
      <c r="C10" s="73" cm="1">
        <f t="array" aca="1" ref="C10" ca="1">_FV(C3,"Change % (extended hours)",TRUE)</f>
        <v>-4.4529999999999995E-3</v>
      </c>
      <c r="E10" s="187" t="s">
        <v>302</v>
      </c>
      <c r="F10" s="194">
        <f ca="1">Statement!AC160</f>
        <v>3.9656402753184107E-3</v>
      </c>
    </row>
    <row r="11" spans="2:9" x14ac:dyDescent="0.2">
      <c r="B11" s="187" t="s">
        <v>7</v>
      </c>
      <c r="C11" s="211" cm="1">
        <f t="array" aca="1" ref="C11" ca="1">_FV(C3,"52 week high",TRUE)</f>
        <v>468</v>
      </c>
      <c r="E11" s="188" t="s">
        <v>298</v>
      </c>
      <c r="F11" s="195">
        <f ca="1">Statement!AC159</f>
        <v>0</v>
      </c>
    </row>
    <row r="12" spans="2:9" x14ac:dyDescent="0.2">
      <c r="B12" s="187" t="s">
        <v>8</v>
      </c>
      <c r="C12" s="211" cm="1">
        <f t="array" aca="1" ref="C12" ca="1">_FV(C3,"52 week low",TRUE)</f>
        <v>87.89</v>
      </c>
      <c r="E12" s="187" t="s">
        <v>102</v>
      </c>
      <c r="F12" s="194">
        <f>Statement!AC123</f>
        <v>8.0510438805944037E-2</v>
      </c>
    </row>
    <row r="13" spans="2:9" x14ac:dyDescent="0.2">
      <c r="B13" s="187" t="s">
        <v>9</v>
      </c>
      <c r="C13" s="211" cm="1">
        <f t="array" aca="1" ref="C13" ca="1">_FV(C3,"Beta")</f>
        <v>0.87080000000000002</v>
      </c>
      <c r="E13" s="187" t="s">
        <v>104</v>
      </c>
      <c r="F13" s="194">
        <f>Statement!AC125</f>
        <v>0.11905035623855768</v>
      </c>
    </row>
    <row r="14" spans="2:9" x14ac:dyDescent="0.2">
      <c r="B14" s="188" t="s">
        <v>10</v>
      </c>
      <c r="C14" s="212" cm="1">
        <f t="array" aca="1" ref="C14" ca="1">_FV(C3,"Volume average",TRUE)</f>
        <v>1530289</v>
      </c>
      <c r="E14" s="188" t="s">
        <v>105</v>
      </c>
      <c r="F14" s="195">
        <f>Statement!AC136</f>
        <v>-2241.5620934999406</v>
      </c>
    </row>
    <row r="15" spans="2:9" x14ac:dyDescent="0.2">
      <c r="E15" s="187" t="s">
        <v>299</v>
      </c>
      <c r="F15" s="194">
        <f ca="1">Statement!AC172</f>
        <v>0.22684893401972567</v>
      </c>
    </row>
    <row r="16" spans="2:9" x14ac:dyDescent="0.2">
      <c r="E16" s="188" t="s">
        <v>304</v>
      </c>
      <c r="F16" s="193">
        <f>Statement!AC171</f>
        <v>29.871890627347454</v>
      </c>
    </row>
    <row r="17" spans="2:9" x14ac:dyDescent="0.2">
      <c r="B17" s="253" t="s">
        <v>90</v>
      </c>
      <c r="C17" s="253"/>
      <c r="E17" s="186" t="s">
        <v>305</v>
      </c>
      <c r="F17" s="196">
        <f>Statement!AC167</f>
        <v>0.14917908459220694</v>
      </c>
    </row>
    <row r="18" spans="2:9" x14ac:dyDescent="0.2">
      <c r="B18" s="186" t="s">
        <v>12</v>
      </c>
      <c r="C18" s="69" t="s">
        <v>14</v>
      </c>
      <c r="E18" s="187" t="s">
        <v>306</v>
      </c>
      <c r="F18" s="192">
        <f>Statement!AC140</f>
        <v>32.453474658634278</v>
      </c>
      <c r="I18" s="50"/>
    </row>
    <row r="19" spans="2:9" x14ac:dyDescent="0.2">
      <c r="B19" s="186" t="s">
        <v>13</v>
      </c>
      <c r="C19" s="70">
        <v>1000</v>
      </c>
      <c r="E19" s="187" t="s">
        <v>267</v>
      </c>
      <c r="F19" s="192">
        <f>Statement!AC142</f>
        <v>-1.0000409552194194</v>
      </c>
    </row>
    <row r="20" spans="2:9" x14ac:dyDescent="0.2">
      <c r="B20" s="186" t="s">
        <v>91</v>
      </c>
      <c r="C20" s="69" t="s">
        <v>92</v>
      </c>
      <c r="E20" s="188" t="s">
        <v>307</v>
      </c>
      <c r="F20" s="193">
        <f>Statement!AC143</f>
        <v>2.6421703703445658</v>
      </c>
    </row>
    <row r="21" spans="2:9" x14ac:dyDescent="0.2">
      <c r="B21" s="186" t="s">
        <v>93</v>
      </c>
      <c r="C21" s="69" t="s">
        <v>94</v>
      </c>
      <c r="I21" s="50"/>
    </row>
    <row r="22" spans="2:9" x14ac:dyDescent="0.2">
      <c r="B22" s="186" t="s">
        <v>95</v>
      </c>
      <c r="C22" s="69" t="s">
        <v>94</v>
      </c>
    </row>
    <row r="25" spans="2:9" x14ac:dyDescent="0.2">
      <c r="B25" s="253" t="s">
        <v>107</v>
      </c>
      <c r="C25" s="253"/>
      <c r="E25" s="251" t="s">
        <v>353</v>
      </c>
      <c r="F25" s="252"/>
    </row>
    <row r="26" spans="2:9" x14ac:dyDescent="0.2">
      <c r="B26" s="186" t="s">
        <v>108</v>
      </c>
      <c r="C26" s="172">
        <v>0.21</v>
      </c>
      <c r="E26" s="187" t="e" vm="2">
        <v>#VALUE!</v>
      </c>
      <c r="F26" s="221" cm="1">
        <f t="array" aca="1" ref="F26" ca="1">_FV(E26,"Price")</f>
        <v>44.85</v>
      </c>
    </row>
    <row r="27" spans="2:9" x14ac:dyDescent="0.2">
      <c r="B27" s="186" t="s">
        <v>176</v>
      </c>
      <c r="C27" s="223">
        <v>0</v>
      </c>
      <c r="E27" s="188" t="s">
        <v>354</v>
      </c>
      <c r="F27" s="222">
        <f ca="1">F26/1000</f>
        <v>4.4850000000000001E-2</v>
      </c>
    </row>
    <row r="28" spans="2:9" x14ac:dyDescent="0.2">
      <c r="B28" s="186" t="s">
        <v>358</v>
      </c>
      <c r="C28" s="223">
        <v>0.11</v>
      </c>
    </row>
    <row r="29" spans="2:9" x14ac:dyDescent="0.2">
      <c r="B29" s="186" t="s">
        <v>359</v>
      </c>
      <c r="C29" s="223">
        <v>0.12</v>
      </c>
    </row>
    <row r="33" spans="2:8" x14ac:dyDescent="0.2">
      <c r="B33" s="254" t="s">
        <v>348</v>
      </c>
      <c r="C33" s="254"/>
      <c r="D33" s="254"/>
      <c r="E33" s="254"/>
      <c r="F33" s="254"/>
      <c r="G33" s="254"/>
      <c r="H33" s="254"/>
    </row>
    <row r="35" spans="2:8" x14ac:dyDescent="0.2">
      <c r="B35" s="16" t="s">
        <v>349</v>
      </c>
      <c r="C35" s="1" t="s">
        <v>421</v>
      </c>
    </row>
    <row r="36" spans="2:8" x14ac:dyDescent="0.2">
      <c r="B36" s="16" t="s">
        <v>350</v>
      </c>
      <c r="C36" s="1" t="s">
        <v>422</v>
      </c>
    </row>
    <row r="39" spans="2:8" ht="6" customHeight="1" x14ac:dyDescent="0.2">
      <c r="B39" s="254"/>
      <c r="C39" s="254"/>
      <c r="D39" s="254"/>
      <c r="E39" s="254"/>
      <c r="F39" s="254"/>
      <c r="G39" s="254"/>
      <c r="H39" s="254"/>
    </row>
    <row r="42" spans="2:8" x14ac:dyDescent="0.2">
      <c r="B42" s="254" t="s">
        <v>351</v>
      </c>
      <c r="C42" s="254"/>
      <c r="D42" s="254"/>
      <c r="E42" s="254"/>
      <c r="F42" s="254"/>
      <c r="G42" s="254"/>
      <c r="H42" s="254"/>
    </row>
    <row r="44" spans="2:8" x14ac:dyDescent="0.2">
      <c r="B44" s="41" t="s">
        <v>352</v>
      </c>
      <c r="C44" s="41" t="s">
        <v>339</v>
      </c>
      <c r="D44" s="41"/>
      <c r="E44" s="41" t="s">
        <v>340</v>
      </c>
    </row>
    <row r="49" spans="2:8" ht="5" customHeight="1" x14ac:dyDescent="0.2">
      <c r="B49" s="254"/>
      <c r="C49" s="254"/>
      <c r="D49" s="254"/>
      <c r="E49" s="254"/>
      <c r="F49" s="254"/>
      <c r="G49" s="254"/>
      <c r="H49" s="254"/>
    </row>
    <row r="52" spans="2:8" x14ac:dyDescent="0.2">
      <c r="B52" s="254" t="s">
        <v>109</v>
      </c>
      <c r="C52" s="254"/>
      <c r="D52" s="254"/>
      <c r="E52" s="254"/>
      <c r="F52" s="254"/>
      <c r="G52" s="254"/>
      <c r="H52" s="254"/>
    </row>
    <row r="57" spans="2:8" x14ac:dyDescent="0.2">
      <c r="B57" s="41" t="s">
        <v>352</v>
      </c>
      <c r="C57" s="41" t="s">
        <v>375</v>
      </c>
      <c r="D57" s="41"/>
      <c r="E57" s="41" t="s">
        <v>376</v>
      </c>
    </row>
    <row r="58" spans="2:8" x14ac:dyDescent="0.2">
      <c r="B58" s="1" t="s">
        <v>377</v>
      </c>
      <c r="C58" s="1" t="s">
        <v>378</v>
      </c>
      <c r="E58" s="1" t="s">
        <v>379</v>
      </c>
    </row>
    <row r="59" spans="2:8" x14ac:dyDescent="0.2">
      <c r="B59" s="1" t="s">
        <v>377</v>
      </c>
      <c r="C59" s="1" t="s">
        <v>380</v>
      </c>
      <c r="E59" s="1" t="s">
        <v>381</v>
      </c>
    </row>
    <row r="61" spans="2:8" x14ac:dyDescent="0.2">
      <c r="B61" s="41" t="s">
        <v>352</v>
      </c>
      <c r="C61" s="41" t="s">
        <v>400</v>
      </c>
      <c r="D61" s="41"/>
      <c r="E61" s="41" t="s">
        <v>87</v>
      </c>
    </row>
    <row r="62" spans="2:8" x14ac:dyDescent="0.2">
      <c r="B62" s="1" t="s">
        <v>377</v>
      </c>
      <c r="C62" s="1" t="s">
        <v>378</v>
      </c>
      <c r="E62" s="1" t="s">
        <v>379</v>
      </c>
    </row>
    <row r="63" spans="2:8" x14ac:dyDescent="0.2">
      <c r="B63" s="1" t="s">
        <v>377</v>
      </c>
      <c r="C63" s="1" t="s">
        <v>380</v>
      </c>
      <c r="E63" s="1" t="s">
        <v>381</v>
      </c>
    </row>
    <row r="65" spans="2:8" ht="5" customHeight="1" x14ac:dyDescent="0.2">
      <c r="B65" s="254"/>
      <c r="C65" s="254"/>
      <c r="D65" s="254"/>
      <c r="E65" s="254"/>
      <c r="F65" s="254"/>
      <c r="G65" s="254"/>
      <c r="H65" s="254"/>
    </row>
  </sheetData>
  <mergeCells count="12">
    <mergeCell ref="B52:H52"/>
    <mergeCell ref="B65:H65"/>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9"/>
  <sheetViews>
    <sheetView zoomScale="170" zoomScaleNormal="150" workbookViewId="0">
      <pane xSplit="2" ySplit="3" topLeftCell="Q207" activePane="bottomRight" state="frozen"/>
      <selection pane="topRight" activeCell="C1" sqref="C1"/>
      <selection pane="bottomLeft" activeCell="A4" sqref="A4"/>
      <selection pane="bottomRight" activeCell="AC216" sqref="AC21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371</v>
      </c>
      <c r="N2" s="10" t="s">
        <v>372</v>
      </c>
      <c r="O2" s="10" t="s">
        <v>373</v>
      </c>
      <c r="P2" s="10" t="s">
        <v>374</v>
      </c>
      <c r="Q2" s="10" t="s">
        <v>375</v>
      </c>
      <c r="R2" s="7"/>
      <c r="S2" s="7"/>
      <c r="T2" s="10" t="s">
        <v>396</v>
      </c>
      <c r="U2" s="10" t="s">
        <v>397</v>
      </c>
      <c r="V2" s="10" t="s">
        <v>374</v>
      </c>
      <c r="W2" s="10" t="s">
        <v>398</v>
      </c>
      <c r="X2" s="10" t="s">
        <v>399</v>
      </c>
      <c r="Y2" s="205" t="s">
        <v>400</v>
      </c>
      <c r="Z2" s="205" t="s">
        <v>375</v>
      </c>
      <c r="AA2" s="205" t="s">
        <v>401</v>
      </c>
      <c r="AB2" s="7"/>
      <c r="AD2" s="7"/>
      <c r="AE2" s="7"/>
    </row>
    <row r="3" spans="1:31" s="13" customFormat="1" x14ac:dyDescent="0.2">
      <c r="A3" s="11"/>
      <c r="B3" s="12" t="s">
        <v>17</v>
      </c>
      <c r="M3" s="13">
        <v>2021</v>
      </c>
      <c r="N3" s="13">
        <v>2022</v>
      </c>
      <c r="O3" s="13">
        <v>2023</v>
      </c>
      <c r="P3" s="13">
        <v>2024</v>
      </c>
      <c r="Q3" s="13">
        <v>2025</v>
      </c>
      <c r="R3" s="11"/>
      <c r="S3" s="11"/>
      <c r="T3" s="10" t="s">
        <v>402</v>
      </c>
      <c r="U3" s="10" t="s">
        <v>403</v>
      </c>
      <c r="V3" s="10" t="s">
        <v>404</v>
      </c>
      <c r="W3" s="10" t="s">
        <v>405</v>
      </c>
      <c r="X3" s="10" t="s">
        <v>88</v>
      </c>
      <c r="Y3" s="205" t="s">
        <v>87</v>
      </c>
      <c r="Z3" s="205" t="s">
        <v>86</v>
      </c>
      <c r="AA3" s="205" t="s">
        <v>89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178327</v>
      </c>
      <c r="U5" s="18">
        <v>192594</v>
      </c>
      <c r="V5" s="18">
        <v>209550</v>
      </c>
      <c r="W5" s="18">
        <v>230743</v>
      </c>
      <c r="X5" s="18">
        <v>252265</v>
      </c>
      <c r="Y5" s="18">
        <v>271713</v>
      </c>
      <c r="Z5" s="18">
        <v>282868</v>
      </c>
      <c r="AA5" s="18">
        <v>291967</v>
      </c>
      <c r="AB5" s="16"/>
      <c r="AC5" s="18">
        <f>SUM(X5:AA5)</f>
        <v>1098813</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47349</v>
      </c>
      <c r="U6" s="21">
        <v>52180</v>
      </c>
      <c r="V6" s="21">
        <v>58925</v>
      </c>
      <c r="W6" s="21">
        <v>66647</v>
      </c>
      <c r="X6" s="21">
        <v>69684</v>
      </c>
      <c r="Y6" s="21">
        <v>74802</v>
      </c>
      <c r="Z6" s="21">
        <v>76999</v>
      </c>
      <c r="AA6" s="21">
        <v>78871</v>
      </c>
      <c r="AC6" s="21">
        <f t="shared" ref="AC6:AC18" si="0">SUM(X6:AA6)</f>
        <v>300356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Z7" si="2">T5-T6</f>
        <v>130978</v>
      </c>
      <c r="U7" s="22">
        <f t="shared" si="2"/>
        <v>140414</v>
      </c>
      <c r="V7" s="22">
        <f t="shared" si="2"/>
        <v>150625</v>
      </c>
      <c r="W7" s="22">
        <f t="shared" si="2"/>
        <v>164096</v>
      </c>
      <c r="X7" s="22">
        <f t="shared" si="2"/>
        <v>182581</v>
      </c>
      <c r="Y7" s="22">
        <f t="shared" si="2"/>
        <v>196911</v>
      </c>
      <c r="Z7" s="22">
        <f t="shared" si="2"/>
        <v>205869</v>
      </c>
      <c r="AA7" s="22">
        <f t="shared" ref="AA7" si="3">AA5-AA6</f>
        <v>213096</v>
      </c>
      <c r="AB7" s="16"/>
      <c r="AC7" s="22">
        <f t="shared" si="0"/>
        <v>798457</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55147</v>
      </c>
      <c r="U8" s="21">
        <v>62878</v>
      </c>
      <c r="V8" s="21">
        <v>66395</v>
      </c>
      <c r="W8" s="21">
        <v>70390</v>
      </c>
      <c r="X8" s="21">
        <v>73670</v>
      </c>
      <c r="Y8" s="21">
        <v>82707</v>
      </c>
      <c r="Z8" s="21">
        <v>79556</v>
      </c>
      <c r="AA8" s="21">
        <v>82974</v>
      </c>
      <c r="AC8" s="21">
        <f t="shared" si="0"/>
        <v>318907</v>
      </c>
    </row>
    <row r="9" spans="1:31" x14ac:dyDescent="0.2">
      <c r="B9" s="23" t="s">
        <v>24</v>
      </c>
      <c r="C9" s="21"/>
      <c r="D9" s="21"/>
      <c r="E9" s="21"/>
      <c r="F9" s="21"/>
      <c r="G9" s="21"/>
      <c r="H9" s="21"/>
      <c r="I9" s="21"/>
      <c r="J9" s="21"/>
      <c r="K9" s="21"/>
      <c r="L9" s="21"/>
      <c r="M9" s="21">
        <v>59170</v>
      </c>
      <c r="N9" s="21">
        <v>66967</v>
      </c>
      <c r="O9" s="21">
        <v>75788</v>
      </c>
      <c r="P9" s="21">
        <v>90494</v>
      </c>
      <c r="Q9" s="21">
        <v>125677</v>
      </c>
      <c r="T9" s="21">
        <v>20174</v>
      </c>
      <c r="U9" s="21">
        <v>25574</v>
      </c>
      <c r="V9" s="21">
        <v>24815</v>
      </c>
      <c r="W9" s="21">
        <v>26662</v>
      </c>
      <c r="X9" s="21">
        <v>29563</v>
      </c>
      <c r="Y9" s="21">
        <v>35081</v>
      </c>
      <c r="Z9" s="21">
        <v>34371</v>
      </c>
      <c r="AA9" s="21">
        <v>39249</v>
      </c>
      <c r="AC9" s="21">
        <f t="shared" si="0"/>
        <v>138264</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36957</v>
      </c>
      <c r="U10" s="21">
        <v>38388</v>
      </c>
      <c r="V10" s="21">
        <v>45533</v>
      </c>
      <c r="W10" s="21">
        <v>43450</v>
      </c>
      <c r="X10" s="21">
        <v>45985</v>
      </c>
      <c r="Y10" s="21">
        <v>43964</v>
      </c>
      <c r="Z10" s="21">
        <v>48488</v>
      </c>
      <c r="AA10" s="21">
        <v>46346</v>
      </c>
      <c r="AC10" s="21">
        <f t="shared" si="0"/>
        <v>184783</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112278</v>
      </c>
      <c r="U11" s="24">
        <f t="shared" ref="U11" si="6">SUM(U8:U10)</f>
        <v>126840</v>
      </c>
      <c r="V11" s="24">
        <f t="shared" ref="V11" si="7">SUM(V8:V10)</f>
        <v>136743</v>
      </c>
      <c r="W11" s="24">
        <f t="shared" ref="W11" si="8">SUM(W8:W10)</f>
        <v>140502</v>
      </c>
      <c r="X11" s="24">
        <f t="shared" ref="X11" si="9">SUM(X8:X10)</f>
        <v>149218</v>
      </c>
      <c r="Y11" s="24">
        <f t="shared" ref="Y11" si="10">SUM(Y8:Y10)</f>
        <v>161752</v>
      </c>
      <c r="Z11" s="24">
        <f t="shared" ref="Z11:AA11" si="11">SUM(Z8:Z10)</f>
        <v>162415</v>
      </c>
      <c r="AA11" s="24">
        <f t="shared" si="11"/>
        <v>168569</v>
      </c>
      <c r="AC11" s="24">
        <f t="shared" si="0"/>
        <v>641954</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18700</v>
      </c>
      <c r="U12" s="61">
        <v>13574</v>
      </c>
      <c r="V12" s="18">
        <v>13882</v>
      </c>
      <c r="W12" s="61">
        <v>23594</v>
      </c>
      <c r="X12" s="61">
        <v>33363</v>
      </c>
      <c r="Y12" s="18">
        <v>35159</v>
      </c>
      <c r="Z12" s="18">
        <v>43454</v>
      </c>
      <c r="AA12" s="18">
        <v>44527</v>
      </c>
      <c r="AB12" s="1"/>
      <c r="AC12" s="18">
        <f t="shared" si="0"/>
        <v>156503</v>
      </c>
      <c r="AD12" s="1"/>
      <c r="AE12" s="1"/>
    </row>
    <row r="13" spans="1:31" x14ac:dyDescent="0.2">
      <c r="B13" s="23" t="s">
        <v>28</v>
      </c>
      <c r="C13" s="21"/>
      <c r="D13" s="21"/>
      <c r="E13" s="21"/>
      <c r="F13" s="21"/>
      <c r="G13" s="21"/>
      <c r="H13" s="21"/>
      <c r="I13" s="21"/>
      <c r="J13" s="21"/>
      <c r="K13" s="21"/>
      <c r="L13" s="21"/>
      <c r="M13" s="230">
        <v>19</v>
      </c>
      <c r="N13" s="230">
        <v>7235</v>
      </c>
      <c r="O13" s="230">
        <v>31091</v>
      </c>
      <c r="P13" s="230">
        <v>42697</v>
      </c>
      <c r="Q13" s="230">
        <v>45231</v>
      </c>
      <c r="T13" s="62">
        <v>10721</v>
      </c>
      <c r="U13" s="62">
        <v>11246</v>
      </c>
      <c r="V13" s="62">
        <v>10697</v>
      </c>
      <c r="W13" s="62">
        <v>10415</v>
      </c>
      <c r="X13" s="62">
        <v>11427</v>
      </c>
      <c r="Y13" s="62">
        <v>11793</v>
      </c>
      <c r="Z13" s="62">
        <v>11596</v>
      </c>
      <c r="AA13" s="62">
        <v>11811</v>
      </c>
      <c r="AC13" s="62">
        <f t="shared" si="0"/>
        <v>46627</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-707</v>
      </c>
      <c r="U14" s="62">
        <v>569</v>
      </c>
      <c r="V14" s="62">
        <v>-2227</v>
      </c>
      <c r="W14" s="62">
        <v>1001</v>
      </c>
      <c r="X14" s="62">
        <v>1660</v>
      </c>
      <c r="Y14" s="62">
        <v>-503</v>
      </c>
      <c r="Z14" s="62">
        <v>-549</v>
      </c>
      <c r="AA14" s="62">
        <v>-786</v>
      </c>
      <c r="AC14" s="62">
        <f t="shared" si="0"/>
        <v>-178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28714</v>
      </c>
      <c r="U15" s="61">
        <v>25389</v>
      </c>
      <c r="V15" s="18">
        <v>22352</v>
      </c>
      <c r="W15" s="61">
        <v>35010</v>
      </c>
      <c r="X15" s="18">
        <v>46450</v>
      </c>
      <c r="Y15" s="18">
        <v>46449</v>
      </c>
      <c r="Z15" s="18">
        <v>54501</v>
      </c>
      <c r="AA15" s="18">
        <v>55552</v>
      </c>
      <c r="AB15" s="1"/>
      <c r="AC15" s="18">
        <f t="shared" si="0"/>
        <v>202952</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-4363</v>
      </c>
      <c r="U16" s="62">
        <v>-2029</v>
      </c>
      <c r="V16" s="62">
        <v>-8445</v>
      </c>
      <c r="W16" s="62">
        <v>125</v>
      </c>
      <c r="X16" s="62">
        <v>-1669</v>
      </c>
      <c r="Y16" s="62">
        <f>245746-256700</f>
        <v>-10954</v>
      </c>
      <c r="Z16" s="62">
        <v>-12547</v>
      </c>
      <c r="AA16" s="62">
        <v>-12092</v>
      </c>
      <c r="AC16" s="62">
        <f t="shared" si="0"/>
        <v>-37262</v>
      </c>
    </row>
    <row r="17" spans="1:31" x14ac:dyDescent="0.2">
      <c r="B17" s="23" t="s">
        <v>341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24351</v>
      </c>
      <c r="U18" s="61">
        <v>23360</v>
      </c>
      <c r="V18" s="61">
        <v>13907</v>
      </c>
      <c r="W18" s="61">
        <v>35135</v>
      </c>
      <c r="X18" s="61">
        <v>44781</v>
      </c>
      <c r="Y18" s="61">
        <v>35495</v>
      </c>
      <c r="Z18" s="61">
        <v>41954</v>
      </c>
      <c r="AA18" s="61">
        <v>43460</v>
      </c>
      <c r="AB18" s="1"/>
      <c r="AC18" s="61">
        <f t="shared" si="0"/>
        <v>165690</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43260</v>
      </c>
      <c r="U19" s="21">
        <v>43707</v>
      </c>
      <c r="V19" s="21">
        <v>43504</v>
      </c>
      <c r="W19" s="21">
        <v>45148</v>
      </c>
      <c r="X19" s="21">
        <v>45610</v>
      </c>
      <c r="Y19" s="21">
        <v>45950</v>
      </c>
      <c r="Z19" s="21">
        <v>45753.038674033145</v>
      </c>
      <c r="AA19" s="21">
        <v>46793</v>
      </c>
      <c r="AC19" s="62">
        <f>AVERAGE(X19:AA19)</f>
        <v>46026.509668508283</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23433</v>
      </c>
      <c r="N20" s="25">
        <f t="shared" si="12"/>
        <v>39470</v>
      </c>
      <c r="O20" s="25">
        <f t="shared" si="12"/>
        <v>41451</v>
      </c>
      <c r="P20" s="25">
        <f t="shared" si="12"/>
        <v>43504</v>
      </c>
      <c r="Q20" s="25">
        <f t="shared" si="12"/>
        <v>45753.038674033145</v>
      </c>
      <c r="T20" s="25">
        <f t="shared" ref="T20:AA20" si="13">T19*T$85</f>
        <v>43260</v>
      </c>
      <c r="U20" s="25">
        <f t="shared" si="13"/>
        <v>43707</v>
      </c>
      <c r="V20" s="25">
        <f t="shared" si="13"/>
        <v>43504</v>
      </c>
      <c r="W20" s="25">
        <f t="shared" si="13"/>
        <v>45148</v>
      </c>
      <c r="X20" s="25">
        <f t="shared" si="13"/>
        <v>45610</v>
      </c>
      <c r="Y20" s="25">
        <f t="shared" si="13"/>
        <v>45950</v>
      </c>
      <c r="Z20" s="25">
        <f t="shared" si="13"/>
        <v>45753.038674033145</v>
      </c>
      <c r="AA20" s="25">
        <f t="shared" si="13"/>
        <v>46793</v>
      </c>
      <c r="AC20" s="25">
        <f>AC19*AC$85</f>
        <v>46026.509668508283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47770</v>
      </c>
      <c r="U21" s="21">
        <v>47969</v>
      </c>
      <c r="V21" s="21">
        <v>47101</v>
      </c>
      <c r="W21" s="21">
        <v>48497</v>
      </c>
      <c r="X21" s="21">
        <v>49000</v>
      </c>
      <c r="Y21" s="21">
        <v>49144</v>
      </c>
      <c r="Z21" s="21">
        <v>48315.63593932322</v>
      </c>
      <c r="AA21" s="21">
        <v>48987</v>
      </c>
      <c r="AC21" s="62">
        <f>AVERAGE(X21:AA21)</f>
        <v>48861.658984830807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AA22" si="15">T21*T$85</f>
        <v>47770</v>
      </c>
      <c r="U22" s="25">
        <f t="shared" si="15"/>
        <v>47969</v>
      </c>
      <c r="V22" s="25">
        <f t="shared" si="15"/>
        <v>47101</v>
      </c>
      <c r="W22" s="25">
        <f t="shared" si="15"/>
        <v>48497</v>
      </c>
      <c r="X22" s="25">
        <f t="shared" si="15"/>
        <v>49000</v>
      </c>
      <c r="Y22" s="25">
        <f t="shared" si="15"/>
        <v>49144</v>
      </c>
      <c r="Z22" s="25">
        <f t="shared" si="15"/>
        <v>48315.63593932322</v>
      </c>
      <c r="AA22" s="25">
        <f t="shared" si="15"/>
        <v>48987</v>
      </c>
      <c r="AC22" s="25">
        <f>AC21*AC$85</f>
        <v>48861.658984830807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0.56000000000000005</v>
      </c>
      <c r="U23" s="63">
        <v>0.53</v>
      </c>
      <c r="V23" s="26">
        <v>0.31967175432144168</v>
      </c>
      <c r="W23" s="63">
        <v>0.78</v>
      </c>
      <c r="X23" s="26">
        <v>0.98</v>
      </c>
      <c r="Y23" s="26">
        <v>0.77247007616974972</v>
      </c>
      <c r="Z23" s="26">
        <v>0.91696641831596493</v>
      </c>
      <c r="AA23" s="26">
        <v>0.93</v>
      </c>
      <c r="AC23" s="26">
        <f>SUM(X23:AA23)</f>
        <v>3.5994364944857149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AA24" si="16">T23/T$85</f>
        <v>0.56000000000000005</v>
      </c>
      <c r="U24" s="65">
        <f t="shared" si="16"/>
        <v>0.53</v>
      </c>
      <c r="V24" s="65">
        <f t="shared" si="16"/>
        <v>0.31967175432144168</v>
      </c>
      <c r="W24" s="65">
        <f t="shared" si="16"/>
        <v>0.78</v>
      </c>
      <c r="X24" s="65">
        <f t="shared" si="16"/>
        <v>0.98</v>
      </c>
      <c r="Y24" s="65">
        <f t="shared" si="16"/>
        <v>0.77247007616974972</v>
      </c>
      <c r="Z24" s="65">
        <f t="shared" si="16"/>
        <v>0.91696641831596493</v>
      </c>
      <c r="AA24" s="65">
        <f t="shared" si="16"/>
        <v>0.93</v>
      </c>
      <c r="AC24" s="65">
        <f>AC23/AC$85</f>
        <v>3.5994364944857149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0.51</v>
      </c>
      <c r="U25" s="63">
        <v>0.49</v>
      </c>
      <c r="V25" s="26">
        <v>0.29525912401010596</v>
      </c>
      <c r="W25" s="63">
        <v>0.72</v>
      </c>
      <c r="X25" s="26">
        <v>0.91</v>
      </c>
      <c r="Y25" s="26">
        <v>0.72226517987953764</v>
      </c>
      <c r="Z25" s="26">
        <v>0.86833173535556019</v>
      </c>
      <c r="AA25" s="26">
        <v>0.89</v>
      </c>
      <c r="AC25" s="26">
        <f>SUM(X25:AA25)</f>
        <v>3.3905969152350983</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AA26" si="17">T25/T$85</f>
        <v>0.51</v>
      </c>
      <c r="U26" s="66">
        <f t="shared" si="17"/>
        <v>0.49</v>
      </c>
      <c r="V26" s="66">
        <f t="shared" si="17"/>
        <v>0.29525912401010596</v>
      </c>
      <c r="W26" s="66">
        <f t="shared" si="17"/>
        <v>0.72</v>
      </c>
      <c r="X26" s="66">
        <f t="shared" si="17"/>
        <v>0.91</v>
      </c>
      <c r="Y26" s="66">
        <f t="shared" si="17"/>
        <v>0.72226517987953764</v>
      </c>
      <c r="Z26" s="66">
        <f t="shared" si="17"/>
        <v>0.86833173535556019</v>
      </c>
      <c r="AA26" s="66">
        <f t="shared" si="17"/>
        <v>0.89</v>
      </c>
      <c r="AB26" s="1"/>
      <c r="AC26" s="66">
        <f>AC25/AC$85</f>
        <v>3.3905969152350983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v>888240</v>
      </c>
      <c r="U29" s="21">
        <f>854409+26354</f>
        <v>880763</v>
      </c>
      <c r="V29" s="21">
        <f>785791+91854</f>
        <v>877645</v>
      </c>
      <c r="W29" s="21">
        <f>883996+115284</f>
        <v>999280</v>
      </c>
      <c r="X29" s="21">
        <f>976231+121652</f>
        <v>1097883</v>
      </c>
      <c r="Y29" s="21">
        <f>1011542+109912</f>
        <v>1121454</v>
      </c>
      <c r="Z29" s="21">
        <f>1036389+104078</f>
        <v>1140467</v>
      </c>
      <c r="AA29" s="21">
        <f>1138561+113049</f>
        <v>1251610</v>
      </c>
      <c r="AC29" s="21">
        <f>AA29</f>
        <v>1251610</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77722</v>
      </c>
      <c r="U30" s="21">
        <v>94215</v>
      </c>
      <c r="V30" s="21">
        <v>128923</v>
      </c>
      <c r="W30" s="21">
        <v>114183</v>
      </c>
      <c r="X30" s="21">
        <v>112919</v>
      </c>
      <c r="Y30" s="21">
        <v>124489</v>
      </c>
      <c r="Z30" s="21">
        <v>162827</v>
      </c>
      <c r="AA30" s="21">
        <v>125086</v>
      </c>
      <c r="AC30" s="21">
        <f t="shared" ref="AC30:AC50" si="18">AA30</f>
        <v>125086</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1041564</v>
      </c>
      <c r="U32" s="33">
        <v>1058437</v>
      </c>
      <c r="V32" s="33">
        <v>1101588</v>
      </c>
      <c r="W32" s="33">
        <v>1219657</v>
      </c>
      <c r="X32" s="33">
        <v>1323990</v>
      </c>
      <c r="Y32" s="33">
        <v>1367105</v>
      </c>
      <c r="Z32" s="33">
        <v>1436606</v>
      </c>
      <c r="AA32" s="33">
        <v>1505959</v>
      </c>
      <c r="AB32" s="1"/>
      <c r="AC32" s="33">
        <f t="shared" si="18"/>
        <v>1505959</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18343</v>
      </c>
      <c r="U33" s="21">
        <v>19495</v>
      </c>
      <c r="V33" s="21">
        <v>18943</v>
      </c>
      <c r="W33" s="21">
        <v>19161</v>
      </c>
      <c r="X33" s="21">
        <v>19685</v>
      </c>
      <c r="Y33" s="21">
        <v>24626</v>
      </c>
      <c r="Z33" s="21">
        <v>36297</v>
      </c>
      <c r="AA33" s="21">
        <v>36966</v>
      </c>
      <c r="AC33" s="21">
        <f t="shared" si="18"/>
        <v>36966</v>
      </c>
    </row>
    <row r="34" spans="1:31" x14ac:dyDescent="0.2">
      <c r="B34" s="20" t="s">
        <v>366</v>
      </c>
      <c r="C34" s="21"/>
      <c r="D34" s="21"/>
      <c r="E34" s="21"/>
      <c r="F34" s="21"/>
      <c r="G34" s="21"/>
      <c r="H34" s="21"/>
      <c r="I34" s="21"/>
      <c r="J34" s="21"/>
      <c r="K34" s="21"/>
      <c r="L34" s="21"/>
      <c r="M34" s="21">
        <v>0</v>
      </c>
      <c r="N34" s="21">
        <v>0</v>
      </c>
      <c r="O34" s="21">
        <v>0</v>
      </c>
      <c r="P34" s="21">
        <v>98292</v>
      </c>
      <c r="Q34" s="21">
        <v>135098</v>
      </c>
      <c r="T34" s="21">
        <v>0</v>
      </c>
      <c r="U34" s="21">
        <v>55328</v>
      </c>
      <c r="V34" s="21">
        <v>98292</v>
      </c>
      <c r="W34" s="21">
        <v>83342</v>
      </c>
      <c r="X34" s="21">
        <v>75362</v>
      </c>
      <c r="Y34" s="21">
        <v>98735</v>
      </c>
      <c r="Z34" s="21">
        <v>135098</v>
      </c>
      <c r="AA34" s="21">
        <v>140211</v>
      </c>
      <c r="AC34" s="21">
        <f t="shared" si="18"/>
        <v>140211</v>
      </c>
    </row>
    <row r="35" spans="1:31" x14ac:dyDescent="0.2">
      <c r="B35" s="20" t="s">
        <v>46</v>
      </c>
      <c r="C35" s="21"/>
      <c r="D35" s="21"/>
      <c r="E35" s="21"/>
      <c r="F35" s="21"/>
      <c r="G35" s="21"/>
      <c r="H35" s="21"/>
      <c r="I35" s="21"/>
      <c r="J35" s="21"/>
      <c r="K35" s="21"/>
      <c r="L35" s="21"/>
      <c r="M35" s="230">
        <v>0</v>
      </c>
      <c r="N35" s="230">
        <v>4050</v>
      </c>
      <c r="O35" s="230">
        <v>4050</v>
      </c>
      <c r="P35" s="230">
        <v>10538</v>
      </c>
      <c r="Q35" s="230">
        <v>35335</v>
      </c>
      <c r="T35" s="21">
        <v>4050</v>
      </c>
      <c r="U35" s="21">
        <v>10538</v>
      </c>
      <c r="V35" s="21">
        <v>10538</v>
      </c>
      <c r="W35" s="21">
        <v>10538</v>
      </c>
      <c r="X35" s="21">
        <v>10538</v>
      </c>
      <c r="Y35" s="21">
        <v>35335</v>
      </c>
      <c r="Z35" s="21">
        <v>35335</v>
      </c>
      <c r="AA35" s="21">
        <v>35335</v>
      </c>
      <c r="AC35" s="21">
        <f t="shared" si="18"/>
        <v>35335</v>
      </c>
    </row>
    <row r="36" spans="1:31" s="34" customFormat="1" x14ac:dyDescent="0.2">
      <c r="A36" s="16"/>
      <c r="B36" s="32" t="s">
        <v>47</v>
      </c>
      <c r="C36" s="35"/>
      <c r="D36" s="35"/>
      <c r="E36" s="35"/>
      <c r="F36" s="35"/>
      <c r="G36" s="35"/>
      <c r="H36" s="35"/>
      <c r="I36" s="35"/>
      <c r="J36" s="35"/>
      <c r="K36" s="35"/>
      <c r="L36" s="35"/>
      <c r="M36" s="35">
        <f t="shared" ref="M36:O36" si="19">M37-M32</f>
        <v>42040</v>
      </c>
      <c r="N36" s="35">
        <f t="shared" si="19"/>
        <v>50164</v>
      </c>
      <c r="O36" s="35">
        <f t="shared" si="19"/>
        <v>56159</v>
      </c>
      <c r="P36" s="35">
        <f>P37-P32</f>
        <v>200140</v>
      </c>
      <c r="Q36" s="35">
        <f>Q37-Q32</f>
        <v>555576</v>
      </c>
      <c r="R36" s="1"/>
      <c r="S36" s="1"/>
      <c r="T36" s="35">
        <f t="shared" ref="T36:Z36" si="20">T37-T32</f>
        <v>97879</v>
      </c>
      <c r="U36" s="35">
        <f t="shared" si="20"/>
        <v>161112</v>
      </c>
      <c r="V36" s="35">
        <f t="shared" si="20"/>
        <v>200140</v>
      </c>
      <c r="W36" s="35">
        <f t="shared" si="20"/>
        <v>183489</v>
      </c>
      <c r="X36" s="35">
        <f t="shared" si="20"/>
        <v>218569</v>
      </c>
      <c r="Y36" s="35">
        <f t="shared" si="20"/>
        <v>518533</v>
      </c>
      <c r="Z36" s="35">
        <f t="shared" si="20"/>
        <v>555576</v>
      </c>
      <c r="AA36" s="35">
        <f t="shared" ref="AA36" si="21">AA37-AA32</f>
        <v>552035</v>
      </c>
      <c r="AB36" s="1"/>
      <c r="AC36" s="35">
        <f t="shared" si="18"/>
        <v>552035</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1139443</v>
      </c>
      <c r="U37" s="18">
        <v>1219549</v>
      </c>
      <c r="V37" s="18">
        <v>1301728</v>
      </c>
      <c r="W37" s="18">
        <v>1403146</v>
      </c>
      <c r="X37" s="18">
        <v>1542559</v>
      </c>
      <c r="Y37" s="18">
        <v>1885638</v>
      </c>
      <c r="Z37" s="18">
        <v>1992182</v>
      </c>
      <c r="AA37" s="18">
        <v>2057994</v>
      </c>
      <c r="AB37" s="1"/>
      <c r="AC37" s="18">
        <f t="shared" si="18"/>
        <v>2057994</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3405</v>
      </c>
      <c r="U38" s="21">
        <v>3649</v>
      </c>
      <c r="V38" s="21">
        <v>6381</v>
      </c>
      <c r="W38" s="21">
        <v>2546</v>
      </c>
      <c r="X38" s="21">
        <v>7729</v>
      </c>
      <c r="Y38" s="21">
        <v>3568</v>
      </c>
      <c r="Z38" s="21">
        <v>7998</v>
      </c>
      <c r="AA38" s="21">
        <v>7486</v>
      </c>
      <c r="AC38" s="21">
        <f t="shared" si="18"/>
        <v>7486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317724</v>
      </c>
      <c r="U40" s="33">
        <v>342133</v>
      </c>
      <c r="V40" s="33">
        <v>422231</v>
      </c>
      <c r="W40" s="33">
        <v>454485</v>
      </c>
      <c r="X40" s="33">
        <v>471383</v>
      </c>
      <c r="Y40" s="33">
        <v>484540</v>
      </c>
      <c r="Z40" s="33">
        <v>551148</v>
      </c>
      <c r="AA40" s="33">
        <v>574114</v>
      </c>
      <c r="AB40" s="1"/>
      <c r="AC40" s="33">
        <f t="shared" si="18"/>
        <v>574114</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29124</v>
      </c>
      <c r="N42" s="35">
        <f t="shared" si="22"/>
        <v>23503</v>
      </c>
      <c r="O42" s="35">
        <f t="shared" si="22"/>
        <v>21094</v>
      </c>
      <c r="P42" s="35">
        <f>P43-P40</f>
        <v>54947</v>
      </c>
      <c r="Q42" s="35">
        <f>Q43-Q40</f>
        <v>94028</v>
      </c>
      <c r="R42" s="1"/>
      <c r="S42" s="1"/>
      <c r="T42" s="35">
        <f t="shared" ref="T42:Z42" si="23">T43-T40</f>
        <v>54775</v>
      </c>
      <c r="U42" s="35">
        <f t="shared" si="23"/>
        <v>54963</v>
      </c>
      <c r="V42" s="35">
        <f t="shared" si="23"/>
        <v>54947</v>
      </c>
      <c r="W42" s="35">
        <f t="shared" si="23"/>
        <v>54835</v>
      </c>
      <c r="X42" s="35">
        <f t="shared" si="23"/>
        <v>94145</v>
      </c>
      <c r="Y42" s="35">
        <f t="shared" si="23"/>
        <v>93559</v>
      </c>
      <c r="Z42" s="35">
        <f t="shared" si="23"/>
        <v>94028</v>
      </c>
      <c r="AA42" s="35">
        <f t="shared" ref="AA42" si="24">AA43-AA40</f>
        <v>92116</v>
      </c>
      <c r="AB42" s="1"/>
      <c r="AC42" s="35">
        <f t="shared" si="18"/>
        <v>92116</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372499</v>
      </c>
      <c r="U43" s="18">
        <v>397096</v>
      </c>
      <c r="V43" s="18">
        <v>477178</v>
      </c>
      <c r="W43" s="18">
        <v>509320</v>
      </c>
      <c r="X43" s="18">
        <v>565528</v>
      </c>
      <c r="Y43" s="18">
        <v>578099</v>
      </c>
      <c r="Z43" s="18">
        <v>645176</v>
      </c>
      <c r="AA43" s="18">
        <v>666230</v>
      </c>
      <c r="AB43" s="1"/>
      <c r="AC43" s="18">
        <f t="shared" si="18"/>
        <v>666230</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-4499</v>
      </c>
      <c r="AC44" s="62">
        <f t="shared" si="18"/>
        <v>-4499</v>
      </c>
    </row>
    <row r="45" spans="1:31" x14ac:dyDescent="0.2">
      <c r="B45" s="20" t="s">
        <v>345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30">
        <v>683966</v>
      </c>
      <c r="N46" s="230">
        <v>772562</v>
      </c>
      <c r="O46" s="230">
        <v>869918</v>
      </c>
      <c r="P46" s="230">
        <v>950393</v>
      </c>
      <c r="Q46" s="230">
        <v>1058783</v>
      </c>
      <c r="T46" s="62">
        <v>930054</v>
      </c>
      <c r="U46" s="62">
        <v>962203</v>
      </c>
      <c r="V46" s="21">
        <v>950393</v>
      </c>
      <c r="W46" s="21">
        <v>984534</v>
      </c>
      <c r="X46" s="21">
        <v>1022958</v>
      </c>
      <c r="Y46" s="21">
        <v>1061270</v>
      </c>
      <c r="Z46" s="21">
        <v>1058783</v>
      </c>
      <c r="AA46" s="21">
        <v>1064580</v>
      </c>
      <c r="AC46" s="62">
        <f t="shared" si="18"/>
        <v>1064580</v>
      </c>
    </row>
    <row r="47" spans="1:31" x14ac:dyDescent="0.2">
      <c r="B47" s="20" t="s">
        <v>346</v>
      </c>
      <c r="C47" s="21"/>
      <c r="D47" s="21"/>
      <c r="E47" s="21"/>
      <c r="F47" s="21"/>
      <c r="G47" s="21"/>
      <c r="H47" s="21"/>
      <c r="I47" s="21"/>
      <c r="J47" s="21"/>
      <c r="K47" s="21"/>
      <c r="L47" s="21"/>
      <c r="M47" s="62">
        <v>-170914</v>
      </c>
      <c r="N47" s="62">
        <v>-230488</v>
      </c>
      <c r="O47" s="62">
        <v>-214421</v>
      </c>
      <c r="P47" s="62">
        <v>-125847</v>
      </c>
      <c r="Q47" s="62">
        <v>288218</v>
      </c>
      <c r="T47" s="62">
        <v>-163114</v>
      </c>
      <c r="U47" s="62">
        <v>-139754</v>
      </c>
      <c r="V47" s="62">
        <v>-125847</v>
      </c>
      <c r="W47" s="62">
        <v>-90712</v>
      </c>
      <c r="X47" s="62">
        <v>-45931</v>
      </c>
      <c r="Y47" s="62">
        <v>246264</v>
      </c>
      <c r="Z47" s="62">
        <v>288218</v>
      </c>
      <c r="AA47" s="62">
        <v>331678</v>
      </c>
      <c r="AC47" s="62">
        <f t="shared" si="18"/>
        <v>331678</v>
      </c>
    </row>
    <row r="48" spans="1:31" x14ac:dyDescent="0.2">
      <c r="B48" s="20" t="s">
        <v>341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766944</v>
      </c>
      <c r="U49" s="33">
        <v>822453</v>
      </c>
      <c r="V49" s="33">
        <v>824550</v>
      </c>
      <c r="W49" s="33">
        <v>893826</v>
      </c>
      <c r="X49" s="33">
        <v>977031</v>
      </c>
      <c r="Y49" s="33">
        <v>1307539</v>
      </c>
      <c r="Z49" s="33">
        <v>1347006</v>
      </c>
      <c r="AA49" s="33">
        <v>1391764</v>
      </c>
      <c r="AB49" s="1"/>
      <c r="AC49" s="33">
        <f t="shared" si="18"/>
        <v>1391764</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1139443</v>
      </c>
      <c r="U50" s="37">
        <v>1219549</v>
      </c>
      <c r="V50" s="37">
        <v>1301728</v>
      </c>
      <c r="W50" s="37">
        <v>1403146</v>
      </c>
      <c r="X50" s="37">
        <v>1542559</v>
      </c>
      <c r="Y50" s="37">
        <v>1885638</v>
      </c>
      <c r="Z50" s="37">
        <v>1992182</v>
      </c>
      <c r="AA50" s="37">
        <v>2057994</v>
      </c>
      <c r="AB50" s="1"/>
      <c r="AC50" s="37">
        <f t="shared" si="18"/>
        <v>2057994</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2243</v>
      </c>
      <c r="U53" s="21">
        <v>2876</v>
      </c>
      <c r="V53" s="21">
        <v>3661</v>
      </c>
      <c r="W53" s="21">
        <v>3590</v>
      </c>
      <c r="X53" s="21">
        <v>3440</v>
      </c>
      <c r="Y53" s="21">
        <v>3553</v>
      </c>
      <c r="Z53" s="21">
        <v>3808</v>
      </c>
      <c r="AA53" s="21">
        <v>4191</v>
      </c>
      <c r="AC53" s="62">
        <f>SUM(X53:AA53)</f>
        <v>14992</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26746</v>
      </c>
      <c r="U54" s="21">
        <v>28959</v>
      </c>
      <c r="V54" s="21">
        <v>29787</v>
      </c>
      <c r="W54" s="21">
        <v>31018</v>
      </c>
      <c r="X54" s="21">
        <v>34592</v>
      </c>
      <c r="Y54" s="21">
        <v>35565</v>
      </c>
      <c r="Z54" s="21">
        <v>36262</v>
      </c>
      <c r="AA54" s="21">
        <v>34647</v>
      </c>
      <c r="AC54" s="62">
        <f t="shared" ref="AC54:AC58" si="25">SUM(X54:AA54)</f>
        <v>141066</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-1301</v>
      </c>
      <c r="U55" s="62">
        <v>-16462</v>
      </c>
      <c r="V55" s="62">
        <v>-34708</v>
      </c>
      <c r="W55" s="62">
        <v>14740</v>
      </c>
      <c r="X55" s="62">
        <v>1264</v>
      </c>
      <c r="Y55" s="62">
        <v>-11570</v>
      </c>
      <c r="Z55" s="62">
        <v>-38338</v>
      </c>
      <c r="AA55" s="62">
        <v>37741</v>
      </c>
      <c r="AC55" s="62">
        <f t="shared" si="25"/>
        <v>-10903</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1134</v>
      </c>
      <c r="U57" s="62">
        <v>-214</v>
      </c>
      <c r="V57" s="62">
        <v>3412</v>
      </c>
      <c r="W57" s="62">
        <v>-3843</v>
      </c>
      <c r="X57" s="62">
        <v>4436</v>
      </c>
      <c r="Y57" s="62">
        <v>-3406</v>
      </c>
      <c r="Z57" s="62">
        <v>4430</v>
      </c>
      <c r="AA57" s="62">
        <v>-2405</v>
      </c>
      <c r="AC57" s="62">
        <f t="shared" si="25"/>
        <v>3055</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9215</v>
      </c>
      <c r="U58" s="62">
        <v>17760</v>
      </c>
      <c r="V58" s="62">
        <v>67586</v>
      </c>
      <c r="W58" s="62">
        <v>25541</v>
      </c>
      <c r="X58" s="62">
        <v>2629</v>
      </c>
      <c r="Y58" s="62">
        <v>7829</v>
      </c>
      <c r="Z58" s="62">
        <v>45254</v>
      </c>
      <c r="AA58" s="62">
        <v>23962</v>
      </c>
      <c r="AC58" s="62">
        <f t="shared" si="25"/>
        <v>79674</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62388</v>
      </c>
      <c r="U59" s="61">
        <v>56267</v>
      </c>
      <c r="V59" s="61">
        <v>83344</v>
      </c>
      <c r="W59" s="61">
        <v>105631</v>
      </c>
      <c r="X59" s="61">
        <v>90675</v>
      </c>
      <c r="Y59" s="61">
        <v>84239</v>
      </c>
      <c r="Z59" s="61">
        <v>107278</v>
      </c>
      <c r="AA59" s="61">
        <v>150771</v>
      </c>
      <c r="AB59" s="1"/>
      <c r="AC59" s="61">
        <f>SUM(X59:AA59)</f>
        <v>432963</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-5563</v>
      </c>
      <c r="U60" s="62">
        <v>-3178</v>
      </c>
      <c r="V60" s="62">
        <v>-1961</v>
      </c>
      <c r="W60" s="62">
        <v>-1309</v>
      </c>
      <c r="X60" s="62">
        <v>-1198</v>
      </c>
      <c r="Y60" s="62">
        <v>-4862</v>
      </c>
      <c r="Z60" s="62">
        <v>-10727</v>
      </c>
      <c r="AA60" s="62">
        <v>-132</v>
      </c>
      <c r="AC60" s="62">
        <f>SUM(X60:AA60)</f>
        <v>-16919</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-3093</v>
      </c>
      <c r="U61" s="62">
        <v>-1845</v>
      </c>
      <c r="V61" s="62">
        <v>-479</v>
      </c>
      <c r="W61" s="62">
        <v>-1310</v>
      </c>
      <c r="X61" s="62">
        <v>-3153</v>
      </c>
      <c r="Y61" s="62">
        <v>-2021</v>
      </c>
      <c r="Z61" s="62">
        <v>-2819</v>
      </c>
      <c r="AA61" s="62">
        <v>-2853</v>
      </c>
      <c r="AC61" s="62">
        <f t="shared" ref="AC61:AC66" si="26">SUM(X61:AA61)</f>
        <v>-10846</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-8656</v>
      </c>
      <c r="U62" s="61">
        <v>-93288</v>
      </c>
      <c r="V62" s="61">
        <v>-110365</v>
      </c>
      <c r="W62" s="61">
        <v>-10549</v>
      </c>
      <c r="X62" s="61">
        <v>-2272</v>
      </c>
      <c r="Y62" s="61">
        <v>-51675</v>
      </c>
      <c r="Z62" s="61">
        <v>-43182</v>
      </c>
      <c r="AA62" s="61">
        <v>-16749</v>
      </c>
      <c r="AB62" s="1"/>
      <c r="AC62" s="61">
        <f t="shared" si="26"/>
        <v>-113878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0</v>
      </c>
      <c r="AA63" s="62">
        <v>-24331</v>
      </c>
      <c r="AC63" s="62">
        <f t="shared" si="26"/>
        <v>-24331</v>
      </c>
    </row>
    <row r="64" spans="1:31" x14ac:dyDescent="0.2">
      <c r="B64" s="20" t="s">
        <v>293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344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4795</v>
      </c>
      <c r="U66" s="71">
        <v>3190</v>
      </c>
      <c r="V66" s="71">
        <v>-41597</v>
      </c>
      <c r="W66" s="71">
        <v>3123</v>
      </c>
      <c r="X66" s="71">
        <v>3832</v>
      </c>
      <c r="Y66" s="71">
        <v>2747</v>
      </c>
      <c r="Z66" s="71">
        <v>-39249</v>
      </c>
      <c r="AA66" s="71">
        <v>-31850</v>
      </c>
      <c r="AB66" s="1"/>
      <c r="AC66" s="71">
        <f t="shared" si="26"/>
        <v>-64520</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-60135</v>
      </c>
      <c r="N69" s="64">
        <f t="shared" si="27"/>
        <v>-59574</v>
      </c>
      <c r="O69" s="64">
        <f t="shared" si="27"/>
        <v>16067</v>
      </c>
      <c r="P69" s="64">
        <f t="shared" si="27"/>
        <v>88574</v>
      </c>
      <c r="Q69" s="64">
        <f t="shared" si="27"/>
        <v>157365</v>
      </c>
      <c r="T69" s="64">
        <f t="shared" ref="T69:AA69" si="28">T5-T6-T11+T13+T14+T16-T17</f>
        <v>24351</v>
      </c>
      <c r="U69" s="64">
        <f t="shared" si="28"/>
        <v>23360</v>
      </c>
      <c r="V69" s="64">
        <f t="shared" si="28"/>
        <v>13907</v>
      </c>
      <c r="W69" s="64">
        <f t="shared" si="28"/>
        <v>35135</v>
      </c>
      <c r="X69" s="64">
        <f t="shared" si="28"/>
        <v>44781</v>
      </c>
      <c r="Y69" s="64">
        <f t="shared" si="28"/>
        <v>35495</v>
      </c>
      <c r="Z69" s="64">
        <f t="shared" si="28"/>
        <v>41954</v>
      </c>
      <c r="AA69" s="64">
        <f t="shared" si="28"/>
        <v>43460</v>
      </c>
      <c r="AC69" s="64">
        <f>AC5-AC6-AC11+AC13+AC14+AC16-AC17</f>
        <v>165690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43539</v>
      </c>
      <c r="U74" s="21">
        <v>43984</v>
      </c>
      <c r="V74" s="21">
        <v>45243</v>
      </c>
      <c r="W74" s="21">
        <v>45455</v>
      </c>
      <c r="X74" s="21">
        <v>45822</v>
      </c>
      <c r="Y74" s="21">
        <v>46228</v>
      </c>
      <c r="Z74" s="21">
        <v>47400</v>
      </c>
      <c r="AA74" s="21">
        <v>46593</v>
      </c>
      <c r="AC74" s="24">
        <f>AA74</f>
        <v>46593</v>
      </c>
    </row>
    <row r="75" spans="1:31" x14ac:dyDescent="0.2">
      <c r="B75" s="20" t="s">
        <v>71</v>
      </c>
      <c r="C75" s="25"/>
      <c r="D75" s="25"/>
      <c r="E75" s="25"/>
      <c r="F75" s="25"/>
      <c r="G75" s="25"/>
      <c r="H75" s="25"/>
      <c r="I75" s="25"/>
      <c r="J75" s="25"/>
      <c r="K75" s="25"/>
      <c r="L75" s="25"/>
      <c r="M75" s="25">
        <f t="shared" ref="M75:Q75" si="34">M74*M85</f>
        <v>38625</v>
      </c>
      <c r="N75" s="25">
        <f t="shared" si="34"/>
        <v>40636</v>
      </c>
      <c r="O75" s="25">
        <f t="shared" si="34"/>
        <v>42876</v>
      </c>
      <c r="P75" s="25">
        <f t="shared" si="34"/>
        <v>45243</v>
      </c>
      <c r="Q75" s="25">
        <f t="shared" si="34"/>
        <v>47400</v>
      </c>
      <c r="T75" s="25">
        <f t="shared" ref="T75" si="35">T74*T85</f>
        <v>43539</v>
      </c>
      <c r="U75" s="25">
        <f t="shared" ref="U75" si="36">U74*U85</f>
        <v>43984</v>
      </c>
      <c r="V75" s="25">
        <f t="shared" ref="V75" si="37">V74*V85</f>
        <v>45243</v>
      </c>
      <c r="W75" s="25">
        <f t="shared" ref="W75" si="38">W74*W85</f>
        <v>45455</v>
      </c>
      <c r="X75" s="25">
        <f t="shared" ref="X75" si="39">X74*X85</f>
        <v>45822</v>
      </c>
      <c r="Y75" s="25">
        <f t="shared" ref="Y75" si="40">Y74*Y85</f>
        <v>46228</v>
      </c>
      <c r="Z75" s="25">
        <f t="shared" ref="Z75:AA75" si="41">Z74*Z85</f>
        <v>47400</v>
      </c>
      <c r="AA75" s="25">
        <f t="shared" si="41"/>
        <v>46593</v>
      </c>
      <c r="AC75" s="24">
        <f>AA75</f>
        <v>46593</v>
      </c>
    </row>
    <row r="76" spans="1:31" x14ac:dyDescent="0.2">
      <c r="B76" s="20" t="s">
        <v>243</v>
      </c>
      <c r="C76" s="25"/>
      <c r="D76" s="25"/>
      <c r="E76" s="25"/>
      <c r="F76" s="25"/>
      <c r="G76" s="25"/>
      <c r="H76" s="25"/>
      <c r="I76" s="25"/>
      <c r="J76" s="25"/>
      <c r="K76" s="25"/>
      <c r="L76" s="25"/>
      <c r="M76" s="21">
        <v>0</v>
      </c>
      <c r="N76" s="21">
        <v>0</v>
      </c>
      <c r="O76" s="21">
        <f>2027+2774+270</f>
        <v>5071</v>
      </c>
      <c r="P76" s="21">
        <f>1802+1435+360</f>
        <v>3597</v>
      </c>
      <c r="Q76" s="21">
        <f>1406+769+360</f>
        <v>2535</v>
      </c>
      <c r="T76" s="21">
        <f>2024+2216+270</f>
        <v>4510</v>
      </c>
      <c r="U76" s="21">
        <f>1938+2054+270</f>
        <v>4262</v>
      </c>
      <c r="V76" s="21">
        <f>1802+1435+360</f>
        <v>3597</v>
      </c>
      <c r="W76" s="21">
        <f>1644+1165+540</f>
        <v>3349</v>
      </c>
      <c r="X76" s="21">
        <f>1638+1032+720</f>
        <v>3390</v>
      </c>
      <c r="Y76" s="21">
        <f>1547+927+720</f>
        <v>3194</v>
      </c>
      <c r="Z76" s="21">
        <f>1406+769+360</f>
        <v>2535</v>
      </c>
      <c r="AA76" s="21">
        <f>1486+528+180</f>
        <v>2194</v>
      </c>
      <c r="AC76" s="21">
        <f>AA76</f>
        <v>2194</v>
      </c>
    </row>
    <row r="77" spans="1:31" x14ac:dyDescent="0.2">
      <c r="B77" s="20" t="s">
        <v>244</v>
      </c>
      <c r="C77" s="25"/>
      <c r="D77" s="25"/>
      <c r="E77" s="25"/>
      <c r="F77" s="25"/>
      <c r="G77" s="25"/>
      <c r="H77" s="25"/>
      <c r="I77" s="25"/>
      <c r="J77" s="25"/>
      <c r="K77" s="25"/>
      <c r="L77" s="25"/>
      <c r="M77" s="25">
        <f t="shared" ref="M77:P77" si="42">M76*M85</f>
        <v>0</v>
      </c>
      <c r="N77" s="25">
        <f t="shared" si="42"/>
        <v>0</v>
      </c>
      <c r="O77" s="25">
        <f t="shared" si="42"/>
        <v>5071</v>
      </c>
      <c r="P77" s="25">
        <f t="shared" si="42"/>
        <v>3597</v>
      </c>
      <c r="Q77" s="25">
        <f>Q76*Q85</f>
        <v>2535</v>
      </c>
      <c r="T77" s="25">
        <f t="shared" ref="T77:Z77" si="43">T76*T85</f>
        <v>4510</v>
      </c>
      <c r="U77" s="25">
        <f t="shared" si="43"/>
        <v>4262</v>
      </c>
      <c r="V77" s="25">
        <f t="shared" si="43"/>
        <v>3597</v>
      </c>
      <c r="W77" s="25">
        <f t="shared" si="43"/>
        <v>3349</v>
      </c>
      <c r="X77" s="25">
        <f t="shared" si="43"/>
        <v>3390</v>
      </c>
      <c r="Y77" s="25">
        <f t="shared" si="43"/>
        <v>3194</v>
      </c>
      <c r="Z77" s="25">
        <f t="shared" si="43"/>
        <v>2535</v>
      </c>
      <c r="AA77" s="25">
        <f t="shared" ref="AA77" si="44">AA76*AA85</f>
        <v>2194</v>
      </c>
      <c r="AC77" s="24">
        <f>AA77</f>
        <v>2194</v>
      </c>
    </row>
    <row r="78" spans="1:31" x14ac:dyDescent="0.2">
      <c r="B78" s="20" t="s">
        <v>245</v>
      </c>
      <c r="C78" s="25"/>
      <c r="D78" s="25"/>
      <c r="E78" s="25"/>
      <c r="F78" s="25"/>
      <c r="G78" s="25"/>
      <c r="H78" s="25"/>
      <c r="I78" s="25"/>
      <c r="J78" s="25"/>
      <c r="K78" s="25"/>
      <c r="L78" s="25"/>
      <c r="M78" s="25">
        <f t="shared" ref="M78:P78" si="45">M75+M77</f>
        <v>38625</v>
      </c>
      <c r="N78" s="25">
        <f t="shared" si="45"/>
        <v>40636</v>
      </c>
      <c r="O78" s="25">
        <f t="shared" si="45"/>
        <v>47947</v>
      </c>
      <c r="P78" s="25">
        <f t="shared" si="45"/>
        <v>48840</v>
      </c>
      <c r="Q78" s="25">
        <f>Q75+Q77</f>
        <v>49935</v>
      </c>
      <c r="T78" s="25">
        <f t="shared" ref="T78:Z78" si="46">T75+T77</f>
        <v>48049</v>
      </c>
      <c r="U78" s="25">
        <f t="shared" si="46"/>
        <v>48246</v>
      </c>
      <c r="V78" s="25">
        <f t="shared" si="46"/>
        <v>48840</v>
      </c>
      <c r="W78" s="25">
        <f t="shared" si="46"/>
        <v>48804</v>
      </c>
      <c r="X78" s="25">
        <f t="shared" si="46"/>
        <v>49212</v>
      </c>
      <c r="Y78" s="25">
        <f t="shared" si="46"/>
        <v>49422</v>
      </c>
      <c r="Z78" s="25">
        <f t="shared" si="46"/>
        <v>49935</v>
      </c>
      <c r="AA78" s="25">
        <f t="shared" ref="AA78" si="47">AA75+AA77</f>
        <v>48787</v>
      </c>
      <c r="AC78" s="24">
        <f>AA78</f>
        <v>48787</v>
      </c>
    </row>
    <row r="79" spans="1:31" x14ac:dyDescent="0.2">
      <c r="B79" s="20" t="s">
        <v>284</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285</v>
      </c>
      <c r="C80" s="25"/>
      <c r="D80" s="25"/>
      <c r="E80" s="25"/>
      <c r="F80" s="25"/>
      <c r="G80" s="25"/>
      <c r="H80" s="25"/>
      <c r="I80" s="25"/>
      <c r="J80" s="25"/>
      <c r="K80" s="25"/>
      <c r="L80" s="25"/>
      <c r="M80" s="25">
        <f t="shared" ref="M80:P80" si="48">M79*M85</f>
        <v>8651</v>
      </c>
      <c r="N80" s="25">
        <f t="shared" si="48"/>
        <v>8145</v>
      </c>
      <c r="O80" s="25">
        <f t="shared" si="48"/>
        <v>7885</v>
      </c>
      <c r="P80" s="25">
        <f t="shared" si="48"/>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49">M81/M85</f>
        <v>0</v>
      </c>
      <c r="N82" s="45">
        <f t="shared" si="49"/>
        <v>0</v>
      </c>
      <c r="O82" s="45">
        <f t="shared" si="49"/>
        <v>0</v>
      </c>
      <c r="P82" s="45">
        <f t="shared" si="49"/>
        <v>0</v>
      </c>
      <c r="Q82" s="45">
        <f t="shared" si="49"/>
        <v>0</v>
      </c>
      <c r="T82" s="45">
        <f t="shared" ref="T82" si="50">T81/T85</f>
        <v>0</v>
      </c>
      <c r="U82" s="45">
        <f t="shared" ref="U82" si="51">U81/U85</f>
        <v>0</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2">
        <f>SUM(X82:AA82)</f>
        <v>0</v>
      </c>
    </row>
    <row r="83" spans="1:31" x14ac:dyDescent="0.2">
      <c r="B83" s="20" t="s">
        <v>74</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0</v>
      </c>
      <c r="N83" s="46">
        <f t="shared" si="57"/>
        <v>1.599699843099802E-2</v>
      </c>
      <c r="O83" s="46">
        <f t="shared" si="57"/>
        <v>9.6191708387241948E-2</v>
      </c>
      <c r="P83" s="46">
        <f t="shared" si="57"/>
        <v>0.13422477665044083</v>
      </c>
      <c r="Q83" s="46">
        <f t="shared" si="57"/>
        <v>0.13730058659064745</v>
      </c>
      <c r="T83" s="46">
        <f t="shared" ref="T83:AA83" si="58">IF(AND(T15&gt;0,T16&lt;0),-(T16)/T15,0)</f>
        <v>0.15194678554015462</v>
      </c>
      <c r="U83" s="46">
        <f t="shared" si="58"/>
        <v>7.9916499271337982E-2</v>
      </c>
      <c r="V83" s="46">
        <f t="shared" si="58"/>
        <v>0.37781853972798857</v>
      </c>
      <c r="W83" s="46">
        <f t="shared" si="58"/>
        <v>0</v>
      </c>
      <c r="X83" s="46">
        <f t="shared" si="58"/>
        <v>3.5931108719052744E-2</v>
      </c>
      <c r="Y83" s="46">
        <f t="shared" si="58"/>
        <v>0.23582854313332902</v>
      </c>
      <c r="Z83" s="46">
        <f t="shared" si="58"/>
        <v>0.23021595934019559</v>
      </c>
      <c r="AA83" s="46">
        <f t="shared" si="58"/>
        <v>0.21766993087557604</v>
      </c>
      <c r="AC83" s="46">
        <f>IF(AND(AC15&gt;0,AC16&lt;0),-(AC16)/AC15,0)</f>
        <v>0.18360006306910009</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59">IF(L5=0,
IF(M5=0,0,IF(M5&gt;0,1,-1)),
(M5-L5)/ABS(L5)
)</f>
        <v>1</v>
      </c>
      <c r="N89" s="48">
        <f t="shared" si="59"/>
        <v>0.47343004801173977</v>
      </c>
      <c r="O89" s="48">
        <f t="shared" si="59"/>
        <v>0.43739157498748293</v>
      </c>
      <c r="P89" s="48">
        <f t="shared" si="59"/>
        <v>0.40841898743948984</v>
      </c>
      <c r="Q89" s="48">
        <f t="shared" si="59"/>
        <v>0.38710656342577243</v>
      </c>
      <c r="R89" s="1"/>
      <c r="S89" s="1"/>
      <c r="T89" s="48">
        <f t="shared" ref="T89:AA96" si="60">IF(S5=0,
IF(T5=0,0,IF(T5&gt;0,1,-1)),
(T5-S5)/ABS(S5)
)</f>
        <v>1</v>
      </c>
      <c r="U89" s="48">
        <f t="shared" si="60"/>
        <v>8.0004710447660762E-2</v>
      </c>
      <c r="V89" s="48">
        <f t="shared" si="60"/>
        <v>8.8040125860618712E-2</v>
      </c>
      <c r="W89" s="48">
        <f t="shared" si="60"/>
        <v>0.10113576712001909</v>
      </c>
      <c r="X89" s="48">
        <f t="shared" si="60"/>
        <v>9.3272601985759054E-2</v>
      </c>
      <c r="Y89" s="48">
        <f t="shared" si="60"/>
        <v>7.7093532594692094E-2</v>
      </c>
      <c r="Z89" s="48">
        <f t="shared" si="60"/>
        <v>4.1054347786083106E-2</v>
      </c>
      <c r="AA89" s="48">
        <f t="shared" si="60"/>
        <v>3.2166947127281985E-2</v>
      </c>
      <c r="AB89" s="1"/>
      <c r="AC89" s="67"/>
      <c r="AD89" s="1"/>
      <c r="AE89" s="1"/>
    </row>
    <row r="90" spans="1:31" x14ac:dyDescent="0.2">
      <c r="B90" s="20" t="s">
        <v>21</v>
      </c>
      <c r="C90" s="49"/>
      <c r="D90" s="50"/>
      <c r="E90" s="50"/>
      <c r="F90" s="50"/>
      <c r="G90" s="50"/>
      <c r="H90" s="50"/>
      <c r="I90" s="50"/>
      <c r="J90" s="50"/>
      <c r="K90" s="50"/>
      <c r="L90" s="50"/>
      <c r="M90" s="50">
        <f t="shared" si="59"/>
        <v>1</v>
      </c>
      <c r="N90" s="50">
        <f t="shared" si="59"/>
        <v>0.43715491573439713</v>
      </c>
      <c r="O90" s="50">
        <f t="shared" si="59"/>
        <v>0.42918204584083436</v>
      </c>
      <c r="P90" s="50">
        <f t="shared" si="59"/>
        <v>0.43306006122233559</v>
      </c>
      <c r="Q90" s="50">
        <f t="shared" si="59"/>
        <v>0.41487392275774021</v>
      </c>
      <c r="T90" s="50">
        <f t="shared" si="60"/>
        <v>1</v>
      </c>
      <c r="U90" s="50">
        <f t="shared" si="60"/>
        <v>0.1020296099178441</v>
      </c>
      <c r="V90" s="50">
        <f t="shared" si="60"/>
        <v>0.12926408585665006</v>
      </c>
      <c r="W90" s="50">
        <f t="shared" si="60"/>
        <v>0.13104794229953332</v>
      </c>
      <c r="X90" s="50">
        <f t="shared" si="60"/>
        <v>4.5568442690593722E-2</v>
      </c>
      <c r="Y90" s="50">
        <f t="shared" si="60"/>
        <v>7.3445841226106423E-2</v>
      </c>
      <c r="Z90" s="50">
        <f t="shared" si="60"/>
        <v>2.9370872436565866E-2</v>
      </c>
      <c r="AA90" s="50">
        <f t="shared" si="60"/>
        <v>2.4312004052000676E-2</v>
      </c>
      <c r="AC90" s="68"/>
    </row>
    <row r="91" spans="1:31" s="41" customFormat="1" x14ac:dyDescent="0.2">
      <c r="A91" s="16"/>
      <c r="B91" s="17" t="s">
        <v>22</v>
      </c>
      <c r="C91" s="47"/>
      <c r="D91" s="48"/>
      <c r="E91" s="48"/>
      <c r="F91" s="48"/>
      <c r="G91" s="48"/>
      <c r="H91" s="48"/>
      <c r="I91" s="48"/>
      <c r="J91" s="48"/>
      <c r="K91" s="48"/>
      <c r="L91" s="48"/>
      <c r="M91" s="48">
        <f t="shared" si="59"/>
        <v>1</v>
      </c>
      <c r="N91" s="48">
        <f t="shared" si="59"/>
        <v>0.48725121980769442</v>
      </c>
      <c r="O91" s="48">
        <f t="shared" si="59"/>
        <v>0.44041412405948221</v>
      </c>
      <c r="P91" s="48">
        <f t="shared" si="59"/>
        <v>0.39941748670964822</v>
      </c>
      <c r="Q91" s="48">
        <f t="shared" si="59"/>
        <v>0.37671916073176959</v>
      </c>
      <c r="R91" s="1"/>
      <c r="S91" s="1"/>
      <c r="T91" s="48">
        <f t="shared" si="60"/>
        <v>1</v>
      </c>
      <c r="U91" s="48">
        <f t="shared" si="60"/>
        <v>7.2042633113958074E-2</v>
      </c>
      <c r="V91" s="48">
        <f t="shared" si="60"/>
        <v>7.2720668879171599E-2</v>
      </c>
      <c r="W91" s="48">
        <f t="shared" si="60"/>
        <v>8.9434024896265563E-2</v>
      </c>
      <c r="X91" s="48">
        <f t="shared" si="60"/>
        <v>0.11264747464898596</v>
      </c>
      <c r="Y91" s="48">
        <f t="shared" si="60"/>
        <v>7.8485713190310058E-2</v>
      </c>
      <c r="Z91" s="48">
        <f t="shared" si="60"/>
        <v>4.5492633727927848E-2</v>
      </c>
      <c r="AA91" s="48">
        <f t="shared" si="60"/>
        <v>3.5104848228727975E-2</v>
      </c>
      <c r="AB91" s="1"/>
      <c r="AC91" s="67"/>
      <c r="AD91" s="1"/>
      <c r="AE91" s="1"/>
    </row>
    <row r="92" spans="1:31" x14ac:dyDescent="0.2">
      <c r="B92" s="20" t="s">
        <v>24</v>
      </c>
      <c r="C92" s="49"/>
      <c r="D92" s="50"/>
      <c r="E92" s="50"/>
      <c r="F92" s="50"/>
      <c r="G92" s="50"/>
      <c r="H92" s="50"/>
      <c r="I92" s="50"/>
      <c r="J92" s="50"/>
      <c r="K92" s="50"/>
      <c r="L92" s="50"/>
      <c r="M92" s="50">
        <f t="shared" si="59"/>
        <v>1</v>
      </c>
      <c r="N92" s="50">
        <f t="shared" si="59"/>
        <v>0.4489035277801855</v>
      </c>
      <c r="O92" s="50">
        <f t="shared" si="59"/>
        <v>0.29185610592645767</v>
      </c>
      <c r="P92" s="50">
        <f t="shared" si="59"/>
        <v>0.2106795916687248</v>
      </c>
      <c r="Q92" s="50">
        <f t="shared" si="59"/>
        <v>0.30185126945405399</v>
      </c>
      <c r="T92" s="50">
        <f t="shared" si="60"/>
        <v>1</v>
      </c>
      <c r="U92" s="50">
        <f t="shared" si="60"/>
        <v>0.14018894953487951</v>
      </c>
      <c r="V92" s="50">
        <f t="shared" si="60"/>
        <v>5.5933712904354463E-2</v>
      </c>
      <c r="W92" s="50">
        <f t="shared" si="60"/>
        <v>6.0170193538670078E-2</v>
      </c>
      <c r="X92" s="50">
        <f t="shared" si="60"/>
        <v>4.659752805796278E-2</v>
      </c>
      <c r="Y92" s="50">
        <f t="shared" si="60"/>
        <v>0.12266865752680874</v>
      </c>
      <c r="Z92" s="50">
        <f t="shared" si="60"/>
        <v>-3.8098347177385229E-2</v>
      </c>
      <c r="AA92" s="50">
        <f t="shared" si="60"/>
        <v>4.2963447131580269E-2</v>
      </c>
      <c r="AC92" s="68"/>
    </row>
    <row r="93" spans="1:31" x14ac:dyDescent="0.2">
      <c r="B93" s="20" t="s">
        <v>23</v>
      </c>
      <c r="C93" s="49"/>
      <c r="D93" s="50"/>
      <c r="E93" s="50"/>
      <c r="F93" s="50"/>
      <c r="G93" s="50"/>
      <c r="H93" s="50"/>
      <c r="I93" s="50"/>
      <c r="J93" s="50"/>
      <c r="K93" s="50"/>
      <c r="L93" s="50"/>
      <c r="M93" s="50">
        <f t="shared" si="59"/>
        <v>1</v>
      </c>
      <c r="N93" s="50">
        <f t="shared" si="59"/>
        <v>0.13177285786716242</v>
      </c>
      <c r="O93" s="50">
        <f t="shared" si="59"/>
        <v>0.13172159421804769</v>
      </c>
      <c r="P93" s="50">
        <f t="shared" si="59"/>
        <v>0.19404127302475327</v>
      </c>
      <c r="Q93" s="50">
        <f t="shared" si="59"/>
        <v>0.38878820695294714</v>
      </c>
      <c r="T93" s="50">
        <f t="shared" si="60"/>
        <v>1</v>
      </c>
      <c r="U93" s="50">
        <f t="shared" si="60"/>
        <v>0.26767126003767228</v>
      </c>
      <c r="V93" s="50">
        <f t="shared" si="60"/>
        <v>-2.9678579807617112E-2</v>
      </c>
      <c r="W93" s="50">
        <f t="shared" si="60"/>
        <v>7.4430787829941572E-2</v>
      </c>
      <c r="X93" s="50">
        <f t="shared" si="60"/>
        <v>0.10880654114470033</v>
      </c>
      <c r="Y93" s="50">
        <f t="shared" si="60"/>
        <v>0.18665223421168353</v>
      </c>
      <c r="Z93" s="50">
        <f t="shared" si="60"/>
        <v>-2.023887574470511E-2</v>
      </c>
      <c r="AA93" s="50">
        <f t="shared" si="60"/>
        <v>0.14192196910185911</v>
      </c>
      <c r="AC93" s="68"/>
    </row>
    <row r="94" spans="1:31" x14ac:dyDescent="0.2">
      <c r="B94" s="23" t="s">
        <v>25</v>
      </c>
      <c r="C94" s="49"/>
      <c r="D94" s="50"/>
      <c r="E94" s="50"/>
      <c r="F94" s="50"/>
      <c r="G94" s="50"/>
      <c r="H94" s="50"/>
      <c r="I94" s="50"/>
      <c r="J94" s="50"/>
      <c r="K94" s="50"/>
      <c r="L94" s="50"/>
      <c r="M94" s="50">
        <f t="shared" si="59"/>
        <v>1</v>
      </c>
      <c r="N94" s="50">
        <f t="shared" si="59"/>
        <v>0.49952920218857361</v>
      </c>
      <c r="O94" s="50">
        <f t="shared" si="59"/>
        <v>0.1211306089199647</v>
      </c>
      <c r="P94" s="50">
        <f t="shared" si="59"/>
        <v>0.18065741770925578</v>
      </c>
      <c r="Q94" s="50">
        <f t="shared" si="59"/>
        <v>0.16600210267193188</v>
      </c>
      <c r="T94" s="50">
        <f t="shared" si="60"/>
        <v>1</v>
      </c>
      <c r="U94" s="50">
        <f t="shared" si="60"/>
        <v>3.8720675379495091E-2</v>
      </c>
      <c r="V94" s="50">
        <f t="shared" si="60"/>
        <v>0.18612587266854225</v>
      </c>
      <c r="W94" s="50">
        <f t="shared" si="60"/>
        <v>-4.5747040607910745E-2</v>
      </c>
      <c r="X94" s="50">
        <f t="shared" si="60"/>
        <v>5.8342922899884922E-2</v>
      </c>
      <c r="Y94" s="50">
        <f t="shared" si="60"/>
        <v>-4.3949113841470044E-2</v>
      </c>
      <c r="Z94" s="50">
        <f t="shared" si="60"/>
        <v>0.10290237467018469</v>
      </c>
      <c r="AA94" s="50">
        <f t="shared" si="60"/>
        <v>-4.4175878567893088E-2</v>
      </c>
      <c r="AC94" s="68"/>
    </row>
    <row r="95" spans="1:31" x14ac:dyDescent="0.2">
      <c r="B95" s="23" t="s">
        <v>26</v>
      </c>
      <c r="C95" s="49"/>
      <c r="D95" s="50"/>
      <c r="E95" s="50"/>
      <c r="F95" s="50"/>
      <c r="G95" s="50"/>
      <c r="H95" s="50"/>
      <c r="I95" s="50"/>
      <c r="J95" s="50"/>
      <c r="K95" s="50"/>
      <c r="L95" s="50"/>
      <c r="M95" s="50">
        <f t="shared" si="59"/>
        <v>1</v>
      </c>
      <c r="N95" s="50">
        <f t="shared" si="59"/>
        <v>0.38770163042803391</v>
      </c>
      <c r="O95" s="50">
        <f t="shared" si="59"/>
        <v>0.19985742366349599</v>
      </c>
      <c r="P95" s="50">
        <f t="shared" si="59"/>
        <v>0.19768410219184962</v>
      </c>
      <c r="Q95" s="50">
        <f t="shared" si="59"/>
        <v>0.27419549009514638</v>
      </c>
      <c r="T95" s="50">
        <f t="shared" si="60"/>
        <v>1</v>
      </c>
      <c r="U95" s="50">
        <f t="shared" si="60"/>
        <v>0.12969593330839524</v>
      </c>
      <c r="V95" s="50">
        <f t="shared" si="60"/>
        <v>7.807473982970671E-2</v>
      </c>
      <c r="W95" s="50">
        <f t="shared" si="60"/>
        <v>2.7489524143831861E-2</v>
      </c>
      <c r="X95" s="50">
        <f t="shared" si="60"/>
        <v>6.2034704132325522E-2</v>
      </c>
      <c r="Y95" s="50">
        <f t="shared" si="60"/>
        <v>8.3997909099438411E-2</v>
      </c>
      <c r="Z95" s="50">
        <f t="shared" si="60"/>
        <v>4.0988674019486618E-3</v>
      </c>
      <c r="AA95" s="50">
        <f t="shared" si="60"/>
        <v>3.7890588923436871E-2</v>
      </c>
      <c r="AC95" s="68"/>
    </row>
    <row r="96" spans="1:31" s="41" customFormat="1" x14ac:dyDescent="0.2">
      <c r="A96" s="16"/>
      <c r="B96" s="17" t="s">
        <v>27</v>
      </c>
      <c r="C96" s="47"/>
      <c r="D96" s="48"/>
      <c r="E96" s="48"/>
      <c r="F96" s="48"/>
      <c r="G96" s="48"/>
      <c r="H96" s="48"/>
      <c r="I96" s="48"/>
      <c r="J96" s="48"/>
      <c r="K96" s="48"/>
      <c r="L96" s="48"/>
      <c r="M96" s="48">
        <f t="shared" si="59"/>
        <v>-1</v>
      </c>
      <c r="N96" s="48">
        <f t="shared" si="59"/>
        <v>-8.6456580065659011E-2</v>
      </c>
      <c r="O96" s="48">
        <f t="shared" si="59"/>
        <v>0.79662550809111132</v>
      </c>
      <c r="P96" s="48">
        <f t="shared" si="59"/>
        <v>5.7209442642733235</v>
      </c>
      <c r="Q96" s="48">
        <f t="shared" si="59"/>
        <v>1.1658279415288761</v>
      </c>
      <c r="R96" s="1"/>
      <c r="S96" s="1"/>
      <c r="T96" s="48">
        <f t="shared" si="60"/>
        <v>1</v>
      </c>
      <c r="U96" s="48">
        <f t="shared" si="60"/>
        <v>-0.27411764705882352</v>
      </c>
      <c r="V96" s="48">
        <f t="shared" si="60"/>
        <v>2.2690437601296597E-2</v>
      </c>
      <c r="W96" s="48">
        <f t="shared" si="60"/>
        <v>0.69961100705950152</v>
      </c>
      <c r="X96" s="48">
        <f t="shared" si="60"/>
        <v>0.41404594388403831</v>
      </c>
      <c r="Y96" s="48">
        <f t="shared" si="60"/>
        <v>5.3832089440398044E-2</v>
      </c>
      <c r="Z96" s="48">
        <f t="shared" si="60"/>
        <v>0.23592821183765181</v>
      </c>
      <c r="AA96" s="48">
        <f t="shared" si="60"/>
        <v>2.4692778570442307E-2</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AA97" si="61">IF(S15=0,
IF(T15=0,0,IF(T15&gt;0,1,-1)),
(T15-S15)/ABS(S15)
)</f>
        <v>1</v>
      </c>
      <c r="U97" s="52">
        <f t="shared" si="61"/>
        <v>-0.11579717211116529</v>
      </c>
      <c r="V97" s="52">
        <f t="shared" si="61"/>
        <v>-0.11961873252195833</v>
      </c>
      <c r="W97" s="52">
        <f t="shared" si="61"/>
        <v>0.56630279169649245</v>
      </c>
      <c r="X97" s="52">
        <f t="shared" si="61"/>
        <v>0.32676378177663523</v>
      </c>
      <c r="Y97" s="52">
        <f t="shared" si="61"/>
        <v>-2.1528525296017223E-5</v>
      </c>
      <c r="Z97" s="52">
        <f t="shared" si="61"/>
        <v>0.17335141768391138</v>
      </c>
      <c r="AA97" s="52">
        <f t="shared" si="61"/>
        <v>1.9284049833948002E-2</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AA98" si="62">IF(S18=0,
IF(T18=0,0,IF(T18&gt;0,1,-1)),
(T18-S18)/ABS(S18)
)</f>
        <v>1</v>
      </c>
      <c r="U98" s="52">
        <f t="shared" si="62"/>
        <v>-4.0696480637345489E-2</v>
      </c>
      <c r="V98" s="52">
        <f t="shared" si="62"/>
        <v>-0.40466609589041097</v>
      </c>
      <c r="W98" s="52">
        <f t="shared" si="62"/>
        <v>1.526425541094413</v>
      </c>
      <c r="X98" s="52">
        <f t="shared" si="62"/>
        <v>0.27454105592713818</v>
      </c>
      <c r="Y98" s="52">
        <f t="shared" si="62"/>
        <v>-0.20736473057770036</v>
      </c>
      <c r="Z98" s="52">
        <f t="shared" si="62"/>
        <v>0.18196929144949994</v>
      </c>
      <c r="AA98" s="52">
        <f t="shared" si="62"/>
        <v>3.5896458025456456E-2</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AA101" si="63">T7/T5</f>
        <v>0.73448215917948489</v>
      </c>
      <c r="U101" s="50">
        <f t="shared" si="63"/>
        <v>0.72906736450772092</v>
      </c>
      <c r="V101" s="50">
        <f t="shared" si="63"/>
        <v>0.71880219518014798</v>
      </c>
      <c r="W101" s="50">
        <f t="shared" si="63"/>
        <v>0.71116350225142255</v>
      </c>
      <c r="X101" s="50">
        <f t="shared" si="63"/>
        <v>0.7237666739341565</v>
      </c>
      <c r="Y101" s="50">
        <f t="shared" si="63"/>
        <v>0.72470216736041337</v>
      </c>
      <c r="Z101" s="50">
        <f t="shared" si="63"/>
        <v>0.72779176152834535</v>
      </c>
      <c r="AA101" s="50">
        <f t="shared" si="63"/>
        <v>0.72986330646956676</v>
      </c>
      <c r="AC101" s="50">
        <f>AC7/AC5</f>
        <v>0.72665412586127032</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AA102" si="64">T12/T5</f>
        <v>0.10486353720973268</v>
      </c>
      <c r="U102" s="50">
        <f t="shared" si="64"/>
        <v>7.0479869570183915E-2</v>
      </c>
      <c r="V102" s="50">
        <f t="shared" si="64"/>
        <v>6.624671916010498E-2</v>
      </c>
      <c r="W102" s="50">
        <f t="shared" si="64"/>
        <v>0.10225228934355539</v>
      </c>
      <c r="X102" s="50">
        <f t="shared" si="64"/>
        <v>0.13225378074643729</v>
      </c>
      <c r="Y102" s="50">
        <f t="shared" si="64"/>
        <v>0.12939756286964554</v>
      </c>
      <c r="Z102" s="50">
        <f t="shared" si="64"/>
        <v>0.15361935602471824</v>
      </c>
      <c r="AA102" s="50">
        <f t="shared" si="64"/>
        <v>0.15250696140317227</v>
      </c>
      <c r="AC102" s="50">
        <f>AC12/AC5</f>
        <v>0.14242914854483885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AA103" si="65">T111/T5</f>
        <v>0.13655251307990376</v>
      </c>
      <c r="U103" s="55">
        <f t="shared" si="65"/>
        <v>0.12129142133192104</v>
      </c>
      <c r="V103" s="55">
        <f t="shared" si="65"/>
        <v>6.6366022429014557E-2</v>
      </c>
      <c r="W103" s="55">
        <f t="shared" si="65"/>
        <v>0.15226897457344318</v>
      </c>
      <c r="X103" s="55">
        <f t="shared" si="65"/>
        <v>0.1775157076883436</v>
      </c>
      <c r="Y103" s="55">
        <f t="shared" si="65"/>
        <v>0.13063416178099685</v>
      </c>
      <c r="Z103" s="55">
        <f t="shared" si="65"/>
        <v>0.14831652926453329</v>
      </c>
      <c r="AA103" s="55">
        <f t="shared" si="65"/>
        <v>0.14885243880301541</v>
      </c>
      <c r="AB103" s="1"/>
      <c r="AC103" s="55">
        <f>AC111/AC5</f>
        <v>0.15078998883340478</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0</v>
      </c>
      <c r="N106" s="81">
        <f t="shared" si="66"/>
        <v>0</v>
      </c>
      <c r="O106" s="81">
        <f t="shared" si="66"/>
        <v>0</v>
      </c>
      <c r="P106" s="81">
        <f t="shared" si="66"/>
        <v>0.13422477665044083</v>
      </c>
      <c r="Q106" s="81">
        <f t="shared" si="66"/>
        <v>0.13730058659064745</v>
      </c>
      <c r="T106" s="81">
        <f t="shared" ref="T106:AA106" si="67">IF(AND(T83&gt;=0,T12&gt;=0),T83,0)</f>
        <v>0.15194678554015462</v>
      </c>
      <c r="U106" s="81">
        <f t="shared" si="67"/>
        <v>7.9916499271337982E-2</v>
      </c>
      <c r="V106" s="81">
        <f t="shared" si="67"/>
        <v>0.37781853972798857</v>
      </c>
      <c r="W106" s="81">
        <f t="shared" si="67"/>
        <v>0</v>
      </c>
      <c r="X106" s="81">
        <f t="shared" si="67"/>
        <v>3.5931108719052744E-2</v>
      </c>
      <c r="Y106" s="81">
        <f t="shared" si="67"/>
        <v>0.23582854313332902</v>
      </c>
      <c r="Z106" s="81">
        <f t="shared" si="67"/>
        <v>0.23021595934019559</v>
      </c>
      <c r="AA106" s="81">
        <f t="shared" si="67"/>
        <v>0.21766993087557604</v>
      </c>
      <c r="AC106" s="81">
        <f>IF(AND(AC83&gt;=0,AC12&gt;=0),AC83,0)</f>
        <v>0.18360006306910009</v>
      </c>
    </row>
    <row r="107" spans="1:31" x14ac:dyDescent="0.2">
      <c r="B107" s="20" t="s">
        <v>182</v>
      </c>
      <c r="C107" s="25"/>
      <c r="D107" s="25"/>
      <c r="E107" s="25"/>
      <c r="F107" s="25"/>
      <c r="G107" s="25"/>
      <c r="H107" s="25"/>
      <c r="I107" s="25"/>
      <c r="J107" s="25"/>
      <c r="K107" s="25"/>
      <c r="L107" s="25"/>
      <c r="M107" s="25">
        <f>M29+M34</f>
        <v>553922</v>
      </c>
      <c r="N107" s="25">
        <f t="shared" ref="N107:Q107" si="68">N29+N34</f>
        <v>608180</v>
      </c>
      <c r="O107" s="25">
        <f t="shared" si="68"/>
        <v>747610</v>
      </c>
      <c r="P107" s="25">
        <f t="shared" si="68"/>
        <v>975937</v>
      </c>
      <c r="Q107" s="25">
        <f t="shared" si="68"/>
        <v>1275565</v>
      </c>
      <c r="T107" s="25">
        <f t="shared" ref="T107:AA107" si="69">T29+T34</f>
        <v>888240</v>
      </c>
      <c r="U107" s="25">
        <f t="shared" si="69"/>
        <v>936091</v>
      </c>
      <c r="V107" s="25">
        <f t="shared" si="69"/>
        <v>975937</v>
      </c>
      <c r="W107" s="25">
        <f t="shared" si="69"/>
        <v>1082622</v>
      </c>
      <c r="X107" s="25">
        <f t="shared" si="69"/>
        <v>1173245</v>
      </c>
      <c r="Y107" s="25">
        <f t="shared" si="69"/>
        <v>1220189</v>
      </c>
      <c r="Z107" s="25">
        <f t="shared" si="69"/>
        <v>1275565</v>
      </c>
      <c r="AA107" s="25">
        <f t="shared" si="69"/>
        <v>1391821</v>
      </c>
      <c r="AC107" s="25">
        <f>AA107</f>
        <v>1391821</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0">T39+T41</f>
        <v>0</v>
      </c>
      <c r="U108" s="25">
        <f t="shared" si="70"/>
        <v>0</v>
      </c>
      <c r="V108" s="25">
        <f t="shared" si="70"/>
        <v>0</v>
      </c>
      <c r="W108" s="25">
        <f t="shared" si="70"/>
        <v>0</v>
      </c>
      <c r="X108" s="25">
        <f t="shared" si="70"/>
        <v>0</v>
      </c>
      <c r="Y108" s="25">
        <f t="shared" si="70"/>
        <v>0</v>
      </c>
      <c r="Z108" s="25">
        <f t="shared" si="70"/>
        <v>0</v>
      </c>
      <c r="AA108" s="25">
        <f t="shared" si="70"/>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127769.03932949662</v>
      </c>
    </row>
    <row r="110" spans="1:31" x14ac:dyDescent="0.2">
      <c r="B110" s="20" t="s">
        <v>308</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AA110" si="71">T60+T61</f>
        <v>-8656</v>
      </c>
      <c r="U110" s="128">
        <f t="shared" si="71"/>
        <v>-5023</v>
      </c>
      <c r="V110" s="128">
        <f t="shared" si="71"/>
        <v>-2440</v>
      </c>
      <c r="W110" s="128">
        <f t="shared" si="71"/>
        <v>-2619</v>
      </c>
      <c r="X110" s="128">
        <f t="shared" si="71"/>
        <v>-4351</v>
      </c>
      <c r="Y110" s="128">
        <f t="shared" si="71"/>
        <v>-6883</v>
      </c>
      <c r="Z110" s="128">
        <f t="shared" si="71"/>
        <v>-13546</v>
      </c>
      <c r="AA110" s="128">
        <f t="shared" si="71"/>
        <v>-2985</v>
      </c>
      <c r="AC110" s="128">
        <f>AC60+AC61</f>
        <v>-27765</v>
      </c>
    </row>
    <row r="111" spans="1:31" x14ac:dyDescent="0.2">
      <c r="B111" s="20" t="s">
        <v>342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AA111" si="72">T17+T18</f>
        <v>24351</v>
      </c>
      <c r="U111" s="128">
        <f t="shared" si="72"/>
        <v>23360</v>
      </c>
      <c r="V111" s="128">
        <f t="shared" si="72"/>
        <v>13907</v>
      </c>
      <c r="W111" s="128">
        <f t="shared" si="72"/>
        <v>35135</v>
      </c>
      <c r="X111" s="128">
        <f t="shared" si="72"/>
        <v>44781</v>
      </c>
      <c r="Y111" s="128">
        <f t="shared" si="72"/>
        <v>35495</v>
      </c>
      <c r="Z111" s="128">
        <f t="shared" si="72"/>
        <v>41954</v>
      </c>
      <c r="AA111" s="128">
        <f t="shared" si="72"/>
        <v>43460</v>
      </c>
      <c r="AC111" s="128">
        <f>AC17+AC18</f>
        <v>165690</v>
      </c>
    </row>
    <row r="112" spans="1:31" x14ac:dyDescent="0.2">
      <c r="B112" s="20" t="s">
        <v>343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AA112" si="73">T49+T48</f>
        <v>766944</v>
      </c>
      <c r="U112" s="128">
        <f t="shared" si="73"/>
        <v>822453</v>
      </c>
      <c r="V112" s="128">
        <f t="shared" si="73"/>
        <v>824550</v>
      </c>
      <c r="W112" s="128">
        <f t="shared" si="73"/>
        <v>893826</v>
      </c>
      <c r="X112" s="128">
        <f t="shared" si="73"/>
        <v>977031</v>
      </c>
      <c r="Y112" s="128">
        <f t="shared" si="73"/>
        <v>1307539</v>
      </c>
      <c r="Z112" s="128">
        <f t="shared" si="73"/>
        <v>1347006</v>
      </c>
      <c r="AA112" s="128">
        <f t="shared" si="73"/>
        <v>1391764</v>
      </c>
      <c r="AC112" s="128">
        <f>AC49+AC48</f>
        <v>1391764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68"/>
      <c r="U116" s="68"/>
      <c r="V116" s="68"/>
      <c r="W116" s="68"/>
      <c r="X116" s="68"/>
      <c r="Y116" s="68"/>
      <c r="Z116" s="68"/>
      <c r="AA116" s="68"/>
      <c r="AC116" s="63">
        <f ca="1">Overview!C5</f>
        <v>125.76</v>
      </c>
    </row>
    <row r="117" spans="1:31" x14ac:dyDescent="0.2">
      <c r="B117" s="20" t="s">
        <v>355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8"/>
      <c r="U117" s="68"/>
      <c r="V117" s="68"/>
      <c r="W117" s="68"/>
      <c r="X117" s="68"/>
      <c r="Y117" s="68"/>
      <c r="Z117" s="68"/>
      <c r="AA117" s="68"/>
      <c r="AC117" s="65">
        <f ca="1">AC116/AC85</f>
        <v>125.76</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0.15078998883340478</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0.53392429715538525</v>
      </c>
    </row>
    <row r="123" spans="1:31" x14ac:dyDescent="0.2">
      <c r="B123" s="32" t="s">
        <v>102</v>
      </c>
      <c r="M123" s="76">
        <f t="shared" ref="M123:P123" si="74">M121*M122</f>
        <v>-9.0933010338554776E-2</v>
      </c>
      <c r="N123" s="76">
        <f t="shared" si="74"/>
        <v>-7.9713974900548212E-2</v>
      </c>
      <c r="O123" s="76">
        <f t="shared" si="74"/>
        <v>1.6842478224909509E-2</v>
      </c>
      <c r="P123" s="76">
        <f t="shared" si="74"/>
        <v>6.804340077189705E-2</v>
      </c>
      <c r="Q123" s="76">
        <f>Q121*Q122</f>
        <v>7.89912769014076E-2</v>
      </c>
      <c r="T123" s="79"/>
      <c r="U123" s="79"/>
      <c r="V123" s="79"/>
      <c r="W123" s="79"/>
      <c r="X123" s="79"/>
      <c r="Y123" s="79"/>
      <c r="Z123" s="79"/>
      <c r="AA123" s="79"/>
      <c r="AC123" s="76">
        <f>AC121*AC122</f>
        <v>8.0510438805944037E-2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1.4786946637504634</v>
      </c>
    </row>
    <row r="125" spans="1:31" x14ac:dyDescent="0.2">
      <c r="B125" s="32" t="s">
        <v>104</v>
      </c>
      <c r="M125" s="76">
        <f t="shared" ref="M125:P125" si="75">M123*M124</f>
        <v>-0.1172094274309237</v>
      </c>
      <c r="N125" s="76">
        <f t="shared" si="75"/>
        <v>-0.1098993133829449</v>
      </c>
      <c r="O125" s="76">
        <f t="shared" si="75"/>
        <v>2.4511022866479229E-2</v>
      </c>
      <c r="P125" s="76">
        <f t="shared" si="75"/>
        <v>0.10742101752471045</v>
      </c>
      <c r="Q125" s="76">
        <f>Q123*Q124</f>
        <v>0.11682576024160249</v>
      </c>
      <c r="T125" s="79"/>
      <c r="U125" s="79"/>
      <c r="V125" s="79"/>
      <c r="W125" s="79"/>
      <c r="X125" s="79"/>
      <c r="Y125" s="79"/>
      <c r="Z125" s="79"/>
      <c r="AA125" s="79"/>
      <c r="AC125" s="76">
        <f>AC123*AC124</f>
        <v>0.11905035623855768</v>
      </c>
    </row>
    <row r="127" spans="1:31" x14ac:dyDescent="0.2">
      <c r="B127" s="1"/>
    </row>
    <row r="128" spans="1:31" ht="17" thickBot="1" x14ac:dyDescent="0.25">
      <c r="B128" s="14" t="s">
        <v>237</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238</v>
      </c>
      <c r="C129" s="49"/>
      <c r="D129" s="49"/>
      <c r="E129" s="49"/>
      <c r="F129" s="49"/>
      <c r="G129" s="49"/>
      <c r="H129" s="49"/>
      <c r="I129" s="49"/>
      <c r="J129" s="49"/>
      <c r="K129" s="49"/>
      <c r="L129" s="49"/>
      <c r="M129" s="49"/>
      <c r="N129" s="49"/>
      <c r="O129" s="49"/>
      <c r="P129" s="49"/>
      <c r="Q129" s="49"/>
      <c r="T129" s="21">
        <v>186700</v>
      </c>
      <c r="U129" s="21">
        <v>202500</v>
      </c>
      <c r="V129" s="21">
        <v>220500</v>
      </c>
      <c r="W129" s="21">
        <v>238500</v>
      </c>
      <c r="X129" s="21">
        <v>257000</v>
      </c>
      <c r="Y129" s="21">
        <v>273000</v>
      </c>
      <c r="Z129" s="21">
        <v>288500</v>
      </c>
      <c r="AA129" s="21">
        <v>295500</v>
      </c>
      <c r="AC129" s="49"/>
    </row>
    <row r="130" spans="2:29" x14ac:dyDescent="0.2">
      <c r="B130" s="20" t="s">
        <v>239</v>
      </c>
      <c r="C130" s="49"/>
      <c r="D130" s="49"/>
      <c r="E130" s="49"/>
      <c r="F130" s="49"/>
      <c r="G130" s="49"/>
      <c r="H130" s="49"/>
      <c r="I130" s="49"/>
      <c r="J130" s="49"/>
      <c r="K130" s="49"/>
      <c r="L130" s="49"/>
      <c r="M130" s="49"/>
      <c r="N130" s="49"/>
      <c r="O130" s="49"/>
      <c r="P130" s="49"/>
      <c r="Q130" s="49"/>
      <c r="T130" s="21">
        <v>189700</v>
      </c>
      <c r="U130" s="21">
        <v>205500</v>
      </c>
      <c r="V130" s="21">
        <v>223500</v>
      </c>
      <c r="W130" s="21">
        <v>241500</v>
      </c>
      <c r="X130" s="21">
        <v>261000</v>
      </c>
      <c r="Y130" s="21">
        <v>277000</v>
      </c>
      <c r="Z130" s="21">
        <v>288500</v>
      </c>
      <c r="AA130" s="21">
        <v>295500</v>
      </c>
      <c r="AC130" s="49"/>
    </row>
    <row r="131" spans="2:29" x14ac:dyDescent="0.2">
      <c r="B131" s="20" t="s">
        <v>240</v>
      </c>
      <c r="C131" s="49"/>
      <c r="D131" s="49"/>
      <c r="E131" s="49"/>
      <c r="F131" s="49"/>
      <c r="G131" s="49"/>
      <c r="H131" s="49"/>
      <c r="I131" s="49"/>
      <c r="J131" s="49"/>
      <c r="K131" s="49"/>
      <c r="L131" s="49"/>
      <c r="M131" s="49"/>
      <c r="N131" s="49"/>
      <c r="O131" s="49"/>
      <c r="P131" s="49"/>
      <c r="Q131" s="49"/>
      <c r="T131" s="25">
        <f t="shared" ref="T131:AA131" si="76">U5</f>
        <v>192594</v>
      </c>
      <c r="U131" s="25">
        <f t="shared" si="76"/>
        <v>209550</v>
      </c>
      <c r="V131" s="25">
        <f t="shared" si="76"/>
        <v>230743</v>
      </c>
      <c r="W131" s="25">
        <f t="shared" si="76"/>
        <v>252265</v>
      </c>
      <c r="X131" s="25">
        <f t="shared" si="76"/>
        <v>271713</v>
      </c>
      <c r="Y131" s="25">
        <f t="shared" si="76"/>
        <v>282868</v>
      </c>
      <c r="Z131" s="25">
        <f t="shared" si="76"/>
        <v>291967</v>
      </c>
      <c r="AA131" s="25">
        <f t="shared" si="76"/>
        <v>0</v>
      </c>
      <c r="AC131" s="49"/>
    </row>
    <row r="132" spans="2:29" x14ac:dyDescent="0.2">
      <c r="B132" s="20" t="s">
        <v>190</v>
      </c>
      <c r="C132" s="49"/>
      <c r="D132" s="49"/>
      <c r="E132" s="49"/>
      <c r="F132" s="49"/>
      <c r="G132" s="49"/>
      <c r="H132" s="49"/>
      <c r="I132" s="49"/>
      <c r="J132" s="49"/>
      <c r="K132" s="49"/>
      <c r="L132" s="49"/>
      <c r="M132" s="49"/>
      <c r="N132" s="49"/>
      <c r="O132" s="49"/>
      <c r="P132" s="49"/>
      <c r="Q132" s="49"/>
      <c r="T132" s="227" t="str">
        <f t="shared" ref="T132:Z132" si="77">IF(T131&gt;T130, "BEAT", IF(T131&lt;T129, "MISSED", "MET"))</f>
        <v>BEAT</v>
      </c>
      <c r="U132" s="227" t="str">
        <f t="shared" si="77"/>
        <v>BEAT</v>
      </c>
      <c r="V132" s="227" t="str">
        <f t="shared" si="77"/>
        <v>BEAT</v>
      </c>
      <c r="W132" s="227" t="str">
        <f t="shared" si="77"/>
        <v>BEAT</v>
      </c>
      <c r="X132" s="227" t="str">
        <f t="shared" si="77"/>
        <v>BEAT</v>
      </c>
      <c r="Y132" s="227" t="str">
        <f t="shared" si="77"/>
        <v>BEAT</v>
      </c>
      <c r="Z132" s="227" t="str">
        <f t="shared" si="77"/>
        <v>BEAT</v>
      </c>
      <c r="AA132" s="227" t="str">
        <f>IF(AA131&gt;AA130, "BEAT", IF(AA131&lt;AA129, "MISSED", "MET"))</f>
        <v>MISSED</v>
      </c>
      <c r="AC132" s="49"/>
    </row>
    <row r="134" spans="2:29" x14ac:dyDescent="0.2">
      <c r="B134" s="1"/>
    </row>
    <row r="135" spans="2:29" ht="17" thickBot="1" x14ac:dyDescent="0.25">
      <c r="B135" s="14" t="s">
        <v>257</v>
      </c>
      <c r="C135" s="173"/>
      <c r="D135" s="173"/>
      <c r="E135" s="173"/>
      <c r="F135" s="173"/>
      <c r="G135" s="173"/>
      <c r="H135" s="173"/>
      <c r="I135" s="173"/>
      <c r="J135" s="173"/>
      <c r="K135" s="173"/>
      <c r="L135" s="173"/>
      <c r="M135" s="173"/>
      <c r="N135" s="173"/>
      <c r="O135" s="173"/>
      <c r="P135" s="173"/>
      <c r="Q135" s="173"/>
      <c r="T135" s="173"/>
      <c r="U135" s="173"/>
      <c r="V135" s="173"/>
      <c r="W135" s="173"/>
      <c r="X135" s="173"/>
      <c r="Y135" s="173"/>
      <c r="Z135" s="173"/>
      <c r="AA135" s="173"/>
      <c r="AC135" s="173"/>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-2241.5620934999406</v>
      </c>
    </row>
    <row r="137" spans="2:29" x14ac:dyDescent="0.2">
      <c r="B137" s="20" t="s">
        <v>143</v>
      </c>
      <c r="M137" s="120">
        <f t="shared" ref="M137:Q138" si="78">M30/M5*365</f>
        <v>48.268925557877274</v>
      </c>
      <c r="N137" s="120">
        <f t="shared" si="78"/>
        <v>46.15954207770065</v>
      </c>
      <c r="O137" s="120">
        <f t="shared" si="78"/>
        <v>61.147288033153274</v>
      </c>
      <c r="P137" s="120">
        <f t="shared" si="78"/>
        <v>62.908268986021838</v>
      </c>
      <c r="Q137" s="120">
        <f t="shared" si="78"/>
        <v>57.278802107578244</v>
      </c>
      <c r="T137" s="120">
        <f t="shared" ref="T137:AA137" si="79">T30/T5*90</f>
        <v>39.225579973868236</v>
      </c>
      <c r="U137" s="120">
        <f t="shared" si="79"/>
        <v>44.027072494470232</v>
      </c>
      <c r="V137" s="120">
        <f t="shared" si="79"/>
        <v>55.371367215461703</v>
      </c>
      <c r="W137" s="120">
        <f t="shared" si="79"/>
        <v>44.536432307805654</v>
      </c>
      <c r="X137" s="120">
        <f t="shared" si="79"/>
        <v>40.28585019721325</v>
      </c>
      <c r="Y137" s="120">
        <f t="shared" si="79"/>
        <v>41.234721930860871</v>
      </c>
      <c r="Z137" s="120">
        <f t="shared" si="79"/>
        <v>51.806602372838213</v>
      </c>
      <c r="AA137" s="120">
        <f t="shared" si="79"/>
        <v>38.558261721358917</v>
      </c>
      <c r="AC137" s="120">
        <f>AC30/AC5*365</f>
        <v>41.550646015291044</v>
      </c>
    </row>
    <row r="138" spans="2:29" x14ac:dyDescent="0.2">
      <c r="B138" s="20" t="s">
        <v>144</v>
      </c>
      <c r="M138" s="120">
        <f t="shared" si="78"/>
        <v>0</v>
      </c>
      <c r="N138" s="120">
        <f t="shared" si="78"/>
        <v>0</v>
      </c>
      <c r="O138" s="120">
        <f t="shared" si="78"/>
        <v>0</v>
      </c>
      <c r="P138" s="120">
        <f t="shared" si="78"/>
        <v>0</v>
      </c>
      <c r="Q138" s="120">
        <f t="shared" si="78"/>
        <v>0</v>
      </c>
      <c r="T138" s="120">
        <f t="shared" ref="T138:AA138" si="80">T31/T6*365</f>
        <v>0</v>
      </c>
      <c r="U138" s="120">
        <f t="shared" si="80"/>
        <v>0</v>
      </c>
      <c r="V138" s="120">
        <f t="shared" si="80"/>
        <v>0</v>
      </c>
      <c r="W138" s="120">
        <f t="shared" si="80"/>
        <v>0</v>
      </c>
      <c r="X138" s="120">
        <f t="shared" si="80"/>
        <v>0</v>
      </c>
      <c r="Y138" s="120">
        <f t="shared" si="80"/>
        <v>0</v>
      </c>
      <c r="Z138" s="120">
        <f t="shared" si="80"/>
        <v>0</v>
      </c>
      <c r="AA138" s="120">
        <f t="shared" si="80"/>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AA139" si="81">T38/T6*90</f>
        <v>6.4721535829690167</v>
      </c>
      <c r="U139" s="120">
        <f t="shared" si="81"/>
        <v>6.2937907244154845</v>
      </c>
      <c r="V139" s="120">
        <f t="shared" si="81"/>
        <v>9.7461179465422152</v>
      </c>
      <c r="W139" s="120">
        <f t="shared" si="81"/>
        <v>3.4381142437018921</v>
      </c>
      <c r="X139" s="120">
        <f t="shared" si="81"/>
        <v>9.9823488892715684</v>
      </c>
      <c r="Y139" s="120">
        <f t="shared" si="81"/>
        <v>4.2929333440282349</v>
      </c>
      <c r="Z139" s="120">
        <f t="shared" si="81"/>
        <v>9.3484330965337215</v>
      </c>
      <c r="AA139" s="120">
        <f t="shared" si="81"/>
        <v>8.5423032546816948</v>
      </c>
      <c r="AC139" s="120">
        <f>AC38/AC6*365</f>
        <v>9.0971713566567676</v>
      </c>
    </row>
    <row r="140" spans="2:29" x14ac:dyDescent="0.2">
      <c r="B140" s="20" t="s">
        <v>146</v>
      </c>
      <c r="M140" s="120">
        <f>M137+M138-M139</f>
        <v>7.0240205192856493</v>
      </c>
      <c r="N140" s="120">
        <f t="shared" ref="N140:Q140" si="82">N137+N138-N139</f>
        <v>41.838907667908934</v>
      </c>
      <c r="O140" s="120">
        <f t="shared" si="82"/>
        <v>54.862111579122804</v>
      </c>
      <c r="P140" s="120">
        <f t="shared" si="82"/>
        <v>51.471381264742163</v>
      </c>
      <c r="Q140" s="120">
        <f t="shared" si="82"/>
        <v>47.147091641541842</v>
      </c>
      <c r="T140" s="120">
        <f t="shared" ref="T140" si="83">T137+T138-T139</f>
        <v>32.753426390899222</v>
      </c>
      <c r="U140" s="120">
        <f t="shared" ref="U140" si="84">U137+U138-U139</f>
        <v>37.733281770054745</v>
      </c>
      <c r="V140" s="120">
        <f t="shared" ref="V140" si="85">V137+V138-V139</f>
        <v>45.62524926891949</v>
      </c>
      <c r="W140" s="120">
        <f t="shared" ref="W140" si="86">W137+W138-W139</f>
        <v>41.098318064103765</v>
      </c>
      <c r="X140" s="120">
        <f t="shared" ref="X140" si="87">X137+X138-X139</f>
        <v>30.30350130794168</v>
      </c>
      <c r="Y140" s="120">
        <f t="shared" ref="Y140" si="88">Y137+Y138-Y139</f>
        <v>36.941788586832637</v>
      </c>
      <c r="Z140" s="120">
        <f t="shared" ref="Z140:AA140" si="89">Z137+Z138-Z139</f>
        <v>42.458169276304488</v>
      </c>
      <c r="AA140" s="120">
        <f t="shared" si="89"/>
        <v>30.015958466677223</v>
      </c>
      <c r="AC140" s="120">
        <f t="shared" ref="AC140" si="90">AC137+AC138-AC139</f>
        <v>32.453474658634278</v>
      </c>
    </row>
    <row r="141" spans="2:29" x14ac:dyDescent="0.2">
      <c r="B141" s="20" t="s">
        <v>260</v>
      </c>
      <c r="M141" s="120">
        <f>M108/M49</f>
        <v>0</v>
      </c>
      <c r="N141" s="120">
        <f>N108/N49</f>
        <v>0</v>
      </c>
      <c r="O141" s="120">
        <f>O108/O49</f>
        <v>0</v>
      </c>
      <c r="P141" s="120">
        <f>P108/P49</f>
        <v>0</v>
      </c>
      <c r="Q141" s="120">
        <f>Q108/Q49</f>
        <v>0</v>
      </c>
      <c r="T141" s="120">
        <f t="shared" ref="T141:AA141" si="91">T108/T49</f>
        <v>0</v>
      </c>
      <c r="U141" s="120">
        <f t="shared" si="91"/>
        <v>0</v>
      </c>
      <c r="V141" s="120">
        <f t="shared" si="91"/>
        <v>0</v>
      </c>
      <c r="W141" s="120">
        <f t="shared" si="91"/>
        <v>0</v>
      </c>
      <c r="X141" s="120">
        <f t="shared" si="91"/>
        <v>0</v>
      </c>
      <c r="Y141" s="120">
        <f t="shared" si="91"/>
        <v>0</v>
      </c>
      <c r="Z141" s="120">
        <f t="shared" si="91"/>
        <v>0</v>
      </c>
      <c r="AA141" s="120">
        <f t="shared" si="91"/>
        <v>0</v>
      </c>
      <c r="AC141" s="120">
        <f>AC108/AC49</f>
        <v>0</v>
      </c>
    </row>
    <row r="142" spans="2:29" x14ac:dyDescent="0.2">
      <c r="B142" s="20" t="s">
        <v>264</v>
      </c>
      <c r="M142" s="181">
        <f>(M108-M107)/M49</f>
        <v>-1.0796521237447765</v>
      </c>
      <c r="N142" s="181">
        <f>(N108-N107)/N49</f>
        <v>-1.1219418607654248</v>
      </c>
      <c r="O142" s="181">
        <f>(O108-O107)/O49</f>
        <v>-1.1405169481053423</v>
      </c>
      <c r="P142" s="181">
        <f>(P108-P107)/P49</f>
        <v>-1.1835995391425627</v>
      </c>
      <c r="Q142" s="181">
        <f>(Q108-Q107)/Q49</f>
        <v>-0.94696311671959887</v>
      </c>
      <c r="T142" s="181">
        <f t="shared" ref="T142:AA142" si="92">(T108-T107)/T49</f>
        <v>-1.1581549630742272</v>
      </c>
      <c r="U142" s="181">
        <f t="shared" si="92"/>
        <v>-1.1381695975332329</v>
      </c>
      <c r="V142" s="181">
        <f t="shared" si="92"/>
        <v>-1.1835995391425627</v>
      </c>
      <c r="W142" s="181">
        <f t="shared" si="92"/>
        <v>-1.2112223184378168</v>
      </c>
      <c r="X142" s="181">
        <f t="shared" si="92"/>
        <v>-1.2008267905521934</v>
      </c>
      <c r="Y142" s="181">
        <f t="shared" si="92"/>
        <v>-0.93319510928545912</v>
      </c>
      <c r="Z142" s="181">
        <f t="shared" si="92"/>
        <v>-0.94696311671959887</v>
      </c>
      <c r="AA142" s="181">
        <f t="shared" si="92"/>
        <v>-1.0000409552194194</v>
      </c>
      <c r="AC142" s="181">
        <f>(AC108-AC107)/AC49</f>
        <v>-1.0000409552194194</v>
      </c>
    </row>
    <row r="143" spans="2:29" x14ac:dyDescent="0.2">
      <c r="B143" s="20" t="s">
        <v>261</v>
      </c>
      <c r="M143" s="120">
        <f>(M107+M30)/M40</f>
        <v>4.9280623851054726</v>
      </c>
      <c r="N143" s="120">
        <f>(N107+N30)/N40</f>
        <v>3.603028069055819</v>
      </c>
      <c r="O143" s="120">
        <f>(O107+O30)/O40</f>
        <v>3.0162206791124957</v>
      </c>
      <c r="P143" s="120">
        <f>(P107+P30)/P40</f>
        <v>2.6167192839938327</v>
      </c>
      <c r="Q143" s="120">
        <f>(Q107+Q30)/Q40</f>
        <v>2.6098107949225979</v>
      </c>
      <c r="T143" s="120">
        <f t="shared" ref="T143:AA143" si="93">(T107+T30)/T40</f>
        <v>3.040255064143722</v>
      </c>
      <c r="U143" s="120">
        <f t="shared" si="93"/>
        <v>3.0114195356776459</v>
      </c>
      <c r="V143" s="120">
        <f t="shared" si="93"/>
        <v>2.6167192839938327</v>
      </c>
      <c r="W143" s="120">
        <f t="shared" si="93"/>
        <v>2.6333212317238193</v>
      </c>
      <c r="X143" s="120">
        <f t="shared" si="93"/>
        <v>2.7284904207406715</v>
      </c>
      <c r="Y143" s="120">
        <f t="shared" si="93"/>
        <v>2.7751640731415361</v>
      </c>
      <c r="Z143" s="120">
        <f t="shared" si="93"/>
        <v>2.6098107949225979</v>
      </c>
      <c r="AA143" s="120">
        <f t="shared" si="93"/>
        <v>2.6421703703445658</v>
      </c>
      <c r="AC143" s="120">
        <f>(AC107+AC30)/AC40</f>
        <v>2.6421703703445658</v>
      </c>
    </row>
    <row r="144" spans="2:29" x14ac:dyDescent="0.2">
      <c r="B144" s="20" t="s">
        <v>262</v>
      </c>
      <c r="M144" s="120">
        <f>M32/M40</f>
        <v>5.1982355558167059</v>
      </c>
      <c r="N144" s="120">
        <f>N32/N40</f>
        <v>3.8356073193006393</v>
      </c>
      <c r="O144" s="120">
        <f>O32/O40</f>
        <v>3.2369178185908667</v>
      </c>
      <c r="P144" s="120">
        <f>P32/P40</f>
        <v>2.6089699714137522</v>
      </c>
      <c r="Q144" s="120">
        <f>Q32/Q40</f>
        <v>2.6065702860211775</v>
      </c>
      <c r="T144" s="120">
        <f t="shared" ref="T144:AA144" si="94">T32/T40</f>
        <v>3.2782037239868567</v>
      </c>
      <c r="U144" s="120">
        <f t="shared" si="94"/>
        <v>3.0936419462606648</v>
      </c>
      <c r="V144" s="120">
        <f t="shared" si="94"/>
        <v>2.6089699714137522</v>
      </c>
      <c r="W144" s="120">
        <f t="shared" si="94"/>
        <v>2.6836023191084415</v>
      </c>
      <c r="X144" s="120">
        <f t="shared" si="94"/>
        <v>2.8087351474278877</v>
      </c>
      <c r="Y144" s="120">
        <f t="shared" si="94"/>
        <v>2.8214492095595824</v>
      </c>
      <c r="Z144" s="120">
        <f t="shared" si="94"/>
        <v>2.6065702860211775</v>
      </c>
      <c r="AA144" s="120">
        <f t="shared" si="94"/>
        <v>2.6231009869120072</v>
      </c>
      <c r="AC144" s="120">
        <f>AC32/AC40</f>
        <v>2.6231009869120072</v>
      </c>
    </row>
    <row r="145" spans="2:29" x14ac:dyDescent="0.2">
      <c r="B145" s="20" t="s">
        <v>268</v>
      </c>
      <c r="M145" s="183" t="str">
        <f>IF(M13&gt;=0,"N/A",IF(M12&lt;=0,"N/A",M12/-M13))</f>
        <v>N/A</v>
      </c>
      <c r="N145" s="183" t="str">
        <f>IF(N13&gt;=0,"N/A",IF(N12&lt;=0,"N/A",N12/-N13))</f>
        <v>N/A</v>
      </c>
      <c r="O145" s="183" t="str">
        <f>IF(O13&gt;=0,"N/A",IF(O12&lt;=0,"N/A",O12/-O13))</f>
        <v>N/A</v>
      </c>
      <c r="P145" s="183" t="str">
        <f>IF(P13&gt;=0,"N/A",IF(P12&lt;=0,"N/A",P12/-P13))</f>
        <v>N/A</v>
      </c>
      <c r="Q145" s="183" t="str">
        <f>IF(Q13&gt;=0,"N/A",IF(Q12&lt;=0,"N/A",Q12/-Q13))</f>
        <v>N/A</v>
      </c>
      <c r="T145" s="183" t="str">
        <f t="shared" ref="T145:AA145" si="95">IF(T13&gt;=0,"N/A",IF(T12&lt;=0,"N/A",T12/-T13))</f>
        <v>N/A</v>
      </c>
      <c r="U145" s="183" t="str">
        <f t="shared" si="95"/>
        <v>N/A</v>
      </c>
      <c r="V145" s="183" t="str">
        <f t="shared" si="95"/>
        <v>N/A</v>
      </c>
      <c r="W145" s="183" t="str">
        <f t="shared" si="95"/>
        <v>N/A</v>
      </c>
      <c r="X145" s="183" t="str">
        <f t="shared" si="95"/>
        <v>N/A</v>
      </c>
      <c r="Y145" s="183" t="str">
        <f t="shared" si="95"/>
        <v>N/A</v>
      </c>
      <c r="Z145" s="183" t="str">
        <f t="shared" si="95"/>
        <v>N/A</v>
      </c>
      <c r="AA145" s="183" t="str">
        <f t="shared" si="95"/>
        <v>N/A</v>
      </c>
      <c r="AC145" s="183" t="str">
        <f>IF(AC13&gt;=0,"N/A",IF(AC12&lt;=0,"N/A",AC12/-AC13))</f>
        <v>N/A</v>
      </c>
    </row>
    <row r="146" spans="2:29" x14ac:dyDescent="0.2">
      <c r="B146" s="20" t="s">
        <v>246</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37.090814138040948</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5.5922547639428393</v>
      </c>
    </row>
    <row r="148" spans="2:29" x14ac:dyDescent="0.2">
      <c r="B148" s="20" t="s">
        <v>247</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49"/>
      <c r="U148" s="49"/>
      <c r="V148" s="49"/>
      <c r="W148" s="49"/>
      <c r="X148" s="49"/>
      <c r="Y148" s="49"/>
      <c r="Z148" s="49"/>
      <c r="AA148" s="49"/>
      <c r="AC148" s="72">
        <f ca="1">AC117/(Statement!AC49/Statement!AC75)</f>
        <v>4.2101503415809001</v>
      </c>
    </row>
    <row r="149" spans="2:29" x14ac:dyDescent="0.2">
      <c r="B149" s="20" t="s">
        <v>248</v>
      </c>
      <c r="M149" s="145">
        <f>Statement!M117*Statement!M78</f>
        <v>4271152.5</v>
      </c>
      <c r="N149" s="145">
        <f>Statement!N117*Statement!N78</f>
        <v>2890438.6799999997</v>
      </c>
      <c r="O149" s="145">
        <f>Statement!O117*Statement!O78</f>
        <v>10876776.949999999</v>
      </c>
      <c r="P149" s="145">
        <f>Statement!P117*Statement!P78</f>
        <v>15882768</v>
      </c>
      <c r="Q149" s="145">
        <f>Statement!Q117*Statement!Q78</f>
        <v>8845485.8999999985</v>
      </c>
      <c r="T149" s="49"/>
      <c r="U149" s="49"/>
      <c r="V149" s="49"/>
      <c r="W149" s="49"/>
      <c r="X149" s="49"/>
      <c r="Y149" s="49"/>
      <c r="Z149" s="49"/>
      <c r="AA149" s="49"/>
      <c r="AC149" s="145">
        <f ca="1">Statement!AC117*Statement!AC78</f>
        <v>6135453.1200000001</v>
      </c>
    </row>
    <row r="150" spans="2:29" x14ac:dyDescent="0.2">
      <c r="B150" s="20" t="s">
        <v>192</v>
      </c>
      <c r="M150" s="145">
        <f>M149+M108-M107+M48+M45</f>
        <v>3717230.5</v>
      </c>
      <c r="N150" s="145">
        <f>N149+N108-N107+N48+N45</f>
        <v>2282258.6799999997</v>
      </c>
      <c r="O150" s="145">
        <f>O149+O108-O107+O48+O45</f>
        <v>10129166.949999999</v>
      </c>
      <c r="P150" s="145">
        <f>P149+P108-P107+P48+P45</f>
        <v>14906831</v>
      </c>
      <c r="Q150" s="145">
        <f>Q149+Q108-Q107+Q48+Q45</f>
        <v>7569920.8999999985</v>
      </c>
      <c r="T150" s="49"/>
      <c r="U150" s="49"/>
      <c r="V150" s="49"/>
      <c r="W150" s="49"/>
      <c r="X150" s="49"/>
      <c r="Y150" s="49"/>
      <c r="Z150" s="49"/>
      <c r="AA150" s="49"/>
      <c r="AC150" s="145">
        <f ca="1">AC149+AC108-AC107+AC48+AC45</f>
        <v>4743632.12</v>
      </c>
    </row>
    <row r="151" spans="2:29" x14ac:dyDescent="0.2">
      <c r="B151" s="20" t="s">
        <v>269</v>
      </c>
      <c r="M151" s="185">
        <f>M150/M5</f>
        <v>14.823148118609733</v>
      </c>
      <c r="N151" s="185">
        <f>N150/N5</f>
        <v>6.1766970595001274</v>
      </c>
      <c r="O151" s="185">
        <f>O150/O5</f>
        <v>19.07172906126614</v>
      </c>
      <c r="P151" s="185">
        <f>P150/P5</f>
        <v>19.928279039175212</v>
      </c>
      <c r="Q151" s="185">
        <f>Q150/Q5</f>
        <v>7.2956834546241316</v>
      </c>
      <c r="T151" s="49"/>
      <c r="U151" s="49"/>
      <c r="V151" s="49"/>
      <c r="W151" s="49"/>
      <c r="X151" s="49"/>
      <c r="Y151" s="49"/>
      <c r="Z151" s="49"/>
      <c r="AA151" s="49"/>
      <c r="AC151" s="185">
        <f ca="1">AC150/AC5</f>
        <v>4.3170513272049025</v>
      </c>
    </row>
    <row r="152" spans="2:29" x14ac:dyDescent="0.2">
      <c r="B152" s="20" t="s">
        <v>208</v>
      </c>
      <c r="M152" s="185">
        <f>M150/M12</f>
        <v>-61.946614561634476</v>
      </c>
      <c r="N152" s="185">
        <f>N150/N12</f>
        <v>-35.006652043868392</v>
      </c>
      <c r="O152" s="185">
        <f>O150/O12</f>
        <v>-763.94652311637378</v>
      </c>
      <c r="P152" s="185">
        <f>P150/P12</f>
        <v>238.14731208562984</v>
      </c>
      <c r="Q152" s="185">
        <f>Q150/Q12</f>
        <v>55.837728848565305</v>
      </c>
      <c r="T152" s="49"/>
      <c r="U152" s="49"/>
      <c r="V152" s="49"/>
      <c r="W152" s="49"/>
      <c r="X152" s="49"/>
      <c r="Y152" s="49"/>
      <c r="Z152" s="49"/>
      <c r="AA152" s="49"/>
      <c r="AC152" s="185">
        <f ca="1">AC150/AC12</f>
        <v>30.31016734503492</v>
      </c>
    </row>
    <row r="153" spans="2:29" x14ac:dyDescent="0.2">
      <c r="B153" s="20" t="s">
        <v>270</v>
      </c>
      <c r="M153" s="64">
        <f>M59-M54+M110+M65</f>
        <v>-37840</v>
      </c>
      <c r="N153" s="64">
        <f>N59-N54+N110+N65</f>
        <v>-30288</v>
      </c>
      <c r="O153" s="64">
        <f>O59-O54+O110+O65</f>
        <v>44709</v>
      </c>
      <c r="P153" s="64">
        <f>P59-P54+P110+P65</f>
        <v>153896</v>
      </c>
      <c r="Q153" s="64">
        <f>Q59-Q54+Q110+Q65</f>
        <v>222987</v>
      </c>
      <c r="T153" s="64">
        <f t="shared" ref="T153:AA153" si="96">T59-T54+T110+T65</f>
        <v>26986</v>
      </c>
      <c r="U153" s="64">
        <f t="shared" si="96"/>
        <v>22285</v>
      </c>
      <c r="V153" s="64">
        <f t="shared" si="96"/>
        <v>51117</v>
      </c>
      <c r="W153" s="64">
        <f t="shared" si="96"/>
        <v>71994</v>
      </c>
      <c r="X153" s="64">
        <f t="shared" si="96"/>
        <v>51732</v>
      </c>
      <c r="Y153" s="64">
        <f t="shared" si="96"/>
        <v>41791</v>
      </c>
      <c r="Z153" s="64">
        <f t="shared" si="96"/>
        <v>57470</v>
      </c>
      <c r="AA153" s="64">
        <f t="shared" si="96"/>
        <v>113139</v>
      </c>
      <c r="AC153" s="64">
        <f>AC59-AC54+AC110+AC65</f>
        <v>264132</v>
      </c>
    </row>
    <row r="154" spans="2:29" x14ac:dyDescent="0.2">
      <c r="B154" s="20" t="s">
        <v>271</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186822.03932949662</v>
      </c>
    </row>
    <row r="155" spans="2:29" x14ac:dyDescent="0.2">
      <c r="B155" s="20" t="s">
        <v>272</v>
      </c>
      <c r="M155" s="72">
        <f>M149/M153</f>
        <v>-112.87400898520085</v>
      </c>
      <c r="N155" s="72">
        <f t="shared" ref="N155:Q155" si="97">N149/N153</f>
        <v>-95.43181061806655</v>
      </c>
      <c r="O155" s="72">
        <f t="shared" si="97"/>
        <v>243.27936097877384</v>
      </c>
      <c r="P155" s="72">
        <f t="shared" si="97"/>
        <v>103.20455372459323</v>
      </c>
      <c r="Q155" s="72">
        <f t="shared" si="97"/>
        <v>39.668168547942251</v>
      </c>
      <c r="T155" s="49"/>
      <c r="U155" s="49"/>
      <c r="V155" s="49"/>
      <c r="W155" s="49"/>
      <c r="X155" s="49"/>
      <c r="Y155" s="49"/>
      <c r="Z155" s="49"/>
      <c r="AA155" s="49"/>
      <c r="AC155" s="72">
        <f t="shared" ref="AC155:AC156" ca="1" si="98">AC149/AC153</f>
        <v>23.228738358093683</v>
      </c>
    </row>
    <row r="156" spans="2:29" x14ac:dyDescent="0.2">
      <c r="B156" s="20" t="s">
        <v>273</v>
      </c>
      <c r="M156" s="72">
        <f>M150/M154</f>
        <v>-98.568903797199823</v>
      </c>
      <c r="N156" s="72">
        <f t="shared" ref="N156:Q156" si="99">N150/N154</f>
        <v>-63.556731738561353</v>
      </c>
      <c r="O156" s="72">
        <f t="shared" si="99"/>
        <v>673.03434883720922</v>
      </c>
      <c r="P156" s="72">
        <f t="shared" si="99"/>
        <v>124.4016933148245</v>
      </c>
      <c r="Q156" s="72">
        <f t="shared" si="99"/>
        <v>49.504381582091227</v>
      </c>
      <c r="T156" s="49"/>
      <c r="U156" s="49"/>
      <c r="V156" s="49"/>
      <c r="W156" s="49"/>
      <c r="X156" s="49"/>
      <c r="Y156" s="49"/>
      <c r="Z156" s="49"/>
      <c r="AA156" s="49"/>
      <c r="AC156" s="72">
        <f t="shared" ca="1" si="98"/>
        <v>25.391180489330232</v>
      </c>
    </row>
    <row r="157" spans="2:29" x14ac:dyDescent="0.2">
      <c r="B157" s="20" t="s">
        <v>274</v>
      </c>
      <c r="M157" s="74">
        <f>M153/M149</f>
        <v>-8.8594354802363062E-3</v>
      </c>
      <c r="N157" s="74">
        <f t="shared" ref="N157:Q157" si="100">N153/N149</f>
        <v>-1.0478686231807555E-2</v>
      </c>
      <c r="O157" s="74">
        <f t="shared" si="100"/>
        <v>4.1105007674171346E-3</v>
      </c>
      <c r="P157" s="74">
        <f t="shared" si="100"/>
        <v>9.6894949293473281E-3</v>
      </c>
      <c r="Q157" s="74">
        <f t="shared" si="100"/>
        <v>2.5209129551605529E-2</v>
      </c>
      <c r="T157" s="49"/>
      <c r="U157" s="49"/>
      <c r="V157" s="49"/>
      <c r="W157" s="49"/>
      <c r="X157" s="49"/>
      <c r="Y157" s="49"/>
      <c r="Z157" s="49"/>
      <c r="AA157" s="49"/>
      <c r="AC157" s="74">
        <f t="shared" ref="AC157" ca="1" si="101">AC153/AC149</f>
        <v>4.3050121129439907E-2</v>
      </c>
    </row>
    <row r="158" spans="2:29" x14ac:dyDescent="0.2">
      <c r="B158" s="20" t="s">
        <v>275</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2.6960853333612422E-2</v>
      </c>
    </row>
    <row r="159" spans="2:29" x14ac:dyDescent="0.2">
      <c r="B159" s="20" t="s">
        <v>276</v>
      </c>
      <c r="M159" s="156">
        <f>M82/M117</f>
        <v>0</v>
      </c>
      <c r="N159" s="156">
        <f>N82/N117</f>
        <v>0</v>
      </c>
      <c r="O159" s="156">
        <f>O82/O117</f>
        <v>0</v>
      </c>
      <c r="P159" s="156">
        <f>P82/P117</f>
        <v>0</v>
      </c>
      <c r="Q159" s="156">
        <f>Q82/Q117</f>
        <v>0</v>
      </c>
      <c r="T159" s="49"/>
      <c r="U159" s="49"/>
      <c r="V159" s="49"/>
      <c r="W159" s="49"/>
      <c r="X159" s="49"/>
      <c r="Y159" s="49"/>
      <c r="Z159" s="49"/>
      <c r="AA159" s="49"/>
      <c r="AC159" s="156">
        <f ca="1">AC82/AC117</f>
        <v>0</v>
      </c>
    </row>
    <row r="160" spans="2:29" x14ac:dyDescent="0.2">
      <c r="B160" s="20" t="s">
        <v>301</v>
      </c>
      <c r="M160" s="156">
        <f>-M63/M149</f>
        <v>2.0322383712592795E-4</v>
      </c>
      <c r="N160" s="156">
        <f>-N63/N149</f>
        <v>0</v>
      </c>
      <c r="O160" s="156">
        <f>-O63/O149</f>
        <v>0</v>
      </c>
      <c r="P160" s="156">
        <f>-P63/P149</f>
        <v>0</v>
      </c>
      <c r="Q160" s="156">
        <f>-Q63/Q149</f>
        <v>0</v>
      </c>
      <c r="T160" s="49"/>
      <c r="U160" s="49"/>
      <c r="V160" s="49"/>
      <c r="W160" s="49"/>
      <c r="X160" s="49"/>
      <c r="Y160" s="49"/>
      <c r="Z160" s="49"/>
      <c r="AA160" s="49"/>
      <c r="AC160" s="156">
        <f ca="1">-AC63/AC149</f>
        <v>3.9656402753184107E-3</v>
      </c>
    </row>
    <row r="161" spans="2:29" x14ac:dyDescent="0.2">
      <c r="B161" s="20" t="s">
        <v>303</v>
      </c>
      <c r="M161" s="156">
        <f>-(M63+M64)/M149</f>
        <v>2.0322383712592795E-4</v>
      </c>
      <c r="N161" s="156">
        <f>-(N63+N64)/N149</f>
        <v>0</v>
      </c>
      <c r="O161" s="156">
        <f>-(O63+O64)/O149</f>
        <v>0</v>
      </c>
      <c r="P161" s="156">
        <f>-(P63+P64)/P149</f>
        <v>0</v>
      </c>
      <c r="Q161" s="156">
        <f>-(Q63+Q64)/Q149</f>
        <v>0</v>
      </c>
      <c r="T161" s="49"/>
      <c r="U161" s="49"/>
      <c r="V161" s="49"/>
      <c r="W161" s="49"/>
      <c r="X161" s="49"/>
      <c r="Y161" s="49"/>
      <c r="Z161" s="49"/>
      <c r="AA161" s="49"/>
      <c r="AC161" s="156">
        <f ca="1">-(AC63+AC64)/AC149</f>
        <v>3.9656402753184107E-3</v>
      </c>
    </row>
    <row r="162" spans="2:29" x14ac:dyDescent="0.2">
      <c r="B162" s="20" t="s">
        <v>356</v>
      </c>
      <c r="M162" s="156">
        <f>M154/M5</f>
        <v>-0.1503836153956582</v>
      </c>
      <c r="N162" s="156">
        <f>N154/N5</f>
        <v>-9.7183994370695137E-2</v>
      </c>
      <c r="O162" s="156">
        <f>O154/O5</f>
        <v>2.8336932720025455E-2</v>
      </c>
      <c r="P162" s="156">
        <f>P154/P5</f>
        <v>0.16019298860138934</v>
      </c>
      <c r="Q162" s="156">
        <f>Q154/Q5</f>
        <v>0.14737449941730871</v>
      </c>
      <c r="T162" s="49"/>
      <c r="U162" s="49"/>
      <c r="V162" s="49"/>
      <c r="W162" s="49"/>
      <c r="X162" s="49"/>
      <c r="Y162" s="49"/>
      <c r="Z162" s="49"/>
      <c r="AA162" s="49"/>
      <c r="AC162" s="156">
        <f>AC154/AC5</f>
        <v>0.1700216864284429</v>
      </c>
    </row>
    <row r="163" spans="2:29" x14ac:dyDescent="0.2">
      <c r="B163" s="20" t="s">
        <v>357</v>
      </c>
      <c r="M163" s="156">
        <f>M153/M5</f>
        <v>-0.15089403920692901</v>
      </c>
      <c r="N163" s="156">
        <f>N153/N5</f>
        <v>-8.1971339260341822E-2</v>
      </c>
      <c r="O163" s="156">
        <f>O153/O5</f>
        <v>8.4180460131536086E-2</v>
      </c>
      <c r="P163" s="156">
        <f>P153/P5</f>
        <v>0.2057367143300215</v>
      </c>
      <c r="Q163" s="156">
        <f>Q153/Q5</f>
        <v>0.21490879336615942</v>
      </c>
      <c r="T163" s="49"/>
      <c r="U163" s="49"/>
      <c r="V163" s="49"/>
      <c r="W163" s="49"/>
      <c r="X163" s="49"/>
      <c r="Y163" s="49"/>
      <c r="Z163" s="49"/>
      <c r="AA163" s="49"/>
      <c r="AC163" s="156">
        <f>AC153/AC5</f>
        <v>0.24037939121579377</v>
      </c>
    </row>
    <row r="164" spans="2:29" x14ac:dyDescent="0.2">
      <c r="B164" s="20" t="s">
        <v>279</v>
      </c>
      <c r="M164" s="156">
        <f>-M64/M153</f>
        <v>0</v>
      </c>
      <c r="N164" s="156">
        <f>-N64/N153</f>
        <v>0</v>
      </c>
      <c r="O164" s="156">
        <f>-O64/O153</f>
        <v>0</v>
      </c>
      <c r="P164" s="156">
        <f>-P64/P153</f>
        <v>0</v>
      </c>
      <c r="Q164" s="156">
        <f>-Q64/Q153</f>
        <v>0</v>
      </c>
      <c r="T164" s="49"/>
      <c r="U164" s="49"/>
      <c r="V164" s="49"/>
      <c r="W164" s="49"/>
      <c r="X164" s="49"/>
      <c r="Y164" s="49"/>
      <c r="Z164" s="49"/>
      <c r="AA164" s="49"/>
      <c r="AC164" s="156">
        <f>-AC64/AC153</f>
        <v>0</v>
      </c>
    </row>
    <row r="165" spans="2:29" x14ac:dyDescent="0.2">
      <c r="B165" s="20" t="s">
        <v>281</v>
      </c>
      <c r="M165" s="156">
        <f>-M63/M153</f>
        <v>-2.2938689217758986E-2</v>
      </c>
      <c r="N165" s="156">
        <f>-N63/N153</f>
        <v>0</v>
      </c>
      <c r="O165" s="156">
        <f>-O63/O153</f>
        <v>0</v>
      </c>
      <c r="P165" s="156">
        <f>-P63/P153</f>
        <v>0</v>
      </c>
      <c r="Q165" s="156">
        <f>-Q63/Q153</f>
        <v>0</v>
      </c>
      <c r="T165" s="49"/>
      <c r="U165" s="49"/>
      <c r="V165" s="49"/>
      <c r="W165" s="49"/>
      <c r="X165" s="49"/>
      <c r="Y165" s="49"/>
      <c r="Z165" s="49"/>
      <c r="AA165" s="49"/>
      <c r="AC165" s="156">
        <f>-AC63/AC153</f>
        <v>9.2116820377689937E-2</v>
      </c>
    </row>
    <row r="166" spans="2:29" x14ac:dyDescent="0.2">
      <c r="B166" s="20" t="s">
        <v>292</v>
      </c>
      <c r="M166" s="156">
        <f>(-M64-M63)/M153</f>
        <v>-2.2938689217758986E-2</v>
      </c>
      <c r="N166" s="156">
        <f>(-N64-N63)/N153</f>
        <v>0</v>
      </c>
      <c r="O166" s="156">
        <f>(-O64-O63)/O153</f>
        <v>0</v>
      </c>
      <c r="P166" s="156">
        <f>(-P64-P63)/P153</f>
        <v>0</v>
      </c>
      <c r="Q166" s="156">
        <f>(-Q64-Q63)/Q153</f>
        <v>0</v>
      </c>
      <c r="T166" s="49"/>
      <c r="U166" s="49"/>
      <c r="V166" s="49"/>
      <c r="W166" s="49"/>
      <c r="X166" s="49"/>
      <c r="Y166" s="49"/>
      <c r="Z166" s="49"/>
      <c r="AA166" s="49"/>
      <c r="AC166" s="156">
        <f>(-AC64-AC63)/AC153</f>
        <v>9.2116820377689937E-2</v>
      </c>
    </row>
    <row r="167" spans="2:29" x14ac:dyDescent="0.2">
      <c r="B167" s="20" t="s">
        <v>286</v>
      </c>
      <c r="M167" s="156">
        <f>M80/M78</f>
        <v>0.22397411003236245</v>
      </c>
      <c r="N167" s="156">
        <f>N80/N78</f>
        <v>0.20043803523968895</v>
      </c>
      <c r="O167" s="156">
        <f>O80/O78</f>
        <v>0.16445241620956472</v>
      </c>
      <c r="P167" s="156">
        <f>P80/P78</f>
        <v>0.14582309582309583</v>
      </c>
      <c r="Q167" s="156">
        <f>Q80/Q78</f>
        <v>0.14574947431661159</v>
      </c>
      <c r="T167" s="49"/>
      <c r="U167" s="49"/>
      <c r="V167" s="49"/>
      <c r="W167" s="49"/>
      <c r="X167" s="49"/>
      <c r="Y167" s="49"/>
      <c r="Z167" s="49"/>
      <c r="AA167" s="49"/>
      <c r="AC167" s="156">
        <f>AC80/AC78</f>
        <v>0.14917908459220694</v>
      </c>
    </row>
    <row r="168" spans="2:29" x14ac:dyDescent="0.2">
      <c r="B168" s="20" t="s">
        <v>287</v>
      </c>
      <c r="M168" s="72">
        <f>M107/M75</f>
        <v>14.341022653721684</v>
      </c>
      <c r="N168" s="72">
        <f>N107/N75</f>
        <v>14.966532138990058</v>
      </c>
      <c r="O168" s="72">
        <f>O107/O75</f>
        <v>17.436561246384922</v>
      </c>
      <c r="P168" s="72">
        <f>P107/P75</f>
        <v>21.571005459408084</v>
      </c>
      <c r="Q168" s="72">
        <f>Q107/Q75</f>
        <v>26.910654008438819</v>
      </c>
      <c r="T168" s="72">
        <f t="shared" ref="T168:AA168" si="102">T107/T75</f>
        <v>20.401019775373804</v>
      </c>
      <c r="U168" s="72">
        <f t="shared" si="102"/>
        <v>21.282534558021098</v>
      </c>
      <c r="V168" s="72">
        <f t="shared" si="102"/>
        <v>21.571005459408084</v>
      </c>
      <c r="W168" s="72">
        <f t="shared" si="102"/>
        <v>23.817445825541746</v>
      </c>
      <c r="X168" s="72">
        <f t="shared" si="102"/>
        <v>25.604403998079526</v>
      </c>
      <c r="Y168" s="72">
        <f t="shared" si="102"/>
        <v>26.395020333996712</v>
      </c>
      <c r="Z168" s="72">
        <f t="shared" si="102"/>
        <v>26.910654008438819</v>
      </c>
      <c r="AA168" s="72">
        <f t="shared" si="102"/>
        <v>29.871890627347454</v>
      </c>
      <c r="AC168" s="72">
        <f>AC107/AC75</f>
        <v>29.871890627347454</v>
      </c>
    </row>
    <row r="169" spans="2:29" x14ac:dyDescent="0.2">
      <c r="B169" s="20" t="s">
        <v>289</v>
      </c>
      <c r="M169" s="156">
        <f>M54/M59</f>
        <v>4.4497273718647765</v>
      </c>
      <c r="N169" s="156">
        <f>N54/N59</f>
        <v>1.3758014015207991</v>
      </c>
      <c r="O169" s="156">
        <f>O54/O59</f>
        <v>0.61987188667699555</v>
      </c>
      <c r="P169" s="156">
        <f>P54/P59</f>
        <v>0.38694210070995017</v>
      </c>
      <c r="Q169" s="156">
        <f>Q54/Q59</f>
        <v>0.35438073554172911</v>
      </c>
      <c r="T169" s="156">
        <f t="shared" ref="T169:AA169" si="103">T54/T59</f>
        <v>0.42870423799448609</v>
      </c>
      <c r="U169" s="156">
        <f t="shared" si="103"/>
        <v>0.51467112161657813</v>
      </c>
      <c r="V169" s="156">
        <f t="shared" si="103"/>
        <v>0.357398253023613</v>
      </c>
      <c r="W169" s="156">
        <f t="shared" si="103"/>
        <v>0.29364485804356677</v>
      </c>
      <c r="X169" s="156">
        <f t="shared" si="103"/>
        <v>0.38149434794596088</v>
      </c>
      <c r="Y169" s="156">
        <f t="shared" si="103"/>
        <v>0.42219162145799449</v>
      </c>
      <c r="Z169" s="156">
        <f t="shared" si="103"/>
        <v>0.33801897872816422</v>
      </c>
      <c r="AA169" s="156">
        <f t="shared" si="103"/>
        <v>0.22979883399327458</v>
      </c>
      <c r="AC169" s="156">
        <f>AC54/AC59</f>
        <v>0.3258153699045877</v>
      </c>
    </row>
    <row r="170" spans="2:29" x14ac:dyDescent="0.2">
      <c r="B170" s="20" t="s">
        <v>290</v>
      </c>
      <c r="M170" s="156">
        <f>M54/M5</f>
        <v>0.16271354058666837</v>
      </c>
      <c r="N170" s="156">
        <f>N54/N5</f>
        <v>0.19978619467110514</v>
      </c>
      <c r="O170" s="156">
        <f>O54/O5</f>
        <v>0.1792871143211657</v>
      </c>
      <c r="P170" s="156">
        <f>P54/P5</f>
        <v>0.14769178529031154</v>
      </c>
      <c r="Q170" s="156">
        <f>Q54/Q5</f>
        <v>0.13245803492519678</v>
      </c>
      <c r="T170" s="156">
        <f t="shared" ref="T170:AA170" si="104">T54/T5</f>
        <v>0.14998289658885081</v>
      </c>
      <c r="U170" s="156">
        <f t="shared" si="104"/>
        <v>0.15036293965544098</v>
      </c>
      <c r="V170" s="156">
        <f t="shared" si="104"/>
        <v>0.14214745884037222</v>
      </c>
      <c r="W170" s="156">
        <f t="shared" si="104"/>
        <v>0.13442661315836232</v>
      </c>
      <c r="X170" s="156">
        <f t="shared" si="104"/>
        <v>0.13712564168632194</v>
      </c>
      <c r="Y170" s="156">
        <f t="shared" si="104"/>
        <v>0.13089178655419506</v>
      </c>
      <c r="Z170" s="156">
        <f t="shared" si="104"/>
        <v>0.1281940693185514</v>
      </c>
      <c r="AA170" s="156">
        <f t="shared" si="104"/>
        <v>0.11866752064445639</v>
      </c>
      <c r="AC170" s="156">
        <f>AC54/AC5</f>
        <v>0.12838035225284011</v>
      </c>
    </row>
    <row r="171" spans="2:29" x14ac:dyDescent="0.2">
      <c r="B171" s="20" t="s">
        <v>295</v>
      </c>
      <c r="M171" s="72">
        <f>(M107-M108)/M75</f>
        <v>14.341022653721684</v>
      </c>
      <c r="N171" s="72">
        <f>(N107-N108)/N75</f>
        <v>14.966532138990058</v>
      </c>
      <c r="O171" s="72">
        <f>(O107-O108)/O75</f>
        <v>17.436561246384922</v>
      </c>
      <c r="P171" s="72">
        <f>(P107-P108)/P75</f>
        <v>21.571005459408084</v>
      </c>
      <c r="Q171" s="72">
        <f>(Q107-Q108)/Q75</f>
        <v>26.910654008438819</v>
      </c>
      <c r="T171" s="72">
        <f t="shared" ref="T171:AA171" si="105">(T107-T108)/T75</f>
        <v>20.401019775373804</v>
      </c>
      <c r="U171" s="72">
        <f t="shared" si="105"/>
        <v>21.282534558021098</v>
      </c>
      <c r="V171" s="72">
        <f t="shared" si="105"/>
        <v>21.571005459408084</v>
      </c>
      <c r="W171" s="72">
        <f t="shared" si="105"/>
        <v>23.817445825541746</v>
      </c>
      <c r="X171" s="72">
        <f t="shared" si="105"/>
        <v>25.604403998079526</v>
      </c>
      <c r="Y171" s="72">
        <f t="shared" si="105"/>
        <v>26.395020333996712</v>
      </c>
      <c r="Z171" s="72">
        <f t="shared" si="105"/>
        <v>26.910654008438819</v>
      </c>
      <c r="AA171" s="72">
        <f t="shared" si="105"/>
        <v>29.871890627347454</v>
      </c>
      <c r="AC171" s="72">
        <f>(AC107-AC108)/AC75</f>
        <v>29.871890627347454</v>
      </c>
    </row>
    <row r="172" spans="2:29" x14ac:dyDescent="0.2">
      <c r="B172" s="20" t="s">
        <v>300</v>
      </c>
      <c r="M172" s="156">
        <f>(M107-M108)/M149</f>
        <v>0.12968911786689893</v>
      </c>
      <c r="N172" s="156">
        <f>(N107-N108)/N149</f>
        <v>0.21041096779122817</v>
      </c>
      <c r="O172" s="156">
        <f>(O107-O108)/O149</f>
        <v>6.873451606452223E-2</v>
      </c>
      <c r="P172" s="156">
        <f>(P107-P108)/P149</f>
        <v>6.144627938908382E-2</v>
      </c>
      <c r="Q172" s="156">
        <f>(Q107-Q108)/Q149</f>
        <v>0.14420519284305233</v>
      </c>
      <c r="T172" s="49"/>
      <c r="U172" s="49"/>
      <c r="V172" s="49"/>
      <c r="W172" s="49"/>
      <c r="X172" s="49"/>
      <c r="Y172" s="49"/>
      <c r="Z172" s="49"/>
      <c r="AA172" s="49"/>
      <c r="AC172" s="156">
        <f ca="1">(AC107-AC108)/AC149</f>
        <v>0.22684893401972567</v>
      </c>
    </row>
    <row r="173" spans="2:29" x14ac:dyDescent="0.2">
      <c r="B173" s="20" t="s">
        <v>309</v>
      </c>
      <c r="M173" s="156">
        <f>-M110/M5</f>
        <v>2.474757947458249E-2</v>
      </c>
      <c r="N173" s="156">
        <f>-N110/N5</f>
        <v>2.7399558857359368E-2</v>
      </c>
      <c r="O173" s="156">
        <f>-O110/O5</f>
        <v>2.5764955969490255E-2</v>
      </c>
      <c r="P173" s="156">
        <f>-P110/P5</f>
        <v>2.8261125311487331E-2</v>
      </c>
      <c r="Q173" s="156">
        <f>-Q110/Q5</f>
        <v>2.6406409474271603E-2</v>
      </c>
      <c r="T173" s="156">
        <f t="shared" ref="T173:AA173" si="106">-T110/T5</f>
        <v>4.8540041608954337E-2</v>
      </c>
      <c r="U173" s="156">
        <f t="shared" si="106"/>
        <v>2.60807709482123E-2</v>
      </c>
      <c r="V173" s="156">
        <f t="shared" si="106"/>
        <v>1.1643999045573849E-2</v>
      </c>
      <c r="W173" s="156">
        <f t="shared" si="106"/>
        <v>1.1350290149647009E-2</v>
      </c>
      <c r="X173" s="156">
        <f t="shared" si="106"/>
        <v>1.7247735516223019E-2</v>
      </c>
      <c r="Y173" s="156">
        <f t="shared" si="106"/>
        <v>2.5331875913187814E-2</v>
      </c>
      <c r="Z173" s="156">
        <f t="shared" si="106"/>
        <v>4.7888060862310337E-2</v>
      </c>
      <c r="AA173" s="156">
        <f t="shared" si="106"/>
        <v>1.0223758164450092E-2</v>
      </c>
      <c r="AC173" s="156">
        <f>-AC110/AC5</f>
        <v>2.5268175749649849E-2</v>
      </c>
    </row>
    <row r="174" spans="2:29" x14ac:dyDescent="0.2">
      <c r="B174" s="20" t="s">
        <v>310</v>
      </c>
      <c r="M174" s="156">
        <f>-(M110/M59)</f>
        <v>0.67677208287895307</v>
      </c>
      <c r="N174" s="156">
        <f>-(N110/N59)</f>
        <v>0.188683465036529</v>
      </c>
      <c r="O174" s="156">
        <f>-(O110/O59)</f>
        <v>8.9080422357337222E-2</v>
      </c>
      <c r="P174" s="156">
        <f>-(P110/P59)</f>
        <v>7.4042162703624709E-2</v>
      </c>
      <c r="Q174" s="156">
        <f>-(Q110/Q59)</f>
        <v>7.0648208074301944E-2</v>
      </c>
      <c r="T174" s="156">
        <f t="shared" ref="T174:AA174" si="107">-(T110/T59)</f>
        <v>0.13874463037763674</v>
      </c>
      <c r="U174" s="156">
        <f t="shared" si="107"/>
        <v>8.9270798158778683E-2</v>
      </c>
      <c r="V174" s="156">
        <f t="shared" si="107"/>
        <v>2.9276252639662124E-2</v>
      </c>
      <c r="W174" s="156">
        <f t="shared" si="107"/>
        <v>2.4793857863695316E-2</v>
      </c>
      <c r="X174" s="156">
        <f t="shared" si="107"/>
        <v>4.7984560242624756E-2</v>
      </c>
      <c r="Y174" s="156">
        <f t="shared" si="107"/>
        <v>8.1707997483350947E-2</v>
      </c>
      <c r="Z174" s="156">
        <f t="shared" si="107"/>
        <v>0.12627006469173549</v>
      </c>
      <c r="AA174" s="156">
        <f t="shared" si="107"/>
        <v>1.9798237061503871E-2</v>
      </c>
      <c r="AC174" s="156">
        <f>-(AC110/AC59)</f>
        <v>6.4127881597272743E-2</v>
      </c>
    </row>
    <row r="175" spans="2:29" x14ac:dyDescent="0.2">
      <c r="B175" s="20" t="s">
        <v>311</v>
      </c>
      <c r="M175" s="156">
        <f>-M110/M53</f>
        <v>2.2765957446808511</v>
      </c>
      <c r="N175" s="156">
        <f>-N110/N53</f>
        <v>2.0788501026694046</v>
      </c>
      <c r="O175" s="156">
        <f>-O110/O53</f>
        <v>1.9286821705426356</v>
      </c>
      <c r="P175" s="156">
        <f>-P110/P53</f>
        <v>1.9476690620969228</v>
      </c>
      <c r="Q175" s="156">
        <f>-Q110/Q53</f>
        <v>1.9038982697519282</v>
      </c>
      <c r="T175" s="156">
        <f t="shared" ref="T175:AA175" si="108">-T110/T53</f>
        <v>3.8591172536781095</v>
      </c>
      <c r="U175" s="156">
        <f t="shared" si="108"/>
        <v>1.7465229485396383</v>
      </c>
      <c r="V175" s="156">
        <f t="shared" si="108"/>
        <v>0.66648456705818082</v>
      </c>
      <c r="W175" s="156">
        <f t="shared" si="108"/>
        <v>0.7295264623955432</v>
      </c>
      <c r="X175" s="156">
        <f t="shared" si="108"/>
        <v>1.2648255813953488</v>
      </c>
      <c r="Y175" s="156">
        <f t="shared" si="108"/>
        <v>1.9372361384745285</v>
      </c>
      <c r="Z175" s="156">
        <f t="shared" si="108"/>
        <v>3.5572478991596639</v>
      </c>
      <c r="AA175" s="156">
        <f t="shared" si="108"/>
        <v>0.71224051539012168</v>
      </c>
      <c r="AC175" s="156">
        <f>-AC110/AC53</f>
        <v>1.8519877267876201</v>
      </c>
    </row>
    <row r="176" spans="2:29" x14ac:dyDescent="0.2">
      <c r="B176" s="20" t="s">
        <v>370</v>
      </c>
      <c r="M176" s="226">
        <f>M5/M37</f>
        <v>0.37920433804972242</v>
      </c>
      <c r="N176" s="226">
        <f>N5/N37</f>
        <v>0.49440888904350994</v>
      </c>
      <c r="O176" s="226">
        <f>O5/O37</f>
        <v>0.55674312364184131</v>
      </c>
      <c r="P176" s="226">
        <f>P5/P37</f>
        <v>0.57463924875242756</v>
      </c>
      <c r="Q176" s="226">
        <f>Q5/Q37</f>
        <v>0.52083042613576469</v>
      </c>
      <c r="T176" s="49"/>
      <c r="U176" s="49"/>
      <c r="V176" s="49"/>
      <c r="W176" s="49"/>
      <c r="X176" s="49"/>
      <c r="Y176" s="49"/>
      <c r="Z176" s="49"/>
      <c r="AA176" s="49"/>
      <c r="AC176" s="226">
        <f>AC5/AC37</f>
        <v>0.53392429715538525</v>
      </c>
    </row>
    <row r="177" spans="1:31" x14ac:dyDescent="0.2">
      <c r="B177" s="20" t="s">
        <v>367</v>
      </c>
      <c r="M177" s="228" t="str">
        <f>IF(AND(M12&gt;0,M108&gt;0),M108/M12,"N/A")</f>
        <v>N/A</v>
      </c>
      <c r="N177" s="228" t="str">
        <f>IF(AND(N12&gt;0,N108&gt;0),N108/N12,"N/A")</f>
        <v>N/A</v>
      </c>
      <c r="O177" s="228" t="str">
        <f>IF(AND(O12&gt;0,O108&gt;0),O108/O12,"N/A")</f>
        <v>N/A</v>
      </c>
      <c r="P177" s="228" t="str">
        <f>IF(AND(P12&gt;0,P108&gt;0),P108/P12,"N/A")</f>
        <v>N/A</v>
      </c>
      <c r="Q177" s="228" t="str">
        <f>IF(AND(Q12&gt;0,Q108&gt;0),Q108/Q12,"N/A")</f>
        <v>N/A</v>
      </c>
      <c r="T177" s="49"/>
      <c r="U177" s="49"/>
      <c r="V177" s="49"/>
      <c r="W177" s="49"/>
      <c r="X177" s="49"/>
      <c r="Y177" s="49"/>
      <c r="Z177" s="49"/>
      <c r="AA177" s="49"/>
      <c r="AC177" s="228" t="str">
        <f>IF(AND(AC12&gt;0,AC108&gt;0),AC108/AC12,"N/A")</f>
        <v>N/A</v>
      </c>
    </row>
    <row r="178" spans="1:31" x14ac:dyDescent="0.2">
      <c r="B178" s="20" t="s">
        <v>368</v>
      </c>
      <c r="M178" s="228" t="str">
        <f>IF(AND(M12&gt;0,M108&gt;0),(M108-M107)/M12,"N/A")</f>
        <v>N/A</v>
      </c>
      <c r="N178" s="228" t="str">
        <f>IF(AND(N12&gt;0,N108&gt;0),(N108-N107)/N12,"N/A")</f>
        <v>N/A</v>
      </c>
      <c r="O178" s="228" t="str">
        <f>IF(AND(O12&gt;0,O108&gt;0),(O108-O107)/O12,"N/A")</f>
        <v>N/A</v>
      </c>
      <c r="P178" s="228" t="str">
        <f>IF(AND(P12&gt;0,P108&gt;0),(P108-P107)/P12,"N/A")</f>
        <v>N/A</v>
      </c>
      <c r="Q178" s="228" t="str">
        <f>IF(AND(Q12&gt;0,Q108&gt;0),(Q108-Q107)/Q12,"N/A")</f>
        <v>N/A</v>
      </c>
      <c r="T178" s="49"/>
      <c r="U178" s="49"/>
      <c r="V178" s="49"/>
      <c r="W178" s="49"/>
      <c r="X178" s="49"/>
      <c r="Y178" s="49"/>
      <c r="Z178" s="49"/>
      <c r="AA178" s="49"/>
      <c r="AC178" s="228" t="str">
        <f>IF(AND(AC12&gt;0,AC108&gt;0),(AC108-AC107)/AC12,"N/A")</f>
        <v>N/A</v>
      </c>
    </row>
    <row r="179" spans="1:31" x14ac:dyDescent="0.2">
      <c r="B179" s="20" t="s">
        <v>369</v>
      </c>
      <c r="M179" s="228">
        <f>M5/(M108+M112-M107)</f>
        <v>-6.1364459452845885</v>
      </c>
      <c r="N179" s="228">
        <f>N5/(N108+N112-N107)</f>
        <v>-5.5897703549060545</v>
      </c>
      <c r="O179" s="228">
        <f>O5/(O108+O112-O107)</f>
        <v>-5.7660923471104883</v>
      </c>
      <c r="P179" s="228">
        <f>P5/(P108+P112-P107)</f>
        <v>-4.9411376141940853</v>
      </c>
      <c r="Q179" s="228">
        <f>Q5/(Q108+Q112-Q107)</f>
        <v>14.523718872916113</v>
      </c>
      <c r="T179" s="49"/>
      <c r="U179" s="49"/>
      <c r="V179" s="49"/>
      <c r="W179" s="49"/>
      <c r="X179" s="49"/>
      <c r="Y179" s="49"/>
      <c r="Z179" s="49"/>
      <c r="AA179" s="49"/>
      <c r="AC179" s="228">
        <f>AC5/(AC108+AC112-AC107)</f>
        <v>-19277.42105263158</v>
      </c>
    </row>
    <row r="181" spans="1:31" x14ac:dyDescent="0.2">
      <c r="B181" s="1"/>
    </row>
    <row r="182" spans="1:31" s="15" customFormat="1" ht="17" thickBot="1" x14ac:dyDescent="0.25">
      <c r="A182" s="11"/>
      <c r="B182" s="14" t="s">
        <v>82</v>
      </c>
      <c r="R182" s="1"/>
      <c r="S182" s="1"/>
      <c r="AB182" s="1"/>
      <c r="AD182" s="1"/>
      <c r="AE182" s="1"/>
    </row>
    <row r="183" spans="1:31" x14ac:dyDescent="0.2">
      <c r="B183" s="20" t="s">
        <v>382</v>
      </c>
      <c r="C183" s="62"/>
      <c r="D183" s="62"/>
      <c r="E183" s="62"/>
      <c r="F183" s="62"/>
      <c r="G183" s="62"/>
      <c r="H183" s="62"/>
      <c r="I183" s="62"/>
      <c r="J183" s="62"/>
      <c r="K183" s="62"/>
      <c r="L183" s="62"/>
      <c r="M183" s="21">
        <v>180698</v>
      </c>
      <c r="N183" s="21">
        <v>273507</v>
      </c>
      <c r="O183" s="21">
        <v>404684</v>
      </c>
      <c r="P183" s="21">
        <v>607531</v>
      </c>
      <c r="Q183" s="21">
        <v>873442</v>
      </c>
      <c r="T183" s="21">
        <v>143909</v>
      </c>
      <c r="U183" s="21">
        <v>157617</v>
      </c>
      <c r="V183" s="21">
        <v>174317</v>
      </c>
      <c r="W183" s="21">
        <v>190987</v>
      </c>
      <c r="X183" s="21">
        <v>210678</v>
      </c>
      <c r="Y183" s="21">
        <v>229491</v>
      </c>
      <c r="Z183" s="21">
        <v>242286</v>
      </c>
      <c r="AA183" s="21">
        <v>250908</v>
      </c>
      <c r="AC183" s="62">
        <f>SUM(X183:AA183)</f>
        <v>933363</v>
      </c>
    </row>
    <row r="184" spans="1:31" x14ac:dyDescent="0.2">
      <c r="B184" s="20" t="s">
        <v>383</v>
      </c>
      <c r="C184" s="62"/>
      <c r="D184" s="62"/>
      <c r="E184" s="62"/>
      <c r="F184" s="62"/>
      <c r="G184" s="62"/>
      <c r="H184" s="62"/>
      <c r="I184" s="62"/>
      <c r="J184" s="62"/>
      <c r="K184" s="62"/>
      <c r="L184" s="62"/>
      <c r="M184" s="21">
        <v>38501</v>
      </c>
      <c r="N184" s="21">
        <v>44731</v>
      </c>
      <c r="O184" s="21">
        <v>49858</v>
      </c>
      <c r="P184" s="21">
        <v>54907</v>
      </c>
      <c r="Q184" s="21">
        <v>79725</v>
      </c>
      <c r="T184" s="21">
        <v>13258</v>
      </c>
      <c r="U184" s="21">
        <v>14405</v>
      </c>
      <c r="V184" s="21">
        <v>14292</v>
      </c>
      <c r="W184" s="21">
        <v>17882</v>
      </c>
      <c r="X184" s="21">
        <v>20603</v>
      </c>
      <c r="Y184" s="21">
        <v>21019</v>
      </c>
      <c r="Z184" s="21">
        <v>20221</v>
      </c>
      <c r="AA184" s="21">
        <v>20614</v>
      </c>
      <c r="AC184" s="62">
        <f t="shared" ref="AC184:AC187" si="109">SUM(X184:AA184)</f>
        <v>82457</v>
      </c>
    </row>
    <row r="185" spans="1:31" x14ac:dyDescent="0.2">
      <c r="B185" s="20" t="s">
        <v>384</v>
      </c>
      <c r="C185" s="62"/>
      <c r="D185" s="62"/>
      <c r="E185" s="62"/>
      <c r="F185" s="62"/>
      <c r="G185" s="62"/>
      <c r="H185" s="62"/>
      <c r="I185" s="62"/>
      <c r="J185" s="62"/>
      <c r="K185" s="62"/>
      <c r="L185" s="62"/>
      <c r="M185" s="21">
        <v>24658</v>
      </c>
      <c r="N185" s="21">
        <v>32718</v>
      </c>
      <c r="O185" s="21">
        <v>41212</v>
      </c>
      <c r="P185" s="21">
        <v>45640</v>
      </c>
      <c r="Q185" s="21">
        <v>42006</v>
      </c>
      <c r="T185" s="21">
        <v>10698</v>
      </c>
      <c r="U185" s="21">
        <v>10772</v>
      </c>
      <c r="V185" s="21">
        <v>11415</v>
      </c>
      <c r="W185" s="21">
        <v>11986</v>
      </c>
      <c r="X185" s="21">
        <v>10088</v>
      </c>
      <c r="Y185" s="21">
        <v>9649</v>
      </c>
      <c r="Z185" s="21">
        <v>10283</v>
      </c>
      <c r="AA185" s="21">
        <v>11317</v>
      </c>
      <c r="AC185" s="62">
        <f t="shared" si="109"/>
        <v>41337</v>
      </c>
    </row>
    <row r="186" spans="1:31" x14ac:dyDescent="0.2">
      <c r="B186" s="20" t="s">
        <v>385</v>
      </c>
      <c r="C186" s="21"/>
      <c r="D186" s="21"/>
      <c r="E186" s="21"/>
      <c r="F186" s="21"/>
      <c r="G186" s="21"/>
      <c r="H186" s="21"/>
      <c r="I186" s="21"/>
      <c r="J186" s="21"/>
      <c r="K186" s="21"/>
      <c r="L186" s="21"/>
      <c r="M186" s="21">
        <v>6915</v>
      </c>
      <c r="N186" s="21">
        <v>18539</v>
      </c>
      <c r="O186" s="21">
        <v>34673</v>
      </c>
      <c r="P186" s="21">
        <v>38653</v>
      </c>
      <c r="Q186" s="21">
        <v>40479</v>
      </c>
      <c r="T186" s="21">
        <v>10176</v>
      </c>
      <c r="U186" s="21">
        <v>9411</v>
      </c>
      <c r="V186" s="21">
        <v>9142</v>
      </c>
      <c r="W186" s="21">
        <v>9442</v>
      </c>
      <c r="X186" s="21">
        <v>10390</v>
      </c>
      <c r="Y186" s="21">
        <v>11096</v>
      </c>
      <c r="Z186" s="21">
        <v>9551</v>
      </c>
      <c r="AA186" s="21">
        <v>8446</v>
      </c>
      <c r="AC186" s="62">
        <f t="shared" si="109"/>
        <v>39483</v>
      </c>
    </row>
    <row r="187" spans="1:31" x14ac:dyDescent="0.2">
      <c r="B187" s="20" t="s">
        <v>386</v>
      </c>
      <c r="C187" s="62"/>
      <c r="D187" s="62"/>
      <c r="E187" s="62"/>
      <c r="F187" s="62"/>
      <c r="G187" s="62"/>
      <c r="H187" s="62"/>
      <c r="I187" s="62"/>
      <c r="J187" s="62"/>
      <c r="K187" s="62"/>
      <c r="L187" s="62"/>
      <c r="M187" s="21">
        <v>79</v>
      </c>
      <c r="N187" s="21">
        <v>625</v>
      </c>
      <c r="O187" s="21">
        <v>682</v>
      </c>
      <c r="P187" s="21">
        <v>1293</v>
      </c>
      <c r="Q187" s="21">
        <v>1937</v>
      </c>
      <c r="T187" s="21">
        <v>286</v>
      </c>
      <c r="U187" s="21">
        <v>389</v>
      </c>
      <c r="V187" s="21">
        <v>384</v>
      </c>
      <c r="W187" s="21">
        <v>446</v>
      </c>
      <c r="X187" s="21">
        <v>506</v>
      </c>
      <c r="Y187" s="21">
        <v>458</v>
      </c>
      <c r="Z187" s="21">
        <v>527</v>
      </c>
      <c r="AA187" s="21">
        <v>682</v>
      </c>
      <c r="AC187" s="62">
        <f t="shared" si="109"/>
        <v>2173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320</v>
      </c>
      <c r="C190" s="173"/>
      <c r="D190" s="173"/>
      <c r="E190" s="173"/>
      <c r="F190" s="173"/>
      <c r="G190" s="173"/>
      <c r="H190" s="173"/>
      <c r="I190" s="173"/>
      <c r="J190" s="173"/>
      <c r="K190" s="173"/>
      <c r="L190" s="173"/>
      <c r="M190" s="173"/>
      <c r="N190" s="173"/>
      <c r="O190" s="173"/>
      <c r="P190" s="173"/>
      <c r="Q190" s="173"/>
      <c r="T190" s="173"/>
      <c r="U190" s="173"/>
      <c r="V190" s="173"/>
      <c r="W190" s="173"/>
      <c r="X190" s="173"/>
      <c r="Y190" s="173"/>
      <c r="Z190" s="173"/>
      <c r="AA190" s="173"/>
      <c r="AC190" s="173"/>
    </row>
    <row r="191" spans="1:31" x14ac:dyDescent="0.2">
      <c r="B191" s="20" t="s">
        <v>382</v>
      </c>
      <c r="C191" s="81"/>
      <c r="D191" s="81"/>
      <c r="E191" s="81"/>
      <c r="F191" s="81"/>
      <c r="G191" s="81"/>
      <c r="H191" s="81"/>
      <c r="I191" s="81"/>
      <c r="J191" s="81"/>
      <c r="K191" s="81"/>
      <c r="L191" s="81"/>
      <c r="M191" s="81">
        <f t="shared" ref="M191:Q193" si="110">IF(L183=0,
IF(M183=0,0,IF(M183&gt;0,1,-1)),
(M183-L183)/ABS(L183)
)</f>
        <v>1</v>
      </c>
      <c r="N191" s="81">
        <f t="shared" si="110"/>
        <v>0.51361387508439493</v>
      </c>
      <c r="O191" s="81">
        <f t="shared" si="110"/>
        <v>0.47961112512659637</v>
      </c>
      <c r="P191" s="81">
        <f t="shared" si="110"/>
        <v>0.50124788724041469</v>
      </c>
      <c r="Q191" s="81">
        <f t="shared" si="110"/>
        <v>0.43769124538500914</v>
      </c>
      <c r="T191" s="81">
        <f t="shared" ref="T191:AA193" si="111">IF(S183=0,
IF(T183=0,0,IF(T183&gt;0,1,-1)),
(T183-S183)/ABS(S183)
)</f>
        <v>1</v>
      </c>
      <c r="U191" s="81">
        <f t="shared" si="111"/>
        <v>9.5254640085053743E-2</v>
      </c>
      <c r="V191" s="81">
        <f t="shared" si="111"/>
        <v>0.10595303806061529</v>
      </c>
      <c r="W191" s="81">
        <f t="shared" si="111"/>
        <v>9.5630374547519742E-2</v>
      </c>
      <c r="X191" s="81">
        <f t="shared" si="111"/>
        <v>0.10310125820081995</v>
      </c>
      <c r="Y191" s="81">
        <f t="shared" si="111"/>
        <v>8.9297411215219433E-2</v>
      </c>
      <c r="Z191" s="81">
        <f t="shared" si="111"/>
        <v>5.5753820411257961E-2</v>
      </c>
      <c r="AA191" s="81">
        <f t="shared" si="111"/>
        <v>3.5586042940987099E-2</v>
      </c>
      <c r="AC191" s="49"/>
    </row>
    <row r="192" spans="1:31" x14ac:dyDescent="0.2">
      <c r="B192" s="20" t="s">
        <v>383</v>
      </c>
      <c r="M192" s="81">
        <f t="shared" si="110"/>
        <v>1</v>
      </c>
      <c r="N192" s="81">
        <f t="shared" si="110"/>
        <v>0.161813978857692</v>
      </c>
      <c r="O192" s="81">
        <f t="shared" si="110"/>
        <v>0.11461849723905122</v>
      </c>
      <c r="P192" s="81">
        <f t="shared" si="110"/>
        <v>0.10126759998395443</v>
      </c>
      <c r="Q192" s="81">
        <f t="shared" si="110"/>
        <v>0.45200065565410602</v>
      </c>
      <c r="T192" s="81">
        <f t="shared" si="111"/>
        <v>1</v>
      </c>
      <c r="U192" s="81">
        <f t="shared" si="111"/>
        <v>8.6513802986875846E-2</v>
      </c>
      <c r="V192" s="81">
        <f t="shared" si="111"/>
        <v>-7.8444984380423455E-3</v>
      </c>
      <c r="W192" s="81">
        <f t="shared" si="111"/>
        <v>0.25118947663028268</v>
      </c>
      <c r="X192" s="81">
        <f t="shared" si="111"/>
        <v>0.15216418745106811</v>
      </c>
      <c r="Y192" s="81">
        <f t="shared" si="111"/>
        <v>2.019123428626899E-2</v>
      </c>
      <c r="Z192" s="81">
        <f t="shared" si="111"/>
        <v>-3.796565012607641E-2</v>
      </c>
      <c r="AA192" s="81">
        <f t="shared" si="111"/>
        <v>1.9435240591464318E-2</v>
      </c>
      <c r="AC192" s="49"/>
    </row>
    <row r="193" spans="1:31" x14ac:dyDescent="0.2">
      <c r="B193" s="20" t="s">
        <v>384</v>
      </c>
      <c r="M193" s="81">
        <f t="shared" si="110"/>
        <v>1</v>
      </c>
      <c r="N193" s="81">
        <f t="shared" ref="N193:N195" si="112">IF(M185=0,
IF(N185=0,0,IF(N185&gt;0,1,-1)),
(N185-M185)/ABS(M185)
)</f>
        <v>0.32687160353637762</v>
      </c>
      <c r="O193" s="81">
        <f t="shared" ref="O193:O195" si="113">IF(N185=0,
IF(O185=0,0,IF(O185&gt;0,1,-1)),
(O185-N185)/ABS(N185)
)</f>
        <v>0.25961244574851766</v>
      </c>
      <c r="P193" s="81">
        <f t="shared" ref="P193:P195" si="114">IF(O185=0,
IF(P185=0,0,IF(P185&gt;0,1,-1)),
(P185-O185)/ABS(O185)
)</f>
        <v>0.107444433660099</v>
      </c>
      <c r="Q193" s="81">
        <f t="shared" ref="Q193:Q195" si="115">IF(P185=0,
IF(Q185=0,0,IF(Q185&gt;0,1,-1)),
(Q185-P185)/ABS(P185)
)</f>
        <v>-7.9623137598597724E-2</v>
      </c>
      <c r="T193" s="81">
        <f t="shared" si="111"/>
        <v>1</v>
      </c>
      <c r="U193" s="81">
        <f t="shared" ref="U193:U195" si="116">IF(T185=0,
IF(U185=0,0,IF(U185&gt;0,1,-1)),
(U185-T185)/ABS(T185)
)</f>
        <v>6.9171807814544777E-3</v>
      </c>
      <c r="V193" s="81">
        <f t="shared" ref="V193:V195" si="117">IF(U185=0,
IF(V185=0,0,IF(V185&gt;0,1,-1)),
(V185-U185)/ABS(U185)
)</f>
        <v>5.9691793538804307E-2</v>
      </c>
      <c r="W193" s="81">
        <f t="shared" ref="W193:W195" si="118">IF(V185=0,
IF(W185=0,0,IF(W185&gt;0,1,-1)),
(W185-V185)/ABS(V185)
)</f>
        <v>5.0021901007446343E-2</v>
      </c>
      <c r="X193" s="81">
        <f t="shared" ref="X193:X195" si="119">IF(W185=0,
IF(X185=0,0,IF(X185&gt;0,1,-1)),
(X185-W185)/ABS(W185)
)</f>
        <v>-0.15835140997830802</v>
      </c>
      <c r="Y193" s="81">
        <f t="shared" ref="Y193:Y195" si="120">IF(X185=0,
IF(Y185=0,0,IF(Y185&gt;0,1,-1)),
(Y185-X185)/ABS(X185)
)</f>
        <v>-4.3517049960348927E-2</v>
      </c>
      <c r="Z193" s="81">
        <f t="shared" ref="Z193:Z195" si="121">IF(Y185=0,
IF(Z185=0,0,IF(Z185&gt;0,1,-1)),
(Z185-Y185)/ABS(Y185)
)</f>
        <v>6.5706290807337545E-2</v>
      </c>
      <c r="AA193" s="81">
        <f t="shared" ref="AA193:AA195" si="122">IF(Z185=0,
IF(AA185=0,0,IF(AA185&gt;0,1,-1)),
(AA185-Z185)/ABS(Z185)
)</f>
        <v>0.10055431294369348</v>
      </c>
      <c r="AC193" s="49"/>
    </row>
    <row r="194" spans="1:31" x14ac:dyDescent="0.2">
      <c r="B194" s="20" t="s">
        <v>385</v>
      </c>
      <c r="M194" s="81">
        <f t="shared" ref="M194:M195" si="123">IF(L186=0,
IF(M186=0,0,IF(M186&gt;0,1,-1)),
(M186-L186)/ABS(L186)
)</f>
        <v>1</v>
      </c>
      <c r="N194" s="81">
        <f t="shared" si="112"/>
        <v>1.6809833694866232</v>
      </c>
      <c r="O194" s="81">
        <f t="shared" si="113"/>
        <v>0.87027347753384754</v>
      </c>
      <c r="P194" s="81">
        <f t="shared" si="114"/>
        <v>0.11478672165662042</v>
      </c>
      <c r="Q194" s="81">
        <f t="shared" si="115"/>
        <v>4.7240835122758909E-2</v>
      </c>
      <c r="T194" s="81">
        <f t="shared" ref="T194:T195" si="124">IF(S186=0,
IF(T186=0,0,IF(T186&gt;0,1,-1)),
(T186-S186)/ABS(S186)
)</f>
        <v>1</v>
      </c>
      <c r="U194" s="81">
        <f t="shared" si="116"/>
        <v>-7.5176886792452824E-2</v>
      </c>
      <c r="V194" s="81">
        <f t="shared" si="117"/>
        <v>-2.8583572415258739E-2</v>
      </c>
      <c r="W194" s="81">
        <f t="shared" si="118"/>
        <v>3.281557646029315E-2</v>
      </c>
      <c r="X194" s="81">
        <f t="shared" si="119"/>
        <v>0.10040245710654522</v>
      </c>
      <c r="Y194" s="81">
        <f t="shared" si="120"/>
        <v>6.7949951876804623E-2</v>
      </c>
      <c r="Z194" s="81">
        <f t="shared" si="121"/>
        <v>-0.13923936553713051</v>
      </c>
      <c r="AA194" s="81">
        <f t="shared" si="122"/>
        <v>-0.11569469165532405</v>
      </c>
      <c r="AC194" s="49"/>
    </row>
    <row r="195" spans="1:31" x14ac:dyDescent="0.2">
      <c r="B195" s="20" t="s">
        <v>386</v>
      </c>
      <c r="M195" s="81">
        <f t="shared" si="123"/>
        <v>1</v>
      </c>
      <c r="N195" s="81">
        <f t="shared" si="112"/>
        <v>6.9113924050632916</v>
      </c>
      <c r="O195" s="81">
        <f t="shared" si="113"/>
        <v>9.1200000000000003E-2</v>
      </c>
      <c r="P195" s="81">
        <f t="shared" si="114"/>
        <v>0.89589442815249265</v>
      </c>
      <c r="Q195" s="81">
        <f t="shared" si="115"/>
        <v>0.49806651198762569</v>
      </c>
      <c r="T195" s="81">
        <f t="shared" si="124"/>
        <v>1</v>
      </c>
      <c r="U195" s="81">
        <f t="shared" si="116"/>
        <v>0.36013986013986016</v>
      </c>
      <c r="V195" s="81">
        <f t="shared" si="117"/>
        <v>-1.2853470437017995E-2</v>
      </c>
      <c r="W195" s="81">
        <f t="shared" si="118"/>
        <v>0.16145833333333334</v>
      </c>
      <c r="X195" s="81">
        <f t="shared" si="119"/>
        <v>0.13452914798206278</v>
      </c>
      <c r="Y195" s="81">
        <f t="shared" si="120"/>
        <v>-9.4861660079051377E-2</v>
      </c>
      <c r="Z195" s="81">
        <f t="shared" si="121"/>
        <v>0.15065502183406113</v>
      </c>
      <c r="AA195" s="81">
        <f t="shared" si="122"/>
        <v>0.29411764705882354</v>
      </c>
      <c r="AC195" s="49"/>
    </row>
    <row r="197" spans="1:31" x14ac:dyDescent="0.2">
      <c r="B197" s="1"/>
    </row>
    <row r="198" spans="1:31" ht="17" thickBot="1" x14ac:dyDescent="0.25">
      <c r="B198" s="14" t="s">
        <v>321</v>
      </c>
      <c r="C198" s="173"/>
      <c r="D198" s="173"/>
      <c r="E198" s="173"/>
      <c r="F198" s="173"/>
      <c r="G198" s="173"/>
      <c r="H198" s="173"/>
      <c r="I198" s="173"/>
      <c r="J198" s="173"/>
      <c r="K198" s="173"/>
      <c r="L198" s="173"/>
      <c r="M198" s="173"/>
      <c r="N198" s="173"/>
      <c r="O198" s="173"/>
      <c r="P198" s="173"/>
      <c r="Q198" s="173"/>
      <c r="T198" s="173"/>
      <c r="U198" s="173"/>
      <c r="V198" s="173"/>
      <c r="W198" s="173"/>
      <c r="X198" s="173"/>
      <c r="Y198" s="173"/>
      <c r="Z198" s="173"/>
      <c r="AA198" s="173"/>
      <c r="AC198" s="173"/>
    </row>
    <row r="199" spans="1:31" x14ac:dyDescent="0.2">
      <c r="B199" s="20" t="s">
        <v>293</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362</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1:31" x14ac:dyDescent="0.2">
      <c r="B203" s="20" t="s">
        <v>363</v>
      </c>
      <c r="M203" s="145">
        <v>100</v>
      </c>
      <c r="N203" s="145">
        <f>100*(1+((N117-$M117)/ABS($M117)))</f>
        <v>64.324470971242548</v>
      </c>
      <c r="O203" s="145">
        <f>100*(1+((O117-$M117)/ABS($M117)))</f>
        <v>205.14559594863445</v>
      </c>
      <c r="P203" s="145">
        <f>100*(1+((P117-$M117)/ABS($M117)))</f>
        <v>294.08572978838851</v>
      </c>
      <c r="Q203" s="145">
        <f>100*(1+((Q117-$M117)/ABS($M117)))</f>
        <v>160.19171640441309</v>
      </c>
      <c r="T203" s="49"/>
      <c r="U203" s="49"/>
      <c r="V203" s="49"/>
      <c r="W203" s="49"/>
      <c r="X203" s="49"/>
      <c r="Y203" s="49"/>
      <c r="Z203" s="49"/>
      <c r="AA203" s="49"/>
      <c r="AC203" s="49"/>
    </row>
    <row r="204" spans="1:31" x14ac:dyDescent="0.2">
      <c r="B204" s="20" t="s">
        <v>364</v>
      </c>
      <c r="M204" s="145">
        <v>100</v>
      </c>
      <c r="N204" s="145">
        <f>100*(1+((N5-$M5)/ABS($M5)))</f>
        <v>147.34300480117398</v>
      </c>
      <c r="O204" s="145">
        <f>100*(1+((O5-$M5)/ABS($M5)))</f>
        <v>211.78959373454771</v>
      </c>
      <c r="P204" s="145">
        <f>100*(1+((P5-$M5)/ABS($M5)))</f>
        <v>298.28848515783261</v>
      </c>
      <c r="Q204" s="145">
        <f>100*(1+((Q5-$M5)/ABS($M5)))</f>
        <v>413.75791555676074</v>
      </c>
      <c r="T204" s="49"/>
      <c r="U204" s="49"/>
      <c r="V204" s="49"/>
      <c r="W204" s="49"/>
      <c r="X204" s="49"/>
      <c r="Y204" s="49"/>
      <c r="Z204" s="49"/>
      <c r="AA204" s="49"/>
      <c r="AC204" s="49"/>
    </row>
    <row r="205" spans="1:31" x14ac:dyDescent="0.2">
      <c r="B205" s="20" t="s">
        <v>365</v>
      </c>
      <c r="M205" s="145">
        <v>100</v>
      </c>
      <c r="N205" s="145">
        <f>100*(1+((N26-$M26)/ABS($M26)))</f>
        <v>141.24513618677042</v>
      </c>
      <c r="O205" s="145">
        <f>100*(1+((O26-$M26)/ABS($M26)))</f>
        <v>213.61867704280155</v>
      </c>
      <c r="P205" s="145">
        <f>100*(1+((P26-$M26)/ABS($M26)))</f>
        <v>273.15175097276267</v>
      </c>
      <c r="Q205" s="145">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387</v>
      </c>
      <c r="C209" s="62"/>
      <c r="D209" s="62"/>
      <c r="E209" s="62"/>
      <c r="F209" s="62"/>
      <c r="G209" s="62"/>
      <c r="H209" s="62"/>
      <c r="I209" s="62"/>
      <c r="J209" s="62"/>
      <c r="K209" s="62"/>
      <c r="L209" s="62"/>
      <c r="M209" s="21">
        <v>9600</v>
      </c>
      <c r="N209" s="21">
        <v>16300</v>
      </c>
      <c r="O209" s="21">
        <v>26900</v>
      </c>
      <c r="P209" s="21">
        <v>40500</v>
      </c>
      <c r="Q209" s="21">
        <v>52700</v>
      </c>
      <c r="T209" s="21">
        <v>34100</v>
      </c>
      <c r="U209" s="21">
        <v>37200</v>
      </c>
      <c r="V209" s="21">
        <v>40500</v>
      </c>
      <c r="W209" s="21">
        <v>46600</v>
      </c>
      <c r="X209" s="21">
        <v>47700</v>
      </c>
      <c r="Y209" s="21">
        <v>50500</v>
      </c>
      <c r="Z209" s="21">
        <v>52700</v>
      </c>
      <c r="AA209" s="21">
        <v>56500</v>
      </c>
      <c r="AC209" s="21">
        <f>AA209</f>
        <v>56500</v>
      </c>
    </row>
    <row r="210" spans="2:29" x14ac:dyDescent="0.2">
      <c r="B210" s="20" t="s">
        <v>388</v>
      </c>
      <c r="C210" s="62"/>
      <c r="D210" s="62"/>
      <c r="E210" s="62"/>
      <c r="F210" s="62"/>
      <c r="G210" s="62"/>
      <c r="H210" s="62"/>
      <c r="I210" s="62"/>
      <c r="J210" s="62"/>
      <c r="K210" s="62"/>
      <c r="L210" s="62"/>
      <c r="M210" s="21">
        <v>40500</v>
      </c>
      <c r="N210" s="21">
        <v>60700</v>
      </c>
      <c r="O210" s="21">
        <v>88400</v>
      </c>
      <c r="P210" s="21">
        <v>116700</v>
      </c>
      <c r="Q210" s="21">
        <v>133100</v>
      </c>
      <c r="T210" s="21">
        <v>103600</v>
      </c>
      <c r="U210" s="21">
        <v>113100</v>
      </c>
      <c r="V210" s="21">
        <v>116700</v>
      </c>
      <c r="W210" s="21">
        <v>130200</v>
      </c>
      <c r="X210" s="21">
        <v>128300</v>
      </c>
      <c r="Y210" s="21">
        <v>135300</v>
      </c>
      <c r="Z210" s="21">
        <v>133100</v>
      </c>
      <c r="AA210" s="21">
        <v>137800</v>
      </c>
      <c r="AC210" s="21">
        <f t="shared" ref="AC210:AC212" si="125">AA210</f>
        <v>137800</v>
      </c>
    </row>
    <row r="211" spans="2:29" x14ac:dyDescent="0.2">
      <c r="B211" s="20" t="s">
        <v>389</v>
      </c>
      <c r="C211" s="57"/>
      <c r="D211" s="57"/>
      <c r="E211" s="57"/>
      <c r="F211" s="57"/>
      <c r="G211" s="57"/>
      <c r="H211" s="57"/>
      <c r="I211" s="57"/>
      <c r="J211" s="57"/>
      <c r="K211" s="57"/>
      <c r="L211" s="82"/>
      <c r="M211" s="21">
        <v>2500</v>
      </c>
      <c r="N211" s="21">
        <v>4200</v>
      </c>
      <c r="O211" s="21">
        <v>6600</v>
      </c>
      <c r="P211" s="21">
        <v>9500</v>
      </c>
      <c r="Q211" s="21">
        <v>12200</v>
      </c>
      <c r="T211" s="21">
        <v>8000</v>
      </c>
      <c r="U211" s="21">
        <v>8600</v>
      </c>
      <c r="V211" s="21">
        <v>9500</v>
      </c>
      <c r="W211" s="21">
        <v>10300</v>
      </c>
      <c r="X211" s="21">
        <v>10900</v>
      </c>
      <c r="Y211" s="21">
        <v>11500</v>
      </c>
      <c r="Z211" s="21">
        <v>12200</v>
      </c>
      <c r="AA211" s="21">
        <v>12500</v>
      </c>
      <c r="AC211" s="21">
        <f t="shared" si="125"/>
        <v>12500</v>
      </c>
    </row>
    <row r="212" spans="2:29" x14ac:dyDescent="0.2">
      <c r="B212" s="20" t="s">
        <v>390</v>
      </c>
      <c r="M212" s="128">
        <f>M210-M211</f>
        <v>38000</v>
      </c>
      <c r="N212" s="128">
        <f t="shared" ref="N212:Q212" si="126">N210-N211</f>
        <v>56500</v>
      </c>
      <c r="O212" s="128">
        <f t="shared" si="126"/>
        <v>81800</v>
      </c>
      <c r="P212" s="128">
        <f t="shared" si="126"/>
        <v>107200</v>
      </c>
      <c r="Q212" s="128">
        <f t="shared" si="126"/>
        <v>120900</v>
      </c>
      <c r="T212" s="128">
        <f t="shared" ref="T212" si="127">T210-T211</f>
        <v>95600</v>
      </c>
      <c r="U212" s="128">
        <f t="shared" ref="U212" si="128">U210-U211</f>
        <v>104500</v>
      </c>
      <c r="V212" s="128">
        <f t="shared" ref="V212" si="129">V210-V211</f>
        <v>107200</v>
      </c>
      <c r="W212" s="128">
        <f t="shared" ref="W212" si="130">W210-W211</f>
        <v>119900</v>
      </c>
      <c r="X212" s="128">
        <f t="shared" ref="X212" si="131">X210-X211</f>
        <v>117400</v>
      </c>
      <c r="Y212" s="128">
        <f t="shared" ref="Y212" si="132">Y210-Y211</f>
        <v>123800</v>
      </c>
      <c r="Z212" s="128">
        <f t="shared" ref="Z212" si="133">Z210-Z211</f>
        <v>120900</v>
      </c>
      <c r="AA212" s="128">
        <f t="shared" ref="AA212" si="134">AA210-AA211</f>
        <v>125300</v>
      </c>
      <c r="AC212" s="21">
        <f t="shared" si="125"/>
        <v>125300</v>
      </c>
    </row>
    <row r="213" spans="2:29" x14ac:dyDescent="0.2">
      <c r="B213" s="231" t="s">
        <v>391</v>
      </c>
      <c r="M213" s="232">
        <f>M183/M211</f>
        <v>72.279200000000003</v>
      </c>
      <c r="N213" s="232">
        <f t="shared" ref="N213:Q213" si="135">N183/N211</f>
        <v>65.120714285714286</v>
      </c>
      <c r="O213" s="232">
        <f t="shared" si="135"/>
        <v>61.315757575757573</v>
      </c>
      <c r="P213" s="232">
        <f t="shared" si="135"/>
        <v>63.950631578947366</v>
      </c>
      <c r="Q213" s="232">
        <f t="shared" si="135"/>
        <v>71.593606557377043</v>
      </c>
      <c r="T213" s="232">
        <f t="shared" ref="T213:AC213" si="136">T183/T211</f>
        <v>17.988624999999999</v>
      </c>
      <c r="U213" s="232">
        <f t="shared" si="136"/>
        <v>18.327558139534883</v>
      </c>
      <c r="V213" s="232">
        <f t="shared" si="136"/>
        <v>18.349157894736841</v>
      </c>
      <c r="W213" s="232">
        <f t="shared" si="136"/>
        <v>18.542427184466021</v>
      </c>
      <c r="X213" s="232">
        <f t="shared" si="136"/>
        <v>19.328256880733946</v>
      </c>
      <c r="Y213" s="232">
        <f t="shared" si="136"/>
        <v>19.955739130434782</v>
      </c>
      <c r="Z213" s="232">
        <f t="shared" si="136"/>
        <v>19.859508196721311</v>
      </c>
      <c r="AA213" s="232">
        <f t="shared" si="136"/>
        <v>20.07264</v>
      </c>
      <c r="AC213" s="232">
        <f t="shared" si="136"/>
        <v>74.669039999999995</v>
      </c>
    </row>
    <row r="214" spans="2:29" x14ac:dyDescent="0.2">
      <c r="B214" s="231" t="s">
        <v>392</v>
      </c>
      <c r="M214" s="74">
        <f>M209/M210</f>
        <v>0.23703703703703705</v>
      </c>
      <c r="N214" s="74">
        <f t="shared" ref="N214:Q214" si="137">N209/N210</f>
        <v>0.26853377265238881</v>
      </c>
      <c r="O214" s="74">
        <f t="shared" si="137"/>
        <v>0.30429864253393663</v>
      </c>
      <c r="P214" s="74">
        <f t="shared" si="137"/>
        <v>0.34704370179948585</v>
      </c>
      <c r="Q214" s="74">
        <f t="shared" si="137"/>
        <v>0.3959429000751315</v>
      </c>
      <c r="T214" s="74">
        <f t="shared" ref="T214:AA214" si="138">T209/T210</f>
        <v>0.32915057915057916</v>
      </c>
      <c r="U214" s="74">
        <f t="shared" si="138"/>
        <v>0.32891246684350134</v>
      </c>
      <c r="V214" s="74">
        <f t="shared" si="138"/>
        <v>0.34704370179948585</v>
      </c>
      <c r="W214" s="74">
        <f t="shared" si="138"/>
        <v>0.3579109062980031</v>
      </c>
      <c r="X214" s="74">
        <f t="shared" si="138"/>
        <v>0.37178487918939984</v>
      </c>
      <c r="Y214" s="74">
        <f t="shared" si="138"/>
        <v>0.37324464153732445</v>
      </c>
      <c r="Z214" s="74">
        <f t="shared" si="138"/>
        <v>0.3959429000751315</v>
      </c>
      <c r="AA214" s="74">
        <f t="shared" si="138"/>
        <v>0.41001451378809867</v>
      </c>
      <c r="AC214" s="74">
        <f>AA214</f>
        <v>0.41001451378809867</v>
      </c>
    </row>
    <row r="215" spans="2:29" x14ac:dyDescent="0.2">
      <c r="B215" s="231" t="s">
        <v>393</v>
      </c>
      <c r="M215" s="74">
        <f>M211/M210</f>
        <v>6.1728395061728392E-2</v>
      </c>
      <c r="N215" s="74">
        <f t="shared" ref="N215:Q215" si="139">N211/N210</f>
        <v>6.919275123558484E-2</v>
      </c>
      <c r="O215" s="74">
        <f t="shared" si="139"/>
        <v>7.4660633484162894E-2</v>
      </c>
      <c r="P215" s="74">
        <f t="shared" si="139"/>
        <v>8.1405312767780638E-2</v>
      </c>
      <c r="Q215" s="74">
        <f t="shared" si="139"/>
        <v>9.1660405709992482E-2</v>
      </c>
      <c r="T215" s="74">
        <f t="shared" ref="T215:AA215" si="140">T211/T210</f>
        <v>7.7220077220077218E-2</v>
      </c>
      <c r="U215" s="74">
        <f t="shared" si="140"/>
        <v>7.6038903625110524E-2</v>
      </c>
      <c r="V215" s="74">
        <f t="shared" si="140"/>
        <v>8.1405312767780638E-2</v>
      </c>
      <c r="W215" s="74">
        <f t="shared" si="140"/>
        <v>7.9109062980030717E-2</v>
      </c>
      <c r="X215" s="74">
        <f t="shared" si="140"/>
        <v>8.4957131722525336E-2</v>
      </c>
      <c r="Y215" s="74">
        <f t="shared" si="140"/>
        <v>8.4996304508499626E-2</v>
      </c>
      <c r="Z215" s="74">
        <f t="shared" si="140"/>
        <v>9.1660405709992482E-2</v>
      </c>
      <c r="AA215" s="74">
        <f t="shared" si="140"/>
        <v>9.071117561683599E-2</v>
      </c>
      <c r="AC215" s="74">
        <f>AA215</f>
        <v>9.071117561683599E-2</v>
      </c>
    </row>
    <row r="216" spans="2:29" x14ac:dyDescent="0.2">
      <c r="B216" s="231" t="s">
        <v>394</v>
      </c>
      <c r="M216" s="65">
        <f>M184/M212</f>
        <v>1.0131842105263158</v>
      </c>
      <c r="N216" s="65">
        <f t="shared" ref="N216:Q216" si="141">N184/N212</f>
        <v>0.79169911504424784</v>
      </c>
      <c r="O216" s="65">
        <f t="shared" si="141"/>
        <v>0.60951100244498779</v>
      </c>
      <c r="P216" s="65">
        <f t="shared" si="141"/>
        <v>0.51219216417910451</v>
      </c>
      <c r="Q216" s="65">
        <f t="shared" si="141"/>
        <v>0.65942928039702231</v>
      </c>
      <c r="T216" s="65">
        <f t="shared" ref="T216:AC216" si="142">T184/T212</f>
        <v>0.13868200836820083</v>
      </c>
      <c r="U216" s="65">
        <f t="shared" si="142"/>
        <v>0.13784688995215311</v>
      </c>
      <c r="V216" s="65">
        <f t="shared" si="142"/>
        <v>0.13332089552238807</v>
      </c>
      <c r="W216" s="65">
        <f t="shared" si="142"/>
        <v>0.14914095079232695</v>
      </c>
      <c r="X216" s="65">
        <f t="shared" si="142"/>
        <v>0.17549403747870529</v>
      </c>
      <c r="Y216" s="65">
        <f t="shared" si="142"/>
        <v>0.16978190630048465</v>
      </c>
      <c r="Z216" s="65">
        <f t="shared" si="142"/>
        <v>0.1672539288668321</v>
      </c>
      <c r="AA216" s="65">
        <f t="shared" si="142"/>
        <v>0.1645171588188348</v>
      </c>
      <c r="AC216" s="65">
        <f t="shared" si="142"/>
        <v>0.65807661612130885</v>
      </c>
    </row>
    <row r="217" spans="2:29" x14ac:dyDescent="0.2">
      <c r="B217" s="231" t="s">
        <v>395</v>
      </c>
      <c r="M217" s="74">
        <f>M186/M209</f>
        <v>0.72031250000000002</v>
      </c>
      <c r="N217" s="74">
        <f t="shared" ref="N217:Q217" si="143">N186/N209</f>
        <v>1.1373619631901841</v>
      </c>
      <c r="O217" s="74">
        <f t="shared" si="143"/>
        <v>1.2889591078066915</v>
      </c>
      <c r="P217" s="74">
        <f t="shared" si="143"/>
        <v>0.95439506172839506</v>
      </c>
      <c r="Q217" s="74">
        <f t="shared" si="143"/>
        <v>0.76810246679316885</v>
      </c>
      <c r="T217" s="74">
        <f t="shared" ref="T217:AC217" si="144">T186/T209</f>
        <v>0.29841642228739002</v>
      </c>
      <c r="U217" s="74">
        <f t="shared" si="144"/>
        <v>0.25298387096774194</v>
      </c>
      <c r="V217" s="74">
        <f t="shared" si="144"/>
        <v>0.2257283950617284</v>
      </c>
      <c r="W217" s="74">
        <f t="shared" si="144"/>
        <v>0.20261802575107296</v>
      </c>
      <c r="X217" s="74">
        <f t="shared" si="144"/>
        <v>0.21781970649895177</v>
      </c>
      <c r="Y217" s="74">
        <f t="shared" si="144"/>
        <v>0.21972277227722772</v>
      </c>
      <c r="Z217" s="74">
        <f t="shared" si="144"/>
        <v>0.18123339658444024</v>
      </c>
      <c r="AA217" s="74">
        <f t="shared" si="144"/>
        <v>0.14948672566371682</v>
      </c>
      <c r="AC217" s="74">
        <f t="shared" si="144"/>
        <v>0.69881415929203539</v>
      </c>
    </row>
    <row r="218" spans="2:29" x14ac:dyDescent="0.2">
      <c r="M218" s="62"/>
      <c r="N218" s="62"/>
      <c r="O218" s="62"/>
      <c r="P218" s="62"/>
      <c r="Q218" s="62"/>
      <c r="T218" s="62"/>
      <c r="U218" s="62"/>
      <c r="V218" s="62"/>
      <c r="W218" s="62"/>
      <c r="X218" s="62"/>
      <c r="Y218" s="62"/>
      <c r="Z218" s="62"/>
      <c r="AA218" s="62"/>
      <c r="AC218" s="62"/>
    </row>
    <row r="219" spans="2:29" x14ac:dyDescent="0.2">
      <c r="B219"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22"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283</v>
      </c>
    </row>
    <row r="4" spans="2:7" x14ac:dyDescent="0.2">
      <c r="B4" s="254" t="s">
        <v>242</v>
      </c>
      <c r="C4" s="254"/>
      <c r="E4" s="254" t="s">
        <v>249</v>
      </c>
      <c r="F4" s="254"/>
      <c r="G4" s="254"/>
    </row>
    <row r="5" spans="2:7" x14ac:dyDescent="0.2">
      <c r="B5" s="20" t="s">
        <v>1</v>
      </c>
      <c r="C5" s="174">
        <f ca="1">Overview!C5</f>
        <v>125.76</v>
      </c>
      <c r="E5" s="12"/>
      <c r="F5" s="134" t="s">
        <v>250</v>
      </c>
      <c r="G5" s="134" t="s">
        <v>251</v>
      </c>
    </row>
    <row r="6" spans="2:7" x14ac:dyDescent="0.2">
      <c r="B6" s="20" t="s">
        <v>248</v>
      </c>
      <c r="C6" s="175">
        <f ca="1">Statement!AC149</f>
        <v>6135453.1200000001</v>
      </c>
      <c r="E6" s="20" t="s">
        <v>20</v>
      </c>
      <c r="F6" s="180">
        <f>IF(Statement!M5&lt;=0,"N/A",_xlfn.RRI(4,Statement!M5,Statement!Q5))</f>
        <v>0.42622018562456243</v>
      </c>
      <c r="G6" s="180" t="str">
        <f>IF(Statement!H5&lt;=0,"N/A",_xlfn.RRI(9,Statement!H5,Statement!Q5))</f>
        <v>N/A</v>
      </c>
    </row>
    <row r="7" spans="2:7" x14ac:dyDescent="0.2">
      <c r="B7" s="20" t="s">
        <v>192</v>
      </c>
      <c r="C7" s="175">
        <f ca="1">Statement!AC150</f>
        <v>4743632.12</v>
      </c>
      <c r="E7" s="20" t="s">
        <v>32</v>
      </c>
      <c r="F7" s="180" t="str">
        <f>IF(OR(Statement!M18&lt;=0, Statement!Q18&lt;=0), "N/A", _xlfn.RRI(4, Statement!M18, Statement!Q18))</f>
        <v>N/A</v>
      </c>
      <c r="G7" s="180" t="str">
        <f>IF(OR(Statement!H18&lt;=0, Statement!Q18&lt;=0), "N/A", _xlfn.RRI(9, Statement!H18, Statement!Q18))</f>
        <v>N/A</v>
      </c>
    </row>
    <row r="8" spans="2:7" x14ac:dyDescent="0.2">
      <c r="B8" s="20" t="s">
        <v>246</v>
      </c>
      <c r="C8" s="176">
        <f ca="1">Statement!AC146</f>
        <v>37.090814138040948</v>
      </c>
      <c r="E8" s="20" t="s">
        <v>252</v>
      </c>
      <c r="F8" s="180" t="str">
        <f>IF(OR(Statement!M26&lt;=0, Statement!Q26&lt;=0), "N/A", _xlfn.RRI(4, Statement!M26, Statement!Q26))</f>
        <v>N/A</v>
      </c>
      <c r="G8" s="180" t="str">
        <f>IF(OR(Statement!H26&lt;=0, Statement!Q26&lt;=0), "N/A", _xlfn.RRI(9, Statement!H26, Statement!Q26))</f>
        <v>N/A</v>
      </c>
    </row>
    <row r="9" spans="2:7" x14ac:dyDescent="0.2">
      <c r="B9" s="20" t="s">
        <v>205</v>
      </c>
      <c r="C9" s="176">
        <f ca="1">Statement!AC147</f>
        <v>5.5922547639428393</v>
      </c>
      <c r="E9" s="20" t="s">
        <v>253</v>
      </c>
      <c r="F9" s="180" t="str">
        <f>IF(Statement!M82&lt;=0,"N/A",_xlfn.RRI(4,Statement!M82,Statement!Q82))</f>
        <v>N/A</v>
      </c>
      <c r="G9" s="180" t="str">
        <f>IF(Statement!H82&lt;=0,"N/A",_xlfn.RRI(9,Statement!H82,Statement!Q82))</f>
        <v>N/A</v>
      </c>
    </row>
    <row r="10" spans="2:7" x14ac:dyDescent="0.2">
      <c r="B10" s="20" t="s">
        <v>247</v>
      </c>
      <c r="C10" s="176">
        <f ca="1">Statement!AC148</f>
        <v>4.2101503415809001</v>
      </c>
      <c r="E10" s="20" t="s">
        <v>1</v>
      </c>
      <c r="F10" s="180">
        <f>IF(Statement!M117&lt;=0,"N/A",_xlfn.RRI(4,Statement!M117,Statement!Q117))</f>
        <v>0.12501940553033464</v>
      </c>
      <c r="G10" s="180" t="str">
        <f>IF(Statement!H117&lt;=0,"N/A",_xlfn.RRI(9,Statement!H117,Statement!Q117))</f>
        <v>N/A</v>
      </c>
    </row>
    <row r="11" spans="2:7" x14ac:dyDescent="0.2">
      <c r="B11" s="20" t="s">
        <v>269</v>
      </c>
      <c r="C11" s="176">
        <f ca="1">Statement!AC151</f>
        <v>4.3170513272049025</v>
      </c>
    </row>
    <row r="12" spans="2:7" x14ac:dyDescent="0.2">
      <c r="B12" s="20" t="s">
        <v>208</v>
      </c>
      <c r="C12" s="176">
        <f ca="1">Statement!AC152</f>
        <v>30.31016734503492</v>
      </c>
    </row>
    <row r="15" spans="2:7" x14ac:dyDescent="0.2">
      <c r="B15" s="254" t="s">
        <v>78</v>
      </c>
      <c r="C15" s="254"/>
      <c r="E15" s="254" t="s">
        <v>255</v>
      </c>
      <c r="F15" s="254"/>
    </row>
    <row r="16" spans="2:7" x14ac:dyDescent="0.2">
      <c r="B16" s="20" t="s">
        <v>79</v>
      </c>
      <c r="C16" s="177">
        <f>Statement!AC101</f>
        <v>0.72665412586127032</v>
      </c>
      <c r="E16" s="20" t="s">
        <v>32</v>
      </c>
      <c r="F16" s="175">
        <f>Statement!AC18</f>
        <v>165690</v>
      </c>
    </row>
    <row r="17" spans="2:6" x14ac:dyDescent="0.2">
      <c r="B17" s="20" t="s">
        <v>80</v>
      </c>
      <c r="C17" s="177">
        <f>Statement!AC102</f>
        <v>0.14242914854483885</v>
      </c>
      <c r="E17" s="20" t="s">
        <v>256</v>
      </c>
      <c r="F17" s="175">
        <f>Statement!AC59</f>
        <v>432963</v>
      </c>
    </row>
    <row r="18" spans="2:6" x14ac:dyDescent="0.2">
      <c r="B18" s="20" t="s">
        <v>81</v>
      </c>
      <c r="C18" s="177">
        <f>Statement!AC103</f>
        <v>0.15078998883340478</v>
      </c>
      <c r="E18" s="20" t="s">
        <v>263</v>
      </c>
      <c r="F18" s="179">
        <f>IF(OR(F16&lt;=0, F17&lt;=0),"N/A",F16-F17)</f>
        <v>-267273</v>
      </c>
    </row>
    <row r="21" spans="2:6" x14ac:dyDescent="0.2">
      <c r="B21" s="254" t="s">
        <v>254</v>
      </c>
      <c r="C21" s="254"/>
      <c r="E21" s="254" t="s">
        <v>258</v>
      </c>
      <c r="F21" s="254"/>
    </row>
    <row r="22" spans="2:6" x14ac:dyDescent="0.2">
      <c r="B22" s="20" t="s">
        <v>100</v>
      </c>
      <c r="C22" s="177">
        <f>Statement!AC121</f>
        <v>0.15078998883340478</v>
      </c>
      <c r="E22" s="20" t="s">
        <v>102</v>
      </c>
      <c r="F22" s="177">
        <f>C24</f>
        <v>8.0510438805944037E-2</v>
      </c>
    </row>
    <row r="23" spans="2:6" x14ac:dyDescent="0.2">
      <c r="B23" s="20" t="s">
        <v>101</v>
      </c>
      <c r="C23" s="176">
        <f>Statement!AC122</f>
        <v>0.53392429715538525</v>
      </c>
      <c r="E23" s="20" t="s">
        <v>104</v>
      </c>
      <c r="F23" s="177">
        <f>C26</f>
        <v>0.11905035623855768</v>
      </c>
    </row>
    <row r="24" spans="2:6" x14ac:dyDescent="0.2">
      <c r="B24" s="32" t="s">
        <v>102</v>
      </c>
      <c r="C24" s="178">
        <f>Statement!AC123</f>
        <v>8.0510438805944037E-2</v>
      </c>
      <c r="E24" s="20" t="s">
        <v>105</v>
      </c>
      <c r="F24" s="177">
        <f>Statement!AC136</f>
        <v>-2241.5620934999406</v>
      </c>
    </row>
    <row r="25" spans="2:6" x14ac:dyDescent="0.2">
      <c r="B25" s="20" t="s">
        <v>103</v>
      </c>
      <c r="C25" s="176">
        <f>Statement!AC124</f>
        <v>1.4786946637504634</v>
      </c>
    </row>
    <row r="26" spans="2:6" x14ac:dyDescent="0.2">
      <c r="B26" s="32" t="s">
        <v>104</v>
      </c>
      <c r="C26" s="178">
        <f>Statement!AC125</f>
        <v>0.11905035623855768</v>
      </c>
    </row>
    <row r="29" spans="2:6" x14ac:dyDescent="0.2">
      <c r="B29" s="254" t="s">
        <v>259</v>
      </c>
      <c r="C29" s="254"/>
      <c r="E29" s="254" t="s">
        <v>265</v>
      </c>
      <c r="F29" s="254"/>
    </row>
    <row r="30" spans="2:6" x14ac:dyDescent="0.2">
      <c r="B30" s="20" t="s">
        <v>143</v>
      </c>
      <c r="C30" s="176">
        <f>Statement!AC137</f>
        <v>41.550646015291044</v>
      </c>
      <c r="E30" s="20" t="s">
        <v>266</v>
      </c>
      <c r="F30" s="182">
        <f>Statement!AC141</f>
        <v>0</v>
      </c>
    </row>
    <row r="31" spans="2:6" x14ac:dyDescent="0.2">
      <c r="B31" s="20" t="s">
        <v>144</v>
      </c>
      <c r="C31" s="176">
        <f>Statement!AC138</f>
        <v>0</v>
      </c>
      <c r="E31" s="20" t="s">
        <v>267</v>
      </c>
      <c r="F31" s="182">
        <f>Statement!AC142</f>
        <v>-1.0000409552194194</v>
      </c>
    </row>
    <row r="32" spans="2:6" x14ac:dyDescent="0.2">
      <c r="B32" s="20" t="s">
        <v>145</v>
      </c>
      <c r="C32" s="176">
        <f>Statement!AC139</f>
        <v>9.0971713566567676</v>
      </c>
      <c r="E32" s="20" t="s">
        <v>262</v>
      </c>
      <c r="F32" s="182">
        <f>Statement!AC144</f>
        <v>2.6231009869120072</v>
      </c>
    </row>
    <row r="33" spans="2:6" x14ac:dyDescent="0.2">
      <c r="B33" s="20" t="s">
        <v>146</v>
      </c>
      <c r="C33" s="176">
        <f>Statement!AC140</f>
        <v>32.453474658634278</v>
      </c>
      <c r="E33" s="20" t="s">
        <v>261</v>
      </c>
      <c r="F33" s="182">
        <f>Statement!AC143</f>
        <v>2.6421703703445658</v>
      </c>
    </row>
    <row r="34" spans="2:6" x14ac:dyDescent="0.2">
      <c r="E34" s="20" t="s">
        <v>268</v>
      </c>
      <c r="F34" s="184" t="str">
        <f>Statement!AC145</f>
        <v>N/A</v>
      </c>
    </row>
    <row r="37" spans="2:6" x14ac:dyDescent="0.2">
      <c r="B37" s="254" t="s">
        <v>277</v>
      </c>
      <c r="C37" s="254"/>
      <c r="E37" s="254" t="s">
        <v>280</v>
      </c>
      <c r="F37" s="254"/>
    </row>
    <row r="38" spans="2:6" x14ac:dyDescent="0.2">
      <c r="B38" s="20" t="s">
        <v>275</v>
      </c>
      <c r="C38" s="177">
        <f ca="1">Statement!AC158</f>
        <v>2.6960853333612422E-2</v>
      </c>
      <c r="E38" s="20" t="s">
        <v>279</v>
      </c>
      <c r="F38" s="177">
        <f>Statement!AC164</f>
        <v>0</v>
      </c>
    </row>
    <row r="39" spans="2:6" x14ac:dyDescent="0.2">
      <c r="B39" s="54" t="s">
        <v>278</v>
      </c>
      <c r="C39" s="217">
        <f ca="1">Statement!AC157</f>
        <v>4.3050121129439907E-2</v>
      </c>
      <c r="E39" s="20" t="s">
        <v>281</v>
      </c>
      <c r="F39" s="177">
        <f>Statement!AC165</f>
        <v>9.2116820377689937E-2</v>
      </c>
    </row>
    <row r="40" spans="2:6" x14ac:dyDescent="0.2">
      <c r="B40" s="20" t="s">
        <v>276</v>
      </c>
      <c r="C40" s="177">
        <f ca="1">Statement!AC159</f>
        <v>0</v>
      </c>
      <c r="E40" s="20" t="s">
        <v>282</v>
      </c>
      <c r="F40" s="177">
        <f>Statement!AC166</f>
        <v>9.2116820377689937E-2</v>
      </c>
    </row>
    <row r="41" spans="2:6" x14ac:dyDescent="0.2">
      <c r="B41" s="20" t="s">
        <v>301</v>
      </c>
      <c r="C41" s="177">
        <f ca="1">Statement!AC160</f>
        <v>3.9656402753184107E-3</v>
      </c>
    </row>
    <row r="42" spans="2:6" x14ac:dyDescent="0.2">
      <c r="B42" s="20" t="s">
        <v>303</v>
      </c>
      <c r="C42" s="177">
        <f ca="1">Statement!AC161</f>
        <v>3.9656402753184107E-3</v>
      </c>
    </row>
    <row r="45" spans="2:6" x14ac:dyDescent="0.2">
      <c r="B45" s="254" t="s">
        <v>288</v>
      </c>
      <c r="C45" s="254"/>
      <c r="E45" s="254" t="s">
        <v>294</v>
      </c>
      <c r="F45" s="254"/>
    </row>
    <row r="46" spans="2:6" x14ac:dyDescent="0.2">
      <c r="B46" s="20" t="s">
        <v>286</v>
      </c>
      <c r="C46" s="177">
        <f>Statement!AC167</f>
        <v>0.14917908459220694</v>
      </c>
      <c r="E46" s="20" t="s">
        <v>287</v>
      </c>
      <c r="F46" s="176">
        <f>Statement!AC168</f>
        <v>29.871890627347454</v>
      </c>
    </row>
    <row r="47" spans="2:6" x14ac:dyDescent="0.2">
      <c r="E47" s="20" t="s">
        <v>295</v>
      </c>
      <c r="F47" s="176">
        <f>Statement!AC171</f>
        <v>29.871890627347454</v>
      </c>
    </row>
    <row r="48" spans="2:6" x14ac:dyDescent="0.2">
      <c r="E48" s="20" t="s">
        <v>300</v>
      </c>
      <c r="F48" s="177">
        <f ca="1">Statement!AC172</f>
        <v>0.22684893401972567</v>
      </c>
    </row>
    <row r="51" spans="2:6" x14ac:dyDescent="0.2">
      <c r="B51" s="254" t="s">
        <v>291</v>
      </c>
      <c r="C51" s="254"/>
      <c r="E51" s="254" t="s">
        <v>312</v>
      </c>
      <c r="F51" s="254"/>
    </row>
    <row r="52" spans="2:6" x14ac:dyDescent="0.2">
      <c r="B52" s="20" t="s">
        <v>289</v>
      </c>
      <c r="C52" s="177">
        <f>Statement!AC169</f>
        <v>0.3258153699045877</v>
      </c>
      <c r="E52" s="20" t="s">
        <v>313</v>
      </c>
      <c r="F52" s="177">
        <f>Statement!AC173</f>
        <v>2.5268175749649849E-2</v>
      </c>
    </row>
    <row r="53" spans="2:6" x14ac:dyDescent="0.2">
      <c r="B53" s="20" t="s">
        <v>290</v>
      </c>
      <c r="C53" s="177">
        <f>Statement!AC170</f>
        <v>0.12838035225284011</v>
      </c>
      <c r="E53" s="20" t="s">
        <v>310</v>
      </c>
      <c r="F53" s="177">
        <f>Statement!AC174</f>
        <v>6.4127881597272743E-2</v>
      </c>
    </row>
    <row r="54" spans="2:6" x14ac:dyDescent="0.2">
      <c r="E54" s="20" t="s">
        <v>311</v>
      </c>
      <c r="F54" s="177">
        <f>Statement!AC175</f>
        <v>1.8519877267876201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85"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242</v>
      </c>
      <c r="C5" s="14"/>
      <c r="D5" s="14"/>
      <c r="E5" s="14"/>
      <c r="F5" s="14"/>
      <c r="G5" s="14"/>
      <c r="I5" s="14"/>
    </row>
    <row r="6" spans="2:9" x14ac:dyDescent="0.2">
      <c r="B6" s="20" t="s">
        <v>1</v>
      </c>
      <c r="C6" s="174">
        <f>Statement!M116</f>
        <v>110.58</v>
      </c>
      <c r="D6" s="174">
        <f>Statement!N116</f>
        <v>71.13</v>
      </c>
      <c r="E6" s="174">
        <f>Statement!O116</f>
        <v>226.85</v>
      </c>
      <c r="F6" s="174">
        <f>Statement!P116</f>
        <v>325.2</v>
      </c>
      <c r="G6" s="174">
        <f>Statement!Q116</f>
        <v>177.14</v>
      </c>
      <c r="I6" s="174">
        <f ca="1">Statement!AC116</f>
        <v>125.76</v>
      </c>
    </row>
    <row r="7" spans="2:9" x14ac:dyDescent="0.2">
      <c r="B7" s="20" t="s">
        <v>248</v>
      </c>
      <c r="C7" s="175">
        <f>Statement!M149</f>
        <v>4271152.5</v>
      </c>
      <c r="D7" s="175">
        <f>Statement!N149</f>
        <v>2890438.6799999997</v>
      </c>
      <c r="E7" s="175">
        <f>Statement!O149</f>
        <v>10876776.949999999</v>
      </c>
      <c r="F7" s="175">
        <f>Statement!P149</f>
        <v>15882768</v>
      </c>
      <c r="G7" s="175">
        <f>Statement!Q149</f>
        <v>8845485.8999999985</v>
      </c>
      <c r="I7" s="175">
        <f ca="1">Statement!AC149</f>
        <v>6135453.1200000001</v>
      </c>
    </row>
    <row r="8" spans="2:9" x14ac:dyDescent="0.2">
      <c r="B8" s="20" t="s">
        <v>192</v>
      </c>
      <c r="C8" s="175">
        <f>Statement!M150</f>
        <v>3717230.5</v>
      </c>
      <c r="D8" s="175">
        <f>Statement!N150</f>
        <v>2282258.6799999997</v>
      </c>
      <c r="E8" s="175">
        <f>Statement!O150</f>
        <v>10129166.949999999</v>
      </c>
      <c r="F8" s="175">
        <f>Statement!P150</f>
        <v>14906831</v>
      </c>
      <c r="G8" s="175">
        <f>Statement!Q150</f>
        <v>7569920.8999999985</v>
      </c>
      <c r="I8" s="175">
        <f ca="1">Statement!AC150</f>
        <v>4743632.12</v>
      </c>
    </row>
    <row r="9" spans="2:9" x14ac:dyDescent="0.2">
      <c r="B9" s="20" t="s">
        <v>246</v>
      </c>
      <c r="C9" s="176">
        <f>Statement!M146</f>
        <v>-43.027237354085607</v>
      </c>
      <c r="D9" s="176">
        <f>Statement!N146</f>
        <v>-47.105960264900659</v>
      </c>
      <c r="E9" s="176">
        <f>Statement!O146</f>
        <v>648.14285714285722</v>
      </c>
      <c r="F9" s="176">
        <f>Statement!P146</f>
        <v>172.97872340425533</v>
      </c>
      <c r="G9" s="176">
        <f>Statement!Q146</f>
        <v>54.387136595124169</v>
      </c>
      <c r="I9" s="176">
        <f ca="1">Statement!AC146</f>
        <v>37.090814138040948</v>
      </c>
    </row>
    <row r="10" spans="2:9" x14ac:dyDescent="0.2">
      <c r="B10" s="20" t="s">
        <v>205</v>
      </c>
      <c r="C10" s="176">
        <f>Statement!M147</f>
        <v>10.332976329095752</v>
      </c>
      <c r="D10" s="176">
        <f>Statement!N147</f>
        <v>7.5982113425080167</v>
      </c>
      <c r="E10" s="176">
        <f>Statement!O147</f>
        <v>19.870715239244674</v>
      </c>
      <c r="F10" s="176">
        <f>Statement!P147</f>
        <v>20.476943520528753</v>
      </c>
      <c r="G10" s="176">
        <f>Statement!Q147</f>
        <v>8.2485760260485748</v>
      </c>
      <c r="I10" s="176">
        <f ca="1">Statement!AC147</f>
        <v>5.5922547639428393</v>
      </c>
    </row>
    <row r="11" spans="2:9" x14ac:dyDescent="0.2">
      <c r="B11" s="20" t="s">
        <v>247</v>
      </c>
      <c r="C11" s="176">
        <f>Statement!M148</f>
        <v>8.3249245696376217</v>
      </c>
      <c r="D11" s="176">
        <f>Statement!N148</f>
        <v>5.3321453370179199</v>
      </c>
      <c r="E11" s="176">
        <f>Statement!O148</f>
        <v>14.838147615335446</v>
      </c>
      <c r="F11" s="176">
        <f>Statement!P148</f>
        <v>17.843700927778787</v>
      </c>
      <c r="G11" s="176">
        <f>Statement!Q148</f>
        <v>6.2334065327103216</v>
      </c>
      <c r="I11" s="176">
        <f ca="1">Statement!AC148</f>
        <v>4.2101503415809001</v>
      </c>
    </row>
    <row r="12" spans="2:9" x14ac:dyDescent="0.2">
      <c r="B12" s="20" t="s">
        <v>269</v>
      </c>
      <c r="C12" s="176">
        <f>Statement!M151</f>
        <v>14.823148118609733</v>
      </c>
      <c r="D12" s="176">
        <f>Statement!N151</f>
        <v>6.1766970595001274</v>
      </c>
      <c r="E12" s="176">
        <f>Statement!O151</f>
        <v>19.07172906126614</v>
      </c>
      <c r="F12" s="176">
        <f>Statement!P151</f>
        <v>19.928279039175212</v>
      </c>
      <c r="G12" s="176">
        <f>Statement!Q151</f>
        <v>7.2956834546241316</v>
      </c>
      <c r="I12" s="176">
        <f ca="1">Statement!AC151</f>
        <v>4.3170513272049025</v>
      </c>
    </row>
    <row r="13" spans="2:9" x14ac:dyDescent="0.2">
      <c r="B13" s="20" t="s">
        <v>208</v>
      </c>
      <c r="C13" s="176">
        <f>Statement!M152</f>
        <v>-61.946614561634476</v>
      </c>
      <c r="D13" s="176">
        <f>Statement!N152</f>
        <v>-35.006652043868392</v>
      </c>
      <c r="E13" s="176">
        <f>Statement!O152</f>
        <v>-763.94652311637378</v>
      </c>
      <c r="F13" s="176">
        <f>Statement!P152</f>
        <v>238.14731208562984</v>
      </c>
      <c r="G13" s="176">
        <f>Statement!Q152</f>
        <v>55.837728848565305</v>
      </c>
      <c r="I13" s="176">
        <f ca="1">Statement!AC152</f>
        <v>30.31016734503492</v>
      </c>
    </row>
    <row r="15" spans="2:9" ht="17" thickBot="1" x14ac:dyDescent="0.25">
      <c r="B15" s="14" t="s">
        <v>78</v>
      </c>
      <c r="C15" s="14"/>
      <c r="D15" s="14"/>
      <c r="E15" s="14"/>
      <c r="F15" s="14"/>
      <c r="G15" s="14"/>
      <c r="I15" s="14"/>
    </row>
    <row r="16" spans="2:9" x14ac:dyDescent="0.2">
      <c r="B16" s="20" t="s">
        <v>79</v>
      </c>
      <c r="C16" s="177">
        <f>Statement!M101</f>
        <v>0.72410795463608379</v>
      </c>
      <c r="D16" s="177">
        <f>Statement!N101</f>
        <v>0.73090028281844144</v>
      </c>
      <c r="E16" s="177">
        <f>Statement!O101</f>
        <v>0.7324372209847696</v>
      </c>
      <c r="F16" s="177">
        <f>Statement!P101</f>
        <v>0.72775606130284587</v>
      </c>
      <c r="G16" s="177">
        <f>Statement!Q101</f>
        <v>0.7223062310799363</v>
      </c>
      <c r="I16" s="177">
        <f>Statement!AC101</f>
        <v>0.72665412586127032</v>
      </c>
    </row>
    <row r="17" spans="2:9" x14ac:dyDescent="0.2">
      <c r="B17" s="20" t="s">
        <v>80</v>
      </c>
      <c r="C17" s="177">
        <f>Statement!M102</f>
        <v>-0.23928907533536439</v>
      </c>
      <c r="D17" s="177">
        <f>Statement!N102</f>
        <v>-0.17644352426961121</v>
      </c>
      <c r="E17" s="177">
        <f>Statement!O102</f>
        <v>-2.4964743583708805E-2</v>
      </c>
      <c r="F17" s="177">
        <f>Statement!P102</f>
        <v>8.3680470145342925E-2</v>
      </c>
      <c r="G17" s="177">
        <f>Statement!Q102</f>
        <v>0.13065867120796384</v>
      </c>
      <c r="I17" s="177">
        <f>Statement!AC102</f>
        <v>0.14242914854483885</v>
      </c>
    </row>
    <row r="18" spans="2:9" x14ac:dyDescent="0.2">
      <c r="B18" s="20" t="s">
        <v>81</v>
      </c>
      <c r="C18" s="177">
        <f>Statement!M103</f>
        <v>-0.2397994991466352</v>
      </c>
      <c r="D18" s="177">
        <f>Statement!N103</f>
        <v>-0.16123086915925791</v>
      </c>
      <c r="E18" s="177">
        <f>Statement!O103</f>
        <v>3.0251793887883655E-2</v>
      </c>
      <c r="F18" s="177">
        <f>Statement!P103</f>
        <v>0.11841063923082681</v>
      </c>
      <c r="G18" s="177">
        <f>Statement!Q103</f>
        <v>0.15166409821229793</v>
      </c>
      <c r="I18" s="177">
        <f>Statement!AC103</f>
        <v>0.15078998883340478</v>
      </c>
    </row>
    <row r="20" spans="2:9" ht="17" thickBot="1" x14ac:dyDescent="0.25">
      <c r="B20" s="14" t="s">
        <v>255</v>
      </c>
      <c r="C20" s="14"/>
      <c r="D20" s="14"/>
      <c r="E20" s="14"/>
      <c r="F20" s="14"/>
      <c r="G20" s="14"/>
      <c r="I20" s="14"/>
    </row>
    <row r="21" spans="2:9" x14ac:dyDescent="0.2">
      <c r="B21" s="20" t="s">
        <v>32</v>
      </c>
      <c r="C21" s="179">
        <f>Statement!M18</f>
        <v>-60135</v>
      </c>
      <c r="D21" s="179">
        <f>Statement!N18</f>
        <v>-59574</v>
      </c>
      <c r="E21" s="179">
        <f>Statement!O18</f>
        <v>16067</v>
      </c>
      <c r="F21" s="179">
        <f>Statement!P18</f>
        <v>88574</v>
      </c>
      <c r="G21" s="179">
        <f>Statement!Q18</f>
        <v>157365</v>
      </c>
      <c r="I21" s="179">
        <f>Statement!AC18</f>
        <v>165690</v>
      </c>
    </row>
    <row r="22" spans="2:9" x14ac:dyDescent="0.2">
      <c r="B22" s="20" t="s">
        <v>256</v>
      </c>
      <c r="C22" s="179">
        <f>Statement!M59</f>
        <v>9170</v>
      </c>
      <c r="D22" s="179">
        <f>Statement!N59</f>
        <v>53656</v>
      </c>
      <c r="E22" s="179">
        <f>Statement!O59</f>
        <v>153614</v>
      </c>
      <c r="F22" s="179">
        <f>Statement!P59</f>
        <v>285513</v>
      </c>
      <c r="G22" s="179">
        <f>Statement!Q59</f>
        <v>387823</v>
      </c>
      <c r="I22" s="179">
        <f>Statement!AC59</f>
        <v>432963</v>
      </c>
    </row>
    <row r="23" spans="2:9" x14ac:dyDescent="0.2">
      <c r="B23" s="20" t="s">
        <v>263</v>
      </c>
      <c r="C23" s="197" t="str">
        <f>IF(OR(C21&lt;=0, C22&lt;=0),"N/A",C21-C22)</f>
        <v>N/A</v>
      </c>
      <c r="D23" s="197" t="str">
        <f t="shared" ref="D23:I23" si="0">IF(OR(D21&lt;=0, D22&lt;=0),"N/A",D21-D22)</f>
        <v>N/A</v>
      </c>
      <c r="E23" s="197">
        <f t="shared" si="0"/>
        <v>-137547</v>
      </c>
      <c r="F23" s="197">
        <f t="shared" si="0"/>
        <v>-196939</v>
      </c>
      <c r="G23" s="197">
        <f t="shared" si="0"/>
        <v>-230458</v>
      </c>
      <c r="I23" s="197">
        <f t="shared" si="0"/>
        <v>-267273</v>
      </c>
    </row>
    <row r="25" spans="2:9" ht="17" thickBot="1" x14ac:dyDescent="0.25">
      <c r="B25" s="14" t="s">
        <v>254</v>
      </c>
      <c r="C25" s="14"/>
      <c r="D25" s="14"/>
      <c r="E25" s="14"/>
      <c r="F25" s="14"/>
      <c r="G25" s="14"/>
      <c r="I25" s="14"/>
    </row>
    <row r="26" spans="2:9" x14ac:dyDescent="0.2">
      <c r="B26" s="20" t="s">
        <v>100</v>
      </c>
      <c r="C26" s="177">
        <f>Statement!M121</f>
        <v>-0.2397994991466352</v>
      </c>
      <c r="D26" s="177">
        <f>Statement!N121</f>
        <v>-0.16123086915925791</v>
      </c>
      <c r="E26" s="177">
        <f>Statement!O121</f>
        <v>3.0251793887883655E-2</v>
      </c>
      <c r="F26" s="177">
        <f>Statement!P121</f>
        <v>0.11841063923082681</v>
      </c>
      <c r="G26" s="177">
        <f>Statement!Q121</f>
        <v>0.15166409821229793</v>
      </c>
      <c r="I26" s="177">
        <f>Statement!AC121</f>
        <v>0.15078998883340478</v>
      </c>
    </row>
    <row r="27" spans="2:9" x14ac:dyDescent="0.2">
      <c r="B27" s="20" t="s">
        <v>101</v>
      </c>
      <c r="C27" s="216">
        <f>Statement!M122</f>
        <v>0.37920433804972242</v>
      </c>
      <c r="D27" s="216">
        <f>Statement!N122</f>
        <v>0.49440888904350994</v>
      </c>
      <c r="E27" s="216">
        <f>Statement!O122</f>
        <v>0.55674312364184131</v>
      </c>
      <c r="F27" s="216">
        <f>Statement!P122</f>
        <v>0.57463924875242756</v>
      </c>
      <c r="G27" s="216">
        <f>Statement!Q122</f>
        <v>0.52083042613576469</v>
      </c>
      <c r="I27" s="216">
        <f>Statement!AC122</f>
        <v>0.53392429715538525</v>
      </c>
    </row>
    <row r="28" spans="2:9" x14ac:dyDescent="0.2">
      <c r="B28" s="32" t="s">
        <v>102</v>
      </c>
      <c r="C28" s="178">
        <f>Statement!M123</f>
        <v>-9.0933010338554776E-2</v>
      </c>
      <c r="D28" s="178">
        <f>Statement!N123</f>
        <v>-7.9713974900548212E-2</v>
      </c>
      <c r="E28" s="178">
        <f>Statement!O123</f>
        <v>1.6842478224909509E-2</v>
      </c>
      <c r="F28" s="178">
        <f>Statement!P123</f>
        <v>6.804340077189705E-2</v>
      </c>
      <c r="G28" s="178">
        <f>Statement!Q123</f>
        <v>7.89912769014076E-2</v>
      </c>
      <c r="I28" s="178">
        <f>Statement!AC123</f>
        <v>8.0510438805944037E-2</v>
      </c>
    </row>
    <row r="29" spans="2:9" x14ac:dyDescent="0.2">
      <c r="B29" s="20" t="s">
        <v>103</v>
      </c>
      <c r="C29" s="216">
        <f>Statement!M124</f>
        <v>1.2889645574752073</v>
      </c>
      <c r="D29" s="216">
        <f>Statement!N124</f>
        <v>1.3786705972203261</v>
      </c>
      <c r="E29" s="216">
        <f>Statement!O124</f>
        <v>1.4553097554389696</v>
      </c>
      <c r="F29" s="216">
        <f>Statement!P124</f>
        <v>1.5787132375234976</v>
      </c>
      <c r="G29" s="216">
        <f>Statement!Q124</f>
        <v>1.4789703980531639</v>
      </c>
      <c r="I29" s="216">
        <f>Statement!AC124</f>
        <v>1.4786946637504634</v>
      </c>
    </row>
    <row r="30" spans="2:9" x14ac:dyDescent="0.2">
      <c r="B30" s="32" t="s">
        <v>104</v>
      </c>
      <c r="C30" s="178">
        <f>Statement!M125</f>
        <v>-0.1172094274309237</v>
      </c>
      <c r="D30" s="178">
        <f>Statement!N125</f>
        <v>-0.1098993133829449</v>
      </c>
      <c r="E30" s="178">
        <f>Statement!O125</f>
        <v>2.4511022866479229E-2</v>
      </c>
      <c r="F30" s="178">
        <f>Statement!P125</f>
        <v>0.10742101752471045</v>
      </c>
      <c r="G30" s="178">
        <f>Statement!Q125</f>
        <v>0.11682576024160249</v>
      </c>
      <c r="I30" s="178">
        <f>Statement!AC125</f>
        <v>0.11905035623855768</v>
      </c>
    </row>
    <row r="32" spans="2:9" ht="17" thickBot="1" x14ac:dyDescent="0.25">
      <c r="B32" s="14" t="s">
        <v>314</v>
      </c>
      <c r="C32" s="14"/>
      <c r="D32" s="14"/>
      <c r="E32" s="14"/>
      <c r="F32" s="14"/>
      <c r="G32" s="14"/>
      <c r="I32" s="14"/>
    </row>
    <row r="33" spans="2:9" x14ac:dyDescent="0.2">
      <c r="B33" s="20" t="s">
        <v>102</v>
      </c>
      <c r="C33" s="177">
        <f>C28</f>
        <v>-9.0933010338554776E-2</v>
      </c>
      <c r="D33" s="177">
        <f t="shared" ref="D33:G33" si="1">D28</f>
        <v>-7.9713974900548212E-2</v>
      </c>
      <c r="E33" s="177">
        <f t="shared" si="1"/>
        <v>1.6842478224909509E-2</v>
      </c>
      <c r="F33" s="177">
        <f t="shared" si="1"/>
        <v>6.804340077189705E-2</v>
      </c>
      <c r="G33" s="177">
        <f t="shared" si="1"/>
        <v>7.89912769014076E-2</v>
      </c>
      <c r="I33" s="177">
        <f>I28</f>
        <v>8.0510438805944037E-2</v>
      </c>
    </row>
    <row r="34" spans="2:9" x14ac:dyDescent="0.2">
      <c r="B34" s="20" t="s">
        <v>104</v>
      </c>
      <c r="C34" s="177">
        <f>C30</f>
        <v>-0.1172094274309237</v>
      </c>
      <c r="D34" s="177">
        <f t="shared" ref="D34:G34" si="2">D30</f>
        <v>-0.1098993133829449</v>
      </c>
      <c r="E34" s="177">
        <f t="shared" si="2"/>
        <v>2.4511022866479229E-2</v>
      </c>
      <c r="F34" s="177">
        <f t="shared" si="2"/>
        <v>0.10742101752471045</v>
      </c>
      <c r="G34" s="177">
        <f t="shared" si="2"/>
        <v>0.11682576024160249</v>
      </c>
      <c r="I34" s="177">
        <f>I30</f>
        <v>0.11905035623855768</v>
      </c>
    </row>
    <row r="35" spans="2:9" x14ac:dyDescent="0.2">
      <c r="B35" s="20" t="s">
        <v>105</v>
      </c>
      <c r="C35" s="177">
        <f>Statement!M136</f>
        <v>1.4683844760925953</v>
      </c>
      <c r="D35" s="177">
        <f>Statement!N136</f>
        <v>0.98627878127741975</v>
      </c>
      <c r="E35" s="177">
        <f>Statement!O136</f>
        <v>0.14394901692559903</v>
      </c>
      <c r="F35" s="177">
        <f>Statement!P136</f>
        <v>-0.35797789840320271</v>
      </c>
      <c r="G35" s="177">
        <f>Statement!Q136</f>
        <v>1.6371013770230809</v>
      </c>
      <c r="I35" s="177">
        <f>Statement!AC136</f>
        <v>-2241.5620934999406</v>
      </c>
    </row>
    <row r="37" spans="2:9" ht="17" thickBot="1" x14ac:dyDescent="0.25">
      <c r="B37" s="14" t="s">
        <v>259</v>
      </c>
      <c r="C37" s="14"/>
      <c r="D37" s="14"/>
      <c r="E37" s="14"/>
      <c r="F37" s="14"/>
      <c r="G37" s="14"/>
      <c r="I37" s="14"/>
    </row>
    <row r="38" spans="2:9" x14ac:dyDescent="0.2">
      <c r="B38" s="20" t="s">
        <v>143</v>
      </c>
      <c r="C38" s="176">
        <f>Statement!M137</f>
        <v>48.268925557877274</v>
      </c>
      <c r="D38" s="176">
        <f>Statement!N137</f>
        <v>46.15954207770065</v>
      </c>
      <c r="E38" s="176">
        <f>Statement!O137</f>
        <v>61.147288033153274</v>
      </c>
      <c r="F38" s="176">
        <f>Statement!P137</f>
        <v>62.908268986021838</v>
      </c>
      <c r="G38" s="176">
        <f>Statement!Q137</f>
        <v>57.278802107578244</v>
      </c>
      <c r="I38" s="176">
        <f>Statement!AC137</f>
        <v>41.550646015291044</v>
      </c>
    </row>
    <row r="39" spans="2:9" x14ac:dyDescent="0.2">
      <c r="B39" s="20" t="s">
        <v>144</v>
      </c>
      <c r="C39" s="176">
        <f>Statement!M138</f>
        <v>0</v>
      </c>
      <c r="D39" s="176">
        <f>Statement!N138</f>
        <v>0</v>
      </c>
      <c r="E39" s="176">
        <f>Statement!O138</f>
        <v>0</v>
      </c>
      <c r="F39" s="176">
        <f>Statement!P138</f>
        <v>0</v>
      </c>
      <c r="G39" s="176">
        <f>Statement!Q138</f>
        <v>0</v>
      </c>
      <c r="I39" s="176">
        <f>Statement!AC138</f>
        <v>0</v>
      </c>
    </row>
    <row r="40" spans="2:9" x14ac:dyDescent="0.2">
      <c r="B40" s="20" t="s">
        <v>145</v>
      </c>
      <c r="C40" s="176">
        <f>Statement!M139</f>
        <v>41.244905038591625</v>
      </c>
      <c r="D40" s="176">
        <f>Statement!N139</f>
        <v>4.3206344097917153</v>
      </c>
      <c r="E40" s="176">
        <f>Statement!O139</f>
        <v>6.28517645403047</v>
      </c>
      <c r="F40" s="176">
        <f>Statement!P139</f>
        <v>11.436887721279676</v>
      </c>
      <c r="G40" s="176">
        <f>Statement!Q139</f>
        <v>10.131710466036401</v>
      </c>
      <c r="I40" s="176">
        <f>Statement!AC139</f>
        <v>9.0971713566567676</v>
      </c>
    </row>
    <row r="41" spans="2:9" x14ac:dyDescent="0.2">
      <c r="B41" s="20" t="s">
        <v>146</v>
      </c>
      <c r="C41" s="176">
        <f>Statement!M140</f>
        <v>7.0240205192856493</v>
      </c>
      <c r="D41" s="176">
        <f>Statement!N140</f>
        <v>41.838907667908934</v>
      </c>
      <c r="E41" s="176">
        <f>Statement!O140</f>
        <v>54.862111579122804</v>
      </c>
      <c r="F41" s="176">
        <f>Statement!P140</f>
        <v>51.471381264742163</v>
      </c>
      <c r="G41" s="176">
        <f>Statement!Q140</f>
        <v>47.147091641541842</v>
      </c>
      <c r="I41" s="176">
        <f>Statement!AC140</f>
        <v>32.453474658634278</v>
      </c>
    </row>
    <row r="43" spans="2:9" ht="17" thickBot="1" x14ac:dyDescent="0.25">
      <c r="B43" s="14" t="s">
        <v>265</v>
      </c>
      <c r="C43" s="14"/>
      <c r="D43" s="14"/>
      <c r="E43" s="14"/>
      <c r="F43" s="14"/>
      <c r="G43" s="14"/>
      <c r="I43" s="14"/>
    </row>
    <row r="44" spans="2:9" x14ac:dyDescent="0.2">
      <c r="B44" s="20" t="s">
        <v>266</v>
      </c>
      <c r="C44" s="182">
        <f>Statement!M141</f>
        <v>0</v>
      </c>
      <c r="D44" s="182">
        <f>Statement!N141</f>
        <v>0</v>
      </c>
      <c r="E44" s="182">
        <f>Statement!O141</f>
        <v>0</v>
      </c>
      <c r="F44" s="182">
        <f>Statement!P141</f>
        <v>0</v>
      </c>
      <c r="G44" s="182">
        <f>Statement!Q141</f>
        <v>0</v>
      </c>
      <c r="I44" s="182">
        <f>Statement!AC141</f>
        <v>0</v>
      </c>
    </row>
    <row r="45" spans="2:9" x14ac:dyDescent="0.2">
      <c r="B45" s="20" t="s">
        <v>267</v>
      </c>
      <c r="C45" s="182">
        <f>Statement!M142</f>
        <v>-1.0796521237447765</v>
      </c>
      <c r="D45" s="182">
        <f>Statement!N142</f>
        <v>-1.1219418607654248</v>
      </c>
      <c r="E45" s="182">
        <f>Statement!O142</f>
        <v>-1.1405169481053423</v>
      </c>
      <c r="F45" s="182">
        <f>Statement!P142</f>
        <v>-1.1835995391425627</v>
      </c>
      <c r="G45" s="182">
        <f>Statement!Q142</f>
        <v>-0.94696311671959887</v>
      </c>
      <c r="I45" s="182">
        <f>Statement!AC142</f>
        <v>-1.0000409552194194</v>
      </c>
    </row>
    <row r="46" spans="2:9" x14ac:dyDescent="0.2">
      <c r="B46" s="20" t="s">
        <v>261</v>
      </c>
      <c r="C46" s="182">
        <f>Statement!M143</f>
        <v>4.9280623851054726</v>
      </c>
      <c r="D46" s="182">
        <f>Statement!N143</f>
        <v>3.603028069055819</v>
      </c>
      <c r="E46" s="182">
        <f>Statement!O143</f>
        <v>3.0162206791124957</v>
      </c>
      <c r="F46" s="182">
        <f>Statement!P143</f>
        <v>2.6167192839938327</v>
      </c>
      <c r="G46" s="182">
        <f>Statement!Q143</f>
        <v>2.6098107949225979</v>
      </c>
      <c r="I46" s="182">
        <f>Statement!AC143</f>
        <v>2.6421703703445658</v>
      </c>
    </row>
    <row r="47" spans="2:9" x14ac:dyDescent="0.2">
      <c r="B47" s="20" t="s">
        <v>262</v>
      </c>
      <c r="C47" s="182">
        <f>Statement!M144</f>
        <v>5.1982355558167059</v>
      </c>
      <c r="D47" s="182">
        <f>Statement!N144</f>
        <v>3.8356073193006393</v>
      </c>
      <c r="E47" s="182">
        <f>Statement!O144</f>
        <v>3.2369178185908667</v>
      </c>
      <c r="F47" s="182">
        <f>Statement!P144</f>
        <v>2.6089699714137522</v>
      </c>
      <c r="G47" s="182">
        <f>Statement!Q144</f>
        <v>2.6065702860211775</v>
      </c>
      <c r="I47" s="182">
        <f>Statement!AC144</f>
        <v>2.6231009869120072</v>
      </c>
    </row>
    <row r="48" spans="2:9" x14ac:dyDescent="0.2">
      <c r="B48" s="20" t="s">
        <v>268</v>
      </c>
      <c r="C48" s="184" t="str">
        <f>Statement!M145</f>
        <v>N/A</v>
      </c>
      <c r="D48" s="184" t="str">
        <f>Statement!N145</f>
        <v>N/A</v>
      </c>
      <c r="E48" s="184" t="str">
        <f>Statement!O145</f>
        <v>N/A</v>
      </c>
      <c r="F48" s="184" t="str">
        <f>Statement!P145</f>
        <v>N/A</v>
      </c>
      <c r="G48" s="184" t="str">
        <f>Statement!Q145</f>
        <v>N/A</v>
      </c>
      <c r="I48" s="184" t="str">
        <f>Statement!AC145</f>
        <v>N/A</v>
      </c>
    </row>
    <row r="50" spans="2:9" ht="17" thickBot="1" x14ac:dyDescent="0.25">
      <c r="B50" s="14" t="s">
        <v>277</v>
      </c>
      <c r="C50" s="14"/>
      <c r="D50" s="14"/>
      <c r="E50" s="14"/>
      <c r="F50" s="14"/>
      <c r="G50" s="14"/>
      <c r="I50" s="14"/>
    </row>
    <row r="51" spans="2:9" x14ac:dyDescent="0.2">
      <c r="B51" s="20" t="s">
        <v>275</v>
      </c>
      <c r="C51" s="177">
        <f>Statement!M158</f>
        <v>-2.3241092421776088E-2</v>
      </c>
      <c r="D51" s="177">
        <f>Statement!N158</f>
        <v>-2.1228736116968933E-2</v>
      </c>
      <c r="E51" s="177">
        <f>Statement!O158</f>
        <v>1.5428697377121445E-3</v>
      </c>
      <c r="F51" s="177">
        <f>Statement!P158</f>
        <v>5.7810578105781055E-3</v>
      </c>
      <c r="G51" s="177">
        <f>Statement!Q158</f>
        <v>1.838670065394931E-2</v>
      </c>
      <c r="I51" s="177">
        <f ca="1">Statement!AC158</f>
        <v>2.6960853333612422E-2</v>
      </c>
    </row>
    <row r="52" spans="2:9" x14ac:dyDescent="0.2">
      <c r="B52" s="20" t="s">
        <v>278</v>
      </c>
      <c r="C52" s="177">
        <f>Statement!M157</f>
        <v>-8.8594354802363062E-3</v>
      </c>
      <c r="D52" s="177">
        <f>Statement!N157</f>
        <v>-1.0478686231807555E-2</v>
      </c>
      <c r="E52" s="177">
        <f>Statement!O157</f>
        <v>4.1105007674171346E-3</v>
      </c>
      <c r="F52" s="177">
        <f>Statement!P157</f>
        <v>9.6894949293473281E-3</v>
      </c>
      <c r="G52" s="177">
        <f>Statement!Q157</f>
        <v>2.5209129551605529E-2</v>
      </c>
      <c r="I52" s="177">
        <f ca="1">Statement!AC157</f>
        <v>4.3050121129439907E-2</v>
      </c>
    </row>
    <row r="53" spans="2:9" x14ac:dyDescent="0.2">
      <c r="B53" s="20" t="s">
        <v>276</v>
      </c>
      <c r="C53" s="177">
        <f>Statement!M159</f>
        <v>0</v>
      </c>
      <c r="D53" s="177">
        <f>Statement!N159</f>
        <v>0</v>
      </c>
      <c r="E53" s="177">
        <f>Statement!O159</f>
        <v>0</v>
      </c>
      <c r="F53" s="177">
        <f>Statement!P159</f>
        <v>0</v>
      </c>
      <c r="G53" s="177">
        <f>Statement!Q159</f>
        <v>0</v>
      </c>
      <c r="I53" s="177">
        <f ca="1">Statement!AC159</f>
        <v>0</v>
      </c>
    </row>
    <row r="54" spans="2:9" x14ac:dyDescent="0.2">
      <c r="B54" s="20" t="s">
        <v>301</v>
      </c>
      <c r="C54" s="177">
        <f>Statement!M160</f>
        <v>2.0322383712592795E-4</v>
      </c>
      <c r="D54" s="177">
        <f>Statement!N160</f>
        <v>0</v>
      </c>
      <c r="E54" s="177">
        <f>Statement!O160</f>
        <v>0</v>
      </c>
      <c r="F54" s="177">
        <f>Statement!P160</f>
        <v>0</v>
      </c>
      <c r="G54" s="177">
        <f>Statement!Q160</f>
        <v>0</v>
      </c>
      <c r="I54" s="177">
        <f ca="1">Statement!AC160</f>
        <v>3.9656402753184107E-3</v>
      </c>
    </row>
    <row r="55" spans="2:9" x14ac:dyDescent="0.2">
      <c r="B55" s="20" t="s">
        <v>303</v>
      </c>
      <c r="C55" s="177">
        <f>Statement!M161</f>
        <v>2.0322383712592795E-4</v>
      </c>
      <c r="D55" s="177">
        <f>Statement!N161</f>
        <v>0</v>
      </c>
      <c r="E55" s="177">
        <f>Statement!O161</f>
        <v>0</v>
      </c>
      <c r="F55" s="177">
        <f>Statement!P161</f>
        <v>0</v>
      </c>
      <c r="G55" s="177">
        <f>Statement!Q161</f>
        <v>0</v>
      </c>
      <c r="I55" s="177">
        <f ca="1">Statement!AC161</f>
        <v>3.9656402753184107E-3</v>
      </c>
    </row>
    <row r="57" spans="2:9" ht="17" thickBot="1" x14ac:dyDescent="0.25">
      <c r="B57" s="14" t="s">
        <v>280</v>
      </c>
      <c r="C57" s="14"/>
      <c r="D57" s="14"/>
      <c r="E57" s="14"/>
      <c r="F57" s="14"/>
      <c r="G57" s="14"/>
      <c r="I57" s="14"/>
    </row>
    <row r="58" spans="2:9" x14ac:dyDescent="0.2">
      <c r="B58" s="20" t="s">
        <v>279</v>
      </c>
      <c r="C58" s="177">
        <f>Statement!M164</f>
        <v>0</v>
      </c>
      <c r="D58" s="177">
        <f>Statement!N164</f>
        <v>0</v>
      </c>
      <c r="E58" s="177">
        <f>Statement!O164</f>
        <v>0</v>
      </c>
      <c r="F58" s="177">
        <f>Statement!P164</f>
        <v>0</v>
      </c>
      <c r="G58" s="177">
        <f>Statement!Q164</f>
        <v>0</v>
      </c>
      <c r="I58" s="177">
        <f>Statement!AC164</f>
        <v>0</v>
      </c>
    </row>
    <row r="59" spans="2:9" x14ac:dyDescent="0.2">
      <c r="B59" s="20" t="s">
        <v>281</v>
      </c>
      <c r="C59" s="177">
        <f>Statement!M165</f>
        <v>-2.2938689217758986E-2</v>
      </c>
      <c r="D59" s="177">
        <f>Statement!N165</f>
        <v>0</v>
      </c>
      <c r="E59" s="177">
        <f>Statement!O165</f>
        <v>0</v>
      </c>
      <c r="F59" s="177">
        <f>Statement!P165</f>
        <v>0</v>
      </c>
      <c r="G59" s="177">
        <f>Statement!Q165</f>
        <v>0</v>
      </c>
      <c r="I59" s="177">
        <f>Statement!AC165</f>
        <v>9.2116820377689937E-2</v>
      </c>
    </row>
    <row r="60" spans="2:9" x14ac:dyDescent="0.2">
      <c r="B60" s="20" t="s">
        <v>282</v>
      </c>
      <c r="C60" s="177">
        <f>Statement!M166</f>
        <v>-2.2938689217758986E-2</v>
      </c>
      <c r="D60" s="177">
        <f>Statement!N166</f>
        <v>0</v>
      </c>
      <c r="E60" s="177">
        <f>Statement!O166</f>
        <v>0</v>
      </c>
      <c r="F60" s="177">
        <f>Statement!P166</f>
        <v>0</v>
      </c>
      <c r="G60" s="177">
        <f>Statement!Q166</f>
        <v>0</v>
      </c>
      <c r="I60" s="177">
        <f>Statement!AC166</f>
        <v>9.2116820377689937E-2</v>
      </c>
    </row>
    <row r="62" spans="2:9" ht="17" thickBot="1" x14ac:dyDescent="0.25">
      <c r="B62" s="14" t="s">
        <v>288</v>
      </c>
      <c r="C62" s="14"/>
      <c r="D62" s="14"/>
      <c r="E62" s="14"/>
      <c r="F62" s="14"/>
      <c r="G62" s="14"/>
      <c r="I62" s="14"/>
    </row>
    <row r="63" spans="2:9" x14ac:dyDescent="0.2">
      <c r="B63" s="20" t="s">
        <v>286</v>
      </c>
      <c r="C63" s="177">
        <f>Statement!M167</f>
        <v>0.22397411003236245</v>
      </c>
      <c r="D63" s="177">
        <f>Statement!N167</f>
        <v>0.20043803523968895</v>
      </c>
      <c r="E63" s="177">
        <f>Statement!O167</f>
        <v>0.16445241620956472</v>
      </c>
      <c r="F63" s="177">
        <f>Statement!P167</f>
        <v>0.14582309582309583</v>
      </c>
      <c r="G63" s="177">
        <f>Statement!Q167</f>
        <v>0.14574947431661159</v>
      </c>
      <c r="I63" s="177">
        <f>Statement!AC167</f>
        <v>0.14917908459220694</v>
      </c>
    </row>
    <row r="65" spans="2:9" ht="17" thickBot="1" x14ac:dyDescent="0.25">
      <c r="B65" s="14" t="s">
        <v>294</v>
      </c>
      <c r="C65" s="14"/>
      <c r="D65" s="14"/>
      <c r="E65" s="14"/>
      <c r="F65" s="14"/>
      <c r="G65" s="14"/>
      <c r="I65" s="14"/>
    </row>
    <row r="66" spans="2:9" x14ac:dyDescent="0.2">
      <c r="B66" s="20" t="s">
        <v>287</v>
      </c>
      <c r="C66" s="176">
        <f>Statement!M168</f>
        <v>14.341022653721684</v>
      </c>
      <c r="D66" s="176">
        <f>Statement!N168</f>
        <v>14.966532138990058</v>
      </c>
      <c r="E66" s="176">
        <f>Statement!O168</f>
        <v>17.436561246384922</v>
      </c>
      <c r="F66" s="176">
        <f>Statement!P168</f>
        <v>21.571005459408084</v>
      </c>
      <c r="G66" s="176">
        <f>Statement!Q168</f>
        <v>26.910654008438819</v>
      </c>
      <c r="I66" s="176">
        <f>Statement!AC168</f>
        <v>29.871890627347454</v>
      </c>
    </row>
    <row r="67" spans="2:9" x14ac:dyDescent="0.2">
      <c r="B67" s="20" t="s">
        <v>295</v>
      </c>
      <c r="C67" s="176">
        <f>Statement!M171</f>
        <v>14.341022653721684</v>
      </c>
      <c r="D67" s="176">
        <f>Statement!N171</f>
        <v>14.966532138990058</v>
      </c>
      <c r="E67" s="176">
        <f>Statement!O171</f>
        <v>17.436561246384922</v>
      </c>
      <c r="F67" s="176">
        <f>Statement!P171</f>
        <v>21.571005459408084</v>
      </c>
      <c r="G67" s="176">
        <f>Statement!Q171</f>
        <v>26.910654008438819</v>
      </c>
      <c r="I67" s="176">
        <f>Statement!AC171</f>
        <v>29.871890627347454</v>
      </c>
    </row>
    <row r="68" spans="2:9" x14ac:dyDescent="0.2">
      <c r="B68" s="20" t="s">
        <v>300</v>
      </c>
      <c r="C68" s="198">
        <f>Statement!M172</f>
        <v>0.12968911786689893</v>
      </c>
      <c r="D68" s="198">
        <f>Statement!N172</f>
        <v>0.21041096779122817</v>
      </c>
      <c r="E68" s="198">
        <f>Statement!O172</f>
        <v>6.873451606452223E-2</v>
      </c>
      <c r="F68" s="198">
        <f>Statement!P172</f>
        <v>6.144627938908382E-2</v>
      </c>
      <c r="G68" s="198">
        <f>Statement!Q172</f>
        <v>0.14420519284305233</v>
      </c>
      <c r="I68" s="198">
        <f ca="1">Statement!AC172</f>
        <v>0.22684893401972567</v>
      </c>
    </row>
    <row r="70" spans="2:9" ht="17" thickBot="1" x14ac:dyDescent="0.25">
      <c r="B70" s="14" t="s">
        <v>315</v>
      </c>
      <c r="C70" s="14"/>
      <c r="D70" s="14"/>
      <c r="E70" s="14"/>
      <c r="F70" s="14"/>
      <c r="G70" s="14"/>
      <c r="I70" s="14"/>
    </row>
    <row r="71" spans="2:9" x14ac:dyDescent="0.2">
      <c r="B71" s="20" t="s">
        <v>289</v>
      </c>
      <c r="C71" s="177">
        <f>Statement!M169</f>
        <v>4.4497273718647765</v>
      </c>
      <c r="D71" s="177">
        <f>Statement!N169</f>
        <v>1.3758014015207991</v>
      </c>
      <c r="E71" s="177">
        <f>Statement!O169</f>
        <v>0.61987188667699555</v>
      </c>
      <c r="F71" s="177">
        <f>Statement!P169</f>
        <v>0.38694210070995017</v>
      </c>
      <c r="G71" s="177">
        <f>Statement!Q169</f>
        <v>0.35438073554172911</v>
      </c>
      <c r="I71" s="177">
        <f>Statement!AC169</f>
        <v>0.3258153699045877</v>
      </c>
    </row>
    <row r="72" spans="2:9" x14ac:dyDescent="0.2">
      <c r="B72" s="20" t="s">
        <v>290</v>
      </c>
      <c r="C72" s="177">
        <f>Statement!M170</f>
        <v>0.16271354058666837</v>
      </c>
      <c r="D72" s="177">
        <f>Statement!N170</f>
        <v>0.19978619467110514</v>
      </c>
      <c r="E72" s="177">
        <f>Statement!O170</f>
        <v>0.1792871143211657</v>
      </c>
      <c r="F72" s="177">
        <f>Statement!P170</f>
        <v>0.14769178529031154</v>
      </c>
      <c r="G72" s="177">
        <f>Statement!Q170</f>
        <v>0.13245803492519678</v>
      </c>
      <c r="I72" s="177">
        <f>Statement!AC170</f>
        <v>0.12838035225284011</v>
      </c>
    </row>
    <row r="74" spans="2:9" ht="17" thickBot="1" x14ac:dyDescent="0.25">
      <c r="B74" s="14" t="s">
        <v>316</v>
      </c>
      <c r="C74" s="14"/>
      <c r="D74" s="14"/>
      <c r="E74" s="14"/>
      <c r="F74" s="14"/>
      <c r="G74" s="14"/>
      <c r="I74" s="14"/>
    </row>
    <row r="75" spans="2:9" x14ac:dyDescent="0.2">
      <c r="B75" s="20" t="s">
        <v>313</v>
      </c>
      <c r="C75" s="177">
        <f>Statement!M173</f>
        <v>2.474757947458249E-2</v>
      </c>
      <c r="D75" s="177">
        <f>Statement!N173</f>
        <v>2.7399558857359368E-2</v>
      </c>
      <c r="E75" s="177">
        <f>Statement!O173</f>
        <v>2.5764955969490255E-2</v>
      </c>
      <c r="F75" s="177">
        <f>Statement!P173</f>
        <v>2.8261125311487331E-2</v>
      </c>
      <c r="G75" s="177">
        <f>Statement!Q173</f>
        <v>2.6406409474271603E-2</v>
      </c>
      <c r="I75" s="177">
        <f>Statement!AC173</f>
        <v>2.5268175749649849E-2</v>
      </c>
    </row>
    <row r="76" spans="2:9" x14ac:dyDescent="0.2">
      <c r="B76" s="20" t="s">
        <v>310</v>
      </c>
      <c r="C76" s="177">
        <f>Statement!M174</f>
        <v>0.67677208287895307</v>
      </c>
      <c r="D76" s="177">
        <f>Statement!N174</f>
        <v>0.188683465036529</v>
      </c>
      <c r="E76" s="177">
        <f>Statement!O174</f>
        <v>8.9080422357337222E-2</v>
      </c>
      <c r="F76" s="177">
        <f>Statement!P174</f>
        <v>7.4042162703624709E-2</v>
      </c>
      <c r="G76" s="177">
        <f>Statement!Q174</f>
        <v>7.0648208074301944E-2</v>
      </c>
      <c r="I76" s="177">
        <f>Statement!AC174</f>
        <v>6.4127881597272743E-2</v>
      </c>
    </row>
    <row r="77" spans="2:9" x14ac:dyDescent="0.2">
      <c r="B77" s="20" t="s">
        <v>311</v>
      </c>
      <c r="C77" s="177">
        <f>Statement!M175</f>
        <v>2.2765957446808511</v>
      </c>
      <c r="D77" s="177">
        <f>Statement!N175</f>
        <v>2.0788501026694046</v>
      </c>
      <c r="E77" s="177">
        <f>Statement!O175</f>
        <v>1.9286821705426356</v>
      </c>
      <c r="F77" s="177">
        <f>Statement!P175</f>
        <v>1.9476690620969228</v>
      </c>
      <c r="G77" s="177">
        <f>Statement!Q175</f>
        <v>1.9038982697519282</v>
      </c>
      <c r="I77" s="177">
        <f>Statement!AC175</f>
        <v>1.8519877267876201</v>
      </c>
    </row>
    <row r="79" spans="2:9" ht="17" thickBot="1" x14ac:dyDescent="0.25">
      <c r="B79" s="14" t="s">
        <v>122</v>
      </c>
      <c r="C79" s="14"/>
      <c r="D79" s="14"/>
      <c r="E79" s="14"/>
      <c r="F79" s="14"/>
      <c r="G79" s="14"/>
      <c r="I79" s="14"/>
    </row>
    <row r="80" spans="2:9" x14ac:dyDescent="0.2">
      <c r="B80" s="20" t="s">
        <v>20</v>
      </c>
      <c r="C80" s="177">
        <f>Statement!M89</f>
        <v>1</v>
      </c>
      <c r="D80" s="177">
        <f>Statement!N89</f>
        <v>0.47343004801173977</v>
      </c>
      <c r="E80" s="177">
        <f>Statement!O89</f>
        <v>0.43739157498748293</v>
      </c>
      <c r="F80" s="177">
        <f>Statement!P89</f>
        <v>0.40841898743948984</v>
      </c>
      <c r="G80" s="177">
        <f>Statement!Q89</f>
        <v>0.38710656342577243</v>
      </c>
      <c r="I80" s="199"/>
    </row>
    <row r="81" spans="2:9" x14ac:dyDescent="0.2">
      <c r="B81" s="20" t="s">
        <v>21</v>
      </c>
      <c r="C81" s="177">
        <f>Statement!M90</f>
        <v>1</v>
      </c>
      <c r="D81" s="177">
        <f>Statement!N90</f>
        <v>0.43715491573439713</v>
      </c>
      <c r="E81" s="177">
        <f>Statement!O90</f>
        <v>0.42918204584083436</v>
      </c>
      <c r="F81" s="177">
        <f>Statement!P90</f>
        <v>0.43306006122233559</v>
      </c>
      <c r="G81" s="177">
        <f>Statement!Q90</f>
        <v>0.41487392275774021</v>
      </c>
      <c r="I81" s="199"/>
    </row>
    <row r="82" spans="2:9" x14ac:dyDescent="0.2">
      <c r="B82" s="20" t="s">
        <v>22</v>
      </c>
      <c r="C82" s="177">
        <f>Statement!M91</f>
        <v>1</v>
      </c>
      <c r="D82" s="177">
        <f>Statement!N91</f>
        <v>0.48725121980769442</v>
      </c>
      <c r="E82" s="177">
        <f>Statement!O91</f>
        <v>0.44041412405948221</v>
      </c>
      <c r="F82" s="177">
        <f>Statement!P91</f>
        <v>0.39941748670964822</v>
      </c>
      <c r="G82" s="177">
        <f>Statement!Q91</f>
        <v>0.37671916073176959</v>
      </c>
      <c r="I82" s="199"/>
    </row>
    <row r="83" spans="2:9" x14ac:dyDescent="0.2">
      <c r="B83" s="20" t="s">
        <v>26</v>
      </c>
      <c r="C83" s="177">
        <f>Statement!M95</f>
        <v>1</v>
      </c>
      <c r="D83" s="177">
        <f>Statement!N95</f>
        <v>0.38770163042803391</v>
      </c>
      <c r="E83" s="177">
        <f>Statement!O95</f>
        <v>0.19985742366349599</v>
      </c>
      <c r="F83" s="177">
        <f>Statement!P95</f>
        <v>0.19768410219184962</v>
      </c>
      <c r="G83" s="177">
        <f>Statement!Q95</f>
        <v>0.27419549009514638</v>
      </c>
      <c r="I83" s="199"/>
    </row>
    <row r="84" spans="2:9" x14ac:dyDescent="0.2">
      <c r="B84" s="20" t="s">
        <v>317</v>
      </c>
      <c r="C84" s="177">
        <f>Statement!M96</f>
        <v>-1</v>
      </c>
      <c r="D84" s="177">
        <f>Statement!N96</f>
        <v>-8.6456580065659011E-2</v>
      </c>
      <c r="E84" s="177">
        <f>Statement!O96</f>
        <v>0.79662550809111132</v>
      </c>
      <c r="F84" s="177">
        <f>Statement!P96</f>
        <v>5.7209442642733235</v>
      </c>
      <c r="G84" s="177">
        <f>Statement!Q96</f>
        <v>1.1658279415288761</v>
      </c>
      <c r="I84" s="199"/>
    </row>
    <row r="85" spans="2:9" x14ac:dyDescent="0.2">
      <c r="B85" s="20" t="s">
        <v>318</v>
      </c>
      <c r="C85" s="177">
        <f>Statement!M98</f>
        <v>-1</v>
      </c>
      <c r="D85" s="177">
        <f>Statement!N98</f>
        <v>9.3290097281117489E-3</v>
      </c>
      <c r="E85" s="177">
        <f>Statement!O98</f>
        <v>1.2696981904857825</v>
      </c>
      <c r="F85" s="177">
        <f>Statement!P98</f>
        <v>4.512790191074874</v>
      </c>
      <c r="G85" s="177">
        <f>Statement!Q98</f>
        <v>0.77665003274098499</v>
      </c>
      <c r="I85" s="199"/>
    </row>
    <row r="88" spans="2:9" ht="17" thickBot="1" x14ac:dyDescent="0.25">
      <c r="B88" s="14" t="s">
        <v>319</v>
      </c>
      <c r="C88" s="14"/>
      <c r="D88" s="14"/>
      <c r="E88" s="14"/>
      <c r="F88" s="14"/>
      <c r="G88" s="14"/>
      <c r="I88" s="14"/>
    </row>
    <row r="89" spans="2:9" x14ac:dyDescent="0.2">
      <c r="B89" s="20" t="str">
        <f>Statement!B191&amp;" Revenue"</f>
        <v>Subscription Revenue</v>
      </c>
      <c r="C89" s="177">
        <f>Statement!M191</f>
        <v>1</v>
      </c>
      <c r="D89" s="177">
        <f>Statement!N191</f>
        <v>0.51361387508439493</v>
      </c>
      <c r="E89" s="177">
        <f>Statement!O191</f>
        <v>0.47961112512659637</v>
      </c>
      <c r="F89" s="177">
        <f>Statement!P191</f>
        <v>0.50124788724041469</v>
      </c>
      <c r="G89" s="177">
        <f>Statement!Q191</f>
        <v>0.43769124538500914</v>
      </c>
      <c r="I89" s="199"/>
    </row>
    <row r="90" spans="2:9" x14ac:dyDescent="0.2">
      <c r="B90" s="20" t="str">
        <f>Statement!B192&amp;" Revenue"</f>
        <v>Advertising Revenue</v>
      </c>
      <c r="C90" s="177">
        <f>Statement!M192</f>
        <v>1</v>
      </c>
      <c r="D90" s="177">
        <f>Statement!N192</f>
        <v>0.161813978857692</v>
      </c>
      <c r="E90" s="177">
        <f>Statement!O192</f>
        <v>0.11461849723905122</v>
      </c>
      <c r="F90" s="177">
        <f>Statement!P192</f>
        <v>0.10126759998395443</v>
      </c>
      <c r="G90" s="177">
        <f>Statement!Q192</f>
        <v>0.45200065565410602</v>
      </c>
      <c r="I90" s="199"/>
    </row>
    <row r="91" spans="2:9" x14ac:dyDescent="0.2">
      <c r="B91" s="20" t="str">
        <f>Statement!B193&amp;" Revenue"</f>
        <v>English test Revenue</v>
      </c>
      <c r="C91" s="177">
        <f>Statement!M193</f>
        <v>1</v>
      </c>
      <c r="D91" s="177">
        <f>Statement!N193</f>
        <v>0.32687160353637762</v>
      </c>
      <c r="E91" s="177">
        <f>Statement!O193</f>
        <v>0.25961244574851766</v>
      </c>
      <c r="F91" s="177">
        <f>Statement!P193</f>
        <v>0.107444433660099</v>
      </c>
      <c r="G91" s="177">
        <f>Statement!Q193</f>
        <v>-7.9623137598597724E-2</v>
      </c>
      <c r="I91" s="199"/>
    </row>
    <row r="92" spans="2:9" x14ac:dyDescent="0.2">
      <c r="B92" s="20" t="str">
        <f>Statement!B194&amp;" Revenue"</f>
        <v>In-App purchases Revenue</v>
      </c>
      <c r="C92" s="177">
        <f>Statement!M194</f>
        <v>1</v>
      </c>
      <c r="D92" s="177">
        <f>Statement!N194</f>
        <v>1.6809833694866232</v>
      </c>
      <c r="E92" s="177">
        <f>Statement!O194</f>
        <v>0.87027347753384754</v>
      </c>
      <c r="F92" s="177">
        <f>Statement!P194</f>
        <v>0.11478672165662042</v>
      </c>
      <c r="G92" s="177">
        <f>Statement!Q194</f>
        <v>4.7240835122758909E-2</v>
      </c>
      <c r="I92" s="199"/>
    </row>
    <row r="93" spans="2:9" x14ac:dyDescent="0.2">
      <c r="B93" s="20" t="str">
        <f>Statement!B195&amp;" Revenue"</f>
        <v>Other Revenue</v>
      </c>
      <c r="C93" s="177">
        <f>Statement!M195</f>
        <v>1</v>
      </c>
      <c r="D93" s="177">
        <f>Statement!N195</f>
        <v>6.9113924050632916</v>
      </c>
      <c r="E93" s="177">
        <f>Statement!O195</f>
        <v>9.1200000000000003E-2</v>
      </c>
      <c r="F93" s="177">
        <f>Statement!P195</f>
        <v>0.89589442815249265</v>
      </c>
      <c r="G93" s="177">
        <f>Statement!Q195</f>
        <v>0.49806651198762569</v>
      </c>
      <c r="I93" s="199"/>
    </row>
    <row r="95" spans="2:9" ht="17" thickBot="1" x14ac:dyDescent="0.25">
      <c r="B95" s="14" t="s">
        <v>321</v>
      </c>
      <c r="C95" s="14"/>
      <c r="D95" s="14"/>
      <c r="E95" s="14"/>
      <c r="F95" s="14"/>
      <c r="G95" s="14"/>
      <c r="I95" s="14"/>
    </row>
    <row r="96" spans="2:9" x14ac:dyDescent="0.2">
      <c r="B96" s="20" t="s">
        <v>293</v>
      </c>
      <c r="C96" s="177">
        <f>Statement!M199</f>
        <v>0</v>
      </c>
      <c r="D96" s="177">
        <f>Statement!N199</f>
        <v>0</v>
      </c>
      <c r="E96" s="177">
        <f>Statement!O199</f>
        <v>0</v>
      </c>
      <c r="F96" s="177">
        <f>Statement!P199</f>
        <v>0</v>
      </c>
      <c r="G96" s="177">
        <f>Statement!Q199</f>
        <v>0</v>
      </c>
      <c r="I96"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topLeftCell="A18"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7" t="s">
        <v>322</v>
      </c>
      <c r="D3" s="258"/>
      <c r="F3" s="259" t="s">
        <v>323</v>
      </c>
      <c r="G3" s="258"/>
    </row>
    <row r="4" spans="2:7" x14ac:dyDescent="0.2">
      <c r="B4" s="8"/>
      <c r="C4" s="10" t="str">
        <f>Statement!Z2</f>
        <v>31.12.2025</v>
      </c>
      <c r="D4" s="205" t="str">
        <f>Statement!AA2</f>
        <v>31.03.2026</v>
      </c>
      <c r="F4" s="206" t="str">
        <f>Statement!W2</f>
        <v>31.03.2025</v>
      </c>
      <c r="G4" s="205" t="str">
        <f>Statement!AA2</f>
        <v>31.03.2026</v>
      </c>
    </row>
    <row r="5" spans="2:7" x14ac:dyDescent="0.2">
      <c r="B5" s="8" t="s">
        <v>328</v>
      </c>
      <c r="C5" s="10" t="str">
        <f>Statement!Z3</f>
        <v>Q4 2025</v>
      </c>
      <c r="D5" s="205" t="str">
        <f>Statement!AA3</f>
        <v>Q1 2026</v>
      </c>
      <c r="F5" s="206" t="str">
        <f>Statement!W3</f>
        <v>Q1 2025</v>
      </c>
      <c r="G5" s="205" t="str">
        <f>Statement!AA3</f>
        <v>Q1 2026</v>
      </c>
    </row>
    <row r="6" spans="2:7" x14ac:dyDescent="0.2">
      <c r="B6" s="207" t="s">
        <v>20</v>
      </c>
      <c r="C6" s="201">
        <f>Statement!Z5</f>
        <v>282868</v>
      </c>
      <c r="D6" s="200">
        <f>Statement!AA5</f>
        <v>291967</v>
      </c>
      <c r="F6" s="201">
        <f>Statement!W5</f>
        <v>230743</v>
      </c>
      <c r="G6" s="200">
        <f>Statement!AA5</f>
        <v>291967</v>
      </c>
    </row>
    <row r="7" spans="2:7" x14ac:dyDescent="0.2">
      <c r="B7" s="208" t="s">
        <v>324</v>
      </c>
      <c r="C7" s="255">
        <f>Statement!AA89</f>
        <v>3.2166947127281985E-2</v>
      </c>
      <c r="D7" s="256"/>
      <c r="F7" s="255">
        <f>IF(F6=0,
IF(G6=0,0,IF(G6&gt;0,1,-1)),
(G6-F6)/ABS(F6)
)</f>
        <v>0.26533415964948015</v>
      </c>
      <c r="G7" s="256"/>
    </row>
    <row r="8" spans="2:7" x14ac:dyDescent="0.2">
      <c r="B8" s="209" t="s">
        <v>21</v>
      </c>
      <c r="C8" s="202">
        <f>Statement!Z6</f>
        <v>76999</v>
      </c>
      <c r="D8" s="200">
        <f>Statement!AA6</f>
        <v>78871</v>
      </c>
      <c r="F8" s="202">
        <f>Statement!W6</f>
        <v>66647</v>
      </c>
      <c r="G8" s="200">
        <f>Statement!AA6</f>
        <v>78871</v>
      </c>
    </row>
    <row r="9" spans="2:7" x14ac:dyDescent="0.2">
      <c r="B9" s="208" t="s">
        <v>324</v>
      </c>
      <c r="C9" s="255">
        <f>Statement!AA90</f>
        <v>2.4312004052000676E-2</v>
      </c>
      <c r="D9" s="256"/>
      <c r="F9" s="255">
        <f>IF(F8=0,
IF(G8=0,0,IF(G8&gt;0,1,-1)),
(G8-F8)/ABS(F8)
)</f>
        <v>0.18341410716161269</v>
      </c>
      <c r="G9" s="256"/>
    </row>
    <row r="10" spans="2:7" x14ac:dyDescent="0.2">
      <c r="B10" s="209" t="s">
        <v>22</v>
      </c>
      <c r="C10" s="202">
        <f>Statement!Z7</f>
        <v>205869</v>
      </c>
      <c r="D10" s="200">
        <f>Statement!AA7</f>
        <v>213096</v>
      </c>
      <c r="F10" s="202">
        <f>Statement!W7</f>
        <v>164096</v>
      </c>
      <c r="G10" s="200">
        <f>Statement!AA7</f>
        <v>213096</v>
      </c>
    </row>
    <row r="11" spans="2:7" x14ac:dyDescent="0.2">
      <c r="B11" s="208" t="s">
        <v>324</v>
      </c>
      <c r="C11" s="255">
        <f>Statement!AA91</f>
        <v>3.5104848228727975E-2</v>
      </c>
      <c r="D11" s="256"/>
      <c r="F11" s="255">
        <f>IF(F10=0,
IF(G10=0,0,IF(G10&gt;0,1,-1)),
(G10-F10)/ABS(F10)
)</f>
        <v>0.29860569422776911</v>
      </c>
      <c r="G11" s="256"/>
    </row>
    <row r="12" spans="2:7" x14ac:dyDescent="0.2">
      <c r="B12" s="209" t="s">
        <v>26</v>
      </c>
      <c r="C12" s="202">
        <f>Statement!Z11</f>
        <v>162415</v>
      </c>
      <c r="D12" s="200">
        <f>Statement!AA11</f>
        <v>168569</v>
      </c>
      <c r="F12" s="202">
        <f>Statement!W11</f>
        <v>140502</v>
      </c>
      <c r="G12" s="200">
        <f>Statement!AA11</f>
        <v>168569</v>
      </c>
    </row>
    <row r="13" spans="2:7" x14ac:dyDescent="0.2">
      <c r="B13" s="208" t="s">
        <v>324</v>
      </c>
      <c r="C13" s="255">
        <f>Statement!AA95</f>
        <v>3.7890588923436871E-2</v>
      </c>
      <c r="D13" s="256"/>
      <c r="F13" s="255">
        <f>IF(F12=0,
IF(G12=0,0,IF(G12&gt;0,1,-1)),
(G12-F12)/ABS(F12)
)</f>
        <v>0.19976228096397206</v>
      </c>
      <c r="G13" s="256"/>
    </row>
    <row r="14" spans="2:7" x14ac:dyDescent="0.2">
      <c r="B14" s="209" t="s">
        <v>325</v>
      </c>
      <c r="C14" s="202">
        <f>Statement!Z12</f>
        <v>43454</v>
      </c>
      <c r="D14" s="200">
        <f>Statement!AA12</f>
        <v>44527</v>
      </c>
      <c r="F14" s="202">
        <f>Statement!W12</f>
        <v>23594</v>
      </c>
      <c r="G14" s="200">
        <f>Statement!AA12</f>
        <v>44527</v>
      </c>
    </row>
    <row r="15" spans="2:7" x14ac:dyDescent="0.2">
      <c r="B15" s="208" t="s">
        <v>324</v>
      </c>
      <c r="C15" s="255">
        <f>Statement!AA96</f>
        <v>2.4692778570442307E-2</v>
      </c>
      <c r="D15" s="256"/>
      <c r="F15" s="255">
        <f>IF(F14=0,
IF(G14=0,0,IF(G14&gt;0,1,-1)),
(G14-F14)/ABS(F14)
)</f>
        <v>0.88721708909044672</v>
      </c>
      <c r="G15" s="256"/>
    </row>
    <row r="16" spans="2:7" x14ac:dyDescent="0.2">
      <c r="B16" s="209" t="s">
        <v>32</v>
      </c>
      <c r="C16" s="202">
        <f>Statement!Z18</f>
        <v>41954</v>
      </c>
      <c r="D16" s="200">
        <f>Statement!AA18</f>
        <v>43460</v>
      </c>
      <c r="F16" s="202">
        <f>Statement!W18</f>
        <v>35135</v>
      </c>
      <c r="G16" s="200">
        <f>Statement!AA18</f>
        <v>43460</v>
      </c>
    </row>
    <row r="17" spans="2:7" x14ac:dyDescent="0.2">
      <c r="B17" s="208" t="s">
        <v>324</v>
      </c>
      <c r="C17" s="255">
        <f>Statement!AA98</f>
        <v>3.5896458025456456E-2</v>
      </c>
      <c r="D17" s="256"/>
      <c r="F17" s="255">
        <f>IF(F16=0,
IF(G16=0,0,IF(G16&gt;0,1,-1)),
(G16-F16)/ABS(F16)
)</f>
        <v>0.23694321901238083</v>
      </c>
      <c r="G17" s="256"/>
    </row>
    <row r="18" spans="2:7" x14ac:dyDescent="0.2">
      <c r="B18" s="209" t="s">
        <v>326</v>
      </c>
      <c r="C18" s="202">
        <f>Statement!Z22</f>
        <v>48315.63593932322</v>
      </c>
      <c r="D18" s="200">
        <f>Statement!AA22</f>
        <v>48987</v>
      </c>
      <c r="F18" s="202">
        <f>Statement!W22</f>
        <v>48497</v>
      </c>
      <c r="G18" s="200">
        <f>Statement!AA22</f>
        <v>48987</v>
      </c>
    </row>
    <row r="19" spans="2:7" x14ac:dyDescent="0.2">
      <c r="B19" s="208" t="s">
        <v>324</v>
      </c>
      <c r="C19" s="255">
        <f>IF(C18=0,
IF(D18=0,0,IF(D18&gt;0,1,-1)),
(D18-C18)/ABS(C18)
)</f>
        <v>1.3895378744883068E-2</v>
      </c>
      <c r="D19" s="256"/>
      <c r="F19" s="255">
        <f>IF(F18=0,
IF(G18=0,0,IF(G18&gt;0,1,-1)),
(G18-F18)/ABS(F18)
)</f>
        <v>1.0103717755737469E-2</v>
      </c>
      <c r="G19" s="256"/>
    </row>
    <row r="20" spans="2:7" x14ac:dyDescent="0.2">
      <c r="B20" s="209" t="s">
        <v>39</v>
      </c>
      <c r="C20" s="203">
        <f>Statement!Z26</f>
        <v>0.86833173535556019</v>
      </c>
      <c r="D20" s="204">
        <f>Statement!AA26</f>
        <v>0.89</v>
      </c>
      <c r="F20" s="203">
        <f>Statement!W26</f>
        <v>0.72</v>
      </c>
      <c r="G20" s="204">
        <f>Statement!AA26</f>
        <v>0.89</v>
      </c>
    </row>
    <row r="21" spans="2:7" x14ac:dyDescent="0.2">
      <c r="B21" s="208" t="s">
        <v>324</v>
      </c>
      <c r="C21" s="255">
        <f>IF(C20=0,
IF(D20=0,0,IF(D20&gt;0,1,-1)),
(D20-C20)/ABS(C20)
)</f>
        <v>2.4953901558794477E-2</v>
      </c>
      <c r="D21" s="256"/>
      <c r="F21" s="255">
        <f>IF(F20=0,
IF(G20=0,0,IF(G20&gt;0,1,-1)),
(G20-F20)/ABS(F20)
)</f>
        <v>0.23611111111111119</v>
      </c>
      <c r="G21" s="256"/>
    </row>
    <row r="23" spans="2:7" x14ac:dyDescent="0.2">
      <c r="B23" s="8" t="s">
        <v>327</v>
      </c>
      <c r="C23" s="10" t="str">
        <f>C5</f>
        <v>Q4 2025</v>
      </c>
      <c r="D23" s="205" t="str">
        <f>D5</f>
        <v>Q1 2026</v>
      </c>
      <c r="F23" s="206" t="str">
        <f>F5</f>
        <v>Q1 2025</v>
      </c>
      <c r="G23" s="205" t="str">
        <f>G5</f>
        <v>Q1 2026</v>
      </c>
    </row>
    <row r="24" spans="2:7" x14ac:dyDescent="0.2">
      <c r="B24" s="20" t="str">
        <f>Statement!B183</f>
        <v>Subscription</v>
      </c>
      <c r="C24" s="202">
        <f>Statement!Z183</f>
        <v>242286</v>
      </c>
      <c r="D24" s="200">
        <f>Statement!AA183</f>
        <v>250908</v>
      </c>
      <c r="F24" s="202">
        <f>Statement!W183</f>
        <v>190987</v>
      </c>
      <c r="G24" s="200">
        <f>Statement!AA183</f>
        <v>250908</v>
      </c>
    </row>
    <row r="25" spans="2:7" x14ac:dyDescent="0.2">
      <c r="B25" s="208" t="s">
        <v>324</v>
      </c>
      <c r="C25" s="255">
        <f>IF(C24=0,
IF(D24=0,0,IF(D24&gt;0,1,-1)),
(D24-C24)/ABS(C24)
)</f>
        <v>3.5586042940987099E-2</v>
      </c>
      <c r="D25" s="256"/>
      <c r="F25" s="255">
        <f>IF(F24=0,
IF(G24=0,0,IF(G24&gt;0,1,-1)),
(G24-F24)/ABS(F24)
)</f>
        <v>0.3137438673836439</v>
      </c>
      <c r="G25" s="256"/>
    </row>
    <row r="26" spans="2:7" x14ac:dyDescent="0.2">
      <c r="B26" s="20" t="str">
        <f>Statement!B184</f>
        <v>Advertising</v>
      </c>
      <c r="C26" s="202">
        <f>Statement!Z184</f>
        <v>20221</v>
      </c>
      <c r="D26" s="200">
        <f>Statement!AA184</f>
        <v>20614</v>
      </c>
      <c r="F26" s="202">
        <f>Statement!W184</f>
        <v>17882</v>
      </c>
      <c r="G26" s="200">
        <f>Statement!AA184</f>
        <v>20614</v>
      </c>
    </row>
    <row r="27" spans="2:7" x14ac:dyDescent="0.2">
      <c r="B27" s="208" t="s">
        <v>324</v>
      </c>
      <c r="C27" s="255">
        <f>IF(C26=0,
IF(D26=0,0,IF(D26&gt;0,1,-1)),
(D26-C26)/ABS(C26)
)</f>
        <v>1.9435240591464318E-2</v>
      </c>
      <c r="D27" s="256"/>
      <c r="F27" s="255">
        <f>IF(F26=0,
IF(G26=0,0,IF(G26&gt;0,1,-1)),
(G26-F26)/ABS(F26)
)</f>
        <v>0.15277933117100995</v>
      </c>
      <c r="G27" s="256"/>
    </row>
    <row r="28" spans="2:7" x14ac:dyDescent="0.2">
      <c r="B28" s="20" t="str">
        <f>Statement!B185</f>
        <v>English test</v>
      </c>
      <c r="C28" s="202">
        <f>Statement!Z185</f>
        <v>10283</v>
      </c>
      <c r="D28" s="200">
        <f>Statement!AA185</f>
        <v>11317</v>
      </c>
      <c r="F28" s="202">
        <f>Statement!W185</f>
        <v>11986</v>
      </c>
      <c r="G28" s="200">
        <f>Statement!AA185</f>
        <v>11317</v>
      </c>
    </row>
    <row r="29" spans="2:7" x14ac:dyDescent="0.2">
      <c r="B29" s="208" t="s">
        <v>324</v>
      </c>
      <c r="C29" s="255">
        <f>IF(C28=0,
IF(D28=0,0,IF(D28&gt;0,1,-1)),
(D28-C28)/ABS(C28)
)</f>
        <v>0.10055431294369348</v>
      </c>
      <c r="D29" s="256"/>
      <c r="F29" s="255">
        <f>IF(F28=0,
IF(G28=0,0,IF(G28&gt;0,1,-1)),
(G28-F28)/ABS(F28)
)</f>
        <v>-5.581511763724345E-2</v>
      </c>
      <c r="G29" s="256"/>
    </row>
    <row r="30" spans="2:7" x14ac:dyDescent="0.2">
      <c r="B30" s="20" t="str">
        <f>Statement!B186</f>
        <v>In-App purchases</v>
      </c>
      <c r="C30" s="202">
        <f>Statement!Z186</f>
        <v>9551</v>
      </c>
      <c r="D30" s="200">
        <f>Statement!AA186</f>
        <v>8446</v>
      </c>
      <c r="F30" s="202">
        <f>Statement!W186</f>
        <v>9442</v>
      </c>
      <c r="G30" s="200">
        <f>Statement!AA186</f>
        <v>8446</v>
      </c>
    </row>
    <row r="31" spans="2:7" x14ac:dyDescent="0.2">
      <c r="B31" s="208" t="s">
        <v>324</v>
      </c>
      <c r="C31" s="255">
        <f>IF(C30=0,
IF(D30=0,0,IF(D30&gt;0,1,-1)),
(D30-C30)/ABS(C30)
)</f>
        <v>-0.11569469165532405</v>
      </c>
      <c r="D31" s="256"/>
      <c r="F31" s="255">
        <f>IF(F30=0,
IF(G30=0,0,IF(G30&gt;0,1,-1)),
(G30-F30)/ABS(F30)
)</f>
        <v>-0.10548612582080068</v>
      </c>
      <c r="G31" s="256"/>
    </row>
    <row r="32" spans="2:7" x14ac:dyDescent="0.2">
      <c r="B32" s="20" t="str">
        <f>Statement!B187</f>
        <v>Other</v>
      </c>
      <c r="C32" s="202">
        <f>Statement!Z187</f>
        <v>527</v>
      </c>
      <c r="D32" s="200">
        <f>Statement!AA187</f>
        <v>682</v>
      </c>
      <c r="F32" s="202">
        <f>Statement!W187</f>
        <v>446</v>
      </c>
      <c r="G32" s="200">
        <f>Statement!AA187</f>
        <v>682</v>
      </c>
    </row>
    <row r="33" spans="2:7" x14ac:dyDescent="0.2">
      <c r="B33" s="208" t="s">
        <v>324</v>
      </c>
      <c r="C33" s="255">
        <f>IF(C32=0,
IF(D32=0,0,IF(D32&gt;0,1,-1)),
(D32-C32)/ABS(C32)
)</f>
        <v>0.29411764705882354</v>
      </c>
      <c r="D33" s="256"/>
      <c r="F33" s="255">
        <f>IF(F32=0,
IF(G32=0,0,IF(G32&gt;0,1,-1)),
(G32-F32)/ABS(F32)
)</f>
        <v>0.52914798206278024</v>
      </c>
      <c r="G33" s="256"/>
    </row>
    <row r="35" spans="2:7" x14ac:dyDescent="0.2">
      <c r="B35" s="8" t="s">
        <v>329</v>
      </c>
      <c r="C35" s="10" t="str">
        <f>C5</f>
        <v>Q4 2025</v>
      </c>
      <c r="D35" s="10" t="str">
        <f>D5</f>
        <v>Q1 2026</v>
      </c>
      <c r="F35" s="10" t="str">
        <f>F5</f>
        <v>Q1 2025</v>
      </c>
      <c r="G35" s="10" t="str">
        <f>G5</f>
        <v>Q1 2026</v>
      </c>
    </row>
    <row r="36" spans="2:7" x14ac:dyDescent="0.2">
      <c r="B36" s="20" t="str">
        <f>Statement!B209</f>
        <v>DAU</v>
      </c>
      <c r="C36" s="202">
        <f>Statement!Z209</f>
        <v>52700</v>
      </c>
      <c r="D36" s="202">
        <f>Statement!AA209</f>
        <v>56500</v>
      </c>
      <c r="F36" s="202">
        <f>Statement!W209</f>
        <v>46600</v>
      </c>
      <c r="G36" s="200">
        <f>Statement!AA209</f>
        <v>56500</v>
      </c>
    </row>
    <row r="37" spans="2:7" x14ac:dyDescent="0.2">
      <c r="B37" s="208" t="s">
        <v>324</v>
      </c>
      <c r="C37" s="255">
        <f>IF(C36=0,
IF(D36=0,0,IF(D36&gt;0,1,-1)),
(D36-C36)/ABS(C36)
)</f>
        <v>7.2106261859582549E-2</v>
      </c>
      <c r="D37" s="256"/>
      <c r="F37" s="255">
        <f>IF(F36=0,
IF(G36=0,0,IF(G36&gt;0,1,-1)),
(G36-F36)/ABS(F36)
)</f>
        <v>0.21244635193133046</v>
      </c>
      <c r="G37" s="256"/>
    </row>
    <row r="38" spans="2:7" x14ac:dyDescent="0.2">
      <c r="B38" s="20" t="str">
        <f>Statement!B210</f>
        <v>MAU</v>
      </c>
      <c r="C38" s="202">
        <f>Statement!Z210</f>
        <v>133100</v>
      </c>
      <c r="D38" s="202">
        <f>Statement!AA210</f>
        <v>137800</v>
      </c>
      <c r="F38" s="202">
        <f>Statement!W210</f>
        <v>130200</v>
      </c>
      <c r="G38" s="200">
        <f>Statement!AA210</f>
        <v>137800</v>
      </c>
    </row>
    <row r="39" spans="2:7" x14ac:dyDescent="0.2">
      <c r="B39" s="208" t="s">
        <v>324</v>
      </c>
      <c r="C39" s="255">
        <f>IF(C38=0,
IF(D38=0,0,IF(D38&gt;0,1,-1)),
(D38-C38)/ABS(C38)
)</f>
        <v>3.5311795642374154E-2</v>
      </c>
      <c r="D39" s="256"/>
      <c r="F39" s="255">
        <f>IF(F38=0,
IF(G38=0,0,IF(G38&gt;0,1,-1)),
(G38-F38)/ABS(F38)
)</f>
        <v>5.8371735791090631E-2</v>
      </c>
      <c r="G39" s="256"/>
    </row>
    <row r="40" spans="2:7" x14ac:dyDescent="0.2">
      <c r="B40" s="20" t="str">
        <f>Statement!B211</f>
        <v>Paid subscriberrs</v>
      </c>
      <c r="C40" s="202">
        <f>Statement!Z211</f>
        <v>12200</v>
      </c>
      <c r="D40" s="202">
        <f>Statement!AA211</f>
        <v>12500</v>
      </c>
      <c r="F40" s="202">
        <f>Statement!W211</f>
        <v>10300</v>
      </c>
      <c r="G40" s="200">
        <f>Statement!AA211</f>
        <v>12500</v>
      </c>
    </row>
    <row r="41" spans="2:7" x14ac:dyDescent="0.2">
      <c r="B41" s="208" t="s">
        <v>324</v>
      </c>
      <c r="C41" s="255">
        <f>IF(C40=0,
IF(D40=0,0,IF(D40&gt;0,1,-1)),
(D40-C40)/ABS(C40)
)</f>
        <v>2.4590163934426229E-2</v>
      </c>
      <c r="D41" s="256"/>
      <c r="F41" s="255">
        <f>IF(F40=0,
IF(G40=0,0,IF(G40&gt;0,1,-1)),
(G40-F40)/ABS(F40)
)</f>
        <v>0.21359223300970873</v>
      </c>
      <c r="G41" s="256"/>
    </row>
    <row r="42" spans="2:7" x14ac:dyDescent="0.2">
      <c r="B42" s="20" t="str">
        <f>Statement!B212</f>
        <v>Free users</v>
      </c>
      <c r="C42" s="202">
        <f>Statement!Z212</f>
        <v>120900</v>
      </c>
      <c r="D42" s="202">
        <f>Statement!AA212</f>
        <v>125300</v>
      </c>
      <c r="F42" s="202">
        <f>Statement!W212</f>
        <v>119900</v>
      </c>
      <c r="G42" s="200">
        <f>Statement!AA212</f>
        <v>125300</v>
      </c>
    </row>
    <row r="43" spans="2:7" x14ac:dyDescent="0.2">
      <c r="B43" s="208" t="s">
        <v>324</v>
      </c>
      <c r="C43" s="255">
        <f>IF(C42=0,
IF(D42=0,0,IF(D42&gt;0,1,-1)),
(D42-C42)/ABS(C42)
)</f>
        <v>3.6393713813068655E-2</v>
      </c>
      <c r="D43" s="256"/>
      <c r="F43" s="255">
        <f>IF(F42=0,
IF(G42=0,0,IF(G42&gt;0,1,-1)),
(G42-F42)/ABS(F42)
)</f>
        <v>4.5037531276063386E-2</v>
      </c>
      <c r="G43" s="256"/>
    </row>
    <row r="44" spans="2:7" x14ac:dyDescent="0.2">
      <c r="B44" s="20" t="str">
        <f>Statement!B213</f>
        <v>Average revenue per paid user</v>
      </c>
      <c r="C44" s="233">
        <f>Statement!Z213</f>
        <v>19.859508196721311</v>
      </c>
      <c r="D44" s="233">
        <f>Statement!AA213</f>
        <v>20.07264</v>
      </c>
      <c r="F44" s="233">
        <f>Statement!W213</f>
        <v>18.542427184466021</v>
      </c>
      <c r="G44" s="234">
        <f>Statement!AA213</f>
        <v>20.07264</v>
      </c>
    </row>
    <row r="45" spans="2:7" x14ac:dyDescent="0.2">
      <c r="B45" s="208" t="s">
        <v>324</v>
      </c>
      <c r="C45" s="255">
        <f>IF(C44=0,
IF(D44=0,0,IF(D44&gt;0,1,-1)),
(D44-C44)/ABS(C44)
)</f>
        <v>1.0731977910403413E-2</v>
      </c>
      <c r="D45" s="256"/>
      <c r="F45" s="255">
        <f>IF(F44=0,
IF(G44=0,0,IF(G44&gt;0,1,-1)),
(G44-F44)/ABS(F44)
)</f>
        <v>8.2524946724122472E-2</v>
      </c>
      <c r="G45" s="256"/>
    </row>
    <row r="46" spans="2:7" x14ac:dyDescent="0.2">
      <c r="B46" s="20" t="str">
        <f>Statement!B214</f>
        <v>DAU to MAU ratio</v>
      </c>
      <c r="C46" s="235">
        <f>Statement!Z214</f>
        <v>0.3959429000751315</v>
      </c>
      <c r="D46" s="235">
        <f>Statement!AA214</f>
        <v>0.41001451378809867</v>
      </c>
      <c r="F46" s="235">
        <f>Statement!W214</f>
        <v>0.3579109062980031</v>
      </c>
      <c r="G46" s="236">
        <f>Statement!AA214</f>
        <v>0.41001451378809867</v>
      </c>
    </row>
    <row r="47" spans="2:7" x14ac:dyDescent="0.2">
      <c r="B47" s="208" t="s">
        <v>324</v>
      </c>
      <c r="C47" s="255">
        <f>IF(C46=0,
IF(D46=0,0,IF(D46&gt;0,1,-1)),
(D46-C46)/ABS(C46)
)</f>
        <v>3.5539502565387668E-2</v>
      </c>
      <c r="D47" s="256"/>
      <c r="F47" s="255">
        <f>IF(F46=0,
IF(G46=0,0,IF(G46&gt;0,1,-1)),
(G46-F46)/ABS(F46)
)</f>
        <v>0.14557703208606101</v>
      </c>
      <c r="G47" s="256"/>
    </row>
    <row r="48" spans="2:7" x14ac:dyDescent="0.2">
      <c r="B48" s="20" t="str">
        <f>Statement!B215</f>
        <v>Subscribers to MAU ratio</v>
      </c>
      <c r="C48" s="235">
        <f>Statement!Z215</f>
        <v>9.1660405709992482E-2</v>
      </c>
      <c r="D48" s="235">
        <f>Statement!AA215</f>
        <v>9.071117561683599E-2</v>
      </c>
      <c r="F48" s="235">
        <f>Statement!W215</f>
        <v>7.9109062980030717E-2</v>
      </c>
      <c r="G48" s="236">
        <f>Statement!AA215</f>
        <v>9.071117561683599E-2</v>
      </c>
    </row>
    <row r="49" spans="2:7" x14ac:dyDescent="0.2">
      <c r="B49" s="208" t="s">
        <v>324</v>
      </c>
      <c r="C49" s="255">
        <f>IF(C48=0,
IF(D48=0,0,IF(D48&gt;0,1,-1)),
(D48-C48)/ABS(C48)
)</f>
        <v>-1.0355944704846643E-2</v>
      </c>
      <c r="D49" s="256"/>
      <c r="F49" s="255">
        <f>IF(F48=0,
IF(G48=0,0,IF(G48&gt;0,1,-1)),
(G48-F48)/ABS(F48)
)</f>
        <v>0.14665971507883949</v>
      </c>
      <c r="G49" s="256"/>
    </row>
    <row r="50" spans="2:7" x14ac:dyDescent="0.2">
      <c r="B50" s="20" t="str">
        <f>Statement!B216</f>
        <v>Ad revenue per free user</v>
      </c>
      <c r="C50" s="237">
        <f>Statement!Z216</f>
        <v>0.1672539288668321</v>
      </c>
      <c r="D50" s="237">
        <f>Statement!AA216</f>
        <v>0.1645171588188348</v>
      </c>
      <c r="F50" s="237">
        <f>Statement!W216</f>
        <v>0.14914095079232695</v>
      </c>
      <c r="G50" s="238">
        <f>Statement!AA216</f>
        <v>0.1645171588188348</v>
      </c>
    </row>
    <row r="51" spans="2:7" x14ac:dyDescent="0.2">
      <c r="B51" s="208" t="s">
        <v>324</v>
      </c>
      <c r="C51" s="255">
        <f>IF(C50=0,
IF(D50=0,0,IF(D50&gt;0,1,-1)),
(D50-C50)/ABS(C50)
)</f>
        <v>-1.63629641858896E-2</v>
      </c>
      <c r="D51" s="256"/>
      <c r="F51" s="255">
        <f>IF(F50=0,
IF(G50=0,0,IF(G50&gt;0,1,-1)),
(G50-F50)/ABS(F50)
)</f>
        <v>0.10309849806387941</v>
      </c>
      <c r="G51" s="256"/>
    </row>
    <row r="52" spans="2:7" x14ac:dyDescent="0.2">
      <c r="B52" s="20" t="str">
        <f>Statement!B217</f>
        <v>In-app purchases % of DAU</v>
      </c>
      <c r="C52" s="235">
        <f>Statement!Z217</f>
        <v>0.18123339658444024</v>
      </c>
      <c r="D52" s="235">
        <f>Statement!AA217</f>
        <v>0.14948672566371682</v>
      </c>
      <c r="F52" s="235">
        <f>Statement!W217</f>
        <v>0.20261802575107296</v>
      </c>
      <c r="G52" s="236">
        <f>Statement!AA217</f>
        <v>0.14948672566371682</v>
      </c>
    </row>
    <row r="53" spans="2:7" x14ac:dyDescent="0.2">
      <c r="B53" s="208" t="s">
        <v>324</v>
      </c>
      <c r="C53" s="255">
        <f>IF(C52=0,
IF(D52=0,0,IF(D52&gt;0,1,-1)),
(D52-C52)/ABS(C52)
)</f>
        <v>-0.17517009292452351</v>
      </c>
      <c r="D53" s="256"/>
      <c r="F53" s="255">
        <f>IF(F52=0,
IF(G52=0,0,IF(G52&gt;0,1,-1)),
(G52-F52)/ABS(F52)
)</f>
        <v>-0.26222395510175772</v>
      </c>
      <c r="G53" s="256"/>
    </row>
  </sheetData>
  <mergeCells count="4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41:D41"/>
    <mergeCell ref="F41:G41"/>
    <mergeCell ref="C43:D43"/>
    <mergeCell ref="F43:G43"/>
    <mergeCell ref="C45:D45"/>
    <mergeCell ref="F45:G45"/>
    <mergeCell ref="C53:D53"/>
    <mergeCell ref="F53:G53"/>
    <mergeCell ref="C47:D47"/>
    <mergeCell ref="F47:G47"/>
    <mergeCell ref="C49:D49"/>
    <mergeCell ref="F49:G49"/>
    <mergeCell ref="C51:D51"/>
    <mergeCell ref="F51:G51"/>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270</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271</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20">
        <f>Statement!H123</f>
        <v>0</v>
      </c>
      <c r="D70" s="220">
        <f>Statement!I123</f>
        <v>0</v>
      </c>
      <c r="E70" s="220">
        <f>Statement!J123</f>
        <v>0</v>
      </c>
      <c r="F70" s="220">
        <f>Statement!K123</f>
        <v>0</v>
      </c>
      <c r="G70" s="220">
        <f>Statement!L123</f>
        <v>0</v>
      </c>
      <c r="H70" s="220">
        <f>Statement!M123</f>
        <v>-9.0933010338554776E-2</v>
      </c>
      <c r="I70" s="220">
        <f>Statement!N123</f>
        <v>-7.9713974900548212E-2</v>
      </c>
      <c r="J70" s="220">
        <f>Statement!O123</f>
        <v>1.6842478224909509E-2</v>
      </c>
      <c r="K70" s="220">
        <f>Statement!P123</f>
        <v>6.804340077189705E-2</v>
      </c>
      <c r="L70" s="220">
        <f>Statement!Q123</f>
        <v>7.89912769014076E-2</v>
      </c>
    </row>
    <row r="71" spans="2:12" x14ac:dyDescent="0.2">
      <c r="B71" s="20" t="s">
        <v>104</v>
      </c>
      <c r="C71" s="220">
        <f>Statement!H125</f>
        <v>0</v>
      </c>
      <c r="D71" s="220">
        <f>Statement!I125</f>
        <v>0</v>
      </c>
      <c r="E71" s="220">
        <f>Statement!J125</f>
        <v>0</v>
      </c>
      <c r="F71" s="220">
        <f>Statement!K125</f>
        <v>0</v>
      </c>
      <c r="G71" s="220">
        <f>Statement!L125</f>
        <v>0</v>
      </c>
      <c r="H71" s="220">
        <f>Statement!M125</f>
        <v>-0.1172094274309237</v>
      </c>
      <c r="I71" s="220">
        <f>Statement!N125</f>
        <v>-0.1098993133829449</v>
      </c>
      <c r="J71" s="220">
        <f>Statement!O125</f>
        <v>2.4511022866479229E-2</v>
      </c>
      <c r="K71" s="220">
        <f>Statement!P125</f>
        <v>0.10742101752471045</v>
      </c>
      <c r="L71" s="220">
        <f>Statement!Q125</f>
        <v>0.11682576024160249</v>
      </c>
    </row>
    <row r="72" spans="2:12" x14ac:dyDescent="0.2">
      <c r="B72" s="20" t="s">
        <v>105</v>
      </c>
      <c r="C72" s="220">
        <f>Statement!H136</f>
        <v>0</v>
      </c>
      <c r="D72" s="220">
        <f>Statement!I136</f>
        <v>0</v>
      </c>
      <c r="E72" s="220">
        <f>Statement!J136</f>
        <v>0</v>
      </c>
      <c r="F72" s="220">
        <f>Statement!K136</f>
        <v>0</v>
      </c>
      <c r="G72" s="220">
        <f>Statement!L136</f>
        <v>0</v>
      </c>
      <c r="H72" s="220">
        <f>Statement!M136</f>
        <v>1.4683844760925953</v>
      </c>
      <c r="I72" s="220">
        <f>Statement!N136</f>
        <v>0.98627878127741975</v>
      </c>
      <c r="J72" s="220">
        <f>Statement!O136</f>
        <v>0.14394901692559903</v>
      </c>
      <c r="K72" s="220">
        <f>Statement!P136</f>
        <v>-0.35797789840320271</v>
      </c>
      <c r="L72" s="220">
        <f>Statement!Q136</f>
        <v>1.6371013770230809</v>
      </c>
    </row>
    <row r="73" spans="2:12" x14ac:dyDescent="0.2">
      <c r="B73" s="20" t="s">
        <v>363</v>
      </c>
      <c r="C73" s="229">
        <f>Statement!H203</f>
        <v>0</v>
      </c>
      <c r="D73" s="229">
        <f>Statement!I203</f>
        <v>0</v>
      </c>
      <c r="E73" s="229">
        <f>Statement!J203</f>
        <v>0</v>
      </c>
      <c r="F73" s="229">
        <f>Statement!K203</f>
        <v>0</v>
      </c>
      <c r="G73" s="229">
        <f>Statement!L203</f>
        <v>0</v>
      </c>
      <c r="H73" s="229">
        <f>Statement!M203</f>
        <v>100</v>
      </c>
      <c r="I73" s="229">
        <f>Statement!N203</f>
        <v>64.324470971242548</v>
      </c>
      <c r="J73" s="229">
        <f>Statement!O203</f>
        <v>205.14559594863445</v>
      </c>
      <c r="K73" s="229">
        <f>Statement!P203</f>
        <v>294.08572978838851</v>
      </c>
      <c r="L73" s="229">
        <f>Statement!Q203</f>
        <v>160.19171640441309</v>
      </c>
    </row>
    <row r="74" spans="2:12" x14ac:dyDescent="0.2">
      <c r="B74" s="20" t="s">
        <v>364</v>
      </c>
      <c r="C74" s="229">
        <f>Statement!H204</f>
        <v>0</v>
      </c>
      <c r="D74" s="229">
        <f>Statement!I204</f>
        <v>0</v>
      </c>
      <c r="E74" s="229">
        <f>Statement!J204</f>
        <v>0</v>
      </c>
      <c r="F74" s="229">
        <f>Statement!K204</f>
        <v>0</v>
      </c>
      <c r="G74" s="229">
        <f>Statement!L204</f>
        <v>0</v>
      </c>
      <c r="H74" s="229">
        <f>Statement!M204</f>
        <v>100</v>
      </c>
      <c r="I74" s="229">
        <f>Statement!N204</f>
        <v>147.34300480117398</v>
      </c>
      <c r="J74" s="229">
        <f>Statement!O204</f>
        <v>211.78959373454771</v>
      </c>
      <c r="K74" s="229">
        <f>Statement!P204</f>
        <v>298.28848515783261</v>
      </c>
      <c r="L74" s="229">
        <f>Statement!Q204</f>
        <v>413.75791555676074</v>
      </c>
    </row>
    <row r="75" spans="2:12" x14ac:dyDescent="0.2">
      <c r="B75" s="20" t="s">
        <v>365</v>
      </c>
      <c r="C75" s="229">
        <f>Statement!H205</f>
        <v>0</v>
      </c>
      <c r="D75" s="229">
        <f>Statement!I205</f>
        <v>0</v>
      </c>
      <c r="E75" s="229">
        <f>Statement!J205</f>
        <v>0</v>
      </c>
      <c r="F75" s="229">
        <f>Statement!K205</f>
        <v>0</v>
      </c>
      <c r="G75" s="229">
        <f>Statement!L205</f>
        <v>0</v>
      </c>
      <c r="H75" s="229">
        <f>Statement!M205</f>
        <v>100</v>
      </c>
      <c r="I75" s="229">
        <f>Statement!N205</f>
        <v>141.24513618677042</v>
      </c>
      <c r="J75" s="229">
        <f>Statement!O205</f>
        <v>213.61867704280155</v>
      </c>
      <c r="K75" s="229">
        <f>Statement!P205</f>
        <v>273.15175097276267</v>
      </c>
      <c r="L75" s="229">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30.06.2024</v>
      </c>
      <c r="D55" s="10" t="str">
        <f>Statement!U2</f>
        <v>30.09.2024</v>
      </c>
      <c r="E55" s="10" t="str">
        <f>Statement!V2</f>
        <v>31.12.2024</v>
      </c>
      <c r="F55" s="10" t="str">
        <f>Statement!W2</f>
        <v>31.03.2025</v>
      </c>
      <c r="G55" s="10" t="str">
        <f>Statement!X2</f>
        <v>30.06.2025</v>
      </c>
      <c r="H55" s="10" t="str">
        <f>Statement!Y2</f>
        <v>30.09.2025</v>
      </c>
      <c r="I55" s="10" t="str">
        <f>Statement!Z2</f>
        <v>31.12.2025</v>
      </c>
      <c r="J55" s="10" t="str">
        <f>Statement!AA2</f>
        <v>31.03.2026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20</v>
      </c>
      <c r="C57" s="64">
        <f>Statement!T5</f>
        <v>178327</v>
      </c>
      <c r="D57" s="64">
        <f>Statement!U5</f>
        <v>192594</v>
      </c>
      <c r="E57" s="64">
        <f>Statement!V5</f>
        <v>209550</v>
      </c>
      <c r="F57" s="64">
        <f>Statement!W5</f>
        <v>230743</v>
      </c>
      <c r="G57" s="64">
        <f>Statement!X5</f>
        <v>252265</v>
      </c>
      <c r="H57" s="64">
        <f>Statement!Y5</f>
        <v>271713</v>
      </c>
      <c r="I57" s="64">
        <f>Statement!Z5</f>
        <v>282868</v>
      </c>
      <c r="J57" s="64">
        <f>Statement!AA5</f>
        <v>291967</v>
      </c>
    </row>
    <row r="58" spans="2:10" x14ac:dyDescent="0.2">
      <c r="B58" s="20" t="s">
        <v>27</v>
      </c>
      <c r="C58" s="64">
        <f>Statement!T12</f>
        <v>18700</v>
      </c>
      <c r="D58" s="64">
        <f>Statement!U12</f>
        <v>13574</v>
      </c>
      <c r="E58" s="64">
        <f>Statement!V12</f>
        <v>13882</v>
      </c>
      <c r="F58" s="64">
        <f>Statement!W12</f>
        <v>23594</v>
      </c>
      <c r="G58" s="64">
        <f>Statement!X12</f>
        <v>33363</v>
      </c>
      <c r="H58" s="64">
        <f>Statement!Y12</f>
        <v>35159</v>
      </c>
      <c r="I58" s="64">
        <f>Statement!Z12</f>
        <v>43454</v>
      </c>
      <c r="J58" s="64">
        <f>Statement!AA12</f>
        <v>44527</v>
      </c>
    </row>
    <row r="59" spans="2:10" x14ac:dyDescent="0.2">
      <c r="B59" s="20" t="s">
        <v>32</v>
      </c>
      <c r="C59" s="64">
        <f>Statement!T18</f>
        <v>24351</v>
      </c>
      <c r="D59" s="64">
        <f>Statement!U18</f>
        <v>23360</v>
      </c>
      <c r="E59" s="64">
        <f>Statement!V18</f>
        <v>13907</v>
      </c>
      <c r="F59" s="64">
        <f>Statement!W18</f>
        <v>35135</v>
      </c>
      <c r="G59" s="64">
        <f>Statement!X18</f>
        <v>44781</v>
      </c>
      <c r="H59" s="64">
        <f>Statement!Y18</f>
        <v>35495</v>
      </c>
      <c r="I59" s="64">
        <f>Statement!Z18</f>
        <v>41954</v>
      </c>
      <c r="J59" s="64">
        <f>Statement!AA18</f>
        <v>43460</v>
      </c>
    </row>
    <row r="60" spans="2:10" x14ac:dyDescent="0.2">
      <c r="B60" s="20" t="s">
        <v>79</v>
      </c>
      <c r="C60" s="58">
        <f>Statement!T101</f>
        <v>0.73448215917948489</v>
      </c>
      <c r="D60" s="58">
        <f>Statement!U101</f>
        <v>0.72906736450772092</v>
      </c>
      <c r="E60" s="58">
        <f>Statement!V101</f>
        <v>0.71880219518014798</v>
      </c>
      <c r="F60" s="58">
        <f>Statement!W101</f>
        <v>0.71116350225142255</v>
      </c>
      <c r="G60" s="58">
        <f>Statement!X101</f>
        <v>0.7237666739341565</v>
      </c>
      <c r="H60" s="58">
        <f>Statement!Y101</f>
        <v>0.72470216736041337</v>
      </c>
      <c r="I60" s="58">
        <f>Statement!Z101</f>
        <v>0.72779176152834535</v>
      </c>
      <c r="J60" s="58">
        <f>Statement!AA101</f>
        <v>0.72986330646956676</v>
      </c>
    </row>
    <row r="61" spans="2:10" x14ac:dyDescent="0.2">
      <c r="B61" s="20" t="s">
        <v>80</v>
      </c>
      <c r="C61" s="58">
        <f>Statement!T102</f>
        <v>0.10486353720973268</v>
      </c>
      <c r="D61" s="58">
        <f>Statement!U102</f>
        <v>7.0479869570183915E-2</v>
      </c>
      <c r="E61" s="58">
        <f>Statement!V102</f>
        <v>6.624671916010498E-2</v>
      </c>
      <c r="F61" s="58">
        <f>Statement!W102</f>
        <v>0.10225228934355539</v>
      </c>
      <c r="G61" s="58">
        <f>Statement!X102</f>
        <v>0.13225378074643729</v>
      </c>
      <c r="H61" s="58">
        <f>Statement!Y102</f>
        <v>0.12939756286964554</v>
      </c>
      <c r="I61" s="58">
        <f>Statement!Z102</f>
        <v>0.15361935602471824</v>
      </c>
      <c r="J61" s="58">
        <f>Statement!AA102</f>
        <v>0.15250696140317227</v>
      </c>
    </row>
    <row r="62" spans="2:10" x14ac:dyDescent="0.2">
      <c r="B62" s="20" t="s">
        <v>81</v>
      </c>
      <c r="C62" s="58">
        <f>Statement!T103</f>
        <v>0.13655251307990376</v>
      </c>
      <c r="D62" s="58">
        <f>Statement!U103</f>
        <v>0.12129142133192104</v>
      </c>
      <c r="E62" s="58">
        <f>Statement!V103</f>
        <v>6.6366022429014557E-2</v>
      </c>
      <c r="F62" s="58">
        <f>Statement!W103</f>
        <v>0.15226897457344318</v>
      </c>
      <c r="G62" s="58">
        <f>Statement!X103</f>
        <v>0.1775157076883436</v>
      </c>
      <c r="H62" s="58">
        <f>Statement!Y103</f>
        <v>0.13063416178099685</v>
      </c>
      <c r="I62" s="58">
        <f>Statement!Z103</f>
        <v>0.14831652926453329</v>
      </c>
      <c r="J62" s="58">
        <f>Statement!AA103</f>
        <v>0.14885243880301541</v>
      </c>
    </row>
    <row r="63" spans="2:10" x14ac:dyDescent="0.2">
      <c r="B63" s="20" t="str">
        <f>"Revenue "&amp;Statement!B183</f>
        <v>Revenue Subscription</v>
      </c>
      <c r="C63" s="64">
        <f>Statement!T183</f>
        <v>143909</v>
      </c>
      <c r="D63" s="64">
        <f>Statement!U183</f>
        <v>157617</v>
      </c>
      <c r="E63" s="64">
        <f>Statement!V183</f>
        <v>174317</v>
      </c>
      <c r="F63" s="64">
        <f>Statement!W183</f>
        <v>190987</v>
      </c>
      <c r="G63" s="64">
        <f>Statement!X183</f>
        <v>210678</v>
      </c>
      <c r="H63" s="64">
        <f>Statement!Y183</f>
        <v>229491</v>
      </c>
      <c r="I63" s="64">
        <f>Statement!Z183</f>
        <v>242286</v>
      </c>
      <c r="J63" s="64">
        <f>Statement!AA183</f>
        <v>250908</v>
      </c>
    </row>
    <row r="64" spans="2:10" x14ac:dyDescent="0.2">
      <c r="B64" s="20" t="str">
        <f>"Revenue "&amp;Statement!B184</f>
        <v>Revenue Advertising</v>
      </c>
      <c r="C64" s="64">
        <f>Statement!T184</f>
        <v>13258</v>
      </c>
      <c r="D64" s="64">
        <f>Statement!U184</f>
        <v>14405</v>
      </c>
      <c r="E64" s="64">
        <f>Statement!V184</f>
        <v>14292</v>
      </c>
      <c r="F64" s="64">
        <f>Statement!W184</f>
        <v>17882</v>
      </c>
      <c r="G64" s="64">
        <f>Statement!X184</f>
        <v>20603</v>
      </c>
      <c r="H64" s="64">
        <f>Statement!Y184</f>
        <v>21019</v>
      </c>
      <c r="I64" s="64">
        <f>Statement!Z184</f>
        <v>20221</v>
      </c>
      <c r="J64" s="64">
        <f>Statement!AA184</f>
        <v>20614</v>
      </c>
    </row>
    <row r="65" spans="2:10" x14ac:dyDescent="0.2">
      <c r="B65" s="20" t="str">
        <f>"Revenue "&amp;Statement!B185</f>
        <v>Revenue English test</v>
      </c>
      <c r="C65" s="64">
        <f>Statement!T185</f>
        <v>10698</v>
      </c>
      <c r="D65" s="64">
        <f>Statement!U185</f>
        <v>10772</v>
      </c>
      <c r="E65" s="64">
        <f>Statement!V185</f>
        <v>11415</v>
      </c>
      <c r="F65" s="64">
        <f>Statement!W185</f>
        <v>11986</v>
      </c>
      <c r="G65" s="64">
        <f>Statement!X185</f>
        <v>10088</v>
      </c>
      <c r="H65" s="64">
        <f>Statement!Y185</f>
        <v>9649</v>
      </c>
      <c r="I65" s="64">
        <f>Statement!Z185</f>
        <v>10283</v>
      </c>
      <c r="J65" s="64">
        <f>Statement!AA185</f>
        <v>11317</v>
      </c>
    </row>
    <row r="66" spans="2:10" x14ac:dyDescent="0.2">
      <c r="B66" s="20" t="str">
        <f>"Revenue "&amp;Statement!B186</f>
        <v>Revenue In-App purchases</v>
      </c>
      <c r="C66" s="64">
        <f>Statement!T186</f>
        <v>10176</v>
      </c>
      <c r="D66" s="64">
        <f>Statement!U186</f>
        <v>9411</v>
      </c>
      <c r="E66" s="64">
        <f>Statement!V186</f>
        <v>9142</v>
      </c>
      <c r="F66" s="64">
        <f>Statement!W186</f>
        <v>9442</v>
      </c>
      <c r="G66" s="64">
        <f>Statement!X186</f>
        <v>10390</v>
      </c>
      <c r="H66" s="64">
        <f>Statement!Y186</f>
        <v>11096</v>
      </c>
      <c r="I66" s="64">
        <f>Statement!Z186</f>
        <v>9551</v>
      </c>
      <c r="J66" s="64">
        <f>Statement!AA186</f>
        <v>8446</v>
      </c>
    </row>
    <row r="67" spans="2:10" x14ac:dyDescent="0.2">
      <c r="B67" s="20" t="str">
        <f>"Revenue "&amp;Statement!B187</f>
        <v>Revenue Other</v>
      </c>
      <c r="C67" s="64">
        <f>Statement!T187</f>
        <v>286</v>
      </c>
      <c r="D67" s="64">
        <f>Statement!U187</f>
        <v>389</v>
      </c>
      <c r="E67" s="64">
        <f>Statement!V187</f>
        <v>384</v>
      </c>
      <c r="F67" s="64">
        <f>Statement!W187</f>
        <v>446</v>
      </c>
      <c r="G67" s="64">
        <f>Statement!X187</f>
        <v>506</v>
      </c>
      <c r="H67" s="64">
        <f>Statement!Y187</f>
        <v>458</v>
      </c>
      <c r="I67" s="64">
        <f>Statement!Z187</f>
        <v>527</v>
      </c>
      <c r="J67" s="64">
        <f>Statement!AA187</f>
        <v>682</v>
      </c>
    </row>
    <row r="68" spans="2:10" x14ac:dyDescent="0.2">
      <c r="B68" s="20" t="s">
        <v>270</v>
      </c>
      <c r="C68" s="64">
        <f>Statement!T153</f>
        <v>26986</v>
      </c>
      <c r="D68" s="64">
        <f>Statement!U153</f>
        <v>22285</v>
      </c>
      <c r="E68" s="64">
        <f>Statement!V153</f>
        <v>51117</v>
      </c>
      <c r="F68" s="64">
        <f>Statement!W153</f>
        <v>71994</v>
      </c>
      <c r="G68" s="64">
        <f>Statement!X153</f>
        <v>51732</v>
      </c>
      <c r="H68" s="64">
        <f>Statement!Y153</f>
        <v>41791</v>
      </c>
      <c r="I68" s="64">
        <f>Statement!Z153</f>
        <v>57470</v>
      </c>
      <c r="J68" s="64">
        <f>Statement!AA153</f>
        <v>113139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V15" zoomScale="184" zoomScaleNormal="75" workbookViewId="0">
      <selection activeCell="AE6" sqref="AE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4" t="s">
        <v>113</v>
      </c>
      <c r="D2" s="254"/>
      <c r="E2" s="254"/>
      <c r="F2" s="254"/>
      <c r="G2" s="260"/>
      <c r="H2" s="261" t="s">
        <v>114</v>
      </c>
      <c r="I2" s="254"/>
      <c r="J2" s="254"/>
      <c r="K2" s="254"/>
      <c r="L2" s="254"/>
      <c r="O2" s="5"/>
      <c r="S2" s="254" t="s">
        <v>113</v>
      </c>
      <c r="T2" s="254"/>
      <c r="U2" s="254"/>
      <c r="V2" s="254"/>
      <c r="W2" s="254"/>
      <c r="X2" s="254"/>
      <c r="Y2" s="254"/>
      <c r="Z2" s="254"/>
      <c r="AA2" s="254" t="s">
        <v>114</v>
      </c>
      <c r="AB2" s="254"/>
      <c r="AC2" s="254"/>
      <c r="AE2" s="86" t="s">
        <v>85</v>
      </c>
    </row>
    <row r="3" spans="1:31" ht="10" customHeight="1" x14ac:dyDescent="0.2">
      <c r="O3" s="5"/>
    </row>
    <row r="4" spans="1:31" ht="16" customHeight="1" x14ac:dyDescent="0.2">
      <c r="A4" s="87"/>
      <c r="B4" s="60"/>
      <c r="C4" s="262" t="s">
        <v>116</v>
      </c>
      <c r="D4" s="262"/>
      <c r="E4" s="262"/>
      <c r="F4" s="262"/>
      <c r="G4" s="262"/>
      <c r="H4" s="262"/>
      <c r="I4" s="262"/>
      <c r="J4" s="262"/>
      <c r="K4" s="262"/>
      <c r="L4" s="262"/>
      <c r="O4" s="5"/>
      <c r="S4" s="263" t="s">
        <v>116</v>
      </c>
      <c r="T4" s="264"/>
      <c r="U4" s="264"/>
      <c r="V4" s="264"/>
      <c r="W4" s="264"/>
      <c r="X4" s="264"/>
      <c r="Y4" s="264"/>
      <c r="Z4" s="264"/>
      <c r="AA4" s="264"/>
      <c r="AB4" s="264"/>
      <c r="AC4" s="264"/>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1003048.6199999999</v>
      </c>
      <c r="I6" s="64">
        <f t="shared" ref="I6:L6" si="1">I37*I34</f>
        <v>1140867.5003879999</v>
      </c>
      <c r="J6" s="64">
        <f t="shared" si="1"/>
        <v>1457458.2317456701</v>
      </c>
      <c r="K6" s="64">
        <f t="shared" si="1"/>
        <v>1989131.0086139876</v>
      </c>
      <c r="L6" s="64">
        <f t="shared" si="1"/>
        <v>2715760.5660606776</v>
      </c>
      <c r="N6" s="91" t="s">
        <v>406</v>
      </c>
      <c r="O6" s="5"/>
      <c r="Q6" s="130" t="s">
        <v>406</v>
      </c>
      <c r="R6" s="1" t="str">
        <f>B6</f>
        <v>Subscription</v>
      </c>
      <c r="S6" s="89">
        <f>Statement!T183</f>
        <v>143909</v>
      </c>
      <c r="T6" s="89">
        <f>Statement!U183</f>
        <v>157617</v>
      </c>
      <c r="U6" s="89">
        <f>Statement!V183</f>
        <v>174317</v>
      </c>
      <c r="V6" s="89">
        <f>Statement!W183</f>
        <v>190987</v>
      </c>
      <c r="W6" s="89">
        <f>Statement!X183</f>
        <v>210678</v>
      </c>
      <c r="X6" s="89">
        <f>Statement!Y183</f>
        <v>229491</v>
      </c>
      <c r="Y6" s="89">
        <f>Statement!Z183</f>
        <v>242286</v>
      </c>
      <c r="Z6" s="90">
        <f>Statement!AA183</f>
        <v>250908</v>
      </c>
      <c r="AA6" s="64">
        <f>AA37*AA34</f>
        <v>252199.99999999997</v>
      </c>
      <c r="AB6" s="64"/>
      <c r="AC6" s="64"/>
      <c r="AE6" s="64">
        <f>SUM(X6:AA6)</f>
        <v>974885</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101319.45600000001</v>
      </c>
      <c r="I7" s="64">
        <f t="shared" ref="I7:L7" si="2">I35*I31</f>
        <v>125051.36506632</v>
      </c>
      <c r="J7" s="64">
        <f t="shared" si="2"/>
        <v>150364.83979524698</v>
      </c>
      <c r="K7" s="64">
        <f t="shared" si="2"/>
        <v>188818.50987070572</v>
      </c>
      <c r="L7" s="64">
        <f t="shared" si="2"/>
        <v>232852.89027672861</v>
      </c>
      <c r="N7" s="91" t="s">
        <v>407</v>
      </c>
      <c r="O7" s="5"/>
      <c r="Q7" s="130" t="s">
        <v>407</v>
      </c>
      <c r="R7" s="1" t="str">
        <f t="shared" ref="R7:R10" si="3">B7</f>
        <v>Advertising</v>
      </c>
      <c r="S7" s="89">
        <f>Statement!T184</f>
        <v>13258</v>
      </c>
      <c r="T7" s="89">
        <f>Statement!U184</f>
        <v>14405</v>
      </c>
      <c r="U7" s="89">
        <f>Statement!V184</f>
        <v>14292</v>
      </c>
      <c r="V7" s="89">
        <f>Statement!W184</f>
        <v>17882</v>
      </c>
      <c r="W7" s="89">
        <f>Statement!X184</f>
        <v>20603</v>
      </c>
      <c r="X7" s="89">
        <f>Statement!Y184</f>
        <v>21019</v>
      </c>
      <c r="Y7" s="89">
        <f>Statement!Z184</f>
        <v>20221</v>
      </c>
      <c r="Z7" s="90">
        <f>Statement!AA184</f>
        <v>20614</v>
      </c>
      <c r="AA7" s="64">
        <f>AA35*AA31</f>
        <v>19605.3</v>
      </c>
      <c r="AB7" s="64"/>
      <c r="AC7" s="64"/>
      <c r="AE7" s="64">
        <f t="shared" ref="AE7:AE10" si="4">SUM(X7:AA7)</f>
        <v>81459.3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408</v>
      </c>
      <c r="O8" s="5"/>
      <c r="Q8" s="130" t="s">
        <v>408</v>
      </c>
      <c r="R8" s="1" t="str">
        <f t="shared" si="3"/>
        <v>English test</v>
      </c>
      <c r="S8" s="89">
        <f>Statement!T185</f>
        <v>10698</v>
      </c>
      <c r="T8" s="89">
        <f>Statement!U185</f>
        <v>10772</v>
      </c>
      <c r="U8" s="89">
        <f>Statement!V185</f>
        <v>11415</v>
      </c>
      <c r="V8" s="89">
        <f>Statement!W185</f>
        <v>11986</v>
      </c>
      <c r="W8" s="89">
        <f>Statement!X185</f>
        <v>10088</v>
      </c>
      <c r="X8" s="89">
        <f>Statement!Y185</f>
        <v>9649</v>
      </c>
      <c r="Y8" s="89">
        <f>Statement!Z185</f>
        <v>10283</v>
      </c>
      <c r="Z8" s="90">
        <f>Statement!AA185</f>
        <v>11317</v>
      </c>
      <c r="AA8" s="64">
        <f>Z8*(1+AA25)</f>
        <v>11882.85</v>
      </c>
      <c r="AB8" s="64"/>
      <c r="AC8" s="64"/>
      <c r="AE8" s="64">
        <f t="shared" si="4"/>
        <v>43131.85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44268</v>
      </c>
      <c r="I9" s="64">
        <f t="shared" ref="I9:L9" si="6">I27*I36</f>
        <v>51382.5</v>
      </c>
      <c r="J9" s="64">
        <f t="shared" si="6"/>
        <v>60236.1</v>
      </c>
      <c r="K9" s="64">
        <f t="shared" si="6"/>
        <v>82874.83425</v>
      </c>
      <c r="L9" s="64">
        <f t="shared" si="6"/>
        <v>106079.78784</v>
      </c>
      <c r="N9" s="91" t="s">
        <v>409</v>
      </c>
      <c r="O9" s="5"/>
      <c r="Q9" s="130" t="s">
        <v>409</v>
      </c>
      <c r="R9" s="1" t="str">
        <f t="shared" si="3"/>
        <v>In-App purchases</v>
      </c>
      <c r="S9" s="89">
        <f>Statement!T186</f>
        <v>10176</v>
      </c>
      <c r="T9" s="89">
        <f>Statement!U186</f>
        <v>9411</v>
      </c>
      <c r="U9" s="89">
        <f>Statement!V186</f>
        <v>9142</v>
      </c>
      <c r="V9" s="89">
        <f>Statement!W186</f>
        <v>9442</v>
      </c>
      <c r="W9" s="89">
        <f>Statement!X186</f>
        <v>10390</v>
      </c>
      <c r="X9" s="89">
        <f>Statement!Y186</f>
        <v>11096</v>
      </c>
      <c r="Y9" s="89">
        <f>Statement!Z186</f>
        <v>9551</v>
      </c>
      <c r="Z9" s="90">
        <f>Statement!AA186</f>
        <v>8446</v>
      </c>
      <c r="AA9" s="64">
        <f>AA27*AA36</f>
        <v>7322.4000000000005</v>
      </c>
      <c r="AB9" s="64"/>
      <c r="AC9" s="64"/>
      <c r="AE9" s="64">
        <f t="shared" si="4"/>
        <v>36415.4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410</v>
      </c>
      <c r="O10" s="5"/>
      <c r="Q10" s="130" t="s">
        <v>410</v>
      </c>
      <c r="R10" s="1" t="str">
        <f t="shared" si="3"/>
        <v>Other</v>
      </c>
      <c r="S10" s="89">
        <f>Statement!T187</f>
        <v>286</v>
      </c>
      <c r="T10" s="89">
        <f>Statement!U187</f>
        <v>389</v>
      </c>
      <c r="U10" s="89">
        <f>Statement!V187</f>
        <v>384</v>
      </c>
      <c r="V10" s="89">
        <f>Statement!W187</f>
        <v>446</v>
      </c>
      <c r="W10" s="89">
        <f>Statement!X187</f>
        <v>506</v>
      </c>
      <c r="X10" s="89">
        <f>Statement!Y187</f>
        <v>458</v>
      </c>
      <c r="Y10" s="89">
        <f>Statement!Z187</f>
        <v>527</v>
      </c>
      <c r="Z10" s="90">
        <f>Statement!AA187</f>
        <v>682</v>
      </c>
      <c r="AA10" s="64">
        <f>Z10*(1+AA26)</f>
        <v>620.62</v>
      </c>
      <c r="AB10" s="64"/>
      <c r="AC10" s="64"/>
      <c r="AE10" s="64">
        <f t="shared" si="4"/>
        <v>2287.62</v>
      </c>
    </row>
    <row r="11" spans="1:31" x14ac:dyDescent="0.2">
      <c r="B11" s="16" t="s">
        <v>121</v>
      </c>
      <c r="C11" s="93">
        <f>Statement!M5</f>
        <v>250772</v>
      </c>
      <c r="D11" s="93">
        <f>Statement!N5</f>
        <v>369495</v>
      </c>
      <c r="E11" s="93">
        <f>Statement!O5</f>
        <v>531109</v>
      </c>
      <c r="F11" s="93">
        <f>Statement!P5</f>
        <v>748024</v>
      </c>
      <c r="G11" s="94">
        <f>Statement!Q5</f>
        <v>1037589</v>
      </c>
      <c r="H11" s="95">
        <f>SUM(H6:H10)</f>
        <v>1191350.4259999997</v>
      </c>
      <c r="I11" s="95">
        <f t="shared" ref="I11:L11" si="8">SUM(I6:I10)</f>
        <v>1360200.6289543197</v>
      </c>
      <c r="J11" s="95">
        <f t="shared" si="8"/>
        <v>1713269.1658709173</v>
      </c>
      <c r="K11" s="95">
        <f t="shared" si="8"/>
        <v>2309683.4910669937</v>
      </c>
      <c r="L11" s="95">
        <f t="shared" si="8"/>
        <v>3108200.4906887901</v>
      </c>
      <c r="O11" s="5"/>
      <c r="R11" s="16" t="s">
        <v>121</v>
      </c>
      <c r="S11" s="93">
        <f>Statement!T5</f>
        <v>178327</v>
      </c>
      <c r="T11" s="93">
        <f>Statement!U5</f>
        <v>192594</v>
      </c>
      <c r="U11" s="93">
        <f>Statement!V5</f>
        <v>209550</v>
      </c>
      <c r="V11" s="93">
        <f>Statement!W5</f>
        <v>230743</v>
      </c>
      <c r="W11" s="93">
        <f>Statement!X5</f>
        <v>252265</v>
      </c>
      <c r="X11" s="93">
        <f>Statement!Y5</f>
        <v>271713</v>
      </c>
      <c r="Y11" s="93">
        <f>Statement!Z5</f>
        <v>282868</v>
      </c>
      <c r="Z11" s="94">
        <f>Statement!AA5</f>
        <v>291967</v>
      </c>
      <c r="AA11" s="95">
        <f>SUM(AA6:AA10)</f>
        <v>291631.17</v>
      </c>
      <c r="AB11" s="95"/>
      <c r="AC11" s="95"/>
      <c r="AE11" s="95">
        <f>SUM(X11:AA11)</f>
        <v>1138179.17</v>
      </c>
    </row>
    <row r="12" spans="1:31" x14ac:dyDescent="0.2">
      <c r="O12" s="5"/>
      <c r="Q12" s="92"/>
    </row>
    <row r="13" spans="1:31" x14ac:dyDescent="0.2">
      <c r="C13" s="262" t="s">
        <v>122</v>
      </c>
      <c r="D13" s="262"/>
      <c r="E13" s="262"/>
      <c r="F13" s="262"/>
      <c r="G13" s="262"/>
      <c r="H13" s="262"/>
      <c r="I13" s="262"/>
      <c r="J13" s="262"/>
      <c r="K13" s="262"/>
      <c r="L13" s="262"/>
      <c r="O13" s="5"/>
      <c r="Q13" s="92"/>
      <c r="S13" s="263" t="s">
        <v>122</v>
      </c>
      <c r="T13" s="264"/>
      <c r="U13" s="264"/>
      <c r="V13" s="264"/>
      <c r="W13" s="264"/>
      <c r="X13" s="264"/>
      <c r="Y13" s="264"/>
      <c r="Z13" s="264"/>
      <c r="AA13" s="264"/>
      <c r="AB13" s="264"/>
      <c r="AC13" s="264"/>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0.14838606341348348</v>
      </c>
      <c r="I15" s="96">
        <f t="shared" si="11"/>
        <v>0.13739999999999997</v>
      </c>
      <c r="J15" s="96">
        <f t="shared" si="11"/>
        <v>0.27750000000000008</v>
      </c>
      <c r="K15" s="96">
        <f t="shared" si="11"/>
        <v>0.36479452054794503</v>
      </c>
      <c r="L15" s="96">
        <f t="shared" si="11"/>
        <v>0.36530000000000018</v>
      </c>
      <c r="O15" s="5"/>
      <c r="Q15" s="92"/>
      <c r="R15" s="1" t="str">
        <f>R6</f>
        <v>Subscription</v>
      </c>
      <c r="S15" s="47"/>
      <c r="T15" s="96">
        <f t="shared" ref="T15:AA16" si="12">T6/S6-1</f>
        <v>9.5254640085053799E-2</v>
      </c>
      <c r="U15" s="96">
        <f t="shared" si="12"/>
        <v>0.10595303806061529</v>
      </c>
      <c r="V15" s="96">
        <f t="shared" si="12"/>
        <v>9.563037454751977E-2</v>
      </c>
      <c r="W15" s="96">
        <f t="shared" si="12"/>
        <v>0.10310125820081995</v>
      </c>
      <c r="X15" s="96">
        <f t="shared" si="12"/>
        <v>8.9297411215219391E-2</v>
      </c>
      <c r="Y15" s="96">
        <f t="shared" si="12"/>
        <v>5.5753820411257982E-2</v>
      </c>
      <c r="Z15" s="97">
        <f t="shared" si="12"/>
        <v>3.5586042940987106E-2</v>
      </c>
      <c r="AA15" s="96">
        <f t="shared" si="12"/>
        <v>5.1492977505698256E-3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0.27086178739416744</v>
      </c>
      <c r="I16" s="96">
        <f t="shared" si="13"/>
        <v>0.23422854803247262</v>
      </c>
      <c r="J16" s="96">
        <f t="shared" si="13"/>
        <v>0.20242461740023532</v>
      </c>
      <c r="K16" s="96">
        <f t="shared" si="13"/>
        <v>0.25573578323111579</v>
      </c>
      <c r="L16" s="96">
        <f t="shared" si="13"/>
        <v>0.23321008324965398</v>
      </c>
      <c r="O16" s="5"/>
      <c r="Q16" s="92"/>
      <c r="R16" s="1" t="str">
        <f>R7</f>
        <v>Advertising</v>
      </c>
      <c r="S16" s="47"/>
      <c r="T16" s="96">
        <f t="shared" si="12"/>
        <v>8.6513802986875943E-2</v>
      </c>
      <c r="U16" s="96">
        <f t="shared" si="12"/>
        <v>-7.8444984380423577E-3</v>
      </c>
      <c r="V16" s="96">
        <f t="shared" si="12"/>
        <v>0.25118947663028268</v>
      </c>
      <c r="W16" s="96">
        <f t="shared" si="12"/>
        <v>0.15216418745106819</v>
      </c>
      <c r="X16" s="96">
        <f t="shared" si="12"/>
        <v>2.01912342862689E-2</v>
      </c>
      <c r="Y16" s="96">
        <f t="shared" si="12"/>
        <v>-3.7965650126076445E-2</v>
      </c>
      <c r="Z16" s="97">
        <f t="shared" si="12"/>
        <v>1.9435240591464398E-2</v>
      </c>
      <c r="AA16" s="96">
        <f t="shared" si="12"/>
        <v>-4.8932764140875218E-2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6.917180781454535E-3</v>
      </c>
      <c r="U17" s="96">
        <f t="shared" ref="U17:Z17" si="15">U8/T8-1</f>
        <v>5.9691793538804383E-2</v>
      </c>
      <c r="V17" s="96">
        <f t="shared" si="15"/>
        <v>5.0021901007446301E-2</v>
      </c>
      <c r="W17" s="96">
        <f t="shared" si="15"/>
        <v>-0.15835140997830799</v>
      </c>
      <c r="X17" s="96">
        <f t="shared" si="15"/>
        <v>-4.3517049960348886E-2</v>
      </c>
      <c r="Y17" s="96">
        <f t="shared" si="15"/>
        <v>6.5706290807337586E-2</v>
      </c>
      <c r="Z17" s="97">
        <f t="shared" si="15"/>
        <v>0.10055431294369344</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9.3604091010153434E-2</v>
      </c>
      <c r="I18" s="96">
        <f t="shared" si="13"/>
        <v>0.16071428571428581</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-7.5176886792452824E-2</v>
      </c>
      <c r="U18" s="96">
        <f t="shared" si="20"/>
        <v>-2.8583572415258773E-2</v>
      </c>
      <c r="V18" s="96">
        <f t="shared" si="20"/>
        <v>3.2815576460293094E-2</v>
      </c>
      <c r="W18" s="96">
        <f t="shared" si="20"/>
        <v>0.10040245710654516</v>
      </c>
      <c r="X18" s="96">
        <f t="shared" si="20"/>
        <v>6.7949951876804526E-2</v>
      </c>
      <c r="Y18" s="96">
        <f t="shared" si="20"/>
        <v>-0.13923936553713046</v>
      </c>
      <c r="Z18" s="97">
        <f t="shared" si="20"/>
        <v>-0.11569469165532409</v>
      </c>
      <c r="AA18" s="96">
        <f t="shared" si="20"/>
        <v>-0.13303338858631297</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0.36013986013986021</v>
      </c>
      <c r="U19" s="96">
        <f t="shared" si="21"/>
        <v>-1.2853470437018011E-2</v>
      </c>
      <c r="V19" s="96">
        <f t="shared" si="21"/>
        <v>0.16145833333333326</v>
      </c>
      <c r="W19" s="96">
        <f t="shared" si="21"/>
        <v>0.13452914798206272</v>
      </c>
      <c r="X19" s="96">
        <f t="shared" si="21"/>
        <v>-9.4861660079051391E-2</v>
      </c>
      <c r="Y19" s="96">
        <f t="shared" si="21"/>
        <v>0.15065502183406121</v>
      </c>
      <c r="Z19" s="97">
        <f t="shared" si="21"/>
        <v>0.29411764705882359</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0.14819107180203317</v>
      </c>
      <c r="I20" s="104">
        <f t="shared" si="22"/>
        <v>0.14173008987896241</v>
      </c>
      <c r="J20" s="104">
        <f t="shared" si="22"/>
        <v>0.25957092608318066</v>
      </c>
      <c r="K20" s="104">
        <f t="shared" si="22"/>
        <v>0.34811478375780913</v>
      </c>
      <c r="L20" s="104">
        <f t="shared" si="22"/>
        <v>0.34572572506586563</v>
      </c>
      <c r="O20" s="5"/>
      <c r="Q20" s="92"/>
      <c r="R20" s="16" t="str">
        <f>R11</f>
        <v>Total</v>
      </c>
      <c r="S20" s="47"/>
      <c r="T20" s="104">
        <f t="shared" ref="T20:AA20" si="23">T11/S11-1</f>
        <v>8.0004710447660665E-2</v>
      </c>
      <c r="U20" s="104">
        <f t="shared" si="23"/>
        <v>8.8040125860618712E-2</v>
      </c>
      <c r="V20" s="104">
        <f t="shared" si="23"/>
        <v>0.10113576712001904</v>
      </c>
      <c r="W20" s="104">
        <f t="shared" si="23"/>
        <v>9.327260198575904E-2</v>
      </c>
      <c r="X20" s="104">
        <f t="shared" si="23"/>
        <v>7.7093532594691982E-2</v>
      </c>
      <c r="Y20" s="104">
        <f t="shared" si="23"/>
        <v>4.105434778608319E-2</v>
      </c>
      <c r="Z20" s="105">
        <f t="shared" si="23"/>
        <v>3.2166947127282075E-2</v>
      </c>
      <c r="AA20" s="104">
        <f t="shared" si="23"/>
        <v>-1.1502327317813865E-3</v>
      </c>
      <c r="AB20" s="104"/>
      <c r="AC20" s="104"/>
    </row>
    <row r="21" spans="2:31" x14ac:dyDescent="0.2">
      <c r="O21" s="5"/>
      <c r="Q21" s="92"/>
    </row>
    <row r="22" spans="2:31" x14ac:dyDescent="0.2">
      <c r="O22" s="5"/>
      <c r="Q22" s="92"/>
    </row>
    <row r="23" spans="2:31" x14ac:dyDescent="0.2">
      <c r="C23" s="262" t="s">
        <v>124</v>
      </c>
      <c r="D23" s="262"/>
      <c r="E23" s="262"/>
      <c r="F23" s="262"/>
      <c r="G23" s="262"/>
      <c r="H23" s="262"/>
      <c r="I23" s="262"/>
      <c r="J23" s="262"/>
      <c r="K23" s="262"/>
      <c r="L23" s="262"/>
      <c r="O23" s="5"/>
      <c r="Q23" s="92"/>
      <c r="S23" s="263" t="s">
        <v>124</v>
      </c>
      <c r="T23" s="264"/>
      <c r="U23" s="264"/>
      <c r="V23" s="264"/>
      <c r="W23" s="264"/>
      <c r="X23" s="264"/>
      <c r="Y23" s="264"/>
      <c r="Z23" s="264"/>
      <c r="AA23" s="264"/>
      <c r="AB23" s="264"/>
      <c r="AC23" s="264"/>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Q2 2024</v>
      </c>
      <c r="T24" s="12" t="str">
        <f t="shared" si="25"/>
        <v>Q3 2024</v>
      </c>
      <c r="U24" s="12" t="str">
        <f t="shared" si="25"/>
        <v>Q4 2024</v>
      </c>
      <c r="V24" s="12" t="str">
        <f t="shared" si="25"/>
        <v>Q1 2025</v>
      </c>
      <c r="W24" s="12" t="str">
        <f t="shared" si="25"/>
        <v>Q2 2025</v>
      </c>
      <c r="X24" s="12" t="str">
        <f t="shared" si="25"/>
        <v>Q3 2025</v>
      </c>
      <c r="Y24" s="12" t="str">
        <f t="shared" si="25"/>
        <v>Q4 2025</v>
      </c>
      <c r="Z24" s="12" t="str">
        <f t="shared" si="25"/>
        <v>Q1 2026</v>
      </c>
      <c r="AA24" s="12" t="str">
        <f t="shared" si="25"/>
        <v>FQ1</v>
      </c>
      <c r="AB24" s="12" t="str">
        <f t="shared" si="25"/>
        <v>FQ2</v>
      </c>
      <c r="AC24" s="12" t="str">
        <f t="shared" si="25"/>
        <v>FQ3</v>
      </c>
      <c r="AE24" s="8" t="str">
        <f>AE5</f>
        <v>FQ1</v>
      </c>
    </row>
    <row r="25" spans="2:31" x14ac:dyDescent="0.2">
      <c r="B25" s="1" t="s">
        <v>408</v>
      </c>
      <c r="C25" s="47"/>
      <c r="D25" s="239">
        <f>D17</f>
        <v>0.32687160353637768</v>
      </c>
      <c r="E25" s="239">
        <f t="shared" ref="E25:G25" si="26">E17</f>
        <v>0.25961244574851761</v>
      </c>
      <c r="F25" s="239">
        <f t="shared" si="26"/>
        <v>0.10744443366009904</v>
      </c>
      <c r="G25" s="240">
        <f t="shared" si="26"/>
        <v>-7.9623137598597737E-2</v>
      </c>
      <c r="H25" s="98">
        <v>-0.05</v>
      </c>
      <c r="I25" s="98">
        <v>-0.02</v>
      </c>
      <c r="J25" s="98">
        <v>0.03</v>
      </c>
      <c r="K25" s="98">
        <v>0.06</v>
      </c>
      <c r="L25" s="98">
        <v>0.08</v>
      </c>
      <c r="N25" s="91"/>
      <c r="O25" s="5"/>
      <c r="Q25" s="91"/>
      <c r="R25" s="1" t="s">
        <v>408</v>
      </c>
      <c r="S25" s="47"/>
      <c r="T25" s="146">
        <f>T17</f>
        <v>6.917180781454535E-3</v>
      </c>
      <c r="U25" s="239">
        <f t="shared" ref="U25:Z25" si="27">U17</f>
        <v>5.9691793538804383E-2</v>
      </c>
      <c r="V25" s="239">
        <f t="shared" si="27"/>
        <v>5.0021901007446301E-2</v>
      </c>
      <c r="W25" s="239">
        <f t="shared" si="27"/>
        <v>-0.15835140997830799</v>
      </c>
      <c r="X25" s="239">
        <f t="shared" si="27"/>
        <v>-4.3517049960348886E-2</v>
      </c>
      <c r="Y25" s="239">
        <f t="shared" si="27"/>
        <v>6.5706290807337586E-2</v>
      </c>
      <c r="Z25" s="240">
        <f t="shared" si="27"/>
        <v>0.10055431294369344</v>
      </c>
      <c r="AA25" s="98">
        <v>0.05</v>
      </c>
      <c r="AB25" s="98"/>
      <c r="AC25" s="98"/>
      <c r="AE25" s="47"/>
    </row>
    <row r="26" spans="2:31" x14ac:dyDescent="0.2">
      <c r="B26" s="1" t="s">
        <v>410</v>
      </c>
      <c r="C26" s="47"/>
      <c r="D26" s="239">
        <f>D19</f>
        <v>6.9113924050632916</v>
      </c>
      <c r="E26" s="239">
        <f t="shared" ref="E26:G26" si="28">E19</f>
        <v>9.1199999999999948E-2</v>
      </c>
      <c r="F26" s="239">
        <f t="shared" si="28"/>
        <v>0.89589442815249276</v>
      </c>
      <c r="G26" s="240">
        <f t="shared" si="28"/>
        <v>0.49806651198762575</v>
      </c>
      <c r="H26" s="98">
        <v>0.45</v>
      </c>
      <c r="I26" s="98">
        <v>0.35</v>
      </c>
      <c r="J26" s="98">
        <v>0.3</v>
      </c>
      <c r="K26" s="98">
        <v>0.25</v>
      </c>
      <c r="L26" s="98">
        <v>0.2</v>
      </c>
      <c r="N26" s="91"/>
      <c r="O26" s="5"/>
      <c r="Q26" s="91"/>
      <c r="R26" s="1" t="s">
        <v>410</v>
      </c>
      <c r="S26" s="47"/>
      <c r="T26" s="146">
        <f>T19</f>
        <v>0.36013986013986021</v>
      </c>
      <c r="U26" s="239">
        <f t="shared" ref="U26:Z26" si="29">U19</f>
        <v>-1.2853470437018011E-2</v>
      </c>
      <c r="V26" s="239">
        <f t="shared" si="29"/>
        <v>0.16145833333333326</v>
      </c>
      <c r="W26" s="239">
        <f t="shared" si="29"/>
        <v>0.13452914798206272</v>
      </c>
      <c r="X26" s="239">
        <f t="shared" si="29"/>
        <v>-9.4861660079051391E-2</v>
      </c>
      <c r="Y26" s="239">
        <f t="shared" si="29"/>
        <v>0.15065502183406121</v>
      </c>
      <c r="Z26" s="240">
        <f t="shared" si="29"/>
        <v>0.29411764705882359</v>
      </c>
      <c r="AA26" s="98">
        <v>-0.09</v>
      </c>
      <c r="AB26" s="98"/>
      <c r="AC26" s="98"/>
      <c r="AE26" s="47"/>
    </row>
    <row r="27" spans="2:31" x14ac:dyDescent="0.2">
      <c r="B27" s="1" t="s">
        <v>387</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411</v>
      </c>
      <c r="O27" s="5"/>
      <c r="Q27" s="130" t="s">
        <v>411</v>
      </c>
      <c r="R27" s="1" t="s">
        <v>387</v>
      </c>
      <c r="S27" s="101">
        <f>Statement!T209</f>
        <v>34100</v>
      </c>
      <c r="T27" s="99">
        <f>Statement!U209</f>
        <v>37200</v>
      </c>
      <c r="U27" s="101">
        <f>Statement!V209</f>
        <v>40500</v>
      </c>
      <c r="V27" s="101">
        <f>Statement!W209</f>
        <v>46600</v>
      </c>
      <c r="W27" s="101">
        <f>Statement!X209</f>
        <v>47700</v>
      </c>
      <c r="X27" s="101">
        <f>Statement!Y209</f>
        <v>50500</v>
      </c>
      <c r="Y27" s="101">
        <f>Statement!Z209</f>
        <v>52700</v>
      </c>
      <c r="Z27" s="102">
        <f>Statement!AA209</f>
        <v>56500</v>
      </c>
      <c r="AA27" s="24">
        <f>Z27*(1+AA29)</f>
        <v>61020.000000000007</v>
      </c>
      <c r="AB27" s="24"/>
      <c r="AC27" s="24"/>
      <c r="AE27" s="24">
        <f>AA27</f>
        <v>61020.000000000007</v>
      </c>
    </row>
    <row r="28" spans="2:31" x14ac:dyDescent="0.2">
      <c r="B28" s="1" t="s">
        <v>388</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412</v>
      </c>
      <c r="O28" s="5"/>
      <c r="Q28" s="130" t="s">
        <v>412</v>
      </c>
      <c r="R28" s="1" t="s">
        <v>388</v>
      </c>
      <c r="S28" s="101">
        <f>Statement!T210</f>
        <v>103600</v>
      </c>
      <c r="T28" s="99">
        <f>Statement!U210</f>
        <v>113100</v>
      </c>
      <c r="U28" s="101">
        <f>Statement!V210</f>
        <v>116700</v>
      </c>
      <c r="V28" s="101">
        <f>Statement!W210</f>
        <v>130200</v>
      </c>
      <c r="W28" s="101">
        <f>Statement!X210</f>
        <v>128300</v>
      </c>
      <c r="X28" s="101">
        <f>Statement!Y210</f>
        <v>135300</v>
      </c>
      <c r="Y28" s="101">
        <f>Statement!Z210</f>
        <v>133100</v>
      </c>
      <c r="Z28" s="102">
        <f>Statement!AA210</f>
        <v>137800</v>
      </c>
      <c r="AA28" s="24">
        <f>Z28*(1+AA30)</f>
        <v>143312</v>
      </c>
      <c r="AB28" s="24"/>
      <c r="AC28" s="24"/>
      <c r="AE28" s="24">
        <f>AA28</f>
        <v>143312</v>
      </c>
    </row>
    <row r="29" spans="2:31" x14ac:dyDescent="0.2">
      <c r="B29" s="1" t="s">
        <v>411</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411</v>
      </c>
      <c r="S29" s="47"/>
      <c r="T29" s="146">
        <f>T27/S27-1</f>
        <v>9.0909090909090828E-2</v>
      </c>
      <c r="U29" s="96">
        <f t="shared" ref="U29:Z29" si="33">U27/T27-1</f>
        <v>8.870967741935476E-2</v>
      </c>
      <c r="V29" s="96">
        <f t="shared" si="33"/>
        <v>0.15061728395061724</v>
      </c>
      <c r="W29" s="96">
        <f t="shared" si="33"/>
        <v>2.3605150214592197E-2</v>
      </c>
      <c r="X29" s="96">
        <f t="shared" si="33"/>
        <v>5.8700209643605783E-2</v>
      </c>
      <c r="Y29" s="96">
        <f t="shared" si="33"/>
        <v>4.3564356435643603E-2</v>
      </c>
      <c r="Z29" s="97">
        <f t="shared" si="33"/>
        <v>7.2106261859582466E-2</v>
      </c>
      <c r="AA29" s="98">
        <v>0.08</v>
      </c>
      <c r="AB29" s="98"/>
      <c r="AC29" s="98"/>
      <c r="AE29" s="47"/>
    </row>
    <row r="30" spans="2:31" x14ac:dyDescent="0.2">
      <c r="B30" s="1" t="s">
        <v>412</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412</v>
      </c>
      <c r="S30" s="47"/>
      <c r="T30" s="146">
        <f>T28/S28-1</f>
        <v>9.1698841698841793E-2</v>
      </c>
      <c r="U30" s="96">
        <f t="shared" ref="U30:Z30" si="35">U28/T28-1</f>
        <v>3.1830238726790361E-2</v>
      </c>
      <c r="V30" s="96">
        <f t="shared" si="35"/>
        <v>0.11568123393316188</v>
      </c>
      <c r="W30" s="96">
        <f t="shared" si="35"/>
        <v>-1.4592933947772613E-2</v>
      </c>
      <c r="X30" s="96">
        <f t="shared" si="35"/>
        <v>5.4559625876851037E-2</v>
      </c>
      <c r="Y30" s="96">
        <f t="shared" si="35"/>
        <v>-1.6260162601625994E-2</v>
      </c>
      <c r="Z30" s="97">
        <f t="shared" si="35"/>
        <v>3.5311795642374078E-2</v>
      </c>
      <c r="AA30" s="107">
        <v>0.04</v>
      </c>
      <c r="AB30" s="107"/>
      <c r="AC30" s="107"/>
      <c r="AE30" s="47"/>
    </row>
    <row r="31" spans="2:31" x14ac:dyDescent="0.2">
      <c r="B31" s="1" t="s">
        <v>413</v>
      </c>
      <c r="C31" s="241">
        <f>Statement!M216</f>
        <v>1.0131842105263158</v>
      </c>
      <c r="D31" s="241">
        <f>Statement!N216</f>
        <v>0.79169911504424784</v>
      </c>
      <c r="E31" s="241">
        <f>Statement!O216</f>
        <v>0.60951100244498779</v>
      </c>
      <c r="F31" s="241">
        <f>Statement!P216</f>
        <v>0.51219216417910451</v>
      </c>
      <c r="G31" s="242">
        <f>Statement!Q216</f>
        <v>0.65942928039702231</v>
      </c>
      <c r="H31" s="106">
        <v>0.7</v>
      </c>
      <c r="I31" s="106">
        <v>0.71</v>
      </c>
      <c r="J31" s="106">
        <v>0.7</v>
      </c>
      <c r="K31" s="106">
        <v>0.72</v>
      </c>
      <c r="L31" s="106">
        <v>0.73</v>
      </c>
      <c r="N31" s="91"/>
      <c r="O31" s="5"/>
      <c r="R31" s="1" t="s">
        <v>413</v>
      </c>
      <c r="S31" s="241">
        <f>Statement!T216</f>
        <v>0.13868200836820083</v>
      </c>
      <c r="T31" s="248">
        <f>Statement!U216</f>
        <v>0.13784688995215311</v>
      </c>
      <c r="U31" s="241">
        <f>Statement!V216</f>
        <v>0.13332089552238807</v>
      </c>
      <c r="V31" s="241">
        <f>Statement!W216</f>
        <v>0.14914095079232695</v>
      </c>
      <c r="W31" s="241">
        <f>Statement!X216</f>
        <v>0.17549403747870529</v>
      </c>
      <c r="X31" s="241">
        <f>Statement!Y216</f>
        <v>0.16978190630048465</v>
      </c>
      <c r="Y31" s="241">
        <f>Statement!Z216</f>
        <v>0.1672539288668321</v>
      </c>
      <c r="Z31" s="242">
        <f>Statement!AA216</f>
        <v>0.1645171588188348</v>
      </c>
      <c r="AA31" s="106">
        <v>0.15</v>
      </c>
      <c r="AB31" s="106"/>
      <c r="AC31" s="106"/>
      <c r="AE31" s="72">
        <f>AE7/AE35</f>
        <v>0.6232444798090313</v>
      </c>
    </row>
    <row r="32" spans="2:31" x14ac:dyDescent="0.2">
      <c r="B32" s="1" t="s">
        <v>393</v>
      </c>
      <c r="C32" s="243">
        <f>Statement!M215</f>
        <v>6.1728395061728392E-2</v>
      </c>
      <c r="D32" s="243">
        <f>Statement!N215</f>
        <v>6.919275123558484E-2</v>
      </c>
      <c r="E32" s="243">
        <f>Statement!O215</f>
        <v>7.4660633484162894E-2</v>
      </c>
      <c r="F32" s="243">
        <f>Statement!P215</f>
        <v>8.1405312767780638E-2</v>
      </c>
      <c r="G32" s="244">
        <f>Statement!Q215</f>
        <v>9.1660405709992482E-2</v>
      </c>
      <c r="H32" s="156">
        <f>G32*(1+H33)</f>
        <v>8.6160781367392927E-2</v>
      </c>
      <c r="I32" s="156">
        <f t="shared" ref="I32:L32" si="36">H32*(1+I33)</f>
        <v>8.099113448534935E-2</v>
      </c>
      <c r="J32" s="156">
        <f t="shared" si="36"/>
        <v>8.5040691209616825E-2</v>
      </c>
      <c r="K32" s="156">
        <f t="shared" si="36"/>
        <v>9.1843946506386179E-2</v>
      </c>
      <c r="L32" s="156">
        <f t="shared" si="36"/>
        <v>0.10194678062208867</v>
      </c>
      <c r="N32" s="91" t="s">
        <v>414</v>
      </c>
      <c r="O32" s="5"/>
      <c r="Q32" s="91" t="s">
        <v>414</v>
      </c>
      <c r="R32" s="1" t="s">
        <v>393</v>
      </c>
      <c r="S32" s="243">
        <f>Statement!T215</f>
        <v>7.7220077220077218E-2</v>
      </c>
      <c r="T32" s="249">
        <f>Statement!U215</f>
        <v>7.6038903625110524E-2</v>
      </c>
      <c r="U32" s="243">
        <f>Statement!V215</f>
        <v>8.1405312767780638E-2</v>
      </c>
      <c r="V32" s="243">
        <f>Statement!W215</f>
        <v>7.9109062980030717E-2</v>
      </c>
      <c r="W32" s="243">
        <f>Statement!X215</f>
        <v>8.4957131722525336E-2</v>
      </c>
      <c r="X32" s="243">
        <f>Statement!Y215</f>
        <v>8.4996304508499626E-2</v>
      </c>
      <c r="Y32" s="243">
        <f>Statement!Z215</f>
        <v>9.1660405709992482E-2</v>
      </c>
      <c r="Z32" s="244">
        <f>Statement!AA215</f>
        <v>9.071117561683599E-2</v>
      </c>
      <c r="AA32" s="156">
        <f>Z32*(1+AA33)</f>
        <v>8.7989840348330906E-2</v>
      </c>
      <c r="AB32" s="156"/>
      <c r="AC32" s="156"/>
      <c r="AE32" s="47"/>
    </row>
    <row r="33" spans="2:31" x14ac:dyDescent="0.2">
      <c r="B33" s="1" t="s">
        <v>414</v>
      </c>
      <c r="C33" s="47"/>
      <c r="D33" s="96">
        <f>D32/C32-1</f>
        <v>0.12092257001647444</v>
      </c>
      <c r="E33" s="96">
        <f t="shared" ref="E33:G33" si="37">E32/D32-1</f>
        <v>7.9023917259211318E-2</v>
      </c>
      <c r="F33" s="96">
        <f t="shared" si="37"/>
        <v>9.0337825556334739E-2</v>
      </c>
      <c r="G33" s="97">
        <f t="shared" si="37"/>
        <v>0.12597572066906548</v>
      </c>
      <c r="H33" s="98">
        <v>-0.06</v>
      </c>
      <c r="I33" s="98">
        <v>-0.06</v>
      </c>
      <c r="J33" s="98">
        <v>0.05</v>
      </c>
      <c r="K33" s="98">
        <v>0.08</v>
      </c>
      <c r="L33" s="98">
        <v>0.11</v>
      </c>
      <c r="N33" s="91"/>
      <c r="O33" s="5"/>
      <c r="R33" s="1" t="s">
        <v>414</v>
      </c>
      <c r="S33" s="47"/>
      <c r="T33" s="146">
        <v>-1</v>
      </c>
      <c r="U33" s="96">
        <f t="shared" ref="U33" si="38">U32/T32-1</f>
        <v>7.0574520236742933E-2</v>
      </c>
      <c r="V33" s="96">
        <f t="shared" ref="V33" si="39">V32/U32-1</f>
        <v>-2.8207615813727993E-2</v>
      </c>
      <c r="W33" s="96">
        <f t="shared" ref="W33" si="40">W32/V32-1</f>
        <v>7.392413109444651E-2</v>
      </c>
      <c r="X33" s="96">
        <f t="shared" ref="X33" si="41">X32/W32-1</f>
        <v>4.6108884775231118E-4</v>
      </c>
      <c r="Y33" s="96">
        <f t="shared" ref="Y33" si="42">Y32/X32-1</f>
        <v>7.8404599353215865E-2</v>
      </c>
      <c r="Z33" s="97">
        <f t="shared" ref="Z33" si="43">Z32/Y32-1</f>
        <v>-1.0355944704846687E-2</v>
      </c>
      <c r="AA33" s="98">
        <v>-0.03</v>
      </c>
      <c r="AB33" s="98"/>
      <c r="AC33" s="98"/>
      <c r="AE33" s="47"/>
    </row>
    <row r="34" spans="2:31" x14ac:dyDescent="0.2">
      <c r="B34" s="1" t="s">
        <v>415</v>
      </c>
      <c r="C34" s="101">
        <f>Statement!M211</f>
        <v>2500</v>
      </c>
      <c r="D34" s="101">
        <f>Statement!N211</f>
        <v>4200</v>
      </c>
      <c r="E34" s="101">
        <f>Statement!O211</f>
        <v>6600</v>
      </c>
      <c r="F34" s="101">
        <f>Statement!P211</f>
        <v>9500</v>
      </c>
      <c r="G34" s="102">
        <f>Statement!Q211</f>
        <v>12200</v>
      </c>
      <c r="H34" s="24">
        <f>H32*H28</f>
        <v>13646.919999999998</v>
      </c>
      <c r="I34" s="24">
        <f t="shared" ref="I34:L34" si="44">I32*I28</f>
        <v>15522.006807999998</v>
      </c>
      <c r="J34" s="24">
        <f t="shared" si="44"/>
        <v>19965.181256790001</v>
      </c>
      <c r="K34" s="24">
        <f t="shared" si="44"/>
        <v>26521.746781519836</v>
      </c>
      <c r="L34" s="24">
        <f t="shared" si="44"/>
        <v>36210.140880809035</v>
      </c>
      <c r="N34" s="91" t="s">
        <v>418</v>
      </c>
      <c r="O34" s="5"/>
      <c r="Q34" s="91" t="s">
        <v>418</v>
      </c>
      <c r="R34" s="1" t="s">
        <v>415</v>
      </c>
      <c r="S34" s="101">
        <f>Statement!T211</f>
        <v>8000</v>
      </c>
      <c r="T34" s="99">
        <f>Statement!U211</f>
        <v>8600</v>
      </c>
      <c r="U34" s="101">
        <f>Statement!V211</f>
        <v>9500</v>
      </c>
      <c r="V34" s="101">
        <f>Statement!W211</f>
        <v>10300</v>
      </c>
      <c r="W34" s="101">
        <f>Statement!X211</f>
        <v>10900</v>
      </c>
      <c r="X34" s="101">
        <f>Statement!Y211</f>
        <v>11500</v>
      </c>
      <c r="Y34" s="101">
        <f>Statement!Z211</f>
        <v>12200</v>
      </c>
      <c r="Z34" s="102">
        <f>Statement!AA211</f>
        <v>12500</v>
      </c>
      <c r="AA34" s="24">
        <f>AA32*AA28</f>
        <v>12609.999999999998</v>
      </c>
      <c r="AB34" s="24"/>
      <c r="AC34" s="24"/>
      <c r="AE34" s="24">
        <f>AA34</f>
        <v>12609.999999999998</v>
      </c>
    </row>
    <row r="35" spans="2:31" x14ac:dyDescent="0.2">
      <c r="B35" s="1" t="s">
        <v>390</v>
      </c>
      <c r="C35" s="101">
        <f>Statement!M212</f>
        <v>38000</v>
      </c>
      <c r="D35" s="101">
        <f>Statement!N212</f>
        <v>56500</v>
      </c>
      <c r="E35" s="101">
        <f>Statement!O212</f>
        <v>81800</v>
      </c>
      <c r="F35" s="101">
        <f>Statement!P212</f>
        <v>107200</v>
      </c>
      <c r="G35" s="102">
        <f>Statement!Q212</f>
        <v>120900</v>
      </c>
      <c r="H35" s="24">
        <f>H28-H34</f>
        <v>144742.08000000002</v>
      </c>
      <c r="I35" s="24">
        <f t="shared" ref="I35:L35" si="45">I28-I34</f>
        <v>176128.683192</v>
      </c>
      <c r="J35" s="24">
        <f t="shared" si="45"/>
        <v>214806.91399321001</v>
      </c>
      <c r="K35" s="24">
        <f t="shared" si="45"/>
        <v>262247.93037598016</v>
      </c>
      <c r="L35" s="24">
        <f t="shared" si="45"/>
        <v>318976.56202291592</v>
      </c>
      <c r="N35" s="91" t="s">
        <v>419</v>
      </c>
      <c r="O35" s="5"/>
      <c r="Q35" s="91" t="s">
        <v>419</v>
      </c>
      <c r="R35" s="1" t="s">
        <v>390</v>
      </c>
      <c r="S35" s="101">
        <f>Statement!T212</f>
        <v>95600</v>
      </c>
      <c r="T35" s="99">
        <f>Statement!U212</f>
        <v>104500</v>
      </c>
      <c r="U35" s="101">
        <f>Statement!V212</f>
        <v>107200</v>
      </c>
      <c r="V35" s="101">
        <f>Statement!W212</f>
        <v>119900</v>
      </c>
      <c r="W35" s="101">
        <f>Statement!X212</f>
        <v>117400</v>
      </c>
      <c r="X35" s="101">
        <f>Statement!Y212</f>
        <v>123800</v>
      </c>
      <c r="Y35" s="101">
        <f>Statement!Z212</f>
        <v>120900</v>
      </c>
      <c r="Z35" s="102">
        <f>Statement!AA212</f>
        <v>125300</v>
      </c>
      <c r="AA35" s="24">
        <f>AA28-AA34</f>
        <v>130702</v>
      </c>
      <c r="AB35" s="24"/>
      <c r="AC35" s="24"/>
      <c r="AE35" s="24">
        <f>AA35</f>
        <v>130702</v>
      </c>
    </row>
    <row r="36" spans="2:31" x14ac:dyDescent="0.2">
      <c r="B36" s="1" t="s">
        <v>416</v>
      </c>
      <c r="C36" s="243">
        <f>Statement!M217</f>
        <v>0.72031250000000002</v>
      </c>
      <c r="D36" s="243">
        <f>Statement!N217</f>
        <v>1.1373619631901841</v>
      </c>
      <c r="E36" s="243">
        <f>Statement!O217</f>
        <v>1.2889591078066915</v>
      </c>
      <c r="F36" s="243">
        <f>Statement!P217</f>
        <v>0.95439506172839506</v>
      </c>
      <c r="G36" s="244">
        <f>Statement!Q217</f>
        <v>0.76810246679316885</v>
      </c>
      <c r="H36" s="245">
        <v>0.7</v>
      </c>
      <c r="I36" s="245">
        <v>0.65</v>
      </c>
      <c r="J36" s="245">
        <v>0.6</v>
      </c>
      <c r="K36" s="245">
        <v>0.65</v>
      </c>
      <c r="L36" s="245">
        <v>0.65</v>
      </c>
      <c r="O36" s="5"/>
      <c r="R36" s="1" t="s">
        <v>416</v>
      </c>
      <c r="S36" s="243">
        <f>Statement!T217</f>
        <v>0.29841642228739002</v>
      </c>
      <c r="T36" s="249">
        <f>Statement!U217</f>
        <v>0.25298387096774194</v>
      </c>
      <c r="U36" s="243">
        <f>Statement!V217</f>
        <v>0.2257283950617284</v>
      </c>
      <c r="V36" s="243">
        <f>Statement!W217</f>
        <v>0.20261802575107296</v>
      </c>
      <c r="W36" s="243">
        <f>Statement!X217</f>
        <v>0.21781970649895177</v>
      </c>
      <c r="X36" s="243">
        <f>Statement!Y217</f>
        <v>0.21972277227722772</v>
      </c>
      <c r="Y36" s="243">
        <f>Statement!Z217</f>
        <v>0.18123339658444024</v>
      </c>
      <c r="Z36" s="244">
        <f>Statement!AA217</f>
        <v>0.14948672566371682</v>
      </c>
      <c r="AA36" s="245">
        <v>0.12</v>
      </c>
      <c r="AB36" s="245"/>
      <c r="AC36" s="245"/>
      <c r="AE36" s="47"/>
    </row>
    <row r="37" spans="2:31" x14ac:dyDescent="0.2">
      <c r="B37" s="1" t="s">
        <v>417</v>
      </c>
      <c r="C37" s="246">
        <f>Statement!M213</f>
        <v>72.279200000000003</v>
      </c>
      <c r="D37" s="246">
        <f>Statement!N213</f>
        <v>65.120714285714286</v>
      </c>
      <c r="E37" s="246">
        <f>Statement!O213</f>
        <v>61.315757575757573</v>
      </c>
      <c r="F37" s="246">
        <f>Statement!P213</f>
        <v>63.950631578947366</v>
      </c>
      <c r="G37" s="247">
        <f>Statement!Q213</f>
        <v>71.593606557377043</v>
      </c>
      <c r="H37" s="103">
        <v>73.5</v>
      </c>
      <c r="I37" s="103">
        <v>73.5</v>
      </c>
      <c r="J37" s="103">
        <v>73</v>
      </c>
      <c r="K37" s="103">
        <v>75</v>
      </c>
      <c r="L37" s="103">
        <v>75</v>
      </c>
      <c r="O37" s="5"/>
      <c r="R37" s="1" t="s">
        <v>417</v>
      </c>
      <c r="S37" s="246">
        <f>Statement!T213</f>
        <v>17.988624999999999</v>
      </c>
      <c r="T37" s="250">
        <f>Statement!U213</f>
        <v>18.327558139534883</v>
      </c>
      <c r="U37" s="246">
        <f>Statement!V213</f>
        <v>18.349157894736841</v>
      </c>
      <c r="V37" s="246">
        <f>Statement!W213</f>
        <v>18.542427184466021</v>
      </c>
      <c r="W37" s="246">
        <f>Statement!X213</f>
        <v>19.328256880733946</v>
      </c>
      <c r="X37" s="246">
        <f>Statement!Y213</f>
        <v>19.955739130434782</v>
      </c>
      <c r="Y37" s="246">
        <f>Statement!Z213</f>
        <v>19.859508196721311</v>
      </c>
      <c r="Z37" s="247">
        <f>Statement!AA213</f>
        <v>20.07264</v>
      </c>
      <c r="AA37" s="103">
        <v>20</v>
      </c>
      <c r="AB37" s="103"/>
      <c r="AC37" s="103"/>
      <c r="AE37" s="47"/>
    </row>
    <row r="38" spans="2:31" x14ac:dyDescent="0.2">
      <c r="B38" s="1" t="s">
        <v>392</v>
      </c>
      <c r="C38" s="243">
        <f>Statement!M214</f>
        <v>0.23703703703703705</v>
      </c>
      <c r="D38" s="243">
        <f>Statement!N214</f>
        <v>0.26853377265238881</v>
      </c>
      <c r="E38" s="243">
        <f>Statement!O214</f>
        <v>0.30429864253393663</v>
      </c>
      <c r="F38" s="243">
        <f>Statement!P214</f>
        <v>0.34704370179948585</v>
      </c>
      <c r="G38" s="244">
        <f>Statement!Q214</f>
        <v>0.3959429000751315</v>
      </c>
      <c r="H38" s="245">
        <v>0.44</v>
      </c>
      <c r="I38" s="156">
        <f t="shared" ref="I38:L38" si="46">I27/I28</f>
        <v>0.41246916460358163</v>
      </c>
      <c r="J38" s="156">
        <f t="shared" si="46"/>
        <v>0.42762109309922341</v>
      </c>
      <c r="K38" s="156">
        <f t="shared" si="46"/>
        <v>0.44152747011058024</v>
      </c>
      <c r="L38" s="156">
        <f t="shared" si="46"/>
        <v>0.45947574125328688</v>
      </c>
      <c r="N38" s="1" t="s">
        <v>420</v>
      </c>
      <c r="O38" s="5"/>
      <c r="Q38" s="1" t="s">
        <v>420</v>
      </c>
      <c r="R38" s="1" t="s">
        <v>392</v>
      </c>
      <c r="S38" s="243">
        <f>Statement!T214</f>
        <v>0.32915057915057916</v>
      </c>
      <c r="T38" s="249">
        <f>Statement!U214</f>
        <v>0.32891246684350134</v>
      </c>
      <c r="U38" s="243">
        <f>Statement!V214</f>
        <v>0.34704370179948585</v>
      </c>
      <c r="V38" s="243">
        <f>Statement!W214</f>
        <v>0.3579109062980031</v>
      </c>
      <c r="W38" s="243">
        <f>Statement!X214</f>
        <v>0.37178487918939984</v>
      </c>
      <c r="X38" s="243">
        <f>Statement!Y214</f>
        <v>0.37324464153732445</v>
      </c>
      <c r="Y38" s="243">
        <f>Statement!Z214</f>
        <v>0.3959429000751315</v>
      </c>
      <c r="Z38" s="244">
        <f>Statement!AA214</f>
        <v>0.41001451378809867</v>
      </c>
      <c r="AA38" s="156">
        <f>AA27/AA28</f>
        <v>0.42578430277994872</v>
      </c>
      <c r="AB38" s="156"/>
      <c r="AC38" s="156"/>
      <c r="AE38" s="47"/>
    </row>
    <row r="39" spans="2:31" x14ac:dyDescent="0.2">
      <c r="O39" s="5"/>
    </row>
    <row r="40" spans="2:31" x14ac:dyDescent="0.2">
      <c r="C40" s="262" t="s">
        <v>126</v>
      </c>
      <c r="D40" s="262"/>
      <c r="E40" s="262"/>
      <c r="F40" s="262"/>
      <c r="G40" s="262"/>
      <c r="H40" s="262"/>
      <c r="I40" s="262"/>
      <c r="J40" s="262"/>
      <c r="K40" s="262"/>
      <c r="L40" s="262"/>
      <c r="O40" s="5"/>
      <c r="S40" s="263" t="s">
        <v>126</v>
      </c>
      <c r="T40" s="264"/>
      <c r="U40" s="264"/>
      <c r="V40" s="264"/>
      <c r="W40" s="264"/>
      <c r="X40" s="264"/>
      <c r="Y40" s="264"/>
      <c r="Z40" s="264"/>
      <c r="AA40" s="264"/>
      <c r="AB40" s="264"/>
      <c r="AC40" s="264"/>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Q2 2024</v>
      </c>
      <c r="T41" s="12" t="str">
        <f t="shared" si="48"/>
        <v>Q3 2024</v>
      </c>
      <c r="U41" s="12" t="str">
        <f t="shared" si="48"/>
        <v>Q4 2024</v>
      </c>
      <c r="V41" s="12" t="str">
        <f t="shared" si="48"/>
        <v>Q1 2025</v>
      </c>
      <c r="W41" s="12" t="str">
        <f t="shared" si="48"/>
        <v>Q2 2025</v>
      </c>
      <c r="X41" s="12" t="str">
        <f t="shared" si="48"/>
        <v>Q3 2025</v>
      </c>
      <c r="Y41" s="12" t="str">
        <f t="shared" si="48"/>
        <v>Q4 2025</v>
      </c>
      <c r="Z41" s="12" t="str">
        <f t="shared" si="48"/>
        <v>Q1 2026</v>
      </c>
      <c r="AA41" s="12" t="str">
        <f t="shared" si="48"/>
        <v>FQ1</v>
      </c>
      <c r="AB41" s="12" t="str">
        <f t="shared" si="48"/>
        <v>FQ2</v>
      </c>
      <c r="AC41" s="12" t="str">
        <f t="shared" si="48"/>
        <v>FQ3</v>
      </c>
    </row>
    <row r="42" spans="2:31" x14ac:dyDescent="0.2">
      <c r="B42" s="1" t="s">
        <v>413</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413</v>
      </c>
      <c r="S42" s="47"/>
      <c r="T42" s="96">
        <f>T31/S31-1</f>
        <v>-6.0218223392790593E-3</v>
      </c>
      <c r="U42" s="96">
        <f t="shared" ref="U42:AA42" si="50">U31/T31-1</f>
        <v>-3.2833489615442302E-2</v>
      </c>
      <c r="V42" s="96">
        <f t="shared" si="50"/>
        <v>0.11866148369279639</v>
      </c>
      <c r="W42" s="96">
        <f t="shared" si="50"/>
        <v>0.17669919996067351</v>
      </c>
      <c r="X42" s="96">
        <f t="shared" si="50"/>
        <v>-3.2548861831922737E-2</v>
      </c>
      <c r="Y42" s="96">
        <f t="shared" si="50"/>
        <v>-1.4889557366486783E-2</v>
      </c>
      <c r="Z42" s="97">
        <f t="shared" si="50"/>
        <v>-1.6362964185889561E-2</v>
      </c>
      <c r="AA42" s="96">
        <f t="shared" si="50"/>
        <v>-8.8241001261278762E-2</v>
      </c>
    </row>
    <row r="43" spans="2:31" x14ac:dyDescent="0.2">
      <c r="B43" s="1" t="s">
        <v>415</v>
      </c>
      <c r="C43" s="47"/>
      <c r="D43" s="96">
        <f>D34/C34-1</f>
        <v>0.67999999999999994</v>
      </c>
      <c r="E43" s="96">
        <f t="shared" ref="E43:L47" si="51">E34/D34-1</f>
        <v>0.5714285714285714</v>
      </c>
      <c r="F43" s="96">
        <f t="shared" si="51"/>
        <v>0.43939393939393945</v>
      </c>
      <c r="G43" s="97">
        <f t="shared" si="51"/>
        <v>0.28421052631578947</v>
      </c>
      <c r="H43" s="96">
        <f t="shared" si="51"/>
        <v>0.11859999999999982</v>
      </c>
      <c r="I43" s="96">
        <f t="shared" si="51"/>
        <v>0.13739999999999997</v>
      </c>
      <c r="J43" s="96">
        <f t="shared" si="51"/>
        <v>0.28625000000000034</v>
      </c>
      <c r="K43" s="96">
        <f t="shared" si="51"/>
        <v>0.3283999999999998</v>
      </c>
      <c r="L43" s="96">
        <f t="shared" si="51"/>
        <v>0.36530000000000018</v>
      </c>
      <c r="O43" s="5"/>
      <c r="R43" s="1" t="s">
        <v>415</v>
      </c>
      <c r="S43" s="47"/>
      <c r="T43" s="96">
        <f>T34/S34-1</f>
        <v>7.4999999999999956E-2</v>
      </c>
      <c r="U43" s="96">
        <f t="shared" ref="U43:AA43" si="52">U34/T34-1</f>
        <v>0.10465116279069764</v>
      </c>
      <c r="V43" s="96">
        <f t="shared" si="52"/>
        <v>8.4210526315789513E-2</v>
      </c>
      <c r="W43" s="96">
        <f t="shared" si="52"/>
        <v>5.8252427184465994E-2</v>
      </c>
      <c r="X43" s="96">
        <f t="shared" si="52"/>
        <v>5.504587155963292E-2</v>
      </c>
      <c r="Y43" s="96">
        <f t="shared" si="52"/>
        <v>6.0869565217391397E-2</v>
      </c>
      <c r="Z43" s="97">
        <f t="shared" si="52"/>
        <v>2.4590163934426146E-2</v>
      </c>
      <c r="AA43" s="96">
        <f t="shared" si="52"/>
        <v>8.799999999999919E-3</v>
      </c>
    </row>
    <row r="44" spans="2:31" x14ac:dyDescent="0.2">
      <c r="B44" s="1" t="s">
        <v>390</v>
      </c>
      <c r="C44" s="47"/>
      <c r="D44" s="96">
        <f>D35/C35-1</f>
        <v>0.48684210526315796</v>
      </c>
      <c r="E44" s="96">
        <f t="shared" si="51"/>
        <v>0.44778761061946892</v>
      </c>
      <c r="F44" s="96">
        <f t="shared" si="51"/>
        <v>0.31051344743276288</v>
      </c>
      <c r="G44" s="97">
        <f t="shared" si="51"/>
        <v>0.12779850746268662</v>
      </c>
      <c r="H44" s="96">
        <f t="shared" si="51"/>
        <v>0.19720496277915656</v>
      </c>
      <c r="I44" s="96">
        <f t="shared" si="51"/>
        <v>0.21684504735595889</v>
      </c>
      <c r="J44" s="96">
        <f t="shared" si="51"/>
        <v>0.21960211193452461</v>
      </c>
      <c r="K44" s="96">
        <f t="shared" si="51"/>
        <v>0.22085423369691792</v>
      </c>
      <c r="L44" s="96">
        <f t="shared" si="51"/>
        <v>0.2163167944380151</v>
      </c>
      <c r="R44" s="1" t="s">
        <v>390</v>
      </c>
      <c r="S44" s="47"/>
      <c r="T44" s="96">
        <f>T35/S35-1</f>
        <v>9.3096234309623327E-2</v>
      </c>
      <c r="U44" s="96">
        <f t="shared" ref="U44:AA44" si="53">U35/T35-1</f>
        <v>2.5837320574162659E-2</v>
      </c>
      <c r="V44" s="96">
        <f t="shared" si="53"/>
        <v>0.11847014925373145</v>
      </c>
      <c r="W44" s="96">
        <f t="shared" si="53"/>
        <v>-2.0850708924103456E-2</v>
      </c>
      <c r="X44" s="96">
        <f t="shared" si="53"/>
        <v>5.4514480408858645E-2</v>
      </c>
      <c r="Y44" s="96">
        <f t="shared" si="53"/>
        <v>-2.342487883683364E-2</v>
      </c>
      <c r="Z44" s="97">
        <f t="shared" si="53"/>
        <v>3.6393713813068551E-2</v>
      </c>
      <c r="AA44" s="96">
        <f t="shared" si="53"/>
        <v>4.3112529928172494E-2</v>
      </c>
    </row>
    <row r="45" spans="2:31" x14ac:dyDescent="0.2">
      <c r="B45" s="1" t="s">
        <v>416</v>
      </c>
      <c r="C45" s="47"/>
      <c r="D45" s="96">
        <f>D36/C36-1</f>
        <v>0.57898407037248978</v>
      </c>
      <c r="E45" s="96">
        <f t="shared" si="51"/>
        <v>0.13328838973240575</v>
      </c>
      <c r="F45" s="96">
        <f t="shared" si="51"/>
        <v>-0.25956141203547933</v>
      </c>
      <c r="G45" s="97">
        <f t="shared" si="51"/>
        <v>-0.19519442462102976</v>
      </c>
      <c r="H45" s="96">
        <f t="shared" si="51"/>
        <v>-8.8663257491538805E-2</v>
      </c>
      <c r="I45" s="96">
        <f t="shared" si="51"/>
        <v>-7.1428571428571286E-2</v>
      </c>
      <c r="J45" s="96">
        <f t="shared" si="51"/>
        <v>-7.6923076923076983E-2</v>
      </c>
      <c r="K45" s="96">
        <f t="shared" si="51"/>
        <v>8.3333333333333481E-2</v>
      </c>
      <c r="L45" s="96">
        <f t="shared" si="51"/>
        <v>0</v>
      </c>
      <c r="R45" s="1" t="s">
        <v>416</v>
      </c>
      <c r="S45" s="47"/>
      <c r="T45" s="96">
        <f>T36/S36-1</f>
        <v>-0.15224547955974832</v>
      </c>
      <c r="U45" s="96">
        <f t="shared" ref="U45:AA45" si="54">U36/T36-1</f>
        <v>-0.10773602207031174</v>
      </c>
      <c r="V45" s="96">
        <f t="shared" si="54"/>
        <v>-0.10238131230382252</v>
      </c>
      <c r="W45" s="96">
        <f t="shared" si="54"/>
        <v>7.5026299814779929E-2</v>
      </c>
      <c r="X45" s="96">
        <f t="shared" si="54"/>
        <v>8.7368852380906858E-3</v>
      </c>
      <c r="Y45" s="96">
        <f t="shared" si="54"/>
        <v>-0.17517244705170942</v>
      </c>
      <c r="Z45" s="97">
        <f t="shared" si="54"/>
        <v>-0.17517009292452357</v>
      </c>
      <c r="AA45" s="96">
        <f t="shared" si="54"/>
        <v>-0.19725313757991958</v>
      </c>
    </row>
    <row r="46" spans="2:31" x14ac:dyDescent="0.2">
      <c r="B46" s="1" t="s">
        <v>417</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417</v>
      </c>
      <c r="S46" s="47"/>
      <c r="T46" s="96">
        <f>T37/S37-1</f>
        <v>1.8841525660515224E-2</v>
      </c>
      <c r="U46" s="96">
        <f t="shared" ref="U46:AA46" si="55">U37/T37-1</f>
        <v>1.1785397180306134E-3</v>
      </c>
      <c r="V46" s="96">
        <f t="shared" si="55"/>
        <v>1.0532869728295147E-2</v>
      </c>
      <c r="W46" s="96">
        <f t="shared" si="55"/>
        <v>4.2380088024627893E-2</v>
      </c>
      <c r="X46" s="96">
        <f t="shared" si="55"/>
        <v>3.2464502803990491E-2</v>
      </c>
      <c r="Y46" s="96">
        <f t="shared" si="55"/>
        <v>-4.8222184647978006E-3</v>
      </c>
      <c r="Z46" s="97">
        <f t="shared" si="55"/>
        <v>1.0731977910403367E-2</v>
      </c>
      <c r="AA46" s="96">
        <f t="shared" si="55"/>
        <v>-3.6188563138680463E-3</v>
      </c>
    </row>
    <row r="47" spans="2:31" x14ac:dyDescent="0.2">
      <c r="B47" s="1" t="s">
        <v>392</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392</v>
      </c>
      <c r="S47" s="47"/>
      <c r="T47" s="96">
        <f>T38/S38-1</f>
        <v>-7.2341451651791733E-4</v>
      </c>
      <c r="U47" s="96">
        <f t="shared" ref="U47:AA47" si="56">U38/T38-1</f>
        <v>5.5124803051662674E-2</v>
      </c>
      <c r="V47" s="96">
        <f t="shared" si="56"/>
        <v>3.131364851794971E-2</v>
      </c>
      <c r="W47" s="96">
        <f t="shared" si="56"/>
        <v>3.8763761168666422E-2</v>
      </c>
      <c r="X47" s="96">
        <f t="shared" si="56"/>
        <v>3.9263628771222248E-3</v>
      </c>
      <c r="Y47" s="96">
        <f t="shared" si="56"/>
        <v>6.0813354062679181E-2</v>
      </c>
      <c r="Z47" s="97">
        <f t="shared" si="56"/>
        <v>3.5539502565387737E-2</v>
      </c>
      <c r="AA47" s="96">
        <f t="shared" si="56"/>
        <v>3.8461538461538769E-2</v>
      </c>
    </row>
  </sheetData>
  <mergeCells count="12">
    <mergeCell ref="C13:L13"/>
    <mergeCell ref="S13:AC13"/>
    <mergeCell ref="C23:L23"/>
    <mergeCell ref="S23:AC23"/>
    <mergeCell ref="C40:L40"/>
    <mergeCell ref="S40:AC4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F5"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4" t="s">
        <v>113</v>
      </c>
      <c r="D2" s="254"/>
      <c r="E2" s="254"/>
      <c r="F2" s="254"/>
      <c r="G2" s="260"/>
      <c r="H2" s="261" t="s">
        <v>114</v>
      </c>
      <c r="I2" s="254"/>
      <c r="J2" s="254"/>
      <c r="K2" s="254"/>
      <c r="L2" s="254"/>
      <c r="P2" s="254" t="s">
        <v>113</v>
      </c>
      <c r="Q2" s="254"/>
      <c r="R2" s="254"/>
      <c r="S2" s="254"/>
      <c r="T2" s="254"/>
      <c r="U2" s="254"/>
      <c r="V2" s="254"/>
      <c r="W2" s="254"/>
      <c r="X2" s="254" t="s">
        <v>114</v>
      </c>
      <c r="Y2" s="254"/>
      <c r="Z2" s="254"/>
      <c r="AB2" s="86" t="s">
        <v>115</v>
      </c>
    </row>
    <row r="3" spans="1:28" ht="10" customHeight="1" x14ac:dyDescent="0.2"/>
    <row r="4" spans="1:28" ht="16" customHeight="1" x14ac:dyDescent="0.2">
      <c r="A4" s="87"/>
      <c r="B4" s="60"/>
      <c r="C4" s="262" t="s">
        <v>116</v>
      </c>
      <c r="D4" s="262"/>
      <c r="E4" s="262"/>
      <c r="F4" s="262"/>
      <c r="G4" s="262"/>
      <c r="H4" s="262"/>
      <c r="I4" s="262"/>
      <c r="J4" s="262"/>
      <c r="K4" s="262"/>
      <c r="L4" s="262"/>
      <c r="P4" s="264" t="s">
        <v>116</v>
      </c>
      <c r="Q4" s="264"/>
      <c r="R4" s="264"/>
      <c r="S4" s="264"/>
      <c r="T4" s="264"/>
      <c r="U4" s="264"/>
      <c r="V4" s="264"/>
      <c r="W4" s="264"/>
      <c r="X4" s="264"/>
      <c r="Y4" s="264"/>
      <c r="Z4" s="264"/>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c r="O6" s="16" t="s">
        <v>20</v>
      </c>
      <c r="P6" s="93">
        <f>Revenue!S11</f>
        <v>178327</v>
      </c>
      <c r="Q6" s="93">
        <f>Revenue!T11</f>
        <v>192594</v>
      </c>
      <c r="R6" s="93">
        <f>Revenue!U11</f>
        <v>209550</v>
      </c>
      <c r="S6" s="93">
        <f>Revenue!V11</f>
        <v>230743</v>
      </c>
      <c r="T6" s="93">
        <f>Revenue!W11</f>
        <v>252265</v>
      </c>
      <c r="U6" s="93">
        <f>Revenue!X11</f>
        <v>271713</v>
      </c>
      <c r="V6" s="93">
        <f>Revenue!Y11</f>
        <v>282868</v>
      </c>
      <c r="W6" s="94">
        <f>Revenue!Z11</f>
        <v>291967</v>
      </c>
      <c r="X6" s="93">
        <f>Revenue!AA11</f>
        <v>291631.17</v>
      </c>
      <c r="Y6" s="95"/>
      <c r="Z6" s="95"/>
      <c r="AB6" s="93">
        <f>Revenue!AE11</f>
        <v>1138179.17</v>
      </c>
    </row>
    <row r="7" spans="1:28" x14ac:dyDescent="0.2">
      <c r="N7" s="92"/>
    </row>
    <row r="8" spans="1:28" x14ac:dyDescent="0.2">
      <c r="N8" s="92"/>
    </row>
    <row r="9" spans="1:28" x14ac:dyDescent="0.2">
      <c r="C9" s="262" t="s">
        <v>129</v>
      </c>
      <c r="D9" s="262"/>
      <c r="E9" s="262"/>
      <c r="F9" s="262"/>
      <c r="G9" s="262"/>
      <c r="H9" s="262"/>
      <c r="I9" s="262"/>
      <c r="J9" s="262"/>
      <c r="K9" s="262"/>
      <c r="L9" s="262"/>
      <c r="N9" s="92"/>
      <c r="P9" s="264" t="s">
        <v>130</v>
      </c>
      <c r="Q9" s="264"/>
      <c r="R9" s="264"/>
      <c r="S9" s="264"/>
      <c r="T9" s="264"/>
      <c r="U9" s="264"/>
      <c r="V9" s="264"/>
      <c r="W9" s="264"/>
      <c r="X9" s="264"/>
      <c r="Y9" s="264"/>
      <c r="Z9" s="264"/>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333578.11927999998</v>
      </c>
      <c r="I11" s="110">
        <f t="shared" ref="I11:L11" si="3">I6*I20</f>
        <v>374055.17296243797</v>
      </c>
      <c r="J11" s="110">
        <f t="shared" si="3"/>
        <v>479715.36644385685</v>
      </c>
      <c r="K11" s="110">
        <f t="shared" si="3"/>
        <v>618995.17560595437</v>
      </c>
      <c r="L11" s="110">
        <f t="shared" si="3"/>
        <v>857863.33543010615</v>
      </c>
      <c r="N11" s="92"/>
      <c r="O11" s="16" t="str">
        <f t="shared" ref="O11:O15" si="4">B11</f>
        <v>COGS</v>
      </c>
      <c r="P11" s="108">
        <f>Statement!T6</f>
        <v>47349</v>
      </c>
      <c r="Q11" s="108">
        <f>Statement!U6</f>
        <v>52180</v>
      </c>
      <c r="R11" s="108">
        <f>Statement!V6</f>
        <v>58925</v>
      </c>
      <c r="S11" s="108">
        <f>Statement!W6</f>
        <v>66647</v>
      </c>
      <c r="T11" s="108">
        <f>Statement!X6</f>
        <v>69684</v>
      </c>
      <c r="U11" s="108">
        <f>Statement!Y6</f>
        <v>74802</v>
      </c>
      <c r="V11" s="108">
        <f>Statement!Z6</f>
        <v>76999</v>
      </c>
      <c r="W11" s="109">
        <f>Statement!AA6</f>
        <v>78871</v>
      </c>
      <c r="X11" s="110">
        <f>X6*X20</f>
        <v>81656.727599999998</v>
      </c>
      <c r="Y11" s="110"/>
      <c r="Z11" s="110"/>
      <c r="AB11" s="110">
        <f t="shared" ref="AB11:AB15" si="5">SUM(U11:X11)</f>
        <v>312328.72759999998</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416972.64909999986</v>
      </c>
      <c r="I12" s="24">
        <f>I6*I21</f>
        <v>408060.18868629594</v>
      </c>
      <c r="J12" s="24">
        <f>J6*J21</f>
        <v>513980.74976127513</v>
      </c>
      <c r="K12" s="24">
        <f>K6*K21</f>
        <v>716001.88223076798</v>
      </c>
      <c r="L12" s="24">
        <f>L6*L21</f>
        <v>901378.14229974907</v>
      </c>
      <c r="N12" s="92"/>
      <c r="O12" s="39" t="str">
        <f t="shared" si="4"/>
        <v>R&amp;D</v>
      </c>
      <c r="P12" s="99">
        <f>Statement!T8</f>
        <v>55147</v>
      </c>
      <c r="Q12" s="99">
        <f>Statement!U8</f>
        <v>62878</v>
      </c>
      <c r="R12" s="99">
        <f>Statement!V8</f>
        <v>66395</v>
      </c>
      <c r="S12" s="99">
        <f>Statement!W8</f>
        <v>70390</v>
      </c>
      <c r="T12" s="99">
        <f>Statement!X8</f>
        <v>73670</v>
      </c>
      <c r="U12" s="99">
        <f>Statement!Y8</f>
        <v>82707</v>
      </c>
      <c r="V12" s="99">
        <f>Statement!Z8</f>
        <v>79556</v>
      </c>
      <c r="W12" s="100">
        <f>Statement!AA8</f>
        <v>82974</v>
      </c>
      <c r="X12" s="25">
        <f>X21*X$6</f>
        <v>86322.826319999993</v>
      </c>
      <c r="Y12" s="24"/>
      <c r="Z12" s="24"/>
      <c r="AB12" s="24">
        <f t="shared" si="5"/>
        <v>331559.82631999999</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154875.55537999998</v>
      </c>
      <c r="I13" s="24">
        <f>I6*I22</f>
        <v>170025.07861928997</v>
      </c>
      <c r="J13" s="24">
        <f>J6*J22</f>
        <v>205592.29990451006</v>
      </c>
      <c r="K13" s="24">
        <f>K6*K22</f>
        <v>265613.60147270426</v>
      </c>
      <c r="L13" s="24">
        <f>L6*L22</f>
        <v>341902.05397576693</v>
      </c>
      <c r="M13" s="91"/>
      <c r="N13" s="91"/>
      <c r="O13" s="39" t="str">
        <f t="shared" si="4"/>
        <v>Sales and marketing</v>
      </c>
      <c r="P13" s="99">
        <f>Statement!T9</f>
        <v>20174</v>
      </c>
      <c r="Q13" s="99">
        <f>Statement!U9</f>
        <v>25574</v>
      </c>
      <c r="R13" s="99">
        <f>Statement!V9</f>
        <v>24815</v>
      </c>
      <c r="S13" s="99">
        <f>Statement!W9</f>
        <v>26662</v>
      </c>
      <c r="T13" s="99">
        <f>Statement!X9</f>
        <v>29563</v>
      </c>
      <c r="U13" s="99">
        <f>Statement!Y9</f>
        <v>35081</v>
      </c>
      <c r="V13" s="99">
        <f>Statement!Z9</f>
        <v>34371</v>
      </c>
      <c r="W13" s="100">
        <f>Statement!AA9</f>
        <v>39249</v>
      </c>
      <c r="X13" s="25">
        <f>X22*X$6</f>
        <v>33537.58455</v>
      </c>
      <c r="Y13" s="24"/>
      <c r="Z13" s="24"/>
      <c r="AB13" s="24">
        <f t="shared" si="5"/>
        <v>142238.58455</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214443.07667999994</v>
      </c>
      <c r="I14" s="24">
        <f>I6*I23</f>
        <v>231234.10692223438</v>
      </c>
      <c r="J14" s="24">
        <f>J6*J23</f>
        <v>274123.06653934676</v>
      </c>
      <c r="K14" s="24">
        <f>K6*K23</f>
        <v>404194.61093672388</v>
      </c>
      <c r="L14" s="24">
        <f>L6*L23</f>
        <v>528394.08341709431</v>
      </c>
      <c r="M14" s="91"/>
      <c r="N14" s="91"/>
      <c r="O14" s="39" t="str">
        <f t="shared" si="4"/>
        <v>General and administrative</v>
      </c>
      <c r="P14" s="99">
        <f>Statement!T10</f>
        <v>36957</v>
      </c>
      <c r="Q14" s="99">
        <f>Statement!U10</f>
        <v>38388</v>
      </c>
      <c r="R14" s="99">
        <f>Statement!V10</f>
        <v>45533</v>
      </c>
      <c r="S14" s="99">
        <f>Statement!W10</f>
        <v>43450</v>
      </c>
      <c r="T14" s="99">
        <f>Statement!X10</f>
        <v>45985</v>
      </c>
      <c r="U14" s="99">
        <f>Statement!Y10</f>
        <v>43964</v>
      </c>
      <c r="V14" s="99">
        <f>Statement!Z10</f>
        <v>48488</v>
      </c>
      <c r="W14" s="100">
        <f>Statement!AA10</f>
        <v>46346</v>
      </c>
      <c r="X14" s="25">
        <f>X23*X$6</f>
        <v>53951.766449999996</v>
      </c>
      <c r="Y14" s="24"/>
      <c r="Z14" s="24"/>
      <c r="AB14" s="24">
        <f t="shared" si="5"/>
        <v>192749.76645</v>
      </c>
    </row>
    <row r="15" spans="1:28" x14ac:dyDescent="0.2">
      <c r="B15" s="16" t="s">
        <v>26</v>
      </c>
      <c r="C15" s="108">
        <f>Statement!M11</f>
        <v>241593</v>
      </c>
      <c r="D15" s="108">
        <f>Statement!N11</f>
        <v>335259</v>
      </c>
      <c r="E15" s="108">
        <f>Statement!O11</f>
        <v>402263</v>
      </c>
      <c r="F15" s="108">
        <f>Statement!P11</f>
        <v>481784</v>
      </c>
      <c r="G15" s="109">
        <f>Statement!Q11</f>
        <v>613887</v>
      </c>
      <c r="H15" s="110">
        <f>SUM(H12:H14)</f>
        <v>786291.28115999978</v>
      </c>
      <c r="I15" s="110">
        <f>SUM(I12:I14)</f>
        <v>809319.37422782031</v>
      </c>
      <c r="J15" s="110">
        <f>SUM(J12:J14)</f>
        <v>993696.11620513187</v>
      </c>
      <c r="K15" s="110">
        <f>SUM(K12:K14)</f>
        <v>1385810.0946401961</v>
      </c>
      <c r="L15" s="110">
        <f>SUM(L12:L14)</f>
        <v>1771674.2796926103</v>
      </c>
      <c r="M15" s="91"/>
      <c r="N15" s="91"/>
      <c r="O15" s="16" t="str">
        <f t="shared" si="4"/>
        <v>OpEx</v>
      </c>
      <c r="P15" s="108">
        <f>Statement!T11</f>
        <v>112278</v>
      </c>
      <c r="Q15" s="108">
        <f>Statement!U11</f>
        <v>126840</v>
      </c>
      <c r="R15" s="108">
        <f>Statement!V11</f>
        <v>136743</v>
      </c>
      <c r="S15" s="108">
        <f>Statement!W11</f>
        <v>140502</v>
      </c>
      <c r="T15" s="108">
        <f>Statement!X11</f>
        <v>149218</v>
      </c>
      <c r="U15" s="108">
        <f>Statement!Y11</f>
        <v>161752</v>
      </c>
      <c r="V15" s="108">
        <f>Statement!Z11</f>
        <v>162415</v>
      </c>
      <c r="W15" s="109">
        <f>Statement!AA11</f>
        <v>168569</v>
      </c>
      <c r="X15" s="110">
        <f>SUM(X12:X14)</f>
        <v>173812.17731999999</v>
      </c>
      <c r="Y15" s="110"/>
      <c r="Z15" s="110"/>
      <c r="AB15" s="110">
        <f t="shared" si="5"/>
        <v>666548.17732000002</v>
      </c>
    </row>
    <row r="18" spans="2:26" x14ac:dyDescent="0.2">
      <c r="C18" s="262" t="s">
        <v>132</v>
      </c>
      <c r="D18" s="262"/>
      <c r="E18" s="262"/>
      <c r="F18" s="262"/>
      <c r="G18" s="262"/>
      <c r="H18" s="262"/>
      <c r="I18" s="262"/>
      <c r="J18" s="262"/>
      <c r="K18" s="262"/>
      <c r="L18" s="262"/>
      <c r="P18" s="264" t="s">
        <v>132</v>
      </c>
      <c r="Q18" s="264"/>
      <c r="R18" s="264"/>
      <c r="S18" s="264"/>
      <c r="T18" s="264"/>
      <c r="U18" s="264"/>
      <c r="V18" s="264"/>
      <c r="W18" s="264"/>
      <c r="X18" s="264"/>
      <c r="Y18" s="264"/>
      <c r="Z18" s="264"/>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0.26551784082051511</v>
      </c>
      <c r="Q20" s="104">
        <f t="shared" ref="Q20:V20" si="11">Q11/Q$6</f>
        <v>0.27093263549227908</v>
      </c>
      <c r="R20" s="104">
        <f t="shared" si="11"/>
        <v>0.28119780481985207</v>
      </c>
      <c r="S20" s="104">
        <f t="shared" si="11"/>
        <v>0.28883649774857745</v>
      </c>
      <c r="T20" s="104">
        <f t="shared" si="11"/>
        <v>0.27623332606584344</v>
      </c>
      <c r="U20" s="104">
        <f t="shared" si="11"/>
        <v>0.27529783263958663</v>
      </c>
      <c r="V20" s="104">
        <f t="shared" si="11"/>
        <v>0.27220823847165465</v>
      </c>
      <c r="W20" s="105">
        <f t="shared" ref="W20:X24" si="12">W11/W$6</f>
        <v>0.27013669353043324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0.30924649660455233</v>
      </c>
      <c r="Q21" s="96">
        <f t="shared" ref="Q21:V21" si="14">Q12/Q$6</f>
        <v>0.32647953726491996</v>
      </c>
      <c r="R21" s="96">
        <f t="shared" si="14"/>
        <v>0.31684562157003104</v>
      </c>
      <c r="S21" s="96">
        <f t="shared" si="14"/>
        <v>0.30505800826027224</v>
      </c>
      <c r="T21" s="96">
        <f t="shared" si="14"/>
        <v>0.29203417041603075</v>
      </c>
      <c r="U21" s="96">
        <f t="shared" si="14"/>
        <v>0.30439103024146802</v>
      </c>
      <c r="V21" s="96">
        <f t="shared" si="14"/>
        <v>0.2812477904888499</v>
      </c>
      <c r="W21" s="97">
        <f t="shared" si="12"/>
        <v>0.2841896515702117</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0.11312925131920573</v>
      </c>
      <c r="Q22" s="96">
        <f t="shared" si="17"/>
        <v>0.13278710655575979</v>
      </c>
      <c r="R22" s="96">
        <f t="shared" si="17"/>
        <v>0.11842042471963732</v>
      </c>
      <c r="S22" s="96">
        <f t="shared" si="17"/>
        <v>0.11554846734245459</v>
      </c>
      <c r="T22" s="96">
        <f t="shared" si="17"/>
        <v>0.11719025627812023</v>
      </c>
      <c r="U22" s="96">
        <f t="shared" si="17"/>
        <v>0.1291104952652247</v>
      </c>
      <c r="V22" s="96">
        <f t="shared" si="17"/>
        <v>0.12150897238287824</v>
      </c>
      <c r="W22" s="97">
        <f t="shared" si="12"/>
        <v>0.1344295759452267</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0.20724287404599415</v>
      </c>
      <c r="Q23" s="96">
        <f t="shared" si="17"/>
        <v>0.19932085111685721</v>
      </c>
      <c r="R23" s="96">
        <f t="shared" si="17"/>
        <v>0.2172894297303746</v>
      </c>
      <c r="S23" s="96">
        <f t="shared" si="17"/>
        <v>0.18830473730514036</v>
      </c>
      <c r="T23" s="96">
        <f t="shared" si="17"/>
        <v>0.18228846649356828</v>
      </c>
      <c r="U23" s="96">
        <f t="shared" si="17"/>
        <v>0.16180307898407512</v>
      </c>
      <c r="V23" s="96">
        <f t="shared" si="17"/>
        <v>0.17141564263189898</v>
      </c>
      <c r="W23" s="97">
        <f t="shared" si="12"/>
        <v>0.1587371175509561</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0.65999999999999992</v>
      </c>
      <c r="I24" s="104">
        <f t="shared" si="19"/>
        <v>0.59500000000000008</v>
      </c>
      <c r="J24" s="104">
        <f t="shared" si="19"/>
        <v>0.57999999999999996</v>
      </c>
      <c r="K24" s="104">
        <f t="shared" si="19"/>
        <v>0.6</v>
      </c>
      <c r="L24" s="104">
        <f t="shared" si="19"/>
        <v>0.56999999999999995</v>
      </c>
      <c r="O24" s="16" t="str">
        <f t="shared" si="10"/>
        <v>OpEx</v>
      </c>
      <c r="P24" s="104">
        <f t="shared" si="17"/>
        <v>0.62961862196975216</v>
      </c>
      <c r="Q24" s="104">
        <f t="shared" si="17"/>
        <v>0.65858749493753699</v>
      </c>
      <c r="R24" s="104">
        <f t="shared" si="17"/>
        <v>0.65255547602004293</v>
      </c>
      <c r="S24" s="104">
        <f t="shared" si="17"/>
        <v>0.60891121290786721</v>
      </c>
      <c r="T24" s="104">
        <f t="shared" si="17"/>
        <v>0.59151289318771927</v>
      </c>
      <c r="U24" s="104">
        <f t="shared" si="17"/>
        <v>0.59530460449076783</v>
      </c>
      <c r="V24" s="104">
        <f t="shared" si="17"/>
        <v>0.57417240550362714</v>
      </c>
      <c r="W24" s="105">
        <f t="shared" si="12"/>
        <v>0.57735634506639444</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2" zoomScale="189" zoomScaleNormal="100" workbookViewId="0">
      <selection activeCell="I46" sqref="I46"/>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4" t="s">
        <v>113</v>
      </c>
      <c r="D3" s="254"/>
      <c r="E3" s="254"/>
      <c r="F3" s="254"/>
      <c r="G3" s="260"/>
      <c r="H3" s="261" t="s">
        <v>114</v>
      </c>
      <c r="I3" s="254"/>
      <c r="J3" s="254"/>
      <c r="K3" s="254"/>
      <c r="L3" s="254"/>
      <c r="P3" s="265"/>
      <c r="Q3" s="265"/>
      <c r="R3" s="265"/>
      <c r="S3" s="265"/>
      <c r="T3" s="265"/>
      <c r="U3" s="265"/>
      <c r="V3" s="265"/>
      <c r="W3" s="265"/>
      <c r="X3" s="265"/>
      <c r="Y3" s="265"/>
      <c r="Z3" s="265"/>
      <c r="AB3" s="111"/>
    </row>
    <row r="4" spans="1:28" ht="10" customHeight="1" x14ac:dyDescent="0.2"/>
    <row r="5" spans="1:28" ht="16" customHeight="1" x14ac:dyDescent="0.2">
      <c r="A5" s="87"/>
      <c r="B5" s="60"/>
      <c r="C5" s="262" t="s">
        <v>116</v>
      </c>
      <c r="D5" s="262"/>
      <c r="E5" s="262"/>
      <c r="F5" s="262"/>
      <c r="G5" s="262"/>
      <c r="H5" s="262"/>
      <c r="I5" s="262"/>
      <c r="J5" s="262"/>
      <c r="K5" s="262"/>
      <c r="L5" s="262"/>
      <c r="P5" s="265"/>
      <c r="Q5" s="265"/>
      <c r="R5" s="265"/>
      <c r="S5" s="265"/>
      <c r="T5" s="265"/>
      <c r="U5" s="265"/>
      <c r="V5" s="265"/>
      <c r="W5" s="265"/>
      <c r="X5" s="265"/>
      <c r="Y5" s="265"/>
      <c r="Z5" s="265"/>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1191350.4259999997</v>
      </c>
      <c r="I7" s="93">
        <f>Revenue!I11</f>
        <v>1360200.6289543197</v>
      </c>
      <c r="J7" s="93">
        <f>Revenue!J11</f>
        <v>1713269.1658709173</v>
      </c>
      <c r="K7" s="93">
        <f>Revenue!K11</f>
        <v>2309683.4910669937</v>
      </c>
      <c r="L7" s="93">
        <f>Revenue!L11</f>
        <v>3108200.4906887901</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333578.11927999998</v>
      </c>
      <c r="I8" s="114">
        <f>'COGS &amp; OpEx'!I11</f>
        <v>374055.17296243797</v>
      </c>
      <c r="J8" s="114">
        <f>'COGS &amp; OpEx'!J11</f>
        <v>479715.36644385685</v>
      </c>
      <c r="K8" s="114">
        <f>'COGS &amp; OpEx'!K11</f>
        <v>618995.17560595437</v>
      </c>
      <c r="L8" s="114">
        <f>'COGS &amp; OpEx'!L11</f>
        <v>857863.33543010615</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2" t="s">
        <v>136</v>
      </c>
      <c r="D11" s="262"/>
      <c r="E11" s="262"/>
      <c r="F11" s="262"/>
      <c r="G11" s="262"/>
      <c r="H11" s="262"/>
      <c r="I11" s="262"/>
      <c r="J11" s="262"/>
      <c r="K11" s="262"/>
      <c r="L11" s="262"/>
      <c r="N11" s="92"/>
      <c r="P11" s="265"/>
      <c r="Q11" s="265"/>
      <c r="R11" s="265"/>
      <c r="S11" s="265"/>
      <c r="T11" s="265"/>
      <c r="U11" s="265"/>
      <c r="V11" s="265"/>
      <c r="W11" s="265"/>
      <c r="X11" s="265"/>
      <c r="Y11" s="265"/>
      <c r="Z11" s="265"/>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180171.35209643832</v>
      </c>
      <c r="I13" s="25">
        <f>I20*I7/365</f>
        <v>205707.05402268071</v>
      </c>
      <c r="J13" s="25">
        <f>J20*J7/365</f>
        <v>259102.6245371908</v>
      </c>
      <c r="K13" s="25">
        <f>K20*K7/365</f>
        <v>349300.07864903577</v>
      </c>
      <c r="L13" s="25">
        <f>L20*L7/365</f>
        <v>470062.10160553758</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7311.3012444931501</v>
      </c>
      <c r="I15" s="24">
        <f>I22*I8/365</f>
        <v>8198.469544382202</v>
      </c>
      <c r="J15" s="24">
        <f>J22*J8/365</f>
        <v>10514.309401509192</v>
      </c>
      <c r="K15" s="24">
        <f>K22*K8/365</f>
        <v>13567.017547527767</v>
      </c>
      <c r="L15" s="24">
        <f>L22*L8/365</f>
        <v>18802.484064221506</v>
      </c>
      <c r="N15" s="92"/>
      <c r="P15" s="119"/>
      <c r="Q15" s="119"/>
      <c r="R15" s="119"/>
      <c r="S15" s="119"/>
      <c r="T15" s="119"/>
      <c r="U15" s="119"/>
      <c r="V15" s="119"/>
      <c r="W15" s="119"/>
      <c r="X15" s="25"/>
      <c r="Y15" s="24"/>
      <c r="Z15" s="24"/>
      <c r="AB15" s="24"/>
    </row>
    <row r="16" spans="1:28" x14ac:dyDescent="0.2">
      <c r="D16" s="24"/>
    </row>
    <row r="18" spans="2:12" x14ac:dyDescent="0.2">
      <c r="C18" s="262" t="s">
        <v>141</v>
      </c>
      <c r="D18" s="262"/>
      <c r="E18" s="262"/>
      <c r="F18" s="262"/>
      <c r="G18" s="262"/>
      <c r="H18" s="262"/>
      <c r="I18" s="262"/>
      <c r="J18" s="262"/>
      <c r="K18" s="262"/>
      <c r="L18" s="262"/>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55.2</v>
      </c>
      <c r="I20" s="103">
        <v>55.2</v>
      </c>
      <c r="J20" s="103">
        <v>55.2</v>
      </c>
      <c r="K20" s="103">
        <v>55.2</v>
      </c>
      <c r="L20" s="103">
        <v>55.2</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8</v>
      </c>
      <c r="I22" s="103">
        <v>8</v>
      </c>
      <c r="J22" s="103">
        <v>8</v>
      </c>
      <c r="K22" s="103">
        <v>8</v>
      </c>
      <c r="L22" s="103">
        <v>8</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47.2</v>
      </c>
      <c r="I23" s="120">
        <f t="shared" si="5"/>
        <v>47.2</v>
      </c>
      <c r="J23" s="120">
        <f t="shared" si="5"/>
        <v>47.2</v>
      </c>
      <c r="K23" s="120">
        <f t="shared" si="5"/>
        <v>47.2</v>
      </c>
      <c r="L23" s="120">
        <f t="shared" si="5"/>
        <v>47.2</v>
      </c>
    </row>
    <row r="25" spans="2:12" x14ac:dyDescent="0.2">
      <c r="B25" s="265"/>
      <c r="C25" s="265"/>
    </row>
    <row r="26" spans="2:12" x14ac:dyDescent="0.2">
      <c r="B26" s="111"/>
      <c r="C26" s="262" t="s">
        <v>147</v>
      </c>
      <c r="D26" s="262"/>
      <c r="E26" s="262"/>
      <c r="F26" s="262"/>
      <c r="G26" s="262"/>
      <c r="H26" s="262"/>
      <c r="I26" s="262"/>
      <c r="J26" s="262"/>
      <c r="K26" s="262"/>
      <c r="L26" s="262"/>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-17344.352096438321</v>
      </c>
      <c r="I28" s="128">
        <f t="shared" ref="I28:L29" si="7">-(I13-H13)</f>
        <v>-25535.701926242386</v>
      </c>
      <c r="J28" s="128">
        <f t="shared" si="7"/>
        <v>-53395.570514510095</v>
      </c>
      <c r="K28" s="128">
        <f t="shared" si="7"/>
        <v>-90197.454111844971</v>
      </c>
      <c r="L28" s="128">
        <f t="shared" si="7"/>
        <v>-120762.02295650181</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-686.69875550684992</v>
      </c>
      <c r="I30" s="64">
        <f t="shared" ref="I30:L30" si="8">I15-H15</f>
        <v>887.16829988905192</v>
      </c>
      <c r="J30" s="64">
        <f t="shared" si="8"/>
        <v>2315.83985712699</v>
      </c>
      <c r="K30" s="64">
        <f t="shared" si="8"/>
        <v>3052.7081460185746</v>
      </c>
      <c r="L30" s="64">
        <f t="shared" si="8"/>
        <v>5235.4665166937393</v>
      </c>
    </row>
    <row r="31" spans="2:12" x14ac:dyDescent="0.2">
      <c r="B31" s="111"/>
      <c r="C31" s="111"/>
    </row>
    <row r="32" spans="2:12" x14ac:dyDescent="0.2">
      <c r="B32" s="111"/>
      <c r="C32" s="111"/>
    </row>
    <row r="33" spans="2:12" x14ac:dyDescent="0.2">
      <c r="B33" s="111"/>
      <c r="C33" s="262" t="s">
        <v>151</v>
      </c>
      <c r="D33" s="262"/>
      <c r="E33" s="262"/>
      <c r="F33" s="262"/>
      <c r="G33" s="262"/>
      <c r="H33" s="262"/>
      <c r="I33" s="262"/>
      <c r="J33" s="262"/>
      <c r="K33" s="262"/>
      <c r="L33" s="262"/>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101103.99174805482</v>
      </c>
      <c r="I35" s="128">
        <f t="shared" ref="I35:L35" si="10">I36+I28+I29+I30</f>
        <v>111371.52926907863</v>
      </c>
      <c r="J35" s="128">
        <f t="shared" si="10"/>
        <v>120247.18592970865</v>
      </c>
      <c r="K35" s="128">
        <f t="shared" si="10"/>
        <v>143823.60314087299</v>
      </c>
      <c r="L35" s="128">
        <f t="shared" si="10"/>
        <v>195293.49262907097</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119135.04259999999</v>
      </c>
      <c r="I36" s="64">
        <f>I7*I37</f>
        <v>136020.06289543197</v>
      </c>
      <c r="J36" s="64">
        <f>J7*J37</f>
        <v>171326.91658709175</v>
      </c>
      <c r="K36" s="64">
        <f>K7*K37</f>
        <v>230968.34910669937</v>
      </c>
      <c r="L36" s="64">
        <f>L7*L37</f>
        <v>310820.04906887905</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2" t="s">
        <v>154</v>
      </c>
      <c r="D40" s="262"/>
      <c r="E40" s="262"/>
      <c r="F40" s="262"/>
      <c r="G40" s="262"/>
      <c r="H40" s="262"/>
      <c r="I40" s="262"/>
      <c r="J40" s="262"/>
      <c r="K40" s="262"/>
      <c r="L40" s="262"/>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11913.504259999998</v>
      </c>
      <c r="I42" s="25">
        <f>I7*I43</f>
        <v>13602.006289543198</v>
      </c>
      <c r="J42" s="25">
        <f>J7*J43</f>
        <v>17132.691658709173</v>
      </c>
      <c r="K42" s="25">
        <f>K7*K43</f>
        <v>23096.834910669939</v>
      </c>
      <c r="L42" s="25">
        <f>L7*L43</f>
        <v>31082.004906887902</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0.01</v>
      </c>
      <c r="I43" s="98">
        <v>0.01</v>
      </c>
      <c r="J43" s="98">
        <v>0.01</v>
      </c>
      <c r="K43" s="98">
        <v>0.01</v>
      </c>
      <c r="L43" s="98">
        <v>0.01</v>
      </c>
    </row>
    <row r="44" spans="2:12" x14ac:dyDescent="0.2">
      <c r="B44" s="124" t="s">
        <v>156</v>
      </c>
      <c r="C44" s="125">
        <f>C42/C45</f>
        <v>0.7601784718349136</v>
      </c>
      <c r="D44" s="125">
        <f t="shared" ref="D44:L44" si="13">D42/D45</f>
        <v>0.87558432218626392</v>
      </c>
      <c r="E44" s="125">
        <f t="shared" si="13"/>
        <v>2.2234409276089</v>
      </c>
      <c r="F44" s="125">
        <f t="shared" si="13"/>
        <v>0.89584021129085512</v>
      </c>
      <c r="G44" s="126">
        <f t="shared" si="13"/>
        <v>0.79525862068965514</v>
      </c>
      <c r="H44" s="125">
        <f t="shared" si="13"/>
        <v>0.90909090909090917</v>
      </c>
      <c r="I44" s="125">
        <f t="shared" si="13"/>
        <v>0.90909090909090917</v>
      </c>
      <c r="J44" s="125">
        <f t="shared" si="13"/>
        <v>0.90909090909090917</v>
      </c>
      <c r="K44" s="125">
        <f t="shared" si="13"/>
        <v>0.90909090909090928</v>
      </c>
      <c r="L44" s="125">
        <f t="shared" si="13"/>
        <v>0.90909090909090917</v>
      </c>
    </row>
    <row r="45" spans="2:12" x14ac:dyDescent="0.2">
      <c r="B45" s="1" t="s">
        <v>61</v>
      </c>
      <c r="C45" s="116">
        <f>-Statement!M60</f>
        <v>3586</v>
      </c>
      <c r="D45" s="116">
        <f>-Statement!N60</f>
        <v>5562</v>
      </c>
      <c r="E45" s="116">
        <f>-Statement!O60</f>
        <v>3191</v>
      </c>
      <c r="F45" s="116">
        <f>-Statement!P60</f>
        <v>12116</v>
      </c>
      <c r="G45" s="117">
        <f>-Statement!Q60</f>
        <v>18096</v>
      </c>
      <c r="H45" s="25">
        <f>H7*H46</f>
        <v>13104.854685999997</v>
      </c>
      <c r="I45" s="25">
        <f>I7*I46</f>
        <v>14962.206918497517</v>
      </c>
      <c r="J45" s="25">
        <f>J7*J46</f>
        <v>18845.960824580088</v>
      </c>
      <c r="K45" s="25">
        <f>K7*K46</f>
        <v>25406.518401736928</v>
      </c>
      <c r="L45" s="25">
        <f>L7*L46</f>
        <v>34190.20539757669</v>
      </c>
    </row>
    <row r="46" spans="2:12" x14ac:dyDescent="0.2">
      <c r="B46" s="124" t="s">
        <v>155</v>
      </c>
      <c r="C46" s="125">
        <f>C45/C7</f>
        <v>1.4299842087633389E-2</v>
      </c>
      <c r="D46" s="125">
        <f>D45/D7</f>
        <v>1.505297771282426E-2</v>
      </c>
      <c r="E46" s="125">
        <f>E45/E7</f>
        <v>6.0081828777143673E-3</v>
      </c>
      <c r="F46" s="125">
        <f>F45/F7</f>
        <v>1.6197341261777697E-2</v>
      </c>
      <c r="G46" s="126">
        <f>G45/G7</f>
        <v>1.7440431615986678E-2</v>
      </c>
      <c r="H46" s="98">
        <v>1.0999999999999999E-2</v>
      </c>
      <c r="I46" s="98">
        <v>1.0999999999999999E-2</v>
      </c>
      <c r="J46" s="98">
        <v>1.0999999999999999E-2</v>
      </c>
      <c r="K46" s="98">
        <v>1.0999999999999999E-2</v>
      </c>
      <c r="L46" s="98">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1" zoomScale="183" workbookViewId="0">
      <selection activeCell="C25" sqref="C25:L25"/>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4" t="s">
        <v>113</v>
      </c>
      <c r="D2" s="254"/>
      <c r="E2" s="254"/>
      <c r="F2" s="254"/>
      <c r="G2" s="260"/>
      <c r="H2" s="261" t="s">
        <v>114</v>
      </c>
      <c r="I2" s="254"/>
      <c r="J2" s="254"/>
      <c r="K2" s="254"/>
      <c r="L2" s="254"/>
      <c r="S2" s="265"/>
      <c r="T2" s="265"/>
      <c r="U2" s="265"/>
      <c r="V2" s="265"/>
      <c r="W2" s="265"/>
      <c r="X2" s="265"/>
      <c r="Y2" s="265"/>
      <c r="Z2" s="265"/>
      <c r="AA2" s="265"/>
      <c r="AB2" s="265"/>
      <c r="AC2" s="265"/>
      <c r="AE2" s="111"/>
    </row>
    <row r="3" spans="1:31" ht="10" customHeight="1" x14ac:dyDescent="0.2"/>
    <row r="4" spans="1:31" ht="16" customHeight="1" x14ac:dyDescent="0.2">
      <c r="A4" s="87"/>
      <c r="B4" s="60"/>
      <c r="C4" s="262" t="s">
        <v>19</v>
      </c>
      <c r="D4" s="262"/>
      <c r="E4" s="262"/>
      <c r="F4" s="262"/>
      <c r="G4" s="262"/>
      <c r="H4" s="262"/>
      <c r="I4" s="262"/>
      <c r="J4" s="262"/>
      <c r="K4" s="262"/>
      <c r="L4" s="262"/>
      <c r="S4" s="265"/>
      <c r="T4" s="265"/>
      <c r="U4" s="265"/>
      <c r="V4" s="265"/>
      <c r="W4" s="265"/>
      <c r="X4" s="265"/>
      <c r="Y4" s="265"/>
      <c r="Z4" s="265"/>
      <c r="AA4" s="265"/>
      <c r="AB4" s="265"/>
      <c r="AC4" s="265"/>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333578.11927999998</v>
      </c>
      <c r="I7" s="114">
        <f>'COGS &amp; OpEx'!I11</f>
        <v>374055.17296243797</v>
      </c>
      <c r="J7" s="114">
        <f>'COGS &amp; OpEx'!J11</f>
        <v>479715.36644385685</v>
      </c>
      <c r="K7" s="114">
        <f>'COGS &amp; OpEx'!K11</f>
        <v>618995.17560595437</v>
      </c>
      <c r="L7" s="114">
        <f>'COGS &amp; OpEx'!L11</f>
        <v>857863.33543010615</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857772.30671999976</v>
      </c>
      <c r="I8" s="95">
        <f t="shared" si="1"/>
        <v>986145.45599188178</v>
      </c>
      <c r="J8" s="95">
        <f t="shared" si="1"/>
        <v>1233553.7994270604</v>
      </c>
      <c r="K8" s="95">
        <f t="shared" si="1"/>
        <v>1690688.3154610393</v>
      </c>
      <c r="L8" s="95">
        <f t="shared" si="1"/>
        <v>2250337.155258684</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786291.28115999978</v>
      </c>
      <c r="I9" s="114">
        <f>'COGS &amp; OpEx'!I15</f>
        <v>809319.37422782031</v>
      </c>
      <c r="J9" s="114">
        <f>'COGS &amp; OpEx'!J15</f>
        <v>993696.11620513187</v>
      </c>
      <c r="K9" s="114">
        <f>'COGS &amp; OpEx'!K15</f>
        <v>1385810.0946401961</v>
      </c>
      <c r="L9" s="114">
        <f>'COGS &amp; OpEx'!L15</f>
        <v>1771674.2796926103</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71481.02555999998</v>
      </c>
      <c r="I10" s="95">
        <f t="shared" si="2"/>
        <v>176826.08176406147</v>
      </c>
      <c r="J10" s="95">
        <f t="shared" si="2"/>
        <v>239857.68322192854</v>
      </c>
      <c r="K10" s="95">
        <f t="shared" si="2"/>
        <v>304878.22082084324</v>
      </c>
      <c r="L10" s="95">
        <f t="shared" si="2"/>
        <v>478662.87556607369</v>
      </c>
      <c r="N10" s="91"/>
      <c r="Q10" s="91"/>
      <c r="S10" s="89"/>
      <c r="T10" s="89"/>
      <c r="U10" s="89"/>
      <c r="V10" s="89"/>
      <c r="W10" s="89"/>
      <c r="X10" s="89"/>
      <c r="Y10" s="89"/>
      <c r="Z10" s="89"/>
      <c r="AA10" s="64"/>
      <c r="AB10" s="64"/>
      <c r="AC10" s="64"/>
      <c r="AE10" s="64"/>
    </row>
    <row r="13" spans="1:31" x14ac:dyDescent="0.2">
      <c r="C13" s="262" t="s">
        <v>162</v>
      </c>
      <c r="D13" s="262"/>
      <c r="E13" s="262"/>
      <c r="F13" s="262"/>
      <c r="G13" s="262"/>
      <c r="H13" s="262"/>
      <c r="I13" s="262"/>
      <c r="J13" s="262"/>
      <c r="K13" s="262"/>
      <c r="L13" s="26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2" t="s">
        <v>163</v>
      </c>
      <c r="D18" s="262"/>
      <c r="E18" s="262"/>
      <c r="F18" s="262"/>
      <c r="G18" s="262"/>
      <c r="H18" s="262"/>
      <c r="I18" s="262"/>
      <c r="J18" s="262"/>
      <c r="K18" s="262"/>
      <c r="L18" s="262"/>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11913.504259999998</v>
      </c>
      <c r="I20" s="89">
        <f>'WC &amp; Investments'!I42</f>
        <v>13602.006289543198</v>
      </c>
      <c r="J20" s="89">
        <f>'WC &amp; Investments'!J42</f>
        <v>17132.691658709173</v>
      </c>
      <c r="K20" s="89">
        <f>'WC &amp; Investments'!K42</f>
        <v>23096.834910669939</v>
      </c>
      <c r="L20" s="89">
        <f>'WC &amp; Investments'!L42</f>
        <v>31082.004906887902</v>
      </c>
      <c r="N20" s="1" t="s">
        <v>164</v>
      </c>
    </row>
    <row r="21" spans="2:14" x14ac:dyDescent="0.2">
      <c r="B21" s="1" t="s">
        <v>61</v>
      </c>
      <c r="C21" s="89">
        <f>'WC &amp; Investments'!C45</f>
        <v>3586</v>
      </c>
      <c r="D21" s="89">
        <f>'WC &amp; Investments'!D45</f>
        <v>5562</v>
      </c>
      <c r="E21" s="89">
        <f>'WC &amp; Investments'!E45</f>
        <v>3191</v>
      </c>
      <c r="F21" s="89">
        <f>'WC &amp; Investments'!F45</f>
        <v>12116</v>
      </c>
      <c r="G21" s="90">
        <f>'WC &amp; Investments'!G45</f>
        <v>18096</v>
      </c>
      <c r="H21" s="89">
        <f>'WC &amp; Investments'!H45</f>
        <v>13104.854685999997</v>
      </c>
      <c r="I21" s="89">
        <f>'WC &amp; Investments'!I45</f>
        <v>14962.206918497517</v>
      </c>
      <c r="J21" s="89">
        <f>'WC &amp; Investments'!J45</f>
        <v>18845.960824580088</v>
      </c>
      <c r="K21" s="89">
        <f>'WC &amp; Investments'!K45</f>
        <v>25406.518401736928</v>
      </c>
      <c r="L21" s="89">
        <f>'WC &amp; Investments'!L45</f>
        <v>34190.20539757669</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101103.99174805482</v>
      </c>
      <c r="I22" s="89">
        <f>'WC &amp; Investments'!I35</f>
        <v>111371.52926907863</v>
      </c>
      <c r="J22" s="89">
        <f>'WC &amp; Investments'!J35</f>
        <v>120247.18592970865</v>
      </c>
      <c r="K22" s="89">
        <f>'WC &amp; Investments'!K35</f>
        <v>143823.60314087299</v>
      </c>
      <c r="L22" s="89">
        <f>'WC &amp; Investments'!L35</f>
        <v>195293.49262907097</v>
      </c>
      <c r="N22" s="1" t="s">
        <v>164</v>
      </c>
    </row>
    <row r="25" spans="2:14" x14ac:dyDescent="0.2">
      <c r="C25" s="262" t="s">
        <v>271</v>
      </c>
      <c r="D25" s="262"/>
      <c r="E25" s="262"/>
      <c r="F25" s="262"/>
      <c r="G25" s="262"/>
      <c r="H25" s="262"/>
      <c r="I25" s="262"/>
      <c r="J25" s="262"/>
      <c r="K25" s="262"/>
      <c r="L25" s="262"/>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-66237.924312708914</v>
      </c>
      <c r="E27" s="128">
        <f t="shared" si="6"/>
        <v>-14534.40586150644</v>
      </c>
      <c r="F27" s="128">
        <f t="shared" si="6"/>
        <v>70996.799894434342</v>
      </c>
      <c r="G27" s="133">
        <f t="shared" si="6"/>
        <v>154183.84052409406</v>
      </c>
      <c r="H27" s="128">
        <f t="shared" si="6"/>
        <v>56470.01019239999</v>
      </c>
      <c r="I27" s="128">
        <f t="shared" si="6"/>
        <v>139692.60459360856</v>
      </c>
      <c r="J27" s="128">
        <f t="shared" si="6"/>
        <v>189487.56974532356</v>
      </c>
      <c r="K27" s="128">
        <f t="shared" si="6"/>
        <v>240853.79444846619</v>
      </c>
      <c r="L27" s="128">
        <f t="shared" si="6"/>
        <v>378143.67169719824</v>
      </c>
    </row>
    <row r="28" spans="2:14" x14ac:dyDescent="0.2">
      <c r="B28" s="16" t="s">
        <v>271</v>
      </c>
      <c r="C28" s="95">
        <f>C27+C20-C21+C22</f>
        <v>-35092</v>
      </c>
      <c r="D28" s="95">
        <f t="shared" ref="D28:L28" si="7">D27+D20-D21+D22</f>
        <v>-32389.924312708914</v>
      </c>
      <c r="E28" s="95">
        <f t="shared" si="7"/>
        <v>24267.594138493558</v>
      </c>
      <c r="F28" s="95">
        <f t="shared" si="7"/>
        <v>145655.79989443434</v>
      </c>
      <c r="G28" s="129">
        <f t="shared" si="7"/>
        <v>199444.84052409406</v>
      </c>
      <c r="H28" s="95">
        <f t="shared" si="7"/>
        <v>156382.6515144548</v>
      </c>
      <c r="I28" s="95">
        <f t="shared" si="7"/>
        <v>249703.93323373288</v>
      </c>
      <c r="J28" s="95">
        <f t="shared" si="7"/>
        <v>308021.4865091613</v>
      </c>
      <c r="K28" s="95">
        <f t="shared" si="7"/>
        <v>382367.71409827215</v>
      </c>
      <c r="L28" s="95">
        <f t="shared" si="7"/>
        <v>570328.96383558039</v>
      </c>
    </row>
    <row r="31" spans="2:14" x14ac:dyDescent="0.2">
      <c r="C31" s="262" t="s">
        <v>78</v>
      </c>
      <c r="D31" s="262"/>
      <c r="E31" s="262"/>
      <c r="F31" s="262"/>
      <c r="G31" s="262"/>
      <c r="H31" s="262"/>
      <c r="I31" s="262"/>
      <c r="J31" s="262"/>
      <c r="K31" s="262"/>
      <c r="L31" s="262"/>
    </row>
    <row r="32" spans="2:14" x14ac:dyDescent="0.2">
      <c r="B32" s="16" t="s">
        <v>347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8">
        <f>H8/H6</f>
        <v>0.72</v>
      </c>
      <c r="I33" s="218">
        <f t="shared" ref="I33:L33" si="9">I8/I6</f>
        <v>0.72499999999999998</v>
      </c>
      <c r="J33" s="218">
        <f t="shared" si="9"/>
        <v>0.72</v>
      </c>
      <c r="K33" s="218">
        <f t="shared" si="9"/>
        <v>0.73199999999999998</v>
      </c>
      <c r="L33" s="218">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8">
        <f>H10/H6</f>
        <v>0.06</v>
      </c>
      <c r="I34" s="218">
        <f t="shared" ref="I34:L34" si="10">I10/I6</f>
        <v>0.12999999999999992</v>
      </c>
      <c r="J34" s="218">
        <f t="shared" si="10"/>
        <v>0.14000000000000007</v>
      </c>
      <c r="K34" s="218">
        <f t="shared" si="10"/>
        <v>0.13200000000000003</v>
      </c>
      <c r="L34" s="218">
        <f t="shared" si="10"/>
        <v>0.154</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4" t="s">
        <v>170</v>
      </c>
      <c r="C4" s="254"/>
    </row>
    <row r="5" spans="1:3" ht="17" customHeight="1" x14ac:dyDescent="0.2">
      <c r="B5" s="1" t="s">
        <v>171</v>
      </c>
      <c r="C5" s="138">
        <f>Statement!AC78</f>
        <v>48787</v>
      </c>
    </row>
    <row r="6" spans="1:3" ht="17" customHeight="1" x14ac:dyDescent="0.2">
      <c r="B6" s="1" t="s">
        <v>1</v>
      </c>
      <c r="C6" s="135">
        <f ca="1">Overview!C5</f>
        <v>125.76</v>
      </c>
    </row>
    <row r="7" spans="1:3" ht="17" customHeight="1" x14ac:dyDescent="0.2">
      <c r="B7" s="1" t="s">
        <v>172</v>
      </c>
      <c r="C7" s="136">
        <f ca="1">C5*C6</f>
        <v>6135453.1200000001</v>
      </c>
    </row>
    <row r="8" spans="1:3" ht="17" customHeight="1" x14ac:dyDescent="0.2">
      <c r="B8" s="1" t="s">
        <v>173</v>
      </c>
      <c r="C8" s="114">
        <f>Statement!AC108</f>
        <v>0</v>
      </c>
    </row>
    <row r="9" spans="1:3" ht="17" customHeight="1" x14ac:dyDescent="0.2">
      <c r="B9" s="1" t="s">
        <v>174</v>
      </c>
      <c r="C9" s="137">
        <f ca="1">Overview!F27</f>
        <v>4.4850000000000001E-2</v>
      </c>
    </row>
    <row r="10" spans="1:3" ht="17" customHeight="1" x14ac:dyDescent="0.2">
      <c r="B10" s="1" t="s">
        <v>9</v>
      </c>
      <c r="C10" s="135">
        <f ca="1">Overview!C13</f>
        <v>0.87080000000000002</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4" t="s">
        <v>177</v>
      </c>
      <c r="C15" s="254"/>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8.4036E-2</v>
      </c>
    </row>
    <row r="20" spans="2:3" ht="17" customHeight="1" x14ac:dyDescent="0.2">
      <c r="B20" s="1" t="s">
        <v>169</v>
      </c>
      <c r="C20" s="46">
        <f ca="1">(C17*C19)+(C16*C18)</f>
        <v>8.4036E-2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G7" sqref="G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4" t="s">
        <v>113</v>
      </c>
      <c r="D3" s="254"/>
      <c r="E3" s="254"/>
      <c r="F3" s="254"/>
      <c r="G3" s="260"/>
      <c r="H3" s="261" t="s">
        <v>114</v>
      </c>
      <c r="I3" s="254"/>
      <c r="J3" s="254"/>
      <c r="K3" s="254"/>
      <c r="L3" s="254"/>
      <c r="P3" s="265"/>
      <c r="Q3" s="265"/>
      <c r="R3" s="265"/>
      <c r="S3" s="265"/>
      <c r="T3" s="265"/>
      <c r="U3" s="265"/>
      <c r="V3" s="265"/>
      <c r="W3" s="265"/>
      <c r="X3" s="265"/>
      <c r="Y3" s="265"/>
      <c r="Z3" s="265"/>
      <c r="AB3" s="111"/>
    </row>
    <row r="4" spans="1:28" ht="10" customHeight="1" x14ac:dyDescent="0.2"/>
    <row r="5" spans="1:28" ht="16" customHeight="1" x14ac:dyDescent="0.2">
      <c r="A5" s="87"/>
      <c r="B5" s="60"/>
      <c r="C5" s="262" t="s">
        <v>184</v>
      </c>
      <c r="D5" s="262"/>
      <c r="E5" s="262"/>
      <c r="F5" s="262"/>
      <c r="G5" s="262"/>
      <c r="H5" s="262"/>
      <c r="I5" s="262"/>
      <c r="J5" s="262"/>
      <c r="K5" s="262"/>
      <c r="L5" s="262"/>
      <c r="P5" s="265"/>
      <c r="Q5" s="265"/>
      <c r="R5" s="265"/>
      <c r="S5" s="265"/>
      <c r="T5" s="265"/>
      <c r="U5" s="265"/>
      <c r="V5" s="265"/>
      <c r="W5" s="265"/>
      <c r="X5" s="265"/>
      <c r="Y5" s="265"/>
      <c r="Z5" s="265"/>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-35092</v>
      </c>
      <c r="D7" s="114">
        <f>'FCF &amp; Other'!D28</f>
        <v>-32389.924312708914</v>
      </c>
      <c r="E7" s="114">
        <f>'FCF &amp; Other'!E28</f>
        <v>24267.594138493558</v>
      </c>
      <c r="F7" s="114">
        <f>'FCF &amp; Other'!F28</f>
        <v>145655.79989443434</v>
      </c>
      <c r="G7" s="115">
        <f>'FCF &amp; Other'!G28</f>
        <v>199444.84052409406</v>
      </c>
      <c r="H7" s="114">
        <f>'FCF &amp; Other'!H28</f>
        <v>156382.6515144548</v>
      </c>
      <c r="I7" s="114">
        <f>'FCF &amp; Other'!I28</f>
        <v>249703.93323373288</v>
      </c>
      <c r="J7" s="114">
        <f>'FCF &amp; Other'!J28</f>
        <v>308021.4865091613</v>
      </c>
      <c r="K7" s="114">
        <f>'FCF &amp; Other'!K28</f>
        <v>382367.71409827215</v>
      </c>
      <c r="L7" s="114">
        <f>'FCF &amp; Other'!L28</f>
        <v>570328.96383558039</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L7*(1+C14)/(C15-C14)</f>
        <v>6463728.2568032444</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H7/(1+$C$15)^H9</f>
        <v>140885.27163464396</v>
      </c>
      <c r="I10" s="128">
        <f t="shared" ref="I10:L10" si="0">I7/(1+$C$15)^I9</f>
        <v>202665.31388177327</v>
      </c>
      <c r="J10" s="128">
        <f t="shared" si="0"/>
        <v>225222.65619100563</v>
      </c>
      <c r="K10" s="128">
        <f t="shared" si="0"/>
        <v>251877.45678955171</v>
      </c>
      <c r="L10" s="128">
        <f t="shared" si="0"/>
        <v>338462.48101848684</v>
      </c>
      <c r="N10" s="92"/>
    </row>
    <row r="11" spans="1:28" x14ac:dyDescent="0.2">
      <c r="B11" s="1" t="s">
        <v>187</v>
      </c>
      <c r="C11" s="139"/>
      <c r="D11" s="139"/>
      <c r="E11" s="139"/>
      <c r="F11" s="139"/>
      <c r="G11" s="140"/>
      <c r="H11" s="139"/>
      <c r="I11" s="139"/>
      <c r="J11" s="139"/>
      <c r="K11" s="139"/>
      <c r="L11" s="128">
        <f>L8/(1+C15)^L9</f>
        <v>3835908.1182095176</v>
      </c>
    </row>
    <row r="13" spans="1:28" x14ac:dyDescent="0.2">
      <c r="B13" s="254" t="s">
        <v>188</v>
      </c>
      <c r="C13" s="254"/>
    </row>
    <row r="14" spans="1:28" x14ac:dyDescent="0.2">
      <c r="B14" s="1" t="s">
        <v>189</v>
      </c>
      <c r="C14" s="142">
        <v>0.02</v>
      </c>
    </row>
    <row r="15" spans="1:28" x14ac:dyDescent="0.2">
      <c r="B15" s="1" t="s">
        <v>169</v>
      </c>
      <c r="C15" s="137">
        <f>IF(Overview!C28&gt;0,Overview!C28,WACC!C20)</f>
        <v>0.11</v>
      </c>
    </row>
    <row r="18" spans="2:3" x14ac:dyDescent="0.2">
      <c r="B18" s="254" t="s">
        <v>190</v>
      </c>
      <c r="C18" s="254"/>
    </row>
    <row r="19" spans="2:3" x14ac:dyDescent="0.2">
      <c r="B19" s="1" t="s">
        <v>191</v>
      </c>
      <c r="C19" s="64">
        <f>SUM(H10:L10)</f>
        <v>1159113.1795154614</v>
      </c>
    </row>
    <row r="20" spans="2:3" x14ac:dyDescent="0.2">
      <c r="B20" s="1" t="s">
        <v>187</v>
      </c>
      <c r="C20" s="64">
        <f>L11</f>
        <v>3835908.1182095176</v>
      </c>
    </row>
    <row r="21" spans="2:3" x14ac:dyDescent="0.2">
      <c r="B21" s="16" t="s">
        <v>192</v>
      </c>
      <c r="C21" s="95">
        <f>C19+C20</f>
        <v>4995021.297724979</v>
      </c>
    </row>
    <row r="22" spans="2:3" x14ac:dyDescent="0.2">
      <c r="B22" s="1" t="s">
        <v>193</v>
      </c>
      <c r="C22" s="89">
        <f>Statement!AC107</f>
        <v>1391821</v>
      </c>
    </row>
    <row r="23" spans="2:3" x14ac:dyDescent="0.2">
      <c r="B23" s="1" t="s">
        <v>194</v>
      </c>
      <c r="C23" s="89">
        <f>Statement!AC108</f>
        <v>0</v>
      </c>
    </row>
    <row r="24" spans="2:3" x14ac:dyDescent="0.2">
      <c r="B24" s="16" t="s">
        <v>195</v>
      </c>
      <c r="C24" s="95">
        <f>C21+C22-C23</f>
        <v>6386842.297724979</v>
      </c>
    </row>
    <row r="25" spans="2:3" x14ac:dyDescent="0.2">
      <c r="B25" s="1" t="s">
        <v>70</v>
      </c>
      <c r="C25" s="89">
        <f>Statement!AC78</f>
        <v>48787</v>
      </c>
    </row>
    <row r="26" spans="2:3" x14ac:dyDescent="0.2">
      <c r="B26" s="143" t="s">
        <v>196</v>
      </c>
      <c r="C26" s="144">
        <f>C24/C25</f>
        <v>130.91279024586424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40" zoomScale="192" zoomScaleNormal="100" workbookViewId="0">
      <selection activeCell="C58" sqref="C58"/>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4" t="s">
        <v>113</v>
      </c>
      <c r="D2" s="254"/>
      <c r="E2" s="254"/>
      <c r="F2" s="254"/>
      <c r="G2" s="260"/>
      <c r="H2" s="261" t="s">
        <v>114</v>
      </c>
      <c r="I2" s="254"/>
      <c r="J2" s="254"/>
      <c r="K2" s="254"/>
      <c r="L2" s="254"/>
    </row>
    <row r="3" spans="1:14" ht="10" customHeight="1" x14ac:dyDescent="0.2"/>
    <row r="4" spans="1:14" ht="16" customHeight="1" x14ac:dyDescent="0.2">
      <c r="A4" s="87"/>
      <c r="B4" s="60"/>
      <c r="C4" s="262" t="s">
        <v>198</v>
      </c>
      <c r="D4" s="262"/>
      <c r="E4" s="262"/>
      <c r="F4" s="262"/>
      <c r="G4" s="262"/>
      <c r="H4" s="262"/>
      <c r="I4" s="262"/>
      <c r="J4" s="262"/>
      <c r="K4" s="262"/>
      <c r="L4" s="262"/>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1191350.4259999997</v>
      </c>
      <c r="I6" s="93">
        <f>Revenue!I11</f>
        <v>1360200.6289543197</v>
      </c>
      <c r="J6" s="93">
        <f>Revenue!J11</f>
        <v>1713269.1658709173</v>
      </c>
      <c r="K6" s="93">
        <f>Revenue!K11</f>
        <v>2309683.4910669937</v>
      </c>
      <c r="L6" s="93">
        <f>Revenue!L11</f>
        <v>3108200.4906887901</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71481.02555999998</v>
      </c>
      <c r="I7" s="93">
        <f>'FCF &amp; Other'!I10</f>
        <v>176826.08176406147</v>
      </c>
      <c r="J7" s="93">
        <f>'FCF &amp; Other'!J10</f>
        <v>239857.68322192854</v>
      </c>
      <c r="K7" s="93">
        <f>'FCF &amp; Other'!K10</f>
        <v>304878.22082084324</v>
      </c>
      <c r="L7" s="93">
        <f>'FCF &amp; Other'!L10</f>
        <v>478662.87556607369</v>
      </c>
      <c r="N7" s="92"/>
    </row>
    <row r="8" spans="1:14" x14ac:dyDescent="0.2">
      <c r="B8" s="16" t="s">
        <v>271</v>
      </c>
      <c r="C8" s="93">
        <f>'FCF &amp; Other'!C28</f>
        <v>-35092</v>
      </c>
      <c r="D8" s="93">
        <f>'FCF &amp; Other'!D28</f>
        <v>-32389.924312708914</v>
      </c>
      <c r="E8" s="93">
        <f>'FCF &amp; Other'!E28</f>
        <v>24267.594138493558</v>
      </c>
      <c r="F8" s="93">
        <f>'FCF &amp; Other'!F28</f>
        <v>145655.79989443434</v>
      </c>
      <c r="G8" s="94">
        <f>'FCF &amp; Other'!G28</f>
        <v>199444.84052409406</v>
      </c>
      <c r="H8" s="93">
        <f>'FCF &amp; Other'!H28</f>
        <v>156382.6515144548</v>
      </c>
      <c r="I8" s="93">
        <f>'FCF &amp; Other'!I28</f>
        <v>249703.93323373288</v>
      </c>
      <c r="J8" s="93">
        <f>'FCF &amp; Other'!J28</f>
        <v>308021.4865091613</v>
      </c>
      <c r="K8" s="93">
        <f>'FCF &amp; Other'!K28</f>
        <v>382367.71409827215</v>
      </c>
      <c r="L8" s="93">
        <f>'FCF &amp; Other'!L28</f>
        <v>570328.96383558039</v>
      </c>
      <c r="N8" s="92"/>
    </row>
    <row r="9" spans="1:14" x14ac:dyDescent="0.2">
      <c r="N9" s="92"/>
    </row>
    <row r="10" spans="1:14" x14ac:dyDescent="0.2">
      <c r="C10" s="262" t="s">
        <v>122</v>
      </c>
      <c r="D10" s="262"/>
      <c r="E10" s="262"/>
      <c r="F10" s="262"/>
      <c r="G10" s="262"/>
      <c r="H10" s="262"/>
      <c r="I10" s="262"/>
      <c r="J10" s="262"/>
      <c r="K10" s="262"/>
      <c r="L10" s="262"/>
      <c r="N10" s="92"/>
    </row>
    <row r="11" spans="1:14" x14ac:dyDescent="0.2">
      <c r="B11" s="16" t="s">
        <v>199</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2"/>
    </row>
    <row r="12" spans="1:14" x14ac:dyDescent="0.2">
      <c r="B12" s="1" t="s">
        <v>20</v>
      </c>
      <c r="C12" s="139"/>
      <c r="D12" s="96">
        <f>(D6-C6)/C6</f>
        <v>0.47343004801173977</v>
      </c>
      <c r="E12" s="96">
        <f t="shared" ref="E12:L12" si="1">(E6-D6)/D6</f>
        <v>0.43739157498748293</v>
      </c>
      <c r="F12" s="96">
        <f t="shared" si="1"/>
        <v>0.40841898743948984</v>
      </c>
      <c r="G12" s="97">
        <f t="shared" si="1"/>
        <v>0.38710656342577243</v>
      </c>
      <c r="H12" s="96">
        <f t="shared" si="1"/>
        <v>0.14819107180203311</v>
      </c>
      <c r="I12" s="96">
        <f t="shared" si="1"/>
        <v>0.14173008987896232</v>
      </c>
      <c r="J12" s="96">
        <f t="shared" si="1"/>
        <v>0.25957092608318061</v>
      </c>
      <c r="K12" s="96">
        <f t="shared" si="1"/>
        <v>0.34811478375780913</v>
      </c>
      <c r="L12" s="96">
        <f t="shared" si="1"/>
        <v>0.34572572506586574</v>
      </c>
      <c r="N12" s="92"/>
    </row>
    <row r="13" spans="1:14" x14ac:dyDescent="0.2">
      <c r="B13" s="1" t="s">
        <v>161</v>
      </c>
      <c r="C13" s="139"/>
      <c r="D13" s="96">
        <f>IF(C7=0,
IF(D7=0,0,IF(D7&gt;0,1,-1)),
(D7-C7)/ABS(C7)
)</f>
        <v>-8.6456580065659011E-2</v>
      </c>
      <c r="E13" s="96">
        <f t="shared" ref="E13:L13" si="2">IF(D7=0,
IF(E7=0,0,IF(E7&gt;0,1,-1)),
(E7-D7)/ABS(D7)
)</f>
        <v>0.79662550809111132</v>
      </c>
      <c r="F13" s="96">
        <f t="shared" si="2"/>
        <v>5.7209442642733235</v>
      </c>
      <c r="G13" s="97">
        <f t="shared" si="2"/>
        <v>1.1658279415288761</v>
      </c>
      <c r="H13" s="96">
        <f t="shared" si="2"/>
        <v>-0.47273714273069278</v>
      </c>
      <c r="I13" s="96">
        <f t="shared" si="2"/>
        <v>1.4737485280710838</v>
      </c>
      <c r="J13" s="96">
        <f t="shared" si="2"/>
        <v>0.3564609973203498</v>
      </c>
      <c r="K13" s="96">
        <f t="shared" si="2"/>
        <v>0.27107965325736255</v>
      </c>
      <c r="L13" s="96">
        <f t="shared" si="2"/>
        <v>0.57001334591017638</v>
      </c>
      <c r="N13" s="92"/>
    </row>
    <row r="14" spans="1:14" x14ac:dyDescent="0.2">
      <c r="B14" s="1" t="s">
        <v>271</v>
      </c>
      <c r="C14" s="139"/>
      <c r="D14" s="96">
        <f>IF(C8=0,
IF(D8=0,0,IF(D8&gt;0,1,-1)),
(D8-C8)/ABS(C8)
)</f>
        <v>7.6999763116695721E-2</v>
      </c>
      <c r="E14" s="96">
        <f t="shared" ref="E14:L14" si="3">IF(D8=0,
IF(E8=0,0,IF(E8&gt;0,1,-1)),
(E8-D8)/ABS(D8)
)</f>
        <v>1.7492328140134499</v>
      </c>
      <c r="F14" s="96">
        <f t="shared" si="3"/>
        <v>5.0020700471248327</v>
      </c>
      <c r="G14" s="97">
        <f t="shared" si="3"/>
        <v>0.36928869752281696</v>
      </c>
      <c r="H14" s="96">
        <f t="shared" si="3"/>
        <v>-0.21591026820489298</v>
      </c>
      <c r="I14" s="96">
        <f t="shared" si="3"/>
        <v>0.59674958069535089</v>
      </c>
      <c r="J14" s="96">
        <f t="shared" si="3"/>
        <v>0.23354679487904123</v>
      </c>
      <c r="K14" s="96">
        <f t="shared" si="3"/>
        <v>0.24136701770932986</v>
      </c>
      <c r="L14" s="96">
        <f t="shared" si="3"/>
        <v>0.49157196804801467</v>
      </c>
      <c r="N14" s="92"/>
    </row>
    <row r="15" spans="1:14" x14ac:dyDescent="0.2">
      <c r="N15" s="92"/>
    </row>
    <row r="16" spans="1:14" x14ac:dyDescent="0.2">
      <c r="C16" s="262" t="s">
        <v>200</v>
      </c>
      <c r="D16" s="262"/>
      <c r="E16" s="262"/>
      <c r="F16" s="262"/>
      <c r="G16" s="262"/>
      <c r="H16" s="262"/>
      <c r="I16" s="262"/>
      <c r="J16" s="262"/>
      <c r="K16" s="262"/>
      <c r="L16" s="262"/>
      <c r="N16" s="92"/>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2"/>
    </row>
    <row r="18" spans="2:14" x14ac:dyDescent="0.2">
      <c r="B18" s="1" t="s">
        <v>201</v>
      </c>
      <c r="C18" s="101">
        <f>Statement!M22</f>
        <v>23433</v>
      </c>
      <c r="D18" s="101">
        <f>Statement!N22</f>
        <v>39470</v>
      </c>
      <c r="E18" s="101">
        <f>Statement!O22</f>
        <v>46522</v>
      </c>
      <c r="F18" s="101">
        <f>Statement!P22</f>
        <v>47101</v>
      </c>
      <c r="G18" s="102">
        <f>Statement!Q22</f>
        <v>48315.63593932322</v>
      </c>
      <c r="H18" s="145">
        <f>G18*(1+H19)</f>
        <v>50248.261376896153</v>
      </c>
      <c r="I18" s="145">
        <f t="shared" ref="I18:L18" si="5">H18*(1+I19)</f>
        <v>52258.191831971999</v>
      </c>
      <c r="J18" s="145">
        <f t="shared" si="5"/>
        <v>53825.937586931163</v>
      </c>
      <c r="K18" s="145">
        <f t="shared" si="5"/>
        <v>54902.456338669785</v>
      </c>
      <c r="L18" s="145">
        <f t="shared" si="5"/>
        <v>56000.505465443181</v>
      </c>
      <c r="N18" s="92"/>
    </row>
    <row r="19" spans="2:14" x14ac:dyDescent="0.2">
      <c r="B19" s="1" t="s">
        <v>202</v>
      </c>
      <c r="C19" s="139"/>
      <c r="D19" s="146">
        <f>D18/C18-1</f>
        <v>0.68437673366619722</v>
      </c>
      <c r="E19" s="146">
        <f t="shared" ref="E19:G19" si="6">E18/D18-1</f>
        <v>0.17866734228528003</v>
      </c>
      <c r="F19" s="146">
        <f t="shared" si="6"/>
        <v>1.2445724603413533E-2</v>
      </c>
      <c r="G19" s="147">
        <f t="shared" si="6"/>
        <v>2.5787901304074712E-2</v>
      </c>
      <c r="H19" s="148">
        <v>0.04</v>
      </c>
      <c r="I19" s="170">
        <v>0.04</v>
      </c>
      <c r="J19" s="170">
        <v>0.03</v>
      </c>
      <c r="K19" s="170">
        <v>0.02</v>
      </c>
      <c r="L19" s="170">
        <v>0.02</v>
      </c>
      <c r="N19" s="92"/>
    </row>
    <row r="20" spans="2:14" x14ac:dyDescent="0.2">
      <c r="N20" s="92"/>
    </row>
    <row r="21" spans="2:14" x14ac:dyDescent="0.2">
      <c r="C21" s="262" t="s">
        <v>203</v>
      </c>
      <c r="D21" s="262"/>
      <c r="E21" s="262"/>
      <c r="F21" s="262"/>
      <c r="G21" s="262"/>
      <c r="H21" s="262"/>
      <c r="I21" s="262"/>
      <c r="J21" s="262"/>
      <c r="K21" s="262"/>
      <c r="L21" s="262"/>
      <c r="N21" s="92"/>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2"/>
    </row>
    <row r="23" spans="2:14" x14ac:dyDescent="0.2">
      <c r="B23" s="1" t="s">
        <v>1</v>
      </c>
      <c r="C23" s="149">
        <f>Statement!M116</f>
        <v>110.58</v>
      </c>
      <c r="D23" s="149">
        <f>Statement!N116</f>
        <v>71.13</v>
      </c>
      <c r="E23" s="149">
        <f>Statement!O116</f>
        <v>226.85</v>
      </c>
      <c r="F23" s="149">
        <f>Statement!P116</f>
        <v>325.2</v>
      </c>
      <c r="G23" s="150">
        <f>Statement!Q116</f>
        <v>177.14</v>
      </c>
      <c r="H23" s="139"/>
      <c r="I23" s="139"/>
      <c r="J23" s="139"/>
      <c r="K23" s="139"/>
      <c r="L23" s="139"/>
      <c r="N23" s="92"/>
    </row>
    <row r="24" spans="2:14" x14ac:dyDescent="0.2">
      <c r="N24" s="92"/>
    </row>
    <row r="25" spans="2:14" x14ac:dyDescent="0.2">
      <c r="N25" s="92"/>
    </row>
    <row r="26" spans="2:14" x14ac:dyDescent="0.2">
      <c r="C26" s="262" t="s">
        <v>204</v>
      </c>
      <c r="D26" s="262"/>
      <c r="E26" s="262"/>
      <c r="F26" s="262"/>
      <c r="G26" s="262"/>
      <c r="H26" s="262"/>
      <c r="I26" s="262"/>
      <c r="J26" s="262"/>
      <c r="K26" s="262"/>
      <c r="L26" s="262"/>
      <c r="N26" s="92"/>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2"/>
    </row>
    <row r="28" spans="2:14" x14ac:dyDescent="0.2">
      <c r="B28" s="16" t="s">
        <v>205</v>
      </c>
      <c r="C28" s="151">
        <f>C23/(C6/C18)</f>
        <v>10.332976329095752</v>
      </c>
      <c r="D28" s="151">
        <f t="shared" ref="D28:G28" si="9">D23/(D6/D18)</f>
        <v>7.5982113425080167</v>
      </c>
      <c r="E28" s="151">
        <f t="shared" si="9"/>
        <v>19.870715239244674</v>
      </c>
      <c r="F28" s="151">
        <f t="shared" si="9"/>
        <v>20.476943520528753</v>
      </c>
      <c r="G28" s="152">
        <f t="shared" si="9"/>
        <v>8.2485760260485748</v>
      </c>
      <c r="H28" s="139"/>
      <c r="I28" s="139"/>
      <c r="J28" s="139"/>
      <c r="K28" s="139"/>
      <c r="L28" s="139"/>
      <c r="N28" s="92"/>
    </row>
    <row r="29" spans="2:14" x14ac:dyDescent="0.2">
      <c r="B29" s="1" t="s">
        <v>206</v>
      </c>
      <c r="C29" s="145">
        <f>C23*C18</f>
        <v>2591221.14</v>
      </c>
      <c r="D29" s="145">
        <f t="shared" ref="D29:G29" si="10">D23*D18</f>
        <v>2807501.0999999996</v>
      </c>
      <c r="E29" s="145">
        <f t="shared" si="10"/>
        <v>10553515.699999999</v>
      </c>
      <c r="F29" s="145">
        <f t="shared" si="10"/>
        <v>15317245.199999999</v>
      </c>
      <c r="G29" s="153">
        <f t="shared" si="10"/>
        <v>8558631.7502917144</v>
      </c>
      <c r="H29" s="139"/>
      <c r="I29" s="139"/>
      <c r="J29" s="139"/>
      <c r="K29" s="139"/>
      <c r="L29" s="139"/>
      <c r="N29" s="92"/>
    </row>
    <row r="30" spans="2:14" x14ac:dyDescent="0.2">
      <c r="B30" s="1" t="s">
        <v>173</v>
      </c>
      <c r="C30" s="89">
        <f>Statement!M108</f>
        <v>0</v>
      </c>
      <c r="D30" s="154">
        <f>Statement!N108</f>
        <v>0</v>
      </c>
      <c r="E30" s="154">
        <f>Statement!O108</f>
        <v>0</v>
      </c>
      <c r="F30" s="154">
        <f>Statement!P108</f>
        <v>0</v>
      </c>
      <c r="G30" s="155">
        <f>Statement!Q108</f>
        <v>0</v>
      </c>
      <c r="H30" s="139"/>
      <c r="I30" s="139"/>
      <c r="J30" s="139"/>
      <c r="K30" s="139"/>
      <c r="L30" s="139"/>
      <c r="N30" s="92"/>
    </row>
    <row r="31" spans="2:14" x14ac:dyDescent="0.2">
      <c r="B31" s="1" t="s">
        <v>182</v>
      </c>
      <c r="C31" s="154">
        <f>Statement!M107</f>
        <v>553922</v>
      </c>
      <c r="D31" s="154">
        <f>Statement!N107</f>
        <v>608180</v>
      </c>
      <c r="E31" s="154">
        <f>Statement!O107</f>
        <v>747610</v>
      </c>
      <c r="F31" s="154">
        <f>Statement!P107</f>
        <v>975937</v>
      </c>
      <c r="G31" s="155">
        <f>Statement!Q107</f>
        <v>1275565</v>
      </c>
      <c r="H31" s="139"/>
      <c r="I31" s="139"/>
      <c r="J31" s="139"/>
      <c r="K31" s="139"/>
      <c r="L31" s="139"/>
      <c r="N31" s="92"/>
    </row>
    <row r="32" spans="2:14" x14ac:dyDescent="0.2">
      <c r="B32" s="1" t="s">
        <v>207</v>
      </c>
      <c r="C32" s="145">
        <f>C29+C30-C31</f>
        <v>2037299.1400000001</v>
      </c>
      <c r="D32" s="145">
        <f t="shared" ref="D32:G32" si="11">D29+D30-D31</f>
        <v>2199321.0999999996</v>
      </c>
      <c r="E32" s="145">
        <f t="shared" si="11"/>
        <v>9805905.6999999993</v>
      </c>
      <c r="F32" s="145">
        <f t="shared" si="11"/>
        <v>14341308.199999999</v>
      </c>
      <c r="G32" s="153">
        <f t="shared" si="11"/>
        <v>7283066.7502917144</v>
      </c>
      <c r="H32" s="139"/>
      <c r="I32" s="139"/>
      <c r="J32" s="139"/>
      <c r="K32" s="139"/>
      <c r="L32" s="139"/>
      <c r="N32" s="92"/>
    </row>
    <row r="33" spans="2:14" x14ac:dyDescent="0.2">
      <c r="B33" s="16" t="s">
        <v>208</v>
      </c>
      <c r="C33" s="151">
        <f>C32/C7</f>
        <v>-33.951024713783397</v>
      </c>
      <c r="D33" s="151">
        <f t="shared" ref="D33:G33" si="12">D32/D7</f>
        <v>-33.734505713628337</v>
      </c>
      <c r="E33" s="151">
        <f t="shared" si="12"/>
        <v>-739.56600799456965</v>
      </c>
      <c r="F33" s="151">
        <f t="shared" si="12"/>
        <v>229.1126799265117</v>
      </c>
      <c r="G33" s="152">
        <f t="shared" si="12"/>
        <v>53.721817144587405</v>
      </c>
      <c r="H33" s="139"/>
      <c r="I33" s="139"/>
      <c r="J33" s="139"/>
      <c r="K33" s="139"/>
      <c r="L33" s="139"/>
      <c r="N33" s="92"/>
    </row>
    <row r="34" spans="2:14" x14ac:dyDescent="0.2">
      <c r="B34" s="16" t="s">
        <v>331</v>
      </c>
      <c r="C34" s="151">
        <f>C32/C8</f>
        <v>-58.055942664994873</v>
      </c>
      <c r="D34" s="151">
        <f t="shared" ref="D34:G34" si="13">D32/D8</f>
        <v>-67.901396704932921</v>
      </c>
      <c r="E34" s="151">
        <f t="shared" si="13"/>
        <v>404.07407689605913</v>
      </c>
      <c r="F34" s="151">
        <f t="shared" si="13"/>
        <v>98.460261866633672</v>
      </c>
      <c r="G34" s="152">
        <f t="shared" si="13"/>
        <v>36.516696702474384</v>
      </c>
      <c r="H34" s="139"/>
      <c r="I34" s="139"/>
      <c r="J34" s="139"/>
      <c r="K34" s="139"/>
      <c r="L34" s="139"/>
      <c r="N34" s="92"/>
    </row>
    <row r="35" spans="2:14" x14ac:dyDescent="0.2">
      <c r="N35" s="92"/>
    </row>
    <row r="36" spans="2:14" x14ac:dyDescent="0.2">
      <c r="N36" s="92"/>
    </row>
    <row r="37" spans="2:14" x14ac:dyDescent="0.2">
      <c r="B37" s="254" t="s">
        <v>209</v>
      </c>
      <c r="C37" s="254"/>
      <c r="N37" s="92"/>
    </row>
    <row r="38" spans="2:14" x14ac:dyDescent="0.2">
      <c r="B38" s="1" t="s">
        <v>210</v>
      </c>
      <c r="C38" s="64">
        <f>L7</f>
        <v>478662.87556607369</v>
      </c>
    </row>
    <row r="39" spans="2:14" x14ac:dyDescent="0.2">
      <c r="B39" s="1" t="s">
        <v>169</v>
      </c>
      <c r="C39" s="137">
        <f>IF(Overview!C28&gt;0,Overview!C28,WACC!C20)</f>
        <v>0.11</v>
      </c>
    </row>
    <row r="40" spans="2:14" x14ac:dyDescent="0.2">
      <c r="B40" s="39" t="s">
        <v>211</v>
      </c>
      <c r="C40" s="106">
        <v>25</v>
      </c>
    </row>
    <row r="41" spans="2:14" x14ac:dyDescent="0.2">
      <c r="B41" s="1" t="s">
        <v>212</v>
      </c>
      <c r="C41" s="24">
        <f>L18</f>
        <v>56000.505465443181</v>
      </c>
    </row>
    <row r="42" spans="2:14" x14ac:dyDescent="0.2">
      <c r="B42" s="1" t="s">
        <v>207</v>
      </c>
      <c r="C42" s="24">
        <f>(C38*C40)</f>
        <v>11966571.889151841</v>
      </c>
    </row>
    <row r="43" spans="2:14" x14ac:dyDescent="0.2">
      <c r="B43" s="1" t="s">
        <v>360</v>
      </c>
      <c r="C43" s="24">
        <f>C42/(1+C39)^5-G30+G31</f>
        <v>8377142.9799253754</v>
      </c>
    </row>
    <row r="44" spans="2:14" x14ac:dyDescent="0.2">
      <c r="B44" s="1" t="s">
        <v>70</v>
      </c>
      <c r="C44" s="89">
        <f>Statement!AC78</f>
        <v>48787</v>
      </c>
    </row>
    <row r="45" spans="2:14" x14ac:dyDescent="0.2">
      <c r="B45" s="143" t="s">
        <v>213</v>
      </c>
      <c r="C45" s="144">
        <f>C43/C44</f>
        <v>171.70850800265185</v>
      </c>
    </row>
    <row r="47" spans="2:14" x14ac:dyDescent="0.2">
      <c r="B47" s="254" t="s">
        <v>214</v>
      </c>
      <c r="C47" s="254"/>
    </row>
    <row r="48" spans="2:14" x14ac:dyDescent="0.2">
      <c r="B48" s="1" t="s">
        <v>215</v>
      </c>
      <c r="C48" s="64">
        <f>L6</f>
        <v>3108200.4906887901</v>
      </c>
    </row>
    <row r="49" spans="2:3" x14ac:dyDescent="0.2">
      <c r="B49" s="1" t="s">
        <v>359</v>
      </c>
      <c r="C49" s="137">
        <f>Overview!C29</f>
        <v>0.12</v>
      </c>
    </row>
    <row r="50" spans="2:3" x14ac:dyDescent="0.2">
      <c r="B50" s="39" t="s">
        <v>216</v>
      </c>
      <c r="C50" s="106">
        <v>4</v>
      </c>
    </row>
    <row r="51" spans="2:3" x14ac:dyDescent="0.2">
      <c r="B51" s="1" t="s">
        <v>212</v>
      </c>
      <c r="C51" s="24">
        <f>L18</f>
        <v>56000.505465443181</v>
      </c>
    </row>
    <row r="52" spans="2:3" x14ac:dyDescent="0.2">
      <c r="B52" s="1" t="s">
        <v>196</v>
      </c>
      <c r="C52" s="24">
        <f>(C48*C50)/C51</f>
        <v>222.01231684287563</v>
      </c>
    </row>
    <row r="53" spans="2:3" x14ac:dyDescent="0.2">
      <c r="B53" s="143" t="s">
        <v>213</v>
      </c>
      <c r="C53" s="144">
        <f>C52/(1+C49)^5</f>
        <v>125.97575087695434</v>
      </c>
    </row>
    <row r="55" spans="2:3" x14ac:dyDescent="0.2">
      <c r="B55" s="254" t="s">
        <v>332</v>
      </c>
      <c r="C55" s="254"/>
    </row>
    <row r="56" spans="2:3" x14ac:dyDescent="0.2">
      <c r="B56" s="1" t="s">
        <v>217</v>
      </c>
      <c r="C56" s="64">
        <f>L8</f>
        <v>570328.96383558039</v>
      </c>
    </row>
    <row r="57" spans="2:3" x14ac:dyDescent="0.2">
      <c r="B57" s="1" t="s">
        <v>169</v>
      </c>
      <c r="C57" s="137">
        <f>IF(Overview!C28&gt;0,Overview!C28,WACC!C20)</f>
        <v>0.11</v>
      </c>
    </row>
    <row r="58" spans="2:3" x14ac:dyDescent="0.2">
      <c r="B58" s="39" t="s">
        <v>361</v>
      </c>
      <c r="C58" s="106">
        <v>22</v>
      </c>
    </row>
    <row r="59" spans="2:3" x14ac:dyDescent="0.2">
      <c r="B59" s="1" t="s">
        <v>207</v>
      </c>
      <c r="C59" s="24">
        <f>(C56*C58)</f>
        <v>12547237.204382768</v>
      </c>
    </row>
    <row r="60" spans="2:3" x14ac:dyDescent="0.2">
      <c r="B60" s="1" t="s">
        <v>360</v>
      </c>
      <c r="C60" s="24">
        <f>C59/(1+C57)^5-G30+G31</f>
        <v>8721739.5824067108</v>
      </c>
    </row>
    <row r="61" spans="2:3" x14ac:dyDescent="0.2">
      <c r="B61" s="1" t="s">
        <v>70</v>
      </c>
      <c r="C61" s="89">
        <f>Statement!AC78</f>
        <v>48787</v>
      </c>
    </row>
    <row r="62" spans="2:3" x14ac:dyDescent="0.2">
      <c r="B62" s="143" t="s">
        <v>213</v>
      </c>
      <c r="C62" s="144">
        <f>C60/C61</f>
        <v>178.77179540465104</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218</v>
      </c>
    </row>
    <row r="2" spans="1:14" x14ac:dyDescent="0.2">
      <c r="N2" s="92"/>
    </row>
    <row r="3" spans="1:14" x14ac:dyDescent="0.2">
      <c r="N3" s="92"/>
    </row>
    <row r="4" spans="1:14" x14ac:dyDescent="0.2">
      <c r="B4" s="254" t="s">
        <v>219</v>
      </c>
      <c r="C4" s="254"/>
      <c r="N4" s="92"/>
    </row>
    <row r="5" spans="1:14" x14ac:dyDescent="0.2">
      <c r="B5" s="1" t="s">
        <v>220</v>
      </c>
      <c r="C5" s="135">
        <f>DCF!C26</f>
        <v>130.91279024586424</v>
      </c>
    </row>
    <row r="6" spans="1:14" x14ac:dyDescent="0.2">
      <c r="B6" s="1" t="s">
        <v>221</v>
      </c>
      <c r="C6" s="135">
        <f>Multiples!C45</f>
        <v>171.70850800265185</v>
      </c>
    </row>
    <row r="7" spans="1:14" x14ac:dyDescent="0.2">
      <c r="B7" s="1" t="s">
        <v>222</v>
      </c>
      <c r="C7" s="135">
        <f>Multiples!C53</f>
        <v>125.97575087695434</v>
      </c>
    </row>
    <row r="8" spans="1:14" x14ac:dyDescent="0.2">
      <c r="B8" s="1" t="s">
        <v>333</v>
      </c>
      <c r="C8" s="135">
        <f>Multiples!C62</f>
        <v>178.77179540465104</v>
      </c>
    </row>
    <row r="9" spans="1:14" x14ac:dyDescent="0.2">
      <c r="B9" s="143" t="s">
        <v>223</v>
      </c>
      <c r="C9" s="144">
        <f>AVERAGE(C5:C8)</f>
        <v>151.84221113253037</v>
      </c>
    </row>
    <row r="10" spans="1:14" x14ac:dyDescent="0.2">
      <c r="B10" s="1" t="s">
        <v>224</v>
      </c>
      <c r="C10" s="135">
        <f ca="1">Overview!C5</f>
        <v>125.76</v>
      </c>
    </row>
    <row r="11" spans="1:14" x14ac:dyDescent="0.2">
      <c r="B11" s="1" t="s">
        <v>225</v>
      </c>
      <c r="C11" s="156">
        <f ca="1">(C9-C10)/C10</f>
        <v>0.20739671702075668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1" zoomScale="209" zoomScaleNormal="100" workbookViewId="0">
      <selection activeCell="I45" sqref="I45:L45"/>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226</v>
      </c>
    </row>
    <row r="2" spans="1:28" s="84" customFormat="1" ht="18" customHeight="1" x14ac:dyDescent="0.2">
      <c r="A2" s="4"/>
      <c r="B2" s="83"/>
    </row>
    <row r="3" spans="1:28" x14ac:dyDescent="0.2">
      <c r="A3" s="4"/>
      <c r="C3" s="254" t="s">
        <v>113</v>
      </c>
      <c r="D3" s="254"/>
      <c r="E3" s="254"/>
      <c r="F3" s="254"/>
      <c r="G3" s="260"/>
      <c r="H3" s="261" t="s">
        <v>114</v>
      </c>
      <c r="I3" s="254"/>
      <c r="J3" s="254"/>
      <c r="K3" s="254"/>
      <c r="L3" s="254"/>
      <c r="P3" s="265"/>
      <c r="Q3" s="265"/>
      <c r="R3" s="265"/>
      <c r="S3" s="265"/>
      <c r="T3" s="265"/>
      <c r="U3" s="265"/>
      <c r="V3" s="265"/>
      <c r="W3" s="265"/>
      <c r="X3" s="265"/>
      <c r="Y3" s="265"/>
      <c r="Z3" s="265"/>
      <c r="AB3" s="111"/>
    </row>
    <row r="4" spans="1:28" ht="10" customHeight="1" x14ac:dyDescent="0.2"/>
    <row r="5" spans="1:28" ht="16" customHeight="1" x14ac:dyDescent="0.2">
      <c r="A5" s="87"/>
      <c r="B5" s="60"/>
      <c r="C5" s="262" t="s">
        <v>184</v>
      </c>
      <c r="D5" s="262"/>
      <c r="E5" s="262"/>
      <c r="F5" s="262"/>
      <c r="G5" s="262"/>
      <c r="H5" s="262"/>
      <c r="I5" s="262"/>
      <c r="J5" s="262"/>
      <c r="K5" s="262"/>
      <c r="L5" s="262"/>
      <c r="P5" s="265"/>
      <c r="Q5" s="265"/>
      <c r="R5" s="265"/>
      <c r="S5" s="265"/>
      <c r="T5" s="265"/>
      <c r="U5" s="265"/>
      <c r="V5" s="265"/>
      <c r="W5" s="265"/>
      <c r="X5" s="265"/>
      <c r="Y5" s="265"/>
      <c r="Z5" s="265"/>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271</v>
      </c>
      <c r="C7" s="114">
        <f>'FCF &amp; Other'!C28</f>
        <v>-35092</v>
      </c>
      <c r="D7" s="114">
        <f>'FCF &amp; Other'!D28</f>
        <v>-32389.924312708914</v>
      </c>
      <c r="E7" s="114">
        <f>'FCF &amp; Other'!E28</f>
        <v>24267.594138493558</v>
      </c>
      <c r="F7" s="114">
        <f>'FCF &amp; Other'!F28</f>
        <v>145655.79989443434</v>
      </c>
      <c r="G7" s="115">
        <f>'FCF &amp; Other'!G28</f>
        <v>199444.84052409406</v>
      </c>
      <c r="H7" s="128">
        <f>G7*(1+$C$17)</f>
        <v>239333.80862891287</v>
      </c>
      <c r="I7" s="128">
        <f t="shared" ref="I7:L7" si="0">H7*(1+$C$17)</f>
        <v>287200.57035469543</v>
      </c>
      <c r="J7" s="128">
        <f t="shared" si="0"/>
        <v>344640.68442563451</v>
      </c>
      <c r="K7" s="128">
        <f t="shared" si="0"/>
        <v>413568.82131076138</v>
      </c>
      <c r="L7" s="128">
        <f t="shared" si="0"/>
        <v>496282.58557291364</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L7*(1+C20)/(C21-C20)</f>
        <v>5624535.9698263546</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330</v>
      </c>
      <c r="C10" s="139"/>
      <c r="D10" s="139"/>
      <c r="E10" s="139"/>
      <c r="F10" s="139"/>
      <c r="G10" s="140"/>
      <c r="H10" s="128">
        <f>H7/(1+$C$21)^H9</f>
        <v>215616.0438098314</v>
      </c>
      <c r="I10" s="128">
        <f t="shared" ref="I10:L10" si="1">I7/(1+$C$21)^I9</f>
        <v>233098.42574035825</v>
      </c>
      <c r="J10" s="128">
        <f t="shared" si="1"/>
        <v>251998.29809768457</v>
      </c>
      <c r="K10" s="128">
        <f t="shared" si="1"/>
        <v>272430.59253803734</v>
      </c>
      <c r="L10" s="128">
        <f t="shared" si="1"/>
        <v>294519.55950058089</v>
      </c>
      <c r="N10" s="92"/>
    </row>
    <row r="11" spans="1:28" x14ac:dyDescent="0.2">
      <c r="B11" s="1" t="s">
        <v>187</v>
      </c>
      <c r="C11" s="139"/>
      <c r="D11" s="139"/>
      <c r="E11" s="139"/>
      <c r="F11" s="139"/>
      <c r="G11" s="140"/>
      <c r="H11" s="139"/>
      <c r="I11" s="139"/>
      <c r="J11" s="139"/>
      <c r="K11" s="139"/>
      <c r="L11" s="128">
        <f>L8/(1+C21)^L9</f>
        <v>3337888.3410065831</v>
      </c>
    </row>
    <row r="13" spans="1:28" ht="17" thickBot="1" x14ac:dyDescent="0.25"/>
    <row r="14" spans="1:28" x14ac:dyDescent="0.2">
      <c r="B14" s="266" t="s">
        <v>227</v>
      </c>
      <c r="C14" s="267"/>
    </row>
    <row r="15" spans="1:28" x14ac:dyDescent="0.2">
      <c r="B15" s="157" t="s">
        <v>228</v>
      </c>
      <c r="C15" s="158">
        <f ca="1">Overview!C5</f>
        <v>125.76</v>
      </c>
    </row>
    <row r="16" spans="1:28" x14ac:dyDescent="0.2">
      <c r="B16" s="157" t="s">
        <v>229</v>
      </c>
      <c r="C16" s="158">
        <f>C36</f>
        <v>128.71831091994667</v>
      </c>
    </row>
    <row r="17" spans="2:9" ht="17" thickBot="1" x14ac:dyDescent="0.25">
      <c r="B17" s="159" t="s">
        <v>334</v>
      </c>
      <c r="C17" s="160">
        <v>0.2</v>
      </c>
      <c r="E17" s="268" t="s">
        <v>230</v>
      </c>
      <c r="F17" s="268"/>
      <c r="G17" s="268"/>
      <c r="H17" s="268"/>
      <c r="I17" s="268"/>
    </row>
    <row r="18" spans="2:9" ht="17" thickBot="1" x14ac:dyDescent="0.25"/>
    <row r="19" spans="2:9" x14ac:dyDescent="0.2">
      <c r="B19" s="266" t="s">
        <v>188</v>
      </c>
      <c r="C19" s="267"/>
    </row>
    <row r="20" spans="2:9" x14ac:dyDescent="0.2">
      <c r="B20" s="161" t="s">
        <v>189</v>
      </c>
      <c r="C20" s="162">
        <v>0.02</v>
      </c>
    </row>
    <row r="21" spans="2:9" x14ac:dyDescent="0.2">
      <c r="B21" s="161" t="s">
        <v>169</v>
      </c>
      <c r="C21" s="224">
        <f>IF(Overview!C28&gt;0,Overview!C28,WACC!C20)</f>
        <v>0.11</v>
      </c>
    </row>
    <row r="22" spans="2:9" x14ac:dyDescent="0.2">
      <c r="B22" s="161" t="s">
        <v>70</v>
      </c>
      <c r="C22" s="225">
        <f>Statement!AC75</f>
        <v>46593</v>
      </c>
    </row>
    <row r="23" spans="2:9" x14ac:dyDescent="0.2">
      <c r="B23" s="161" t="s">
        <v>231</v>
      </c>
      <c r="C23" s="163">
        <f ca="1">C15*C22</f>
        <v>5859535.6800000006</v>
      </c>
    </row>
    <row r="24" spans="2:9" x14ac:dyDescent="0.2">
      <c r="B24" s="161" t="s">
        <v>182</v>
      </c>
      <c r="C24" s="225">
        <f>Statement!AC107</f>
        <v>1391821</v>
      </c>
    </row>
    <row r="25" spans="2:9" x14ac:dyDescent="0.2">
      <c r="B25" s="161" t="s">
        <v>173</v>
      </c>
      <c r="C25" s="225">
        <f>Statement!AC108</f>
        <v>0</v>
      </c>
    </row>
    <row r="26" spans="2:9" ht="17" thickBot="1" x14ac:dyDescent="0.25">
      <c r="B26" s="159" t="s">
        <v>232</v>
      </c>
      <c r="C26" s="164">
        <f ca="1">C23+C25-C24</f>
        <v>4467714.6800000006</v>
      </c>
    </row>
    <row r="27" spans="2:9" ht="17" thickBot="1" x14ac:dyDescent="0.25"/>
    <row r="28" spans="2:9" x14ac:dyDescent="0.2">
      <c r="B28" s="266" t="s">
        <v>190</v>
      </c>
      <c r="C28" s="267"/>
    </row>
    <row r="29" spans="2:9" x14ac:dyDescent="0.2">
      <c r="B29" s="161" t="s">
        <v>191</v>
      </c>
      <c r="C29" s="163">
        <f>SUM(H10:L10)</f>
        <v>1267662.9196864925</v>
      </c>
    </row>
    <row r="30" spans="2:9" x14ac:dyDescent="0.2">
      <c r="B30" s="161" t="s">
        <v>187</v>
      </c>
      <c r="C30" s="163">
        <f>L11</f>
        <v>3337888.3410065831</v>
      </c>
    </row>
    <row r="31" spans="2:9" x14ac:dyDescent="0.2">
      <c r="B31" s="165" t="s">
        <v>192</v>
      </c>
      <c r="C31" s="166">
        <f>C29+C30</f>
        <v>4605551.2606930751</v>
      </c>
    </row>
    <row r="32" spans="2:9" x14ac:dyDescent="0.2">
      <c r="B32" s="161" t="s">
        <v>193</v>
      </c>
      <c r="C32" s="167">
        <f>C24</f>
        <v>1391821</v>
      </c>
    </row>
    <row r="33" spans="2:12" x14ac:dyDescent="0.2">
      <c r="B33" s="161" t="s">
        <v>194</v>
      </c>
      <c r="C33" s="167">
        <f>C25</f>
        <v>0</v>
      </c>
    </row>
    <row r="34" spans="2:12" x14ac:dyDescent="0.2">
      <c r="B34" s="165" t="s">
        <v>195</v>
      </c>
      <c r="C34" s="166">
        <f>C31+C32-C33</f>
        <v>5997372.2606930751</v>
      </c>
    </row>
    <row r="35" spans="2:12" x14ac:dyDescent="0.2">
      <c r="B35" s="161" t="s">
        <v>70</v>
      </c>
      <c r="C35" s="163">
        <f>C22</f>
        <v>46593</v>
      </c>
    </row>
    <row r="36" spans="2:12" ht="17" thickBot="1" x14ac:dyDescent="0.25">
      <c r="B36" s="168" t="s">
        <v>196</v>
      </c>
      <c r="C36" s="169">
        <f>C34/C35</f>
        <v>128.71831091994667</v>
      </c>
    </row>
    <row r="39" spans="2:12" x14ac:dyDescent="0.2">
      <c r="C39" s="262" t="s">
        <v>233</v>
      </c>
      <c r="D39" s="262"/>
      <c r="E39" s="262"/>
      <c r="F39" s="262"/>
      <c r="G39" s="262"/>
      <c r="H39" s="262"/>
      <c r="I39" s="262"/>
      <c r="J39" s="262"/>
      <c r="K39" s="262"/>
      <c r="L39" s="262"/>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271</v>
      </c>
      <c r="C41" s="114">
        <f>C7</f>
        <v>-35092</v>
      </c>
      <c r="D41" s="114">
        <f t="shared" si="2"/>
        <v>-32389.924312708914</v>
      </c>
      <c r="E41" s="114">
        <f t="shared" si="2"/>
        <v>24267.594138493558</v>
      </c>
      <c r="F41" s="114">
        <f t="shared" si="2"/>
        <v>145655.79989443434</v>
      </c>
      <c r="G41" s="115">
        <f t="shared" si="2"/>
        <v>199444.84052409406</v>
      </c>
      <c r="H41" s="145">
        <f t="shared" si="2"/>
        <v>239333.80862891287</v>
      </c>
      <c r="I41" s="145">
        <f t="shared" si="2"/>
        <v>287200.57035469543</v>
      </c>
      <c r="J41" s="145">
        <f t="shared" si="2"/>
        <v>344640.68442563451</v>
      </c>
      <c r="K41" s="145">
        <f t="shared" si="2"/>
        <v>413568.82131076138</v>
      </c>
      <c r="L41" s="145">
        <f t="shared" si="2"/>
        <v>496282.58557291364</v>
      </c>
    </row>
    <row r="42" spans="2:12" x14ac:dyDescent="0.2">
      <c r="B42" s="1" t="s">
        <v>161</v>
      </c>
      <c r="C42" s="114">
        <f>'FCF &amp; Other'!C10</f>
        <v>-60007</v>
      </c>
      <c r="D42" s="114">
        <f>'FCF &amp; Other'!D10</f>
        <v>-65195</v>
      </c>
      <c r="E42" s="114">
        <f>'FCF &amp; Other'!E10</f>
        <v>-13259</v>
      </c>
      <c r="F42" s="114">
        <f>'FCF &amp; Other'!F10</f>
        <v>62595</v>
      </c>
      <c r="G42" s="115">
        <f>'FCF &amp; Other'!G10</f>
        <v>135570</v>
      </c>
      <c r="H42" s="145">
        <f>H41/H43</f>
        <v>184102.92971454834</v>
      </c>
      <c r="I42" s="145">
        <f t="shared" ref="I42:L42" si="3">I41/I43</f>
        <v>220923.51565745802</v>
      </c>
      <c r="J42" s="145">
        <f t="shared" si="3"/>
        <v>265108.2187889496</v>
      </c>
      <c r="K42" s="145">
        <f t="shared" si="3"/>
        <v>318129.86254673952</v>
      </c>
      <c r="L42" s="145">
        <f t="shared" si="3"/>
        <v>381755.83505608741</v>
      </c>
    </row>
    <row r="43" spans="2:12" x14ac:dyDescent="0.2">
      <c r="B43" s="124" t="s">
        <v>335</v>
      </c>
      <c r="C43" s="96">
        <f>C41/C42</f>
        <v>0.5847984401819788</v>
      </c>
      <c r="D43" s="96">
        <f t="shared" ref="D43:G43" si="4">D41/D42</f>
        <v>0.4968160796488828</v>
      </c>
      <c r="E43" s="96">
        <f t="shared" si="4"/>
        <v>-1.830273334225323</v>
      </c>
      <c r="F43" s="96">
        <f t="shared" si="4"/>
        <v>2.3269558254562561</v>
      </c>
      <c r="G43" s="97">
        <f t="shared" si="4"/>
        <v>1.4711576346101207</v>
      </c>
      <c r="H43" s="170">
        <v>1.3</v>
      </c>
      <c r="I43" s="170">
        <v>1.3</v>
      </c>
      <c r="J43" s="170">
        <v>1.3</v>
      </c>
      <c r="K43" s="170">
        <v>1.3</v>
      </c>
      <c r="L43" s="170">
        <v>1.3</v>
      </c>
    </row>
    <row r="44" spans="2:12" x14ac:dyDescent="0.2">
      <c r="B44" s="1" t="s">
        <v>20</v>
      </c>
      <c r="C44" s="114">
        <f>Revenue!C11</f>
        <v>250772</v>
      </c>
      <c r="D44" s="114">
        <f>Revenue!D11</f>
        <v>369495</v>
      </c>
      <c r="E44" s="114">
        <f>Revenue!E11</f>
        <v>531109</v>
      </c>
      <c r="F44" s="114">
        <f>Revenue!F11</f>
        <v>748024</v>
      </c>
      <c r="G44" s="115">
        <f>Revenue!G11</f>
        <v>1037589</v>
      </c>
      <c r="H44" s="145">
        <f>H41/H45</f>
        <v>1329632.2701606271</v>
      </c>
      <c r="I44" s="145">
        <f t="shared" ref="I44:L44" si="5">I41/I45</f>
        <v>1595558.7241927525</v>
      </c>
      <c r="J44" s="145">
        <f t="shared" si="5"/>
        <v>1914670.469031303</v>
      </c>
      <c r="K44" s="145">
        <f t="shared" si="5"/>
        <v>2297604.5628375635</v>
      </c>
      <c r="L44" s="145">
        <f t="shared" si="5"/>
        <v>2757125.4754050761</v>
      </c>
    </row>
    <row r="45" spans="2:12" x14ac:dyDescent="0.2">
      <c r="B45" s="124" t="s">
        <v>336</v>
      </c>
      <c r="C45" s="96">
        <f>C41/C44</f>
        <v>-0.1399358780087091</v>
      </c>
      <c r="D45" s="96">
        <f t="shared" ref="D45:G45" si="6">D41/D44</f>
        <v>-8.7659980007060753E-2</v>
      </c>
      <c r="E45" s="96">
        <f t="shared" si="6"/>
        <v>4.5692304477034956E-2</v>
      </c>
      <c r="F45" s="96">
        <f t="shared" si="6"/>
        <v>0.19472075748162404</v>
      </c>
      <c r="G45" s="97">
        <f t="shared" si="6"/>
        <v>0.19221950167560958</v>
      </c>
      <c r="H45" s="170">
        <v>0.18</v>
      </c>
      <c r="I45" s="170">
        <v>0.18</v>
      </c>
      <c r="J45" s="170">
        <v>0.18</v>
      </c>
      <c r="K45" s="170">
        <v>0.18</v>
      </c>
      <c r="L45" s="170">
        <v>0.18</v>
      </c>
    </row>
    <row r="46" spans="2:12" x14ac:dyDescent="0.2">
      <c r="B46" s="124" t="s">
        <v>337</v>
      </c>
      <c r="C46" s="139"/>
      <c r="D46" s="96">
        <f>D41/C41-1</f>
        <v>-7.6999763116695763E-2</v>
      </c>
      <c r="E46" s="96">
        <f t="shared" ref="E46:L47" si="7">E41/D41-1</f>
        <v>-1.7492328140134499</v>
      </c>
      <c r="F46" s="96">
        <f t="shared" si="7"/>
        <v>5.0020700471248327</v>
      </c>
      <c r="G46" s="97">
        <f t="shared" si="7"/>
        <v>0.3692886975228169</v>
      </c>
      <c r="H46" s="171">
        <f t="shared" si="7"/>
        <v>0.19999999999999996</v>
      </c>
      <c r="I46" s="171">
        <f t="shared" si="7"/>
        <v>0.19999999999999996</v>
      </c>
      <c r="J46" s="171">
        <f t="shared" si="7"/>
        <v>0.19999999999999996</v>
      </c>
      <c r="K46" s="171">
        <f t="shared" si="7"/>
        <v>0.19999999999999996</v>
      </c>
      <c r="L46" s="171">
        <f t="shared" si="7"/>
        <v>0.19999999999999996</v>
      </c>
    </row>
    <row r="47" spans="2:12" x14ac:dyDescent="0.2">
      <c r="B47" s="124" t="s">
        <v>234</v>
      </c>
      <c r="C47" s="139"/>
      <c r="D47" s="96">
        <f>D42/C42-1</f>
        <v>8.6456580065658928E-2</v>
      </c>
      <c r="E47" s="96">
        <f t="shared" si="7"/>
        <v>-0.79662550809111132</v>
      </c>
      <c r="F47" s="96">
        <f t="shared" si="7"/>
        <v>-5.7209442642733235</v>
      </c>
      <c r="G47" s="97">
        <f t="shared" si="7"/>
        <v>1.1658279415288759</v>
      </c>
      <c r="H47" s="171">
        <f t="shared" si="7"/>
        <v>0.35799166271703431</v>
      </c>
      <c r="I47" s="171">
        <f t="shared" si="7"/>
        <v>0.19999999999999996</v>
      </c>
      <c r="J47" s="171">
        <f t="shared" si="7"/>
        <v>0.19999999999999996</v>
      </c>
      <c r="K47" s="171">
        <f t="shared" si="7"/>
        <v>0.19999999999999996</v>
      </c>
      <c r="L47" s="171">
        <f t="shared" si="7"/>
        <v>0.19999999999999996</v>
      </c>
    </row>
    <row r="48" spans="2:12" x14ac:dyDescent="0.2">
      <c r="B48" s="124" t="s">
        <v>235</v>
      </c>
      <c r="C48" s="139"/>
      <c r="D48" s="96">
        <f>D44/C44-1</f>
        <v>0.47343004801173971</v>
      </c>
      <c r="E48" s="96">
        <f t="shared" ref="E48:L48" si="8">E44/D44-1</f>
        <v>0.43739157498748282</v>
      </c>
      <c r="F48" s="96">
        <f t="shared" si="8"/>
        <v>0.4084189874394899</v>
      </c>
      <c r="G48" s="97">
        <f t="shared" si="8"/>
        <v>0.38710656342577243</v>
      </c>
      <c r="H48" s="171">
        <f t="shared" si="8"/>
        <v>0.28146334450406374</v>
      </c>
      <c r="I48" s="171">
        <f t="shared" si="8"/>
        <v>0.19999999999999996</v>
      </c>
      <c r="J48" s="171">
        <f t="shared" si="8"/>
        <v>0.19999999999999996</v>
      </c>
      <c r="K48" s="171">
        <f t="shared" si="8"/>
        <v>0.19999999999999996</v>
      </c>
      <c r="L48" s="171">
        <f t="shared" si="8"/>
        <v>0.19999999999999996</v>
      </c>
    </row>
    <row r="49" spans="2:12" x14ac:dyDescent="0.2">
      <c r="B49" s="124" t="s">
        <v>236</v>
      </c>
      <c r="C49" s="96">
        <f>C42/C44</f>
        <v>-0.23928907533536439</v>
      </c>
      <c r="D49" s="96">
        <f t="shared" ref="D49:L49" si="9">D42/D44</f>
        <v>-0.17644352426961121</v>
      </c>
      <c r="E49" s="96">
        <f t="shared" si="9"/>
        <v>-2.4964743583708805E-2</v>
      </c>
      <c r="F49" s="96">
        <f t="shared" si="9"/>
        <v>8.3680470145342925E-2</v>
      </c>
      <c r="G49" s="97">
        <f t="shared" si="9"/>
        <v>0.13065867120796384</v>
      </c>
      <c r="H49" s="171">
        <f t="shared" si="9"/>
        <v>0.13846153846153844</v>
      </c>
      <c r="I49" s="171">
        <f t="shared" si="9"/>
        <v>0.13846153846153844</v>
      </c>
      <c r="J49" s="171">
        <f t="shared" si="9"/>
        <v>0.13846153846153844</v>
      </c>
      <c r="K49" s="171">
        <f t="shared" si="9"/>
        <v>0.13846153846153844</v>
      </c>
      <c r="L49" s="171">
        <f t="shared" si="9"/>
        <v>0.13846153846153844</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2026-07-04T16:38:56Z</dcterms:modified>
</cp:coreProperties>
</file>