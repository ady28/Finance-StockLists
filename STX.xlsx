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DBE7F9F-71B0-8244-9BBF-F6038BA7C16F}"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43"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8" i="1"/>
  <c r="H7" i="1"/>
  <c r="H6"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7" i="12"/>
  <c r="C46"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6" i="12"/>
  <c r="C45"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8" i="12"/>
  <c r="C69"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56" i="3"/>
  <c r="AC138" i="3"/>
  <c r="L61" i="19"/>
  <c r="Q138" i="3"/>
  <c r="L69" i="19" s="1"/>
  <c r="C18" i="16"/>
  <c r="I18" i="17"/>
  <c r="F52" i="16"/>
  <c r="I75" i="17"/>
  <c r="F53" i="16"/>
  <c r="I76" i="17"/>
  <c r="F54" i="16"/>
  <c r="I77" i="17"/>
  <c r="AC167" i="3"/>
  <c r="C55"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2" i="12" l="1"/>
  <c r="C56"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9" i="12" s="1"/>
  <c r="C42"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0" i="12" s="1"/>
  <c r="C63"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0" i="13" s="1"/>
  <c r="AC114" i="3" l="1"/>
  <c r="C6" i="10"/>
  <c r="C7" i="10" s="1"/>
  <c r="C15" i="14"/>
  <c r="C23" i="14" s="1"/>
  <c r="C26" i="14" s="1"/>
  <c r="C5" i="16"/>
  <c r="C19" i="10"/>
  <c r="C24" i="21" l="1"/>
  <c r="C26" i="21" s="1"/>
  <c r="I10" i="1" s="1"/>
  <c r="C53" i="12"/>
  <c r="C57" i="12" s="1"/>
  <c r="C7" i="13" s="1"/>
  <c r="I5" i="1" s="1"/>
  <c r="C17" i="10"/>
  <c r="C16" i="10"/>
  <c r="AC115" i="3"/>
  <c r="I6" i="17"/>
  <c r="C20" i="10" l="1"/>
  <c r="C21" i="14" s="1"/>
  <c r="AC151" i="3"/>
  <c r="AC149" i="3"/>
  <c r="AC148" i="3"/>
  <c r="AC161" i="3"/>
  <c r="AC150" i="3"/>
  <c r="AC160" i="3"/>
  <c r="C61" i="12" l="1"/>
  <c r="C40" i="12"/>
  <c r="C15" i="11"/>
  <c r="C38" i="16"/>
  <c r="F9" i="1"/>
  <c r="I51" i="17"/>
  <c r="I11" i="17"/>
  <c r="C10" i="16"/>
  <c r="C40" i="16"/>
  <c r="I53" i="17"/>
  <c r="F11" i="1"/>
  <c r="I10" i="17"/>
  <c r="C9" i="16"/>
  <c r="F7" i="1"/>
  <c r="F3" i="1"/>
  <c r="AC162" i="3"/>
  <c r="AC157" i="3"/>
  <c r="AC174" i="3"/>
  <c r="I7" i="17"/>
  <c r="C6" i="16"/>
  <c r="AC152" i="3"/>
  <c r="AC163" i="3"/>
  <c r="AC159" i="3"/>
  <c r="C8" i="16"/>
  <c r="I9" i="17"/>
  <c r="F6" i="1"/>
  <c r="H10" i="14"/>
  <c r="I10" i="14"/>
  <c r="J10" i="14"/>
  <c r="K10" i="14"/>
  <c r="L10" i="14"/>
  <c r="L8" i="14"/>
  <c r="L11" i="14" s="1"/>
  <c r="C30" i="14" s="1"/>
  <c r="L8" i="11" l="1"/>
  <c r="L11" i="11" s="1"/>
  <c r="C20" i="11" s="1"/>
  <c r="I10" i="11"/>
  <c r="I9" i="12" s="1"/>
  <c r="H10" i="11"/>
  <c r="H9" i="12" s="1"/>
  <c r="J10" i="11"/>
  <c r="J9" i="12" s="1"/>
  <c r="K10" i="11"/>
  <c r="K9" i="12" s="1"/>
  <c r="L10" i="11"/>
  <c r="L9" i="12" s="1"/>
  <c r="C29" i="14"/>
  <c r="C31" i="14" s="1"/>
  <c r="C34" i="14" s="1"/>
  <c r="C36" i="14" s="1"/>
  <c r="C16" i="14" s="1"/>
  <c r="I52" i="17"/>
  <c r="C39" i="16"/>
  <c r="F8" i="1"/>
  <c r="C42" i="16"/>
  <c r="I55" i="17"/>
  <c r="AC154" i="3"/>
  <c r="AC158" i="3"/>
  <c r="AC153" i="3"/>
  <c r="C7" i="16"/>
  <c r="F4" i="1"/>
  <c r="I8" i="17"/>
  <c r="I54" i="17"/>
  <c r="C41" i="16"/>
  <c r="F10" i="1"/>
  <c r="I68" i="17"/>
  <c r="F48" i="16"/>
  <c r="F15" i="1"/>
  <c r="C44" i="12" l="1"/>
  <c r="C47" i="12" s="1"/>
  <c r="C49" i="12" s="1"/>
  <c r="C6" i="13" s="1"/>
  <c r="I4" i="1" s="1"/>
  <c r="C65" i="12"/>
  <c r="C68" i="12" s="1"/>
  <c r="C70" i="12" s="1"/>
  <c r="C8" i="13" s="1"/>
  <c r="I6" i="1" s="1"/>
  <c r="C19" i="11"/>
  <c r="C21" i="11" s="1"/>
  <c r="C24" i="11" s="1"/>
  <c r="C26" i="11" s="1"/>
  <c r="C5" i="13" s="1"/>
  <c r="C11" i="16"/>
  <c r="I12" i="17"/>
  <c r="C12" i="16"/>
  <c r="I13" i="17"/>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<sst xmlns="http://schemas.openxmlformats.org/spreadsheetml/2006/main" count="762" uniqueCount="427">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</sst>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209</v>
    <v>2.0886999999999998</v>
    <v>10.91</v>
    <v>1.2043E-2</v>
    <v>7.0000000000000007E-2</v>
    <v>7.6349999999999999E-5</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924.36</v>
    <v>Computers, Phones &amp; Household Electronics</v>
    <v>Stock</v>
    <v>46290.838552303125</v>
    <v>0</v>
    <v>903.54</v>
    <v>209991568347</v>
    <v>SEAGATE TECHNOLOGY HOLDINGS PUBLIC LIMITED COMPANY</v>
    <v>SEAGATE TECHNOLOGY HOLDINGS PUBLIC LIMITED COMPANY</v>
    <v>924.36</v>
    <v>65.9405</v>
    <v>905.92</v>
    <v>916.83</v>
    <v>916.9</v>
    <v>229040900</v>
    <v>STX</v>
    <v>SEAGATE TECHNOLOGY HOLDINGS PUBLIC LIMITED COMPANY (XNAS:STX)</v>
    <v>2761831</v>
    <v>3649657</v>
    <v>2017</v>
  </rv>
  <rv s="2">
    <v>1</v>
  </rv>
  <rv s="0">
    <v>https://www.bing.com/financeapi/forcetrigger?t=a33knm&amp;q=10+Y+TSY+YLD+NDX&amp;form=skydnc</v>
    <v>Learn more on Bing</v>
  </rv>
  <rv s="3">
    <v>5</v>
    <v>10 Y TSY YLD NDX</v>
    <v>6</v>
    <v>7</v>
    <v>Finance</v>
    <v>8</v>
    <v>en-US</v>
    <v>a33knm</v>
    <v>268435456</v>
    <v>1</v>
    <v>Powered by Refinitiv</v>
    <v>51.81</v>
    <v>39.47</v>
    <v>0.48</v>
    <v>9.3860000000000002E-3</v>
    <v>US</v>
    <v>51.81</v>
    <v>Index</v>
    <v>3</v>
    <v>50.87</v>
    <v>10 Y TSY YLD NDX</v>
    <v>51.21</v>
    <v>51.14</v>
    <v>51.62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6" t="s">
        <v>17</v>
      </c>
      <c r="C2" s="247"/>
      <c r="E2" s="246" t="s">
        <v>286</v>
      </c>
      <c r="F2" s="247"/>
      <c r="H2" s="246" t="s">
        <v>324</v>
      </c>
      <c r="I2" s="247"/>
    </row>
    <row r="3" spans="2:9" x14ac:dyDescent="0.2">
      <c r="B3" s="181" t="s">
        <v>11</v>
      </c>
      <c r="C3" s="213" t="e" vm="1">
        <v>#VALUE!</v>
      </c>
      <c r="D3" s="2"/>
      <c r="E3" s="181" t="s">
        <v>238</v>
      </c>
      <c r="F3" s="183">
        <f ca="1">Statement!AC151</f>
        <v>217288.71000000002</v>
      </c>
      <c r="H3" s="181" t="str">
        <f>'AVG target price'!B5</f>
        <v>DCF price</v>
      </c>
      <c r="I3" s="207">
        <f ca="1">'AVG target price'!C5</f>
        <v>134.94389543944112</v>
      </c>
    </row>
    <row r="4" spans="2:9" x14ac:dyDescent="0.2">
      <c r="B4" s="181" t="s">
        <v>0</v>
      </c>
      <c r="C4" s="185" t="str" cm="1">
        <f t="array" aca="1" ref="C4" ca="1">_FV(C3,"Ticker symbol",TRUE)</f>
        <v>STX</v>
      </c>
      <c r="E4" s="182" t="s">
        <v>187</v>
      </c>
      <c r="F4" s="184">
        <f ca="1">Statement!AC152</f>
        <v>219149.71000000002</v>
      </c>
      <c r="H4" s="181" t="str">
        <f>'AVG target price'!B6</f>
        <v>EV/EBIT price</v>
      </c>
      <c r="I4" s="207">
        <f ca="1">'AVG target price'!C6</f>
        <v>212.7602458808405</v>
      </c>
    </row>
    <row r="5" spans="2:9" x14ac:dyDescent="0.2">
      <c r="B5" s="181" t="s">
        <v>1</v>
      </c>
      <c r="C5" s="204" cm="1">
        <f t="array" aca="1" ref="C5" ca="1">_FV(C3,"Price",TRUE)</f>
        <v>916.83</v>
      </c>
      <c r="E5" s="181" t="s">
        <v>242</v>
      </c>
      <c r="F5" s="185">
        <f>Statement!AC25</f>
        <v>13.88</v>
      </c>
      <c r="H5" s="181" t="str">
        <f>'AVG target price'!B7</f>
        <v>PS price</v>
      </c>
      <c r="I5" s="207">
        <f ca="1">'AVG target price'!C7</f>
        <v>110.4706506218634</v>
      </c>
    </row>
    <row r="6" spans="2:9" x14ac:dyDescent="0.2">
      <c r="B6" s="181" t="s">
        <v>2</v>
      </c>
      <c r="C6" s="204" cm="1">
        <f t="array" aca="1" ref="C6" ca="1">_FV(C3,"Price (Extended hours)",TRUE)</f>
        <v>916.9</v>
      </c>
      <c r="E6" s="181" t="s">
        <v>236</v>
      </c>
      <c r="F6" s="186">
        <f ca="1">Statement!AC148</f>
        <v>66.054034582132559</v>
      </c>
      <c r="H6" s="181" t="str">
        <f>'AVG target price'!B8</f>
        <v>EV/FCFF price</v>
      </c>
      <c r="I6" s="207">
        <f ca="1">'AVG target price'!C8</f>
        <v>227.94617210237942</v>
      </c>
    </row>
    <row r="7" spans="2:9" x14ac:dyDescent="0.2">
      <c r="B7" s="181" t="s">
        <v>3</v>
      </c>
      <c r="C7" s="6" cm="1">
        <f t="array" aca="1" ref="C7" ca="1">_FV(C3,"Change")</f>
        <v>10.91</v>
      </c>
      <c r="E7" s="182" t="s">
        <v>200</v>
      </c>
      <c r="F7" s="187">
        <f ca="1">Statement!AC149</f>
        <v>17.197610701107013</v>
      </c>
      <c r="H7" s="180" t="str">
        <f>'AVG target price'!B9</f>
        <v>AVG price</v>
      </c>
      <c r="I7" s="208">
        <f ca="1">'AVG target price'!C9</f>
        <v>171.53024101113112</v>
      </c>
    </row>
    <row r="8" spans="2:9" x14ac:dyDescent="0.2">
      <c r="B8" s="181" t="s">
        <v>4</v>
      </c>
      <c r="C8" s="6" cm="1">
        <f t="array" aca="1" ref="C8" ca="1">_FV(C3,"Change (extended hours)",TRUE)</f>
        <v>7.0000000000000007E-2</v>
      </c>
      <c r="E8" s="181" t="s">
        <v>264</v>
      </c>
      <c r="F8" s="188">
        <f ca="1">Statement!AC159</f>
        <v>1.3309481196699082E-2</v>
      </c>
      <c r="H8" s="180" t="str">
        <f>'AVG target price'!B11</f>
        <v>Upside/Downside</v>
      </c>
      <c r="I8" s="209">
        <f ca="1">'AVG target price'!C11</f>
        <v>-0.81290943685183614</v>
      </c>
    </row>
    <row r="9" spans="2:9" x14ac:dyDescent="0.2">
      <c r="B9" s="181" t="s">
        <v>5</v>
      </c>
      <c r="C9" s="73" cm="1">
        <f t="array" aca="1" ref="C9" ca="1">_FV(C3,"Change (%)",TRUE)</f>
        <v>1.2043E-2</v>
      </c>
      <c r="E9" s="181" t="s">
        <v>287</v>
      </c>
      <c r="F9" s="188">
        <f ca="1">Statement!AC160</f>
        <v>1.513912066577228E-2</v>
      </c>
    </row>
    <row r="10" spans="2:9" x14ac:dyDescent="0.2">
      <c r="B10" s="181" t="s">
        <v>6</v>
      </c>
      <c r="C10" s="73" cm="1">
        <f t="array" aca="1" ref="C10" ca="1">_FV(C3,"Change % (extended hours)",TRUE)</f>
        <v>7.6349999999999999E-5</v>
      </c>
      <c r="E10" s="181" t="s">
        <v>292</v>
      </c>
      <c r="F10" s="188">
        <f ca="1">Statement!AC162</f>
        <v>8.0998225816702573E-4</v>
      </c>
      <c r="H10" s="180" t="s">
        <v>362</v>
      </c>
      <c r="I10" s="208">
        <f ca="1">DDM!C26</f>
        <v>23.943667578207407</v>
      </c>
    </row>
    <row r="11" spans="2:9" x14ac:dyDescent="0.2">
      <c r="B11" s="181" t="s">
        <v>7</v>
      </c>
      <c r="C11" s="205" cm="1">
        <f t="array" aca="1" ref="C11" ca="1">_FV(C3,"52 week high",TRUE)</f>
        <v>1145</v>
      </c>
      <c r="E11" s="182" t="s">
        <v>288</v>
      </c>
      <c r="F11" s="189">
        <f ca="1">Statement!AC161</f>
        <v>3.1848870564881162E-3</v>
      </c>
    </row>
    <row r="12" spans="2:9" x14ac:dyDescent="0.2">
      <c r="B12" s="181" t="s">
        <v>8</v>
      </c>
      <c r="C12" s="205" cm="1">
        <f t="array" aca="1" ref="C12" ca="1">_FV(C3,"52 week low",TRUE)</f>
        <v>209</v>
      </c>
      <c r="E12" s="181" t="s">
        <v>101</v>
      </c>
      <c r="F12" s="188">
        <f>Statement!AC121</f>
        <v>0.31929402326514245</v>
      </c>
    </row>
    <row r="13" spans="2:9" x14ac:dyDescent="0.2">
      <c r="B13" s="181" t="s">
        <v>9</v>
      </c>
      <c r="C13" s="205" cm="1">
        <f t="array" aca="1" ref="C13" ca="1">_FV(C3,"Beta")</f>
        <v>2.0886999999999998</v>
      </c>
      <c r="E13" s="181" t="s">
        <v>103</v>
      </c>
      <c r="F13" s="188">
        <f>Statement!AC123</f>
        <v>1.4693124134748501</v>
      </c>
    </row>
    <row r="14" spans="2:9" x14ac:dyDescent="0.2">
      <c r="B14" s="182" t="s">
        <v>10</v>
      </c>
      <c r="C14" s="206" cm="1">
        <f t="array" aca="1" ref="C14" ca="1">_FV(C3,"Volume average",TRUE)</f>
        <v>3649657</v>
      </c>
      <c r="E14" s="182" t="s">
        <v>104</v>
      </c>
      <c r="F14" s="189">
        <f>Statement!AC138</f>
        <v>0.87701105809469215</v>
      </c>
    </row>
    <row r="15" spans="2:9" x14ac:dyDescent="0.2">
      <c r="E15" s="181" t="s">
        <v>289</v>
      </c>
      <c r="F15" s="188">
        <f ca="1">Statement!AC174</f>
        <v>-8.5646419457320166E-3</v>
      </c>
    </row>
    <row r="16" spans="2:9" x14ac:dyDescent="0.2">
      <c r="E16" s="182" t="s">
        <v>294</v>
      </c>
      <c r="F16" s="187">
        <f>Statement!AC173</f>
        <v>-8.1982378854625555</v>
      </c>
    </row>
    <row r="17" spans="2:9" x14ac:dyDescent="0.2">
      <c r="B17" s="248" t="s">
        <v>89</v>
      </c>
      <c r="C17" s="248"/>
      <c r="E17" s="180" t="s">
        <v>295</v>
      </c>
      <c r="F17" s="190">
        <f>Statement!AC169</f>
        <v>8.4388185654008432E-3</v>
      </c>
    </row>
    <row r="18" spans="2:9" x14ac:dyDescent="0.2">
      <c r="B18" s="180" t="s">
        <v>12</v>
      </c>
      <c r="C18" s="69" t="s">
        <v>354</v>
      </c>
      <c r="E18" s="181" t="s">
        <v>296</v>
      </c>
      <c r="F18" s="186">
        <f>Statement!AC142</f>
        <v>36.179012534437547</v>
      </c>
      <c r="I18" s="50"/>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48" t="s">
        <v>106</v>
      </c>
      <c r="C25" s="248"/>
      <c r="E25" s="246" t="s">
        <v>337</v>
      </c>
      <c r="F25" s="247"/>
    </row>
    <row r="26" spans="2:9" x14ac:dyDescent="0.2">
      <c r="B26" s="180" t="s">
        <v>107</v>
      </c>
      <c r="C26" s="166">
        <v>0.21</v>
      </c>
      <c r="E26" s="181" t="e" vm="2">
        <v>#VALUE!</v>
      </c>
      <c r="F26" s="215" cm="1">
        <f t="array" aca="1" ref="F26" ca="1">_FV(E26,"Price")</f>
        <v>51.62</v>
      </c>
    </row>
    <row r="27" spans="2:9" x14ac:dyDescent="0.2">
      <c r="B27" s="180" t="s">
        <v>171</v>
      </c>
      <c r="C27" s="217">
        <v>0.06</v>
      </c>
      <c r="E27" s="182" t="s">
        <v>338</v>
      </c>
      <c r="F27" s="216">
        <f ca="1">F26/1000</f>
        <v>5.1619999999999999E-2</v>
      </c>
    </row>
    <row r="28" spans="2:9" x14ac:dyDescent="0.2">
      <c r="B28" s="180" t="s">
        <v>342</v>
      </c>
      <c r="C28" s="217">
        <v>0</v>
      </c>
    </row>
    <row r="29" spans="2:9" x14ac:dyDescent="0.2">
      <c r="B29" s="180" t="s">
        <v>361</v>
      </c>
      <c r="C29" s="217">
        <v>0</v>
      </c>
    </row>
    <row r="33" spans="2:8" x14ac:dyDescent="0.2">
      <c r="B33" s="243" t="s">
        <v>332</v>
      </c>
      <c r="C33" s="243"/>
      <c r="D33" s="243"/>
      <c r="E33" s="243"/>
      <c r="F33" s="243"/>
      <c r="G33" s="243"/>
      <c r="H33" s="243"/>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243"/>
      <c r="C49" s="243"/>
      <c r="D49" s="243"/>
      <c r="E49" s="243"/>
      <c r="F49" s="243"/>
      <c r="G49" s="243"/>
      <c r="H49" s="243"/>
    </row>
    <row r="52" spans="2:8" x14ac:dyDescent="0.2">
      <c r="B52" s="243" t="s">
        <v>335</v>
      </c>
      <c r="C52" s="243"/>
      <c r="D52" s="243"/>
      <c r="E52" s="243"/>
      <c r="F52" s="243"/>
      <c r="G52" s="243"/>
      <c r="H52" s="243"/>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243"/>
      <c r="C65" s="243"/>
      <c r="D65" s="243"/>
      <c r="E65" s="243"/>
      <c r="F65" s="243"/>
      <c r="G65" s="243"/>
      <c r="H65" s="243"/>
    </row>
    <row r="68" spans="2:8" x14ac:dyDescent="0.2">
      <c r="B68" s="243" t="s">
        <v>108</v>
      </c>
      <c r="C68" s="243"/>
      <c r="D68" s="243"/>
      <c r="E68" s="243"/>
      <c r="F68" s="243"/>
      <c r="G68" s="243"/>
      <c r="H68" s="243"/>
    </row>
    <row r="70" spans="2:8" x14ac:dyDescent="0.2">
      <c r="B70" s="41" t="s">
        <v>336</v>
      </c>
      <c r="C70" s="41" t="s">
        <v>355</v>
      </c>
      <c r="D70" s="41"/>
      <c r="E70" s="41" t="s">
        <v>360</v>
      </c>
    </row>
    <row r="75" spans="2:8" ht="5" customHeight="1" x14ac:dyDescent="0.2">
      <c r="B75" s="243"/>
      <c r="C75" s="243"/>
      <c r="D75" s="243"/>
      <c r="E75" s="243"/>
      <c r="F75" s="243"/>
      <c r="G75" s="243"/>
      <c r="H75" s="243"/>
    </row>
  </sheetData>
  <mergeCells count="12">
    <mergeCell ref="B2:C2"/>
    <mergeCell ref="B17:C17"/>
    <mergeCell ref="B25:C25"/>
    <mergeCell ref="E2:F2"/>
    <mergeCell ref="H2:I2"/>
    <mergeCell ref="E25:F25"/>
    <mergeCell ref="B68:H68"/>
    <mergeCell ref="B75:H75"/>
    <mergeCell ref="B33:H33"/>
    <mergeCell ref="B49:H49"/>
    <mergeCell ref="B52:H52"/>
    <mergeCell ref="B65:H6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X92" activePane="bottomRight" state="frozen"/>
      <selection pane="topRight" activeCell="C1" sqref="C1"/>
      <selection pane="bottomLeft" activeCell="A4" sqref="A4"/>
      <selection pane="bottomRight" activeCell="Q80" sqref="Q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916.83</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916.83</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66.054034582132559</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17.197610701107013</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96.040798338717124</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217288.71000000002</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219149.71000000002</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17.970455924559246</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53.529484611626778</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AC107+AC52+AC108+AC54+AC56+AC57</f>
        <v>3211.6005420054198</v>
      </c>
    </row>
    <row r="157" spans="2:29" x14ac:dyDescent="0.2">
      <c r="B157" s="20" t="s">
        <v>262</v>
      </c>
      <c r="L157" s="72">
        <f>L151/L155</f>
        <v>19.701673228346458</v>
      </c>
      <c r="M157" s="72">
        <f t="shared" ref="M157:P157" si="202">M151/M155</f>
        <v>13.011644562334217</v>
      </c>
      <c r="N157" s="72">
        <f t="shared" si="202"/>
        <v>25.062798434442271</v>
      </c>
      <c r="O157" s="72">
        <f t="shared" si="202"/>
        <v>40.961843575418989</v>
      </c>
      <c r="P157" s="72">
        <f t="shared" si="202"/>
        <v>49.893074433656956</v>
      </c>
      <c r="Q157" s="72">
        <f t="shared" ref="Q157" si="203">Q151/Q155</f>
        <v>67.212282157676341</v>
      </c>
      <c r="T157" s="49"/>
      <c r="U157" s="49"/>
      <c r="V157" s="49"/>
      <c r="W157" s="49"/>
      <c r="X157" s="49"/>
      <c r="Y157" s="49"/>
      <c r="Z157" s="49"/>
      <c r="AA157" s="49"/>
      <c r="AC157" s="72">
        <f t="shared" ref="AC157:AC158" ca="1" si="204">AC151/AC155</f>
        <v>75.134408713692949</v>
      </c>
    </row>
    <row r="158" spans="2:29" x14ac:dyDescent="0.2">
      <c r="B158" s="20" t="s">
        <v>263</v>
      </c>
      <c r="L158" s="72">
        <f>L152/L156</f>
        <v>19.801169652343109</v>
      </c>
      <c r="M158" s="72">
        <f t="shared" ref="M158:P158" si="205">M152/M156</f>
        <v>14.659365949397982</v>
      </c>
      <c r="N158" s="72">
        <f t="shared" si="205"/>
        <v>17.180029498525073</v>
      </c>
      <c r="O158" s="72">
        <f t="shared" si="205"/>
        <v>35.737599041631057</v>
      </c>
      <c r="P158" s="72">
        <f t="shared" si="205"/>
        <v>40.813593878239608</v>
      </c>
      <c r="Q158" s="72">
        <f t="shared" ref="Q158" si="206">Q152/Q156</f>
        <v>63.70151446907547</v>
      </c>
      <c r="T158" s="49"/>
      <c r="U158" s="49"/>
      <c r="V158" s="49"/>
      <c r="W158" s="49"/>
      <c r="X158" s="49"/>
      <c r="Y158" s="49"/>
      <c r="Z158" s="49"/>
      <c r="AA158" s="49"/>
      <c r="AC158" s="72">
        <f t="shared" ca="1" si="204"/>
        <v>68.236914003992652</v>
      </c>
    </row>
    <row r="159" spans="2:29" x14ac:dyDescent="0.2">
      <c r="B159" s="20" t="s">
        <v>264</v>
      </c>
      <c r="L159" s="74">
        <f>L155/L151</f>
        <v>5.0757110241845635E-2</v>
      </c>
      <c r="M159" s="74">
        <f t="shared" ref="M159:P159" si="207">M155/M151</f>
        <v>7.685423585076824E-2</v>
      </c>
      <c r="N159" s="74">
        <f t="shared" si="207"/>
        <v>3.9899774265660659E-2</v>
      </c>
      <c r="O159" s="74">
        <f t="shared" si="207"/>
        <v>2.4412963692876734E-2</v>
      </c>
      <c r="P159" s="74">
        <f t="shared" si="207"/>
        <v>2.0042861887168417E-2</v>
      </c>
      <c r="Q159" s="74">
        <f t="shared" ref="Q159" si="208">Q155/Q151</f>
        <v>1.4878233083263779E-2</v>
      </c>
      <c r="T159" s="49"/>
      <c r="U159" s="49"/>
      <c r="V159" s="49"/>
      <c r="W159" s="49"/>
      <c r="X159" s="49"/>
      <c r="Y159" s="49"/>
      <c r="Z159" s="49"/>
      <c r="AA159" s="49"/>
      <c r="AC159" s="74">
        <f t="shared" ref="AC159" ca="1" si="209">AC155/AC151</f>
        <v>1.3309481196699082E-2</v>
      </c>
    </row>
    <row r="160" spans="2:29" x14ac:dyDescent="0.2">
      <c r="B160" s="20" t="s">
        <v>265</v>
      </c>
      <c r="L160" s="74">
        <f t="shared" ref="L160:Q160" si="210">L25/L115</f>
        <v>6.1587958175341836E-2</v>
      </c>
      <c r="M160" s="74">
        <f t="shared" si="210"/>
        <v>0.10652771746996671</v>
      </c>
      <c r="N160" s="74">
        <f t="shared" si="210"/>
        <v>-4.1377080976240509E-2</v>
      </c>
      <c r="O160" s="74">
        <f t="shared" si="210"/>
        <v>1.529969981601627E-2</v>
      </c>
      <c r="P160" s="74">
        <f t="shared" si="210"/>
        <v>4.7864819004524883E-2</v>
      </c>
      <c r="Q160" s="74">
        <f t="shared" si="210"/>
        <v>1.6947912602419041E-2</v>
      </c>
      <c r="T160" s="49"/>
      <c r="U160" s="49"/>
      <c r="V160" s="49"/>
      <c r="W160" s="49"/>
      <c r="X160" s="49"/>
      <c r="Y160" s="49"/>
      <c r="Z160" s="49"/>
      <c r="AA160" s="49"/>
      <c r="AC160" s="74">
        <f ca="1">AC25/AC115</f>
        <v>1.513912066577228E-2</v>
      </c>
    </row>
    <row r="161" spans="2:29" x14ac:dyDescent="0.2">
      <c r="B161" s="20" t="s">
        <v>266</v>
      </c>
      <c r="L161" s="152">
        <f t="shared" ref="L161:Q161" si="211">L81/L115</f>
        <v>3.0564173273583822E-2</v>
      </c>
      <c r="M161" s="152">
        <f t="shared" si="211"/>
        <v>4.0092632797799968E-2</v>
      </c>
      <c r="N161" s="152">
        <f t="shared" si="211"/>
        <v>4.5256182317763051E-2</v>
      </c>
      <c r="O161" s="152">
        <f t="shared" si="211"/>
        <v>2.7113392079016172E-2</v>
      </c>
      <c r="P161" s="152">
        <f t="shared" si="211"/>
        <v>2.0220588235294119E-2</v>
      </c>
      <c r="Q161" s="152">
        <f t="shared" si="211"/>
        <v>3.5602809207959424E-3</v>
      </c>
      <c r="T161" s="49"/>
      <c r="U161" s="49"/>
      <c r="V161" s="49"/>
      <c r="W161" s="49"/>
      <c r="X161" s="49"/>
      <c r="Y161" s="49"/>
      <c r="Z161" s="49"/>
      <c r="AA161" s="49"/>
      <c r="AC161" s="152">
        <f ca="1">AC81/AC115</f>
        <v>3.1848870564881162E-3</v>
      </c>
    </row>
    <row r="162" spans="2:29" x14ac:dyDescent="0.2">
      <c r="B162" s="20" t="s">
        <v>291</v>
      </c>
      <c r="L162" s="152">
        <f t="shared" ref="L162:Q162" si="212">-L62/L151</f>
        <v>0.10226358726875789</v>
      </c>
      <c r="M162" s="152">
        <f t="shared" si="212"/>
        <v>0.12224648125157565</v>
      </c>
      <c r="N162" s="152">
        <f t="shared" si="212"/>
        <v>3.1857354012504009E-2</v>
      </c>
      <c r="O162" s="152">
        <f t="shared" si="212"/>
        <v>0</v>
      </c>
      <c r="P162" s="152">
        <f t="shared" si="212"/>
        <v>0</v>
      </c>
      <c r="Q162" s="152">
        <f t="shared" si="212"/>
        <v>9.0545263577262276E-4</v>
      </c>
      <c r="T162" s="49"/>
      <c r="U162" s="49"/>
      <c r="V162" s="49"/>
      <c r="W162" s="49"/>
      <c r="X162" s="49"/>
      <c r="Y162" s="49"/>
      <c r="Z162" s="49"/>
      <c r="AA162" s="49"/>
      <c r="AC162" s="152">
        <f ca="1">-AC62/AC151</f>
        <v>8.0998225816702573E-4</v>
      </c>
    </row>
    <row r="163" spans="2:29" x14ac:dyDescent="0.2">
      <c r="B163" s="20" t="s">
        <v>293</v>
      </c>
      <c r="L163" s="152">
        <f t="shared" ref="L163:Q163" si="213">-(L62+L63)/L151</f>
        <v>0.13468619016930691</v>
      </c>
      <c r="M163" s="152">
        <f t="shared" si="213"/>
        <v>0.16369748378824109</v>
      </c>
      <c r="N163" s="152">
        <f t="shared" si="213"/>
        <v>7.7300932530340621E-2</v>
      </c>
      <c r="O163" s="152">
        <f t="shared" si="213"/>
        <v>2.6595128045312645E-2</v>
      </c>
      <c r="P163" s="152">
        <f t="shared" si="213"/>
        <v>1.9459089210843123E-2</v>
      </c>
      <c r="Q163" s="152">
        <f t="shared" si="213"/>
        <v>4.1671399714535481E-3</v>
      </c>
      <c r="T163" s="49"/>
      <c r="U163" s="49"/>
      <c r="V163" s="49"/>
      <c r="W163" s="49"/>
      <c r="X163" s="49"/>
      <c r="Y163" s="49"/>
      <c r="Z163" s="49"/>
      <c r="AA163" s="49"/>
      <c r="AC163" s="152">
        <f ca="1">-(AC62+AC63)/AC151</f>
        <v>3.7277592563368799E-3</v>
      </c>
    </row>
    <row r="164" spans="2:29" x14ac:dyDescent="0.2">
      <c r="B164" s="20" t="s">
        <v>340</v>
      </c>
      <c r="L164" s="152">
        <f t="shared" ref="L164:Q164" si="214">L156/L5</f>
        <v>0.11322609797980106</v>
      </c>
      <c r="M164" s="152">
        <f t="shared" si="214"/>
        <v>0.11551912298693807</v>
      </c>
      <c r="N164" s="152">
        <f t="shared" si="214"/>
        <v>0.13773022751895991</v>
      </c>
      <c r="O164" s="152">
        <f t="shared" si="214"/>
        <v>0.1123904232821475</v>
      </c>
      <c r="P164" s="152">
        <f t="shared" si="214"/>
        <v>9.4100951040925501E-2</v>
      </c>
      <c r="Q164" s="152">
        <f t="shared" si="214"/>
        <v>0.25261177056215006</v>
      </c>
      <c r="T164" s="49"/>
      <c r="U164" s="49"/>
      <c r="V164" s="49"/>
      <c r="W164" s="49"/>
      <c r="X164" s="49"/>
      <c r="Y164" s="49"/>
      <c r="Z164" s="49"/>
      <c r="AA164" s="49"/>
      <c r="AC164" s="152">
        <f>AC156/AC5</f>
        <v>0.26335387798322424</v>
      </c>
    </row>
    <row r="165" spans="2:29" x14ac:dyDescent="0.2">
      <c r="B165" s="20" t="s">
        <v>341</v>
      </c>
      <c r="L165" s="152">
        <f t="shared" ref="L165:Q165" si="215">L155/L5</f>
        <v>9.5122179571201199E-2</v>
      </c>
      <c r="M165" s="152">
        <f t="shared" si="215"/>
        <v>9.6989966555183951E-2</v>
      </c>
      <c r="N165" s="152">
        <f t="shared" si="215"/>
        <v>6.9203683640303354E-2</v>
      </c>
      <c r="O165" s="152">
        <f t="shared" si="215"/>
        <v>8.1972217981987477E-2</v>
      </c>
      <c r="P165" s="152">
        <f t="shared" si="215"/>
        <v>6.7934483895789821E-2</v>
      </c>
      <c r="Q165" s="152">
        <f t="shared" si="215"/>
        <v>0.23714637146371464</v>
      </c>
      <c r="T165" s="49"/>
      <c r="U165" s="49"/>
      <c r="V165" s="49"/>
      <c r="W165" s="49"/>
      <c r="X165" s="49"/>
      <c r="Y165" s="49"/>
      <c r="Z165" s="49"/>
      <c r="AA165" s="49"/>
      <c r="AC165" s="152">
        <f>AC155/AC5</f>
        <v>0.23714637146371464</v>
      </c>
    </row>
    <row r="166" spans="2:29" x14ac:dyDescent="0.2">
      <c r="B166" s="20" t="s">
        <v>269</v>
      </c>
      <c r="L166" s="152">
        <f t="shared" ref="L166:Q166" si="216">-L63/L155</f>
        <v>0.63877952755905509</v>
      </c>
      <c r="M166" s="152">
        <f t="shared" si="216"/>
        <v>0.53934571175950485</v>
      </c>
      <c r="N166" s="152">
        <f t="shared" si="216"/>
        <v>1.1389432485322897</v>
      </c>
      <c r="O166" s="152">
        <f t="shared" si="216"/>
        <v>1.0893854748603351</v>
      </c>
      <c r="P166" s="152">
        <f t="shared" si="216"/>
        <v>0.970873786407767</v>
      </c>
      <c r="Q166" s="152">
        <f t="shared" si="216"/>
        <v>0.21922544951590595</v>
      </c>
      <c r="T166" s="49"/>
      <c r="U166" s="49"/>
      <c r="V166" s="49"/>
      <c r="W166" s="49"/>
      <c r="X166" s="49"/>
      <c r="Y166" s="49"/>
      <c r="Z166" s="49"/>
      <c r="AA166" s="49"/>
      <c r="AC166" s="152">
        <f>-AC63/AC155</f>
        <v>0.21922544951590595</v>
      </c>
    </row>
    <row r="167" spans="2:29" x14ac:dyDescent="0.2">
      <c r="B167" s="20" t="s">
        <v>271</v>
      </c>
      <c r="L167" s="152">
        <f t="shared" ref="L167:Q167" si="217">-L62/L155</f>
        <v>2.0147637795275593</v>
      </c>
      <c r="M167" s="152">
        <f t="shared" si="217"/>
        <v>1.5906277630415562</v>
      </c>
      <c r="N167" s="152">
        <f t="shared" si="217"/>
        <v>0.79843444227005866</v>
      </c>
      <c r="O167" s="152">
        <f t="shared" si="217"/>
        <v>0</v>
      </c>
      <c r="P167" s="152">
        <f t="shared" si="217"/>
        <v>0</v>
      </c>
      <c r="Q167" s="152">
        <f t="shared" si="217"/>
        <v>6.0857538035961271E-2</v>
      </c>
      <c r="T167" s="49"/>
      <c r="U167" s="49"/>
      <c r="V167" s="49"/>
      <c r="W167" s="49"/>
      <c r="X167" s="49"/>
      <c r="Y167" s="49"/>
      <c r="Z167" s="49"/>
      <c r="AA167" s="49"/>
      <c r="AC167" s="152">
        <f>-AC62/AC155</f>
        <v>6.0857538035961271E-2</v>
      </c>
    </row>
    <row r="168" spans="2:29" x14ac:dyDescent="0.2">
      <c r="B168" s="20" t="s">
        <v>282</v>
      </c>
      <c r="L168" s="152">
        <f t="shared" ref="L168:Q168" si="218">(-L63-L62)/L155</f>
        <v>2.6535433070866143</v>
      </c>
      <c r="M168" s="152">
        <f t="shared" si="218"/>
        <v>2.1299734748010608</v>
      </c>
      <c r="N168" s="152">
        <f t="shared" si="218"/>
        <v>1.9373776908023483</v>
      </c>
      <c r="O168" s="152">
        <f t="shared" si="218"/>
        <v>1.0893854748603351</v>
      </c>
      <c r="P168" s="152">
        <f t="shared" si="218"/>
        <v>0.970873786407767</v>
      </c>
      <c r="Q168" s="152">
        <f t="shared" si="218"/>
        <v>0.28008298755186722</v>
      </c>
      <c r="T168" s="49"/>
      <c r="U168" s="49"/>
      <c r="V168" s="49"/>
      <c r="W168" s="49"/>
      <c r="X168" s="49"/>
      <c r="Y168" s="49"/>
      <c r="Z168" s="49"/>
      <c r="AA168" s="49"/>
      <c r="AC168" s="152">
        <f>(-AC63-AC62)/AC155</f>
        <v>0.28008298755186722</v>
      </c>
    </row>
    <row r="169" spans="2:29" x14ac:dyDescent="0.2">
      <c r="B169" s="20" t="s">
        <v>276</v>
      </c>
      <c r="L169" s="152">
        <f t="shared" ref="L169:Q169" si="219">L79/L77</f>
        <v>8.6956521739130436E-3</v>
      </c>
      <c r="M169" s="152">
        <f t="shared" si="219"/>
        <v>9.3896713615023476E-3</v>
      </c>
      <c r="N169" s="152">
        <f t="shared" si="219"/>
        <v>9.6618357487922701E-3</v>
      </c>
      <c r="O169" s="152">
        <f t="shared" si="219"/>
        <v>9.3896713615023476E-3</v>
      </c>
      <c r="P169" s="152">
        <f t="shared" si="219"/>
        <v>9.1743119266055051E-3</v>
      </c>
      <c r="Q169" s="152">
        <f t="shared" si="219"/>
        <v>8.4388185654008432E-3</v>
      </c>
      <c r="T169" s="49"/>
      <c r="U169" s="49"/>
      <c r="V169" s="49"/>
      <c r="W169" s="49"/>
      <c r="X169" s="49"/>
      <c r="Y169" s="49"/>
      <c r="Z169" s="49"/>
      <c r="AA169" s="49"/>
      <c r="AC169" s="152">
        <f>AC79/AC77</f>
        <v>8.4388185654008432E-3</v>
      </c>
    </row>
    <row r="170" spans="2:29" x14ac:dyDescent="0.2">
      <c r="B170" s="20" t="s">
        <v>277</v>
      </c>
      <c r="L170" s="72">
        <f t="shared" ref="L170:Q170" si="220">L105/L74</f>
        <v>5.3259911894273131</v>
      </c>
      <c r="M170" s="72">
        <f t="shared" si="220"/>
        <v>2.9425837320574164</v>
      </c>
      <c r="N170" s="72">
        <f t="shared" si="220"/>
        <v>3.7971014492753623</v>
      </c>
      <c r="O170" s="72">
        <f t="shared" si="220"/>
        <v>6.4666666666666668</v>
      </c>
      <c r="P170" s="72">
        <f t="shared" si="220"/>
        <v>4.183098591549296</v>
      </c>
      <c r="Q170" s="72">
        <f t="shared" si="220"/>
        <v>7.5066079295154182</v>
      </c>
      <c r="T170" s="72">
        <f t="shared" ref="T170:Z170" si="221">T105/T74</f>
        <v>5.8443396226415096</v>
      </c>
      <c r="U170" s="72">
        <f t="shared" si="221"/>
        <v>5.8396226415094343</v>
      </c>
      <c r="V170" s="72">
        <f t="shared" si="221"/>
        <v>3.8396226415094339</v>
      </c>
      <c r="W170" s="72">
        <f t="shared" si="221"/>
        <v>4.183098591549296</v>
      </c>
      <c r="X170" s="72">
        <f t="shared" si="221"/>
        <v>5.1962616822429908</v>
      </c>
      <c r="Y170" s="72">
        <f t="shared" si="221"/>
        <v>4.7981651376146788</v>
      </c>
      <c r="Z170" s="72">
        <f t="shared" si="221"/>
        <v>5.1160714285714288</v>
      </c>
      <c r="AA170" s="72">
        <f t="shared" ref="AA170" si="222">AA105/AA74</f>
        <v>7.5066079295154182</v>
      </c>
      <c r="AC170" s="72">
        <f>AC105/AC74</f>
        <v>7.5066079295154182</v>
      </c>
    </row>
    <row r="171" spans="2:29" x14ac:dyDescent="0.2">
      <c r="B171" s="20" t="s">
        <v>279</v>
      </c>
      <c r="L171" s="152">
        <f t="shared" ref="L171:Q171" si="223">L53/L58</f>
        <v>6.8880688806888066E-2</v>
      </c>
      <c r="M171" s="152">
        <f t="shared" si="223"/>
        <v>8.7507543753771871E-2</v>
      </c>
      <c r="N171" s="152">
        <f t="shared" si="223"/>
        <v>0.12208067940552017</v>
      </c>
      <c r="O171" s="152">
        <f t="shared" si="223"/>
        <v>0.1383442265795207</v>
      </c>
      <c r="P171" s="152">
        <f t="shared" si="223"/>
        <v>0.18467220683287167</v>
      </c>
      <c r="Q171" s="152">
        <f t="shared" si="223"/>
        <v>5.7974959172563963E-2</v>
      </c>
      <c r="T171" s="152">
        <f t="shared" ref="T171:Z171" si="224">T53/T58</f>
        <v>0.4</v>
      </c>
      <c r="U171" s="152">
        <f t="shared" si="224"/>
        <v>0.22171945701357465</v>
      </c>
      <c r="V171" s="152">
        <f t="shared" si="224"/>
        <v>0.20849420849420849</v>
      </c>
      <c r="W171" s="152">
        <f t="shared" si="224"/>
        <v>0.11614173228346457</v>
      </c>
      <c r="X171" s="152">
        <f t="shared" si="224"/>
        <v>9.7744360902255634E-2</v>
      </c>
      <c r="Y171" s="152">
        <f t="shared" si="224"/>
        <v>7.3305670816044263E-2</v>
      </c>
      <c r="Z171" s="152">
        <f t="shared" si="224"/>
        <v>4.8473967684021541E-2</v>
      </c>
      <c r="AA171" s="152">
        <f t="shared" ref="AA171" si="225">AA53/AA58</f>
        <v>4.1379310344827586E-2</v>
      </c>
      <c r="AC171" s="152">
        <f>AC53/AC58</f>
        <v>5.7974959172563963E-2</v>
      </c>
    </row>
    <row r="172" spans="2:29" x14ac:dyDescent="0.2">
      <c r="B172" s="20" t="s">
        <v>280</v>
      </c>
      <c r="L172" s="152">
        <f t="shared" ref="L172:Q172" si="226">L53/L5</f>
        <v>1.0485909559030053E-2</v>
      </c>
      <c r="M172" s="152">
        <f t="shared" si="226"/>
        <v>1.2434611096818454E-2</v>
      </c>
      <c r="N172" s="152">
        <f t="shared" si="226"/>
        <v>1.5574214517876489E-2</v>
      </c>
      <c r="O172" s="152">
        <f t="shared" si="226"/>
        <v>1.938635322851473E-2</v>
      </c>
      <c r="P172" s="152">
        <f t="shared" si="226"/>
        <v>2.1985269869187644E-2</v>
      </c>
      <c r="Q172" s="152">
        <f t="shared" si="226"/>
        <v>1.7466174661746617E-2</v>
      </c>
      <c r="T172" s="152">
        <f t="shared" ref="T172:Z172" si="227">T53/T5</f>
        <v>1.7527675276752766E-2</v>
      </c>
      <c r="U172" s="152">
        <f t="shared" si="227"/>
        <v>2.1075268817204302E-2</v>
      </c>
      <c r="V172" s="152">
        <f t="shared" si="227"/>
        <v>2.5000000000000001E-2</v>
      </c>
      <c r="W172" s="152">
        <f t="shared" si="227"/>
        <v>2.4140752864157119E-2</v>
      </c>
      <c r="X172" s="152">
        <f t="shared" si="227"/>
        <v>1.9779383796120199E-2</v>
      </c>
      <c r="Y172" s="152">
        <f t="shared" si="227"/>
        <v>1.8761061946902656E-2</v>
      </c>
      <c r="Z172" s="152">
        <f t="shared" si="227"/>
        <v>1.7352185089974295E-2</v>
      </c>
      <c r="AA172" s="152">
        <f t="shared" ref="AA172" si="228">AA53/AA5</f>
        <v>1.4880132267842381E-2</v>
      </c>
      <c r="AC172" s="152">
        <f>AC53/AC5</f>
        <v>1.7466174661746617E-2</v>
      </c>
    </row>
    <row r="173" spans="2:29" x14ac:dyDescent="0.2">
      <c r="B173" s="20" t="s">
        <v>285</v>
      </c>
      <c r="L173" s="72">
        <f t="shared" ref="L173:Q173" si="229">(L105-L106)/L74</f>
        <v>-17.312775330396477</v>
      </c>
      <c r="M173" s="72">
        <f t="shared" si="229"/>
        <v>-24.071770334928228</v>
      </c>
      <c r="N173" s="72">
        <f t="shared" si="229"/>
        <v>-22.536231884057973</v>
      </c>
      <c r="O173" s="72">
        <f t="shared" si="229"/>
        <v>-20.552380952380954</v>
      </c>
      <c r="P173" s="72">
        <f t="shared" si="229"/>
        <v>-19.267605633802816</v>
      </c>
      <c r="Q173" s="72">
        <f t="shared" si="229"/>
        <v>-8.1982378854625555</v>
      </c>
      <c r="T173" s="72">
        <f t="shared" ref="T173:Z173" si="230">(T105-T106)/T74</f>
        <v>-20.929245283018869</v>
      </c>
      <c r="U173" s="72">
        <f t="shared" si="230"/>
        <v>-20.94811320754717</v>
      </c>
      <c r="V173" s="72">
        <f t="shared" si="230"/>
        <v>-20.433962264150942</v>
      </c>
      <c r="W173" s="72">
        <f t="shared" si="230"/>
        <v>-19.267605633802816</v>
      </c>
      <c r="X173" s="72">
        <f t="shared" si="230"/>
        <v>-18.140186915887849</v>
      </c>
      <c r="Y173" s="72">
        <f t="shared" si="230"/>
        <v>-15.839449541284404</v>
      </c>
      <c r="Z173" s="72">
        <f t="shared" si="230"/>
        <v>-12.129464285714286</v>
      </c>
      <c r="AA173" s="72">
        <f t="shared" ref="AA173" si="231">(AA105-AA106)/AA74</f>
        <v>-8.1982378854625555</v>
      </c>
      <c r="AC173" s="72">
        <f>(AC105-AC106)/AC74</f>
        <v>-8.1982378854625555</v>
      </c>
    </row>
    <row r="174" spans="2:29" x14ac:dyDescent="0.2">
      <c r="B174" s="20" t="s">
        <v>290</v>
      </c>
      <c r="L174" s="152">
        <f t="shared" ref="L174:Q174" si="232">(L105-L106)/L151</f>
        <v>-0.19633409768745408</v>
      </c>
      <c r="M174" s="152">
        <f t="shared" si="232"/>
        <v>-0.34186884223272768</v>
      </c>
      <c r="N174" s="152">
        <f t="shared" si="232"/>
        <v>-0.36425136389296864</v>
      </c>
      <c r="O174" s="152">
        <f t="shared" si="232"/>
        <v>-0.19621294468986217</v>
      </c>
      <c r="P174" s="152">
        <f t="shared" si="232"/>
        <v>-0.13310017020216697</v>
      </c>
      <c r="Q174" s="152">
        <f t="shared" si="232"/>
        <v>-9.5741326998457447E-3</v>
      </c>
      <c r="T174" s="49"/>
      <c r="U174" s="49"/>
      <c r="V174" s="49"/>
      <c r="W174" s="49"/>
      <c r="X174" s="49"/>
      <c r="Y174" s="49"/>
      <c r="Z174" s="49"/>
      <c r="AA174" s="49"/>
      <c r="AC174" s="152">
        <f ca="1">(AC105-AC106)/AC151</f>
        <v>-8.5646419457320166E-3</v>
      </c>
    </row>
    <row r="175" spans="2:29" x14ac:dyDescent="0.2">
      <c r="B175" s="20" t="s">
        <v>299</v>
      </c>
      <c r="L175" s="152">
        <f t="shared" ref="L175:Q175" si="233">-L108/L5</f>
        <v>4.6624847860687199E-2</v>
      </c>
      <c r="M175" s="152">
        <f t="shared" si="233"/>
        <v>3.2673012606122973E-2</v>
      </c>
      <c r="N175" s="152">
        <f t="shared" si="233"/>
        <v>4.2795232936078009E-2</v>
      </c>
      <c r="O175" s="152">
        <f t="shared" si="233"/>
        <v>3.877270645702946E-2</v>
      </c>
      <c r="P175" s="152">
        <f t="shared" si="233"/>
        <v>2.9130482576673628E-2</v>
      </c>
      <c r="Q175" s="152">
        <f t="shared" si="233"/>
        <v>4.6658466584665846E-2</v>
      </c>
      <c r="T175" s="152">
        <f t="shared" ref="T175:Z175" si="234">-T108/T5</f>
        <v>3.136531365313653E-2</v>
      </c>
      <c r="U175" s="152">
        <f t="shared" si="234"/>
        <v>3.053763440860215E-2</v>
      </c>
      <c r="V175" s="152">
        <f t="shared" si="234"/>
        <v>1.9907407407407408E-2</v>
      </c>
      <c r="W175" s="152">
        <f t="shared" si="234"/>
        <v>3.3960720130932896E-2</v>
      </c>
      <c r="X175" s="152">
        <f t="shared" si="234"/>
        <v>3.9939140357550397E-2</v>
      </c>
      <c r="Y175" s="152">
        <f t="shared" si="234"/>
        <v>4.1061946902654869E-2</v>
      </c>
      <c r="Z175" s="152">
        <f t="shared" si="234"/>
        <v>5.1735218508997427E-2</v>
      </c>
      <c r="AA175" s="152">
        <f t="shared" ref="AA175" si="235">-AA108/AA5</f>
        <v>5.1529346927528245E-2</v>
      </c>
      <c r="AC175" s="152">
        <f>-AC108/AC5</f>
        <v>4.6658466584665846E-2</v>
      </c>
    </row>
    <row r="176" spans="2:29" x14ac:dyDescent="0.2">
      <c r="B176" s="20" t="s">
        <v>300</v>
      </c>
      <c r="L176" s="152">
        <f t="shared" ref="L176:Q176" si="236">-(L108/L58)</f>
        <v>0.30627306273062732</v>
      </c>
      <c r="M176" s="152">
        <f t="shared" si="236"/>
        <v>0.22993361496680748</v>
      </c>
      <c r="N176" s="152">
        <f t="shared" si="236"/>
        <v>0.3354564755838641</v>
      </c>
      <c r="O176" s="152">
        <f t="shared" si="236"/>
        <v>0.27668845315904139</v>
      </c>
      <c r="P176" s="152">
        <f t="shared" si="236"/>
        <v>0.24469067405355494</v>
      </c>
      <c r="Q176" s="152">
        <f t="shared" si="236"/>
        <v>0.15487207403375067</v>
      </c>
      <c r="T176" s="152">
        <f t="shared" ref="T176:Z176" si="237">-(T108/T58)</f>
        <v>0.71578947368421053</v>
      </c>
      <c r="U176" s="152">
        <f t="shared" si="237"/>
        <v>0.32126696832579188</v>
      </c>
      <c r="V176" s="152">
        <f t="shared" si="237"/>
        <v>0.16602316602316602</v>
      </c>
      <c r="W176" s="152">
        <f t="shared" si="237"/>
        <v>0.16338582677165353</v>
      </c>
      <c r="X176" s="152">
        <f t="shared" si="237"/>
        <v>0.19736842105263158</v>
      </c>
      <c r="Y176" s="152">
        <f t="shared" si="237"/>
        <v>0.16044260027662519</v>
      </c>
      <c r="Z176" s="152">
        <f t="shared" si="237"/>
        <v>0.14452423698384201</v>
      </c>
      <c r="AA176" s="152">
        <f t="shared" ref="AA176" si="238">-(AA108/AA58)</f>
        <v>0.14329501915708812</v>
      </c>
      <c r="AC176" s="152">
        <f>-(AC108/AC58)</f>
        <v>0.15487207403375067</v>
      </c>
    </row>
    <row r="177" spans="1:31" x14ac:dyDescent="0.2">
      <c r="B177" s="20" t="s">
        <v>301</v>
      </c>
      <c r="L177" s="152">
        <f t="shared" ref="L177:Q177" si="239">-L108/L52</f>
        <v>1.2544080604534005</v>
      </c>
      <c r="M177" s="152">
        <f t="shared" si="239"/>
        <v>0.84478935698447899</v>
      </c>
      <c r="N177" s="152">
        <f t="shared" si="239"/>
        <v>0.61598440545808963</v>
      </c>
      <c r="O177" s="152">
        <f t="shared" si="239"/>
        <v>0.96212121212121215</v>
      </c>
      <c r="P177" s="152">
        <f t="shared" si="239"/>
        <v>1.0557768924302788</v>
      </c>
      <c r="Q177" s="152">
        <f t="shared" si="239"/>
        <v>2.0615942028985508</v>
      </c>
      <c r="T177" s="152">
        <f t="shared" ref="T177:Z177" si="240">-T108/T52</f>
        <v>1.0625</v>
      </c>
      <c r="U177" s="152">
        <f t="shared" si="240"/>
        <v>1.126984126984127</v>
      </c>
      <c r="V177" s="152">
        <f t="shared" si="240"/>
        <v>0.68253968253968256</v>
      </c>
      <c r="W177" s="152">
        <f t="shared" si="240"/>
        <v>1.360655737704918</v>
      </c>
      <c r="X177" s="152">
        <f t="shared" si="240"/>
        <v>1.4583333333333333</v>
      </c>
      <c r="Y177" s="152">
        <f t="shared" si="240"/>
        <v>1.7058823529411764</v>
      </c>
      <c r="Z177" s="152">
        <f t="shared" si="240"/>
        <v>2.4393939393939394</v>
      </c>
      <c r="AA177" s="152">
        <f t="shared" ref="AA177" si="241">-AA108/AA52</f>
        <v>2.6714285714285713</v>
      </c>
      <c r="AC177" s="152">
        <f>-AC108/AC52</f>
        <v>2.0615942028985508</v>
      </c>
    </row>
    <row r="178" spans="1:31" x14ac:dyDescent="0.2">
      <c r="B178" s="20" t="s">
        <v>353</v>
      </c>
      <c r="L178" s="220">
        <f t="shared" ref="L178:Q178" si="242">L5/L36</f>
        <v>1.2312391930835735</v>
      </c>
      <c r="M178" s="220">
        <f t="shared" si="242"/>
        <v>1.3037790697674418</v>
      </c>
      <c r="N178" s="220">
        <f t="shared" si="242"/>
        <v>0.97723663313922715</v>
      </c>
      <c r="O178" s="220">
        <f t="shared" si="242"/>
        <v>0.84649179480553038</v>
      </c>
      <c r="P178" s="220">
        <f t="shared" si="242"/>
        <v>1.133865137729029</v>
      </c>
      <c r="Q178" s="220">
        <f t="shared" si="242"/>
        <v>1.2229241877256318</v>
      </c>
      <c r="T178" s="49"/>
      <c r="U178" s="49"/>
      <c r="V178" s="49"/>
      <c r="W178" s="49"/>
      <c r="X178" s="49"/>
      <c r="Y178" s="49"/>
      <c r="Z178" s="49"/>
      <c r="AA178" s="49"/>
      <c r="AC178" s="220">
        <f>AC5/AC36</f>
        <v>1.2229241877256318</v>
      </c>
    </row>
    <row r="179" spans="1:31" x14ac:dyDescent="0.2">
      <c r="B179" s="20" t="s">
        <v>350</v>
      </c>
      <c r="L179" s="222">
        <f t="shared" ref="L179:Q179" si="243">IF(AND(L11&gt;0,L106&gt;0),L106/L11,"N/A")</f>
        <v>3.4443699731903483</v>
      </c>
      <c r="M179" s="222">
        <f t="shared" si="243"/>
        <v>2.8879795396419436</v>
      </c>
      <c r="N179" s="222" t="str">
        <f t="shared" si="243"/>
        <v>N/A</v>
      </c>
      <c r="O179" s="222">
        <f t="shared" si="243"/>
        <v>12.553097345132743</v>
      </c>
      <c r="P179" s="222">
        <f t="shared" si="243"/>
        <v>2.6428571428571428</v>
      </c>
      <c r="Q179" s="222">
        <f t="shared" si="243"/>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4">IF(AND(L11&gt;0,L106&gt;0),(L106-L105)/L11,"N/A")</f>
        <v>2.6340482573726542</v>
      </c>
      <c r="M180" s="222">
        <f t="shared" si="244"/>
        <v>2.5734015345268544</v>
      </c>
      <c r="N180" s="222" t="str">
        <f t="shared" si="244"/>
        <v>N/A</v>
      </c>
      <c r="O180" s="222">
        <f t="shared" si="244"/>
        <v>9.5486725663716818</v>
      </c>
      <c r="P180" s="222">
        <f t="shared" si="244"/>
        <v>2.1714285714285713</v>
      </c>
      <c r="Q180" s="222">
        <f t="shared" si="244"/>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5">L5/(L106+L110-L105)</f>
        <v>2.3418110063582547</v>
      </c>
      <c r="M181" s="222">
        <f t="shared" si="245"/>
        <v>2.2686770428015564</v>
      </c>
      <c r="N181" s="222">
        <f t="shared" si="245"/>
        <v>2.1304096941719561</v>
      </c>
      <c r="O181" s="222">
        <f t="shared" si="245"/>
        <v>2.3189380530973454</v>
      </c>
      <c r="P181" s="222">
        <f t="shared" si="245"/>
        <v>2.4916461243494932</v>
      </c>
      <c r="Q181" s="222">
        <f t="shared" si="245"/>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6">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7">IF(K185=0,
IF(L185=0,0,IF(L185&gt;0,1,-1)),
(L185-K185)/ABS(K185)
)</f>
        <v>0</v>
      </c>
      <c r="M190" s="81">
        <f t="shared" ref="M190:M191" si="248">IF(L185=0,
IF(M185=0,0,IF(M185&gt;0,1,-1)),
(M185-L185)/ABS(L185)
)</f>
        <v>0</v>
      </c>
      <c r="N190" s="81">
        <f t="shared" ref="N190:N191" si="249">IF(M185=0,
IF(N185=0,0,IF(N185&gt;0,1,-1)),
(N185-M185)/ABS(M185)
)</f>
        <v>0</v>
      </c>
      <c r="O190" s="81">
        <f t="shared" ref="O190:O191" si="250">IF(N185=0,
IF(O185=0,0,IF(O185&gt;0,1,-1)),
(O185-N185)/ABS(N185)
)</f>
        <v>0</v>
      </c>
      <c r="P190" s="81">
        <f t="shared" ref="P190:P191" si="251">IF(O185=0,
IF(P185=0,0,IF(P185&gt;0,1,-1)),
(P185-O185)/ABS(O185)
)</f>
        <v>1</v>
      </c>
      <c r="Q190" s="81">
        <f t="shared" ref="Q190:Q191" si="252">IF(P185=0,
IF(Q185=0,0,IF(Q185&gt;0,1,-1)),
(Q185-P185)/ABS(P185)
)</f>
        <v>0.4377575044143614</v>
      </c>
      <c r="T190" s="81">
        <f t="shared" ref="T190:T191" si="253">IF(S185=0,
IF(T185=0,0,IF(T185&gt;0,1,-1)),
(T185-S185)/ABS(S185)
)</f>
        <v>1</v>
      </c>
      <c r="U190" s="81">
        <f t="shared" ref="U190:U191" si="254">IF(T185=0,
IF(U185=0,0,IF(U185&gt;0,1,-1)),
(U185-T185)/ABS(T185)
)</f>
        <v>9.7345132743362831E-2</v>
      </c>
      <c r="V190" s="81">
        <f t="shared" ref="V190:V191" si="255">IF(U185=0,
IF(V185=0,0,IF(V185&gt;0,1,-1)),
(V185-U185)/ABS(U185)
)</f>
        <v>-6.9700460829493091E-2</v>
      </c>
      <c r="W190" s="81">
        <f t="shared" ref="W190:W191" si="256">IF(V185=0,
IF(W185=0,0,IF(W185&gt;0,1,-1)),
(W185-V185)/ABS(V185)
)</f>
        <v>0.15356037151702787</v>
      </c>
      <c r="X190" s="81">
        <f t="shared" ref="X190:X191" si="257">IF(W185=0,
IF(X185=0,0,IF(X185&gt;0,1,-1)),
(X185-W185)/ABS(W185)
)</f>
        <v>0.13472893183038109</v>
      </c>
      <c r="Y190" s="81">
        <f t="shared" ref="Y190:Y191" si="258">IF(X185=0,
IF(Y185=0,0,IF(Y185&gt;0,1,-1)),
(Y185-X185)/ABS(X185)
)</f>
        <v>5.2034058656575212E-2</v>
      </c>
      <c r="Z190" s="81">
        <f t="shared" ref="Z190:Z191" si="259">IF(Y185=0,
IF(Z185=0,0,IF(Z185&gt;0,1,-1)),
(Z185-Y185)/ABS(Y185)
)</f>
        <v>0.12410071942446044</v>
      </c>
      <c r="AA190" s="81">
        <f t="shared" ref="AA190:AA191" si="260">IF(Z185=0,
IF(AA185=0,0,IF(AA185&gt;0,1,-1)),
(AA185-Z185)/ABS(Z185)
)</f>
        <v>0.17319999999999999</v>
      </c>
      <c r="AC190" s="49"/>
    </row>
    <row r="191" spans="1:31" x14ac:dyDescent="0.2">
      <c r="B191" s="20" t="str">
        <f>B186</f>
        <v>Edge &amp; IoT</v>
      </c>
      <c r="L191" s="81">
        <f t="shared" si="247"/>
        <v>0</v>
      </c>
      <c r="M191" s="81">
        <f t="shared" si="248"/>
        <v>0</v>
      </c>
      <c r="N191" s="81">
        <f t="shared" si="249"/>
        <v>0</v>
      </c>
      <c r="O191" s="81">
        <f t="shared" si="250"/>
        <v>0</v>
      </c>
      <c r="P191" s="81">
        <f t="shared" si="251"/>
        <v>1</v>
      </c>
      <c r="Q191" s="81">
        <f t="shared" si="252"/>
        <v>5.434782608695652E-2</v>
      </c>
      <c r="T191" s="81">
        <f t="shared" si="253"/>
        <v>1</v>
      </c>
      <c r="U191" s="81">
        <f t="shared" si="254"/>
        <v>6.8376068376068376E-3</v>
      </c>
      <c r="V191" s="81">
        <f t="shared" si="255"/>
        <v>-7.4702886247877756E-2</v>
      </c>
      <c r="W191" s="81">
        <f t="shared" si="256"/>
        <v>6.6055045871559637E-2</v>
      </c>
      <c r="X191" s="81">
        <f t="shared" si="257"/>
        <v>-0.11359724612736662</v>
      </c>
      <c r="Y191" s="81">
        <f t="shared" si="258"/>
        <v>0.16699029126213591</v>
      </c>
      <c r="Z191" s="81">
        <f t="shared" si="259"/>
        <v>1.8302828618968387E-2</v>
      </c>
      <c r="AA191" s="81">
        <f t="shared" si="260"/>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1">IF(K63=0,
IF(L63=0,0,IF(L63&gt;0,1,-1)),
(L63-K63)/K63
)</f>
        <v>-1</v>
      </c>
      <c r="M195" s="81">
        <f t="shared" si="261"/>
        <v>-6.0092449922958396E-2</v>
      </c>
      <c r="N195" s="81">
        <f t="shared" si="261"/>
        <v>-4.5901639344262293E-2</v>
      </c>
      <c r="O195" s="81">
        <f t="shared" si="261"/>
        <v>5.1546391752577319E-3</v>
      </c>
      <c r="P195" s="81">
        <f t="shared" si="261"/>
        <v>2.564102564102564E-2</v>
      </c>
      <c r="Q195" s="81">
        <f t="shared" si="261"/>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2">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2"/>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3">L185/L206</f>
        <v>#DIV/0!</v>
      </c>
      <c r="M209" s="63" t="e">
        <f t="shared" si="263"/>
        <v>#DIV/0!</v>
      </c>
      <c r="N209" s="63" t="e">
        <f t="shared" si="263"/>
        <v>#DIV/0!</v>
      </c>
      <c r="O209" s="63" t="e">
        <f t="shared" si="263"/>
        <v>#DIV/0!</v>
      </c>
      <c r="P209" s="63">
        <f>P185/P206</f>
        <v>13.685058397100281</v>
      </c>
      <c r="Q209" s="63">
        <f>Q185/Q206</f>
        <v>14.058992805755397</v>
      </c>
      <c r="T209" s="63">
        <f t="shared" ref="T209:Z209" si="264">T185/T206</f>
        <v>13.87719298245614</v>
      </c>
      <c r="U209" s="63">
        <f t="shared" si="264"/>
        <v>13.777777777777779</v>
      </c>
      <c r="V209" s="63">
        <f t="shared" si="264"/>
        <v>13.503344481605351</v>
      </c>
      <c r="W209" s="63">
        <f t="shared" si="264"/>
        <v>13.598540145985401</v>
      </c>
      <c r="X209" s="63">
        <f t="shared" si="264"/>
        <v>13.29559748427673</v>
      </c>
      <c r="Y209" s="63">
        <f t="shared" si="264"/>
        <v>13.478787878787879</v>
      </c>
      <c r="Z209" s="63">
        <f t="shared" si="264"/>
        <v>14.253135689851767</v>
      </c>
      <c r="AA209" s="63">
        <f t="shared" ref="AA209:AC209" si="265">AA185/AA206</f>
        <v>15.041025641025641</v>
      </c>
      <c r="AC209" s="63">
        <f t="shared" si="265"/>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3" t="s">
        <v>232</v>
      </c>
      <c r="C4" s="243"/>
      <c r="E4" s="243" t="s">
        <v>239</v>
      </c>
      <c r="F4" s="243"/>
      <c r="G4" s="243"/>
    </row>
    <row r="5" spans="2:7" x14ac:dyDescent="0.2">
      <c r="B5" s="20" t="s">
        <v>1</v>
      </c>
      <c r="C5" s="168">
        <f ca="1">Overview!C5</f>
        <v>916.83</v>
      </c>
      <c r="E5" s="12"/>
      <c r="F5" s="132" t="s">
        <v>240</v>
      </c>
      <c r="G5" s="132" t="s">
        <v>241</v>
      </c>
    </row>
    <row r="6" spans="2:7" x14ac:dyDescent="0.2">
      <c r="B6" s="20" t="s">
        <v>238</v>
      </c>
      <c r="C6" s="169">
        <f ca="1">Statement!AC151</f>
        <v>217288.71000000002</v>
      </c>
      <c r="E6" s="20" t="s">
        <v>19</v>
      </c>
      <c r="F6" s="174">
        <f>IF(Statement!M5&lt;=0,"N/A",_xlfn.RRI(4,Statement!M5,Statement!Q5))</f>
        <v>1.125691029112641E-2</v>
      </c>
      <c r="G6" s="174" t="str">
        <f>IF(Statement!H5&lt;=0,"N/A",_xlfn.RRI(9,Statement!H5,Statement!Q5))</f>
        <v>N/A</v>
      </c>
    </row>
    <row r="7" spans="2:7" x14ac:dyDescent="0.2">
      <c r="B7" s="20" t="s">
        <v>187</v>
      </c>
      <c r="C7" s="169">
        <f ca="1">Statement!AC152</f>
        <v>219149.71000000002</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66.054034582132559</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17.197610701107013</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96.040798338717124</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17.970455924559246</v>
      </c>
    </row>
    <row r="12" spans="2:7" x14ac:dyDescent="0.2">
      <c r="B12" s="20" t="s">
        <v>203</v>
      </c>
      <c r="C12" s="170">
        <f ca="1">Statement!AC154</f>
        <v>53.529484611626778</v>
      </c>
    </row>
    <row r="15" spans="2:7" x14ac:dyDescent="0.2">
      <c r="B15" s="243" t="s">
        <v>76</v>
      </c>
      <c r="C15" s="243"/>
      <c r="E15" s="243" t="s">
        <v>245</v>
      </c>
      <c r="F15" s="243"/>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43" t="s">
        <v>244</v>
      </c>
      <c r="C21" s="243"/>
      <c r="E21" s="243" t="s">
        <v>248</v>
      </c>
      <c r="F21" s="243"/>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43" t="s">
        <v>249</v>
      </c>
      <c r="C29" s="243"/>
      <c r="E29" s="243" t="s">
        <v>255</v>
      </c>
      <c r="F29" s="243"/>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43" t="s">
        <v>267</v>
      </c>
      <c r="C37" s="243"/>
      <c r="E37" s="243" t="s">
        <v>270</v>
      </c>
      <c r="F37" s="243"/>
    </row>
    <row r="38" spans="2:6" x14ac:dyDescent="0.2">
      <c r="B38" s="20" t="s">
        <v>265</v>
      </c>
      <c r="C38" s="171">
        <f ca="1">Statement!AC160</f>
        <v>1.513912066577228E-2</v>
      </c>
      <c r="E38" s="20" t="s">
        <v>269</v>
      </c>
      <c r="F38" s="171">
        <f>Statement!AC166</f>
        <v>0.21922544951590595</v>
      </c>
    </row>
    <row r="39" spans="2:6" x14ac:dyDescent="0.2">
      <c r="B39" s="54" t="s">
        <v>268</v>
      </c>
      <c r="C39" s="211">
        <f ca="1">Statement!AC159</f>
        <v>1.3309481196699082E-2</v>
      </c>
      <c r="E39" s="20" t="s">
        <v>271</v>
      </c>
      <c r="F39" s="171">
        <f>Statement!AC167</f>
        <v>6.0857538035961271E-2</v>
      </c>
    </row>
    <row r="40" spans="2:6" x14ac:dyDescent="0.2">
      <c r="B40" s="20" t="s">
        <v>266</v>
      </c>
      <c r="C40" s="171">
        <f ca="1">Statement!AC161</f>
        <v>3.1848870564881162E-3</v>
      </c>
      <c r="E40" s="20" t="s">
        <v>272</v>
      </c>
      <c r="F40" s="171">
        <f>Statement!AC168</f>
        <v>0.28008298755186722</v>
      </c>
    </row>
    <row r="41" spans="2:6" x14ac:dyDescent="0.2">
      <c r="B41" s="20" t="s">
        <v>291</v>
      </c>
      <c r="C41" s="171">
        <f ca="1">Statement!AC162</f>
        <v>8.0998225816702573E-4</v>
      </c>
    </row>
    <row r="42" spans="2:6" x14ac:dyDescent="0.2">
      <c r="B42" s="20" t="s">
        <v>293</v>
      </c>
      <c r="C42" s="171">
        <f ca="1">Statement!AC163</f>
        <v>3.7277592563368799E-3</v>
      </c>
    </row>
    <row r="45" spans="2:6" x14ac:dyDescent="0.2">
      <c r="B45" s="243" t="s">
        <v>278</v>
      </c>
      <c r="C45" s="243"/>
      <c r="E45" s="243" t="s">
        <v>284</v>
      </c>
      <c r="F45" s="243"/>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-8.5646419457320166E-3</v>
      </c>
    </row>
    <row r="51" spans="2:6" x14ac:dyDescent="0.2">
      <c r="B51" s="243" t="s">
        <v>281</v>
      </c>
      <c r="C51" s="243"/>
      <c r="E51" s="243" t="s">
        <v>302</v>
      </c>
      <c r="F51" s="243"/>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916.83</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217288.71000000002</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219149.71000000002</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66.054034582132559</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17.197610701107013</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96.040798338717124</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17.970455924559246</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53.529484611626778</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1.513912066577228E-2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1.3309481196699082E-2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3.1848870564881162E-3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8.0998225816702573E-4</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3.7277592563368799E-3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-8.5646419457320166E-3</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312</v>
      </c>
      <c r="D3" s="250"/>
      <c r="F3" s="251" t="s">
        <v>313</v>
      </c>
      <c r="G3" s="250"/>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52">
        <f>Statement!AA88</f>
        <v>0.16613110539845757</v>
      </c>
      <c r="D7" s="253"/>
      <c r="F7" s="252">
        <f>IF(F6=0,
IF(G6=0,0,IF(G6&gt;0,1,-1)),
(G6-F6)/ABS(F6)
)</f>
        <v>0.484860883797054</v>
      </c>
      <c r="G7" s="253"/>
    </row>
    <row r="8" spans="2:7" x14ac:dyDescent="0.2">
      <c r="B8" s="203" t="s">
        <v>20</v>
      </c>
      <c r="C8" s="196">
        <f>Statement!Z6</f>
        <v>1665</v>
      </c>
      <c r="D8" s="194">
        <f>Statement!AA6</f>
        <v>1731</v>
      </c>
      <c r="F8" s="196">
        <f>Statement!W6</f>
        <v>1530</v>
      </c>
      <c r="G8" s="194">
        <f>Statement!AA6</f>
        <v>1731</v>
      </c>
    </row>
    <row r="9" spans="2:7" x14ac:dyDescent="0.2">
      <c r="B9" s="202" t="s">
        <v>314</v>
      </c>
      <c r="C9" s="252">
        <f>Statement!AA89</f>
        <v>3.9639639639639637E-2</v>
      </c>
      <c r="D9" s="253"/>
      <c r="F9" s="252">
        <f>IF(F8=0,
IF(G8=0,0,IF(G8&gt;0,1,-1)),
(G8-F8)/ABS(F8)
)</f>
        <v>0.13137254901960785</v>
      </c>
      <c r="G9" s="253"/>
    </row>
    <row r="10" spans="2:7" x14ac:dyDescent="0.2">
      <c r="B10" s="203" t="s">
        <v>21</v>
      </c>
      <c r="C10" s="196">
        <f>Statement!Z7</f>
        <v>1447</v>
      </c>
      <c r="D10" s="194">
        <f>Statement!AA7</f>
        <v>1898</v>
      </c>
      <c r="F10" s="196">
        <f>Statement!W7</f>
        <v>914</v>
      </c>
      <c r="G10" s="194">
        <f>Statement!AA7</f>
        <v>1898</v>
      </c>
    </row>
    <row r="11" spans="2:7" x14ac:dyDescent="0.2">
      <c r="B11" s="202" t="s">
        <v>314</v>
      </c>
      <c r="C11" s="252">
        <f>Statement!AA90</f>
        <v>0.31167933655839669</v>
      </c>
      <c r="D11" s="253"/>
      <c r="F11" s="252">
        <f>IF(F10=0,
IF(G10=0,0,IF(G10&gt;0,1,-1)),
(G10-F10)/ABS(F10)
)</f>
        <v>1.0765864332603938</v>
      </c>
      <c r="G11" s="253"/>
    </row>
    <row r="12" spans="2:7" x14ac:dyDescent="0.2">
      <c r="B12" s="203" t="s">
        <v>24</v>
      </c>
      <c r="C12" s="196">
        <f>Statement!Z10</f>
        <v>449</v>
      </c>
      <c r="D12" s="196">
        <f>Statement!AA10</f>
        <v>339</v>
      </c>
      <c r="F12" s="196">
        <f>Statement!W10</f>
        <v>346</v>
      </c>
      <c r="G12" s="194">
        <f>Statement!AA10</f>
        <v>339</v>
      </c>
    </row>
    <row r="13" spans="2:7" x14ac:dyDescent="0.2">
      <c r="B13" s="202" t="s">
        <v>314</v>
      </c>
      <c r="C13" s="252">
        <f>Statement!AA93</f>
        <v>-0.24498886414253898</v>
      </c>
      <c r="D13" s="253"/>
      <c r="F13" s="252">
        <f>IF(F12=0,
IF(G12=0,0,IF(G12&gt;0,1,-1)),
(G12-F12)/ABS(F12)
)</f>
        <v>-2.023121387283237E-2</v>
      </c>
      <c r="G13" s="253"/>
    </row>
    <row r="14" spans="2:7" x14ac:dyDescent="0.2">
      <c r="B14" s="203" t="s">
        <v>315</v>
      </c>
      <c r="C14" s="196">
        <f>Statement!Z11</f>
        <v>998</v>
      </c>
      <c r="D14" s="194">
        <f>Statement!AA11</f>
        <v>1559</v>
      </c>
      <c r="F14" s="196">
        <f>Statement!W11</f>
        <v>568</v>
      </c>
      <c r="G14" s="194">
        <f>Statement!AA11</f>
        <v>1559</v>
      </c>
    </row>
    <row r="15" spans="2:7" x14ac:dyDescent="0.2">
      <c r="B15" s="202" t="s">
        <v>314</v>
      </c>
      <c r="C15" s="252">
        <f>Statement!AA94</f>
        <v>0.56212424849699394</v>
      </c>
      <c r="D15" s="253"/>
      <c r="F15" s="252">
        <f>IF(F14=0,
IF(G14=0,0,IF(G14&gt;0,1,-1)),
(G14-F14)/ABS(F14)
)</f>
        <v>1.744718309859155</v>
      </c>
      <c r="G15" s="253"/>
    </row>
    <row r="16" spans="2:7" x14ac:dyDescent="0.2">
      <c r="B16" s="203" t="s">
        <v>30</v>
      </c>
      <c r="C16" s="196">
        <f>Statement!Z17</f>
        <v>748</v>
      </c>
      <c r="D16" s="194">
        <f>Statement!AA17</f>
        <v>1294</v>
      </c>
      <c r="F16" s="196">
        <f>Statement!W17</f>
        <v>488</v>
      </c>
      <c r="G16" s="194">
        <f>Statement!AA17</f>
        <v>1294</v>
      </c>
    </row>
    <row r="17" spans="2:7" x14ac:dyDescent="0.2">
      <c r="B17" s="202" t="s">
        <v>314</v>
      </c>
      <c r="C17" s="252">
        <f>Statement!AA96</f>
        <v>0.72994652406417115</v>
      </c>
      <c r="D17" s="253"/>
      <c r="F17" s="252">
        <f>IF(F16=0,
IF(G16=0,0,IF(G16&gt;0,1,-1)),
(G16-F16)/ABS(F16)
)</f>
        <v>1.651639344262295</v>
      </c>
      <c r="G17" s="253"/>
    </row>
    <row r="18" spans="2:7" x14ac:dyDescent="0.2">
      <c r="B18" s="203" t="s">
        <v>316</v>
      </c>
      <c r="C18" s="196">
        <f>Statement!Z21</f>
        <v>229</v>
      </c>
      <c r="D18" s="194">
        <f>Statement!AA21</f>
        <v>232</v>
      </c>
      <c r="F18" s="196">
        <f>Statement!W21</f>
        <v>218</v>
      </c>
      <c r="G18" s="194">
        <f>Statement!AA21</f>
        <v>232</v>
      </c>
    </row>
    <row r="19" spans="2:7" x14ac:dyDescent="0.2">
      <c r="B19" s="202" t="s">
        <v>314</v>
      </c>
      <c r="C19" s="252">
        <f>IF(C18=0,
IF(D18=0,0,IF(D18&gt;0,1,-1)),
(D18-C18)/ABS(C18)
)</f>
        <v>1.3100436681222707E-2</v>
      </c>
      <c r="D19" s="253"/>
      <c r="F19" s="252">
        <f>IF(F18=0,
IF(G18=0,0,IF(G18&gt;0,1,-1)),
(G18-F18)/ABS(F18)
)</f>
        <v>6.4220183486238536E-2</v>
      </c>
      <c r="G19" s="253"/>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52">
        <f>IF(C20=0,
IF(D20=0,0,IF(D20&gt;0,1,-1)),
(D20-C20)/ABS(C20)
)</f>
        <v>0.70642201834862384</v>
      </c>
      <c r="D21" s="253"/>
      <c r="F21" s="252">
        <f>IF(F20=0,
IF(G20=0,0,IF(G20&gt;0,1,-1)),
(G20-F20)/ABS(F20)
)</f>
        <v>1.4910714285714284</v>
      </c>
      <c r="G21" s="253"/>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52">
        <f>IF(C24=0,
IF(D24=0,0,IF(D24&gt;0,1,-1)),
(D24-C24)/ABS(C24)
)</f>
        <v>0.17319999999999999</v>
      </c>
      <c r="D25" s="253"/>
      <c r="F25" s="252">
        <f>IF(F24=0,
IF(G24=0,0,IF(G24&gt;0,1,-1)),
(G24-F24)/ABS(F24)
)</f>
        <v>0.57434245840042941</v>
      </c>
      <c r="G25" s="253"/>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52">
        <f>IF(C26=0,
IF(D26=0,0,IF(D26&gt;0,1,-1)),
(D26-C26)/ABS(C26)
)</f>
        <v>0.1388888888888889</v>
      </c>
      <c r="D27" s="253"/>
      <c r="F27" s="252">
        <f>IF(F26=0,
IF(G26=0,0,IF(G26&gt;0,1,-1)),
(G26-F26)/ABS(F26)
)</f>
        <v>0.19965576592082615</v>
      </c>
      <c r="G27" s="253"/>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3" t="s">
        <v>112</v>
      </c>
      <c r="D2" s="243"/>
      <c r="E2" s="243"/>
      <c r="F2" s="243"/>
      <c r="G2" s="244"/>
      <c r="H2" s="245" t="s">
        <v>113</v>
      </c>
      <c r="I2" s="243"/>
      <c r="J2" s="243"/>
      <c r="K2" s="243"/>
      <c r="L2" s="243"/>
      <c r="O2" s="5"/>
      <c r="S2" s="243" t="s">
        <v>112</v>
      </c>
      <c r="T2" s="243"/>
      <c r="U2" s="243"/>
      <c r="V2" s="243"/>
      <c r="W2" s="243"/>
      <c r="X2" s="243"/>
      <c r="Y2" s="243"/>
      <c r="Z2" s="243"/>
      <c r="AA2" s="243" t="s">
        <v>113</v>
      </c>
      <c r="AB2" s="243"/>
      <c r="AC2" s="243"/>
      <c r="AE2" s="85" t="s">
        <v>114</v>
      </c>
    </row>
    <row r="3" spans="1:31" ht="10" customHeight="1" x14ac:dyDescent="0.2">
      <c r="O3" s="5"/>
    </row>
    <row r="4" spans="1:31" ht="16" customHeight="1" x14ac:dyDescent="0.2">
      <c r="A4" s="86"/>
      <c r="B4" s="60"/>
      <c r="C4" s="242" t="s">
        <v>115</v>
      </c>
      <c r="D4" s="242"/>
      <c r="E4" s="242"/>
      <c r="F4" s="242"/>
      <c r="G4" s="242"/>
      <c r="H4" s="242"/>
      <c r="I4" s="242"/>
      <c r="J4" s="242"/>
      <c r="K4" s="242"/>
      <c r="L4" s="242"/>
      <c r="O4" s="5"/>
      <c r="S4" s="254" t="s">
        <v>115</v>
      </c>
      <c r="T4" s="255"/>
      <c r="U4" s="255"/>
      <c r="V4" s="255"/>
      <c r="W4" s="255"/>
      <c r="X4" s="255"/>
      <c r="Y4" s="255"/>
      <c r="Z4" s="255"/>
      <c r="AA4" s="255"/>
      <c r="AB4" s="255"/>
      <c r="AC4" s="255"/>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42" t="s">
        <v>121</v>
      </c>
      <c r="D10" s="242"/>
      <c r="E10" s="242"/>
      <c r="F10" s="242"/>
      <c r="G10" s="242"/>
      <c r="H10" s="242"/>
      <c r="I10" s="242"/>
      <c r="J10" s="242"/>
      <c r="K10" s="242"/>
      <c r="L10" s="242"/>
      <c r="O10" s="5"/>
      <c r="Q10" s="91"/>
      <c r="S10" s="254" t="s">
        <v>121</v>
      </c>
      <c r="T10" s="255"/>
      <c r="U10" s="255"/>
      <c r="V10" s="255"/>
      <c r="W10" s="255"/>
      <c r="X10" s="255"/>
      <c r="Y10" s="255"/>
      <c r="Z10" s="255"/>
      <c r="AA10" s="255"/>
      <c r="AB10" s="255"/>
      <c r="AC10" s="255"/>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42" t="s">
        <v>395</v>
      </c>
      <c r="D17" s="242"/>
      <c r="E17" s="242"/>
      <c r="F17" s="242"/>
      <c r="G17" s="242"/>
      <c r="H17" s="242"/>
      <c r="I17" s="242"/>
      <c r="J17" s="242"/>
      <c r="K17" s="242"/>
      <c r="L17" s="242"/>
      <c r="O17" s="5"/>
      <c r="S17" s="254" t="s">
        <v>115</v>
      </c>
      <c r="T17" s="255"/>
      <c r="U17" s="255"/>
      <c r="V17" s="255"/>
      <c r="W17" s="255"/>
      <c r="X17" s="255"/>
      <c r="Y17" s="255"/>
      <c r="Z17" s="255"/>
      <c r="AA17" s="255"/>
      <c r="AB17" s="255"/>
      <c r="AC17" s="255"/>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3" t="s">
        <v>112</v>
      </c>
      <c r="D2" s="243"/>
      <c r="E2" s="243"/>
      <c r="F2" s="243"/>
      <c r="G2" s="244"/>
      <c r="H2" s="245" t="s">
        <v>113</v>
      </c>
      <c r="I2" s="243"/>
      <c r="J2" s="243"/>
      <c r="K2" s="243"/>
      <c r="L2" s="243"/>
      <c r="P2" s="243" t="s">
        <v>112</v>
      </c>
      <c r="Q2" s="243"/>
      <c r="R2" s="243"/>
      <c r="S2" s="243"/>
      <c r="T2" s="243"/>
      <c r="U2" s="243"/>
      <c r="V2" s="243"/>
      <c r="W2" s="243"/>
      <c r="X2" s="243" t="s">
        <v>113</v>
      </c>
      <c r="Y2" s="243"/>
      <c r="Z2" s="243"/>
      <c r="AB2" s="85" t="s">
        <v>114</v>
      </c>
    </row>
    <row r="3" spans="1:30" ht="10" customHeight="1" x14ac:dyDescent="0.2"/>
    <row r="4" spans="1:30" ht="16" customHeight="1" x14ac:dyDescent="0.2">
      <c r="A4" s="86"/>
      <c r="B4" s="60"/>
      <c r="C4" s="242" t="s">
        <v>115</v>
      </c>
      <c r="D4" s="242"/>
      <c r="E4" s="242"/>
      <c r="F4" s="242"/>
      <c r="G4" s="242"/>
      <c r="H4" s="242"/>
      <c r="I4" s="242"/>
      <c r="J4" s="242"/>
      <c r="K4" s="242"/>
      <c r="L4" s="242"/>
      <c r="P4" s="255" t="s">
        <v>115</v>
      </c>
      <c r="Q4" s="255"/>
      <c r="R4" s="255"/>
      <c r="S4" s="255"/>
      <c r="T4" s="255"/>
      <c r="U4" s="255"/>
      <c r="V4" s="255"/>
      <c r="W4" s="255"/>
      <c r="X4" s="255"/>
      <c r="Y4" s="255"/>
      <c r="Z4" s="255"/>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42" t="s">
        <v>124</v>
      </c>
      <c r="D9" s="242"/>
      <c r="E9" s="242"/>
      <c r="F9" s="242"/>
      <c r="G9" s="242"/>
      <c r="H9" s="242"/>
      <c r="I9" s="242"/>
      <c r="J9" s="242"/>
      <c r="K9" s="242"/>
      <c r="L9" s="242"/>
      <c r="N9" s="91"/>
      <c r="P9" s="255" t="s">
        <v>125</v>
      </c>
      <c r="Q9" s="255"/>
      <c r="R9" s="255"/>
      <c r="S9" s="255"/>
      <c r="T9" s="255"/>
      <c r="U9" s="255"/>
      <c r="V9" s="255"/>
      <c r="W9" s="255"/>
      <c r="X9" s="255"/>
      <c r="Y9" s="255"/>
      <c r="Z9" s="255"/>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42" t="s">
        <v>127</v>
      </c>
      <c r="D17" s="242"/>
      <c r="E17" s="242"/>
      <c r="F17" s="242"/>
      <c r="G17" s="242"/>
      <c r="H17" s="242"/>
      <c r="I17" s="242"/>
      <c r="J17" s="242"/>
      <c r="K17" s="242"/>
      <c r="L17" s="242"/>
      <c r="P17" s="255" t="s">
        <v>127</v>
      </c>
      <c r="Q17" s="255"/>
      <c r="R17" s="255"/>
      <c r="S17" s="255"/>
      <c r="T17" s="255"/>
      <c r="U17" s="255"/>
      <c r="V17" s="255"/>
      <c r="W17" s="255"/>
      <c r="X17" s="255"/>
      <c r="Y17" s="255"/>
      <c r="Z17" s="255"/>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6"/>
      <c r="Q3" s="256"/>
      <c r="R3" s="256"/>
      <c r="S3" s="256"/>
      <c r="T3" s="256"/>
      <c r="U3" s="256"/>
      <c r="V3" s="256"/>
      <c r="W3" s="256"/>
      <c r="X3" s="256"/>
      <c r="Y3" s="256"/>
      <c r="Z3" s="256"/>
      <c r="AB3" s="109"/>
    </row>
    <row r="4" spans="1:28" ht="10" customHeight="1" x14ac:dyDescent="0.2"/>
    <row r="5" spans="1:28" ht="16" customHeight="1" x14ac:dyDescent="0.2">
      <c r="A5" s="86"/>
      <c r="B5" s="60"/>
      <c r="C5" s="242" t="s">
        <v>115</v>
      </c>
      <c r="D5" s="242"/>
      <c r="E5" s="242"/>
      <c r="F5" s="242"/>
      <c r="G5" s="242"/>
      <c r="H5" s="242"/>
      <c r="I5" s="242"/>
      <c r="J5" s="242"/>
      <c r="K5" s="242"/>
      <c r="L5" s="242"/>
      <c r="P5" s="256"/>
      <c r="Q5" s="256"/>
      <c r="R5" s="256"/>
      <c r="S5" s="256"/>
      <c r="T5" s="256"/>
      <c r="U5" s="256"/>
      <c r="V5" s="256"/>
      <c r="W5" s="256"/>
      <c r="X5" s="256"/>
      <c r="Y5" s="256"/>
      <c r="Z5" s="256"/>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2" t="s">
        <v>131</v>
      </c>
      <c r="D11" s="242"/>
      <c r="E11" s="242"/>
      <c r="F11" s="242"/>
      <c r="G11" s="242"/>
      <c r="H11" s="242"/>
      <c r="I11" s="242"/>
      <c r="J11" s="242"/>
      <c r="K11" s="242"/>
      <c r="L11" s="242"/>
      <c r="N11" s="91"/>
      <c r="P11" s="256"/>
      <c r="Q11" s="256"/>
      <c r="R11" s="256"/>
      <c r="S11" s="256"/>
      <c r="T11" s="256"/>
      <c r="U11" s="256"/>
      <c r="V11" s="256"/>
      <c r="W11" s="256"/>
      <c r="X11" s="256"/>
      <c r="Y11" s="256"/>
      <c r="Z11" s="256"/>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42" t="s">
        <v>136</v>
      </c>
      <c r="D18" s="242"/>
      <c r="E18" s="242"/>
      <c r="F18" s="242"/>
      <c r="G18" s="242"/>
      <c r="H18" s="242"/>
      <c r="I18" s="242"/>
      <c r="J18" s="242"/>
      <c r="K18" s="242"/>
      <c r="L18" s="242"/>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56"/>
      <c r="C25" s="256"/>
    </row>
    <row r="26" spans="2:12" x14ac:dyDescent="0.2">
      <c r="B26" s="109"/>
      <c r="C26" s="242" t="s">
        <v>142</v>
      </c>
      <c r="D26" s="242"/>
      <c r="E26" s="242"/>
      <c r="F26" s="242"/>
      <c r="G26" s="242"/>
      <c r="H26" s="242"/>
      <c r="I26" s="242"/>
      <c r="J26" s="242"/>
      <c r="K26" s="242"/>
      <c r="L26" s="242"/>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42" t="s">
        <v>146</v>
      </c>
      <c r="D33" s="242"/>
      <c r="E33" s="242"/>
      <c r="F33" s="242"/>
      <c r="G33" s="242"/>
      <c r="H33" s="242"/>
      <c r="I33" s="242"/>
      <c r="J33" s="242"/>
      <c r="K33" s="242"/>
      <c r="L33" s="242"/>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42" t="s">
        <v>149</v>
      </c>
      <c r="D40" s="242"/>
      <c r="E40" s="242"/>
      <c r="F40" s="242"/>
      <c r="G40" s="242"/>
      <c r="H40" s="242"/>
      <c r="I40" s="242"/>
      <c r="J40" s="242"/>
      <c r="K40" s="242"/>
      <c r="L40" s="242"/>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3" t="s">
        <v>112</v>
      </c>
      <c r="D2" s="243"/>
      <c r="E2" s="243"/>
      <c r="F2" s="243"/>
      <c r="G2" s="244"/>
      <c r="H2" s="245" t="s">
        <v>113</v>
      </c>
      <c r="I2" s="243"/>
      <c r="J2" s="243"/>
      <c r="K2" s="243"/>
      <c r="L2" s="243"/>
      <c r="S2" s="256"/>
      <c r="T2" s="256"/>
      <c r="U2" s="256"/>
      <c r="V2" s="256"/>
      <c r="W2" s="256"/>
      <c r="X2" s="256"/>
      <c r="Y2" s="256"/>
      <c r="Z2" s="256"/>
      <c r="AA2" s="256"/>
      <c r="AB2" s="256"/>
      <c r="AC2" s="256"/>
      <c r="AE2" s="109"/>
    </row>
    <row r="3" spans="1:31" ht="10" customHeight="1" x14ac:dyDescent="0.2"/>
    <row r="4" spans="1:31" ht="16" customHeight="1" x14ac:dyDescent="0.2">
      <c r="A4" s="86"/>
      <c r="B4" s="60"/>
      <c r="C4" s="242" t="s">
        <v>18</v>
      </c>
      <c r="D4" s="242"/>
      <c r="E4" s="242"/>
      <c r="F4" s="242"/>
      <c r="G4" s="242"/>
      <c r="H4" s="242"/>
      <c r="I4" s="242"/>
      <c r="J4" s="242"/>
      <c r="K4" s="242"/>
      <c r="L4" s="242"/>
      <c r="S4" s="256"/>
      <c r="T4" s="256"/>
      <c r="U4" s="256"/>
      <c r="V4" s="256"/>
      <c r="W4" s="256"/>
      <c r="X4" s="256"/>
      <c r="Y4" s="256"/>
      <c r="Z4" s="256"/>
      <c r="AA4" s="256"/>
      <c r="AB4" s="256"/>
      <c r="AC4" s="256"/>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42" t="s">
        <v>157</v>
      </c>
      <c r="D13" s="242"/>
      <c r="E13" s="242"/>
      <c r="F13" s="242"/>
      <c r="G13" s="242"/>
      <c r="H13" s="242"/>
      <c r="I13" s="242"/>
      <c r="J13" s="242"/>
      <c r="K13" s="242"/>
      <c r="L13" s="242"/>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42" t="s">
        <v>158</v>
      </c>
      <c r="D18" s="242"/>
      <c r="E18" s="242"/>
      <c r="F18" s="242"/>
      <c r="G18" s="242"/>
      <c r="H18" s="242"/>
      <c r="I18" s="242"/>
      <c r="J18" s="242"/>
      <c r="K18" s="242"/>
      <c r="L18" s="242"/>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42" t="s">
        <v>261</v>
      </c>
      <c r="D25" s="242"/>
      <c r="E25" s="242"/>
      <c r="F25" s="242"/>
      <c r="G25" s="242"/>
      <c r="H25" s="242"/>
      <c r="I25" s="242"/>
      <c r="J25" s="242"/>
      <c r="K25" s="242"/>
      <c r="L25" s="242"/>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42" t="s">
        <v>76</v>
      </c>
      <c r="D31" s="242"/>
      <c r="E31" s="242"/>
      <c r="F31" s="242"/>
      <c r="G31" s="242"/>
      <c r="H31" s="242"/>
      <c r="I31" s="242"/>
      <c r="J31" s="242"/>
      <c r="K31" s="242"/>
      <c r="L31" s="242"/>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3" t="s">
        <v>165</v>
      </c>
      <c r="C4" s="243"/>
    </row>
    <row r="5" spans="1:3" ht="17" customHeight="1" x14ac:dyDescent="0.2">
      <c r="B5" s="1" t="s">
        <v>166</v>
      </c>
      <c r="C5" s="136">
        <f>Statement!AC77</f>
        <v>237</v>
      </c>
    </row>
    <row r="6" spans="1:3" ht="17" customHeight="1" x14ac:dyDescent="0.2">
      <c r="B6" s="1" t="s">
        <v>1</v>
      </c>
      <c r="C6" s="133">
        <f ca="1">Overview!C5</f>
        <v>916.83</v>
      </c>
    </row>
    <row r="7" spans="1:3" ht="17" customHeight="1" x14ac:dyDescent="0.2">
      <c r="B7" s="1" t="s">
        <v>167</v>
      </c>
      <c r="C7" s="134">
        <f ca="1">C5*C6</f>
        <v>217288.71000000002</v>
      </c>
    </row>
    <row r="8" spans="1:3" ht="17" customHeight="1" x14ac:dyDescent="0.2">
      <c r="B8" s="1" t="s">
        <v>168</v>
      </c>
      <c r="C8" s="112">
        <f>Statement!AC106</f>
        <v>3565</v>
      </c>
    </row>
    <row r="9" spans="1:3" ht="17" customHeight="1" x14ac:dyDescent="0.2">
      <c r="B9" s="1" t="s">
        <v>169</v>
      </c>
      <c r="C9" s="135">
        <f ca="1">Overview!F27</f>
        <v>5.1619999999999999E-2</v>
      </c>
    </row>
    <row r="10" spans="1:3" ht="17" customHeight="1" x14ac:dyDescent="0.2">
      <c r="B10" s="1" t="s">
        <v>9</v>
      </c>
      <c r="C10" s="133">
        <f ca="1">Overview!C13</f>
        <v>2.0886999999999998</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3" t="s">
        <v>172</v>
      </c>
      <c r="C15" s="243"/>
    </row>
    <row r="16" spans="1:3" ht="17" customHeight="1" x14ac:dyDescent="0.2">
      <c r="B16" s="1" t="s">
        <v>173</v>
      </c>
      <c r="C16" s="46">
        <f ca="1">C8/(C8+C7)</f>
        <v>1.6141906785265232E-2</v>
      </c>
    </row>
    <row r="17" spans="2:3" ht="17" customHeight="1" x14ac:dyDescent="0.2">
      <c r="B17" s="1" t="s">
        <v>174</v>
      </c>
      <c r="C17" s="46">
        <f ca="1">C7/(C8+C7)</f>
        <v>0.98385809321473472</v>
      </c>
    </row>
    <row r="18" spans="2:3" ht="17" customHeight="1" x14ac:dyDescent="0.2">
      <c r="B18" s="1" t="s">
        <v>175</v>
      </c>
      <c r="C18" s="46">
        <f>C13*(1-C12)</f>
        <v>4.7399999999999998E-2</v>
      </c>
    </row>
    <row r="19" spans="2:3" ht="17" customHeight="1" x14ac:dyDescent="0.2">
      <c r="B19" s="1" t="s">
        <v>176</v>
      </c>
      <c r="C19" s="46">
        <f ca="1">C9+C10*C11</f>
        <v>0.1456115</v>
      </c>
    </row>
    <row r="20" spans="2:3" ht="17" customHeight="1" x14ac:dyDescent="0.2">
      <c r="B20" s="1" t="s">
        <v>164</v>
      </c>
      <c r="C20" s="46">
        <f ca="1">(C17*C19)+(C16*C18)</f>
        <v>0.14402617912175891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6"/>
      <c r="Q3" s="256"/>
      <c r="R3" s="256"/>
      <c r="S3" s="256"/>
      <c r="T3" s="256"/>
      <c r="U3" s="256"/>
      <c r="V3" s="256"/>
      <c r="W3" s="256"/>
      <c r="X3" s="256"/>
      <c r="Y3" s="256"/>
      <c r="Z3" s="256"/>
      <c r="AB3" s="109"/>
    </row>
    <row r="4" spans="1:28" ht="10" customHeight="1" x14ac:dyDescent="0.2"/>
    <row r="5" spans="1:28" ht="16" customHeight="1" x14ac:dyDescent="0.2">
      <c r="A5" s="86"/>
      <c r="B5" s="60"/>
      <c r="C5" s="242" t="s">
        <v>179</v>
      </c>
      <c r="D5" s="242"/>
      <c r="E5" s="242"/>
      <c r="F5" s="242"/>
      <c r="G5" s="242"/>
      <c r="H5" s="242"/>
      <c r="I5" s="242"/>
      <c r="J5" s="242"/>
      <c r="K5" s="242"/>
      <c r="L5" s="242"/>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30519.888060801051</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3786.9441404763684</v>
      </c>
      <c r="I10" s="126">
        <f t="shared" ref="I10:L10" ca="1" si="0">I7/(1+$C$15)^I9</f>
        <v>4639.3238648745837</v>
      </c>
      <c r="J10" s="126">
        <f t="shared" ca="1" si="0"/>
        <v>4414.3701150014704</v>
      </c>
      <c r="K10" s="126">
        <f t="shared" ca="1" si="0"/>
        <v>3448.188400477447</v>
      </c>
      <c r="L10" s="126">
        <f t="shared" ca="1" si="0"/>
        <v>1979.7708133717026</v>
      </c>
      <c r="N10" s="91"/>
    </row>
    <row r="11" spans="1:28" x14ac:dyDescent="0.2">
      <c r="B11" s="1" t="s">
        <v>182</v>
      </c>
      <c r="C11" s="137"/>
      <c r="D11" s="137"/>
      <c r="E11" s="137"/>
      <c r="F11" s="137"/>
      <c r="G11" s="138"/>
      <c r="H11" s="137"/>
      <c r="I11" s="137"/>
      <c r="J11" s="137"/>
      <c r="K11" s="137"/>
      <c r="L11" s="126">
        <f ca="1">L8/(1+C15)^L9</f>
        <v>15574.10588494597</v>
      </c>
    </row>
    <row r="13" spans="1:28" x14ac:dyDescent="0.2">
      <c r="B13" s="243" t="s">
        <v>183</v>
      </c>
      <c r="C13" s="243"/>
    </row>
    <row r="14" spans="1:28" x14ac:dyDescent="0.2">
      <c r="B14" s="1" t="s">
        <v>184</v>
      </c>
      <c r="C14" s="140">
        <v>1.4999999999999999E-2</v>
      </c>
    </row>
    <row r="15" spans="1:28" x14ac:dyDescent="0.2">
      <c r="B15" s="1" t="s">
        <v>164</v>
      </c>
      <c r="C15" s="135">
        <f ca="1">IF(Overview!C28&gt;0,Overview!C28,WACC!C20)</f>
        <v>0.14402617912175891</v>
      </c>
    </row>
    <row r="18" spans="2:3" x14ac:dyDescent="0.2">
      <c r="B18" s="243" t="s">
        <v>185</v>
      </c>
      <c r="C18" s="243"/>
    </row>
    <row r="19" spans="2:3" x14ac:dyDescent="0.2">
      <c r="B19" s="1" t="s">
        <v>186</v>
      </c>
      <c r="C19" s="64">
        <f ca="1">SUM(H10:L10)</f>
        <v>18268.597334201571</v>
      </c>
    </row>
    <row r="20" spans="2:3" x14ac:dyDescent="0.2">
      <c r="B20" s="1" t="s">
        <v>182</v>
      </c>
      <c r="C20" s="64">
        <f ca="1">L11</f>
        <v>15574.10588494597</v>
      </c>
    </row>
    <row r="21" spans="2:3" x14ac:dyDescent="0.2">
      <c r="B21" s="16" t="s">
        <v>187</v>
      </c>
      <c r="C21" s="94">
        <f ca="1">C19+C20</f>
        <v>33842.703219147545</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31981.703219147545</v>
      </c>
    </row>
    <row r="25" spans="2:3" x14ac:dyDescent="0.2">
      <c r="B25" s="1" t="s">
        <v>68</v>
      </c>
      <c r="C25" s="88">
        <f>Statement!AC77</f>
        <v>237</v>
      </c>
    </row>
    <row r="26" spans="2:3" x14ac:dyDescent="0.2">
      <c r="B26" s="240" t="s">
        <v>191</v>
      </c>
      <c r="C26" s="241">
        <f ca="1">C24/C25</f>
        <v>134.94389543944112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58" zoomScale="192" zoomScaleNormal="100" workbookViewId="0">
      <selection activeCell="C64" sqref="C6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3" t="s">
        <v>112</v>
      </c>
      <c r="D2" s="243"/>
      <c r="E2" s="243"/>
      <c r="F2" s="243"/>
      <c r="G2" s="244"/>
      <c r="H2" s="245" t="s">
        <v>113</v>
      </c>
      <c r="I2" s="243"/>
      <c r="J2" s="243"/>
      <c r="K2" s="243"/>
      <c r="L2" s="243"/>
    </row>
    <row r="3" spans="1:14" ht="10" customHeight="1" x14ac:dyDescent="0.2"/>
    <row r="4" spans="1:14" ht="16" customHeight="1" x14ac:dyDescent="0.2">
      <c r="A4" s="86"/>
      <c r="B4" s="60"/>
      <c r="C4" s="242" t="s">
        <v>193</v>
      </c>
      <c r="D4" s="242"/>
      <c r="E4" s="242"/>
      <c r="F4" s="242"/>
      <c r="G4" s="242"/>
      <c r="H4" s="242"/>
      <c r="I4" s="242"/>
      <c r="J4" s="242"/>
      <c r="K4" s="242"/>
      <c r="L4" s="242"/>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3786.9441404763684</v>
      </c>
      <c r="I9" s="92">
        <f ca="1">DCF!I10</f>
        <v>4639.3238648745837</v>
      </c>
      <c r="J9" s="92">
        <f ca="1">DCF!J10</f>
        <v>4414.3701150014704</v>
      </c>
      <c r="K9" s="92">
        <f ca="1">DCF!K10</f>
        <v>3448.188400477447</v>
      </c>
      <c r="L9" s="92">
        <f ca="1">DCF!L10</f>
        <v>1979.7708133717026</v>
      </c>
      <c r="N9" s="91"/>
    </row>
    <row r="10" spans="1:14" x14ac:dyDescent="0.2">
      <c r="N10" s="91"/>
    </row>
    <row r="11" spans="1:14" x14ac:dyDescent="0.2">
      <c r="C11" s="242" t="s">
        <v>121</v>
      </c>
      <c r="D11" s="242"/>
      <c r="E11" s="242"/>
      <c r="F11" s="242"/>
      <c r="G11" s="242"/>
      <c r="H11" s="242"/>
      <c r="I11" s="242"/>
      <c r="J11" s="242"/>
      <c r="K11" s="242"/>
      <c r="L11" s="242"/>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42" t="s">
        <v>195</v>
      </c>
      <c r="D17" s="242"/>
      <c r="E17" s="242"/>
      <c r="F17" s="242"/>
      <c r="G17" s="242"/>
      <c r="H17" s="242"/>
      <c r="I17" s="242"/>
      <c r="J17" s="242"/>
      <c r="K17" s="242"/>
      <c r="L17" s="242"/>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42" t="s">
        <v>198</v>
      </c>
      <c r="D22" s="242"/>
      <c r="E22" s="242"/>
      <c r="F22" s="242"/>
      <c r="G22" s="242"/>
      <c r="H22" s="242"/>
      <c r="I22" s="242"/>
      <c r="J22" s="242"/>
      <c r="K22" s="242"/>
      <c r="L22" s="242"/>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42" t="s">
        <v>199</v>
      </c>
      <c r="D27" s="242"/>
      <c r="E27" s="242"/>
      <c r="F27" s="242"/>
      <c r="G27" s="242"/>
      <c r="H27" s="242"/>
      <c r="I27" s="242"/>
      <c r="J27" s="242"/>
      <c r="K27" s="242"/>
      <c r="L27" s="242"/>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N36" s="91"/>
    </row>
    <row r="37" spans="2:14" x14ac:dyDescent="0.2">
      <c r="N37" s="91"/>
    </row>
    <row r="38" spans="2:14" x14ac:dyDescent="0.2">
      <c r="B38" s="243" t="s">
        <v>204</v>
      </c>
      <c r="C38" s="243"/>
      <c r="N38" s="91"/>
    </row>
    <row r="39" spans="2:14" x14ac:dyDescent="0.2">
      <c r="B39" s="1" t="s">
        <v>205</v>
      </c>
      <c r="C39" s="64">
        <f>L7</f>
        <v>4408.7788819651487</v>
      </c>
    </row>
    <row r="40" spans="2:14" x14ac:dyDescent="0.2">
      <c r="B40" s="1" t="s">
        <v>164</v>
      </c>
      <c r="C40" s="135">
        <f ca="1">IF(Overview!C28&gt;0,Overview!C28,WACC!C20)</f>
        <v>0.14402617912175891</v>
      </c>
    </row>
    <row r="41" spans="2:14" x14ac:dyDescent="0.2">
      <c r="B41" s="39" t="s">
        <v>206</v>
      </c>
      <c r="C41" s="105">
        <v>16</v>
      </c>
    </row>
    <row r="42" spans="2:14" x14ac:dyDescent="0.2">
      <c r="B42" s="1" t="s">
        <v>423</v>
      </c>
      <c r="C42" s="24">
        <f>(C39*C41)</f>
        <v>70540.462111442379</v>
      </c>
    </row>
    <row r="43" spans="2:14" x14ac:dyDescent="0.2">
      <c r="B43" s="1" t="s">
        <v>424</v>
      </c>
      <c r="C43" s="24">
        <f ca="1">C42/(1+C40)^5</f>
        <v>35996.351752929331</v>
      </c>
    </row>
    <row r="44" spans="2:14" x14ac:dyDescent="0.2">
      <c r="B44" s="16" t="s">
        <v>425</v>
      </c>
      <c r="C44" s="108">
        <f ca="1">SUM(H9:K9)+C43</f>
        <v>52285.1782737592</v>
      </c>
    </row>
    <row r="45" spans="2:14" x14ac:dyDescent="0.2">
      <c r="B45" s="1" t="s">
        <v>188</v>
      </c>
      <c r="C45" s="88">
        <f>Statement!AC105</f>
        <v>1704</v>
      </c>
    </row>
    <row r="46" spans="2:14" x14ac:dyDescent="0.2">
      <c r="B46" s="1" t="s">
        <v>189</v>
      </c>
      <c r="C46" s="88">
        <f>Statement!AC106</f>
        <v>3565</v>
      </c>
    </row>
    <row r="47" spans="2:14" x14ac:dyDescent="0.2">
      <c r="B47" s="16" t="s">
        <v>190</v>
      </c>
      <c r="C47" s="108">
        <f ca="1">C44+C45-C46</f>
        <v>50424.1782737592</v>
      </c>
    </row>
    <row r="48" spans="2:14" x14ac:dyDescent="0.2">
      <c r="B48" s="1" t="s">
        <v>68</v>
      </c>
      <c r="C48" s="88">
        <f>Statement!AC77</f>
        <v>237</v>
      </c>
    </row>
    <row r="49" spans="2:3" x14ac:dyDescent="0.2">
      <c r="B49" s="240" t="s">
        <v>208</v>
      </c>
      <c r="C49" s="241">
        <f ca="1">C47/C48</f>
        <v>212.7602458808405</v>
      </c>
    </row>
    <row r="51" spans="2:3" x14ac:dyDescent="0.2">
      <c r="B51" s="243" t="s">
        <v>209</v>
      </c>
      <c r="C51" s="243"/>
    </row>
    <row r="52" spans="2:3" x14ac:dyDescent="0.2">
      <c r="B52" s="1" t="s">
        <v>210</v>
      </c>
      <c r="C52" s="64">
        <f>L6</f>
        <v>18369.912008188126</v>
      </c>
    </row>
    <row r="53" spans="2:3" x14ac:dyDescent="0.2">
      <c r="B53" s="1" t="s">
        <v>343</v>
      </c>
      <c r="C53" s="135">
        <f ca="1">IF(Overview!C29&gt;0,Overview!C29,WACC!C19)</f>
        <v>0.1456115</v>
      </c>
    </row>
    <row r="54" spans="2:3" x14ac:dyDescent="0.2">
      <c r="B54" s="39" t="s">
        <v>211</v>
      </c>
      <c r="C54" s="105">
        <v>3</v>
      </c>
    </row>
    <row r="55" spans="2:3" x14ac:dyDescent="0.2">
      <c r="B55" s="1" t="s">
        <v>207</v>
      </c>
      <c r="C55" s="24">
        <f>L19</f>
        <v>252.81020226960001</v>
      </c>
    </row>
    <row r="56" spans="2:3" x14ac:dyDescent="0.2">
      <c r="B56" s="1" t="s">
        <v>191</v>
      </c>
      <c r="C56" s="24">
        <f>(C52*C54)/C55</f>
        <v>217.98857613267782</v>
      </c>
    </row>
    <row r="57" spans="2:3" x14ac:dyDescent="0.2">
      <c r="B57" s="240" t="s">
        <v>208</v>
      </c>
      <c r="C57" s="241">
        <f ca="1">C56/(1+C53)^5</f>
        <v>110.4706506218634</v>
      </c>
    </row>
    <row r="59" spans="2:3" x14ac:dyDescent="0.2">
      <c r="B59" s="243" t="s">
        <v>321</v>
      </c>
      <c r="C59" s="243"/>
    </row>
    <row r="60" spans="2:3" x14ac:dyDescent="0.2">
      <c r="B60" s="1" t="s">
        <v>426</v>
      </c>
      <c r="C60" s="64">
        <f>L8</f>
        <v>3879.6695011910815</v>
      </c>
    </row>
    <row r="61" spans="2:3" x14ac:dyDescent="0.2">
      <c r="B61" s="1" t="s">
        <v>164</v>
      </c>
      <c r="C61" s="135">
        <f ca="1">IF(Overview!C28&gt;0,Overview!C28,WACC!C20)</f>
        <v>0.14402617912175891</v>
      </c>
    </row>
    <row r="62" spans="2:3" x14ac:dyDescent="0.2">
      <c r="B62" s="39" t="s">
        <v>344</v>
      </c>
      <c r="C62" s="105">
        <v>20</v>
      </c>
    </row>
    <row r="63" spans="2:3" x14ac:dyDescent="0.2">
      <c r="B63" s="1" t="s">
        <v>423</v>
      </c>
      <c r="C63" s="24">
        <f>(C60*C62)</f>
        <v>77593.39002382163</v>
      </c>
    </row>
    <row r="64" spans="2:3" x14ac:dyDescent="0.2">
      <c r="B64" s="1" t="s">
        <v>424</v>
      </c>
      <c r="C64" s="24">
        <f ca="1">C63/(1+C61)^5</f>
        <v>39595.416267434055</v>
      </c>
    </row>
    <row r="65" spans="2:3" x14ac:dyDescent="0.2">
      <c r="B65" s="16" t="s">
        <v>425</v>
      </c>
      <c r="C65" s="108">
        <f ca="1">SUM(H9:K9)+C64</f>
        <v>55884.242788263924</v>
      </c>
    </row>
    <row r="66" spans="2:3" x14ac:dyDescent="0.2">
      <c r="B66" s="1" t="s">
        <v>188</v>
      </c>
      <c r="C66" s="88">
        <f>Statement!AC105</f>
        <v>1704</v>
      </c>
    </row>
    <row r="67" spans="2:3" x14ac:dyDescent="0.2">
      <c r="B67" s="1" t="s">
        <v>189</v>
      </c>
      <c r="C67" s="88">
        <f>Statement!AC106</f>
        <v>3565</v>
      </c>
    </row>
    <row r="68" spans="2:3" x14ac:dyDescent="0.2">
      <c r="B68" s="16" t="s">
        <v>190</v>
      </c>
      <c r="C68" s="108">
        <f ca="1">C65+C66-C67</f>
        <v>54023.242788263924</v>
      </c>
    </row>
    <row r="69" spans="2:3" x14ac:dyDescent="0.2">
      <c r="B69" s="1" t="s">
        <v>68</v>
      </c>
      <c r="C69" s="88">
        <f>Statement!AC77</f>
        <v>237</v>
      </c>
    </row>
    <row r="70" spans="2:3" x14ac:dyDescent="0.2">
      <c r="B70" s="240" t="s">
        <v>208</v>
      </c>
      <c r="C70" s="241">
        <f ca="1">C68/C69</f>
        <v>227.94617210237942</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13" sqref="C1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3" t="s">
        <v>213</v>
      </c>
      <c r="C4" s="243"/>
      <c r="N4" s="91"/>
    </row>
    <row r="5" spans="1:14" x14ac:dyDescent="0.2">
      <c r="B5" s="1" t="s">
        <v>214</v>
      </c>
      <c r="C5" s="133">
        <f ca="1">DCF!C26</f>
        <v>134.94389543944112</v>
      </c>
    </row>
    <row r="6" spans="1:14" x14ac:dyDescent="0.2">
      <c r="B6" s="1" t="s">
        <v>215</v>
      </c>
      <c r="C6" s="133">
        <f ca="1">Multiples!C49</f>
        <v>212.7602458808405</v>
      </c>
    </row>
    <row r="7" spans="1:14" x14ac:dyDescent="0.2">
      <c r="B7" s="1" t="s">
        <v>216</v>
      </c>
      <c r="C7" s="133">
        <f ca="1">Multiples!C57</f>
        <v>110.4706506218634</v>
      </c>
    </row>
    <row r="8" spans="1:14" x14ac:dyDescent="0.2">
      <c r="B8" s="1" t="s">
        <v>322</v>
      </c>
      <c r="C8" s="133">
        <f ca="1">Multiples!C70</f>
        <v>227.94617210237942</v>
      </c>
    </row>
    <row r="9" spans="1:14" x14ac:dyDescent="0.2">
      <c r="B9" s="240" t="s">
        <v>217</v>
      </c>
      <c r="C9" s="241">
        <f ca="1">AVERAGE(C5:C8)</f>
        <v>171.53024101113112</v>
      </c>
    </row>
    <row r="10" spans="1:14" x14ac:dyDescent="0.2">
      <c r="B10" s="1" t="s">
        <v>218</v>
      </c>
      <c r="C10" s="133">
        <f ca="1">Overview!C5</f>
        <v>916.83</v>
      </c>
    </row>
    <row r="11" spans="1:14" x14ac:dyDescent="0.2">
      <c r="B11" s="1" t="s">
        <v>219</v>
      </c>
      <c r="C11" s="152">
        <f ca="1">(C9-C10)/C10</f>
        <v>-0.81290943685183614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3" t="s">
        <v>112</v>
      </c>
      <c r="D2" s="243"/>
      <c r="E2" s="243"/>
      <c r="F2" s="243"/>
      <c r="G2" s="244"/>
      <c r="H2" s="245" t="s">
        <v>113</v>
      </c>
      <c r="I2" s="243"/>
      <c r="J2" s="243"/>
      <c r="K2" s="243"/>
      <c r="L2" s="243"/>
    </row>
    <row r="3" spans="1:14" ht="10" customHeight="1" x14ac:dyDescent="0.2"/>
    <row r="4" spans="1:14" ht="16" customHeight="1" x14ac:dyDescent="0.2">
      <c r="A4" s="86"/>
      <c r="B4" s="60"/>
      <c r="C4" s="242" t="s">
        <v>193</v>
      </c>
      <c r="D4" s="242"/>
      <c r="E4" s="242"/>
      <c r="F4" s="242"/>
      <c r="G4" s="242"/>
      <c r="H4" s="242"/>
      <c r="I4" s="242"/>
      <c r="J4" s="242"/>
      <c r="K4" s="242"/>
      <c r="L4" s="242"/>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42" t="s">
        <v>121</v>
      </c>
      <c r="D9" s="242"/>
      <c r="E9" s="242"/>
      <c r="F9" s="242"/>
      <c r="G9" s="242"/>
      <c r="H9" s="242"/>
      <c r="I9" s="242"/>
      <c r="J9" s="242"/>
      <c r="K9" s="242"/>
      <c r="L9" s="242"/>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42" t="s">
        <v>365</v>
      </c>
      <c r="D14" s="242"/>
      <c r="E14" s="242"/>
      <c r="F14" s="242"/>
      <c r="G14" s="242"/>
      <c r="H14" s="242"/>
      <c r="I14" s="242"/>
      <c r="J14" s="242"/>
      <c r="K14" s="242"/>
      <c r="L14" s="242"/>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3" t="s">
        <v>367</v>
      </c>
      <c r="C20" s="243"/>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0.1456115</v>
      </c>
    </row>
    <row r="25" spans="2:14" x14ac:dyDescent="0.2">
      <c r="B25" s="39" t="s">
        <v>371</v>
      </c>
      <c r="C25" s="229">
        <v>0.02</v>
      </c>
    </row>
    <row r="26" spans="2:14" x14ac:dyDescent="0.2">
      <c r="B26" s="240" t="s">
        <v>208</v>
      </c>
      <c r="C26" s="241">
        <f ca="1">C23/(C24-C25)</f>
        <v>23.943667578207407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0" zoomScale="209" zoomScaleNormal="100" workbookViewId="0">
      <selection activeCell="C20" sqref="C20"/>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3" t="s">
        <v>112</v>
      </c>
      <c r="D3" s="243"/>
      <c r="E3" s="243"/>
      <c r="F3" s="243"/>
      <c r="G3" s="244"/>
      <c r="H3" s="245" t="s">
        <v>113</v>
      </c>
      <c r="I3" s="243"/>
      <c r="J3" s="243"/>
      <c r="K3" s="243"/>
      <c r="L3" s="243"/>
      <c r="P3" s="256"/>
      <c r="Q3" s="256"/>
      <c r="R3" s="256"/>
      <c r="S3" s="256"/>
      <c r="T3" s="256"/>
      <c r="U3" s="256"/>
      <c r="V3" s="256"/>
      <c r="W3" s="256"/>
      <c r="X3" s="256"/>
      <c r="Y3" s="256"/>
      <c r="Z3" s="256"/>
      <c r="AB3" s="109"/>
    </row>
    <row r="4" spans="1:28" ht="10" customHeight="1" x14ac:dyDescent="0.2"/>
    <row r="5" spans="1:28" ht="16" customHeight="1" x14ac:dyDescent="0.2">
      <c r="A5" s="86"/>
      <c r="B5" s="60"/>
      <c r="C5" s="242" t="s">
        <v>179</v>
      </c>
      <c r="D5" s="242"/>
      <c r="E5" s="242"/>
      <c r="F5" s="242"/>
      <c r="G5" s="242"/>
      <c r="H5" s="242"/>
      <c r="I5" s="242"/>
      <c r="J5" s="242"/>
      <c r="K5" s="242"/>
      <c r="L5" s="242"/>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5113.7968997289972</v>
      </c>
      <c r="I7" s="126">
        <f t="shared" ref="I7:L7" si="0">H7*(1+$C$17)</f>
        <v>8488.9028535501366</v>
      </c>
      <c r="J7" s="126">
        <f t="shared" si="0"/>
        <v>14091.578736893229</v>
      </c>
      <c r="K7" s="126">
        <f t="shared" si="0"/>
        <v>23392.020703242761</v>
      </c>
      <c r="L7" s="126">
        <f t="shared" si="0"/>
        <v>38830.754367382986</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305466.81263575528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4469.9998942810334</v>
      </c>
      <c r="I10" s="126">
        <f t="shared" ref="I10:L10" ca="1" si="1">I7/(1+$C$21)^I9</f>
        <v>6486.0402322286218</v>
      </c>
      <c r="J10" s="126">
        <f t="shared" ca="1" si="1"/>
        <v>9411.3465076165867</v>
      </c>
      <c r="K10" s="126">
        <f t="shared" ca="1" si="1"/>
        <v>13656.011975737134</v>
      </c>
      <c r="L10" s="126">
        <f t="shared" ca="1" si="1"/>
        <v>19815.088407440177</v>
      </c>
      <c r="N10" s="91"/>
    </row>
    <row r="11" spans="1:28" x14ac:dyDescent="0.2">
      <c r="B11" s="1" t="s">
        <v>182</v>
      </c>
      <c r="C11" s="137"/>
      <c r="D11" s="137"/>
      <c r="E11" s="137"/>
      <c r="F11" s="137"/>
      <c r="G11" s="138"/>
      <c r="H11" s="137"/>
      <c r="I11" s="137"/>
      <c r="J11" s="137"/>
      <c r="K11" s="137"/>
      <c r="L11" s="126">
        <f ca="1">L8/(1+C21)^L9</f>
        <v>155877.78286894993</v>
      </c>
    </row>
    <row r="13" spans="1:28" ht="17" thickBot="1" x14ac:dyDescent="0.25"/>
    <row r="14" spans="1:28" x14ac:dyDescent="0.2">
      <c r="B14" s="257" t="s">
        <v>221</v>
      </c>
      <c r="C14" s="258"/>
    </row>
    <row r="15" spans="1:28" x14ac:dyDescent="0.2">
      <c r="B15" s="153" t="s">
        <v>222</v>
      </c>
      <c r="C15" s="154">
        <f ca="1">Overview!C5</f>
        <v>916.83</v>
      </c>
    </row>
    <row r="16" spans="1:28" x14ac:dyDescent="0.2">
      <c r="B16" s="153" t="s">
        <v>223</v>
      </c>
      <c r="C16" s="154">
        <f ca="1">C36</f>
        <v>915.66198187776865</v>
      </c>
    </row>
    <row r="17" spans="2:9" ht="17" thickBot="1" x14ac:dyDescent="0.25">
      <c r="B17" s="155" t="s">
        <v>323</v>
      </c>
      <c r="C17" s="156">
        <v>0.66</v>
      </c>
      <c r="E17" s="259" t="s">
        <v>224</v>
      </c>
      <c r="F17" s="259"/>
      <c r="G17" s="259"/>
      <c r="H17" s="259"/>
      <c r="I17" s="259"/>
    </row>
    <row r="18" spans="2:9" ht="17" thickBot="1" x14ac:dyDescent="0.25"/>
    <row r="19" spans="2:9" x14ac:dyDescent="0.2">
      <c r="B19" s="257" t="s">
        <v>183</v>
      </c>
      <c r="C19" s="258"/>
    </row>
    <row r="20" spans="2:9" x14ac:dyDescent="0.2">
      <c r="B20" s="157" t="s">
        <v>184</v>
      </c>
      <c r="C20" s="158">
        <v>1.4999999999999999E-2</v>
      </c>
    </row>
    <row r="21" spans="2:9" x14ac:dyDescent="0.2">
      <c r="B21" s="157" t="s">
        <v>164</v>
      </c>
      <c r="C21" s="218">
        <f ca="1">IF(Overview!C28&gt;0,Overview!C28,WACC!C20)</f>
        <v>0.14402617912175891</v>
      </c>
    </row>
    <row r="22" spans="2:9" x14ac:dyDescent="0.2">
      <c r="B22" s="157" t="s">
        <v>68</v>
      </c>
      <c r="C22" s="219">
        <f>Statement!AC74</f>
        <v>227</v>
      </c>
    </row>
    <row r="23" spans="2:9" x14ac:dyDescent="0.2">
      <c r="B23" s="157" t="s">
        <v>225</v>
      </c>
      <c r="C23" s="159">
        <f ca="1">C15*C22</f>
        <v>208120.41</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209981.41</v>
      </c>
    </row>
    <row r="27" spans="2:9" ht="17" thickBot="1" x14ac:dyDescent="0.25"/>
    <row r="28" spans="2:9" x14ac:dyDescent="0.2">
      <c r="B28" s="257" t="s">
        <v>185</v>
      </c>
      <c r="C28" s="258"/>
    </row>
    <row r="29" spans="2:9" x14ac:dyDescent="0.2">
      <c r="B29" s="157" t="s">
        <v>186</v>
      </c>
      <c r="C29" s="159">
        <f ca="1">SUM(H10:L10)</f>
        <v>53838.487017303552</v>
      </c>
    </row>
    <row r="30" spans="2:9" x14ac:dyDescent="0.2">
      <c r="B30" s="157" t="s">
        <v>182</v>
      </c>
      <c r="C30" s="159">
        <f ca="1">L11</f>
        <v>155877.78286894993</v>
      </c>
    </row>
    <row r="31" spans="2:9" x14ac:dyDescent="0.2">
      <c r="B31" s="161" t="s">
        <v>187</v>
      </c>
      <c r="C31" s="162">
        <f ca="1">C29+C30</f>
        <v>209716.26988625349</v>
      </c>
    </row>
    <row r="32" spans="2:9" x14ac:dyDescent="0.2">
      <c r="B32" s="157" t="s">
        <v>188</v>
      </c>
      <c r="C32" s="163">
        <f>C24</f>
        <v>1704</v>
      </c>
    </row>
    <row r="33" spans="2:3" x14ac:dyDescent="0.2">
      <c r="B33" s="157" t="s">
        <v>189</v>
      </c>
      <c r="C33" s="163">
        <f>C25</f>
        <v>3565</v>
      </c>
    </row>
    <row r="34" spans="2:3" x14ac:dyDescent="0.2">
      <c r="B34" s="161" t="s">
        <v>190</v>
      </c>
      <c r="C34" s="162">
        <f ca="1">C31+C32-C33</f>
        <v>207855.26988625349</v>
      </c>
    </row>
    <row r="35" spans="2:3" x14ac:dyDescent="0.2">
      <c r="B35" s="157" t="s">
        <v>68</v>
      </c>
      <c r="C35" s="159">
        <f>C22</f>
        <v>227</v>
      </c>
    </row>
    <row r="36" spans="2:3" ht="17" thickBot="1" x14ac:dyDescent="0.25">
      <c r="B36" s="164" t="s">
        <v>191</v>
      </c>
      <c r="C36" s="165">
        <f ca="1">C34/C35</f>
        <v>915.66198187776865</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2026-09-25T20:08:43Z</dcterms:modified>
</cp:coreProperties>
</file>