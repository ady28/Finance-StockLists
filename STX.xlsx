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11CE31E-7B69-3146-9057-8C31C1AA909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 l="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0" i="12"/>
  <c r="D30"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0"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40" i="14" s="1"/>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6" i="12"/>
  <c r="C66"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L20" i="5" l="1"/>
  <c r="K6" i="5"/>
  <c r="G5" i="12"/>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H10" i="11"/>
  <c r="J10" i="11"/>
  <c r="K10" i="11"/>
  <c r="L10" i="11"/>
  <c r="C29" i="14"/>
  <c r="C31" i="14" s="1"/>
  <c r="C34" i="14" s="1"/>
  <c r="C36" i="14" s="1"/>
  <c r="C16" i="14" s="1"/>
  <c r="I52" i="17"/>
  <c r="C39" i="16"/>
  <c r="F8" i="1"/>
  <c r="C42" i="16"/>
  <c r="I55" i="17"/>
  <c r="AC154" i="3"/>
  <c r="AC158" i="3"/>
  <c r="AC153" i="3"/>
  <c r="C7" i="16"/>
  <c r="F4" i="1"/>
  <c r="I8" i="17"/>
  <c r="I54" i="17"/>
  <c r="C41" i="16"/>
  <c r="F10" i="1"/>
  <c r="I68" i="17"/>
  <c r="F48" i="16"/>
  <c r="F15" i="1"/>
  <c r="C19" i="11" l="1"/>
  <c r="C21" i="11" s="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<sst xmlns="http://schemas.openxmlformats.org/spreadsheetml/2006/main" count="769" uniqueCount="432">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</sst>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175.815</v>
    <v>2.0948000000000002</v>
    <v>50.67</v>
    <v>6.3448000000000004E-2</v>
    <v>-0.15</v>
    <v>-1.7659999999999998E-4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852.98</v>
    <v>Computers, Phones &amp; Household Electronics</v>
    <v>Stock</v>
    <v>46269.901031562498</v>
    <v>0</v>
    <v>805.01009999999997</v>
    <v>192484640960</v>
    <v>SEAGATE TECHNOLOGY HOLDINGS PUBLIC LIMITED COMPANY</v>
    <v>SEAGATE TECHNOLOGY HOLDINGS PUBLIC LIMITED COMPANY</v>
    <v>818.75</v>
    <v>61.082099999999997</v>
    <v>798.61</v>
    <v>849.28</v>
    <v>849.13</v>
    <v>226644500</v>
    <v>STX</v>
    <v>SEAGATE TECHNOLOGY HOLDINGS PUBLIC LIMITED COMPANY (XNAS:STX)</v>
    <v>2556498</v>
    <v>4087698</v>
    <v>2017</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291</v>
      </c>
      <c r="F2" s="245"/>
      <c r="H2" s="244" t="s">
        <v>332</v>
      </c>
      <c r="I2" s="245"/>
    </row>
    <row r="3" spans="2:9" x14ac:dyDescent="0.2">
      <c r="B3" s="185" t="s">
        <v>11</v>
      </c>
      <c r="C3" s="217" t="e" vm="1">
        <v>#VALUE!</v>
      </c>
      <c r="D3" s="2"/>
      <c r="E3" s="185" t="s">
        <v>243</v>
      </c>
      <c r="F3" s="187">
        <f ca="1">Statement!AC151</f>
        <v>201279.35999999999</v>
      </c>
      <c r="H3" s="185" t="str">
        <f>'AVG target price'!B5</f>
        <v>DCF price</v>
      </c>
      <c r="I3" s="211">
        <f ca="1">'AVG target price'!C5</f>
        <v>138.76356724687497</v>
      </c>
    </row>
    <row r="4" spans="2:9" x14ac:dyDescent="0.2">
      <c r="B4" s="185" t="s">
        <v>0</v>
      </c>
      <c r="C4" s="189" t="str" cm="1">
        <f t="array" aca="1" ref="C4" ca="1">_FV(C3,"Ticker symbol",TRUE)</f>
        <v>STX</v>
      </c>
      <c r="E4" s="186" t="s">
        <v>187</v>
      </c>
      <c r="F4" s="188">
        <f ca="1">Statement!AC152</f>
        <v>203140.36</v>
      </c>
      <c r="H4" s="185" t="str">
        <f>'AVG target price'!B6</f>
        <v>EV/EBIT price</v>
      </c>
      <c r="I4" s="211">
        <f ca="1">'AVG target price'!C6</f>
        <v>138.71605779137505</v>
      </c>
    </row>
    <row r="5" spans="2:9" x14ac:dyDescent="0.2">
      <c r="B5" s="185" t="s">
        <v>1</v>
      </c>
      <c r="C5" s="208" cm="1">
        <f t="array" aca="1" ref="C5" ca="1">_FV(C3,"Price",TRUE)</f>
        <v>849.28</v>
      </c>
      <c r="E5" s="185" t="s">
        <v>247</v>
      </c>
      <c r="F5" s="189">
        <f>Statement!AC25</f>
        <v>13.88</v>
      </c>
      <c r="H5" s="185" t="str">
        <f>'AVG target price'!B7</f>
        <v>PS price</v>
      </c>
      <c r="I5" s="211">
        <f ca="1">'AVG target price'!C7</f>
        <v>112.28454742641925</v>
      </c>
    </row>
    <row r="6" spans="2:9" x14ac:dyDescent="0.2">
      <c r="B6" s="185" t="s">
        <v>2</v>
      </c>
      <c r="C6" s="208" cm="1">
        <f t="array" aca="1" ref="C6" ca="1">_FV(C3,"Price (Extended hours)",TRUE)</f>
        <v>849.13</v>
      </c>
      <c r="E6" s="185" t="s">
        <v>241</v>
      </c>
      <c r="F6" s="190">
        <f ca="1">Statement!AC148</f>
        <v>61.187319884726222</v>
      </c>
      <c r="H6" s="185" t="str">
        <f>'AVG target price'!B8</f>
        <v>EV/FCFF price</v>
      </c>
      <c r="I6" s="211">
        <f ca="1">'AVG target price'!C8</f>
        <v>154.15567962861482</v>
      </c>
    </row>
    <row r="7" spans="2:9" x14ac:dyDescent="0.2">
      <c r="B7" s="185" t="s">
        <v>3</v>
      </c>
      <c r="C7" s="6" cm="1">
        <f t="array" aca="1" ref="C7" ca="1">_FV(C3,"Change")</f>
        <v>50.67</v>
      </c>
      <c r="E7" s="186" t="s">
        <v>200</v>
      </c>
      <c r="F7" s="191">
        <f ca="1">Statement!AC149</f>
        <v>15.930528905289053</v>
      </c>
      <c r="H7" s="184" t="str">
        <f>'AVG target price'!B9</f>
        <v>AVG price</v>
      </c>
      <c r="I7" s="212">
        <f ca="1">'AVG target price'!C9</f>
        <v>135.97996302332101</v>
      </c>
    </row>
    <row r="8" spans="2:9" x14ac:dyDescent="0.2">
      <c r="B8" s="185" t="s">
        <v>4</v>
      </c>
      <c r="C8" s="6" cm="1">
        <f t="array" aca="1" ref="C8" ca="1">_FV(C3,"Change (extended hours)",TRUE)</f>
        <v>-0.15</v>
      </c>
      <c r="E8" s="185" t="s">
        <v>269</v>
      </c>
      <c r="F8" s="192">
        <f ca="1">Statement!AC159</f>
        <v>1.4368090200604772E-2</v>
      </c>
      <c r="H8" s="184" t="str">
        <f>'AVG target price'!B11</f>
        <v>Upside/Downside</v>
      </c>
      <c r="I8" s="213">
        <f ca="1">'AVG target price'!C11</f>
        <v>-0.83988794858783788</v>
      </c>
    </row>
    <row r="9" spans="2:9" x14ac:dyDescent="0.2">
      <c r="B9" s="185" t="s">
        <v>5</v>
      </c>
      <c r="C9" s="73" cm="1">
        <f t="array" aca="1" ref="C9" ca="1">_FV(C3,"Change (%)",TRUE)</f>
        <v>6.3448000000000004E-2</v>
      </c>
      <c r="E9" s="185" t="s">
        <v>292</v>
      </c>
      <c r="F9" s="192">
        <f ca="1">Statement!AC160</f>
        <v>1.6343255463451396E-2</v>
      </c>
    </row>
    <row r="10" spans="2:9" x14ac:dyDescent="0.2">
      <c r="B10" s="185" t="s">
        <v>6</v>
      </c>
      <c r="C10" s="73" cm="1">
        <f t="array" aca="1" ref="C10" ca="1">_FV(C3,"Change % (extended hours)",TRUE)</f>
        <v>-1.7659999999999998E-4</v>
      </c>
      <c r="E10" s="185" t="s">
        <v>297</v>
      </c>
      <c r="F10" s="192">
        <f ca="1">Statement!AC162</f>
        <v>8.7440659588742739E-4</v>
      </c>
      <c r="H10" s="184" t="s">
        <v>371</v>
      </c>
      <c r="I10" s="212">
        <f ca="1">DDM!C26</f>
        <v>24.675516466206126</v>
      </c>
    </row>
    <row r="11" spans="2:9" x14ac:dyDescent="0.2">
      <c r="B11" s="185" t="s">
        <v>7</v>
      </c>
      <c r="C11" s="209" cm="1">
        <f t="array" aca="1" ref="C11" ca="1">_FV(C3,"52 week high",TRUE)</f>
        <v>1145</v>
      </c>
      <c r="E11" s="186" t="s">
        <v>293</v>
      </c>
      <c r="F11" s="193">
        <f ca="1">Statement!AC161</f>
        <v>3.4382064807837228E-3</v>
      </c>
    </row>
    <row r="12" spans="2:9" x14ac:dyDescent="0.2">
      <c r="B12" s="185" t="s">
        <v>8</v>
      </c>
      <c r="C12" s="209" cm="1">
        <f t="array" aca="1" ref="C12" ca="1">_FV(C3,"52 week low",TRUE)</f>
        <v>175.815</v>
      </c>
      <c r="E12" s="185" t="s">
        <v>101</v>
      </c>
      <c r="F12" s="192">
        <f>Statement!AC121</f>
        <v>0.31929402326514245</v>
      </c>
    </row>
    <row r="13" spans="2:9" x14ac:dyDescent="0.2">
      <c r="B13" s="185" t="s">
        <v>9</v>
      </c>
      <c r="C13" s="209" cm="1">
        <f t="array" aca="1" ref="C13" ca="1">_FV(C3,"Beta")</f>
        <v>2.0948000000000002</v>
      </c>
      <c r="E13" s="185" t="s">
        <v>103</v>
      </c>
      <c r="F13" s="192">
        <f>Statement!AC123</f>
        <v>1.4693124134748501</v>
      </c>
    </row>
    <row r="14" spans="2:9" x14ac:dyDescent="0.2">
      <c r="B14" s="186" t="s">
        <v>10</v>
      </c>
      <c r="C14" s="210" cm="1">
        <f t="array" aca="1" ref="C14" ca="1">_FV(C3,"Volume average",TRUE)</f>
        <v>4087698</v>
      </c>
      <c r="E14" s="186" t="s">
        <v>104</v>
      </c>
      <c r="F14" s="193">
        <f>Statement!AC138</f>
        <v>0.87701105809469215</v>
      </c>
    </row>
    <row r="15" spans="2:9" x14ac:dyDescent="0.2">
      <c r="E15" s="185" t="s">
        <v>294</v>
      </c>
      <c r="F15" s="192">
        <f ca="1">Statement!AC174</f>
        <v>-9.2458561076505814E-3</v>
      </c>
    </row>
    <row r="16" spans="2:9" x14ac:dyDescent="0.2">
      <c r="E16" s="186" t="s">
        <v>299</v>
      </c>
      <c r="F16" s="191">
        <f>Statement!AC173</f>
        <v>-8.1982378854625555</v>
      </c>
    </row>
    <row r="17" spans="2:9" x14ac:dyDescent="0.2">
      <c r="B17" s="246" t="s">
        <v>89</v>
      </c>
      <c r="C17" s="246"/>
      <c r="E17" s="184" t="s">
        <v>300</v>
      </c>
      <c r="F17" s="194">
        <f>Statement!AC169</f>
        <v>8.4388185654008432E-3</v>
      </c>
    </row>
    <row r="18" spans="2:9" x14ac:dyDescent="0.2">
      <c r="B18" s="184" t="s">
        <v>12</v>
      </c>
      <c r="C18" s="69" t="s">
        <v>363</v>
      </c>
      <c r="E18" s="185" t="s">
        <v>301</v>
      </c>
      <c r="F18" s="190">
        <f>Statement!AC142</f>
        <v>36.179012534437547</v>
      </c>
      <c r="I18" s="50"/>
    </row>
    <row r="19" spans="2:9" x14ac:dyDescent="0.2">
      <c r="B19" s="184" t="s">
        <v>13</v>
      </c>
      <c r="C19" s="70">
        <v>1000000</v>
      </c>
      <c r="E19" s="185" t="s">
        <v>262</v>
      </c>
      <c r="F19" s="190">
        <f>Statement!AC144</f>
        <v>0.8587909552376557</v>
      </c>
    </row>
    <row r="20" spans="2:9" x14ac:dyDescent="0.2">
      <c r="B20" s="184" t="s">
        <v>90</v>
      </c>
      <c r="C20" s="69" t="s">
        <v>93</v>
      </c>
      <c r="E20" s="186" t="s">
        <v>302</v>
      </c>
      <c r="F20" s="191">
        <f>Statement!AC145</f>
        <v>1.0354972817396866</v>
      </c>
    </row>
    <row r="21" spans="2:9" x14ac:dyDescent="0.2">
      <c r="B21" s="184" t="s">
        <v>92</v>
      </c>
      <c r="C21" s="69" t="s">
        <v>93</v>
      </c>
      <c r="I21" s="50"/>
    </row>
    <row r="22" spans="2:9" x14ac:dyDescent="0.2">
      <c r="B22" s="184" t="s">
        <v>94</v>
      </c>
      <c r="C22" s="69" t="s">
        <v>91</v>
      </c>
    </row>
    <row r="25" spans="2:9" x14ac:dyDescent="0.2">
      <c r="B25" s="246" t="s">
        <v>106</v>
      </c>
      <c r="C25" s="246"/>
      <c r="E25" s="244" t="s">
        <v>345</v>
      </c>
      <c r="F25" s="245"/>
    </row>
    <row r="26" spans="2:9" x14ac:dyDescent="0.2">
      <c r="B26" s="184" t="s">
        <v>107</v>
      </c>
      <c r="C26" s="170">
        <v>0.21</v>
      </c>
      <c r="E26" s="185" t="e" vm="2">
        <v>#VALUE!</v>
      </c>
      <c r="F26" s="219" cm="1">
        <f t="array" aca="1" ref="F26" ca="1">_FV(E26,"Price")</f>
        <v>47.62</v>
      </c>
    </row>
    <row r="27" spans="2:9" x14ac:dyDescent="0.2">
      <c r="B27" s="184" t="s">
        <v>171</v>
      </c>
      <c r="C27" s="221">
        <v>0.06</v>
      </c>
      <c r="E27" s="186" t="s">
        <v>346</v>
      </c>
      <c r="F27" s="220">
        <f ca="1">F26/1000</f>
        <v>4.7619999999999996E-2</v>
      </c>
    </row>
    <row r="28" spans="2:9" x14ac:dyDescent="0.2">
      <c r="B28" s="184" t="s">
        <v>350</v>
      </c>
      <c r="C28" s="221">
        <v>0</v>
      </c>
    </row>
    <row r="29" spans="2:9" x14ac:dyDescent="0.2">
      <c r="B29" s="184" t="s">
        <v>370</v>
      </c>
      <c r="C29" s="221">
        <v>0</v>
      </c>
    </row>
    <row r="33" spans="2:8" x14ac:dyDescent="0.2">
      <c r="B33" s="247" t="s">
        <v>340</v>
      </c>
      <c r="C33" s="247"/>
      <c r="D33" s="247"/>
      <c r="E33" s="247"/>
      <c r="F33" s="247"/>
      <c r="G33" s="247"/>
      <c r="H33" s="247"/>
    </row>
    <row r="35" spans="2:8" x14ac:dyDescent="0.2">
      <c r="B35" s="16" t="s">
        <v>341</v>
      </c>
      <c r="C35" s="1" t="s">
        <v>419</v>
      </c>
    </row>
    <row r="36" spans="2:8" x14ac:dyDescent="0.2">
      <c r="B36" s="16" t="s">
        <v>342</v>
      </c>
      <c r="C36" s="1" t="s">
        <v>418</v>
      </c>
    </row>
    <row r="37" spans="2:8" x14ac:dyDescent="0.2">
      <c r="B37" s="16" t="s">
        <v>400</v>
      </c>
      <c r="C37" s="1" t="s">
        <v>416</v>
      </c>
    </row>
    <row r="38" spans="2:8" x14ac:dyDescent="0.2">
      <c r="B38" s="16"/>
      <c r="C38" s="1" t="s">
        <v>417</v>
      </c>
    </row>
    <row r="39" spans="2:8" x14ac:dyDescent="0.2">
      <c r="B39" s="16" t="s">
        <v>401</v>
      </c>
      <c r="C39" s="1" t="s">
        <v>409</v>
      </c>
    </row>
    <row r="40" spans="2:8" x14ac:dyDescent="0.2">
      <c r="B40" s="16"/>
      <c r="C40" s="1" t="s">
        <v>410</v>
      </c>
    </row>
    <row r="41" spans="2:8" x14ac:dyDescent="0.2">
      <c r="B41" s="16"/>
      <c r="C41" s="1" t="s">
        <v>411</v>
      </c>
    </row>
    <row r="42" spans="2:8" x14ac:dyDescent="0.2">
      <c r="B42" s="16"/>
      <c r="C42" s="1" t="s">
        <v>412</v>
      </c>
    </row>
    <row r="43" spans="2:8" x14ac:dyDescent="0.2">
      <c r="B43" s="16"/>
      <c r="C43" s="1" t="s">
        <v>413</v>
      </c>
    </row>
    <row r="44" spans="2:8" x14ac:dyDescent="0.2">
      <c r="B44" s="16"/>
      <c r="C44" s="1" t="s">
        <v>414</v>
      </c>
    </row>
    <row r="45" spans="2:8" x14ac:dyDescent="0.2">
      <c r="B45" s="16"/>
      <c r="C45" s="1" t="s">
        <v>415</v>
      </c>
    </row>
    <row r="46" spans="2:8" x14ac:dyDescent="0.2">
      <c r="B46" s="16" t="s">
        <v>402</v>
      </c>
      <c r="C46" s="90">
        <f>3036+226</f>
        <v>3262</v>
      </c>
    </row>
    <row r="49" spans="2:8" ht="6" customHeight="1" x14ac:dyDescent="0.2">
      <c r="B49" s="247"/>
      <c r="C49" s="247"/>
      <c r="D49" s="247"/>
      <c r="E49" s="247"/>
      <c r="F49" s="247"/>
      <c r="G49" s="247"/>
      <c r="H49" s="247"/>
    </row>
    <row r="52" spans="2:8" x14ac:dyDescent="0.2">
      <c r="B52" s="247" t="s">
        <v>343</v>
      </c>
      <c r="C52" s="247"/>
      <c r="D52" s="247"/>
      <c r="E52" s="247"/>
      <c r="F52" s="247"/>
      <c r="G52" s="247"/>
      <c r="H52" s="247"/>
    </row>
    <row r="54" spans="2:8" x14ac:dyDescent="0.2">
      <c r="B54" s="41" t="s">
        <v>344</v>
      </c>
      <c r="C54" s="41" t="s">
        <v>427</v>
      </c>
      <c r="D54" s="41"/>
      <c r="E54" s="41" t="s">
        <v>426</v>
      </c>
    </row>
    <row r="55" spans="2:8" x14ac:dyDescent="0.2">
      <c r="B55" s="1" t="s">
        <v>395</v>
      </c>
      <c r="C55" s="1" t="s">
        <v>428</v>
      </c>
    </row>
    <row r="56" spans="2:8" x14ac:dyDescent="0.2">
      <c r="B56" s="1" t="s">
        <v>395</v>
      </c>
      <c r="C56" s="1" t="s">
        <v>429</v>
      </c>
    </row>
    <row r="57" spans="2:8" x14ac:dyDescent="0.2">
      <c r="B57" s="1" t="s">
        <v>395</v>
      </c>
      <c r="C57" s="1" t="s">
        <v>430</v>
      </c>
    </row>
    <row r="58" spans="2:8" x14ac:dyDescent="0.2">
      <c r="B58" s="1" t="s">
        <v>395</v>
      </c>
      <c r="C58" s="1" t="s">
        <v>431</v>
      </c>
    </row>
    <row r="60" spans="2:8" x14ac:dyDescent="0.2">
      <c r="B60" s="41" t="s">
        <v>344</v>
      </c>
      <c r="C60" s="41" t="s">
        <v>423</v>
      </c>
      <c r="D60" s="41"/>
      <c r="E60" s="41" t="s">
        <v>387</v>
      </c>
    </row>
    <row r="61" spans="2:8" x14ac:dyDescent="0.2">
      <c r="B61" s="1" t="s">
        <v>395</v>
      </c>
      <c r="C61" s="1" t="s">
        <v>420</v>
      </c>
    </row>
    <row r="62" spans="2:8" x14ac:dyDescent="0.2">
      <c r="B62" s="1" t="s">
        <v>395</v>
      </c>
      <c r="C62" s="1" t="s">
        <v>421</v>
      </c>
    </row>
    <row r="63" spans="2:8" x14ac:dyDescent="0.2">
      <c r="B63" s="1" t="s">
        <v>395</v>
      </c>
      <c r="C63" s="1" t="s">
        <v>422</v>
      </c>
    </row>
    <row r="65" spans="2:8" ht="5" customHeight="1" x14ac:dyDescent="0.2">
      <c r="B65" s="247"/>
      <c r="C65" s="247"/>
      <c r="D65" s="247"/>
      <c r="E65" s="247"/>
      <c r="F65" s="247"/>
      <c r="G65" s="247"/>
      <c r="H65" s="247"/>
    </row>
    <row r="68" spans="2:8" x14ac:dyDescent="0.2">
      <c r="B68" s="247" t="s">
        <v>108</v>
      </c>
      <c r="C68" s="247"/>
      <c r="D68" s="247"/>
      <c r="E68" s="247"/>
      <c r="F68" s="247"/>
      <c r="G68" s="247"/>
      <c r="H68" s="247"/>
    </row>
    <row r="70" spans="2:8" x14ac:dyDescent="0.2">
      <c r="B70" s="41" t="s">
        <v>344</v>
      </c>
      <c r="C70" s="41" t="s">
        <v>364</v>
      </c>
      <c r="D70" s="41"/>
      <c r="E70" s="41" t="s">
        <v>369</v>
      </c>
    </row>
    <row r="75" spans="2:8" ht="5" customHeight="1" x14ac:dyDescent="0.2">
      <c r="B75" s="247"/>
      <c r="C75" s="247"/>
      <c r="D75" s="247"/>
      <c r="E75" s="247"/>
      <c r="F75" s="247"/>
      <c r="G75" s="247"/>
      <c r="H75" s="247"/>
    </row>
  </sheetData>
  <mergeCells count="12">
    <mergeCell ref="B68:H68"/>
    <mergeCell ref="B75:H75"/>
    <mergeCell ref="B33:H33"/>
    <mergeCell ref="B49:H49"/>
    <mergeCell ref="B52:H52"/>
    <mergeCell ref="B65:H6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425</v>
      </c>
      <c r="R2" s="7"/>
      <c r="S2" s="7"/>
      <c r="T2" s="10" t="s">
        <v>393</v>
      </c>
      <c r="U2" s="10" t="s">
        <v>391</v>
      </c>
      <c r="V2" s="10" t="s">
        <v>389</v>
      </c>
      <c r="W2" s="10" t="s">
        <v>381</v>
      </c>
      <c r="X2" s="203" t="s">
        <v>392</v>
      </c>
      <c r="Y2" s="203" t="s">
        <v>390</v>
      </c>
      <c r="Z2" s="203" t="s">
        <v>388</v>
      </c>
      <c r="AA2" s="203" t="s">
        <v>425</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426</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384</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394</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8">
        <v>1221</v>
      </c>
      <c r="Y34" s="228">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337</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338</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42">
        <v>631</v>
      </c>
      <c r="M48" s="242">
        <v>109</v>
      </c>
      <c r="N48" s="242">
        <v>-1199</v>
      </c>
      <c r="O48" s="242">
        <v>-1491</v>
      </c>
      <c r="P48" s="242">
        <v>-453</v>
      </c>
      <c r="Q48" s="242">
        <v>2167</v>
      </c>
      <c r="R48" s="1"/>
      <c r="S48" s="1"/>
      <c r="T48" s="242">
        <v>-1300</v>
      </c>
      <c r="U48" s="242">
        <v>-1079</v>
      </c>
      <c r="V48" s="242">
        <v>-829</v>
      </c>
      <c r="W48" s="242">
        <v>-453</v>
      </c>
      <c r="X48" s="242">
        <v>-63</v>
      </c>
      <c r="Y48" s="242">
        <v>459</v>
      </c>
      <c r="Z48" s="242">
        <v>1095</v>
      </c>
      <c r="AA48" s="242">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288</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238</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239</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240</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279</v>
      </c>
      <c r="C78" s="25"/>
      <c r="D78" s="25"/>
      <c r="E78" s="25"/>
      <c r="F78" s="25"/>
      <c r="G78" s="25"/>
      <c r="H78" s="25"/>
      <c r="I78" s="25"/>
      <c r="J78" s="25"/>
      <c r="K78" s="25"/>
      <c r="L78" s="21">
        <v>2</v>
      </c>
      <c r="M78" s="21">
        <v>2</v>
      </c>
      <c r="N78" s="21">
        <v>2</v>
      </c>
      <c r="O78" s="21">
        <v>2</v>
      </c>
      <c r="P78" s="21">
        <v>2</v>
      </c>
      <c r="Q78" s="243">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303</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334</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335</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849.28</v>
      </c>
    </row>
    <row r="115" spans="1:31" x14ac:dyDescent="0.2">
      <c r="B115" s="20" t="s">
        <v>347</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849.28</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48">IF(T129&gt;T128, "BEAT", IF(T129&lt;T127, "MISSED", "MET"))</f>
        <v>MET</v>
      </c>
      <c r="U130" s="225" t="str">
        <f t="shared" si="148"/>
        <v>MET</v>
      </c>
      <c r="V130" s="225" t="str">
        <f t="shared" si="148"/>
        <v>MET</v>
      </c>
      <c r="W130" s="225" t="str">
        <f t="shared" si="148"/>
        <v>MET</v>
      </c>
      <c r="X130" s="225" t="str">
        <f t="shared" si="148"/>
        <v>BEAT</v>
      </c>
      <c r="Y130" s="225" t="str">
        <f t="shared" si="148"/>
        <v>BEAT</v>
      </c>
      <c r="Z130" s="225" t="str">
        <f>IF(Z129&gt;Z128, "BEAT", IF(Z129&lt;Z127, "MISSED", "MET"))</f>
        <v>BEAT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367</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49">U24</f>
        <v>1.55</v>
      </c>
      <c r="U133" s="229">
        <f t="shared" ref="U133" si="150">V24</f>
        <v>1.57</v>
      </c>
      <c r="V133" s="229">
        <f t="shared" ref="V133" si="151">W24</f>
        <v>2.2400000000000002</v>
      </c>
      <c r="W133" s="229">
        <f t="shared" ref="W133" si="152">X24</f>
        <v>2.4300000000000002</v>
      </c>
      <c r="X133" s="229">
        <f t="shared" ref="X133" si="153">Y24</f>
        <v>2.6</v>
      </c>
      <c r="Y133" s="229">
        <f t="shared" ref="Y133" si="154">Z24</f>
        <v>3.27</v>
      </c>
      <c r="Z133" s="229">
        <f t="shared" ref="Z133" si="155">AA24</f>
        <v>5.58</v>
      </c>
      <c r="AA133" s="229">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57">IF(T133&gt;T132, "BEAT", IF(T133&lt;T131, "MISSED", "MET"))</f>
        <v>MET</v>
      </c>
      <c r="U134" s="225" t="str">
        <f t="shared" si="157"/>
        <v>MET</v>
      </c>
      <c r="V134" s="225" t="str">
        <f t="shared" si="157"/>
        <v>MET</v>
      </c>
      <c r="W134" s="225" t="str">
        <f t="shared" si="157"/>
        <v>BEAT</v>
      </c>
      <c r="X134" s="225" t="str">
        <f t="shared" si="157"/>
        <v>MET</v>
      </c>
      <c r="Y134" s="225" t="str">
        <f t="shared" si="157"/>
        <v>MET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255</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259</v>
      </c>
      <c r="L144" s="179">
        <f t="shared" ref="L144:Q144" si="181">(L106-L105)/L48</f>
        <v>6.2282091917591123</v>
      </c>
      <c r="M144" s="179">
        <f t="shared" si="181"/>
        <v>46.155963302752291</v>
      </c>
      <c r="N144" s="179">
        <f t="shared" si="181"/>
        <v>-3.8907422852376983</v>
      </c>
      <c r="O144" s="179">
        <f t="shared" si="181"/>
        <v>-2.8947015425888667</v>
      </c>
      <c r="P144" s="179">
        <f t="shared" si="181"/>
        <v>-9.0596026490066226</v>
      </c>
      <c r="Q144" s="179">
        <f t="shared" si="181"/>
        <v>0.8587909552376557</v>
      </c>
      <c r="T144" s="179">
        <f t="shared" ref="T144:Z144" si="182">(T106-T105)/T48</f>
        <v>-3.4130769230769231</v>
      </c>
      <c r="U144" s="179">
        <f t="shared" si="182"/>
        <v>-4.1158480074142725</v>
      </c>
      <c r="V144" s="179">
        <f t="shared" si="182"/>
        <v>-5.2255729794933652</v>
      </c>
      <c r="W144" s="179">
        <f t="shared" si="182"/>
        <v>-9.0596026490066226</v>
      </c>
      <c r="X144" s="179">
        <f t="shared" si="182"/>
        <v>-61.61904761904762</v>
      </c>
      <c r="Y144" s="179">
        <f t="shared" si="182"/>
        <v>7.522875816993464</v>
      </c>
      <c r="Z144" s="179">
        <f t="shared" si="182"/>
        <v>2.4812785388127856</v>
      </c>
      <c r="AA144" s="179">
        <f t="shared" ref="AA144" si="183">(AA106-AA105)/AA48</f>
        <v>0.8587909552376557</v>
      </c>
      <c r="AC144" s="179">
        <f>(AC106-AC105)/AC48</f>
        <v>0.8587909552376557</v>
      </c>
    </row>
    <row r="145" spans="2:29" x14ac:dyDescent="0.2">
      <c r="B145" s="20" t="s">
        <v>256</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257</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263</v>
      </c>
      <c r="L147" s="181">
        <f t="shared" ref="L147:Q147" si="190">IF(L12&gt;=0,"N/A",IF(L11&lt;=0,"N/A",L11/-L12))</f>
        <v>6.8440366972477067</v>
      </c>
      <c r="M147" s="181">
        <f t="shared" si="190"/>
        <v>7.9149797570850202</v>
      </c>
      <c r="N147" s="181" t="str">
        <f t="shared" si="190"/>
        <v>N/A</v>
      </c>
      <c r="O147" s="181">
        <f t="shared" si="190"/>
        <v>1.4258675078864353</v>
      </c>
      <c r="P147" s="181">
        <f t="shared" si="190"/>
        <v>6.3851351351351351</v>
      </c>
      <c r="Q147" s="181">
        <f t="shared" si="190"/>
        <v>16.118110236220474</v>
      </c>
      <c r="T147" s="181">
        <f t="shared" ref="T147:Z147" si="191">IF(T12&gt;=0,"N/A",IF(T11&lt;=0,"N/A",T11/-T12))</f>
        <v>5.166666666666667</v>
      </c>
      <c r="U147" s="181">
        <f t="shared" si="191"/>
        <v>6.4210526315789478</v>
      </c>
      <c r="V147" s="181">
        <f t="shared" si="191"/>
        <v>5.904109589041096</v>
      </c>
      <c r="W147" s="181">
        <f t="shared" si="191"/>
        <v>8.2318840579710137</v>
      </c>
      <c r="X147" s="181">
        <f t="shared" si="191"/>
        <v>9.506849315068493</v>
      </c>
      <c r="Y147" s="181">
        <f t="shared" si="191"/>
        <v>12.969230769230769</v>
      </c>
      <c r="Z147" s="181">
        <f t="shared" si="191"/>
        <v>16.096774193548388</v>
      </c>
      <c r="AA147" s="181">
        <f t="shared" ref="AA147" si="192">IF(AA12&gt;=0,"N/A",IF(AA11&lt;=0,"N/A",AA11/-AA12))</f>
        <v>28.87037037037037</v>
      </c>
      <c r="AC147" s="181">
        <f>IF(AC12&gt;=0,"N/A",IF(AC11&lt;=0,"N/A",AC11/-AC12))</f>
        <v>16.118110236220474</v>
      </c>
    </row>
    <row r="148" spans="2:29" x14ac:dyDescent="0.2">
      <c r="B148" s="20" t="s">
        <v>241</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61.187319884726222</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15.930528905289053</v>
      </c>
    </row>
    <row r="150" spans="2:29" x14ac:dyDescent="0.2">
      <c r="B150" s="20" t="s">
        <v>242</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88.964725426857399</v>
      </c>
    </row>
    <row r="151" spans="2:29" x14ac:dyDescent="0.2">
      <c r="B151" s="20" t="s">
        <v>243</v>
      </c>
      <c r="L151" s="143">
        <f>Statement!L115*Statement!L77</f>
        <v>20016.900000000001</v>
      </c>
      <c r="M151" s="143">
        <f>Statement!M115*Statement!M77</f>
        <v>14716.17</v>
      </c>
      <c r="N151" s="143">
        <f>Statement!N115*Statement!N77</f>
        <v>12807.09</v>
      </c>
      <c r="O151" s="143">
        <f>Statement!O115*Statement!O77</f>
        <v>21996.51</v>
      </c>
      <c r="P151" s="143">
        <f>Statement!P115*Statement!P77</f>
        <v>30833.919999999998</v>
      </c>
      <c r="Q151" s="143">
        <f>Statement!Q115*Statement!Q77</f>
        <v>194377.91999999998</v>
      </c>
      <c r="T151" s="143">
        <f>Statement!T115*Statement!T77</f>
        <v>23596.579999999998</v>
      </c>
      <c r="U151" s="143">
        <f>Statement!U115*Statement!U77</f>
        <v>18963.63</v>
      </c>
      <c r="V151" s="143">
        <f>Statement!V115*Statement!V77</f>
        <v>18342.72</v>
      </c>
      <c r="W151" s="143">
        <f>Statement!W115*Statement!W77</f>
        <v>30833.919999999998</v>
      </c>
      <c r="X151" s="143">
        <f>Statement!X115*Statement!X77</f>
        <v>57383.33</v>
      </c>
      <c r="Y151" s="143">
        <f>Statement!Y115*Statement!Y77</f>
        <v>65973.2</v>
      </c>
      <c r="Z151" s="143">
        <f>Statement!Z115*Statement!Z77</f>
        <v>87002.319999999992</v>
      </c>
      <c r="AA151" s="143">
        <f>Statement!AA115*Statement!AA77</f>
        <v>194377.91999999998</v>
      </c>
      <c r="AC151" s="143">
        <f ca="1">Statement!AC115*Statement!AC77</f>
        <v>201279.35999999999</v>
      </c>
    </row>
    <row r="152" spans="2:29" x14ac:dyDescent="0.2">
      <c r="B152" s="20" t="s">
        <v>187</v>
      </c>
      <c r="L152" s="143">
        <f t="shared" ref="L152:Q152" si="193">L151+L106-L105+L47+L44</f>
        <v>23946.9</v>
      </c>
      <c r="M152" s="143">
        <f t="shared" si="193"/>
        <v>19747.169999999998</v>
      </c>
      <c r="N152" s="143">
        <f t="shared" si="193"/>
        <v>17472.09</v>
      </c>
      <c r="O152" s="143">
        <f t="shared" si="193"/>
        <v>26312.51</v>
      </c>
      <c r="P152" s="143">
        <f t="shared" si="193"/>
        <v>34937.919999999998</v>
      </c>
      <c r="Q152" s="143">
        <f t="shared" si="193"/>
        <v>196238.91999999998</v>
      </c>
      <c r="T152" s="143">
        <f t="shared" ref="T152:Z152" si="194">T151+T106-T105+T47+T44</f>
        <v>28033.579999999998</v>
      </c>
      <c r="U152" s="143">
        <f t="shared" si="194"/>
        <v>23404.63</v>
      </c>
      <c r="V152" s="143">
        <f t="shared" si="194"/>
        <v>22674.720000000001</v>
      </c>
      <c r="W152" s="143">
        <f t="shared" si="194"/>
        <v>34937.919999999998</v>
      </c>
      <c r="X152" s="143">
        <f t="shared" si="194"/>
        <v>61265.33</v>
      </c>
      <c r="Y152" s="143">
        <f t="shared" si="194"/>
        <v>69426.2</v>
      </c>
      <c r="Z152" s="143">
        <f t="shared" si="194"/>
        <v>89719.319999999992</v>
      </c>
      <c r="AA152" s="143">
        <f t="shared" ref="AA152" si="195">AA151+AA106-AA105+AA47+AA44</f>
        <v>196238.91999999998</v>
      </c>
      <c r="AC152" s="143">
        <f ca="1">AC151+AC106-AC105+AC47+AC44</f>
        <v>203140.36</v>
      </c>
    </row>
    <row r="153" spans="2:29" x14ac:dyDescent="0.2">
      <c r="B153" s="20" t="s">
        <v>264</v>
      </c>
      <c r="L153" s="183">
        <f t="shared" ref="L153:Q153" si="196">L152/L5</f>
        <v>2.2420091751708644</v>
      </c>
      <c r="M153" s="183">
        <f t="shared" si="196"/>
        <v>1.6934370980190376</v>
      </c>
      <c r="N153" s="183">
        <f t="shared" si="196"/>
        <v>2.3662093716143011</v>
      </c>
      <c r="O153" s="183">
        <f t="shared" si="196"/>
        <v>4.0165638833765831</v>
      </c>
      <c r="P153" s="183">
        <f t="shared" si="196"/>
        <v>3.8405979993404418</v>
      </c>
      <c r="Q153" s="183">
        <f t="shared" si="196"/>
        <v>16.091752357523575</v>
      </c>
      <c r="T153" s="49"/>
      <c r="U153" s="49"/>
      <c r="V153" s="49"/>
      <c r="W153" s="49"/>
      <c r="X153" s="49"/>
      <c r="Y153" s="49"/>
      <c r="Z153" s="49"/>
      <c r="AA153" s="49"/>
      <c r="AC153" s="183">
        <f ca="1">AC152/AC5</f>
        <v>16.657676096760966</v>
      </c>
    </row>
    <row r="154" spans="2:29" x14ac:dyDescent="0.2">
      <c r="B154" s="20" t="s">
        <v>203</v>
      </c>
      <c r="L154" s="183">
        <f t="shared" ref="L154:Q154" si="197">L152/L11</f>
        <v>16.050201072386059</v>
      </c>
      <c r="M154" s="183">
        <f t="shared" si="197"/>
        <v>10.100854219948848</v>
      </c>
      <c r="N154" s="183">
        <f t="shared" si="197"/>
        <v>-51.087982456140352</v>
      </c>
      <c r="O154" s="183">
        <f t="shared" si="197"/>
        <v>58.213517699115037</v>
      </c>
      <c r="P154" s="183">
        <f t="shared" si="197"/>
        <v>18.485671957671958</v>
      </c>
      <c r="Q154" s="183">
        <f t="shared" si="197"/>
        <v>47.933297508549096</v>
      </c>
      <c r="T154" s="49"/>
      <c r="U154" s="49"/>
      <c r="V154" s="49"/>
      <c r="W154" s="49"/>
      <c r="X154" s="49"/>
      <c r="Y154" s="49"/>
      <c r="Z154" s="49"/>
      <c r="AA154" s="49"/>
      <c r="AC154" s="183">
        <f ca="1">AC152/AC11</f>
        <v>49.619042501221294</v>
      </c>
    </row>
    <row r="155" spans="2:29" x14ac:dyDescent="0.2">
      <c r="B155" s="20" t="s">
        <v>265</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266</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267</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69.598672199170124</v>
      </c>
    </row>
    <row r="158" spans="2:29" x14ac:dyDescent="0.2">
      <c r="B158" s="20" t="s">
        <v>268</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63.252063057989474</v>
      </c>
    </row>
    <row r="159" spans="2:29" x14ac:dyDescent="0.2">
      <c r="B159" s="20" t="s">
        <v>269</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1.4368090200604772E-2</v>
      </c>
    </row>
    <row r="160" spans="2:29" x14ac:dyDescent="0.2">
      <c r="B160" s="20" t="s">
        <v>270</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1.6343255463451396E-2</v>
      </c>
    </row>
    <row r="161" spans="2:29" x14ac:dyDescent="0.2">
      <c r="B161" s="20" t="s">
        <v>271</v>
      </c>
      <c r="L161" s="154">
        <f t="shared" ref="L161:Q161" si="211">L81/L115</f>
        <v>3.0564173273583822E-2</v>
      </c>
      <c r="M161" s="154">
        <f t="shared" si="211"/>
        <v>4.0092632797799968E-2</v>
      </c>
      <c r="N161" s="154">
        <f t="shared" si="211"/>
        <v>4.5256182317763051E-2</v>
      </c>
      <c r="O161" s="154">
        <f t="shared" si="211"/>
        <v>2.7113392079016172E-2</v>
      </c>
      <c r="P161" s="154">
        <f t="shared" si="211"/>
        <v>2.0220588235294119E-2</v>
      </c>
      <c r="Q161" s="154">
        <f t="shared" si="211"/>
        <v>3.5602809207959424E-3</v>
      </c>
      <c r="T161" s="49"/>
      <c r="U161" s="49"/>
      <c r="V161" s="49"/>
      <c r="W161" s="49"/>
      <c r="X161" s="49"/>
      <c r="Y161" s="49"/>
      <c r="Z161" s="49"/>
      <c r="AA161" s="49"/>
      <c r="AC161" s="154">
        <f ca="1">AC81/AC115</f>
        <v>3.4382064807837228E-3</v>
      </c>
    </row>
    <row r="162" spans="2:29" x14ac:dyDescent="0.2">
      <c r="B162" s="20" t="s">
        <v>296</v>
      </c>
      <c r="L162" s="154">
        <f t="shared" ref="L162:Q162" si="212">-L62/L151</f>
        <v>0.10226358726875789</v>
      </c>
      <c r="M162" s="154">
        <f t="shared" si="212"/>
        <v>0.12224648125157565</v>
      </c>
      <c r="N162" s="154">
        <f t="shared" si="212"/>
        <v>3.1857354012504009E-2</v>
      </c>
      <c r="O162" s="154">
        <f t="shared" si="212"/>
        <v>0</v>
      </c>
      <c r="P162" s="154">
        <f t="shared" si="212"/>
        <v>0</v>
      </c>
      <c r="Q162" s="154">
        <f t="shared" si="212"/>
        <v>9.0545263577262276E-4</v>
      </c>
      <c r="T162" s="49"/>
      <c r="U162" s="49"/>
      <c r="V162" s="49"/>
      <c r="W162" s="49"/>
      <c r="X162" s="49"/>
      <c r="Y162" s="49"/>
      <c r="Z162" s="49"/>
      <c r="AA162" s="49"/>
      <c r="AC162" s="154">
        <f ca="1">-AC62/AC151</f>
        <v>8.7440659588742739E-4</v>
      </c>
    </row>
    <row r="163" spans="2:29" x14ac:dyDescent="0.2">
      <c r="B163" s="20" t="s">
        <v>298</v>
      </c>
      <c r="L163" s="154">
        <f t="shared" ref="L163:Q163" si="213">-(L62+L63)/L151</f>
        <v>0.13468619016930691</v>
      </c>
      <c r="M163" s="154">
        <f t="shared" si="213"/>
        <v>0.16369748378824109</v>
      </c>
      <c r="N163" s="154">
        <f t="shared" si="213"/>
        <v>7.7300932530340621E-2</v>
      </c>
      <c r="O163" s="154">
        <f t="shared" si="213"/>
        <v>2.6595128045312645E-2</v>
      </c>
      <c r="P163" s="154">
        <f t="shared" si="213"/>
        <v>1.9459089210843123E-2</v>
      </c>
      <c r="Q163" s="154">
        <f t="shared" si="213"/>
        <v>4.1671399714535481E-3</v>
      </c>
      <c r="T163" s="49"/>
      <c r="U163" s="49"/>
      <c r="V163" s="49"/>
      <c r="W163" s="49"/>
      <c r="X163" s="49"/>
      <c r="Y163" s="49"/>
      <c r="Z163" s="49"/>
      <c r="AA163" s="49"/>
      <c r="AC163" s="154">
        <f ca="1">-(AC62+AC63)/AC151</f>
        <v>4.0242576288000917E-3</v>
      </c>
    </row>
    <row r="164" spans="2:29" x14ac:dyDescent="0.2">
      <c r="B164" s="20" t="s">
        <v>348</v>
      </c>
      <c r="L164" s="154">
        <f t="shared" ref="L164:Q164" si="214">L156/L5</f>
        <v>0.11322609797980106</v>
      </c>
      <c r="M164" s="154">
        <f t="shared" si="214"/>
        <v>0.11551912298693807</v>
      </c>
      <c r="N164" s="154">
        <f t="shared" si="214"/>
        <v>0.13773022751895991</v>
      </c>
      <c r="O164" s="154">
        <f t="shared" si="214"/>
        <v>0.1123904232821475</v>
      </c>
      <c r="P164" s="154">
        <f t="shared" si="214"/>
        <v>9.4100951040925501E-2</v>
      </c>
      <c r="Q164" s="154">
        <f t="shared" si="214"/>
        <v>0.25261177056215006</v>
      </c>
      <c r="T164" s="49"/>
      <c r="U164" s="49"/>
      <c r="V164" s="49"/>
      <c r="W164" s="49"/>
      <c r="X164" s="49"/>
      <c r="Y164" s="49"/>
      <c r="Z164" s="49"/>
      <c r="AA164" s="49"/>
      <c r="AC164" s="154">
        <f>AC156/AC5</f>
        <v>0.26335387798322424</v>
      </c>
    </row>
    <row r="165" spans="2:29" x14ac:dyDescent="0.2">
      <c r="B165" s="20" t="s">
        <v>349</v>
      </c>
      <c r="L165" s="154">
        <f t="shared" ref="L165:Q165" si="215">L155/L5</f>
        <v>9.5122179571201199E-2</v>
      </c>
      <c r="M165" s="154">
        <f t="shared" si="215"/>
        <v>9.6989966555183951E-2</v>
      </c>
      <c r="N165" s="154">
        <f t="shared" si="215"/>
        <v>6.9203683640303354E-2</v>
      </c>
      <c r="O165" s="154">
        <f t="shared" si="215"/>
        <v>8.1972217981987477E-2</v>
      </c>
      <c r="P165" s="154">
        <f t="shared" si="215"/>
        <v>6.7934483895789821E-2</v>
      </c>
      <c r="Q165" s="154">
        <f t="shared" si="215"/>
        <v>0.23714637146371464</v>
      </c>
      <c r="T165" s="49"/>
      <c r="U165" s="49"/>
      <c r="V165" s="49"/>
      <c r="W165" s="49"/>
      <c r="X165" s="49"/>
      <c r="Y165" s="49"/>
      <c r="Z165" s="49"/>
      <c r="AA165" s="49"/>
      <c r="AC165" s="154">
        <f>AC155/AC5</f>
        <v>0.23714637146371464</v>
      </c>
    </row>
    <row r="166" spans="2:29" x14ac:dyDescent="0.2">
      <c r="B166" s="20" t="s">
        <v>274</v>
      </c>
      <c r="L166" s="154">
        <f t="shared" ref="L166:Q166" si="216">-L63/L155</f>
        <v>0.63877952755905509</v>
      </c>
      <c r="M166" s="154">
        <f t="shared" si="216"/>
        <v>0.53934571175950485</v>
      </c>
      <c r="N166" s="154">
        <f t="shared" si="216"/>
        <v>1.1389432485322897</v>
      </c>
      <c r="O166" s="154">
        <f t="shared" si="216"/>
        <v>1.0893854748603351</v>
      </c>
      <c r="P166" s="154">
        <f t="shared" si="216"/>
        <v>0.970873786407767</v>
      </c>
      <c r="Q166" s="154">
        <f t="shared" si="216"/>
        <v>0.21922544951590595</v>
      </c>
      <c r="T166" s="49"/>
      <c r="U166" s="49"/>
      <c r="V166" s="49"/>
      <c r="W166" s="49"/>
      <c r="X166" s="49"/>
      <c r="Y166" s="49"/>
      <c r="Z166" s="49"/>
      <c r="AA166" s="49"/>
      <c r="AC166" s="154">
        <f>-AC63/AC155</f>
        <v>0.21922544951590595</v>
      </c>
    </row>
    <row r="167" spans="2:29" x14ac:dyDescent="0.2">
      <c r="B167" s="20" t="s">
        <v>276</v>
      </c>
      <c r="L167" s="154">
        <f t="shared" ref="L167:Q167" si="217">-L62/L155</f>
        <v>2.0147637795275593</v>
      </c>
      <c r="M167" s="154">
        <f t="shared" si="217"/>
        <v>1.5906277630415562</v>
      </c>
      <c r="N167" s="154">
        <f t="shared" si="217"/>
        <v>0.79843444227005866</v>
      </c>
      <c r="O167" s="154">
        <f t="shared" si="217"/>
        <v>0</v>
      </c>
      <c r="P167" s="154">
        <f t="shared" si="217"/>
        <v>0</v>
      </c>
      <c r="Q167" s="154">
        <f t="shared" si="217"/>
        <v>6.0857538035961271E-2</v>
      </c>
      <c r="T167" s="49"/>
      <c r="U167" s="49"/>
      <c r="V167" s="49"/>
      <c r="W167" s="49"/>
      <c r="X167" s="49"/>
      <c r="Y167" s="49"/>
      <c r="Z167" s="49"/>
      <c r="AA167" s="49"/>
      <c r="AC167" s="154">
        <f>-AC62/AC155</f>
        <v>6.0857538035961271E-2</v>
      </c>
    </row>
    <row r="168" spans="2:29" x14ac:dyDescent="0.2">
      <c r="B168" s="20" t="s">
        <v>287</v>
      </c>
      <c r="L168" s="154">
        <f t="shared" ref="L168:Q168" si="218">(-L63-L62)/L155</f>
        <v>2.6535433070866143</v>
      </c>
      <c r="M168" s="154">
        <f t="shared" si="218"/>
        <v>2.1299734748010608</v>
      </c>
      <c r="N168" s="154">
        <f t="shared" si="218"/>
        <v>1.9373776908023483</v>
      </c>
      <c r="O168" s="154">
        <f t="shared" si="218"/>
        <v>1.0893854748603351</v>
      </c>
      <c r="P168" s="154">
        <f t="shared" si="218"/>
        <v>0.970873786407767</v>
      </c>
      <c r="Q168" s="154">
        <f t="shared" si="218"/>
        <v>0.28008298755186722</v>
      </c>
      <c r="T168" s="49"/>
      <c r="U168" s="49"/>
      <c r="V168" s="49"/>
      <c r="W168" s="49"/>
      <c r="X168" s="49"/>
      <c r="Y168" s="49"/>
      <c r="Z168" s="49"/>
      <c r="AA168" s="49"/>
      <c r="AC168" s="154">
        <f>(-AC63-AC62)/AC155</f>
        <v>0.28008298755186722</v>
      </c>
    </row>
    <row r="169" spans="2:29" x14ac:dyDescent="0.2">
      <c r="B169" s="20" t="s">
        <v>281</v>
      </c>
      <c r="L169" s="154">
        <f t="shared" ref="L169:Q169" si="219">L79/L77</f>
        <v>8.6956521739130436E-3</v>
      </c>
      <c r="M169" s="154">
        <f t="shared" si="219"/>
        <v>9.3896713615023476E-3</v>
      </c>
      <c r="N169" s="154">
        <f t="shared" si="219"/>
        <v>9.6618357487922701E-3</v>
      </c>
      <c r="O169" s="154">
        <f t="shared" si="219"/>
        <v>9.3896713615023476E-3</v>
      </c>
      <c r="P169" s="154">
        <f t="shared" si="219"/>
        <v>9.1743119266055051E-3</v>
      </c>
      <c r="Q169" s="154">
        <f t="shared" si="219"/>
        <v>8.4388185654008432E-3</v>
      </c>
      <c r="T169" s="49"/>
      <c r="U169" s="49"/>
      <c r="V169" s="49"/>
      <c r="W169" s="49"/>
      <c r="X169" s="49"/>
      <c r="Y169" s="49"/>
      <c r="Z169" s="49"/>
      <c r="AA169" s="49"/>
      <c r="AC169" s="154">
        <f>AC79/AC77</f>
        <v>8.4388185654008432E-3</v>
      </c>
    </row>
    <row r="170" spans="2:29" x14ac:dyDescent="0.2">
      <c r="B170" s="20" t="s">
        <v>282</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284</v>
      </c>
      <c r="L171" s="154">
        <f t="shared" ref="L171:Q171" si="223">L53/L58</f>
        <v>6.8880688806888066E-2</v>
      </c>
      <c r="M171" s="154">
        <f t="shared" si="223"/>
        <v>8.7507543753771871E-2</v>
      </c>
      <c r="N171" s="154">
        <f t="shared" si="223"/>
        <v>0.12208067940552017</v>
      </c>
      <c r="O171" s="154">
        <f t="shared" si="223"/>
        <v>0.1383442265795207</v>
      </c>
      <c r="P171" s="154">
        <f t="shared" si="223"/>
        <v>0.18467220683287167</v>
      </c>
      <c r="Q171" s="154">
        <f t="shared" si="223"/>
        <v>5.7974959172563963E-2</v>
      </c>
      <c r="T171" s="154">
        <f t="shared" ref="T171:Z171" si="224">T53/T58</f>
        <v>0.4</v>
      </c>
      <c r="U171" s="154">
        <f t="shared" si="224"/>
        <v>0.22171945701357465</v>
      </c>
      <c r="V171" s="154">
        <f t="shared" si="224"/>
        <v>0.20849420849420849</v>
      </c>
      <c r="W171" s="154">
        <f t="shared" si="224"/>
        <v>0.11614173228346457</v>
      </c>
      <c r="X171" s="154">
        <f t="shared" si="224"/>
        <v>9.7744360902255634E-2</v>
      </c>
      <c r="Y171" s="154">
        <f t="shared" si="224"/>
        <v>7.3305670816044263E-2</v>
      </c>
      <c r="Z171" s="154">
        <f t="shared" si="224"/>
        <v>4.8473967684021541E-2</v>
      </c>
      <c r="AA171" s="154">
        <f t="shared" ref="AA171" si="225">AA53/AA58</f>
        <v>4.1379310344827586E-2</v>
      </c>
      <c r="AC171" s="154">
        <f>AC53/AC58</f>
        <v>5.7974959172563963E-2</v>
      </c>
    </row>
    <row r="172" spans="2:29" x14ac:dyDescent="0.2">
      <c r="B172" s="20" t="s">
        <v>285</v>
      </c>
      <c r="L172" s="154">
        <f t="shared" ref="L172:Q172" si="226">L53/L5</f>
        <v>1.0485909559030053E-2</v>
      </c>
      <c r="M172" s="154">
        <f t="shared" si="226"/>
        <v>1.2434611096818454E-2</v>
      </c>
      <c r="N172" s="154">
        <f t="shared" si="226"/>
        <v>1.5574214517876489E-2</v>
      </c>
      <c r="O172" s="154">
        <f t="shared" si="226"/>
        <v>1.938635322851473E-2</v>
      </c>
      <c r="P172" s="154">
        <f t="shared" si="226"/>
        <v>2.1985269869187644E-2</v>
      </c>
      <c r="Q172" s="154">
        <f t="shared" si="226"/>
        <v>1.7466174661746617E-2</v>
      </c>
      <c r="T172" s="154">
        <f t="shared" ref="T172:Z172" si="227">T53/T5</f>
        <v>1.7527675276752766E-2</v>
      </c>
      <c r="U172" s="154">
        <f t="shared" si="227"/>
        <v>2.1075268817204302E-2</v>
      </c>
      <c r="V172" s="154">
        <f t="shared" si="227"/>
        <v>2.5000000000000001E-2</v>
      </c>
      <c r="W172" s="154">
        <f t="shared" si="227"/>
        <v>2.4140752864157119E-2</v>
      </c>
      <c r="X172" s="154">
        <f t="shared" si="227"/>
        <v>1.9779383796120199E-2</v>
      </c>
      <c r="Y172" s="154">
        <f t="shared" si="227"/>
        <v>1.8761061946902656E-2</v>
      </c>
      <c r="Z172" s="154">
        <f t="shared" si="227"/>
        <v>1.7352185089974295E-2</v>
      </c>
      <c r="AA172" s="154">
        <f t="shared" ref="AA172" si="228">AA53/AA5</f>
        <v>1.4880132267842381E-2</v>
      </c>
      <c r="AC172" s="154">
        <f>AC53/AC5</f>
        <v>1.7466174661746617E-2</v>
      </c>
    </row>
    <row r="173" spans="2:29" x14ac:dyDescent="0.2">
      <c r="B173" s="20" t="s">
        <v>290</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295</v>
      </c>
      <c r="L174" s="154">
        <f t="shared" ref="L174:Q174" si="232">(L105-L106)/L151</f>
        <v>-0.19633409768745408</v>
      </c>
      <c r="M174" s="154">
        <f t="shared" si="232"/>
        <v>-0.34186884223272768</v>
      </c>
      <c r="N174" s="154">
        <f t="shared" si="232"/>
        <v>-0.36425136389296864</v>
      </c>
      <c r="O174" s="154">
        <f t="shared" si="232"/>
        <v>-0.19621294468986217</v>
      </c>
      <c r="P174" s="154">
        <f t="shared" si="232"/>
        <v>-0.13310017020216697</v>
      </c>
      <c r="Q174" s="154">
        <f t="shared" si="232"/>
        <v>-9.5741326998457447E-3</v>
      </c>
      <c r="T174" s="49"/>
      <c r="U174" s="49"/>
      <c r="V174" s="49"/>
      <c r="W174" s="49"/>
      <c r="X174" s="49"/>
      <c r="Y174" s="49"/>
      <c r="Z174" s="49"/>
      <c r="AA174" s="49"/>
      <c r="AC174" s="154">
        <f ca="1">(AC105-AC106)/AC151</f>
        <v>-9.2458561076505814E-3</v>
      </c>
    </row>
    <row r="175" spans="2:29" x14ac:dyDescent="0.2">
      <c r="B175" s="20" t="s">
        <v>304</v>
      </c>
      <c r="L175" s="154">
        <f t="shared" ref="L175:Q175" si="233">-L108/L5</f>
        <v>4.6624847860687199E-2</v>
      </c>
      <c r="M175" s="154">
        <f t="shared" si="233"/>
        <v>3.2673012606122973E-2</v>
      </c>
      <c r="N175" s="154">
        <f t="shared" si="233"/>
        <v>4.2795232936078009E-2</v>
      </c>
      <c r="O175" s="154">
        <f t="shared" si="233"/>
        <v>3.877270645702946E-2</v>
      </c>
      <c r="P175" s="154">
        <f t="shared" si="233"/>
        <v>2.9130482576673628E-2</v>
      </c>
      <c r="Q175" s="154">
        <f t="shared" si="233"/>
        <v>4.6658466584665846E-2</v>
      </c>
      <c r="T175" s="154">
        <f t="shared" ref="T175:Z175" si="234">-T108/T5</f>
        <v>3.136531365313653E-2</v>
      </c>
      <c r="U175" s="154">
        <f t="shared" si="234"/>
        <v>3.053763440860215E-2</v>
      </c>
      <c r="V175" s="154">
        <f t="shared" si="234"/>
        <v>1.9907407407407408E-2</v>
      </c>
      <c r="W175" s="154">
        <f t="shared" si="234"/>
        <v>3.3960720130932896E-2</v>
      </c>
      <c r="X175" s="154">
        <f t="shared" si="234"/>
        <v>3.9939140357550397E-2</v>
      </c>
      <c r="Y175" s="154">
        <f t="shared" si="234"/>
        <v>4.1061946902654869E-2</v>
      </c>
      <c r="Z175" s="154">
        <f t="shared" si="234"/>
        <v>5.1735218508997427E-2</v>
      </c>
      <c r="AA175" s="154">
        <f t="shared" ref="AA175" si="235">-AA108/AA5</f>
        <v>5.1529346927528245E-2</v>
      </c>
      <c r="AC175" s="154">
        <f>-AC108/AC5</f>
        <v>4.6658466584665846E-2</v>
      </c>
    </row>
    <row r="176" spans="2:29" x14ac:dyDescent="0.2">
      <c r="B176" s="20" t="s">
        <v>305</v>
      </c>
      <c r="L176" s="154">
        <f t="shared" ref="L176:Q176" si="236">-(L108/L58)</f>
        <v>0.30627306273062732</v>
      </c>
      <c r="M176" s="154">
        <f t="shared" si="236"/>
        <v>0.22993361496680748</v>
      </c>
      <c r="N176" s="154">
        <f t="shared" si="236"/>
        <v>0.3354564755838641</v>
      </c>
      <c r="O176" s="154">
        <f t="shared" si="236"/>
        <v>0.27668845315904139</v>
      </c>
      <c r="P176" s="154">
        <f t="shared" si="236"/>
        <v>0.24469067405355494</v>
      </c>
      <c r="Q176" s="154">
        <f t="shared" si="236"/>
        <v>0.15487207403375067</v>
      </c>
      <c r="T176" s="154">
        <f t="shared" ref="T176:Z176" si="237">-(T108/T58)</f>
        <v>0.71578947368421053</v>
      </c>
      <c r="U176" s="154">
        <f t="shared" si="237"/>
        <v>0.32126696832579188</v>
      </c>
      <c r="V176" s="154">
        <f t="shared" si="237"/>
        <v>0.16602316602316602</v>
      </c>
      <c r="W176" s="154">
        <f t="shared" si="237"/>
        <v>0.16338582677165353</v>
      </c>
      <c r="X176" s="154">
        <f t="shared" si="237"/>
        <v>0.19736842105263158</v>
      </c>
      <c r="Y176" s="154">
        <f t="shared" si="237"/>
        <v>0.16044260027662519</v>
      </c>
      <c r="Z176" s="154">
        <f t="shared" si="237"/>
        <v>0.14452423698384201</v>
      </c>
      <c r="AA176" s="154">
        <f t="shared" ref="AA176" si="238">-(AA108/AA58)</f>
        <v>0.14329501915708812</v>
      </c>
      <c r="AC176" s="154">
        <f>-(AC108/AC58)</f>
        <v>0.15487207403375067</v>
      </c>
    </row>
    <row r="177" spans="1:31" x14ac:dyDescent="0.2">
      <c r="B177" s="20" t="s">
        <v>306</v>
      </c>
      <c r="L177" s="154">
        <f t="shared" ref="L177:Q177" si="239">-L108/L52</f>
        <v>1.2544080604534005</v>
      </c>
      <c r="M177" s="154">
        <f t="shared" si="239"/>
        <v>0.84478935698447899</v>
      </c>
      <c r="N177" s="154">
        <f t="shared" si="239"/>
        <v>0.61598440545808963</v>
      </c>
      <c r="O177" s="154">
        <f t="shared" si="239"/>
        <v>0.96212121212121215</v>
      </c>
      <c r="P177" s="154">
        <f t="shared" si="239"/>
        <v>1.0557768924302788</v>
      </c>
      <c r="Q177" s="154">
        <f t="shared" si="239"/>
        <v>2.0615942028985508</v>
      </c>
      <c r="T177" s="154">
        <f t="shared" ref="T177:Z177" si="240">-T108/T52</f>
        <v>1.0625</v>
      </c>
      <c r="U177" s="154">
        <f t="shared" si="240"/>
        <v>1.126984126984127</v>
      </c>
      <c r="V177" s="154">
        <f t="shared" si="240"/>
        <v>0.68253968253968256</v>
      </c>
      <c r="W177" s="154">
        <f t="shared" si="240"/>
        <v>1.360655737704918</v>
      </c>
      <c r="X177" s="154">
        <f t="shared" si="240"/>
        <v>1.4583333333333333</v>
      </c>
      <c r="Y177" s="154">
        <f t="shared" si="240"/>
        <v>1.7058823529411764</v>
      </c>
      <c r="Z177" s="154">
        <f t="shared" si="240"/>
        <v>2.4393939393939394</v>
      </c>
      <c r="AA177" s="154">
        <f t="shared" ref="AA177" si="241">-AA108/AA52</f>
        <v>2.6714285714285713</v>
      </c>
      <c r="AC177" s="154">
        <f>-AC108/AC52</f>
        <v>2.0615942028985508</v>
      </c>
    </row>
    <row r="178" spans="1:31" x14ac:dyDescent="0.2">
      <c r="B178" s="20" t="s">
        <v>362</v>
      </c>
      <c r="L178" s="224">
        <f t="shared" ref="L178:Q178" si="242">L5/L36</f>
        <v>1.2312391930835735</v>
      </c>
      <c r="M178" s="224">
        <f t="shared" si="242"/>
        <v>1.3037790697674418</v>
      </c>
      <c r="N178" s="224">
        <f t="shared" si="242"/>
        <v>0.97723663313922715</v>
      </c>
      <c r="O178" s="224">
        <f t="shared" si="242"/>
        <v>0.84649179480553038</v>
      </c>
      <c r="P178" s="224">
        <f t="shared" si="242"/>
        <v>1.133865137729029</v>
      </c>
      <c r="Q178" s="224">
        <f t="shared" si="242"/>
        <v>1.2229241877256318</v>
      </c>
      <c r="T178" s="49"/>
      <c r="U178" s="49"/>
      <c r="V178" s="49"/>
      <c r="W178" s="49"/>
      <c r="X178" s="49"/>
      <c r="Y178" s="49"/>
      <c r="Z178" s="49"/>
      <c r="AA178" s="49"/>
      <c r="AC178" s="224">
        <f>AC5/AC36</f>
        <v>1.2229241877256318</v>
      </c>
    </row>
    <row r="179" spans="1:31" x14ac:dyDescent="0.2">
      <c r="B179" s="20" t="s">
        <v>359</v>
      </c>
      <c r="L179" s="226">
        <f t="shared" ref="L179:Q179" si="243">IF(AND(L11&gt;0,L106&gt;0),L106/L11,"N/A")</f>
        <v>3.4443699731903483</v>
      </c>
      <c r="M179" s="226">
        <f t="shared" si="243"/>
        <v>2.8879795396419436</v>
      </c>
      <c r="N179" s="226" t="str">
        <f t="shared" si="243"/>
        <v>N/A</v>
      </c>
      <c r="O179" s="226">
        <f t="shared" si="243"/>
        <v>12.553097345132743</v>
      </c>
      <c r="P179" s="226">
        <f t="shared" si="243"/>
        <v>2.6428571428571428</v>
      </c>
      <c r="Q179" s="226">
        <f t="shared" si="243"/>
        <v>0.8707865168539326</v>
      </c>
      <c r="T179" s="49"/>
      <c r="U179" s="49"/>
      <c r="V179" s="49"/>
      <c r="W179" s="49"/>
      <c r="X179" s="49"/>
      <c r="Y179" s="49"/>
      <c r="Z179" s="49"/>
      <c r="AA179" s="49"/>
      <c r="AC179" s="226">
        <f>IF(AND(AC11&gt;0,AC106&gt;0),AC106/AC11,"N/A")</f>
        <v>0.8707865168539326</v>
      </c>
    </row>
    <row r="180" spans="1:31" x14ac:dyDescent="0.2">
      <c r="B180" s="20" t="s">
        <v>360</v>
      </c>
      <c r="L180" s="226">
        <f t="shared" ref="L180:Q180" si="244">IF(AND(L11&gt;0,L106&gt;0),(L106-L105)/L11,"N/A")</f>
        <v>2.6340482573726542</v>
      </c>
      <c r="M180" s="226">
        <f t="shared" si="244"/>
        <v>2.5734015345268544</v>
      </c>
      <c r="N180" s="226" t="str">
        <f t="shared" si="244"/>
        <v>N/A</v>
      </c>
      <c r="O180" s="226">
        <f t="shared" si="244"/>
        <v>9.5486725663716818</v>
      </c>
      <c r="P180" s="226">
        <f t="shared" si="244"/>
        <v>2.1714285714285713</v>
      </c>
      <c r="Q180" s="226">
        <f t="shared" si="244"/>
        <v>0.45456765999022958</v>
      </c>
      <c r="T180" s="49"/>
      <c r="U180" s="49"/>
      <c r="V180" s="49"/>
      <c r="W180" s="49"/>
      <c r="X180" s="49"/>
      <c r="Y180" s="49"/>
      <c r="Z180" s="49"/>
      <c r="AA180" s="49"/>
      <c r="AC180" s="226">
        <f>IF(AND(AC11&gt;0,AC106&gt;0),(AC106-AC105)/AC11,"N/A")</f>
        <v>0.45456765999022958</v>
      </c>
    </row>
    <row r="181" spans="1:31" x14ac:dyDescent="0.2">
      <c r="B181" s="20" t="s">
        <v>361</v>
      </c>
      <c r="L181" s="226">
        <f t="shared" ref="L181:Q181" si="245">L5/(L106+L110-L105)</f>
        <v>2.3418110063582547</v>
      </c>
      <c r="M181" s="226">
        <f t="shared" si="245"/>
        <v>2.2686770428015564</v>
      </c>
      <c r="N181" s="226">
        <f t="shared" si="245"/>
        <v>2.1304096941719561</v>
      </c>
      <c r="O181" s="226">
        <f t="shared" si="245"/>
        <v>2.3189380530973454</v>
      </c>
      <c r="P181" s="226">
        <f t="shared" si="245"/>
        <v>2.4916461243494932</v>
      </c>
      <c r="Q181" s="226">
        <f t="shared" si="245"/>
        <v>3.0275571002979147</v>
      </c>
      <c r="T181" s="49"/>
      <c r="U181" s="49"/>
      <c r="V181" s="49"/>
      <c r="W181" s="49"/>
      <c r="X181" s="49"/>
      <c r="Y181" s="49"/>
      <c r="Z181" s="49"/>
      <c r="AA181" s="49"/>
      <c r="AC181" s="226">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407</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408</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L199" s="143">
        <v>100</v>
      </c>
      <c r="M199" s="143">
        <f>100*(1+((M115-$M115)/ABS($M115)))</f>
        <v>100</v>
      </c>
      <c r="N199" s="143">
        <f>100*(1+((N115-$M115)/ABS($M115)))</f>
        <v>89.549862498190762</v>
      </c>
      <c r="O199" s="143">
        <f>100*(1+((O115-$M115)/ABS($M115)))</f>
        <v>149.47170357504703</v>
      </c>
      <c r="P199" s="143">
        <f>100*(1+((P115-$M115)/ABS($M115)))</f>
        <v>204.718483137936</v>
      </c>
      <c r="Q199" s="143">
        <f>100*(1+((Q115-$M115)/ABS($M115)))</f>
        <v>1187.0893038066288</v>
      </c>
      <c r="T199" s="49"/>
      <c r="U199" s="49"/>
      <c r="V199" s="49"/>
      <c r="W199" s="49"/>
      <c r="X199" s="49"/>
      <c r="Y199" s="49"/>
      <c r="Z199" s="49"/>
      <c r="AA199" s="49"/>
      <c r="AC199" s="49"/>
    </row>
    <row r="200" spans="1:31" x14ac:dyDescent="0.2">
      <c r="B200" s="20" t="s">
        <v>356</v>
      </c>
      <c r="L200" s="143">
        <v>100</v>
      </c>
      <c r="M200" s="143">
        <f>100*(1+((M5-$M5)/ABS($M5)))</f>
        <v>100</v>
      </c>
      <c r="N200" s="143">
        <f>100*(1+((N5-$M5)/ABS($M5)))</f>
        <v>63.322185061315494</v>
      </c>
      <c r="O200" s="143">
        <f>100*(1+((O5-$M5)/ABS($M5)))</f>
        <v>56.17871537603979</v>
      </c>
      <c r="P200" s="143">
        <f>100*(1+((P5-$M5)/ABS($M5)))</f>
        <v>78.012177343281024</v>
      </c>
      <c r="Q200" s="143">
        <f>100*(1+((Q5-$M5)/ABS($M5)))</f>
        <v>104.57936712117315</v>
      </c>
      <c r="T200" s="49"/>
      <c r="U200" s="49"/>
      <c r="V200" s="49"/>
      <c r="W200" s="49"/>
      <c r="X200" s="49"/>
      <c r="Y200" s="49"/>
      <c r="Z200" s="49"/>
      <c r="AA200" s="49"/>
      <c r="AC200" s="49"/>
    </row>
    <row r="201" spans="1:31" x14ac:dyDescent="0.2">
      <c r="B201" s="20" t="s">
        <v>357</v>
      </c>
      <c r="L201" s="143">
        <v>100</v>
      </c>
      <c r="M201" s="143">
        <f>100*(1+((M25-$M25)/ABS($M25)))</f>
        <v>100</v>
      </c>
      <c r="N201" s="143">
        <f>100*(1+((N25-$M25)/ABS($M25)))</f>
        <v>-34.782608695652172</v>
      </c>
      <c r="O201" s="143">
        <f>100*(1+((O25-$M25)/ABS($M25)))</f>
        <v>21.467391304347828</v>
      </c>
      <c r="P201" s="143">
        <f>100*(1+((P25-$M25)/ABS($M25)))</f>
        <v>91.983695652173907</v>
      </c>
      <c r="Q201" s="143">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396</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5" t="s">
        <v>397</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5" t="s">
        <v>398</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399</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7" t="s">
        <v>237</v>
      </c>
      <c r="C4" s="247"/>
      <c r="E4" s="247" t="s">
        <v>244</v>
      </c>
      <c r="F4" s="247"/>
      <c r="G4" s="247"/>
    </row>
    <row r="5" spans="2:7" x14ac:dyDescent="0.2">
      <c r="B5" s="20" t="s">
        <v>1</v>
      </c>
      <c r="C5" s="172">
        <f ca="1">Overview!C5</f>
        <v>849.28</v>
      </c>
      <c r="E5" s="12"/>
      <c r="F5" s="132" t="s">
        <v>245</v>
      </c>
      <c r="G5" s="132" t="s">
        <v>246</v>
      </c>
    </row>
    <row r="6" spans="2:7" x14ac:dyDescent="0.2">
      <c r="B6" s="20" t="s">
        <v>243</v>
      </c>
      <c r="C6" s="173">
        <f ca="1">Statement!AC151</f>
        <v>201279.35999999999</v>
      </c>
      <c r="E6" s="20" t="s">
        <v>19</v>
      </c>
      <c r="F6" s="178">
        <f>IF(Statement!M5&lt;=0,"N/A",_xlfn.RRI(4,Statement!M5,Statement!Q5))</f>
        <v>1.125691029112641E-2</v>
      </c>
      <c r="G6" s="178" t="str">
        <f>IF(Statement!H5&lt;=0,"N/A",_xlfn.RRI(9,Statement!H5,Statement!Q5))</f>
        <v>N/A</v>
      </c>
    </row>
    <row r="7" spans="2:7" x14ac:dyDescent="0.2">
      <c r="B7" s="20" t="s">
        <v>187</v>
      </c>
      <c r="C7" s="173">
        <f ca="1">Statement!AC152</f>
        <v>203140.36</v>
      </c>
      <c r="E7" s="20" t="s">
        <v>30</v>
      </c>
      <c r="F7" s="178">
        <f>IF(OR(Statement!M17&lt;=0, Statement!Q17&lt;=0), "N/A", _xlfn.RRI(4, Statement!M17, Statement!Q17))</f>
        <v>0.17879449999109109</v>
      </c>
      <c r="G7" s="178" t="str">
        <f>IF(OR(Statement!H17&lt;=0, Statement!Q17&lt;=0), "N/A", _xlfn.RRI(9, Statement!H17, Statement!Q17))</f>
        <v>N/A</v>
      </c>
    </row>
    <row r="8" spans="2:7" x14ac:dyDescent="0.2">
      <c r="B8" s="20" t="s">
        <v>241</v>
      </c>
      <c r="C8" s="174">
        <f ca="1">Statement!AC148</f>
        <v>61.187319884726222</v>
      </c>
      <c r="E8" s="20" t="s">
        <v>247</v>
      </c>
      <c r="F8" s="178">
        <f>IF(OR(Statement!M25&lt;=0, Statement!Q25&lt;=0), "N/A", _xlfn.RRI(4, Statement!M25, Statement!Q25))</f>
        <v>0.17228780316506631</v>
      </c>
      <c r="G8" s="178" t="str">
        <f>IF(OR(Statement!H25&lt;=0, Statement!Q25&lt;=0), "N/A", _xlfn.RRI(9, Statement!H25, Statement!Q25))</f>
        <v>N/A</v>
      </c>
    </row>
    <row r="9" spans="2:7" x14ac:dyDescent="0.2">
      <c r="B9" s="20" t="s">
        <v>200</v>
      </c>
      <c r="C9" s="174">
        <f ca="1">Statement!AC149</f>
        <v>15.930528905289053</v>
      </c>
      <c r="E9" s="20" t="s">
        <v>248</v>
      </c>
      <c r="F9" s="178">
        <f>IF(Statement!M81&lt;=0,"N/A",_xlfn.RRI(4,Statement!M81,Statement!Q81))</f>
        <v>1.3271367128538714E-2</v>
      </c>
      <c r="G9" s="178" t="str">
        <f>IF(Statement!H81&lt;=0,"N/A",_xlfn.RRI(9,Statement!H81,Statement!Q81))</f>
        <v>N/A</v>
      </c>
    </row>
    <row r="10" spans="2:7" x14ac:dyDescent="0.2">
      <c r="B10" s="20" t="s">
        <v>242</v>
      </c>
      <c r="C10" s="174">
        <f ca="1">Statement!AC150</f>
        <v>88.964725426857399</v>
      </c>
      <c r="E10" s="20" t="s">
        <v>1</v>
      </c>
      <c r="F10" s="178">
        <f>IF(Statement!M115&lt;=0,"N/A",_xlfn.RRI(4,Statement!M115,Statement!Q115))</f>
        <v>0.85618324413891456</v>
      </c>
      <c r="G10" s="178" t="str">
        <f>IF(Statement!H115&lt;=0,"N/A",_xlfn.RRI(9,Statement!H115,Statement!Q115))</f>
        <v>N/A</v>
      </c>
    </row>
    <row r="11" spans="2:7" x14ac:dyDescent="0.2">
      <c r="B11" s="20" t="s">
        <v>264</v>
      </c>
      <c r="C11" s="174">
        <f ca="1">Statement!AC153</f>
        <v>16.657676096760966</v>
      </c>
    </row>
    <row r="12" spans="2:7" x14ac:dyDescent="0.2">
      <c r="B12" s="20" t="s">
        <v>203</v>
      </c>
      <c r="C12" s="174">
        <f ca="1">Statement!AC154</f>
        <v>49.619042501221294</v>
      </c>
    </row>
    <row r="15" spans="2:7" x14ac:dyDescent="0.2">
      <c r="B15" s="247" t="s">
        <v>76</v>
      </c>
      <c r="C15" s="247"/>
      <c r="E15" s="247" t="s">
        <v>250</v>
      </c>
      <c r="F15" s="247"/>
    </row>
    <row r="16" spans="2:7" x14ac:dyDescent="0.2">
      <c r="B16" s="20" t="s">
        <v>77</v>
      </c>
      <c r="C16" s="175">
        <f>Statement!AC99</f>
        <v>0.45576055760557604</v>
      </c>
      <c r="E16" s="20" t="s">
        <v>30</v>
      </c>
      <c r="F16" s="173">
        <f>Statement!AC17</f>
        <v>3184</v>
      </c>
    </row>
    <row r="17" spans="2:6" x14ac:dyDescent="0.2">
      <c r="B17" s="20" t="s">
        <v>78</v>
      </c>
      <c r="C17" s="175">
        <f>Statement!AC100</f>
        <v>0.33571135711357114</v>
      </c>
      <c r="E17" s="20" t="s">
        <v>251</v>
      </c>
      <c r="F17" s="173">
        <f>Statement!AC58</f>
        <v>3674</v>
      </c>
    </row>
    <row r="18" spans="2:6" x14ac:dyDescent="0.2">
      <c r="B18" s="20" t="s">
        <v>79</v>
      </c>
      <c r="C18" s="175">
        <f>Statement!AC101</f>
        <v>0.26109061090610908</v>
      </c>
      <c r="E18" s="20" t="s">
        <v>258</v>
      </c>
      <c r="F18" s="177">
        <f>IF(OR(F16&lt;=0, F17&lt;=0),"N/A",F16-F17)</f>
        <v>-490</v>
      </c>
    </row>
    <row r="21" spans="2:6" x14ac:dyDescent="0.2">
      <c r="B21" s="247" t="s">
        <v>249</v>
      </c>
      <c r="C21" s="247"/>
      <c r="E21" s="247" t="s">
        <v>253</v>
      </c>
      <c r="F21" s="247"/>
    </row>
    <row r="22" spans="2:6" x14ac:dyDescent="0.2">
      <c r="B22" s="20" t="s">
        <v>99</v>
      </c>
      <c r="C22" s="175">
        <f>Statement!AC119</f>
        <v>0.26109061090610908</v>
      </c>
      <c r="E22" s="20" t="s">
        <v>101</v>
      </c>
      <c r="F22" s="175">
        <f>C24</f>
        <v>0.31929402326514245</v>
      </c>
    </row>
    <row r="23" spans="2:6" x14ac:dyDescent="0.2">
      <c r="B23" s="20" t="s">
        <v>100</v>
      </c>
      <c r="C23" s="174">
        <f>Statement!AC120</f>
        <v>1.2229241877256318</v>
      </c>
      <c r="E23" s="20" t="s">
        <v>103</v>
      </c>
      <c r="F23" s="175">
        <f>C26</f>
        <v>1.4693124134748501</v>
      </c>
    </row>
    <row r="24" spans="2:6" x14ac:dyDescent="0.2">
      <c r="B24" s="32" t="s">
        <v>101</v>
      </c>
      <c r="C24" s="176">
        <f>Statement!AC121</f>
        <v>0.31929402326514245</v>
      </c>
      <c r="E24" s="20" t="s">
        <v>104</v>
      </c>
      <c r="F24" s="175">
        <f>Statement!AC138</f>
        <v>0.87701105809469215</v>
      </c>
    </row>
    <row r="25" spans="2:6" x14ac:dyDescent="0.2">
      <c r="B25" s="20" t="s">
        <v>102</v>
      </c>
      <c r="C25" s="174">
        <f>Statement!AC122</f>
        <v>4.6017535763728654</v>
      </c>
    </row>
    <row r="26" spans="2:6" x14ac:dyDescent="0.2">
      <c r="B26" s="32" t="s">
        <v>103</v>
      </c>
      <c r="C26" s="176">
        <f>Statement!AC123</f>
        <v>1.4693124134748501</v>
      </c>
    </row>
    <row r="29" spans="2:6" x14ac:dyDescent="0.2">
      <c r="B29" s="247" t="s">
        <v>254</v>
      </c>
      <c r="C29" s="247"/>
      <c r="E29" s="247" t="s">
        <v>260</v>
      </c>
      <c r="F29" s="247"/>
    </row>
    <row r="30" spans="2:6" x14ac:dyDescent="0.2">
      <c r="B30" s="20" t="s">
        <v>138</v>
      </c>
      <c r="C30" s="174">
        <f>Statement!AC139</f>
        <v>45.913079130791303</v>
      </c>
      <c r="E30" s="20" t="s">
        <v>261</v>
      </c>
      <c r="F30" s="180">
        <f>Statement!AC143</f>
        <v>1.6451315182279649</v>
      </c>
    </row>
    <row r="31" spans="2:6" x14ac:dyDescent="0.2">
      <c r="B31" s="20" t="s">
        <v>139</v>
      </c>
      <c r="C31" s="174">
        <f>Statement!AC140</f>
        <v>86.396715383456382</v>
      </c>
      <c r="E31" s="20" t="s">
        <v>262</v>
      </c>
      <c r="F31" s="180">
        <f>Statement!AC144</f>
        <v>0.8587909552376557</v>
      </c>
    </row>
    <row r="32" spans="2:6" x14ac:dyDescent="0.2">
      <c r="B32" s="20" t="s">
        <v>140</v>
      </c>
      <c r="C32" s="174">
        <f>Statement!AC141</f>
        <v>96.130781979810152</v>
      </c>
      <c r="E32" s="20" t="s">
        <v>257</v>
      </c>
      <c r="F32" s="180">
        <f>Statement!AC146</f>
        <v>1.669651423089223</v>
      </c>
    </row>
    <row r="33" spans="2:6" x14ac:dyDescent="0.2">
      <c r="B33" s="20" t="s">
        <v>141</v>
      </c>
      <c r="C33" s="174">
        <f>Statement!AC142</f>
        <v>36.179012534437547</v>
      </c>
      <c r="E33" s="20" t="s">
        <v>256</v>
      </c>
      <c r="F33" s="180">
        <f>Statement!AC145</f>
        <v>1.0354972817396866</v>
      </c>
    </row>
    <row r="34" spans="2:6" x14ac:dyDescent="0.2">
      <c r="E34" s="20" t="s">
        <v>263</v>
      </c>
      <c r="F34" s="182">
        <f>Statement!AC147</f>
        <v>16.118110236220474</v>
      </c>
    </row>
    <row r="37" spans="2:6" x14ac:dyDescent="0.2">
      <c r="B37" s="247" t="s">
        <v>272</v>
      </c>
      <c r="C37" s="247"/>
      <c r="E37" s="247" t="s">
        <v>275</v>
      </c>
      <c r="F37" s="247"/>
    </row>
    <row r="38" spans="2:6" x14ac:dyDescent="0.2">
      <c r="B38" s="20" t="s">
        <v>270</v>
      </c>
      <c r="C38" s="175">
        <f ca="1">Statement!AC160</f>
        <v>1.6343255463451396E-2</v>
      </c>
      <c r="E38" s="20" t="s">
        <v>274</v>
      </c>
      <c r="F38" s="175">
        <f>Statement!AC166</f>
        <v>0.21922544951590595</v>
      </c>
    </row>
    <row r="39" spans="2:6" x14ac:dyDescent="0.2">
      <c r="B39" s="54" t="s">
        <v>273</v>
      </c>
      <c r="C39" s="215">
        <f ca="1">Statement!AC159</f>
        <v>1.4368090200604772E-2</v>
      </c>
      <c r="E39" s="20" t="s">
        <v>276</v>
      </c>
      <c r="F39" s="175">
        <f>Statement!AC167</f>
        <v>6.0857538035961271E-2</v>
      </c>
    </row>
    <row r="40" spans="2:6" x14ac:dyDescent="0.2">
      <c r="B40" s="20" t="s">
        <v>271</v>
      </c>
      <c r="C40" s="175">
        <f ca="1">Statement!AC161</f>
        <v>3.4382064807837228E-3</v>
      </c>
      <c r="E40" s="20" t="s">
        <v>277</v>
      </c>
      <c r="F40" s="175">
        <f>Statement!AC168</f>
        <v>0.28008298755186722</v>
      </c>
    </row>
    <row r="41" spans="2:6" x14ac:dyDescent="0.2">
      <c r="B41" s="20" t="s">
        <v>296</v>
      </c>
      <c r="C41" s="175">
        <f ca="1">Statement!AC162</f>
        <v>8.7440659588742739E-4</v>
      </c>
    </row>
    <row r="42" spans="2:6" x14ac:dyDescent="0.2">
      <c r="B42" s="20" t="s">
        <v>298</v>
      </c>
      <c r="C42" s="175">
        <f ca="1">Statement!AC163</f>
        <v>4.0242576288000917E-3</v>
      </c>
    </row>
    <row r="45" spans="2:6" x14ac:dyDescent="0.2">
      <c r="B45" s="247" t="s">
        <v>283</v>
      </c>
      <c r="C45" s="247"/>
      <c r="E45" s="247" t="s">
        <v>289</v>
      </c>
      <c r="F45" s="247"/>
    </row>
    <row r="46" spans="2:6" x14ac:dyDescent="0.2">
      <c r="B46" s="20" t="s">
        <v>281</v>
      </c>
      <c r="C46" s="175">
        <f>Statement!AC169</f>
        <v>8.4388185654008432E-3</v>
      </c>
      <c r="E46" s="20" t="s">
        <v>282</v>
      </c>
      <c r="F46" s="174">
        <f>Statement!AC170</f>
        <v>7.5066079295154182</v>
      </c>
    </row>
    <row r="47" spans="2:6" x14ac:dyDescent="0.2">
      <c r="E47" s="20" t="s">
        <v>290</v>
      </c>
      <c r="F47" s="174">
        <f>Statement!AC173</f>
        <v>-8.1982378854625555</v>
      </c>
    </row>
    <row r="48" spans="2:6" x14ac:dyDescent="0.2">
      <c r="E48" s="20" t="s">
        <v>295</v>
      </c>
      <c r="F48" s="175">
        <f ca="1">Statement!AC174</f>
        <v>-9.2458561076505814E-3</v>
      </c>
    </row>
    <row r="51" spans="2:6" x14ac:dyDescent="0.2">
      <c r="B51" s="247" t="s">
        <v>286</v>
      </c>
      <c r="C51" s="247"/>
      <c r="E51" s="247" t="s">
        <v>307</v>
      </c>
      <c r="F51" s="247"/>
    </row>
    <row r="52" spans="2:6" x14ac:dyDescent="0.2">
      <c r="B52" s="20" t="s">
        <v>284</v>
      </c>
      <c r="C52" s="175">
        <f>Statement!AC171</f>
        <v>5.7974959172563963E-2</v>
      </c>
      <c r="E52" s="20" t="s">
        <v>308</v>
      </c>
      <c r="F52" s="175">
        <f>Statement!AC175</f>
        <v>4.6658466584665846E-2</v>
      </c>
    </row>
    <row r="53" spans="2:6" x14ac:dyDescent="0.2">
      <c r="B53" s="20" t="s">
        <v>285</v>
      </c>
      <c r="C53" s="175">
        <f>Statement!AC172</f>
        <v>1.7466174661746617E-2</v>
      </c>
      <c r="E53" s="20" t="s">
        <v>305</v>
      </c>
      <c r="F53" s="175">
        <f>Statement!AC176</f>
        <v>0.15487207403375067</v>
      </c>
    </row>
    <row r="54" spans="2:6" x14ac:dyDescent="0.2">
      <c r="E54" s="20" t="s">
        <v>306</v>
      </c>
      <c r="F54" s="175">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69.09</v>
      </c>
      <c r="D6" s="172">
        <f>Statement!N114</f>
        <v>61.87</v>
      </c>
      <c r="E6" s="172">
        <f>Statement!O114</f>
        <v>103.27</v>
      </c>
      <c r="F6" s="172">
        <f>Statement!P114</f>
        <v>141.44</v>
      </c>
      <c r="G6" s="172">
        <f>Statement!Q114</f>
        <v>820.16</v>
      </c>
      <c r="I6" s="172">
        <f ca="1">Statement!AC114</f>
        <v>849.28</v>
      </c>
    </row>
    <row r="7" spans="2:9" x14ac:dyDescent="0.2">
      <c r="B7" s="20" t="s">
        <v>243</v>
      </c>
      <c r="C7" s="173">
        <f>Statement!M151</f>
        <v>14716.17</v>
      </c>
      <c r="D7" s="173">
        <f>Statement!N151</f>
        <v>12807.09</v>
      </c>
      <c r="E7" s="173">
        <f>Statement!O151</f>
        <v>21996.51</v>
      </c>
      <c r="F7" s="173">
        <f>Statement!P151</f>
        <v>30833.919999999998</v>
      </c>
      <c r="G7" s="173">
        <f>Statement!Q151</f>
        <v>194377.91999999998</v>
      </c>
      <c r="I7" s="173">
        <f ca="1">Statement!AC151</f>
        <v>201279.35999999999</v>
      </c>
    </row>
    <row r="8" spans="2:9" x14ac:dyDescent="0.2">
      <c r="B8" s="20" t="s">
        <v>187</v>
      </c>
      <c r="C8" s="173">
        <f>Statement!M152</f>
        <v>19747.169999999998</v>
      </c>
      <c r="D8" s="173">
        <f>Statement!N152</f>
        <v>17472.09</v>
      </c>
      <c r="E8" s="173">
        <f>Statement!O152</f>
        <v>26312.51</v>
      </c>
      <c r="F8" s="173">
        <f>Statement!P152</f>
        <v>34937.919999999998</v>
      </c>
      <c r="G8" s="173">
        <f>Statement!Q152</f>
        <v>196238.91999999998</v>
      </c>
      <c r="I8" s="173">
        <f ca="1">Statement!AC152</f>
        <v>203140.36</v>
      </c>
    </row>
    <row r="9" spans="2:9" x14ac:dyDescent="0.2">
      <c r="B9" s="20" t="s">
        <v>241</v>
      </c>
      <c r="C9" s="174">
        <f>Statement!M148</f>
        <v>9.3872282608695645</v>
      </c>
      <c r="D9" s="174">
        <f>Statement!N148</f>
        <v>-24.16796875</v>
      </c>
      <c r="E9" s="174">
        <f>Statement!O148</f>
        <v>65.360759493670884</v>
      </c>
      <c r="F9" s="174">
        <f>Statement!P148</f>
        <v>20.892171344165437</v>
      </c>
      <c r="G9" s="174">
        <f>Statement!Q148</f>
        <v>59.004316546762588</v>
      </c>
      <c r="I9" s="174">
        <f ca="1">Statement!AC148</f>
        <v>61.187319884726222</v>
      </c>
    </row>
    <row r="10" spans="2:9" x14ac:dyDescent="0.2">
      <c r="B10" s="20" t="s">
        <v>200</v>
      </c>
      <c r="C10" s="174">
        <f>Statement!M149</f>
        <v>1.3271726267043993</v>
      </c>
      <c r="D10" s="174">
        <f>Statement!N149</f>
        <v>1.7344379739978331</v>
      </c>
      <c r="E10" s="174">
        <f>Statement!O149</f>
        <v>3.3419691650129746</v>
      </c>
      <c r="F10" s="174">
        <f>Statement!P149</f>
        <v>3.3739122787732216</v>
      </c>
      <c r="G10" s="174">
        <f>Statement!Q149</f>
        <v>15.401118491184912</v>
      </c>
      <c r="I10" s="174">
        <f ca="1">Statement!AC149</f>
        <v>15.930528905289053</v>
      </c>
    </row>
    <row r="11" spans="2:9" x14ac:dyDescent="0.2">
      <c r="B11" s="20" t="s">
        <v>242</v>
      </c>
      <c r="C11" s="174">
        <f>Statement!M150</f>
        <v>132.47532110091745</v>
      </c>
      <c r="D11" s="174">
        <f>Statement!N150</f>
        <v>-10.681476230191826</v>
      </c>
      <c r="E11" s="174">
        <f>Statement!O150</f>
        <v>-14.545070422535211</v>
      </c>
      <c r="F11" s="174">
        <f>Statement!P150</f>
        <v>-66.504900662251657</v>
      </c>
      <c r="G11" s="174">
        <f>Statement!Q150</f>
        <v>85.914314720812186</v>
      </c>
      <c r="I11" s="174">
        <f ca="1">Statement!AC150</f>
        <v>88.964725426857399</v>
      </c>
    </row>
    <row r="12" spans="2:9" x14ac:dyDescent="0.2">
      <c r="B12" s="20" t="s">
        <v>264</v>
      </c>
      <c r="C12" s="174">
        <f>Statement!M153</f>
        <v>1.6934370980190376</v>
      </c>
      <c r="D12" s="174">
        <f>Statement!N153</f>
        <v>2.3662093716143011</v>
      </c>
      <c r="E12" s="174">
        <f>Statement!O153</f>
        <v>4.0165638833765831</v>
      </c>
      <c r="F12" s="174">
        <f>Statement!P153</f>
        <v>3.8405979993404418</v>
      </c>
      <c r="G12" s="174">
        <f>Statement!Q153</f>
        <v>16.091752357523575</v>
      </c>
      <c r="I12" s="174">
        <f ca="1">Statement!AC153</f>
        <v>16.657676096760966</v>
      </c>
    </row>
    <row r="13" spans="2:9" x14ac:dyDescent="0.2">
      <c r="B13" s="20" t="s">
        <v>203</v>
      </c>
      <c r="C13" s="174">
        <f>Statement!M154</f>
        <v>10.100854219948848</v>
      </c>
      <c r="D13" s="174">
        <f>Statement!N154</f>
        <v>-51.087982456140352</v>
      </c>
      <c r="E13" s="174">
        <f>Statement!O154</f>
        <v>58.213517699115037</v>
      </c>
      <c r="F13" s="174">
        <f>Statement!P154</f>
        <v>18.485671957671958</v>
      </c>
      <c r="G13" s="174">
        <f>Statement!Q154</f>
        <v>47.933297508549096</v>
      </c>
      <c r="I13" s="174">
        <f ca="1">Statement!AC154</f>
        <v>49.619042501221294</v>
      </c>
    </row>
    <row r="15" spans="2:9" ht="17" thickBot="1" x14ac:dyDescent="0.25">
      <c r="B15" s="14" t="s">
        <v>76</v>
      </c>
      <c r="C15" s="14"/>
      <c r="D15" s="14"/>
      <c r="E15" s="14"/>
      <c r="F15" s="14"/>
      <c r="G15" s="14"/>
      <c r="I15" s="14"/>
    </row>
    <row r="16" spans="2:9" x14ac:dyDescent="0.2">
      <c r="B16" s="20" t="s">
        <v>77</v>
      </c>
      <c r="C16" s="175">
        <f>Statement!M99</f>
        <v>0.29748735099905671</v>
      </c>
      <c r="D16" s="175">
        <f>Statement!N99</f>
        <v>0.1829631635969664</v>
      </c>
      <c r="E16" s="175">
        <f>Statement!O99</f>
        <v>0.23446802014959547</v>
      </c>
      <c r="F16" s="175">
        <f>Statement!P99</f>
        <v>0.3517643179070023</v>
      </c>
      <c r="G16" s="175">
        <f>Statement!Q99</f>
        <v>0.45576055760557604</v>
      </c>
      <c r="I16" s="175">
        <f>Statement!AC99</f>
        <v>0.45576055760557604</v>
      </c>
    </row>
    <row r="17" spans="2:9" x14ac:dyDescent="0.2">
      <c r="B17" s="20" t="s">
        <v>78</v>
      </c>
      <c r="C17" s="175">
        <f>Statement!M100</f>
        <v>0.16765285996055226</v>
      </c>
      <c r="D17" s="175">
        <f>Statement!N100</f>
        <v>-4.6316359696641385E-2</v>
      </c>
      <c r="E17" s="175">
        <f>Statement!O100</f>
        <v>6.8997099679438248E-2</v>
      </c>
      <c r="F17" s="175">
        <f>Statement!P100</f>
        <v>0.20776080026382324</v>
      </c>
      <c r="G17" s="175">
        <f>Statement!Q100</f>
        <v>0.33571135711357114</v>
      </c>
      <c r="I17" s="175">
        <f>Statement!AC100</f>
        <v>0.33571135711357114</v>
      </c>
    </row>
    <row r="18" spans="2:9" x14ac:dyDescent="0.2">
      <c r="B18" s="20" t="s">
        <v>79</v>
      </c>
      <c r="C18" s="175">
        <f>Statement!M101</f>
        <v>0.1414115427493354</v>
      </c>
      <c r="D18" s="175">
        <f>Statement!N101</f>
        <v>-7.164138678223185E-2</v>
      </c>
      <c r="E18" s="175">
        <f>Statement!O101</f>
        <v>5.1137230957105782E-2</v>
      </c>
      <c r="F18" s="175">
        <f>Statement!P101</f>
        <v>0.16148180718918326</v>
      </c>
      <c r="G18" s="175">
        <f>Statement!Q101</f>
        <v>0.26109061090610908</v>
      </c>
      <c r="I18" s="175">
        <f>Statement!AC101</f>
        <v>0.26109061090610908</v>
      </c>
    </row>
    <row r="20" spans="2:9" ht="17" thickBot="1" x14ac:dyDescent="0.25">
      <c r="B20" s="14" t="s">
        <v>250</v>
      </c>
      <c r="C20" s="14"/>
      <c r="D20" s="14"/>
      <c r="E20" s="14"/>
      <c r="F20" s="14"/>
      <c r="G20" s="14"/>
      <c r="I20" s="14"/>
    </row>
    <row r="21" spans="2:9" x14ac:dyDescent="0.2">
      <c r="B21" s="20" t="s">
        <v>30</v>
      </c>
      <c r="C21" s="177">
        <f>Statement!M17</f>
        <v>1649</v>
      </c>
      <c r="D21" s="177">
        <f>Statement!N17</f>
        <v>-529</v>
      </c>
      <c r="E21" s="177">
        <f>Statement!O17</f>
        <v>335</v>
      </c>
      <c r="F21" s="177">
        <f>Statement!P17</f>
        <v>1469</v>
      </c>
      <c r="G21" s="177">
        <f>Statement!Q17</f>
        <v>3184</v>
      </c>
      <c r="I21" s="177">
        <f>Statement!AC17</f>
        <v>3184</v>
      </c>
    </row>
    <row r="22" spans="2:9" x14ac:dyDescent="0.2">
      <c r="B22" s="20" t="s">
        <v>251</v>
      </c>
      <c r="C22" s="177">
        <f>Statement!M58</f>
        <v>1657</v>
      </c>
      <c r="D22" s="177">
        <f>Statement!N58</f>
        <v>942</v>
      </c>
      <c r="E22" s="177">
        <f>Statement!O58</f>
        <v>918</v>
      </c>
      <c r="F22" s="177">
        <f>Statement!P58</f>
        <v>1083</v>
      </c>
      <c r="G22" s="177">
        <f>Statement!Q58</f>
        <v>3674</v>
      </c>
      <c r="I22" s="177">
        <f>Statement!AC58</f>
        <v>3674</v>
      </c>
    </row>
    <row r="23" spans="2:9" x14ac:dyDescent="0.2">
      <c r="B23" s="20" t="s">
        <v>258</v>
      </c>
      <c r="C23" s="195">
        <f>IF(OR(C21&lt;=0, C22&lt;=0),"N/A",C21-C22)</f>
        <v>-8</v>
      </c>
      <c r="D23" s="195" t="str">
        <f t="shared" ref="D23:I23" si="0">IF(OR(D21&lt;=0, D22&lt;=0),"N/A",D21-D22)</f>
        <v>N/A</v>
      </c>
      <c r="E23" s="195">
        <f t="shared" si="0"/>
        <v>-583</v>
      </c>
      <c r="F23" s="195">
        <f t="shared" si="0"/>
        <v>386</v>
      </c>
      <c r="G23" s="195">
        <f t="shared" si="0"/>
        <v>-490</v>
      </c>
      <c r="I23" s="195">
        <f t="shared" si="0"/>
        <v>-490</v>
      </c>
    </row>
    <row r="25" spans="2:9" ht="17" thickBot="1" x14ac:dyDescent="0.25">
      <c r="B25" s="14" t="s">
        <v>249</v>
      </c>
      <c r="C25" s="14"/>
      <c r="D25" s="14"/>
      <c r="E25" s="14"/>
      <c r="F25" s="14"/>
      <c r="G25" s="14"/>
      <c r="I25" s="14"/>
    </row>
    <row r="26" spans="2:9" x14ac:dyDescent="0.2">
      <c r="B26" s="20" t="s">
        <v>99</v>
      </c>
      <c r="C26" s="175">
        <f>Statement!M119</f>
        <v>0.1414115427493354</v>
      </c>
      <c r="D26" s="175">
        <f>Statement!N119</f>
        <v>-7.164138678223185E-2</v>
      </c>
      <c r="E26" s="175">
        <f>Statement!O119</f>
        <v>5.1137230957105782E-2</v>
      </c>
      <c r="F26" s="175">
        <f>Statement!P119</f>
        <v>0.16148180718918326</v>
      </c>
      <c r="G26" s="175">
        <f>Statement!Q119</f>
        <v>0.26109061090610908</v>
      </c>
      <c r="I26" s="175">
        <f>Statement!AC119</f>
        <v>0.26109061090610908</v>
      </c>
    </row>
    <row r="27" spans="2:9" x14ac:dyDescent="0.2">
      <c r="B27" s="20" t="s">
        <v>100</v>
      </c>
      <c r="C27" s="214">
        <f>Statement!M120</f>
        <v>1.3037790697674418</v>
      </c>
      <c r="D27" s="214">
        <f>Statement!N120</f>
        <v>0.97723663313922715</v>
      </c>
      <c r="E27" s="214">
        <f>Statement!O120</f>
        <v>0.84649179480553038</v>
      </c>
      <c r="F27" s="214">
        <f>Statement!P120</f>
        <v>1.133865137729029</v>
      </c>
      <c r="G27" s="214">
        <f>Statement!Q120</f>
        <v>1.2229241877256318</v>
      </c>
      <c r="I27" s="214">
        <f>Statement!AC120</f>
        <v>1.2229241877256318</v>
      </c>
    </row>
    <row r="28" spans="2:9" x14ac:dyDescent="0.2">
      <c r="B28" s="32" t="s">
        <v>101</v>
      </c>
      <c r="C28" s="176">
        <f>Statement!M121</f>
        <v>0.18436940966010734</v>
      </c>
      <c r="D28" s="176">
        <f>Statement!N121</f>
        <v>-7.0010587612493388E-2</v>
      </c>
      <c r="E28" s="176">
        <f>Statement!O121</f>
        <v>4.3287246414265401E-2</v>
      </c>
      <c r="F28" s="176">
        <f>Statement!P121</f>
        <v>0.18309859154929578</v>
      </c>
      <c r="G28" s="176">
        <f>Statement!Q121</f>
        <v>0.31929402326514245</v>
      </c>
      <c r="I28" s="176">
        <f>Statement!AC121</f>
        <v>0.31929402326514245</v>
      </c>
    </row>
    <row r="29" spans="2:9" x14ac:dyDescent="0.2">
      <c r="B29" s="20" t="s">
        <v>102</v>
      </c>
      <c r="C29" s="214">
        <f>Statement!M122</f>
        <v>82.055045871559628</v>
      </c>
      <c r="D29" s="214">
        <f>Statement!N122</f>
        <v>-6.3019182652210173</v>
      </c>
      <c r="E29" s="214">
        <f>Statement!O122</f>
        <v>-5.1904761904761907</v>
      </c>
      <c r="F29" s="214">
        <f>Statement!P122</f>
        <v>-17.710816777041941</v>
      </c>
      <c r="G29" s="214">
        <f>Statement!Q122</f>
        <v>4.6017535763728654</v>
      </c>
      <c r="I29" s="214">
        <f>Statement!AC122</f>
        <v>4.6017535763728654</v>
      </c>
    </row>
    <row r="30" spans="2:9" x14ac:dyDescent="0.2">
      <c r="B30" s="32" t="s">
        <v>103</v>
      </c>
      <c r="C30" s="176">
        <f>Statement!M123</f>
        <v>15.128440366972477</v>
      </c>
      <c r="D30" s="176">
        <f>Statement!N123</f>
        <v>0.44120100083402836</v>
      </c>
      <c r="E30" s="176">
        <f>Statement!O123</f>
        <v>-0.22468142186452042</v>
      </c>
      <c r="F30" s="176">
        <f>Statement!P123</f>
        <v>-3.2428256070640176</v>
      </c>
      <c r="G30" s="176">
        <f>Statement!Q123</f>
        <v>1.4693124134748501</v>
      </c>
      <c r="I30" s="176">
        <f>Statement!AC123</f>
        <v>1.4693124134748501</v>
      </c>
    </row>
    <row r="32" spans="2:9" ht="17" thickBot="1" x14ac:dyDescent="0.25">
      <c r="B32" s="14" t="s">
        <v>309</v>
      </c>
      <c r="C32" s="14"/>
      <c r="D32" s="14"/>
      <c r="E32" s="14"/>
      <c r="F32" s="14"/>
      <c r="G32" s="14"/>
      <c r="I32" s="14"/>
    </row>
    <row r="33" spans="2:9" x14ac:dyDescent="0.2">
      <c r="B33" s="20" t="s">
        <v>101</v>
      </c>
      <c r="C33" s="175">
        <f>C28</f>
        <v>0.18436940966010734</v>
      </c>
      <c r="D33" s="175">
        <f t="shared" ref="D33:G33" si="1">D28</f>
        <v>-7.0010587612493388E-2</v>
      </c>
      <c r="E33" s="175">
        <f t="shared" si="1"/>
        <v>4.3287246414265401E-2</v>
      </c>
      <c r="F33" s="175">
        <f t="shared" si="1"/>
        <v>0.18309859154929578</v>
      </c>
      <c r="G33" s="175">
        <f t="shared" si="1"/>
        <v>0.31929402326514245</v>
      </c>
      <c r="I33" s="175">
        <f>I28</f>
        <v>0.31929402326514245</v>
      </c>
    </row>
    <row r="34" spans="2:9" x14ac:dyDescent="0.2">
      <c r="B34" s="20" t="s">
        <v>103</v>
      </c>
      <c r="C34" s="175">
        <f>C30</f>
        <v>15.128440366972477</v>
      </c>
      <c r="D34" s="175">
        <f t="shared" ref="D34:G34" si="2">D30</f>
        <v>0.44120100083402836</v>
      </c>
      <c r="E34" s="175">
        <f t="shared" si="2"/>
        <v>-0.22468142186452042</v>
      </c>
      <c r="F34" s="175">
        <f t="shared" si="2"/>
        <v>-3.2428256070640176</v>
      </c>
      <c r="G34" s="175">
        <f t="shared" si="2"/>
        <v>1.4693124134748501</v>
      </c>
      <c r="I34" s="175">
        <f>I30</f>
        <v>1.4693124134748501</v>
      </c>
    </row>
    <row r="35" spans="2:9" x14ac:dyDescent="0.2">
      <c r="B35" s="20" t="s">
        <v>104</v>
      </c>
      <c r="C35" s="175">
        <f>Statement!M138</f>
        <v>0.37355418154682585</v>
      </c>
      <c r="D35" s="175">
        <f>Statement!N138</f>
        <v>-9.867282169648009E-2</v>
      </c>
      <c r="E35" s="175">
        <f>Statement!O138</f>
        <v>0.12044943820224721</v>
      </c>
      <c r="F35" s="175">
        <f>Statement!P138</f>
        <v>0.5026119834618733</v>
      </c>
      <c r="G35" s="175">
        <f>Statement!Q138</f>
        <v>0.87701105809469215</v>
      </c>
      <c r="I35" s="175">
        <f>Statement!AC138</f>
        <v>0.87701105809469215</v>
      </c>
    </row>
    <row r="37" spans="2:9" ht="17" thickBot="1" x14ac:dyDescent="0.25">
      <c r="B37" s="14" t="s">
        <v>254</v>
      </c>
      <c r="C37" s="14"/>
      <c r="D37" s="14"/>
      <c r="E37" s="14"/>
      <c r="F37" s="14"/>
      <c r="G37" s="14"/>
      <c r="I37" s="14"/>
    </row>
    <row r="38" spans="2:9" x14ac:dyDescent="0.2">
      <c r="B38" s="20" t="s">
        <v>138</v>
      </c>
      <c r="C38" s="174">
        <f>Statement!M139</f>
        <v>47.953005745647879</v>
      </c>
      <c r="D38" s="174">
        <f>Statement!N139</f>
        <v>30.696776814734559</v>
      </c>
      <c r="E38" s="174">
        <f>Statement!O139</f>
        <v>23.902457640054951</v>
      </c>
      <c r="F38" s="174">
        <f>Statement!P139</f>
        <v>38.478069693305486</v>
      </c>
      <c r="G38" s="174">
        <f>Statement!Q139</f>
        <v>45.913079130791303</v>
      </c>
      <c r="I38" s="174">
        <f>Statement!AC139</f>
        <v>45.913079130791303</v>
      </c>
    </row>
    <row r="39" spans="2:9" x14ac:dyDescent="0.2">
      <c r="B39" s="20" t="s">
        <v>139</v>
      </c>
      <c r="C39" s="174">
        <f>Statement!M140</f>
        <v>69.7296142578125</v>
      </c>
      <c r="D39" s="174">
        <f>Statement!N140</f>
        <v>68.97066136250622</v>
      </c>
      <c r="E39" s="174">
        <f>Statement!O140</f>
        <v>90.176470588235304</v>
      </c>
      <c r="F39" s="174">
        <f>Statement!P140</f>
        <v>89.130066135323048</v>
      </c>
      <c r="G39" s="174">
        <f>Statement!Q140</f>
        <v>86.396715383456382</v>
      </c>
      <c r="I39" s="174">
        <f>Statement!AC140</f>
        <v>86.396715383456382</v>
      </c>
    </row>
    <row r="40" spans="2:9" x14ac:dyDescent="0.2">
      <c r="B40" s="20" t="s">
        <v>140</v>
      </c>
      <c r="C40" s="174">
        <f>Statement!M141</f>
        <v>91.695556640625</v>
      </c>
      <c r="D40" s="174">
        <f>Statement!N141</f>
        <v>96.982429968506537</v>
      </c>
      <c r="E40" s="174">
        <f>Statement!O141</f>
        <v>129.98803589232301</v>
      </c>
      <c r="F40" s="174">
        <f>Statement!P141</f>
        <v>99.280990334068164</v>
      </c>
      <c r="G40" s="174">
        <f>Statement!Q141</f>
        <v>96.130781979810152</v>
      </c>
      <c r="I40" s="174">
        <f>Statement!AC141</f>
        <v>96.130781979810152</v>
      </c>
    </row>
    <row r="41" spans="2:9" x14ac:dyDescent="0.2">
      <c r="B41" s="20" t="s">
        <v>141</v>
      </c>
      <c r="C41" s="174">
        <f>Statement!M142</f>
        <v>25.987063362835386</v>
      </c>
      <c r="D41" s="174">
        <f>Statement!N142</f>
        <v>2.6850082087342457</v>
      </c>
      <c r="E41" s="174">
        <f>Statement!O142</f>
        <v>-15.90910766403276</v>
      </c>
      <c r="F41" s="174">
        <f>Statement!P142</f>
        <v>28.327145494560369</v>
      </c>
      <c r="G41" s="174">
        <f>Statement!Q142</f>
        <v>36.179012534437547</v>
      </c>
      <c r="I41" s="174">
        <f>Statement!AC142</f>
        <v>36.179012534437547</v>
      </c>
    </row>
    <row r="43" spans="2:9" ht="17" thickBot="1" x14ac:dyDescent="0.25">
      <c r="B43" s="14" t="s">
        <v>260</v>
      </c>
      <c r="C43" s="14"/>
      <c r="D43" s="14"/>
      <c r="E43" s="14"/>
      <c r="F43" s="14"/>
      <c r="G43" s="14"/>
      <c r="I43" s="14"/>
    </row>
    <row r="44" spans="2:9" x14ac:dyDescent="0.2">
      <c r="B44" s="20" t="s">
        <v>261</v>
      </c>
      <c r="C44" s="180">
        <f>Statement!M143</f>
        <v>51.798165137614681</v>
      </c>
      <c r="D44" s="180">
        <f>Statement!N143</f>
        <v>-4.54628857381151</v>
      </c>
      <c r="E44" s="180">
        <f>Statement!O143</f>
        <v>-3.8054996646545942</v>
      </c>
      <c r="F44" s="180">
        <f>Statement!P143</f>
        <v>-11.026490066225165</v>
      </c>
      <c r="G44" s="180">
        <f>Statement!Q143</f>
        <v>1.6451315182279649</v>
      </c>
      <c r="I44" s="180">
        <f>Statement!AC143</f>
        <v>1.6451315182279649</v>
      </c>
    </row>
    <row r="45" spans="2:9" x14ac:dyDescent="0.2">
      <c r="B45" s="20" t="s">
        <v>262</v>
      </c>
      <c r="C45" s="180">
        <f>Statement!M144</f>
        <v>46.155963302752291</v>
      </c>
      <c r="D45" s="180">
        <f>Statement!N144</f>
        <v>-3.8907422852376983</v>
      </c>
      <c r="E45" s="180">
        <f>Statement!O144</f>
        <v>-2.8947015425888667</v>
      </c>
      <c r="F45" s="180">
        <f>Statement!P144</f>
        <v>-9.0596026490066226</v>
      </c>
      <c r="G45" s="180">
        <f>Statement!Q144</f>
        <v>0.8587909552376557</v>
      </c>
      <c r="I45" s="180">
        <f>Statement!AC144</f>
        <v>0.8587909552376557</v>
      </c>
    </row>
    <row r="46" spans="2:9" x14ac:dyDescent="0.2">
      <c r="B46" s="20" t="s">
        <v>256</v>
      </c>
      <c r="C46" s="180">
        <f>Statement!M145</f>
        <v>0.60393811533052044</v>
      </c>
      <c r="D46" s="180">
        <f>Statement!N145</f>
        <v>0.54282407407407407</v>
      </c>
      <c r="E46" s="180">
        <f>Statement!O145</f>
        <v>0.57663762504033556</v>
      </c>
      <c r="F46" s="180">
        <f>Statement!P145</f>
        <v>0.69864048338368578</v>
      </c>
      <c r="G46" s="180">
        <f>Statement!Q145</f>
        <v>1.0354972817396866</v>
      </c>
      <c r="I46" s="180">
        <f>Statement!AC145</f>
        <v>1.0354972817396866</v>
      </c>
    </row>
    <row r="47" spans="2:9" x14ac:dyDescent="0.2">
      <c r="B47" s="20" t="s">
        <v>257</v>
      </c>
      <c r="C47" s="180">
        <f>Statement!M146</f>
        <v>1.1344585091420534</v>
      </c>
      <c r="D47" s="180">
        <f>Statement!N146</f>
        <v>1.1207561728395061</v>
      </c>
      <c r="E47" s="180">
        <f>Statement!O146</f>
        <v>1.0751855437237818</v>
      </c>
      <c r="F47" s="180">
        <f>Statement!P146</f>
        <v>1.3795317220543806</v>
      </c>
      <c r="G47" s="180">
        <f>Statement!Q146</f>
        <v>1.669651423089223</v>
      </c>
      <c r="I47" s="180">
        <f>Statement!AC146</f>
        <v>1.669651423089223</v>
      </c>
    </row>
    <row r="48" spans="2:9" x14ac:dyDescent="0.2">
      <c r="B48" s="20" t="s">
        <v>263</v>
      </c>
      <c r="C48" s="182">
        <f>Statement!M147</f>
        <v>7.9149797570850202</v>
      </c>
      <c r="D48" s="182" t="str">
        <f>Statement!N147</f>
        <v>N/A</v>
      </c>
      <c r="E48" s="182">
        <f>Statement!O147</f>
        <v>1.4258675078864353</v>
      </c>
      <c r="F48" s="182">
        <f>Statement!P147</f>
        <v>6.3851351351351351</v>
      </c>
      <c r="G48" s="182">
        <f>Statement!Q147</f>
        <v>16.118110236220474</v>
      </c>
      <c r="I48" s="182">
        <f>Statement!AC147</f>
        <v>16.118110236220474</v>
      </c>
    </row>
    <row r="50" spans="2:9" ht="17" thickBot="1" x14ac:dyDescent="0.25">
      <c r="B50" s="14" t="s">
        <v>272</v>
      </c>
      <c r="C50" s="14"/>
      <c r="D50" s="14"/>
      <c r="E50" s="14"/>
      <c r="F50" s="14"/>
      <c r="G50" s="14"/>
      <c r="I50" s="14"/>
    </row>
    <row r="51" spans="2:9" x14ac:dyDescent="0.2">
      <c r="B51" s="20" t="s">
        <v>270</v>
      </c>
      <c r="C51" s="175">
        <f>Statement!M160</f>
        <v>0.10652771746996671</v>
      </c>
      <c r="D51" s="175">
        <f>Statement!N160</f>
        <v>-4.1377080976240509E-2</v>
      </c>
      <c r="E51" s="175">
        <f>Statement!O160</f>
        <v>1.529969981601627E-2</v>
      </c>
      <c r="F51" s="175">
        <f>Statement!P160</f>
        <v>4.7864819004524883E-2</v>
      </c>
      <c r="G51" s="175">
        <f>Statement!Q160</f>
        <v>1.6947912602419041E-2</v>
      </c>
      <c r="I51" s="175">
        <f ca="1">Statement!AC160</f>
        <v>1.6343255463451396E-2</v>
      </c>
    </row>
    <row r="52" spans="2:9" x14ac:dyDescent="0.2">
      <c r="B52" s="20" t="s">
        <v>273</v>
      </c>
      <c r="C52" s="175">
        <f>Statement!M159</f>
        <v>7.685423585076824E-2</v>
      </c>
      <c r="D52" s="175">
        <f>Statement!N159</f>
        <v>3.9899774265660659E-2</v>
      </c>
      <c r="E52" s="175">
        <f>Statement!O159</f>
        <v>2.4412963692876734E-2</v>
      </c>
      <c r="F52" s="175">
        <f>Statement!P159</f>
        <v>2.0042861887168417E-2</v>
      </c>
      <c r="G52" s="175">
        <f>Statement!Q159</f>
        <v>1.4878233083263779E-2</v>
      </c>
      <c r="I52" s="175">
        <f ca="1">Statement!AC159</f>
        <v>1.4368090200604772E-2</v>
      </c>
    </row>
    <row r="53" spans="2:9" x14ac:dyDescent="0.2">
      <c r="B53" s="20" t="s">
        <v>271</v>
      </c>
      <c r="C53" s="175">
        <f>Statement!M161</f>
        <v>4.0092632797799968E-2</v>
      </c>
      <c r="D53" s="175">
        <f>Statement!N161</f>
        <v>4.5256182317763051E-2</v>
      </c>
      <c r="E53" s="175">
        <f>Statement!O161</f>
        <v>2.7113392079016172E-2</v>
      </c>
      <c r="F53" s="175">
        <f>Statement!P161</f>
        <v>2.0220588235294119E-2</v>
      </c>
      <c r="G53" s="175">
        <f>Statement!Q161</f>
        <v>3.5602809207959424E-3</v>
      </c>
      <c r="I53" s="175">
        <f ca="1">Statement!AC161</f>
        <v>3.4382064807837228E-3</v>
      </c>
    </row>
    <row r="54" spans="2:9" x14ac:dyDescent="0.2">
      <c r="B54" s="20" t="s">
        <v>296</v>
      </c>
      <c r="C54" s="175">
        <f>Statement!M162</f>
        <v>0.12224648125157565</v>
      </c>
      <c r="D54" s="175">
        <f>Statement!N162</f>
        <v>3.1857354012504009E-2</v>
      </c>
      <c r="E54" s="175">
        <f>Statement!O162</f>
        <v>0</v>
      </c>
      <c r="F54" s="175">
        <f>Statement!P162</f>
        <v>0</v>
      </c>
      <c r="G54" s="175">
        <f>Statement!Q162</f>
        <v>9.0545263577262276E-4</v>
      </c>
      <c r="I54" s="175">
        <f ca="1">Statement!AC162</f>
        <v>8.7440659588742739E-4</v>
      </c>
    </row>
    <row r="55" spans="2:9" x14ac:dyDescent="0.2">
      <c r="B55" s="20" t="s">
        <v>298</v>
      </c>
      <c r="C55" s="175">
        <f>Statement!M163</f>
        <v>0.16369748378824109</v>
      </c>
      <c r="D55" s="175">
        <f>Statement!N163</f>
        <v>7.7300932530340621E-2</v>
      </c>
      <c r="E55" s="175">
        <f>Statement!O163</f>
        <v>2.6595128045312645E-2</v>
      </c>
      <c r="F55" s="175">
        <f>Statement!P163</f>
        <v>1.9459089210843123E-2</v>
      </c>
      <c r="G55" s="175">
        <f>Statement!Q163</f>
        <v>4.1671399714535481E-3</v>
      </c>
      <c r="I55" s="175">
        <f ca="1">Statement!AC163</f>
        <v>4.0242576288000917E-3</v>
      </c>
    </row>
    <row r="57" spans="2:9" ht="17" thickBot="1" x14ac:dyDescent="0.25">
      <c r="B57" s="14" t="s">
        <v>275</v>
      </c>
      <c r="C57" s="14"/>
      <c r="D57" s="14"/>
      <c r="E57" s="14"/>
      <c r="F57" s="14"/>
      <c r="G57" s="14"/>
      <c r="I57" s="14"/>
    </row>
    <row r="58" spans="2:9" x14ac:dyDescent="0.2">
      <c r="B58" s="20" t="s">
        <v>274</v>
      </c>
      <c r="C58" s="175">
        <f>Statement!M166</f>
        <v>0.53934571175950485</v>
      </c>
      <c r="D58" s="175">
        <f>Statement!N166</f>
        <v>1.1389432485322897</v>
      </c>
      <c r="E58" s="175">
        <f>Statement!O166</f>
        <v>1.0893854748603351</v>
      </c>
      <c r="F58" s="175">
        <f>Statement!P166</f>
        <v>0.970873786407767</v>
      </c>
      <c r="G58" s="175">
        <f>Statement!Q166</f>
        <v>0.21922544951590595</v>
      </c>
      <c r="I58" s="175">
        <f>Statement!AC166</f>
        <v>0.21922544951590595</v>
      </c>
    </row>
    <row r="59" spans="2:9" x14ac:dyDescent="0.2">
      <c r="B59" s="20" t="s">
        <v>276</v>
      </c>
      <c r="C59" s="175">
        <f>Statement!M167</f>
        <v>1.5906277630415562</v>
      </c>
      <c r="D59" s="175">
        <f>Statement!N167</f>
        <v>0.79843444227005866</v>
      </c>
      <c r="E59" s="175">
        <f>Statement!O167</f>
        <v>0</v>
      </c>
      <c r="F59" s="175">
        <f>Statement!P167</f>
        <v>0</v>
      </c>
      <c r="G59" s="175">
        <f>Statement!Q167</f>
        <v>6.0857538035961271E-2</v>
      </c>
      <c r="I59" s="175">
        <f>Statement!AC167</f>
        <v>6.0857538035961271E-2</v>
      </c>
    </row>
    <row r="60" spans="2:9" x14ac:dyDescent="0.2">
      <c r="B60" s="20" t="s">
        <v>277</v>
      </c>
      <c r="C60" s="175">
        <f>Statement!M168</f>
        <v>2.1299734748010608</v>
      </c>
      <c r="D60" s="175">
        <f>Statement!N168</f>
        <v>1.9373776908023483</v>
      </c>
      <c r="E60" s="175">
        <f>Statement!O168</f>
        <v>1.0893854748603351</v>
      </c>
      <c r="F60" s="175">
        <f>Statement!P168</f>
        <v>0.970873786407767</v>
      </c>
      <c r="G60" s="175">
        <f>Statement!Q168</f>
        <v>0.28008298755186722</v>
      </c>
      <c r="I60" s="175">
        <f>Statement!AC168</f>
        <v>0.28008298755186722</v>
      </c>
    </row>
    <row r="62" spans="2:9" ht="17" thickBot="1" x14ac:dyDescent="0.25">
      <c r="B62" s="14" t="s">
        <v>283</v>
      </c>
      <c r="C62" s="14"/>
      <c r="D62" s="14"/>
      <c r="E62" s="14"/>
      <c r="F62" s="14"/>
      <c r="G62" s="14"/>
      <c r="I62" s="14"/>
    </row>
    <row r="63" spans="2:9" x14ac:dyDescent="0.2">
      <c r="B63" s="20" t="s">
        <v>281</v>
      </c>
      <c r="C63" s="175">
        <f>Statement!M169</f>
        <v>9.3896713615023476E-3</v>
      </c>
      <c r="D63" s="175">
        <f>Statement!N169</f>
        <v>9.6618357487922701E-3</v>
      </c>
      <c r="E63" s="175">
        <f>Statement!O169</f>
        <v>9.3896713615023476E-3</v>
      </c>
      <c r="F63" s="175">
        <f>Statement!P169</f>
        <v>9.1743119266055051E-3</v>
      </c>
      <c r="G63" s="175">
        <f>Statement!Q169</f>
        <v>8.4388185654008432E-3</v>
      </c>
      <c r="I63" s="175">
        <f>Statement!AC169</f>
        <v>8.4388185654008432E-3</v>
      </c>
    </row>
    <row r="65" spans="2:9" ht="17" thickBot="1" x14ac:dyDescent="0.25">
      <c r="B65" s="14" t="s">
        <v>289</v>
      </c>
      <c r="C65" s="14"/>
      <c r="D65" s="14"/>
      <c r="E65" s="14"/>
      <c r="F65" s="14"/>
      <c r="G65" s="14"/>
      <c r="I65" s="14"/>
    </row>
    <row r="66" spans="2:9" x14ac:dyDescent="0.2">
      <c r="B66" s="20" t="s">
        <v>282</v>
      </c>
      <c r="C66" s="174">
        <f>Statement!M170</f>
        <v>2.9425837320574164</v>
      </c>
      <c r="D66" s="174">
        <f>Statement!N170</f>
        <v>3.7971014492753623</v>
      </c>
      <c r="E66" s="174">
        <f>Statement!O170</f>
        <v>6.4666666666666668</v>
      </c>
      <c r="F66" s="174">
        <f>Statement!P170</f>
        <v>4.183098591549296</v>
      </c>
      <c r="G66" s="174">
        <f>Statement!Q170</f>
        <v>7.5066079295154182</v>
      </c>
      <c r="I66" s="174">
        <f>Statement!AC170</f>
        <v>7.5066079295154182</v>
      </c>
    </row>
    <row r="67" spans="2:9" x14ac:dyDescent="0.2">
      <c r="B67" s="20" t="s">
        <v>290</v>
      </c>
      <c r="C67" s="174">
        <f>Statement!M173</f>
        <v>-24.071770334928228</v>
      </c>
      <c r="D67" s="174">
        <f>Statement!N173</f>
        <v>-22.536231884057973</v>
      </c>
      <c r="E67" s="174">
        <f>Statement!O173</f>
        <v>-20.552380952380954</v>
      </c>
      <c r="F67" s="174">
        <f>Statement!P173</f>
        <v>-19.267605633802816</v>
      </c>
      <c r="G67" s="174">
        <f>Statement!Q173</f>
        <v>-8.1982378854625555</v>
      </c>
      <c r="I67" s="174">
        <f>Statement!AC173</f>
        <v>-8.1982378854625555</v>
      </c>
    </row>
    <row r="68" spans="2:9" x14ac:dyDescent="0.2">
      <c r="B68" s="20" t="s">
        <v>295</v>
      </c>
      <c r="C68" s="196">
        <f>Statement!M174</f>
        <v>-0.34186884223272768</v>
      </c>
      <c r="D68" s="196">
        <f>Statement!N174</f>
        <v>-0.36425136389296864</v>
      </c>
      <c r="E68" s="196">
        <f>Statement!O174</f>
        <v>-0.19621294468986217</v>
      </c>
      <c r="F68" s="196">
        <f>Statement!P174</f>
        <v>-0.13310017020216697</v>
      </c>
      <c r="G68" s="196">
        <f>Statement!Q174</f>
        <v>-9.5741326998457447E-3</v>
      </c>
      <c r="I68" s="196">
        <f ca="1">Statement!AC174</f>
        <v>-9.2458561076505814E-3</v>
      </c>
    </row>
    <row r="70" spans="2:9" ht="17" thickBot="1" x14ac:dyDescent="0.25">
      <c r="B70" s="14" t="s">
        <v>310</v>
      </c>
      <c r="C70" s="14"/>
      <c r="D70" s="14"/>
      <c r="E70" s="14"/>
      <c r="F70" s="14"/>
      <c r="G70" s="14"/>
      <c r="I70" s="14"/>
    </row>
    <row r="71" spans="2:9" x14ac:dyDescent="0.2">
      <c r="B71" s="20" t="s">
        <v>284</v>
      </c>
      <c r="C71" s="175">
        <f>Statement!M171</f>
        <v>8.7507543753771871E-2</v>
      </c>
      <c r="D71" s="175">
        <f>Statement!N171</f>
        <v>0.12208067940552017</v>
      </c>
      <c r="E71" s="175">
        <f>Statement!O171</f>
        <v>0.1383442265795207</v>
      </c>
      <c r="F71" s="175">
        <f>Statement!P171</f>
        <v>0.18467220683287167</v>
      </c>
      <c r="G71" s="175">
        <f>Statement!Q171</f>
        <v>5.7974959172563963E-2</v>
      </c>
      <c r="I71" s="175">
        <f>Statement!AC171</f>
        <v>5.7974959172563963E-2</v>
      </c>
    </row>
    <row r="72" spans="2:9" x14ac:dyDescent="0.2">
      <c r="B72" s="20" t="s">
        <v>285</v>
      </c>
      <c r="C72" s="175">
        <f>Statement!M172</f>
        <v>1.2434611096818454E-2</v>
      </c>
      <c r="D72" s="175">
        <f>Statement!N172</f>
        <v>1.5574214517876489E-2</v>
      </c>
      <c r="E72" s="175">
        <f>Statement!O172</f>
        <v>1.938635322851473E-2</v>
      </c>
      <c r="F72" s="175">
        <f>Statement!P172</f>
        <v>2.1985269869187644E-2</v>
      </c>
      <c r="G72" s="175">
        <f>Statement!Q172</f>
        <v>1.7466174661746617E-2</v>
      </c>
      <c r="I72" s="175">
        <f>Statement!AC172</f>
        <v>1.7466174661746617E-2</v>
      </c>
    </row>
    <row r="74" spans="2:9" ht="17" thickBot="1" x14ac:dyDescent="0.25">
      <c r="B74" s="14" t="s">
        <v>311</v>
      </c>
      <c r="C74" s="14"/>
      <c r="D74" s="14"/>
      <c r="E74" s="14"/>
      <c r="F74" s="14"/>
      <c r="G74" s="14"/>
      <c r="I74" s="14"/>
    </row>
    <row r="75" spans="2:9" x14ac:dyDescent="0.2">
      <c r="B75" s="20" t="s">
        <v>308</v>
      </c>
      <c r="C75" s="175">
        <f>Statement!M175</f>
        <v>3.2673012606122973E-2</v>
      </c>
      <c r="D75" s="175">
        <f>Statement!N175</f>
        <v>4.2795232936078009E-2</v>
      </c>
      <c r="E75" s="175">
        <f>Statement!O175</f>
        <v>3.877270645702946E-2</v>
      </c>
      <c r="F75" s="175">
        <f>Statement!P175</f>
        <v>2.9130482576673628E-2</v>
      </c>
      <c r="G75" s="175">
        <f>Statement!Q175</f>
        <v>4.6658466584665846E-2</v>
      </c>
      <c r="I75" s="175">
        <f>Statement!AC175</f>
        <v>4.6658466584665846E-2</v>
      </c>
    </row>
    <row r="76" spans="2:9" x14ac:dyDescent="0.2">
      <c r="B76" s="20" t="s">
        <v>305</v>
      </c>
      <c r="C76" s="175">
        <f>Statement!M176</f>
        <v>0.22993361496680748</v>
      </c>
      <c r="D76" s="175">
        <f>Statement!N176</f>
        <v>0.3354564755838641</v>
      </c>
      <c r="E76" s="175">
        <f>Statement!O176</f>
        <v>0.27668845315904139</v>
      </c>
      <c r="F76" s="175">
        <f>Statement!P176</f>
        <v>0.24469067405355494</v>
      </c>
      <c r="G76" s="175">
        <f>Statement!Q176</f>
        <v>0.15487207403375067</v>
      </c>
      <c r="I76" s="175">
        <f>Statement!AC176</f>
        <v>0.15487207403375067</v>
      </c>
    </row>
    <row r="77" spans="2:9" x14ac:dyDescent="0.2">
      <c r="B77" s="20" t="s">
        <v>306</v>
      </c>
      <c r="C77" s="175">
        <f>Statement!M177</f>
        <v>0.84478935698447899</v>
      </c>
      <c r="D77" s="175">
        <f>Statement!N177</f>
        <v>0.61598440545808963</v>
      </c>
      <c r="E77" s="175">
        <f>Statement!O177</f>
        <v>0.96212121212121215</v>
      </c>
      <c r="F77" s="175">
        <f>Statement!P177</f>
        <v>1.0557768924302788</v>
      </c>
      <c r="G77" s="175">
        <f>Statement!Q177</f>
        <v>2.0615942028985508</v>
      </c>
      <c r="I77" s="175">
        <f>Statement!AC177</f>
        <v>2.0615942028985508</v>
      </c>
    </row>
    <row r="79" spans="2:9" ht="17" thickBot="1" x14ac:dyDescent="0.25">
      <c r="B79" s="14" t="s">
        <v>121</v>
      </c>
      <c r="C79" s="14"/>
      <c r="D79" s="14"/>
      <c r="E79" s="14"/>
      <c r="F79" s="14"/>
      <c r="G79" s="14"/>
      <c r="I79" s="14"/>
    </row>
    <row r="80" spans="2:9" x14ac:dyDescent="0.2">
      <c r="B80" s="20" t="s">
        <v>19</v>
      </c>
      <c r="C80" s="175">
        <f>Statement!M88</f>
        <v>9.1751708641512969E-2</v>
      </c>
      <c r="D80" s="175">
        <f>Statement!N88</f>
        <v>-0.36677814938684505</v>
      </c>
      <c r="E80" s="175">
        <f>Statement!O88</f>
        <v>-0.11281148429035753</v>
      </c>
      <c r="F80" s="175">
        <f>Statement!P88</f>
        <v>0.38864295527400394</v>
      </c>
      <c r="G80" s="175">
        <f>Statement!Q88</f>
        <v>0.3405518302737166</v>
      </c>
      <c r="I80" s="197"/>
    </row>
    <row r="81" spans="2:9" x14ac:dyDescent="0.2">
      <c r="B81" s="20" t="s">
        <v>20</v>
      </c>
      <c r="C81" s="175">
        <f>Statement!M89</f>
        <v>5.5126223596084489E-2</v>
      </c>
      <c r="D81" s="175">
        <f>Statement!N89</f>
        <v>-0.2635498046875</v>
      </c>
      <c r="E81" s="175">
        <f>Statement!O89</f>
        <v>-0.16873860434278137</v>
      </c>
      <c r="F81" s="175">
        <f>Statement!P89</f>
        <v>0.17587238285144566</v>
      </c>
      <c r="G81" s="175">
        <f>Statement!Q89</f>
        <v>0.12548753603527218</v>
      </c>
      <c r="I81" s="197"/>
    </row>
    <row r="82" spans="2:9" x14ac:dyDescent="0.2">
      <c r="B82" s="20" t="s">
        <v>21</v>
      </c>
      <c r="C82" s="175">
        <f>Statement!M90</f>
        <v>0.1892355159410353</v>
      </c>
      <c r="D82" s="175">
        <f>Statement!N90</f>
        <v>-0.61055059094840014</v>
      </c>
      <c r="E82" s="175">
        <f>Statement!O90</f>
        <v>0.13693560325684678</v>
      </c>
      <c r="F82" s="175">
        <f>Statement!P90</f>
        <v>1.0833333333333333</v>
      </c>
      <c r="G82" s="175">
        <f>Statement!Q90</f>
        <v>0.73687499999999995</v>
      </c>
      <c r="I82" s="197"/>
    </row>
    <row r="83" spans="2:9" x14ac:dyDescent="0.2">
      <c r="B83" s="20" t="s">
        <v>24</v>
      </c>
      <c r="C83" s="175">
        <f>Statement!M93</f>
        <v>6.2456140350877196E-2</v>
      </c>
      <c r="D83" s="175">
        <f>Statement!N93</f>
        <v>0.11822985468956407</v>
      </c>
      <c r="E83" s="175">
        <f>Statement!O93</f>
        <v>-0.35971647962197284</v>
      </c>
      <c r="F83" s="175">
        <f>Statement!P93</f>
        <v>0.20848708487084872</v>
      </c>
      <c r="G83" s="175">
        <f>Statement!Q93</f>
        <v>0.11755725190839694</v>
      </c>
      <c r="I83" s="197"/>
    </row>
    <row r="84" spans="2:9" x14ac:dyDescent="0.2">
      <c r="B84" s="20" t="s">
        <v>312</v>
      </c>
      <c r="C84" s="175">
        <f>Statement!M94</f>
        <v>0.31032171581769435</v>
      </c>
      <c r="D84" s="175">
        <f>Statement!N94</f>
        <v>-1.1749360613810742</v>
      </c>
      <c r="E84" s="175">
        <f>Statement!O94</f>
        <v>2.3216374269005846</v>
      </c>
      <c r="F84" s="175">
        <f>Statement!P94</f>
        <v>3.1814159292035398</v>
      </c>
      <c r="G84" s="175">
        <f>Statement!Q94</f>
        <v>1.1661375661375661</v>
      </c>
      <c r="I84" s="197"/>
    </row>
    <row r="85" spans="2:9" x14ac:dyDescent="0.2">
      <c r="B85" s="20" t="s">
        <v>313</v>
      </c>
      <c r="C85" s="175">
        <f>Statement!M96</f>
        <v>0.25494672754946729</v>
      </c>
      <c r="D85" s="175">
        <f>Statement!N96</f>
        <v>-1.3208004851425106</v>
      </c>
      <c r="E85" s="175">
        <f>Statement!O96</f>
        <v>1.6332703213610587</v>
      </c>
      <c r="F85" s="175">
        <f>Statement!P96</f>
        <v>3.3850746268656717</v>
      </c>
      <c r="G85" s="175">
        <f>Statement!Q96</f>
        <v>1.1674608577263446</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1</v>
      </c>
      <c r="G89" s="175">
        <f>Statement!Q190</f>
        <v>0.4377575044143614</v>
      </c>
      <c r="I89" s="197"/>
    </row>
    <row r="90" spans="2:9" x14ac:dyDescent="0.2">
      <c r="B90" s="20" t="str">
        <f>Statement!B191</f>
        <v>Edge &amp; IoT</v>
      </c>
      <c r="C90" s="175">
        <f>Statement!M191</f>
        <v>0</v>
      </c>
      <c r="D90" s="175">
        <f>Statement!N191</f>
        <v>0</v>
      </c>
      <c r="E90" s="175">
        <f>Statement!O191</f>
        <v>0</v>
      </c>
      <c r="F90" s="175">
        <f>Statement!P191</f>
        <v>1</v>
      </c>
      <c r="G90" s="175">
        <f>Statement!Q191</f>
        <v>5.434782608695652E-2</v>
      </c>
      <c r="I90" s="197"/>
    </row>
    <row r="92" spans="2:9" ht="17" thickBot="1" x14ac:dyDescent="0.25">
      <c r="B92" s="14" t="s">
        <v>316</v>
      </c>
      <c r="C92" s="14"/>
      <c r="D92" s="14"/>
      <c r="E92" s="14"/>
      <c r="F92" s="14"/>
      <c r="G92" s="14"/>
      <c r="I92" s="14"/>
    </row>
    <row r="93" spans="2:9" x14ac:dyDescent="0.2">
      <c r="B93" s="20" t="s">
        <v>288</v>
      </c>
      <c r="C93" s="175">
        <f>Statement!M195</f>
        <v>-6.0092449922958396E-2</v>
      </c>
      <c r="D93" s="175">
        <f>Statement!N195</f>
        <v>-4.5901639344262293E-2</v>
      </c>
      <c r="E93" s="175">
        <f>Statement!O195</f>
        <v>5.1546391752577319E-3</v>
      </c>
      <c r="F93" s="175">
        <f>Statement!P195</f>
        <v>2.564102564102564E-2</v>
      </c>
      <c r="G93" s="175">
        <f>Statement!Q195</f>
        <v>5.6666666666666664E-2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317</v>
      </c>
      <c r="D3" s="251"/>
      <c r="F3" s="252" t="s">
        <v>318</v>
      </c>
      <c r="G3" s="251"/>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3112</v>
      </c>
      <c r="D6" s="198">
        <f>Statement!AA5</f>
        <v>3629</v>
      </c>
      <c r="F6" s="199">
        <f>Statement!W5</f>
        <v>2444</v>
      </c>
      <c r="G6" s="198">
        <f>Statement!AA5</f>
        <v>3629</v>
      </c>
    </row>
    <row r="7" spans="2:7" x14ac:dyDescent="0.2">
      <c r="B7" s="206" t="s">
        <v>319</v>
      </c>
      <c r="C7" s="248">
        <f>Statement!AA88</f>
        <v>0.16613110539845757</v>
      </c>
      <c r="D7" s="249"/>
      <c r="F7" s="248">
        <f>IF(F6=0,
IF(G6=0,0,IF(G6&gt;0,1,-1)),
(G6-F6)/ABS(F6)
)</f>
        <v>0.484860883797054</v>
      </c>
      <c r="G7" s="249"/>
    </row>
    <row r="8" spans="2:7" x14ac:dyDescent="0.2">
      <c r="B8" s="207" t="s">
        <v>20</v>
      </c>
      <c r="C8" s="200">
        <f>Statement!Z6</f>
        <v>1665</v>
      </c>
      <c r="D8" s="198">
        <f>Statement!AA6</f>
        <v>1731</v>
      </c>
      <c r="F8" s="200">
        <f>Statement!W6</f>
        <v>1530</v>
      </c>
      <c r="G8" s="198">
        <f>Statement!AA6</f>
        <v>1731</v>
      </c>
    </row>
    <row r="9" spans="2:7" x14ac:dyDescent="0.2">
      <c r="B9" s="206" t="s">
        <v>319</v>
      </c>
      <c r="C9" s="248">
        <f>Statement!AA89</f>
        <v>3.9639639639639637E-2</v>
      </c>
      <c r="D9" s="249"/>
      <c r="F9" s="248">
        <f>IF(F8=0,
IF(G8=0,0,IF(G8&gt;0,1,-1)),
(G8-F8)/ABS(F8)
)</f>
        <v>0.13137254901960785</v>
      </c>
      <c r="G9" s="249"/>
    </row>
    <row r="10" spans="2:7" x14ac:dyDescent="0.2">
      <c r="B10" s="207" t="s">
        <v>21</v>
      </c>
      <c r="C10" s="200">
        <f>Statement!Z7</f>
        <v>1447</v>
      </c>
      <c r="D10" s="198">
        <f>Statement!AA7</f>
        <v>1898</v>
      </c>
      <c r="F10" s="200">
        <f>Statement!W7</f>
        <v>914</v>
      </c>
      <c r="G10" s="198">
        <f>Statement!AA7</f>
        <v>1898</v>
      </c>
    </row>
    <row r="11" spans="2:7" x14ac:dyDescent="0.2">
      <c r="B11" s="206" t="s">
        <v>319</v>
      </c>
      <c r="C11" s="248">
        <f>Statement!AA90</f>
        <v>0.31167933655839669</v>
      </c>
      <c r="D11" s="249"/>
      <c r="F11" s="248">
        <f>IF(F10=0,
IF(G10=0,0,IF(G10&gt;0,1,-1)),
(G10-F10)/ABS(F10)
)</f>
        <v>1.0765864332603938</v>
      </c>
      <c r="G11" s="249"/>
    </row>
    <row r="12" spans="2:7" x14ac:dyDescent="0.2">
      <c r="B12" s="207" t="s">
        <v>24</v>
      </c>
      <c r="C12" s="200">
        <f>Statement!Z10</f>
        <v>449</v>
      </c>
      <c r="D12" s="200">
        <f>Statement!AA10</f>
        <v>339</v>
      </c>
      <c r="F12" s="200">
        <f>Statement!W10</f>
        <v>346</v>
      </c>
      <c r="G12" s="198">
        <f>Statement!AA10</f>
        <v>339</v>
      </c>
    </row>
    <row r="13" spans="2:7" x14ac:dyDescent="0.2">
      <c r="B13" s="206" t="s">
        <v>319</v>
      </c>
      <c r="C13" s="248">
        <f>Statement!AA93</f>
        <v>-0.24498886414253898</v>
      </c>
      <c r="D13" s="249"/>
      <c r="F13" s="248">
        <f>IF(F12=0,
IF(G12=0,0,IF(G12&gt;0,1,-1)),
(G12-F12)/ABS(F12)
)</f>
        <v>-2.023121387283237E-2</v>
      </c>
      <c r="G13" s="249"/>
    </row>
    <row r="14" spans="2:7" x14ac:dyDescent="0.2">
      <c r="B14" s="207" t="s">
        <v>320</v>
      </c>
      <c r="C14" s="200">
        <f>Statement!Z11</f>
        <v>998</v>
      </c>
      <c r="D14" s="198">
        <f>Statement!AA11</f>
        <v>1559</v>
      </c>
      <c r="F14" s="200">
        <f>Statement!W11</f>
        <v>568</v>
      </c>
      <c r="G14" s="198">
        <f>Statement!AA11</f>
        <v>1559</v>
      </c>
    </row>
    <row r="15" spans="2:7" x14ac:dyDescent="0.2">
      <c r="B15" s="206" t="s">
        <v>319</v>
      </c>
      <c r="C15" s="248">
        <f>Statement!AA94</f>
        <v>0.56212424849699394</v>
      </c>
      <c r="D15" s="249"/>
      <c r="F15" s="248">
        <f>IF(F14=0,
IF(G14=0,0,IF(G14&gt;0,1,-1)),
(G14-F14)/ABS(F14)
)</f>
        <v>1.744718309859155</v>
      </c>
      <c r="G15" s="249"/>
    </row>
    <row r="16" spans="2:7" x14ac:dyDescent="0.2">
      <c r="B16" s="207" t="s">
        <v>30</v>
      </c>
      <c r="C16" s="200">
        <f>Statement!Z17</f>
        <v>748</v>
      </c>
      <c r="D16" s="198">
        <f>Statement!AA17</f>
        <v>1294</v>
      </c>
      <c r="F16" s="200">
        <f>Statement!W17</f>
        <v>488</v>
      </c>
      <c r="G16" s="198">
        <f>Statement!AA17</f>
        <v>1294</v>
      </c>
    </row>
    <row r="17" spans="2:7" x14ac:dyDescent="0.2">
      <c r="B17" s="206" t="s">
        <v>319</v>
      </c>
      <c r="C17" s="248">
        <f>Statement!AA96</f>
        <v>0.72994652406417115</v>
      </c>
      <c r="D17" s="249"/>
      <c r="F17" s="248">
        <f>IF(F16=0,
IF(G16=0,0,IF(G16&gt;0,1,-1)),
(G16-F16)/ABS(F16)
)</f>
        <v>1.651639344262295</v>
      </c>
      <c r="G17" s="249"/>
    </row>
    <row r="18" spans="2:7" x14ac:dyDescent="0.2">
      <c r="B18" s="207" t="s">
        <v>321</v>
      </c>
      <c r="C18" s="200">
        <f>Statement!Z21</f>
        <v>229</v>
      </c>
      <c r="D18" s="198">
        <f>Statement!AA21</f>
        <v>232</v>
      </c>
      <c r="F18" s="200">
        <f>Statement!W21</f>
        <v>218</v>
      </c>
      <c r="G18" s="198">
        <f>Statement!AA21</f>
        <v>232</v>
      </c>
    </row>
    <row r="19" spans="2:7" x14ac:dyDescent="0.2">
      <c r="B19" s="206" t="s">
        <v>319</v>
      </c>
      <c r="C19" s="248">
        <f>IF(C18=0,
IF(D18=0,0,IF(D18&gt;0,1,-1)),
(D18-C18)/ABS(C18)
)</f>
        <v>1.3100436681222707E-2</v>
      </c>
      <c r="D19" s="249"/>
      <c r="F19" s="248">
        <f>IF(F18=0,
IF(G18=0,0,IF(G18&gt;0,1,-1)),
(G18-F18)/ABS(F18)
)</f>
        <v>6.4220183486238536E-2</v>
      </c>
      <c r="G19" s="249"/>
    </row>
    <row r="20" spans="2:7" x14ac:dyDescent="0.2">
      <c r="B20" s="207" t="s">
        <v>37</v>
      </c>
      <c r="C20" s="201">
        <f>Statement!Z25</f>
        <v>3.27</v>
      </c>
      <c r="D20" s="202">
        <f>Statement!AA25</f>
        <v>5.58</v>
      </c>
      <c r="F20" s="201">
        <f>Statement!W25</f>
        <v>2.2400000000000002</v>
      </c>
      <c r="G20" s="202">
        <f>Statement!AA25</f>
        <v>5.58</v>
      </c>
    </row>
    <row r="21" spans="2:7" x14ac:dyDescent="0.2">
      <c r="B21" s="206" t="s">
        <v>319</v>
      </c>
      <c r="C21" s="248">
        <f>IF(C20=0,
IF(D20=0,0,IF(D20&gt;0,1,-1)),
(D20-C20)/ABS(C20)
)</f>
        <v>0.70642201834862384</v>
      </c>
      <c r="D21" s="249"/>
      <c r="F21" s="248">
        <f>IF(F20=0,
IF(G20=0,0,IF(G20&gt;0,1,-1)),
(G20-F20)/ABS(F20)
)</f>
        <v>1.4910714285714284</v>
      </c>
      <c r="G21" s="249"/>
    </row>
    <row r="23" spans="2:7" x14ac:dyDescent="0.2">
      <c r="B23" s="8" t="s">
        <v>322</v>
      </c>
      <c r="C23" s="10" t="str">
        <f>C5</f>
        <v>Q3 2026</v>
      </c>
      <c r="D23" s="203" t="str">
        <f>D5</f>
        <v>Q4 2026</v>
      </c>
      <c r="F23" s="204" t="str">
        <f>F5</f>
        <v>Q4 2025</v>
      </c>
      <c r="G23" s="203" t="str">
        <f>G5</f>
        <v>Q4 2026</v>
      </c>
    </row>
    <row r="24" spans="2:7" x14ac:dyDescent="0.2">
      <c r="B24" s="20" t="str">
        <f>Statement!B185</f>
        <v>Datacenter</v>
      </c>
      <c r="C24" s="200">
        <f>Statement!Z185</f>
        <v>2500</v>
      </c>
      <c r="D24" s="198">
        <f>Statement!AA185</f>
        <v>2933</v>
      </c>
      <c r="F24" s="200">
        <f>Statement!W185</f>
        <v>1863</v>
      </c>
      <c r="G24" s="198">
        <f>Statement!AA185</f>
        <v>2933</v>
      </c>
    </row>
    <row r="25" spans="2:7" x14ac:dyDescent="0.2">
      <c r="B25" s="206" t="s">
        <v>319</v>
      </c>
      <c r="C25" s="248">
        <f>IF(C24=0,
IF(D24=0,0,IF(D24&gt;0,1,-1)),
(D24-C24)/ABS(C24)
)</f>
        <v>0.17319999999999999</v>
      </c>
      <c r="D25" s="249"/>
      <c r="F25" s="248">
        <f>IF(F24=0,
IF(G24=0,0,IF(G24&gt;0,1,-1)),
(G24-F24)/ABS(F24)
)</f>
        <v>0.57434245840042941</v>
      </c>
      <c r="G25" s="249"/>
    </row>
    <row r="26" spans="2:7" x14ac:dyDescent="0.2">
      <c r="B26" s="20" t="str">
        <f>Statement!B186</f>
        <v>Edge &amp; IoT</v>
      </c>
      <c r="C26" s="200">
        <f>Statement!Z186</f>
        <v>612</v>
      </c>
      <c r="D26" s="198">
        <f>Statement!AA186</f>
        <v>697</v>
      </c>
      <c r="F26" s="200">
        <f>Statement!W186</f>
        <v>581</v>
      </c>
      <c r="G26" s="198">
        <f>Statement!AA186</f>
        <v>697</v>
      </c>
    </row>
    <row r="27" spans="2:7" x14ac:dyDescent="0.2">
      <c r="B27" s="206" t="s">
        <v>319</v>
      </c>
      <c r="C27" s="248">
        <f>IF(C26=0,
IF(D26=0,0,IF(D26&gt;0,1,-1)),
(D26-C26)/ABS(C26)
)</f>
        <v>0.1388888888888889</v>
      </c>
      <c r="D27" s="249"/>
      <c r="F27" s="248">
        <f>IF(F26=0,
IF(G26=0,0,IF(G26&gt;0,1,-1)),
(G26-F26)/ABS(F26)
)</f>
        <v>0.19965576592082615</v>
      </c>
      <c r="G27" s="249"/>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265</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266</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8">
        <f>Statement!H121</f>
        <v>0</v>
      </c>
      <c r="D67" s="218">
        <f>Statement!I121</f>
        <v>0</v>
      </c>
      <c r="E67" s="218">
        <f>Statement!J121</f>
        <v>0</v>
      </c>
      <c r="F67" s="218">
        <f>Statement!K121</f>
        <v>0</v>
      </c>
      <c r="G67" s="218">
        <f>Statement!L121</f>
        <v>0.15146974063400578</v>
      </c>
      <c r="H67" s="218">
        <f>Statement!M121</f>
        <v>0.18436940966010734</v>
      </c>
      <c r="I67" s="218">
        <f>Statement!N121</f>
        <v>-7.0010587612493388E-2</v>
      </c>
      <c r="J67" s="218">
        <f>Statement!O121</f>
        <v>4.3287246414265401E-2</v>
      </c>
      <c r="K67" s="218">
        <f>Statement!P121</f>
        <v>0.18309859154929578</v>
      </c>
      <c r="L67" s="218">
        <f>Statement!Q121</f>
        <v>0.31929402326514245</v>
      </c>
    </row>
    <row r="68" spans="2:12" x14ac:dyDescent="0.2">
      <c r="B68" s="20" t="s">
        <v>103</v>
      </c>
      <c r="C68" s="218">
        <f>Statement!H123</f>
        <v>0</v>
      </c>
      <c r="D68" s="218">
        <f>Statement!I123</f>
        <v>0</v>
      </c>
      <c r="E68" s="218">
        <f>Statement!J123</f>
        <v>0</v>
      </c>
      <c r="F68" s="218">
        <f>Statement!K123</f>
        <v>0</v>
      </c>
      <c r="G68" s="218">
        <f>Statement!L123</f>
        <v>2.0824088748019021</v>
      </c>
      <c r="H68" s="218">
        <f>Statement!M123</f>
        <v>15.128440366972477</v>
      </c>
      <c r="I68" s="218">
        <f>Statement!N123</f>
        <v>0.44120100083402836</v>
      </c>
      <c r="J68" s="218">
        <f>Statement!O123</f>
        <v>-0.22468142186452042</v>
      </c>
      <c r="K68" s="218">
        <f>Statement!P123</f>
        <v>-3.2428256070640176</v>
      </c>
      <c r="L68" s="218">
        <f>Statement!Q123</f>
        <v>1.4693124134748501</v>
      </c>
    </row>
    <row r="69" spans="2:12" x14ac:dyDescent="0.2">
      <c r="B69" s="20" t="s">
        <v>104</v>
      </c>
      <c r="C69" s="218">
        <f>Statement!H138</f>
        <v>0</v>
      </c>
      <c r="D69" s="218">
        <f>Statement!I138</f>
        <v>0</v>
      </c>
      <c r="E69" s="218">
        <f>Statement!J138</f>
        <v>0</v>
      </c>
      <c r="F69" s="218">
        <f>Statement!K138</f>
        <v>0</v>
      </c>
      <c r="G69" s="218">
        <f>Statement!L138</f>
        <v>0.31887041274331401</v>
      </c>
      <c r="H69" s="218">
        <f>Statement!M138</f>
        <v>0.37355418154682585</v>
      </c>
      <c r="I69" s="218">
        <f>Statement!N138</f>
        <v>-9.867282169648009E-2</v>
      </c>
      <c r="J69" s="218">
        <f>Statement!O138</f>
        <v>0.12044943820224721</v>
      </c>
      <c r="K69" s="218">
        <f>Statement!P138</f>
        <v>0.5026119834618733</v>
      </c>
      <c r="L69" s="218">
        <f>Statement!Q138</f>
        <v>0.87701105809469215</v>
      </c>
    </row>
    <row r="70" spans="2:12" x14ac:dyDescent="0.2">
      <c r="B70" s="20" t="s">
        <v>355</v>
      </c>
      <c r="C70" s="227">
        <f>Statement!H199</f>
        <v>0</v>
      </c>
      <c r="D70" s="227">
        <f>Statement!I199</f>
        <v>0</v>
      </c>
      <c r="E70" s="227">
        <f>Statement!J199</f>
        <v>0</v>
      </c>
      <c r="F70" s="227">
        <f>Statement!K199</f>
        <v>0</v>
      </c>
      <c r="G70" s="227">
        <f>Statement!L199</f>
        <v>100</v>
      </c>
      <c r="H70" s="227">
        <f>Statement!M199</f>
        <v>100</v>
      </c>
      <c r="I70" s="227">
        <f>Statement!N199</f>
        <v>89.549862498190762</v>
      </c>
      <c r="J70" s="227">
        <f>Statement!O199</f>
        <v>149.47170357504703</v>
      </c>
      <c r="K70" s="227">
        <f>Statement!P199</f>
        <v>204.718483137936</v>
      </c>
      <c r="L70" s="227">
        <f>Statement!Q199</f>
        <v>1187.0893038066288</v>
      </c>
    </row>
    <row r="71" spans="2:12" x14ac:dyDescent="0.2">
      <c r="B71" s="20" t="s">
        <v>356</v>
      </c>
      <c r="C71" s="227">
        <f>Statement!H200</f>
        <v>0</v>
      </c>
      <c r="D71" s="227">
        <f>Statement!I200</f>
        <v>0</v>
      </c>
      <c r="E71" s="227">
        <f>Statement!J200</f>
        <v>0</v>
      </c>
      <c r="F71" s="227">
        <f>Statement!K200</f>
        <v>0</v>
      </c>
      <c r="G71" s="227">
        <f>Statement!L200</f>
        <v>100</v>
      </c>
      <c r="H71" s="227">
        <f>Statement!M200</f>
        <v>100</v>
      </c>
      <c r="I71" s="227">
        <f>Statement!N200</f>
        <v>63.322185061315494</v>
      </c>
      <c r="J71" s="227">
        <f>Statement!O200</f>
        <v>56.17871537603979</v>
      </c>
      <c r="K71" s="227">
        <f>Statement!P200</f>
        <v>78.012177343281024</v>
      </c>
      <c r="L71" s="227">
        <f>Statement!Q200</f>
        <v>104.57936712117315</v>
      </c>
    </row>
    <row r="72" spans="2:12" x14ac:dyDescent="0.2">
      <c r="B72" s="20" t="s">
        <v>357</v>
      </c>
      <c r="C72" s="227">
        <f>Statement!H201</f>
        <v>0</v>
      </c>
      <c r="D72" s="227">
        <f>Statement!I201</f>
        <v>0</v>
      </c>
      <c r="E72" s="227">
        <f>Statement!J201</f>
        <v>0</v>
      </c>
      <c r="F72" s="227">
        <f>Statement!K201</f>
        <v>0</v>
      </c>
      <c r="G72" s="227">
        <f>Statement!L201</f>
        <v>100</v>
      </c>
      <c r="H72" s="227">
        <f>Statement!M201</f>
        <v>100</v>
      </c>
      <c r="I72" s="227">
        <f>Statement!N201</f>
        <v>-34.782608695652172</v>
      </c>
      <c r="J72" s="227">
        <f>Statement!O201</f>
        <v>21.467391304347828</v>
      </c>
      <c r="K72" s="227">
        <f>Statement!P201</f>
        <v>91.983695652173907</v>
      </c>
      <c r="L72" s="227">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265</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7" t="s">
        <v>112</v>
      </c>
      <c r="D2" s="247"/>
      <c r="E2" s="247"/>
      <c r="F2" s="247"/>
      <c r="G2" s="256"/>
      <c r="H2" s="257" t="s">
        <v>113</v>
      </c>
      <c r="I2" s="247"/>
      <c r="J2" s="247"/>
      <c r="K2" s="247"/>
      <c r="L2" s="247"/>
      <c r="O2" s="5"/>
      <c r="S2" s="247" t="s">
        <v>112</v>
      </c>
      <c r="T2" s="247"/>
      <c r="U2" s="247"/>
      <c r="V2" s="247"/>
      <c r="W2" s="247"/>
      <c r="X2" s="247"/>
      <c r="Y2" s="247"/>
      <c r="Z2" s="247"/>
      <c r="AA2" s="247" t="s">
        <v>113</v>
      </c>
      <c r="AB2" s="247"/>
      <c r="AC2" s="247"/>
      <c r="AE2" s="85" t="s">
        <v>114</v>
      </c>
    </row>
    <row r="3" spans="1:31" ht="10" customHeight="1" x14ac:dyDescent="0.2">
      <c r="O3" s="5"/>
    </row>
    <row r="4" spans="1:31" ht="16" customHeight="1" x14ac:dyDescent="0.2">
      <c r="A4" s="86"/>
      <c r="B4" s="60"/>
      <c r="C4" s="253" t="s">
        <v>115</v>
      </c>
      <c r="D4" s="253"/>
      <c r="E4" s="253"/>
      <c r="F4" s="253"/>
      <c r="G4" s="253"/>
      <c r="H4" s="253"/>
      <c r="I4" s="253"/>
      <c r="J4" s="253"/>
      <c r="K4" s="253"/>
      <c r="L4" s="253"/>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403</v>
      </c>
      <c r="O6" s="5"/>
      <c r="Q6" s="90" t="s">
        <v>403</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424</v>
      </c>
      <c r="O7" s="5"/>
      <c r="Q7" s="90" t="s">
        <v>424</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3" t="s">
        <v>121</v>
      </c>
      <c r="D10" s="253"/>
      <c r="E10" s="253"/>
      <c r="F10" s="253"/>
      <c r="G10" s="253"/>
      <c r="H10" s="253"/>
      <c r="I10" s="253"/>
      <c r="J10" s="253"/>
      <c r="K10" s="253"/>
      <c r="L10" s="253"/>
      <c r="O10" s="5"/>
      <c r="Q10" s="91"/>
      <c r="S10" s="254" t="s">
        <v>121</v>
      </c>
      <c r="T10" s="255"/>
      <c r="U10" s="255"/>
      <c r="V10" s="255"/>
      <c r="W10" s="255"/>
      <c r="X10" s="255"/>
      <c r="Y10" s="255"/>
      <c r="Z10" s="255"/>
      <c r="AA10" s="255"/>
      <c r="AB10" s="255"/>
      <c r="AC10" s="255"/>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3" t="s">
        <v>404</v>
      </c>
      <c r="D17" s="253"/>
      <c r="E17" s="253"/>
      <c r="F17" s="253"/>
      <c r="G17" s="253"/>
      <c r="H17" s="253"/>
      <c r="I17" s="253"/>
      <c r="J17" s="253"/>
      <c r="K17" s="253"/>
      <c r="L17" s="253"/>
      <c r="O17" s="5"/>
      <c r="S17" s="254" t="s">
        <v>115</v>
      </c>
      <c r="T17" s="255"/>
      <c r="U17" s="255"/>
      <c r="V17" s="255"/>
      <c r="W17" s="255"/>
      <c r="X17" s="255"/>
      <c r="Y17" s="255"/>
      <c r="Z17" s="255"/>
      <c r="AA17" s="255"/>
      <c r="AB17" s="255"/>
      <c r="AC17" s="255"/>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40">
        <f>G19*(1+H21)</f>
        <v>834</v>
      </c>
      <c r="I19" s="240">
        <f t="shared" ref="I19:L19" si="12">H19*(1+I21)</f>
        <v>1042.5</v>
      </c>
      <c r="J19" s="240">
        <f t="shared" si="12"/>
        <v>1146.75</v>
      </c>
      <c r="K19" s="240">
        <f t="shared" si="12"/>
        <v>1146.75</v>
      </c>
      <c r="L19" s="240">
        <f t="shared" si="12"/>
        <v>1032.075</v>
      </c>
      <c r="N19" s="90" t="s">
        <v>405</v>
      </c>
      <c r="O19" s="5"/>
      <c r="Q19" s="90" t="s">
        <v>405</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7" t="e">
        <f>Statement!M209</f>
        <v>#DIV/0!</v>
      </c>
      <c r="D20" s="237" t="e">
        <f>Statement!N209</f>
        <v>#DIV/0!</v>
      </c>
      <c r="E20" s="237" t="e">
        <f>Statement!O209</f>
        <v>#DIV/0!</v>
      </c>
      <c r="F20" s="237">
        <f>Statement!P209</f>
        <v>13.685058397100281</v>
      </c>
      <c r="G20" s="238">
        <f>Statement!Q209</f>
        <v>14.058992805755397</v>
      </c>
      <c r="H20" s="241">
        <f>G20*(1+H22)</f>
        <v>16.027251798561153</v>
      </c>
      <c r="I20" s="241">
        <f t="shared" ref="I20:L20" si="13">H20*(1+I22)</f>
        <v>16.828614388489211</v>
      </c>
      <c r="J20" s="241">
        <f t="shared" si="13"/>
        <v>15.987183669064748</v>
      </c>
      <c r="K20" s="241">
        <f t="shared" si="13"/>
        <v>15.187824485611511</v>
      </c>
      <c r="L20" s="241">
        <f t="shared" si="13"/>
        <v>14.428433261330936</v>
      </c>
      <c r="N20" s="90" t="s">
        <v>406</v>
      </c>
      <c r="O20" s="5"/>
      <c r="Q20" s="90" t="s">
        <v>406</v>
      </c>
      <c r="R20" s="1" t="str">
        <f t="shared" ref="R20" si="14">B20</f>
        <v>Price per Exabyte</v>
      </c>
      <c r="S20" s="237">
        <f>Statement!T209</f>
        <v>13.87719298245614</v>
      </c>
      <c r="T20" s="237">
        <f>Statement!U209</f>
        <v>13.777777777777779</v>
      </c>
      <c r="U20" s="237">
        <f>Statement!V209</f>
        <v>13.503344481605351</v>
      </c>
      <c r="V20" s="237">
        <f>Statement!W209</f>
        <v>13.598540145985401</v>
      </c>
      <c r="W20" s="237">
        <f>Statement!X209</f>
        <v>13.29559748427673</v>
      </c>
      <c r="X20" s="237">
        <f>Statement!Y209</f>
        <v>13.478787878787879</v>
      </c>
      <c r="Y20" s="237">
        <f>Statement!Z209</f>
        <v>14.253135689851767</v>
      </c>
      <c r="Z20" s="238">
        <f>Statement!AA209</f>
        <v>15.041025641025641</v>
      </c>
      <c r="AA20" s="239">
        <f>Z20*(1+AA22)</f>
        <v>15.492256410256411</v>
      </c>
      <c r="AB20" s="64"/>
      <c r="AC20" s="64"/>
      <c r="AE20" s="239">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7" t="s">
        <v>112</v>
      </c>
      <c r="D2" s="247"/>
      <c r="E2" s="247"/>
      <c r="F2" s="247"/>
      <c r="G2" s="256"/>
      <c r="H2" s="257" t="s">
        <v>113</v>
      </c>
      <c r="I2" s="247"/>
      <c r="J2" s="247"/>
      <c r="K2" s="247"/>
      <c r="L2" s="247"/>
      <c r="P2" s="247" t="s">
        <v>112</v>
      </c>
      <c r="Q2" s="247"/>
      <c r="R2" s="247"/>
      <c r="S2" s="247"/>
      <c r="T2" s="247"/>
      <c r="U2" s="247"/>
      <c r="V2" s="247"/>
      <c r="W2" s="247"/>
      <c r="X2" s="247" t="s">
        <v>113</v>
      </c>
      <c r="Y2" s="247"/>
      <c r="Z2" s="247"/>
      <c r="AB2" s="85" t="s">
        <v>114</v>
      </c>
    </row>
    <row r="3" spans="1:30" ht="10" customHeight="1" x14ac:dyDescent="0.2"/>
    <row r="4" spans="1:30" ht="16" customHeight="1" x14ac:dyDescent="0.2">
      <c r="A4" s="86"/>
      <c r="B4" s="60"/>
      <c r="C4" s="253" t="s">
        <v>115</v>
      </c>
      <c r="D4" s="253"/>
      <c r="E4" s="253"/>
      <c r="F4" s="253"/>
      <c r="G4" s="253"/>
      <c r="H4" s="253"/>
      <c r="I4" s="253"/>
      <c r="J4" s="253"/>
      <c r="K4" s="253"/>
      <c r="L4" s="253"/>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3" t="s">
        <v>124</v>
      </c>
      <c r="D9" s="253"/>
      <c r="E9" s="253"/>
      <c r="F9" s="253"/>
      <c r="G9" s="253"/>
      <c r="H9" s="253"/>
      <c r="I9" s="253"/>
      <c r="J9" s="253"/>
      <c r="K9" s="253"/>
      <c r="L9" s="253"/>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3" t="s">
        <v>127</v>
      </c>
      <c r="D17" s="253"/>
      <c r="E17" s="253"/>
      <c r="F17" s="253"/>
      <c r="G17" s="253"/>
      <c r="H17" s="253"/>
      <c r="I17" s="253"/>
      <c r="J17" s="253"/>
      <c r="K17" s="253"/>
      <c r="L17" s="253"/>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115</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3" t="s">
        <v>131</v>
      </c>
      <c r="D11" s="253"/>
      <c r="E11" s="253"/>
      <c r="F11" s="253"/>
      <c r="G11" s="253"/>
      <c r="H11" s="253"/>
      <c r="I11" s="253"/>
      <c r="J11" s="253"/>
      <c r="K11" s="253"/>
      <c r="L11" s="253"/>
      <c r="N11" s="91"/>
      <c r="P11" s="258"/>
      <c r="Q11" s="258"/>
      <c r="R11" s="258"/>
      <c r="S11" s="258"/>
      <c r="T11" s="258"/>
      <c r="U11" s="258"/>
      <c r="V11" s="258"/>
      <c r="W11" s="258"/>
      <c r="X11" s="258"/>
      <c r="Y11" s="258"/>
      <c r="Z11" s="258"/>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3" t="s">
        <v>136</v>
      </c>
      <c r="D18" s="253"/>
      <c r="E18" s="253"/>
      <c r="F18" s="253"/>
      <c r="G18" s="253"/>
      <c r="H18" s="253"/>
      <c r="I18" s="253"/>
      <c r="J18" s="253"/>
      <c r="K18" s="253"/>
      <c r="L18" s="253"/>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8"/>
      <c r="C25" s="258"/>
    </row>
    <row r="26" spans="2:12" x14ac:dyDescent="0.2">
      <c r="B26" s="109"/>
      <c r="C26" s="253" t="s">
        <v>142</v>
      </c>
      <c r="D26" s="253"/>
      <c r="E26" s="253"/>
      <c r="F26" s="253"/>
      <c r="G26" s="253"/>
      <c r="H26" s="253"/>
      <c r="I26" s="253"/>
      <c r="J26" s="253"/>
      <c r="K26" s="253"/>
      <c r="L26" s="253"/>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3" t="s">
        <v>146</v>
      </c>
      <c r="D33" s="253"/>
      <c r="E33" s="253"/>
      <c r="F33" s="253"/>
      <c r="G33" s="253"/>
      <c r="H33" s="253"/>
      <c r="I33" s="253"/>
      <c r="J33" s="253"/>
      <c r="K33" s="253"/>
      <c r="L33" s="253"/>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3" t="s">
        <v>149</v>
      </c>
      <c r="D40" s="253"/>
      <c r="E40" s="253"/>
      <c r="F40" s="253"/>
      <c r="G40" s="253"/>
      <c r="H40" s="253"/>
      <c r="I40" s="253"/>
      <c r="J40" s="253"/>
      <c r="K40" s="253"/>
      <c r="L40" s="253"/>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7" t="s">
        <v>112</v>
      </c>
      <c r="D2" s="247"/>
      <c r="E2" s="247"/>
      <c r="F2" s="247"/>
      <c r="G2" s="256"/>
      <c r="H2" s="257" t="s">
        <v>113</v>
      </c>
      <c r="I2" s="247"/>
      <c r="J2" s="247"/>
      <c r="K2" s="247"/>
      <c r="L2" s="247"/>
      <c r="S2" s="258"/>
      <c r="T2" s="258"/>
      <c r="U2" s="258"/>
      <c r="V2" s="258"/>
      <c r="W2" s="258"/>
      <c r="X2" s="258"/>
      <c r="Y2" s="258"/>
      <c r="Z2" s="258"/>
      <c r="AA2" s="258"/>
      <c r="AB2" s="258"/>
      <c r="AC2" s="258"/>
      <c r="AE2" s="109"/>
    </row>
    <row r="3" spans="1:31" ht="10" customHeight="1" x14ac:dyDescent="0.2"/>
    <row r="4" spans="1:31" ht="16" customHeight="1" x14ac:dyDescent="0.2">
      <c r="A4" s="86"/>
      <c r="B4" s="60"/>
      <c r="C4" s="253" t="s">
        <v>18</v>
      </c>
      <c r="D4" s="253"/>
      <c r="E4" s="253"/>
      <c r="F4" s="253"/>
      <c r="G4" s="253"/>
      <c r="H4" s="253"/>
      <c r="I4" s="253"/>
      <c r="J4" s="253"/>
      <c r="K4" s="253"/>
      <c r="L4" s="253"/>
      <c r="S4" s="258"/>
      <c r="T4" s="258"/>
      <c r="U4" s="258"/>
      <c r="V4" s="258"/>
      <c r="W4" s="258"/>
      <c r="X4" s="258"/>
      <c r="Y4" s="258"/>
      <c r="Z4" s="258"/>
      <c r="AA4" s="258"/>
      <c r="AB4" s="258"/>
      <c r="AC4" s="258"/>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3" t="s">
        <v>157</v>
      </c>
      <c r="D13" s="253"/>
      <c r="E13" s="253"/>
      <c r="F13" s="253"/>
      <c r="G13" s="253"/>
      <c r="H13" s="253"/>
      <c r="I13" s="253"/>
      <c r="J13" s="253"/>
      <c r="K13" s="253"/>
      <c r="L13" s="25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3" t="s">
        <v>158</v>
      </c>
      <c r="D18" s="253"/>
      <c r="E18" s="253"/>
      <c r="F18" s="253"/>
      <c r="G18" s="253"/>
      <c r="H18" s="253"/>
      <c r="I18" s="253"/>
      <c r="J18" s="253"/>
      <c r="K18" s="253"/>
      <c r="L18" s="253"/>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3" t="s">
        <v>266</v>
      </c>
      <c r="D25" s="253"/>
      <c r="E25" s="253"/>
      <c r="F25" s="253"/>
      <c r="G25" s="253"/>
      <c r="H25" s="253"/>
      <c r="I25" s="253"/>
      <c r="J25" s="253"/>
      <c r="K25" s="253"/>
      <c r="L25" s="253"/>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1989.9315068493152</v>
      </c>
      <c r="D27" s="126">
        <f t="shared" ref="D27:L27" si="6">D10*(1-D15)</f>
        <v>-342</v>
      </c>
      <c r="E27" s="126">
        <f t="shared" si="6"/>
        <v>563.7303370786517</v>
      </c>
      <c r="F27" s="126">
        <f t="shared" si="6"/>
        <v>1944.9636483807005</v>
      </c>
      <c r="G27" s="131">
        <f t="shared" si="6"/>
        <v>4655.3994579945793</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266</v>
      </c>
      <c r="C28" s="94">
        <f>C27+C20-C21+C22</f>
        <v>1416.9315068493152</v>
      </c>
      <c r="D28" s="94">
        <f t="shared" ref="D28:L28" si="7">D27+D20-D21+D22</f>
        <v>1017</v>
      </c>
      <c r="E28" s="94">
        <f t="shared" si="7"/>
        <v>959.7303370786517</v>
      </c>
      <c r="F28" s="94">
        <f t="shared" si="7"/>
        <v>965.96364838070076</v>
      </c>
      <c r="G28" s="127">
        <f t="shared" si="7"/>
        <v>4203.3994579945793</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3" t="s">
        <v>76</v>
      </c>
      <c r="D31" s="253"/>
      <c r="E31" s="253"/>
      <c r="F31" s="253"/>
      <c r="G31" s="253"/>
      <c r="H31" s="253"/>
      <c r="I31" s="253"/>
      <c r="J31" s="253"/>
      <c r="K31" s="253"/>
      <c r="L31" s="253"/>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6">
        <f>H8/H6</f>
        <v>0.44999999999999996</v>
      </c>
      <c r="I33" s="216">
        <f t="shared" ref="I33:L33" si="9">I8/I6</f>
        <v>0.52</v>
      </c>
      <c r="J33" s="216">
        <f t="shared" si="9"/>
        <v>0.53</v>
      </c>
      <c r="K33" s="216">
        <f t="shared" si="9"/>
        <v>0.51</v>
      </c>
      <c r="L33" s="216">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6">
        <f>H10/H6</f>
        <v>0.33499999999999996</v>
      </c>
      <c r="I34" s="216">
        <f t="shared" ref="I34:L34" si="10">I10/I6</f>
        <v>0.38999999999999996</v>
      </c>
      <c r="J34" s="216">
        <f t="shared" si="10"/>
        <v>0.38</v>
      </c>
      <c r="K34" s="216">
        <f t="shared" si="10"/>
        <v>0.33999999999999997</v>
      </c>
      <c r="L34" s="216">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7" t="s">
        <v>165</v>
      </c>
      <c r="C4" s="247"/>
    </row>
    <row r="5" spans="1:3" ht="17" customHeight="1" x14ac:dyDescent="0.2">
      <c r="B5" s="1" t="s">
        <v>166</v>
      </c>
      <c r="C5" s="136">
        <f>Statement!AC77</f>
        <v>237</v>
      </c>
    </row>
    <row r="6" spans="1:3" ht="17" customHeight="1" x14ac:dyDescent="0.2">
      <c r="B6" s="1" t="s">
        <v>1</v>
      </c>
      <c r="C6" s="133">
        <f ca="1">Overview!C5</f>
        <v>849.28</v>
      </c>
    </row>
    <row r="7" spans="1:3" ht="17" customHeight="1" x14ac:dyDescent="0.2">
      <c r="B7" s="1" t="s">
        <v>167</v>
      </c>
      <c r="C7" s="134">
        <f ca="1">C5*C6</f>
        <v>201279.35999999999</v>
      </c>
    </row>
    <row r="8" spans="1:3" ht="17" customHeight="1" x14ac:dyDescent="0.2">
      <c r="B8" s="1" t="s">
        <v>168</v>
      </c>
      <c r="C8" s="112">
        <f>Statement!AC106</f>
        <v>3565</v>
      </c>
    </row>
    <row r="9" spans="1:3" ht="17" customHeight="1" x14ac:dyDescent="0.2">
      <c r="B9" s="1" t="s">
        <v>169</v>
      </c>
      <c r="C9" s="135">
        <f ca="1">Overview!F27</f>
        <v>4.7619999999999996E-2</v>
      </c>
    </row>
    <row r="10" spans="1:3" ht="17" customHeight="1" x14ac:dyDescent="0.2">
      <c r="B10" s="1" t="s">
        <v>9</v>
      </c>
      <c r="C10" s="133">
        <f ca="1">Overview!C13</f>
        <v>2.0948000000000002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7" t="s">
        <v>172</v>
      </c>
      <c r="C15" s="247"/>
    </row>
    <row r="16" spans="1:3" ht="17" customHeight="1" x14ac:dyDescent="0.2">
      <c r="B16" s="1" t="s">
        <v>173</v>
      </c>
      <c r="C16" s="46">
        <f ca="1">C8/(C8+C7)</f>
        <v>1.7403456946532482E-2</v>
      </c>
    </row>
    <row r="17" spans="2:3" ht="17" customHeight="1" x14ac:dyDescent="0.2">
      <c r="B17" s="1" t="s">
        <v>174</v>
      </c>
      <c r="C17" s="46">
        <f ca="1">C7/(C8+C7)</f>
        <v>0.98259654305346755</v>
      </c>
    </row>
    <row r="18" spans="2:3" ht="17" customHeight="1" x14ac:dyDescent="0.2">
      <c r="B18" s="1" t="s">
        <v>175</v>
      </c>
      <c r="C18" s="46">
        <f>C13*(1-C12)</f>
        <v>4.7399999999999998E-2</v>
      </c>
    </row>
    <row r="19" spans="2:3" ht="17" customHeight="1" x14ac:dyDescent="0.2">
      <c r="B19" s="1" t="s">
        <v>176</v>
      </c>
      <c r="C19" s="46">
        <f ca="1">C9+C10*C11</f>
        <v>0.14188600000000001</v>
      </c>
    </row>
    <row r="20" spans="2:3" ht="17" customHeight="1" x14ac:dyDescent="0.2">
      <c r="B20" s="1" t="s">
        <v>164</v>
      </c>
      <c r="C20" s="46">
        <f ca="1">(C17*C19)+(C16*C18)</f>
        <v>0.14024161696694995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1416.9315068493152</v>
      </c>
      <c r="D7" s="112">
        <f>'FCF &amp; Other'!D28</f>
        <v>1017</v>
      </c>
      <c r="E7" s="112">
        <f>'FCF &amp; Other'!E28</f>
        <v>959.7303370786517</v>
      </c>
      <c r="F7" s="112">
        <f>'FCF &amp; Other'!F28</f>
        <v>965.96364838070076</v>
      </c>
      <c r="G7" s="113">
        <f>'FCF &amp; Other'!G28</f>
        <v>4203.3994579945793</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31442.140712285047</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3799.5133409538471</v>
      </c>
      <c r="I10" s="126">
        <f t="shared" ref="I10:L10" ca="1" si="0">I7/(1+$C$15)^I9</f>
        <v>4670.1716206796445</v>
      </c>
      <c r="J10" s="126">
        <f t="shared" ca="1" si="0"/>
        <v>4458.4712143895977</v>
      </c>
      <c r="K10" s="126">
        <f t="shared" ca="1" si="0"/>
        <v>3494.196185403066</v>
      </c>
      <c r="L10" s="126">
        <f t="shared" ca="1" si="0"/>
        <v>2012.8448035990855</v>
      </c>
      <c r="N10" s="91"/>
    </row>
    <row r="11" spans="1:28" x14ac:dyDescent="0.2">
      <c r="B11" s="1" t="s">
        <v>182</v>
      </c>
      <c r="C11" s="137"/>
      <c r="D11" s="137"/>
      <c r="E11" s="137"/>
      <c r="F11" s="137"/>
      <c r="G11" s="138"/>
      <c r="H11" s="137"/>
      <c r="I11" s="137"/>
      <c r="J11" s="137"/>
      <c r="K11" s="137"/>
      <c r="L11" s="126">
        <f ca="1">L8/(1+C15)^L9</f>
        <v>16312.768272484131</v>
      </c>
    </row>
    <row r="13" spans="1:28" x14ac:dyDescent="0.2">
      <c r="B13" s="247" t="s">
        <v>183</v>
      </c>
      <c r="C13" s="247"/>
    </row>
    <row r="14" spans="1:28" x14ac:dyDescent="0.2">
      <c r="B14" s="1" t="s">
        <v>184</v>
      </c>
      <c r="C14" s="140">
        <v>1.4999999999999999E-2</v>
      </c>
    </row>
    <row r="15" spans="1:28" x14ac:dyDescent="0.2">
      <c r="B15" s="1" t="s">
        <v>164</v>
      </c>
      <c r="C15" s="135">
        <f ca="1">IF(Overview!C28&gt;0,Overview!C28,WACC!C20)</f>
        <v>0.14024161696694995</v>
      </c>
    </row>
    <row r="18" spans="2:3" x14ac:dyDescent="0.2">
      <c r="B18" s="247" t="s">
        <v>185</v>
      </c>
      <c r="C18" s="247"/>
    </row>
    <row r="19" spans="2:3" x14ac:dyDescent="0.2">
      <c r="B19" s="1" t="s">
        <v>186</v>
      </c>
      <c r="C19" s="64">
        <f ca="1">SUM(H10:L10)</f>
        <v>18435.197165025238</v>
      </c>
    </row>
    <row r="20" spans="2:3" x14ac:dyDescent="0.2">
      <c r="B20" s="1" t="s">
        <v>182</v>
      </c>
      <c r="C20" s="64">
        <f ca="1">L11</f>
        <v>16312.768272484131</v>
      </c>
    </row>
    <row r="21" spans="2:3" x14ac:dyDescent="0.2">
      <c r="B21" s="16" t="s">
        <v>187</v>
      </c>
      <c r="C21" s="94">
        <f ca="1">C19+C20</f>
        <v>34747.965437509367</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32886.965437509367</v>
      </c>
    </row>
    <row r="25" spans="2:3" x14ac:dyDescent="0.2">
      <c r="B25" s="1" t="s">
        <v>68</v>
      </c>
      <c r="C25" s="88">
        <f>Statement!AC77</f>
        <v>237</v>
      </c>
    </row>
    <row r="26" spans="2:3" x14ac:dyDescent="0.2">
      <c r="B26" s="141" t="s">
        <v>191</v>
      </c>
      <c r="C26" s="142">
        <f ca="1">C24/C25</f>
        <v>138.76356724687497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266</v>
      </c>
      <c r="C8" s="92">
        <f>'FCF &amp; Other'!C28</f>
        <v>1416.9315068493152</v>
      </c>
      <c r="D8" s="92">
        <f>'FCF &amp; Other'!D28</f>
        <v>1017</v>
      </c>
      <c r="E8" s="92">
        <f>'FCF &amp; Other'!E28</f>
        <v>959.7303370786517</v>
      </c>
      <c r="F8" s="92">
        <f>'FCF &amp; Other'!F28</f>
        <v>965.96364838070076</v>
      </c>
      <c r="G8" s="93">
        <f>'FCF &amp; Other'!G28</f>
        <v>4203.3994579945793</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N9" s="91"/>
    </row>
    <row r="10" spans="1:14" x14ac:dyDescent="0.2">
      <c r="C10" s="253" t="s">
        <v>121</v>
      </c>
      <c r="D10" s="253"/>
      <c r="E10" s="253"/>
      <c r="F10" s="253"/>
      <c r="G10" s="253"/>
      <c r="H10" s="253"/>
      <c r="I10" s="253"/>
      <c r="J10" s="253"/>
      <c r="K10" s="253"/>
      <c r="L10" s="253"/>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-0.36677814938684505</v>
      </c>
      <c r="E12" s="95">
        <f t="shared" ref="E12:L12" si="1">(E6-D6)/D6</f>
        <v>-0.11281148429035753</v>
      </c>
      <c r="F12" s="95">
        <f t="shared" si="1"/>
        <v>0.38864295527400394</v>
      </c>
      <c r="G12" s="96">
        <f t="shared" si="1"/>
        <v>0.3405518302737166</v>
      </c>
      <c r="H12" s="95">
        <f t="shared" si="1"/>
        <v>0.32476244362443635</v>
      </c>
      <c r="I12" s="95">
        <f t="shared" si="1"/>
        <v>0.29308030997287748</v>
      </c>
      <c r="J12" s="95">
        <f t="shared" si="1"/>
        <v>5.3810655245497337E-2</v>
      </c>
      <c r="K12" s="95">
        <f t="shared" si="1"/>
        <v>-3.3278485178260271E-2</v>
      </c>
      <c r="L12" s="95">
        <f t="shared" si="1"/>
        <v>-0.13682710260179845</v>
      </c>
      <c r="N12" s="91"/>
    </row>
    <row r="13" spans="1:14" x14ac:dyDescent="0.2">
      <c r="B13" s="1" t="s">
        <v>156</v>
      </c>
      <c r="C13" s="137"/>
      <c r="D13" s="95">
        <f>IF(C7=0,
IF(D7=0,0,IF(D7&gt;0,1,-1)),
(D7-C7)/ABS(C7)
)</f>
        <v>-1.1749360613810742</v>
      </c>
      <c r="E13" s="95">
        <f t="shared" ref="E13:L13" si="2">IF(D7=0,
IF(E7=0,0,IF(E7&gt;0,1,-1)),
(E7-D7)/ABS(D7)
)</f>
        <v>2.3216374269005846</v>
      </c>
      <c r="F13" s="95">
        <f t="shared" si="2"/>
        <v>3.1814159292035398</v>
      </c>
      <c r="G13" s="96">
        <f t="shared" si="2"/>
        <v>1.1661375661375661</v>
      </c>
      <c r="H13" s="95">
        <f t="shared" si="2"/>
        <v>0.32195533219345368</v>
      </c>
      <c r="I13" s="95">
        <f t="shared" si="2"/>
        <v>0.50537707728185755</v>
      </c>
      <c r="J13" s="95">
        <f t="shared" si="2"/>
        <v>2.6789869213561537E-2</v>
      </c>
      <c r="K13" s="95">
        <f t="shared" si="2"/>
        <v>-0.1350386446331803</v>
      </c>
      <c r="L13" s="95">
        <f t="shared" si="2"/>
        <v>-0.39070148418950496</v>
      </c>
      <c r="N13" s="91"/>
    </row>
    <row r="14" spans="1:14" x14ac:dyDescent="0.2">
      <c r="B14" s="1" t="s">
        <v>266</v>
      </c>
      <c r="C14" s="137"/>
      <c r="D14" s="95">
        <f>IF(C8=0,
IF(D8=0,0,IF(D8&gt;0,1,-1)),
(D8-C8)/ABS(C8)
)</f>
        <v>-0.28225182721682979</v>
      </c>
      <c r="E14" s="95">
        <f t="shared" ref="E14:L14" si="3">IF(D8=0,
IF(E8=0,0,IF(E8&gt;0,1,-1)),
(E8-D8)/ABS(D8)
)</f>
        <v>-5.6312352921679742E-2</v>
      </c>
      <c r="F14" s="95">
        <f t="shared" si="3"/>
        <v>6.4948570043360304E-3</v>
      </c>
      <c r="G14" s="96">
        <f t="shared" si="3"/>
        <v>3.351508946574723</v>
      </c>
      <c r="H14" s="95">
        <f t="shared" si="3"/>
        <v>3.068082842729913E-2</v>
      </c>
      <c r="I14" s="95">
        <f t="shared" si="3"/>
        <v>0.40152792276815008</v>
      </c>
      <c r="J14" s="95">
        <f t="shared" si="3"/>
        <v>8.8554091713735836E-2</v>
      </c>
      <c r="K14" s="95">
        <f t="shared" si="3"/>
        <v>-0.10636904067368402</v>
      </c>
      <c r="L14" s="95">
        <f t="shared" si="3"/>
        <v>-0.3431595446336983</v>
      </c>
      <c r="N14" s="91"/>
    </row>
    <row r="15" spans="1:14" x14ac:dyDescent="0.2">
      <c r="N15" s="91"/>
    </row>
    <row r="16" spans="1:14" x14ac:dyDescent="0.2">
      <c r="C16" s="253" t="s">
        <v>195</v>
      </c>
      <c r="D16" s="253"/>
      <c r="E16" s="253"/>
      <c r="F16" s="253"/>
      <c r="G16" s="253"/>
      <c r="H16" s="253"/>
      <c r="I16" s="253"/>
      <c r="J16" s="253"/>
      <c r="K16" s="253"/>
      <c r="L16" s="253"/>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224</v>
      </c>
      <c r="D18" s="100">
        <f>Statement!N21</f>
        <v>207</v>
      </c>
      <c r="E18" s="100">
        <f>Statement!O21</f>
        <v>212</v>
      </c>
      <c r="F18" s="100">
        <f>Statement!P21</f>
        <v>217</v>
      </c>
      <c r="G18" s="101">
        <f>Statement!Q21</f>
        <v>229</v>
      </c>
      <c r="H18" s="143">
        <f>G18*(1+H19)</f>
        <v>233.58</v>
      </c>
      <c r="I18" s="143">
        <f t="shared" ref="I18:L18" si="5">H18*(1+I19)</f>
        <v>238.25160000000002</v>
      </c>
      <c r="J18" s="143">
        <f t="shared" si="5"/>
        <v>245.39914800000003</v>
      </c>
      <c r="K18" s="143">
        <f t="shared" si="5"/>
        <v>250.30713096000002</v>
      </c>
      <c r="L18" s="143">
        <f t="shared" si="5"/>
        <v>252.81020226960001</v>
      </c>
      <c r="N18" s="91"/>
    </row>
    <row r="19" spans="2:14" x14ac:dyDescent="0.2">
      <c r="B19" s="1" t="s">
        <v>197</v>
      </c>
      <c r="C19" s="137"/>
      <c r="D19" s="144">
        <f>D18/C18-1</f>
        <v>-7.5892857142857095E-2</v>
      </c>
      <c r="E19" s="144">
        <f t="shared" ref="E19:G19" si="6">E18/D18-1</f>
        <v>2.4154589371980784E-2</v>
      </c>
      <c r="F19" s="144">
        <f t="shared" si="6"/>
        <v>2.3584905660377409E-2</v>
      </c>
      <c r="G19" s="145">
        <f t="shared" si="6"/>
        <v>5.5299539170506895E-2</v>
      </c>
      <c r="H19" s="146">
        <v>0.02</v>
      </c>
      <c r="I19" s="97">
        <v>0.02</v>
      </c>
      <c r="J19" s="97">
        <v>0.03</v>
      </c>
      <c r="K19" s="97">
        <v>0.02</v>
      </c>
      <c r="L19" s="97">
        <v>0.01</v>
      </c>
      <c r="N19" s="91"/>
    </row>
    <row r="20" spans="2:14" x14ac:dyDescent="0.2">
      <c r="N20" s="91"/>
    </row>
    <row r="21" spans="2:14" x14ac:dyDescent="0.2">
      <c r="C21" s="253" t="s">
        <v>198</v>
      </c>
      <c r="D21" s="253"/>
      <c r="E21" s="253"/>
      <c r="F21" s="253"/>
      <c r="G21" s="253"/>
      <c r="H21" s="253"/>
      <c r="I21" s="253"/>
      <c r="J21" s="253"/>
      <c r="K21" s="253"/>
      <c r="L21" s="253"/>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69.09</v>
      </c>
      <c r="D23" s="147">
        <f>Statement!N114</f>
        <v>61.87</v>
      </c>
      <c r="E23" s="147">
        <f>Statement!O114</f>
        <v>103.27</v>
      </c>
      <c r="F23" s="147">
        <f>Statement!P114</f>
        <v>141.44</v>
      </c>
      <c r="G23" s="148">
        <f>Statement!Q114</f>
        <v>820.16</v>
      </c>
      <c r="H23" s="137"/>
      <c r="I23" s="137"/>
      <c r="J23" s="137"/>
      <c r="K23" s="137"/>
      <c r="L23" s="137"/>
      <c r="N23" s="91"/>
    </row>
    <row r="24" spans="2:14" x14ac:dyDescent="0.2">
      <c r="N24" s="91"/>
    </row>
    <row r="25" spans="2:14" x14ac:dyDescent="0.2">
      <c r="N25" s="91"/>
    </row>
    <row r="26" spans="2:14" x14ac:dyDescent="0.2">
      <c r="C26" s="253" t="s">
        <v>199</v>
      </c>
      <c r="D26" s="253"/>
      <c r="E26" s="253"/>
      <c r="F26" s="253"/>
      <c r="G26" s="253"/>
      <c r="H26" s="253"/>
      <c r="I26" s="253"/>
      <c r="J26" s="253"/>
      <c r="K26" s="253"/>
      <c r="L26" s="253"/>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1.3271726267043993</v>
      </c>
      <c r="D28" s="149">
        <f t="shared" ref="D28:G28" si="9">D23/(D6/D18)</f>
        <v>1.7344379739978331</v>
      </c>
      <c r="E28" s="149">
        <f t="shared" si="9"/>
        <v>3.3419691650129746</v>
      </c>
      <c r="F28" s="149">
        <f t="shared" si="9"/>
        <v>3.3739122787732216</v>
      </c>
      <c r="G28" s="150">
        <f t="shared" si="9"/>
        <v>15.401118491184912</v>
      </c>
      <c r="H28" s="137"/>
      <c r="I28" s="137"/>
      <c r="J28" s="137"/>
      <c r="K28" s="137"/>
      <c r="L28" s="137"/>
      <c r="N28" s="91"/>
    </row>
    <row r="29" spans="2:14" x14ac:dyDescent="0.2">
      <c r="B29" s="1" t="s">
        <v>201</v>
      </c>
      <c r="C29" s="143">
        <f>C23*C18</f>
        <v>15476.16</v>
      </c>
      <c r="D29" s="143">
        <f t="shared" ref="D29:G29" si="10">D23*D18</f>
        <v>12807.09</v>
      </c>
      <c r="E29" s="143">
        <f t="shared" si="10"/>
        <v>21893.239999999998</v>
      </c>
      <c r="F29" s="143">
        <f t="shared" si="10"/>
        <v>30692.48</v>
      </c>
      <c r="G29" s="151">
        <f t="shared" si="10"/>
        <v>187816.63999999998</v>
      </c>
      <c r="H29" s="137"/>
      <c r="I29" s="137"/>
      <c r="J29" s="137"/>
      <c r="K29" s="137"/>
      <c r="L29" s="137"/>
      <c r="N29" s="91"/>
    </row>
    <row r="30" spans="2:14" x14ac:dyDescent="0.2">
      <c r="B30" s="1" t="s">
        <v>168</v>
      </c>
      <c r="C30" s="88">
        <f>Statement!M106</f>
        <v>5646</v>
      </c>
      <c r="D30" s="152">
        <f>Statement!N106</f>
        <v>5451</v>
      </c>
      <c r="E30" s="152">
        <f>Statement!O106</f>
        <v>5674</v>
      </c>
      <c r="F30" s="152">
        <f>Statement!P106</f>
        <v>4995</v>
      </c>
      <c r="G30" s="153">
        <f>Statement!Q106</f>
        <v>3565</v>
      </c>
      <c r="H30" s="137"/>
      <c r="I30" s="137"/>
      <c r="J30" s="137"/>
      <c r="K30" s="137"/>
      <c r="L30" s="137"/>
      <c r="N30" s="91"/>
    </row>
    <row r="31" spans="2:14" x14ac:dyDescent="0.2">
      <c r="B31" s="1" t="s">
        <v>177</v>
      </c>
      <c r="C31" s="152">
        <f>Statement!M105</f>
        <v>615</v>
      </c>
      <c r="D31" s="152">
        <f>Statement!N105</f>
        <v>786</v>
      </c>
      <c r="E31" s="152">
        <f>Statement!O105</f>
        <v>1358</v>
      </c>
      <c r="F31" s="152">
        <f>Statement!P105</f>
        <v>891</v>
      </c>
      <c r="G31" s="153">
        <f>Statement!Q105</f>
        <v>1704</v>
      </c>
      <c r="H31" s="137"/>
      <c r="I31" s="137"/>
      <c r="J31" s="137"/>
      <c r="K31" s="137"/>
      <c r="L31" s="137"/>
      <c r="N31" s="91"/>
    </row>
    <row r="32" spans="2:14" x14ac:dyDescent="0.2">
      <c r="B32" s="1" t="s">
        <v>202</v>
      </c>
      <c r="C32" s="143">
        <f>C29+C30-C31</f>
        <v>20507.16</v>
      </c>
      <c r="D32" s="143">
        <f t="shared" ref="D32:G32" si="11">D29+D30-D31</f>
        <v>17472.09</v>
      </c>
      <c r="E32" s="143">
        <f t="shared" si="11"/>
        <v>26209.239999999998</v>
      </c>
      <c r="F32" s="143">
        <f t="shared" si="11"/>
        <v>34796.479999999996</v>
      </c>
      <c r="G32" s="151">
        <f t="shared" si="11"/>
        <v>189677.63999999998</v>
      </c>
      <c r="H32" s="137"/>
      <c r="I32" s="137"/>
      <c r="J32" s="137"/>
      <c r="K32" s="137"/>
      <c r="L32" s="137"/>
      <c r="N32" s="91"/>
    </row>
    <row r="33" spans="2:14" x14ac:dyDescent="0.2">
      <c r="B33" s="16" t="s">
        <v>203</v>
      </c>
      <c r="C33" s="149">
        <f>C32/C7</f>
        <v>10.489595907928388</v>
      </c>
      <c r="D33" s="149">
        <f t="shared" ref="D33:G33" si="12">D32/D7</f>
        <v>-51.087982456140352</v>
      </c>
      <c r="E33" s="149">
        <f t="shared" si="12"/>
        <v>57.985044247787606</v>
      </c>
      <c r="F33" s="149">
        <f t="shared" si="12"/>
        <v>18.410835978835976</v>
      </c>
      <c r="G33" s="150">
        <f t="shared" si="12"/>
        <v>46.330639960918411</v>
      </c>
      <c r="H33" s="137"/>
      <c r="I33" s="137"/>
      <c r="J33" s="137"/>
      <c r="K33" s="137"/>
      <c r="L33" s="137"/>
      <c r="N33" s="91"/>
    </row>
    <row r="34" spans="2:14" x14ac:dyDescent="0.2">
      <c r="B34" s="16" t="s">
        <v>325</v>
      </c>
      <c r="C34" s="149">
        <f>C32/C8</f>
        <v>14.472936695154491</v>
      </c>
      <c r="D34" s="149">
        <f t="shared" ref="D34:G34" si="13">D32/D8</f>
        <v>17.180029498525073</v>
      </c>
      <c r="E34" s="149">
        <f t="shared" si="13"/>
        <v>27.308962723611497</v>
      </c>
      <c r="F34" s="149">
        <f t="shared" si="13"/>
        <v>36.022556395710431</v>
      </c>
      <c r="G34" s="150">
        <f t="shared" si="13"/>
        <v>45.124819065017967</v>
      </c>
      <c r="H34" s="137"/>
      <c r="I34" s="137"/>
      <c r="J34" s="137"/>
      <c r="K34" s="137"/>
      <c r="L34" s="137"/>
      <c r="N34" s="91"/>
    </row>
    <row r="35" spans="2:14" x14ac:dyDescent="0.2">
      <c r="N35" s="91"/>
    </row>
    <row r="36" spans="2:14" x14ac:dyDescent="0.2">
      <c r="N36" s="91"/>
    </row>
    <row r="37" spans="2:14" x14ac:dyDescent="0.2">
      <c r="B37" s="247" t="s">
        <v>204</v>
      </c>
      <c r="C37" s="247"/>
      <c r="N37" s="91"/>
    </row>
    <row r="38" spans="2:14" x14ac:dyDescent="0.2">
      <c r="B38" s="1" t="s">
        <v>205</v>
      </c>
      <c r="C38" s="64">
        <f>L7</f>
        <v>4408.7788819651487</v>
      </c>
    </row>
    <row r="39" spans="2:14" x14ac:dyDescent="0.2">
      <c r="B39" s="1" t="s">
        <v>164</v>
      </c>
      <c r="C39" s="135">
        <f ca="1">IF(Overview!C28&gt;0,Overview!C28,WACC!C20)</f>
        <v>0.14024161696694995</v>
      </c>
    </row>
    <row r="40" spans="2:14" x14ac:dyDescent="0.2">
      <c r="B40" s="39" t="s">
        <v>206</v>
      </c>
      <c r="C40" s="105">
        <v>16</v>
      </c>
    </row>
    <row r="41" spans="2:14" x14ac:dyDescent="0.2">
      <c r="B41" s="1" t="s">
        <v>202</v>
      </c>
      <c r="C41" s="24">
        <f>(C38*C40)</f>
        <v>70540.462111442379</v>
      </c>
    </row>
    <row r="42" spans="2:14" x14ac:dyDescent="0.2">
      <c r="B42" s="1" t="s">
        <v>352</v>
      </c>
      <c r="C42" s="24">
        <f ca="1">C41/(1+C39)^5-G30+G31</f>
        <v>34736.705696555888</v>
      </c>
    </row>
    <row r="43" spans="2:14" x14ac:dyDescent="0.2">
      <c r="B43" s="1" t="s">
        <v>188</v>
      </c>
      <c r="C43" s="88">
        <f>Statement!AC105</f>
        <v>1704</v>
      </c>
    </row>
    <row r="44" spans="2:14" x14ac:dyDescent="0.2">
      <c r="B44" s="1" t="s">
        <v>189</v>
      </c>
      <c r="C44" s="88">
        <f>Statement!AC106</f>
        <v>3565</v>
      </c>
    </row>
    <row r="45" spans="2:14" x14ac:dyDescent="0.2">
      <c r="B45" s="1" t="s">
        <v>190</v>
      </c>
      <c r="C45" s="24">
        <f ca="1">C42+C43-C44</f>
        <v>32875.705696555888</v>
      </c>
    </row>
    <row r="46" spans="2:14" x14ac:dyDescent="0.2">
      <c r="B46" s="1" t="s">
        <v>68</v>
      </c>
      <c r="C46" s="88">
        <f>Statement!AC77</f>
        <v>237</v>
      </c>
    </row>
    <row r="47" spans="2:14" x14ac:dyDescent="0.2">
      <c r="B47" s="141" t="s">
        <v>208</v>
      </c>
      <c r="C47" s="142">
        <f ca="1">C45/C46</f>
        <v>138.71605779137505</v>
      </c>
    </row>
    <row r="49" spans="2:3" x14ac:dyDescent="0.2">
      <c r="B49" s="247" t="s">
        <v>209</v>
      </c>
      <c r="C49" s="247"/>
    </row>
    <row r="50" spans="2:3" x14ac:dyDescent="0.2">
      <c r="B50" s="1" t="s">
        <v>210</v>
      </c>
      <c r="C50" s="64">
        <f>L6</f>
        <v>18369.912008188126</v>
      </c>
    </row>
    <row r="51" spans="2:3" x14ac:dyDescent="0.2">
      <c r="B51" s="1" t="s">
        <v>351</v>
      </c>
      <c r="C51" s="135">
        <f ca="1">IF(Overview!C29&gt;0,Overview!C29,WACC!C19)</f>
        <v>0.14188600000000001</v>
      </c>
    </row>
    <row r="52" spans="2:3" x14ac:dyDescent="0.2">
      <c r="B52" s="39" t="s">
        <v>211</v>
      </c>
      <c r="C52" s="105">
        <v>3</v>
      </c>
    </row>
    <row r="53" spans="2:3" x14ac:dyDescent="0.2">
      <c r="B53" s="1" t="s">
        <v>207</v>
      </c>
      <c r="C53" s="24">
        <f>L18</f>
        <v>252.81020226960001</v>
      </c>
    </row>
    <row r="54" spans="2:3" x14ac:dyDescent="0.2">
      <c r="B54" s="1" t="s">
        <v>191</v>
      </c>
      <c r="C54" s="24">
        <f>(C50*C52)/C53</f>
        <v>217.98857613267782</v>
      </c>
    </row>
    <row r="55" spans="2:3" x14ac:dyDescent="0.2">
      <c r="B55" s="141" t="s">
        <v>208</v>
      </c>
      <c r="C55" s="142">
        <f ca="1">C54/(1+C51)^5</f>
        <v>112.28454742641925</v>
      </c>
    </row>
    <row r="57" spans="2:3" x14ac:dyDescent="0.2">
      <c r="B57" s="247" t="s">
        <v>326</v>
      </c>
      <c r="C57" s="247"/>
    </row>
    <row r="58" spans="2:3" x14ac:dyDescent="0.2">
      <c r="B58" s="1" t="s">
        <v>212</v>
      </c>
      <c r="C58" s="64">
        <f>L8</f>
        <v>3879.6695011910815</v>
      </c>
    </row>
    <row r="59" spans="2:3" x14ac:dyDescent="0.2">
      <c r="B59" s="1" t="s">
        <v>164</v>
      </c>
      <c r="C59" s="135">
        <f ca="1">IF(Overview!C28&gt;0,Overview!C28,WACC!C20)</f>
        <v>0.14024161696694995</v>
      </c>
    </row>
    <row r="60" spans="2:3" x14ac:dyDescent="0.2">
      <c r="B60" s="39" t="s">
        <v>353</v>
      </c>
      <c r="C60" s="105">
        <v>20</v>
      </c>
    </row>
    <row r="61" spans="2:3" x14ac:dyDescent="0.2">
      <c r="B61" s="1" t="s">
        <v>202</v>
      </c>
      <c r="C61" s="24">
        <f>(C58*C60)</f>
        <v>77593.39002382163</v>
      </c>
    </row>
    <row r="62" spans="2:3" x14ac:dyDescent="0.2">
      <c r="B62" s="1" t="s">
        <v>352</v>
      </c>
      <c r="C62" s="24">
        <f ca="1">C61/(1+C59)^5-G30+G31</f>
        <v>38395.896071981711</v>
      </c>
    </row>
    <row r="63" spans="2:3" x14ac:dyDescent="0.2">
      <c r="B63" s="1" t="s">
        <v>188</v>
      </c>
      <c r="C63" s="88">
        <f>Statement!AC105</f>
        <v>1704</v>
      </c>
    </row>
    <row r="64" spans="2:3" x14ac:dyDescent="0.2">
      <c r="B64" s="1" t="s">
        <v>189</v>
      </c>
      <c r="C64" s="88">
        <f>Statement!AC106</f>
        <v>3565</v>
      </c>
    </row>
    <row r="65" spans="2:3" x14ac:dyDescent="0.2">
      <c r="B65" s="1" t="s">
        <v>190</v>
      </c>
      <c r="C65" s="24">
        <f ca="1">C62+C63-C64</f>
        <v>36534.896071981711</v>
      </c>
    </row>
    <row r="66" spans="2:3" x14ac:dyDescent="0.2">
      <c r="B66" s="1" t="s">
        <v>68</v>
      </c>
      <c r="C66" s="88">
        <f>Statement!AC77</f>
        <v>237</v>
      </c>
    </row>
    <row r="67" spans="2:3" x14ac:dyDescent="0.2">
      <c r="B67" s="141" t="s">
        <v>208</v>
      </c>
      <c r="C67" s="142">
        <f ca="1">C65/C66</f>
        <v>154.15567962861482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7" t="s">
        <v>214</v>
      </c>
      <c r="C4" s="247"/>
      <c r="N4" s="91"/>
    </row>
    <row r="5" spans="1:14" x14ac:dyDescent="0.2">
      <c r="B5" s="1" t="s">
        <v>215</v>
      </c>
      <c r="C5" s="133">
        <f ca="1">DCF!C26</f>
        <v>138.76356724687497</v>
      </c>
    </row>
    <row r="6" spans="1:14" x14ac:dyDescent="0.2">
      <c r="B6" s="1" t="s">
        <v>216</v>
      </c>
      <c r="C6" s="133">
        <f ca="1">Multiples!C47</f>
        <v>138.71605779137505</v>
      </c>
    </row>
    <row r="7" spans="1:14" x14ac:dyDescent="0.2">
      <c r="B7" s="1" t="s">
        <v>217</v>
      </c>
      <c r="C7" s="133">
        <f ca="1">Multiples!C55</f>
        <v>112.28454742641925</v>
      </c>
    </row>
    <row r="8" spans="1:14" x14ac:dyDescent="0.2">
      <c r="B8" s="1" t="s">
        <v>327</v>
      </c>
      <c r="C8" s="133">
        <f ca="1">Multiples!C67</f>
        <v>154.15567962861482</v>
      </c>
    </row>
    <row r="9" spans="1:14" x14ac:dyDescent="0.2">
      <c r="B9" s="141" t="s">
        <v>218</v>
      </c>
      <c r="C9" s="142">
        <f ca="1">AVERAGE(C5:C8)</f>
        <v>135.97996302332101</v>
      </c>
    </row>
    <row r="10" spans="1:14" x14ac:dyDescent="0.2">
      <c r="B10" s="1" t="s">
        <v>219</v>
      </c>
      <c r="C10" s="133">
        <f ca="1">Overview!C5</f>
        <v>849.28</v>
      </c>
    </row>
    <row r="11" spans="1:14" x14ac:dyDescent="0.2">
      <c r="B11" s="1" t="s">
        <v>220</v>
      </c>
      <c r="C11" s="154">
        <f ca="1">(C9-C10)/C10</f>
        <v>-0.83988794858783788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7.36</v>
      </c>
      <c r="D6" s="230">
        <f>Statement!N25</f>
        <v>-2.56</v>
      </c>
      <c r="E6" s="230">
        <f>Statement!O25</f>
        <v>1.58</v>
      </c>
      <c r="F6" s="230">
        <f>Statement!P25</f>
        <v>6.77</v>
      </c>
      <c r="G6" s="231">
        <f>Statement!Q25</f>
        <v>13.9</v>
      </c>
      <c r="H6" s="137"/>
      <c r="I6" s="137"/>
      <c r="J6" s="137"/>
      <c r="K6" s="137"/>
      <c r="L6" s="137"/>
      <c r="N6" s="91"/>
    </row>
    <row r="7" spans="1:14" x14ac:dyDescent="0.2">
      <c r="B7" s="16" t="s">
        <v>373</v>
      </c>
      <c r="C7" s="230">
        <f>Statement!M81</f>
        <v>2.77</v>
      </c>
      <c r="D7" s="230">
        <f>Statement!N81</f>
        <v>2.8</v>
      </c>
      <c r="E7" s="230">
        <f>Statement!O81</f>
        <v>2.8</v>
      </c>
      <c r="F7" s="230">
        <f>Statement!P81</f>
        <v>2.86</v>
      </c>
      <c r="G7" s="231">
        <f>Statement!Q81</f>
        <v>2.92</v>
      </c>
      <c r="H7" s="137"/>
      <c r="I7" s="137"/>
      <c r="J7" s="137"/>
      <c r="K7" s="137"/>
      <c r="L7" s="137"/>
      <c r="N7" s="91"/>
    </row>
    <row r="8" spans="1:14" x14ac:dyDescent="0.2">
      <c r="N8" s="91"/>
    </row>
    <row r="9" spans="1:14" x14ac:dyDescent="0.2">
      <c r="C9" s="253" t="s">
        <v>121</v>
      </c>
      <c r="D9" s="253"/>
      <c r="E9" s="253"/>
      <c r="F9" s="253"/>
      <c r="G9" s="253"/>
      <c r="H9" s="253"/>
      <c r="I9" s="253"/>
      <c r="J9" s="253"/>
      <c r="K9" s="253"/>
      <c r="L9" s="253"/>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248</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3" t="s">
        <v>374</v>
      </c>
      <c r="D14" s="253"/>
      <c r="E14" s="253"/>
      <c r="F14" s="253"/>
      <c r="G14" s="253"/>
      <c r="H14" s="253"/>
      <c r="I14" s="253"/>
      <c r="J14" s="253"/>
      <c r="K14" s="253"/>
      <c r="L14" s="253"/>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7" t="s">
        <v>376</v>
      </c>
      <c r="C20" s="247"/>
      <c r="N20" s="91"/>
    </row>
    <row r="21" spans="2:14" x14ac:dyDescent="0.2">
      <c r="B21" s="1" t="s">
        <v>377</v>
      </c>
      <c r="C21" s="232">
        <f>G7</f>
        <v>2.92</v>
      </c>
    </row>
    <row r="22" spans="2:14" x14ac:dyDescent="0.2">
      <c r="B22" s="1" t="s">
        <v>378</v>
      </c>
      <c r="C22" s="233">
        <v>0.03</v>
      </c>
    </row>
    <row r="23" spans="2:14" x14ac:dyDescent="0.2">
      <c r="B23" s="39" t="s">
        <v>379</v>
      </c>
      <c r="C23" s="234">
        <f>C21*(1+C22)</f>
        <v>3.0076000000000001</v>
      </c>
    </row>
    <row r="24" spans="2:14" x14ac:dyDescent="0.2">
      <c r="B24" s="1" t="s">
        <v>351</v>
      </c>
      <c r="C24" s="135">
        <f ca="1">IF(Overview!C29&gt;0,Overview!C29,WACC!C19)</f>
        <v>0.14188600000000001</v>
      </c>
    </row>
    <row r="25" spans="2:14" x14ac:dyDescent="0.2">
      <c r="B25" s="39" t="s">
        <v>380</v>
      </c>
      <c r="C25" s="233">
        <v>0.02</v>
      </c>
    </row>
    <row r="26" spans="2:14" x14ac:dyDescent="0.2">
      <c r="B26" s="141" t="s">
        <v>208</v>
      </c>
      <c r="C26" s="142">
        <f ca="1">C23/(C24-C25)</f>
        <v>24.675516466206126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1416.9315068493152</v>
      </c>
      <c r="D7" s="112">
        <f>'FCF &amp; Other'!D28</f>
        <v>1017</v>
      </c>
      <c r="E7" s="112">
        <f>'FCF &amp; Other'!E28</f>
        <v>959.7303370786517</v>
      </c>
      <c r="F7" s="112">
        <f>'FCF &amp; Other'!F28</f>
        <v>965.96364838070076</v>
      </c>
      <c r="G7" s="113">
        <f>'FCF &amp; Other'!G28</f>
        <v>4203.3994579945793</v>
      </c>
      <c r="H7" s="126">
        <f>G7*(1+$C$17)</f>
        <v>8406.7989159891586</v>
      </c>
      <c r="I7" s="126">
        <f t="shared" ref="I7:L7" si="0">H7*(1+$C$17)</f>
        <v>16813.597831978317</v>
      </c>
      <c r="J7" s="126">
        <f t="shared" si="0"/>
        <v>33627.195663956634</v>
      </c>
      <c r="K7" s="126">
        <f t="shared" si="0"/>
        <v>67254.391327913268</v>
      </c>
      <c r="L7" s="126">
        <f t="shared" si="0"/>
        <v>134508.78265582654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1090104.213774978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7372.8223833395041</v>
      </c>
      <c r="I10" s="126">
        <f t="shared" ref="I10:L10" ca="1" si="1">I7/(1+$C$21)^I9</f>
        <v>12932.035234692203</v>
      </c>
      <c r="J10" s="126">
        <f t="shared" ca="1" si="1"/>
        <v>22682.973577287066</v>
      </c>
      <c r="K10" s="126">
        <f t="shared" ca="1" si="1"/>
        <v>39786.257999640322</v>
      </c>
      <c r="L10" s="126">
        <f t="shared" ca="1" si="1"/>
        <v>69785.661929218157</v>
      </c>
      <c r="N10" s="91"/>
    </row>
    <row r="11" spans="1:28" x14ac:dyDescent="0.2">
      <c r="B11" s="1" t="s">
        <v>182</v>
      </c>
      <c r="C11" s="137"/>
      <c r="D11" s="137"/>
      <c r="E11" s="137"/>
      <c r="F11" s="137"/>
      <c r="G11" s="138"/>
      <c r="H11" s="137"/>
      <c r="I11" s="137"/>
      <c r="J11" s="137"/>
      <c r="K11" s="137"/>
      <c r="L11" s="126">
        <f ca="1">L8/(1+C21)^L9</f>
        <v>565566.3714150897</v>
      </c>
    </row>
    <row r="13" spans="1:28" ht="17" thickBot="1" x14ac:dyDescent="0.25"/>
    <row r="14" spans="1:28" x14ac:dyDescent="0.2">
      <c r="B14" s="259" t="s">
        <v>222</v>
      </c>
      <c r="C14" s="260"/>
    </row>
    <row r="15" spans="1:28" x14ac:dyDescent="0.2">
      <c r="B15" s="155" t="s">
        <v>223</v>
      </c>
      <c r="C15" s="156">
        <f ca="1">Overview!C5</f>
        <v>849.28</v>
      </c>
    </row>
    <row r="16" spans="1:28" x14ac:dyDescent="0.2">
      <c r="B16" s="155" t="s">
        <v>224</v>
      </c>
      <c r="C16" s="156">
        <f ca="1">C36</f>
        <v>3155.3529627280482</v>
      </c>
    </row>
    <row r="17" spans="2:9" ht="17" thickBot="1" x14ac:dyDescent="0.25">
      <c r="B17" s="157" t="s">
        <v>328</v>
      </c>
      <c r="C17" s="158">
        <v>1</v>
      </c>
      <c r="E17" s="261" t="s">
        <v>225</v>
      </c>
      <c r="F17" s="261"/>
      <c r="G17" s="261"/>
      <c r="H17" s="261"/>
      <c r="I17" s="261"/>
    </row>
    <row r="18" spans="2:9" ht="17" thickBot="1" x14ac:dyDescent="0.25"/>
    <row r="19" spans="2:9" x14ac:dyDescent="0.2">
      <c r="B19" s="259" t="s">
        <v>183</v>
      </c>
      <c r="C19" s="260"/>
    </row>
    <row r="20" spans="2:9" x14ac:dyDescent="0.2">
      <c r="B20" s="159" t="s">
        <v>184</v>
      </c>
      <c r="C20" s="160">
        <v>1.4999999999999999E-2</v>
      </c>
    </row>
    <row r="21" spans="2:9" x14ac:dyDescent="0.2">
      <c r="B21" s="159" t="s">
        <v>164</v>
      </c>
      <c r="C21" s="222">
        <f ca="1">IF(Overview!C28&gt;0,Overview!C28,WACC!C20)</f>
        <v>0.14024161696694995</v>
      </c>
    </row>
    <row r="22" spans="2:9" x14ac:dyDescent="0.2">
      <c r="B22" s="159" t="s">
        <v>68</v>
      </c>
      <c r="C22" s="223">
        <f>Statement!AC74</f>
        <v>227</v>
      </c>
    </row>
    <row r="23" spans="2:9" x14ac:dyDescent="0.2">
      <c r="B23" s="159" t="s">
        <v>226</v>
      </c>
      <c r="C23" s="161">
        <f ca="1">C15*C22</f>
        <v>192786.56</v>
      </c>
    </row>
    <row r="24" spans="2:9" x14ac:dyDescent="0.2">
      <c r="B24" s="159" t="s">
        <v>177</v>
      </c>
      <c r="C24" s="223">
        <f>Statement!AC105</f>
        <v>1704</v>
      </c>
    </row>
    <row r="25" spans="2:9" x14ac:dyDescent="0.2">
      <c r="B25" s="159" t="s">
        <v>168</v>
      </c>
      <c r="C25" s="223">
        <f>Statement!AC106</f>
        <v>3565</v>
      </c>
    </row>
    <row r="26" spans="2:9" ht="17" thickBot="1" x14ac:dyDescent="0.25">
      <c r="B26" s="157" t="s">
        <v>227</v>
      </c>
      <c r="C26" s="162">
        <f ca="1">C23+C25-C24</f>
        <v>194647.56</v>
      </c>
    </row>
    <row r="27" spans="2:9" ht="17" thickBot="1" x14ac:dyDescent="0.25"/>
    <row r="28" spans="2:9" x14ac:dyDescent="0.2">
      <c r="B28" s="259" t="s">
        <v>185</v>
      </c>
      <c r="C28" s="260"/>
    </row>
    <row r="29" spans="2:9" x14ac:dyDescent="0.2">
      <c r="B29" s="159" t="s">
        <v>186</v>
      </c>
      <c r="C29" s="161">
        <f ca="1">SUM(H10:L10)</f>
        <v>152559.75112417724</v>
      </c>
    </row>
    <row r="30" spans="2:9" x14ac:dyDescent="0.2">
      <c r="B30" s="159" t="s">
        <v>182</v>
      </c>
      <c r="C30" s="161">
        <f ca="1">L11</f>
        <v>565566.3714150897</v>
      </c>
    </row>
    <row r="31" spans="2:9" x14ac:dyDescent="0.2">
      <c r="B31" s="163" t="s">
        <v>187</v>
      </c>
      <c r="C31" s="164">
        <f ca="1">C29+C30</f>
        <v>718126.12253926694</v>
      </c>
    </row>
    <row r="32" spans="2:9" x14ac:dyDescent="0.2">
      <c r="B32" s="159" t="s">
        <v>188</v>
      </c>
      <c r="C32" s="165">
        <f>C24</f>
        <v>1704</v>
      </c>
    </row>
    <row r="33" spans="2:12" x14ac:dyDescent="0.2">
      <c r="B33" s="159" t="s">
        <v>189</v>
      </c>
      <c r="C33" s="165">
        <f>C25</f>
        <v>3565</v>
      </c>
    </row>
    <row r="34" spans="2:12" x14ac:dyDescent="0.2">
      <c r="B34" s="163" t="s">
        <v>190</v>
      </c>
      <c r="C34" s="164">
        <f ca="1">C31+C32-C33</f>
        <v>716265.12253926694</v>
      </c>
    </row>
    <row r="35" spans="2:12" x14ac:dyDescent="0.2">
      <c r="B35" s="159" t="s">
        <v>68</v>
      </c>
      <c r="C35" s="161">
        <f>C22</f>
        <v>227</v>
      </c>
    </row>
    <row r="36" spans="2:12" ht="17" thickBot="1" x14ac:dyDescent="0.25">
      <c r="B36" s="166" t="s">
        <v>191</v>
      </c>
      <c r="C36" s="167">
        <f ca="1">C34/C35</f>
        <v>3155.3529627280482</v>
      </c>
    </row>
    <row r="39" spans="2:12" x14ac:dyDescent="0.2">
      <c r="C39" s="253" t="s">
        <v>228</v>
      </c>
      <c r="D39" s="253"/>
      <c r="E39" s="253"/>
      <c r="F39" s="253"/>
      <c r="G39" s="253"/>
      <c r="H39" s="253"/>
      <c r="I39" s="253"/>
      <c r="J39" s="253"/>
      <c r="K39" s="253"/>
      <c r="L39" s="253"/>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1416.9315068493152</v>
      </c>
      <c r="D41" s="112">
        <f t="shared" si="2"/>
        <v>1017</v>
      </c>
      <c r="E41" s="112">
        <f t="shared" si="2"/>
        <v>959.7303370786517</v>
      </c>
      <c r="F41" s="112">
        <f t="shared" si="2"/>
        <v>965.96364838070076</v>
      </c>
      <c r="G41" s="113">
        <f t="shared" si="2"/>
        <v>4203.3994579945793</v>
      </c>
      <c r="H41" s="143">
        <f t="shared" si="2"/>
        <v>8406.7989159891586</v>
      </c>
      <c r="I41" s="143">
        <f t="shared" si="2"/>
        <v>16813.597831978317</v>
      </c>
      <c r="J41" s="143">
        <f t="shared" si="2"/>
        <v>33627.195663956634</v>
      </c>
      <c r="K41" s="143">
        <f t="shared" si="2"/>
        <v>67254.391327913268</v>
      </c>
      <c r="L41" s="143">
        <f t="shared" si="2"/>
        <v>134508.78265582654</v>
      </c>
    </row>
    <row r="42" spans="2:12" x14ac:dyDescent="0.2">
      <c r="B42" s="1" t="s">
        <v>156</v>
      </c>
      <c r="C42" s="112">
        <f>'FCF &amp; Other'!C10</f>
        <v>1955</v>
      </c>
      <c r="D42" s="112">
        <f>'FCF &amp; Other'!D10</f>
        <v>-342</v>
      </c>
      <c r="E42" s="112">
        <f>'FCF &amp; Other'!E10</f>
        <v>452</v>
      </c>
      <c r="F42" s="112">
        <f>'FCF &amp; Other'!F10</f>
        <v>1890</v>
      </c>
      <c r="G42" s="113">
        <f>'FCF &amp; Other'!G10</f>
        <v>4094</v>
      </c>
      <c r="H42" s="143">
        <f>H41/H43</f>
        <v>7642.5444690810527</v>
      </c>
      <c r="I42" s="143">
        <f t="shared" ref="I42:L42" si="3">I41/I43</f>
        <v>15285.088938162105</v>
      </c>
      <c r="J42" s="143">
        <f t="shared" si="3"/>
        <v>30570.177876324211</v>
      </c>
      <c r="K42" s="143">
        <f t="shared" si="3"/>
        <v>61140.355752648422</v>
      </c>
      <c r="L42" s="143">
        <f t="shared" si="3"/>
        <v>122280.71150529684</v>
      </c>
    </row>
    <row r="43" spans="2:12" x14ac:dyDescent="0.2">
      <c r="B43" s="122" t="s">
        <v>329</v>
      </c>
      <c r="C43" s="95">
        <f>C41/C42</f>
        <v>0.7247731492835372</v>
      </c>
      <c r="D43" s="95">
        <f t="shared" ref="D43:G43" si="4">D41/D42</f>
        <v>-2.9736842105263159</v>
      </c>
      <c r="E43" s="95">
        <f t="shared" si="4"/>
        <v>2.1232972059262205</v>
      </c>
      <c r="F43" s="95">
        <f t="shared" si="4"/>
        <v>0.5110918774501062</v>
      </c>
      <c r="G43" s="96">
        <f t="shared" si="4"/>
        <v>1.0267218998521199</v>
      </c>
      <c r="H43" s="168">
        <v>1.1000000000000001</v>
      </c>
      <c r="I43" s="168">
        <v>1.1000000000000001</v>
      </c>
      <c r="J43" s="168">
        <v>1.1000000000000001</v>
      </c>
      <c r="K43" s="168">
        <v>1.1000000000000001</v>
      </c>
      <c r="L43" s="168">
        <v>1.1000000000000001</v>
      </c>
    </row>
    <row r="44" spans="2:12" x14ac:dyDescent="0.2">
      <c r="B44" s="1" t="s">
        <v>19</v>
      </c>
      <c r="C44" s="112">
        <f>Revenue!C8</f>
        <v>11661</v>
      </c>
      <c r="D44" s="112">
        <f>Revenue!D8</f>
        <v>7384</v>
      </c>
      <c r="E44" s="112">
        <f>Revenue!E8</f>
        <v>6551</v>
      </c>
      <c r="F44" s="112">
        <f>Revenue!F8</f>
        <v>9097</v>
      </c>
      <c r="G44" s="113">
        <f>Revenue!G8</f>
        <v>12195</v>
      </c>
      <c r="H44" s="143">
        <f>H41/H45</f>
        <v>840679.8915989158</v>
      </c>
      <c r="I44" s="143">
        <f t="shared" ref="I44:L44" si="5">I41/I45</f>
        <v>840679.8915989158</v>
      </c>
      <c r="J44" s="143">
        <f t="shared" si="5"/>
        <v>800647.51580849127</v>
      </c>
      <c r="K44" s="143">
        <f t="shared" si="5"/>
        <v>960777.0189701895</v>
      </c>
      <c r="L44" s="143">
        <f t="shared" si="5"/>
        <v>896725.21770551032</v>
      </c>
    </row>
    <row r="45" spans="2:12" x14ac:dyDescent="0.2">
      <c r="B45" s="122" t="s">
        <v>330</v>
      </c>
      <c r="C45" s="95">
        <f>C41/C44</f>
        <v>0.12151029130000129</v>
      </c>
      <c r="D45" s="95">
        <f t="shared" ref="D45:G45" si="6">D41/D44</f>
        <v>0.13773022751895991</v>
      </c>
      <c r="E45" s="95">
        <f t="shared" si="6"/>
        <v>0.14650134896636419</v>
      </c>
      <c r="F45" s="95">
        <f t="shared" si="6"/>
        <v>0.10618485746737394</v>
      </c>
      <c r="G45" s="96">
        <f t="shared" si="6"/>
        <v>0.34468220237757929</v>
      </c>
      <c r="H45" s="168">
        <v>0.01</v>
      </c>
      <c r="I45" s="168">
        <v>0.02</v>
      </c>
      <c r="J45" s="168">
        <v>4.2000000000000003E-2</v>
      </c>
      <c r="K45" s="168">
        <v>7.0000000000000007E-2</v>
      </c>
      <c r="L45" s="168">
        <v>0.15</v>
      </c>
    </row>
    <row r="46" spans="2:12" x14ac:dyDescent="0.2">
      <c r="B46" s="122" t="s">
        <v>331</v>
      </c>
      <c r="C46" s="137"/>
      <c r="D46" s="95">
        <f>D41/C41-1</f>
        <v>-0.28225182721682973</v>
      </c>
      <c r="E46" s="95">
        <f t="shared" ref="E46:L47" si="7">E41/D41-1</f>
        <v>-5.6312352921679798E-2</v>
      </c>
      <c r="F46" s="95">
        <f t="shared" si="7"/>
        <v>6.494857004335941E-3</v>
      </c>
      <c r="G46" s="96">
        <f t="shared" si="7"/>
        <v>3.3515089465747225</v>
      </c>
      <c r="H46" s="169">
        <f t="shared" si="7"/>
        <v>1</v>
      </c>
      <c r="I46" s="169">
        <f t="shared" si="7"/>
        <v>1</v>
      </c>
      <c r="J46" s="169">
        <f t="shared" si="7"/>
        <v>1</v>
      </c>
      <c r="K46" s="169">
        <f t="shared" si="7"/>
        <v>1</v>
      </c>
      <c r="L46" s="169">
        <f t="shared" si="7"/>
        <v>1</v>
      </c>
    </row>
    <row r="47" spans="2:12" x14ac:dyDescent="0.2">
      <c r="B47" s="122" t="s">
        <v>229</v>
      </c>
      <c r="C47" s="137"/>
      <c r="D47" s="95">
        <f>D42/C42-1</f>
        <v>-1.1749360613810742</v>
      </c>
      <c r="E47" s="95">
        <f t="shared" si="7"/>
        <v>-2.3216374269005851</v>
      </c>
      <c r="F47" s="95">
        <f t="shared" si="7"/>
        <v>3.1814159292035402</v>
      </c>
      <c r="G47" s="96">
        <f t="shared" si="7"/>
        <v>1.1661375661375661</v>
      </c>
      <c r="H47" s="169">
        <f t="shared" si="7"/>
        <v>0.86676709064021806</v>
      </c>
      <c r="I47" s="169">
        <f t="shared" si="7"/>
        <v>1</v>
      </c>
      <c r="J47" s="169">
        <f t="shared" si="7"/>
        <v>1</v>
      </c>
      <c r="K47" s="169">
        <f t="shared" si="7"/>
        <v>1</v>
      </c>
      <c r="L47" s="169">
        <f t="shared" si="7"/>
        <v>1</v>
      </c>
    </row>
    <row r="48" spans="2:12" x14ac:dyDescent="0.2">
      <c r="B48" s="122" t="s">
        <v>230</v>
      </c>
      <c r="C48" s="137"/>
      <c r="D48" s="95">
        <f>D44/C44-1</f>
        <v>-0.36677814938684505</v>
      </c>
      <c r="E48" s="95">
        <f t="shared" ref="E48:L48" si="8">E44/D44-1</f>
        <v>-0.11281148429035748</v>
      </c>
      <c r="F48" s="95">
        <f t="shared" si="8"/>
        <v>0.38864295527400405</v>
      </c>
      <c r="G48" s="96">
        <f t="shared" si="8"/>
        <v>0.34055183027371672</v>
      </c>
      <c r="H48" s="169">
        <f t="shared" si="8"/>
        <v>67.936440475515852</v>
      </c>
      <c r="I48" s="169">
        <f t="shared" si="8"/>
        <v>0</v>
      </c>
      <c r="J48" s="169">
        <f t="shared" si="8"/>
        <v>-4.7619047619047561E-2</v>
      </c>
      <c r="K48" s="169">
        <f t="shared" si="8"/>
        <v>0.19999999999999996</v>
      </c>
      <c r="L48" s="169">
        <f t="shared" si="8"/>
        <v>-6.6666666666666541E-2</v>
      </c>
    </row>
    <row r="49" spans="2:12" x14ac:dyDescent="0.2">
      <c r="B49" s="122" t="s">
        <v>231</v>
      </c>
      <c r="C49" s="95">
        <f>C42/C44</f>
        <v>0.16765285996055226</v>
      </c>
      <c r="D49" s="95">
        <f t="shared" ref="D49:L49" si="9">D42/D44</f>
        <v>-4.6316359696641385E-2</v>
      </c>
      <c r="E49" s="95">
        <f t="shared" si="9"/>
        <v>6.8997099679438248E-2</v>
      </c>
      <c r="F49" s="95">
        <f t="shared" si="9"/>
        <v>0.20776080026382324</v>
      </c>
      <c r="G49" s="96">
        <f t="shared" si="9"/>
        <v>0.33571135711357114</v>
      </c>
      <c r="H49" s="169">
        <f t="shared" si="9"/>
        <v>9.0909090909090905E-3</v>
      </c>
      <c r="I49" s="169">
        <f t="shared" si="9"/>
        <v>1.8181818181818181E-2</v>
      </c>
      <c r="J49" s="169">
        <f t="shared" si="9"/>
        <v>3.8181818181818178E-2</v>
      </c>
      <c r="K49" s="169">
        <f t="shared" si="9"/>
        <v>6.363636363636363E-2</v>
      </c>
      <c r="L49" s="169">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2026-09-04T21:37:45Z</dcterms:modified>
</cp:coreProperties>
</file>