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codeName="ThisWorkbook"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2D236EA2-0E50-2244-8578-858B5C94B58F}"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4" i="17" l="1"/>
  <c r="F94" i="17"/>
  <c r="E94" i="17"/>
  <c r="D94" i="17"/>
  <c r="C94" i="17"/>
  <c r="G91" i="17"/>
  <c r="F91" i="17"/>
  <c r="E91" i="17"/>
  <c r="D91" i="17"/>
  <c r="G90" i="17"/>
  <c r="F90" i="17"/>
  <c r="E90" i="17"/>
  <c r="D90" i="17"/>
  <c r="C91" i="17"/>
  <c r="C90" i="17"/>
  <c r="I91" i="17"/>
  <c r="I90" i="17"/>
  <c r="G89" i="17"/>
  <c r="F89" i="17"/>
  <c r="E89" i="17"/>
  <c r="D89" i="17"/>
  <c r="C89" i="17"/>
  <c r="G88" i="17"/>
  <c r="F88" i="17"/>
  <c r="E88" i="17"/>
  <c r="D88" i="17"/>
  <c r="C88" i="17"/>
  <c r="C61" i="16"/>
  <c r="C60" i="16"/>
  <c r="AC156" i="3"/>
  <c r="I13" i="1"/>
  <c r="H7" i="1"/>
  <c r="H6" i="1"/>
  <c r="C83" i="12"/>
  <c r="C81" i="12"/>
  <c r="C80" i="12"/>
  <c r="C74" i="12"/>
  <c r="C77" i="12" s="1"/>
  <c r="G36" i="12"/>
  <c r="F36" i="12"/>
  <c r="E36" i="12"/>
  <c r="D36" i="12"/>
  <c r="C36" i="12"/>
  <c r="G15" i="8"/>
  <c r="F15" i="8"/>
  <c r="E15" i="8"/>
  <c r="D15" i="8"/>
  <c r="C15" i="8"/>
  <c r="C46" i="1"/>
  <c r="AC64" i="3"/>
  <c r="AC60" i="3"/>
  <c r="AA108" i="3"/>
  <c r="AA41" i="3"/>
  <c r="AA35" i="3"/>
  <c r="AA19" i="3"/>
  <c r="AA10" i="3"/>
  <c r="Z209" i="3"/>
  <c r="Y209" i="3"/>
  <c r="X209" i="3"/>
  <c r="W209" i="3"/>
  <c r="V209" i="3"/>
  <c r="U209" i="3"/>
  <c r="T209" i="3"/>
  <c r="Z191" i="3"/>
  <c r="Y191" i="3"/>
  <c r="X191" i="3"/>
  <c r="W191" i="3"/>
  <c r="V191" i="3"/>
  <c r="U191" i="3"/>
  <c r="T191" i="3"/>
  <c r="Z190" i="3"/>
  <c r="Y190" i="3"/>
  <c r="X190" i="3"/>
  <c r="W190" i="3"/>
  <c r="V190" i="3"/>
  <c r="U190" i="3"/>
  <c r="T190" i="3"/>
  <c r="X172" i="3"/>
  <c r="W172" i="3"/>
  <c r="T172" i="3"/>
  <c r="X171" i="3"/>
  <c r="W171" i="3"/>
  <c r="T171" i="3"/>
  <c r="Z147" i="3"/>
  <c r="Y147" i="3"/>
  <c r="X147" i="3"/>
  <c r="W147" i="3"/>
  <c r="V147" i="3"/>
  <c r="U147" i="3"/>
  <c r="T147" i="3"/>
  <c r="Z146" i="3"/>
  <c r="Y146" i="3"/>
  <c r="X146" i="3"/>
  <c r="W146" i="3"/>
  <c r="V146" i="3"/>
  <c r="U146" i="3"/>
  <c r="T146" i="3"/>
  <c r="Z141" i="3"/>
  <c r="Y141" i="3"/>
  <c r="X141" i="3"/>
  <c r="W141" i="3"/>
  <c r="V141" i="3"/>
  <c r="U141" i="3"/>
  <c r="T141" i="3"/>
  <c r="Z140" i="3"/>
  <c r="Y140" i="3"/>
  <c r="X140" i="3"/>
  <c r="W140" i="3"/>
  <c r="V140" i="3"/>
  <c r="U140" i="3"/>
  <c r="T140" i="3"/>
  <c r="Z139" i="3"/>
  <c r="Z142" i="3" s="1"/>
  <c r="Y139" i="3"/>
  <c r="Y142" i="3" s="1"/>
  <c r="X139" i="3"/>
  <c r="X142" i="3" s="1"/>
  <c r="W139" i="3"/>
  <c r="W142" i="3" s="1"/>
  <c r="V139" i="3"/>
  <c r="V142" i="3" s="1"/>
  <c r="U139" i="3"/>
  <c r="U142" i="3" s="1"/>
  <c r="T139" i="3"/>
  <c r="T142" i="3" s="1"/>
  <c r="Z133" i="3"/>
  <c r="Z134" i="3" s="1"/>
  <c r="Y133" i="3"/>
  <c r="Y134" i="3" s="1"/>
  <c r="X133" i="3"/>
  <c r="X134" i="3" s="1"/>
  <c r="W133" i="3"/>
  <c r="W134" i="3" s="1"/>
  <c r="V133" i="3"/>
  <c r="V134" i="3" s="1"/>
  <c r="U133" i="3"/>
  <c r="U134" i="3" s="1"/>
  <c r="T133" i="3"/>
  <c r="T134" i="3" s="1"/>
  <c r="Z129" i="3"/>
  <c r="Z130" i="3" s="1"/>
  <c r="Y129" i="3"/>
  <c r="Y130" i="3" s="1"/>
  <c r="X129" i="3"/>
  <c r="X130" i="3" s="1"/>
  <c r="W129" i="3"/>
  <c r="W130" i="3" s="1"/>
  <c r="V129" i="3"/>
  <c r="V130" i="3" s="1"/>
  <c r="U129" i="3"/>
  <c r="U130" i="3" s="1"/>
  <c r="T129" i="3"/>
  <c r="T130" i="3" s="1"/>
  <c r="Z115" i="3"/>
  <c r="Y115" i="3"/>
  <c r="X115" i="3"/>
  <c r="W115" i="3"/>
  <c r="V115" i="3"/>
  <c r="U115" i="3"/>
  <c r="T115" i="3"/>
  <c r="Z110" i="3"/>
  <c r="Z70" i="3" s="1"/>
  <c r="Y110" i="3"/>
  <c r="Y70" i="3" s="1"/>
  <c r="X110" i="3"/>
  <c r="X70" i="3" s="1"/>
  <c r="W110" i="3"/>
  <c r="W70" i="3" s="1"/>
  <c r="V110" i="3"/>
  <c r="V70" i="3" s="1"/>
  <c r="U110" i="3"/>
  <c r="U70" i="3" s="1"/>
  <c r="T110" i="3"/>
  <c r="T70" i="3" s="1"/>
  <c r="Z109" i="3"/>
  <c r="Y109" i="3"/>
  <c r="X109" i="3"/>
  <c r="W109" i="3"/>
  <c r="V109" i="3"/>
  <c r="U109" i="3"/>
  <c r="T109" i="3"/>
  <c r="Z108" i="3"/>
  <c r="Y108" i="3"/>
  <c r="X108" i="3"/>
  <c r="W108" i="3"/>
  <c r="V108" i="3"/>
  <c r="U108" i="3"/>
  <c r="T108" i="3"/>
  <c r="Z106" i="3"/>
  <c r="Y106" i="3"/>
  <c r="X106" i="3"/>
  <c r="W106" i="3"/>
  <c r="V106" i="3"/>
  <c r="U106" i="3"/>
  <c r="T106" i="3"/>
  <c r="Z105" i="3"/>
  <c r="Y105" i="3"/>
  <c r="X105" i="3"/>
  <c r="W105" i="3"/>
  <c r="V105" i="3"/>
  <c r="U105" i="3"/>
  <c r="T105" i="3"/>
  <c r="Z104" i="3"/>
  <c r="Y104" i="3"/>
  <c r="X104" i="3"/>
  <c r="W104" i="3"/>
  <c r="V104" i="3"/>
  <c r="U104" i="3"/>
  <c r="T104" i="3"/>
  <c r="Z101" i="3"/>
  <c r="Y101" i="3"/>
  <c r="X101" i="3"/>
  <c r="W101" i="3"/>
  <c r="V101" i="3"/>
  <c r="U101" i="3"/>
  <c r="T101" i="3"/>
  <c r="Z100" i="3"/>
  <c r="Y100" i="3"/>
  <c r="X100" i="3"/>
  <c r="W100" i="3"/>
  <c r="V100" i="3"/>
  <c r="U100" i="3"/>
  <c r="T100" i="3"/>
  <c r="Z99" i="3"/>
  <c r="Y99" i="3"/>
  <c r="X99" i="3"/>
  <c r="W99" i="3"/>
  <c r="V99" i="3"/>
  <c r="U99" i="3"/>
  <c r="T99" i="3"/>
  <c r="Z96" i="3"/>
  <c r="Y96" i="3"/>
  <c r="X96" i="3"/>
  <c r="W96" i="3"/>
  <c r="V96" i="3"/>
  <c r="U96" i="3"/>
  <c r="T96" i="3"/>
  <c r="Z95" i="3"/>
  <c r="Y95" i="3"/>
  <c r="X95" i="3"/>
  <c r="W95" i="3"/>
  <c r="V95" i="3"/>
  <c r="U95" i="3"/>
  <c r="T95" i="3"/>
  <c r="Z94" i="3"/>
  <c r="Y94" i="3"/>
  <c r="X94" i="3"/>
  <c r="W94" i="3"/>
  <c r="V94" i="3"/>
  <c r="U94" i="3"/>
  <c r="T94" i="3"/>
  <c r="Z93" i="3"/>
  <c r="Y93" i="3"/>
  <c r="Z92" i="3"/>
  <c r="Y92" i="3"/>
  <c r="X92" i="3"/>
  <c r="W92" i="3"/>
  <c r="V92" i="3"/>
  <c r="U92" i="3"/>
  <c r="T92" i="3"/>
  <c r="Z91" i="3"/>
  <c r="Y91" i="3"/>
  <c r="X91" i="3"/>
  <c r="W91" i="3"/>
  <c r="V91" i="3"/>
  <c r="U91" i="3"/>
  <c r="T91" i="3"/>
  <c r="Z89" i="3"/>
  <c r="Y89" i="3"/>
  <c r="X89" i="3"/>
  <c r="W89" i="3"/>
  <c r="V89" i="3"/>
  <c r="U89" i="3"/>
  <c r="T89" i="3"/>
  <c r="Z88" i="3"/>
  <c r="Y88" i="3"/>
  <c r="X88" i="3"/>
  <c r="W88" i="3"/>
  <c r="V88" i="3"/>
  <c r="U88" i="3"/>
  <c r="T88" i="3"/>
  <c r="Z82" i="3"/>
  <c r="Y82" i="3"/>
  <c r="X82" i="3"/>
  <c r="W82" i="3"/>
  <c r="V82" i="3"/>
  <c r="U82" i="3"/>
  <c r="T82" i="3"/>
  <c r="Z81" i="3"/>
  <c r="Y81" i="3"/>
  <c r="X81" i="3"/>
  <c r="W81" i="3"/>
  <c r="V81" i="3"/>
  <c r="U81" i="3"/>
  <c r="T81" i="3"/>
  <c r="Z76" i="3"/>
  <c r="Y76" i="3"/>
  <c r="X76" i="3"/>
  <c r="W76" i="3"/>
  <c r="V76" i="3"/>
  <c r="U76" i="3"/>
  <c r="T76" i="3"/>
  <c r="Z74" i="3"/>
  <c r="Z77" i="3" s="1"/>
  <c r="Y74" i="3"/>
  <c r="Y77" i="3" s="1"/>
  <c r="X74" i="3"/>
  <c r="X77" i="3" s="1"/>
  <c r="W74" i="3"/>
  <c r="W77" i="3" s="1"/>
  <c r="V74" i="3"/>
  <c r="V77" i="3" s="1"/>
  <c r="U74" i="3"/>
  <c r="U77" i="3" s="1"/>
  <c r="T74" i="3"/>
  <c r="T77" i="3" s="1"/>
  <c r="Z65" i="3"/>
  <c r="Y65" i="3"/>
  <c r="V65" i="3"/>
  <c r="U65" i="3"/>
  <c r="Z63" i="3"/>
  <c r="Y63" i="3"/>
  <c r="V63" i="3"/>
  <c r="U63" i="3"/>
  <c r="Z62" i="3"/>
  <c r="Z61" i="3"/>
  <c r="Y61" i="3"/>
  <c r="V61" i="3"/>
  <c r="U61" i="3"/>
  <c r="Z59" i="3"/>
  <c r="Y59" i="3"/>
  <c r="V59" i="3"/>
  <c r="U59" i="3"/>
  <c r="Z58" i="3"/>
  <c r="Z155" i="3" s="1"/>
  <c r="Y58" i="3"/>
  <c r="V58" i="3"/>
  <c r="V155" i="3" s="1"/>
  <c r="U58" i="3"/>
  <c r="U155" i="3" s="1"/>
  <c r="Z57" i="3"/>
  <c r="Y57" i="3"/>
  <c r="X57" i="3"/>
  <c r="V57" i="3"/>
  <c r="U57" i="3"/>
  <c r="T57" i="3"/>
  <c r="Z56" i="3"/>
  <c r="Y56" i="3"/>
  <c r="Z55" i="3"/>
  <c r="Y55" i="3"/>
  <c r="V55" i="3"/>
  <c r="U55" i="3"/>
  <c r="Z54" i="3"/>
  <c r="Y54" i="3"/>
  <c r="U54" i="3"/>
  <c r="Z53" i="3"/>
  <c r="Y53" i="3"/>
  <c r="V53" i="3"/>
  <c r="U53" i="3"/>
  <c r="Z52" i="3"/>
  <c r="Y52" i="3"/>
  <c r="V52" i="3"/>
  <c r="U52" i="3"/>
  <c r="Z41" i="3"/>
  <c r="Y41" i="3"/>
  <c r="X41" i="3"/>
  <c r="W41" i="3"/>
  <c r="V41" i="3"/>
  <c r="U41" i="3"/>
  <c r="T41" i="3"/>
  <c r="Z35" i="3"/>
  <c r="Y35" i="3"/>
  <c r="X35" i="3"/>
  <c r="W35" i="3"/>
  <c r="V35" i="3"/>
  <c r="U35" i="3"/>
  <c r="T35" i="3"/>
  <c r="Z25" i="3"/>
  <c r="Y25" i="3"/>
  <c r="X25" i="3"/>
  <c r="W25" i="3"/>
  <c r="V25" i="3"/>
  <c r="U25" i="3"/>
  <c r="T25" i="3"/>
  <c r="Z23" i="3"/>
  <c r="Y23" i="3"/>
  <c r="X23" i="3"/>
  <c r="W23" i="3"/>
  <c r="V23" i="3"/>
  <c r="U23" i="3"/>
  <c r="T23" i="3"/>
  <c r="Z21" i="3"/>
  <c r="Y21" i="3"/>
  <c r="X21" i="3"/>
  <c r="W21" i="3"/>
  <c r="V21" i="3"/>
  <c r="U21" i="3"/>
  <c r="T21" i="3"/>
  <c r="Z19" i="3"/>
  <c r="Y19" i="3"/>
  <c r="X19" i="3"/>
  <c r="W19" i="3"/>
  <c r="V19" i="3"/>
  <c r="U19" i="3"/>
  <c r="T19" i="3"/>
  <c r="Z10" i="3"/>
  <c r="Y10" i="3"/>
  <c r="X10" i="3"/>
  <c r="W10" i="3"/>
  <c r="V10" i="3"/>
  <c r="U10" i="3"/>
  <c r="T10" i="3"/>
  <c r="Z7" i="3"/>
  <c r="Y7" i="3"/>
  <c r="Z90" i="3" s="1"/>
  <c r="X7" i="3"/>
  <c r="Y90" i="3" s="1"/>
  <c r="W7" i="3"/>
  <c r="X90" i="3" s="1"/>
  <c r="V7" i="3"/>
  <c r="W90" i="3" s="1"/>
  <c r="U7" i="3"/>
  <c r="V90" i="3" s="1"/>
  <c r="T7" i="3"/>
  <c r="Q209" i="3"/>
  <c r="G20" i="5" s="1"/>
  <c r="Q57" i="3"/>
  <c r="Q10" i="3"/>
  <c r="G14" i="6"/>
  <c r="P209" i="3"/>
  <c r="O209" i="3"/>
  <c r="N209" i="3"/>
  <c r="M209" i="3"/>
  <c r="L209" i="3"/>
  <c r="P200" i="3"/>
  <c r="O200" i="3"/>
  <c r="N200" i="3"/>
  <c r="M200" i="3"/>
  <c r="H71" i="19" s="1"/>
  <c r="P195" i="3"/>
  <c r="O195" i="3"/>
  <c r="N195" i="3"/>
  <c r="M195" i="3"/>
  <c r="L195" i="3"/>
  <c r="P191" i="3"/>
  <c r="O191" i="3"/>
  <c r="N191" i="3"/>
  <c r="M191" i="3"/>
  <c r="L191" i="3"/>
  <c r="P190" i="3"/>
  <c r="O190" i="3"/>
  <c r="N190" i="3"/>
  <c r="M190" i="3"/>
  <c r="L190" i="3"/>
  <c r="P181" i="3"/>
  <c r="O181" i="3"/>
  <c r="N181" i="3"/>
  <c r="M181" i="3"/>
  <c r="L181" i="3"/>
  <c r="P180" i="3"/>
  <c r="O180" i="3"/>
  <c r="N180" i="3"/>
  <c r="M180" i="3"/>
  <c r="L180" i="3"/>
  <c r="P179" i="3"/>
  <c r="O179" i="3"/>
  <c r="N179" i="3"/>
  <c r="M179" i="3"/>
  <c r="L179" i="3"/>
  <c r="P178" i="3"/>
  <c r="O178" i="3"/>
  <c r="N178" i="3"/>
  <c r="M178" i="3"/>
  <c r="L178" i="3"/>
  <c r="P177" i="3"/>
  <c r="O177" i="3"/>
  <c r="N177" i="3"/>
  <c r="M177" i="3"/>
  <c r="L177" i="3"/>
  <c r="P176" i="3"/>
  <c r="O176" i="3"/>
  <c r="N176" i="3"/>
  <c r="M176" i="3"/>
  <c r="L176" i="3"/>
  <c r="P175" i="3"/>
  <c r="O175" i="3"/>
  <c r="N175" i="3"/>
  <c r="M175" i="3"/>
  <c r="L175" i="3"/>
  <c r="P172" i="3"/>
  <c r="O172" i="3"/>
  <c r="N172" i="3"/>
  <c r="M172" i="3"/>
  <c r="L172" i="3"/>
  <c r="P171" i="3"/>
  <c r="O171" i="3"/>
  <c r="N171" i="3"/>
  <c r="M171" i="3"/>
  <c r="L171" i="3"/>
  <c r="L170" i="3"/>
  <c r="P155" i="3"/>
  <c r="O155" i="3"/>
  <c r="N155" i="3"/>
  <c r="M155" i="3"/>
  <c r="L155" i="3"/>
  <c r="P147" i="3"/>
  <c r="O147" i="3"/>
  <c r="N147" i="3"/>
  <c r="M147" i="3"/>
  <c r="L147" i="3"/>
  <c r="P146" i="3"/>
  <c r="O146" i="3"/>
  <c r="N146" i="3"/>
  <c r="M146" i="3"/>
  <c r="L146" i="3"/>
  <c r="P145" i="3"/>
  <c r="O145" i="3"/>
  <c r="N145" i="3"/>
  <c r="M145" i="3"/>
  <c r="L145" i="3"/>
  <c r="P144" i="3"/>
  <c r="O144" i="3"/>
  <c r="N144" i="3"/>
  <c r="M144" i="3"/>
  <c r="L144" i="3"/>
  <c r="P143" i="3"/>
  <c r="O143" i="3"/>
  <c r="N143" i="3"/>
  <c r="M143" i="3"/>
  <c r="L143" i="3"/>
  <c r="P141" i="3"/>
  <c r="O141" i="3"/>
  <c r="N141" i="3"/>
  <c r="M141" i="3"/>
  <c r="L141" i="3"/>
  <c r="P140" i="3"/>
  <c r="O140" i="3"/>
  <c r="N140" i="3"/>
  <c r="M140" i="3"/>
  <c r="L140" i="3"/>
  <c r="P139" i="3"/>
  <c r="P142" i="3" s="1"/>
  <c r="O139" i="3"/>
  <c r="O142" i="3" s="1"/>
  <c r="N139" i="3"/>
  <c r="N142" i="3" s="1"/>
  <c r="M139" i="3"/>
  <c r="M142" i="3" s="1"/>
  <c r="L139" i="3"/>
  <c r="L142" i="3" s="1"/>
  <c r="P122" i="3"/>
  <c r="O122" i="3"/>
  <c r="N122" i="3"/>
  <c r="M122" i="3"/>
  <c r="L122" i="3"/>
  <c r="P120" i="3"/>
  <c r="O120" i="3"/>
  <c r="N120" i="3"/>
  <c r="M120" i="3"/>
  <c r="L120" i="3"/>
  <c r="P119" i="3"/>
  <c r="P121" i="3" s="1"/>
  <c r="P123" i="3" s="1"/>
  <c r="O119" i="3"/>
  <c r="O121" i="3" s="1"/>
  <c r="O123" i="3" s="1"/>
  <c r="N119" i="3"/>
  <c r="N121" i="3" s="1"/>
  <c r="N123" i="3" s="1"/>
  <c r="M119" i="3"/>
  <c r="M121" i="3" s="1"/>
  <c r="M123" i="3" s="1"/>
  <c r="L119" i="3"/>
  <c r="L121" i="3" s="1"/>
  <c r="P115" i="3"/>
  <c r="O115" i="3"/>
  <c r="N115" i="3"/>
  <c r="M115" i="3"/>
  <c r="L115" i="3"/>
  <c r="P110" i="3"/>
  <c r="O110" i="3"/>
  <c r="N110" i="3"/>
  <c r="M110" i="3"/>
  <c r="L110" i="3"/>
  <c r="P109" i="3"/>
  <c r="O109" i="3"/>
  <c r="N109" i="3"/>
  <c r="M109" i="3"/>
  <c r="L109" i="3"/>
  <c r="P108" i="3"/>
  <c r="O108" i="3"/>
  <c r="N108" i="3"/>
  <c r="M108" i="3"/>
  <c r="L108" i="3"/>
  <c r="P106" i="3"/>
  <c r="O106" i="3"/>
  <c r="N106" i="3"/>
  <c r="M106" i="3"/>
  <c r="L106" i="3"/>
  <c r="P105" i="3"/>
  <c r="O105" i="3"/>
  <c r="N105" i="3"/>
  <c r="M105" i="3"/>
  <c r="L105" i="3"/>
  <c r="P101" i="3"/>
  <c r="O101" i="3"/>
  <c r="N101" i="3"/>
  <c r="M101" i="3"/>
  <c r="L101" i="3"/>
  <c r="P100" i="3"/>
  <c r="O100" i="3"/>
  <c r="N100" i="3"/>
  <c r="M100" i="3"/>
  <c r="L100" i="3"/>
  <c r="P96" i="3"/>
  <c r="O96" i="3"/>
  <c r="N96" i="3"/>
  <c r="M96" i="3"/>
  <c r="L96" i="3"/>
  <c r="P95" i="3"/>
  <c r="O95" i="3"/>
  <c r="N95" i="3"/>
  <c r="M95" i="3"/>
  <c r="L95" i="3"/>
  <c r="P94" i="3"/>
  <c r="O94" i="3"/>
  <c r="N94" i="3"/>
  <c r="M94" i="3"/>
  <c r="L94" i="3"/>
  <c r="P92" i="3"/>
  <c r="O92" i="3"/>
  <c r="N92" i="3"/>
  <c r="M92" i="3"/>
  <c r="L92" i="3"/>
  <c r="P91" i="3"/>
  <c r="O91" i="3"/>
  <c r="N91" i="3"/>
  <c r="M91" i="3"/>
  <c r="L91" i="3"/>
  <c r="P89" i="3"/>
  <c r="O89" i="3"/>
  <c r="N89" i="3"/>
  <c r="M89" i="3"/>
  <c r="L89" i="3"/>
  <c r="P88" i="3"/>
  <c r="O88" i="3"/>
  <c r="N88" i="3"/>
  <c r="M88" i="3"/>
  <c r="L88" i="3"/>
  <c r="P82" i="3"/>
  <c r="P104" i="3" s="1"/>
  <c r="P107" i="3" s="1"/>
  <c r="O82" i="3"/>
  <c r="O104" i="3" s="1"/>
  <c r="O107" i="3" s="1"/>
  <c r="N82" i="3"/>
  <c r="N104" i="3" s="1"/>
  <c r="N107" i="3" s="1"/>
  <c r="M82" i="3"/>
  <c r="M104" i="3" s="1"/>
  <c r="M107" i="3" s="1"/>
  <c r="L82" i="3"/>
  <c r="L104" i="3" s="1"/>
  <c r="L107" i="3" s="1"/>
  <c r="P81" i="3"/>
  <c r="O81" i="3"/>
  <c r="N81" i="3"/>
  <c r="M81" i="3"/>
  <c r="L81" i="3"/>
  <c r="P79" i="3"/>
  <c r="O79" i="3"/>
  <c r="N79" i="3"/>
  <c r="M79" i="3"/>
  <c r="L79" i="3"/>
  <c r="P76" i="3"/>
  <c r="O76" i="3"/>
  <c r="N76" i="3"/>
  <c r="M76" i="3"/>
  <c r="L76" i="3"/>
  <c r="P74" i="3"/>
  <c r="O74" i="3"/>
  <c r="N74" i="3"/>
  <c r="M74" i="3"/>
  <c r="L74" i="3"/>
  <c r="P70" i="3"/>
  <c r="O70" i="3"/>
  <c r="N70" i="3"/>
  <c r="M70" i="3"/>
  <c r="L70" i="3"/>
  <c r="P57" i="3"/>
  <c r="O57" i="3"/>
  <c r="N57" i="3"/>
  <c r="M57" i="3"/>
  <c r="L57" i="3"/>
  <c r="P41" i="3"/>
  <c r="O41" i="3"/>
  <c r="N41" i="3"/>
  <c r="M41" i="3"/>
  <c r="L41" i="3"/>
  <c r="P35" i="3"/>
  <c r="O35" i="3"/>
  <c r="N35" i="3"/>
  <c r="M35" i="3"/>
  <c r="L35" i="3"/>
  <c r="P25" i="3"/>
  <c r="O25" i="3"/>
  <c r="N25" i="3"/>
  <c r="M25" i="3"/>
  <c r="L25" i="3"/>
  <c r="P23" i="3"/>
  <c r="O23" i="3"/>
  <c r="N23" i="3"/>
  <c r="M23" i="3"/>
  <c r="L23" i="3"/>
  <c r="P21" i="3"/>
  <c r="O21" i="3"/>
  <c r="N21" i="3"/>
  <c r="M21" i="3"/>
  <c r="L21" i="3"/>
  <c r="P19" i="3"/>
  <c r="O19" i="3"/>
  <c r="N19" i="3"/>
  <c r="M19" i="3"/>
  <c r="L19" i="3"/>
  <c r="O13" i="3"/>
  <c r="N13" i="3"/>
  <c r="P12" i="3"/>
  <c r="O12" i="3"/>
  <c r="P10" i="3"/>
  <c r="O10" i="3"/>
  <c r="N10" i="3"/>
  <c r="M10" i="3"/>
  <c r="L10" i="3"/>
  <c r="P7" i="3"/>
  <c r="P99" i="3" s="1"/>
  <c r="O7" i="3"/>
  <c r="N7" i="3"/>
  <c r="M7" i="3"/>
  <c r="L7" i="3"/>
  <c r="AA115" i="3"/>
  <c r="E20" i="5"/>
  <c r="G19" i="5"/>
  <c r="I58" i="19"/>
  <c r="W14" i="6"/>
  <c r="Z19" i="5"/>
  <c r="Y19" i="5"/>
  <c r="X19" i="5"/>
  <c r="W19" i="5"/>
  <c r="V19" i="5"/>
  <c r="U19" i="5"/>
  <c r="T19" i="5"/>
  <c r="S19" i="5"/>
  <c r="F20" i="5"/>
  <c r="D20" i="5"/>
  <c r="C20" i="5"/>
  <c r="F19" i="5"/>
  <c r="E19" i="5"/>
  <c r="D19" i="5"/>
  <c r="C19" i="5"/>
  <c r="AE18" i="5"/>
  <c r="AC18" i="5"/>
  <c r="AB18" i="5"/>
  <c r="AA18" i="5"/>
  <c r="B20" i="5"/>
  <c r="R20" i="5" s="1"/>
  <c r="R22" i="5" s="1"/>
  <c r="B19" i="5"/>
  <c r="R19" i="5" s="1"/>
  <c r="R21" i="5" s="1"/>
  <c r="B64" i="20"/>
  <c r="B63" i="20"/>
  <c r="B66" i="19"/>
  <c r="B65" i="19"/>
  <c r="B26" i="18"/>
  <c r="B24" i="18"/>
  <c r="Y20" i="5"/>
  <c r="X20" i="5"/>
  <c r="W20" i="5"/>
  <c r="V20" i="5"/>
  <c r="U20" i="5"/>
  <c r="T20" i="5"/>
  <c r="S20" i="5"/>
  <c r="AC207" i="3"/>
  <c r="AC206" i="3"/>
  <c r="AC205" i="3"/>
  <c r="B191" i="3"/>
  <c r="B99" i="17" s="1"/>
  <c r="B190" i="3"/>
  <c r="B98" i="17" s="1"/>
  <c r="AA68" i="3"/>
  <c r="K68" i="3"/>
  <c r="J68" i="3"/>
  <c r="I68" i="3"/>
  <c r="H68" i="3"/>
  <c r="G68" i="3"/>
  <c r="F68" i="3"/>
  <c r="E68" i="3"/>
  <c r="D68" i="3"/>
  <c r="C68" i="3"/>
  <c r="L5" i="21"/>
  <c r="K5" i="21"/>
  <c r="J5" i="21"/>
  <c r="I5" i="21"/>
  <c r="H5" i="21"/>
  <c r="G5" i="21"/>
  <c r="F5" i="21"/>
  <c r="E5" i="21"/>
  <c r="D5" i="21"/>
  <c r="C5" i="21"/>
  <c r="AA133" i="3"/>
  <c r="G72" i="19"/>
  <c r="F72" i="19"/>
  <c r="E72" i="19"/>
  <c r="D72" i="19"/>
  <c r="C72" i="19"/>
  <c r="G71" i="19"/>
  <c r="F71" i="19"/>
  <c r="E71" i="19"/>
  <c r="D71" i="19"/>
  <c r="C71" i="19"/>
  <c r="G70" i="19"/>
  <c r="F70" i="19"/>
  <c r="E70" i="19"/>
  <c r="D70" i="19"/>
  <c r="C70" i="19"/>
  <c r="Q178" i="3"/>
  <c r="AC33" i="3"/>
  <c r="Q200" i="3"/>
  <c r="L71" i="19" s="1"/>
  <c r="K71" i="19"/>
  <c r="J71" i="19"/>
  <c r="I71" i="19"/>
  <c r="G10" i="16"/>
  <c r="Q115" i="3"/>
  <c r="F26" i="1" a="1"/>
  <c r="I64" i="20"/>
  <c r="H64" i="20"/>
  <c r="G64" i="20"/>
  <c r="F64" i="20"/>
  <c r="E64" i="20"/>
  <c r="D64" i="20"/>
  <c r="I63" i="20"/>
  <c r="H63" i="20"/>
  <c r="G63" i="20"/>
  <c r="F63" i="20"/>
  <c r="E63" i="20"/>
  <c r="D63"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F69" i="19"/>
  <c r="E69" i="19"/>
  <c r="D69" i="19"/>
  <c r="C69" i="19"/>
  <c r="F68" i="19"/>
  <c r="E68" i="19"/>
  <c r="D68" i="19"/>
  <c r="C68" i="19"/>
  <c r="F67" i="19"/>
  <c r="E67" i="19"/>
  <c r="D67" i="19"/>
  <c r="C67" i="19"/>
  <c r="K66" i="19"/>
  <c r="J66" i="19"/>
  <c r="I66" i="19"/>
  <c r="H66" i="19"/>
  <c r="G66" i="19"/>
  <c r="F66" i="19"/>
  <c r="E66" i="19"/>
  <c r="D66" i="19"/>
  <c r="C66" i="19"/>
  <c r="K65" i="19"/>
  <c r="J65" i="19"/>
  <c r="I65" i="19"/>
  <c r="H65" i="19"/>
  <c r="G65" i="19"/>
  <c r="F65" i="19"/>
  <c r="E65" i="19"/>
  <c r="D65" i="19"/>
  <c r="C65" i="19"/>
  <c r="G64" i="19"/>
  <c r="F64" i="19"/>
  <c r="E64" i="19"/>
  <c r="D64" i="19"/>
  <c r="G63" i="19"/>
  <c r="F63" i="19"/>
  <c r="E63" i="19"/>
  <c r="D63" i="19"/>
  <c r="F62" i="19"/>
  <c r="E62" i="19"/>
  <c r="D62" i="19"/>
  <c r="C64" i="19"/>
  <c r="C63" i="19"/>
  <c r="C62" i="19"/>
  <c r="F61" i="19"/>
  <c r="E61" i="19"/>
  <c r="D61" i="19"/>
  <c r="F60" i="19"/>
  <c r="E60" i="19"/>
  <c r="D60" i="19"/>
  <c r="C61" i="19"/>
  <c r="C60" i="19"/>
  <c r="L59" i="19"/>
  <c r="K59" i="19"/>
  <c r="J59" i="19"/>
  <c r="I59" i="19"/>
  <c r="H59" i="19"/>
  <c r="G59" i="19"/>
  <c r="F59" i="19"/>
  <c r="E59" i="19"/>
  <c r="D59" i="19"/>
  <c r="C59" i="19"/>
  <c r="L58" i="19"/>
  <c r="K58" i="19"/>
  <c r="J58" i="19"/>
  <c r="H58" i="19"/>
  <c r="G58" i="19"/>
  <c r="F58" i="19"/>
  <c r="E58" i="19"/>
  <c r="D58" i="19"/>
  <c r="C58" i="19"/>
  <c r="L57" i="19"/>
  <c r="K57" i="19"/>
  <c r="J57" i="19"/>
  <c r="I57" i="19"/>
  <c r="H57" i="19"/>
  <c r="G57" i="19"/>
  <c r="F57" i="19"/>
  <c r="E57" i="19"/>
  <c r="D57" i="19"/>
  <c r="C57" i="19"/>
  <c r="H56" i="19"/>
  <c r="G56" i="19"/>
  <c r="F56" i="19"/>
  <c r="E56" i="19"/>
  <c r="D56" i="19"/>
  <c r="L55" i="19"/>
  <c r="K55" i="19"/>
  <c r="J55" i="19"/>
  <c r="I55" i="19"/>
  <c r="H55" i="19"/>
  <c r="G55" i="19"/>
  <c r="F55" i="19"/>
  <c r="E55" i="19"/>
  <c r="D55" i="19"/>
  <c r="C56" i="19"/>
  <c r="C55" i="19"/>
  <c r="G7" i="16"/>
  <c r="F7" i="16"/>
  <c r="K70" i="3"/>
  <c r="J70" i="3"/>
  <c r="I70" i="3"/>
  <c r="H70" i="3"/>
  <c r="G70" i="3"/>
  <c r="F70" i="3"/>
  <c r="E70" i="3"/>
  <c r="D70" i="3"/>
  <c r="C70" i="3"/>
  <c r="Q195" i="3"/>
  <c r="AC83" i="3"/>
  <c r="AC44" i="3"/>
  <c r="AA110" i="3"/>
  <c r="Q110" i="3"/>
  <c r="AC47" i="3"/>
  <c r="AA109" i="3"/>
  <c r="Q109" i="3"/>
  <c r="AC16" i="3"/>
  <c r="C13" i="10"/>
  <c r="C12" i="10"/>
  <c r="C11" i="10"/>
  <c r="G29" i="7"/>
  <c r="F29" i="7"/>
  <c r="E29" i="7"/>
  <c r="D29" i="7"/>
  <c r="C29" i="7"/>
  <c r="G14" i="7"/>
  <c r="F14" i="7"/>
  <c r="E14" i="7"/>
  <c r="D14" i="7"/>
  <c r="C14" i="7"/>
  <c r="AA106" i="3"/>
  <c r="Q106" i="3"/>
  <c r="E31" i="12"/>
  <c r="D31" i="12"/>
  <c r="AC38" i="3"/>
  <c r="AA76" i="3"/>
  <c r="H9" i="1"/>
  <c r="H8" i="1"/>
  <c r="H5" i="1"/>
  <c r="H4" i="1"/>
  <c r="H3" i="1"/>
  <c r="F26" i="18"/>
  <c r="C26" i="18"/>
  <c r="F24" i="18"/>
  <c r="C24" i="18"/>
  <c r="G16" i="18"/>
  <c r="F16" i="18"/>
  <c r="D16" i="18"/>
  <c r="C16" i="18"/>
  <c r="G14" i="18"/>
  <c r="F14" i="18"/>
  <c r="D14" i="18"/>
  <c r="C14" i="18"/>
  <c r="G8" i="18"/>
  <c r="F8" i="18"/>
  <c r="D8" i="18"/>
  <c r="C8" i="18"/>
  <c r="G6" i="18"/>
  <c r="F6" i="18"/>
  <c r="D6" i="18"/>
  <c r="C6" i="18"/>
  <c r="G5" i="18"/>
  <c r="G4" i="18"/>
  <c r="F5" i="18"/>
  <c r="F4" i="18"/>
  <c r="D5" i="18"/>
  <c r="D4" i="18"/>
  <c r="C5" i="18"/>
  <c r="C4" i="18"/>
  <c r="G22" i="17"/>
  <c r="F22" i="17"/>
  <c r="E22" i="17"/>
  <c r="D22" i="17"/>
  <c r="C22" i="17"/>
  <c r="G21" i="17"/>
  <c r="F21" i="17"/>
  <c r="E21" i="17"/>
  <c r="D21" i="17"/>
  <c r="C21" i="17"/>
  <c r="G6" i="17"/>
  <c r="F6" i="17"/>
  <c r="E6" i="17"/>
  <c r="D6" i="17"/>
  <c r="C6" i="17"/>
  <c r="I3" i="17"/>
  <c r="C3" i="17"/>
  <c r="G2" i="17"/>
  <c r="F2" i="17"/>
  <c r="E2" i="17"/>
  <c r="D2" i="17"/>
  <c r="C2" i="17"/>
  <c r="Q108" i="3"/>
  <c r="G45" i="7" s="1"/>
  <c r="F45" i="7"/>
  <c r="E45" i="7"/>
  <c r="D45" i="7"/>
  <c r="C45" i="7"/>
  <c r="AA140" i="3"/>
  <c r="Q140" i="3"/>
  <c r="AC30" i="3"/>
  <c r="Q172" i="3"/>
  <c r="Q171" i="3"/>
  <c r="AA147" i="3"/>
  <c r="AA146" i="3"/>
  <c r="Q146" i="3"/>
  <c r="AA141" i="3"/>
  <c r="Q141" i="3"/>
  <c r="G9" i="16"/>
  <c r="F6" i="16"/>
  <c r="G6" i="16"/>
  <c r="AC75" i="3"/>
  <c r="Q76" i="3"/>
  <c r="AA129" i="3"/>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3" i="6"/>
  <c r="V13" i="6"/>
  <c r="U13" i="6"/>
  <c r="T13" i="6"/>
  <c r="S13" i="6"/>
  <c r="R13" i="6"/>
  <c r="Q13" i="6"/>
  <c r="P13" i="6"/>
  <c r="W12" i="6"/>
  <c r="V12" i="6"/>
  <c r="U12" i="6"/>
  <c r="T12" i="6"/>
  <c r="S12" i="6"/>
  <c r="R12" i="6"/>
  <c r="Q12" i="6"/>
  <c r="P12" i="6"/>
  <c r="W11" i="6"/>
  <c r="V11" i="6"/>
  <c r="U11" i="6"/>
  <c r="T11" i="6"/>
  <c r="S11" i="6"/>
  <c r="R11" i="6"/>
  <c r="Q11" i="6"/>
  <c r="P11" i="6"/>
  <c r="O14" i="6"/>
  <c r="O11" i="6"/>
  <c r="B22" i="6"/>
  <c r="B19" i="6"/>
  <c r="G13" i="6"/>
  <c r="F13" i="6"/>
  <c r="E13" i="6"/>
  <c r="D13" i="6"/>
  <c r="C13" i="6"/>
  <c r="G12" i="6"/>
  <c r="F12" i="6"/>
  <c r="E12" i="6"/>
  <c r="D12" i="6"/>
  <c r="C12" i="6"/>
  <c r="B13" i="6"/>
  <c r="B12" i="6"/>
  <c r="G11" i="6"/>
  <c r="F11" i="6"/>
  <c r="E11" i="6"/>
  <c r="D11" i="6"/>
  <c r="C11" i="6"/>
  <c r="B5" i="6"/>
  <c r="Z18" i="6"/>
  <c r="Y18" i="6"/>
  <c r="X18" i="6"/>
  <c r="Z10" i="6"/>
  <c r="Y10" i="6"/>
  <c r="X10" i="6"/>
  <c r="Y7" i="5"/>
  <c r="X7" i="5"/>
  <c r="W7" i="5"/>
  <c r="V7" i="5"/>
  <c r="U7" i="5"/>
  <c r="T7" i="5"/>
  <c r="S7" i="5"/>
  <c r="Y6" i="5"/>
  <c r="X6" i="5"/>
  <c r="W6" i="5"/>
  <c r="V6" i="5"/>
  <c r="U6" i="5"/>
  <c r="T6" i="5"/>
  <c r="S6" i="5"/>
  <c r="Z8" i="5"/>
  <c r="Y8" i="5"/>
  <c r="X8" i="5"/>
  <c r="W8" i="5"/>
  <c r="V8" i="5"/>
  <c r="U8" i="5"/>
  <c r="T8" i="5"/>
  <c r="S8" i="5"/>
  <c r="Z5" i="5"/>
  <c r="Z18" i="5" s="1"/>
  <c r="Y5" i="5"/>
  <c r="Y18" i="5" s="1"/>
  <c r="X5" i="5"/>
  <c r="X18" i="5" s="1"/>
  <c r="W5" i="5"/>
  <c r="W18" i="5" s="1"/>
  <c r="V5" i="5"/>
  <c r="V18" i="5" s="1"/>
  <c r="U5" i="5"/>
  <c r="U18" i="5" s="1"/>
  <c r="T5" i="5"/>
  <c r="T18" i="5" s="1"/>
  <c r="S5" i="5"/>
  <c r="S18" i="5" s="1"/>
  <c r="R5" i="5"/>
  <c r="F7" i="5"/>
  <c r="E7" i="5"/>
  <c r="D7" i="5"/>
  <c r="C7" i="5"/>
  <c r="G6" i="5"/>
  <c r="F6" i="5"/>
  <c r="E6" i="5"/>
  <c r="D6" i="5"/>
  <c r="C6" i="5"/>
  <c r="B7" i="5"/>
  <c r="B6" i="5"/>
  <c r="G8" i="5"/>
  <c r="F8" i="5"/>
  <c r="E8" i="5"/>
  <c r="D8" i="5"/>
  <c r="C8" i="5"/>
  <c r="C5" i="5"/>
  <c r="C18" i="5" s="1"/>
  <c r="R14" i="5"/>
  <c r="B14" i="5"/>
  <c r="AC11" i="5"/>
  <c r="AB11" i="5"/>
  <c r="AA11" i="5"/>
  <c r="AA82" i="3"/>
  <c r="K82" i="3"/>
  <c r="J82" i="3"/>
  <c r="I82" i="3"/>
  <c r="H82" i="3"/>
  <c r="G82" i="3"/>
  <c r="F82" i="3"/>
  <c r="E82" i="3"/>
  <c r="D82" i="3"/>
  <c r="C82" i="3"/>
  <c r="Q82" i="3"/>
  <c r="Q122" i="3"/>
  <c r="Q120" i="3"/>
  <c r="AA100" i="3"/>
  <c r="AC80" i="3"/>
  <c r="AA81" i="3"/>
  <c r="Q81" i="3"/>
  <c r="G7" i="21" s="1"/>
  <c r="F7" i="21"/>
  <c r="E7" i="21"/>
  <c r="D7" i="21"/>
  <c r="C7" i="21"/>
  <c r="AC49" i="3"/>
  <c r="AC48" i="3"/>
  <c r="AC46" i="3"/>
  <c r="AC45" i="3"/>
  <c r="AC43" i="3"/>
  <c r="AC42" i="3"/>
  <c r="AC40" i="3"/>
  <c r="AC39" i="3"/>
  <c r="AC37" i="3"/>
  <c r="AC36" i="3"/>
  <c r="AC34" i="3"/>
  <c r="AC32" i="3"/>
  <c r="AC31" i="3"/>
  <c r="AC29" i="3"/>
  <c r="Q41" i="3"/>
  <c r="Q35" i="3"/>
  <c r="AA96" i="3"/>
  <c r="AA95" i="3"/>
  <c r="AA94" i="3"/>
  <c r="AA92" i="3"/>
  <c r="AA91" i="3"/>
  <c r="AA89" i="3"/>
  <c r="AA88" i="3"/>
  <c r="AC24" i="3"/>
  <c r="AC22" i="3"/>
  <c r="AC20" i="3"/>
  <c r="AC18" i="3"/>
  <c r="AC17" i="3"/>
  <c r="AC15" i="3"/>
  <c r="AC14" i="3"/>
  <c r="AC13" i="3"/>
  <c r="AC12" i="3"/>
  <c r="AC11" i="3"/>
  <c r="AC9" i="3"/>
  <c r="AC8" i="3"/>
  <c r="AC6" i="3"/>
  <c r="AC5" i="3"/>
  <c r="AA25" i="3"/>
  <c r="AA23" i="3"/>
  <c r="AA21" i="3"/>
  <c r="AA7" i="3"/>
  <c r="Q100" i="3"/>
  <c r="Q96" i="3"/>
  <c r="Q95" i="3"/>
  <c r="Q94" i="3"/>
  <c r="Q92" i="3"/>
  <c r="Q91" i="3"/>
  <c r="Q89" i="3"/>
  <c r="Q88" i="3"/>
  <c r="Q25" i="3"/>
  <c r="G6" i="21" s="1"/>
  <c r="Q23" i="3"/>
  <c r="Q21" i="3"/>
  <c r="Q19" i="3"/>
  <c r="Q7" i="3"/>
  <c r="K21" i="3"/>
  <c r="J21" i="3"/>
  <c r="I21" i="3"/>
  <c r="H21" i="3"/>
  <c r="G21" i="3"/>
  <c r="F21" i="3"/>
  <c r="E21" i="3"/>
  <c r="D21" i="3"/>
  <c r="C21" i="3"/>
  <c r="K19" i="3"/>
  <c r="J19" i="3"/>
  <c r="I19" i="3"/>
  <c r="H19" i="3"/>
  <c r="G19" i="3"/>
  <c r="F19" i="3"/>
  <c r="E19" i="3"/>
  <c r="D19" i="3"/>
  <c r="C19" i="3"/>
  <c r="K7" i="3"/>
  <c r="J7" i="3"/>
  <c r="I7" i="3"/>
  <c r="H7" i="3"/>
  <c r="G7" i="3"/>
  <c r="F7" i="3"/>
  <c r="E7" i="3"/>
  <c r="D7" i="3"/>
  <c r="C7" i="3"/>
  <c r="C8" i="1" a="1"/>
  <c r="C9" i="1" a="1"/>
  <c r="C10" i="1" a="1"/>
  <c r="C14" i="1" a="1"/>
  <c r="C13" i="1" a="1"/>
  <c r="C12" i="1" a="1"/>
  <c r="C11" i="1" a="1"/>
  <c r="C7" i="1" a="1"/>
  <c r="C6" i="1" a="1"/>
  <c r="C5" i="1" a="1"/>
  <c r="C4" i="1" a="1"/>
  <c r="J64" i="20" l="1"/>
  <c r="AA191" i="3"/>
  <c r="G26" i="18"/>
  <c r="F27" i="18" s="1"/>
  <c r="D26" i="18"/>
  <c r="C27" i="18" s="1"/>
  <c r="Z7" i="5"/>
  <c r="AC186" i="3"/>
  <c r="AA209" i="3"/>
  <c r="Z20" i="5" s="1"/>
  <c r="AA190" i="3"/>
  <c r="J63" i="20"/>
  <c r="Z6" i="5"/>
  <c r="Z12" i="5" s="1"/>
  <c r="G24" i="18"/>
  <c r="F25" i="18" s="1"/>
  <c r="D24" i="18"/>
  <c r="C25" i="18" s="1"/>
  <c r="AC185" i="3"/>
  <c r="AC209" i="3" s="1"/>
  <c r="AC63" i="3"/>
  <c r="AC61" i="3"/>
  <c r="AC55" i="3"/>
  <c r="AC52" i="3"/>
  <c r="AC106" i="3"/>
  <c r="Z150" i="3"/>
  <c r="Z151" i="3"/>
  <c r="Z152" i="3" s="1"/>
  <c r="Y150" i="3"/>
  <c r="Y151" i="3"/>
  <c r="Y152" i="3" s="1"/>
  <c r="X151" i="3"/>
  <c r="X152" i="3" s="1"/>
  <c r="X150" i="3"/>
  <c r="W151" i="3"/>
  <c r="W152" i="3" s="1"/>
  <c r="W150" i="3"/>
  <c r="V151" i="3"/>
  <c r="V152" i="3" s="1"/>
  <c r="V150" i="3"/>
  <c r="U151" i="3"/>
  <c r="U152" i="3" s="1"/>
  <c r="U150" i="3"/>
  <c r="T151" i="3"/>
  <c r="T152" i="3" s="1"/>
  <c r="T150" i="3"/>
  <c r="Z177" i="3"/>
  <c r="Z175" i="3"/>
  <c r="Z176" i="3"/>
  <c r="Y177" i="3"/>
  <c r="Y175" i="3"/>
  <c r="Y176" i="3"/>
  <c r="X177" i="3"/>
  <c r="X176" i="3"/>
  <c r="X175" i="3"/>
  <c r="X155" i="3"/>
  <c r="W155" i="3"/>
  <c r="W177" i="3"/>
  <c r="W175" i="3"/>
  <c r="W176" i="3"/>
  <c r="V177" i="3"/>
  <c r="V175" i="3"/>
  <c r="V176" i="3"/>
  <c r="U176" i="3"/>
  <c r="U175" i="3"/>
  <c r="U177" i="3"/>
  <c r="T177" i="3"/>
  <c r="T155" i="3"/>
  <c r="T175" i="3"/>
  <c r="T176" i="3"/>
  <c r="Z144" i="3"/>
  <c r="Z143" i="3"/>
  <c r="Y144" i="3"/>
  <c r="Y143" i="3"/>
  <c r="X144" i="3"/>
  <c r="X143" i="3"/>
  <c r="W144" i="3"/>
  <c r="W143" i="3"/>
  <c r="V143" i="3"/>
  <c r="V144" i="3"/>
  <c r="U144" i="3"/>
  <c r="U143" i="3"/>
  <c r="T143" i="3"/>
  <c r="T144" i="3"/>
  <c r="Z170" i="3"/>
  <c r="Z173" i="3"/>
  <c r="Z145" i="3"/>
  <c r="Y173" i="3"/>
  <c r="Y170" i="3"/>
  <c r="Y145" i="3"/>
  <c r="X170" i="3"/>
  <c r="X173" i="3"/>
  <c r="X145" i="3"/>
  <c r="W173" i="3"/>
  <c r="W170" i="3"/>
  <c r="W145" i="3"/>
  <c r="V173" i="3"/>
  <c r="V170" i="3"/>
  <c r="V145" i="3"/>
  <c r="U145" i="3"/>
  <c r="U170" i="3"/>
  <c r="U173" i="3"/>
  <c r="T170" i="3"/>
  <c r="T145" i="3"/>
  <c r="T173" i="3"/>
  <c r="Y155" i="3"/>
  <c r="H65" i="20" s="1"/>
  <c r="AC58" i="3"/>
  <c r="Z172" i="3"/>
  <c r="Z171" i="3"/>
  <c r="Y171" i="3"/>
  <c r="Y172" i="3"/>
  <c r="V172" i="3"/>
  <c r="V171" i="3"/>
  <c r="U171" i="3"/>
  <c r="U172" i="3"/>
  <c r="Z68" i="3"/>
  <c r="Z69" i="3" s="1"/>
  <c r="V14" i="6"/>
  <c r="Y68" i="3"/>
  <c r="Y69" i="3" s="1"/>
  <c r="U14" i="6"/>
  <c r="X68" i="3"/>
  <c r="X69" i="3" s="1"/>
  <c r="AC10" i="3"/>
  <c r="AC68" i="3" s="1"/>
  <c r="T14" i="6"/>
  <c r="X93" i="3"/>
  <c r="S14" i="6"/>
  <c r="W68" i="3"/>
  <c r="W69" i="3" s="1"/>
  <c r="W93" i="3"/>
  <c r="R14" i="6"/>
  <c r="V68" i="3"/>
  <c r="V69" i="3" s="1"/>
  <c r="Q14" i="6"/>
  <c r="U68" i="3"/>
  <c r="U69" i="3" s="1"/>
  <c r="V93" i="3"/>
  <c r="T68" i="3"/>
  <c r="T69" i="3" s="1"/>
  <c r="P14" i="6"/>
  <c r="T93" i="3"/>
  <c r="U93" i="3"/>
  <c r="U90" i="3"/>
  <c r="T90" i="3"/>
  <c r="Q93" i="3"/>
  <c r="G83" i="17" s="1"/>
  <c r="P166" i="3"/>
  <c r="P165" i="3"/>
  <c r="P168" i="3"/>
  <c r="P167" i="3"/>
  <c r="O168" i="3"/>
  <c r="O167" i="3"/>
  <c r="O166" i="3"/>
  <c r="O165" i="3"/>
  <c r="N168" i="3"/>
  <c r="N166" i="3"/>
  <c r="N165" i="3"/>
  <c r="N167" i="3"/>
  <c r="M165" i="3"/>
  <c r="M166" i="3"/>
  <c r="M168" i="3"/>
  <c r="M167" i="3"/>
  <c r="L167" i="3"/>
  <c r="L168" i="3"/>
  <c r="G60" i="19"/>
  <c r="L165" i="3"/>
  <c r="L166" i="3"/>
  <c r="L123" i="3"/>
  <c r="G68" i="19" s="1"/>
  <c r="G67" i="19"/>
  <c r="P149" i="3"/>
  <c r="P150" i="3"/>
  <c r="P148" i="3"/>
  <c r="P161" i="3"/>
  <c r="P160" i="3"/>
  <c r="P199" i="3"/>
  <c r="O148" i="3"/>
  <c r="O150" i="3"/>
  <c r="O161" i="3"/>
  <c r="O160" i="3"/>
  <c r="O149" i="3"/>
  <c r="O199" i="3"/>
  <c r="N149" i="3"/>
  <c r="N161" i="3"/>
  <c r="N160" i="3"/>
  <c r="N150" i="3"/>
  <c r="N148" i="3"/>
  <c r="N199" i="3"/>
  <c r="M199" i="3"/>
  <c r="H70" i="19" s="1"/>
  <c r="M161" i="3"/>
  <c r="M150" i="3"/>
  <c r="M160" i="3"/>
  <c r="M149" i="3"/>
  <c r="M148" i="3"/>
  <c r="L150" i="3"/>
  <c r="L160" i="3"/>
  <c r="L148" i="3"/>
  <c r="L161" i="3"/>
  <c r="L149" i="3"/>
  <c r="P156" i="3"/>
  <c r="P164" i="3" s="1"/>
  <c r="P138" i="3"/>
  <c r="O156" i="3"/>
  <c r="O164" i="3" s="1"/>
  <c r="O138" i="3"/>
  <c r="N156" i="3"/>
  <c r="N164" i="3" s="1"/>
  <c r="N138" i="3"/>
  <c r="M138" i="3"/>
  <c r="M156" i="3"/>
  <c r="M164" i="3" s="1"/>
  <c r="L156" i="3"/>
  <c r="L138" i="3"/>
  <c r="G69" i="19" s="1"/>
  <c r="P77" i="3"/>
  <c r="P170" i="3"/>
  <c r="P173" i="3"/>
  <c r="O173" i="3"/>
  <c r="O77" i="3"/>
  <c r="O170" i="3"/>
  <c r="N77" i="3"/>
  <c r="N173" i="3"/>
  <c r="N170" i="3"/>
  <c r="M173" i="3"/>
  <c r="M170" i="3"/>
  <c r="M77" i="3"/>
  <c r="L77" i="3"/>
  <c r="L173" i="3"/>
  <c r="P201" i="3"/>
  <c r="F6" i="21"/>
  <c r="E6" i="21"/>
  <c r="O201" i="3"/>
  <c r="D6" i="21"/>
  <c r="N201" i="3"/>
  <c r="C6" i="21"/>
  <c r="M201" i="3"/>
  <c r="H72" i="19" s="1"/>
  <c r="F14" i="6"/>
  <c r="P68" i="3"/>
  <c r="P69" i="3" s="1"/>
  <c r="E14" i="6"/>
  <c r="O68" i="3"/>
  <c r="O69" i="3" s="1"/>
  <c r="P93" i="3"/>
  <c r="F83" i="17" s="1"/>
  <c r="D14" i="6"/>
  <c r="N68" i="3"/>
  <c r="N69" i="3" s="1"/>
  <c r="O93" i="3"/>
  <c r="E83" i="17" s="1"/>
  <c r="M68" i="3"/>
  <c r="M69" i="3" s="1"/>
  <c r="N93" i="3"/>
  <c r="D83" i="17" s="1"/>
  <c r="C14" i="6"/>
  <c r="L93" i="3"/>
  <c r="M93" i="3"/>
  <c r="C83" i="17" s="1"/>
  <c r="L68" i="3"/>
  <c r="L69" i="3" s="1"/>
  <c r="P90" i="3"/>
  <c r="F82" i="17" s="1"/>
  <c r="O99" i="3"/>
  <c r="N99" i="3"/>
  <c r="O90" i="3"/>
  <c r="E82" i="17" s="1"/>
  <c r="N90" i="3"/>
  <c r="D82" i="17" s="1"/>
  <c r="M99" i="3"/>
  <c r="M90" i="3"/>
  <c r="C82" i="17" s="1"/>
  <c r="L99" i="3"/>
  <c r="G62" i="19" s="1"/>
  <c r="L90" i="3"/>
  <c r="B22" i="5"/>
  <c r="B21" i="5"/>
  <c r="Q191" i="3"/>
  <c r="G99" i="17" s="1"/>
  <c r="G7" i="5"/>
  <c r="L66" i="19"/>
  <c r="L65" i="19"/>
  <c r="Q190" i="3"/>
  <c r="G98" i="17" s="1"/>
  <c r="E22" i="5"/>
  <c r="C12" i="18"/>
  <c r="AA93" i="3"/>
  <c r="C13" i="18" s="1"/>
  <c r="F12" i="18"/>
  <c r="V21" i="5"/>
  <c r="U21" i="5"/>
  <c r="T21" i="5"/>
  <c r="F22" i="5"/>
  <c r="D22" i="5"/>
  <c r="F21" i="5"/>
  <c r="E21" i="5"/>
  <c r="D21" i="5"/>
  <c r="X22" i="5"/>
  <c r="W22" i="5"/>
  <c r="G12" i="18"/>
  <c r="D12" i="18"/>
  <c r="X21" i="5"/>
  <c r="Y21" i="5"/>
  <c r="W21" i="5"/>
  <c r="AA19" i="5"/>
  <c r="Z21" i="5"/>
  <c r="H19" i="5"/>
  <c r="I19" i="5" s="1"/>
  <c r="G21" i="5"/>
  <c r="G22" i="5"/>
  <c r="H20" i="5"/>
  <c r="Y22" i="5"/>
  <c r="V22" i="5"/>
  <c r="U22" i="5"/>
  <c r="T22" i="5"/>
  <c r="AC59" i="3"/>
  <c r="AC108" i="3" s="1"/>
  <c r="AC53" i="3"/>
  <c r="AA172" i="3"/>
  <c r="AA171" i="3"/>
  <c r="Q68" i="3"/>
  <c r="E48" i="17"/>
  <c r="Q147" i="3"/>
  <c r="G48" i="17" s="1"/>
  <c r="G11" i="21"/>
  <c r="E11" i="21"/>
  <c r="C68" i="12"/>
  <c r="C47" i="12"/>
  <c r="C5" i="12"/>
  <c r="C6" i="11"/>
  <c r="F11" i="21"/>
  <c r="D11" i="21"/>
  <c r="G16" i="21"/>
  <c r="C21" i="21"/>
  <c r="C23" i="21" s="1"/>
  <c r="G12" i="21"/>
  <c r="F16" i="21"/>
  <c r="E16" i="21"/>
  <c r="F12" i="21"/>
  <c r="D16" i="21"/>
  <c r="E12" i="21"/>
  <c r="D12" i="21"/>
  <c r="C16" i="21"/>
  <c r="L15" i="21"/>
  <c r="L10" i="21"/>
  <c r="K15" i="21"/>
  <c r="K10" i="21"/>
  <c r="J15" i="21"/>
  <c r="J10" i="21"/>
  <c r="I10" i="21"/>
  <c r="I15" i="21"/>
  <c r="H10" i="21"/>
  <c r="H15" i="21"/>
  <c r="G10" i="21"/>
  <c r="G15" i="21"/>
  <c r="F15" i="21"/>
  <c r="F10" i="21"/>
  <c r="E10" i="21"/>
  <c r="E15" i="21"/>
  <c r="D15" i="21"/>
  <c r="D10" i="21"/>
  <c r="C15" i="21"/>
  <c r="C10" i="21"/>
  <c r="AC178" i="3"/>
  <c r="D3" i="17"/>
  <c r="D5" i="5"/>
  <c r="D18" i="5" s="1"/>
  <c r="I56" i="19"/>
  <c r="AC179" i="3"/>
  <c r="Q179" i="3"/>
  <c r="AA105" i="3"/>
  <c r="Q105" i="3"/>
  <c r="Q201" i="3"/>
  <c r="L72" i="19" s="1"/>
  <c r="K72" i="19"/>
  <c r="J72" i="19"/>
  <c r="I72" i="19"/>
  <c r="Q199" i="3"/>
  <c r="L70" i="19" s="1"/>
  <c r="K70" i="19"/>
  <c r="J70" i="19"/>
  <c r="I70" i="19"/>
  <c r="F31" i="12"/>
  <c r="C23" i="11"/>
  <c r="C25" i="14"/>
  <c r="AA134" i="3"/>
  <c r="AA130" i="3"/>
  <c r="F10" i="16"/>
  <c r="Q161" i="3"/>
  <c r="Q160" i="3"/>
  <c r="Q149" i="3"/>
  <c r="Q148" i="3"/>
  <c r="AA155" i="3"/>
  <c r="J65" i="20" s="1"/>
  <c r="I65" i="20"/>
  <c r="F65" i="20"/>
  <c r="E65" i="20"/>
  <c r="D65" i="20"/>
  <c r="C65" i="20"/>
  <c r="J61" i="20"/>
  <c r="I61" i="20"/>
  <c r="H61" i="20"/>
  <c r="G61" i="20"/>
  <c r="F61" i="20"/>
  <c r="E61" i="20"/>
  <c r="D61" i="20"/>
  <c r="C61" i="20"/>
  <c r="L63" i="19"/>
  <c r="K63" i="19"/>
  <c r="J63" i="19"/>
  <c r="I63" i="19"/>
  <c r="H63" i="19"/>
  <c r="G34" i="8"/>
  <c r="F34" i="8"/>
  <c r="E34" i="8"/>
  <c r="D34" i="8"/>
  <c r="C34" i="8"/>
  <c r="G8" i="16"/>
  <c r="F8" i="16"/>
  <c r="AA70" i="3"/>
  <c r="Q70" i="3"/>
  <c r="Q155" i="3"/>
  <c r="Q165" i="3" s="1"/>
  <c r="AC110" i="3"/>
  <c r="Q119" i="3"/>
  <c r="AA101" i="3"/>
  <c r="J62" i="20" s="1"/>
  <c r="I62" i="20"/>
  <c r="H62" i="20"/>
  <c r="G62" i="20"/>
  <c r="F62" i="20"/>
  <c r="E62" i="20"/>
  <c r="D62" i="20"/>
  <c r="C62" i="20"/>
  <c r="Q101" i="3"/>
  <c r="L64" i="19" s="1"/>
  <c r="K64" i="19"/>
  <c r="J64" i="19"/>
  <c r="I64" i="19"/>
  <c r="H64" i="19"/>
  <c r="AC109" i="3"/>
  <c r="G35" i="7"/>
  <c r="AC62" i="3"/>
  <c r="G31" i="12"/>
  <c r="E35" i="7"/>
  <c r="F35" i="7"/>
  <c r="D35" i="7"/>
  <c r="C35" i="7"/>
  <c r="AC82" i="3"/>
  <c r="AC104" i="3" s="1"/>
  <c r="AA143" i="3"/>
  <c r="Q143" i="3"/>
  <c r="C31" i="12"/>
  <c r="D99" i="17"/>
  <c r="C99" i="17"/>
  <c r="F20" i="18"/>
  <c r="C20" i="18"/>
  <c r="F18" i="18"/>
  <c r="C18" i="18"/>
  <c r="F10" i="18"/>
  <c r="C10" i="18"/>
  <c r="F99" i="17"/>
  <c r="E99" i="17"/>
  <c r="F98" i="17"/>
  <c r="E98" i="17"/>
  <c r="D98" i="17"/>
  <c r="C98" i="17"/>
  <c r="AC28" i="3"/>
  <c r="G20" i="18"/>
  <c r="D20" i="18"/>
  <c r="G18" i="18"/>
  <c r="D18" i="18"/>
  <c r="C17" i="18"/>
  <c r="AA104" i="3"/>
  <c r="C15" i="18"/>
  <c r="C9" i="18"/>
  <c r="G10" i="18"/>
  <c r="C7" i="18"/>
  <c r="D10" i="18"/>
  <c r="G23" i="18"/>
  <c r="I60" i="20"/>
  <c r="H60" i="20"/>
  <c r="G60" i="20"/>
  <c r="F60" i="20"/>
  <c r="E60" i="20"/>
  <c r="D60" i="20"/>
  <c r="C60" i="20"/>
  <c r="F23" i="18"/>
  <c r="C23"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F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7" i="3"/>
  <c r="Q177" i="3"/>
  <c r="G77" i="17" s="1"/>
  <c r="F77" i="17"/>
  <c r="E77" i="17"/>
  <c r="D77" i="17"/>
  <c r="C77" i="17"/>
  <c r="AA176" i="3"/>
  <c r="Q176" i="3"/>
  <c r="G76" i="17" s="1"/>
  <c r="F76" i="17"/>
  <c r="E76" i="17"/>
  <c r="D76" i="17"/>
  <c r="C76" i="17"/>
  <c r="AA175" i="3"/>
  <c r="Q175" i="3"/>
  <c r="G75" i="17" s="1"/>
  <c r="F75" i="17"/>
  <c r="E75" i="17"/>
  <c r="D75" i="17"/>
  <c r="C75" i="17"/>
  <c r="D23" i="17"/>
  <c r="E23" i="17"/>
  <c r="F23" i="17"/>
  <c r="G23" i="17"/>
  <c r="C23" i="17"/>
  <c r="AC140" i="3"/>
  <c r="I39" i="17" s="1"/>
  <c r="AC78" i="3"/>
  <c r="Q79" i="3"/>
  <c r="AC147" i="3"/>
  <c r="AC146" i="3"/>
  <c r="AC143" i="3"/>
  <c r="AA139" i="3"/>
  <c r="AC141" i="3"/>
  <c r="AC139" i="3"/>
  <c r="Q139" i="3"/>
  <c r="F9" i="16"/>
  <c r="F17" i="16"/>
  <c r="AC57" i="3"/>
  <c r="F16" i="16"/>
  <c r="AC76" i="3"/>
  <c r="O22" i="6"/>
  <c r="O19" i="6"/>
  <c r="AC56" i="3"/>
  <c r="AC54" i="3"/>
  <c r="K104" i="3"/>
  <c r="J104" i="3"/>
  <c r="I104" i="3"/>
  <c r="H104" i="3"/>
  <c r="G104" i="3"/>
  <c r="F104" i="3"/>
  <c r="E104" i="3"/>
  <c r="D104" i="3"/>
  <c r="C104" i="3"/>
  <c r="C6" i="14"/>
  <c r="G19" i="12"/>
  <c r="F19" i="12"/>
  <c r="E19" i="12"/>
  <c r="D19" i="12"/>
  <c r="C19" i="12"/>
  <c r="G6" i="12"/>
  <c r="F6" i="12"/>
  <c r="E6" i="12"/>
  <c r="D6" i="12"/>
  <c r="C6" i="12"/>
  <c r="C8" i="10"/>
  <c r="C18" i="10"/>
  <c r="E7" i="8"/>
  <c r="E6" i="8"/>
  <c r="C5" i="8"/>
  <c r="C32" i="8" s="1"/>
  <c r="E13" i="7"/>
  <c r="C13" i="7"/>
  <c r="D7" i="7"/>
  <c r="O13" i="6"/>
  <c r="O21" i="6" s="1"/>
  <c r="O12" i="6"/>
  <c r="O20" i="6" s="1"/>
  <c r="W6" i="6"/>
  <c r="T6" i="6"/>
  <c r="V5" i="6"/>
  <c r="S5" i="6"/>
  <c r="P5" i="6"/>
  <c r="B20" i="6"/>
  <c r="G6" i="6"/>
  <c r="E6" i="6"/>
  <c r="C6" i="6"/>
  <c r="R6" i="5"/>
  <c r="G21" i="8"/>
  <c r="E21" i="8"/>
  <c r="G20" i="8"/>
  <c r="F20" i="8"/>
  <c r="C20" i="8"/>
  <c r="F7" i="8"/>
  <c r="C7" i="8"/>
  <c r="F6" i="8"/>
  <c r="F13" i="7"/>
  <c r="D13" i="7"/>
  <c r="F7" i="7"/>
  <c r="C6" i="7"/>
  <c r="U6" i="6"/>
  <c r="R6" i="6"/>
  <c r="P6" i="6"/>
  <c r="Q5" i="6"/>
  <c r="C5" i="6"/>
  <c r="R7" i="5"/>
  <c r="F21" i="8"/>
  <c r="D21" i="8"/>
  <c r="C21" i="8"/>
  <c r="E20" i="8"/>
  <c r="D20" i="8"/>
  <c r="G7" i="8"/>
  <c r="D7" i="8"/>
  <c r="G6" i="8"/>
  <c r="D6" i="8"/>
  <c r="C6" i="8"/>
  <c r="G13" i="7"/>
  <c r="G7" i="7"/>
  <c r="E7" i="7"/>
  <c r="C7" i="7"/>
  <c r="V6" i="6"/>
  <c r="S6" i="6"/>
  <c r="Q6" i="6"/>
  <c r="W5" i="6"/>
  <c r="U5" i="6"/>
  <c r="T5" i="6"/>
  <c r="R5" i="6"/>
  <c r="B21" i="6"/>
  <c r="F6" i="6"/>
  <c r="D6" i="6"/>
  <c r="D21" i="6" s="1"/>
  <c r="G8" i="7"/>
  <c r="E8" i="7"/>
  <c r="F8" i="7"/>
  <c r="C8" i="7"/>
  <c r="D8" i="7"/>
  <c r="G44" i="7"/>
  <c r="F44" i="7"/>
  <c r="E44" i="7"/>
  <c r="D44" i="7"/>
  <c r="C44" i="7"/>
  <c r="AB9" i="6"/>
  <c r="AB10" i="6"/>
  <c r="S11" i="5"/>
  <c r="C11" i="5"/>
  <c r="Z14" i="5"/>
  <c r="Y14" i="5"/>
  <c r="X14" i="5"/>
  <c r="W14" i="5"/>
  <c r="V14" i="5"/>
  <c r="U14" i="5"/>
  <c r="T14" i="5"/>
  <c r="G14" i="5"/>
  <c r="F14" i="5"/>
  <c r="E14" i="5"/>
  <c r="D14" i="5"/>
  <c r="Y13" i="5"/>
  <c r="X13" i="5"/>
  <c r="W13" i="5"/>
  <c r="V13" i="5"/>
  <c r="U13" i="5"/>
  <c r="T13" i="5"/>
  <c r="F13" i="5"/>
  <c r="E13" i="5"/>
  <c r="D13" i="5"/>
  <c r="B13" i="5"/>
  <c r="Y12" i="5"/>
  <c r="X12" i="5"/>
  <c r="W12" i="5"/>
  <c r="V12" i="5"/>
  <c r="U12" i="5"/>
  <c r="T12" i="5"/>
  <c r="G12" i="5"/>
  <c r="F12" i="5"/>
  <c r="E12" i="5"/>
  <c r="D12" i="5"/>
  <c r="B12" i="5"/>
  <c r="Z11" i="5"/>
  <c r="Y11" i="5"/>
  <c r="X11" i="5"/>
  <c r="W11" i="5"/>
  <c r="V11" i="5"/>
  <c r="U11" i="5"/>
  <c r="T11" i="5"/>
  <c r="Q104" i="3"/>
  <c r="AC122" i="3"/>
  <c r="AC120" i="3"/>
  <c r="AC100" i="3"/>
  <c r="AA99" i="3"/>
  <c r="J60" i="20" s="1"/>
  <c r="AC81" i="3"/>
  <c r="AC73" i="3"/>
  <c r="AA74" i="3"/>
  <c r="Q74" i="3"/>
  <c r="AC41" i="3"/>
  <c r="AC35" i="3"/>
  <c r="AA90" i="3"/>
  <c r="C11" i="18" s="1"/>
  <c r="AC7" i="3"/>
  <c r="AC99" i="3" s="1"/>
  <c r="Q99" i="3"/>
  <c r="AC25" i="3"/>
  <c r="F5" i="1" s="1"/>
  <c r="AC23" i="3"/>
  <c r="AC21" i="3"/>
  <c r="AC19" i="3"/>
  <c r="Q90" i="3"/>
  <c r="G82" i="17" s="1"/>
  <c r="AA7" i="5" l="1"/>
  <c r="Z13" i="5"/>
  <c r="Z22" i="5"/>
  <c r="AA20" i="5"/>
  <c r="AC74" i="3"/>
  <c r="C22" i="14" s="1"/>
  <c r="AA150" i="3"/>
  <c r="G61" i="19"/>
  <c r="L164" i="3"/>
  <c r="P169" i="3"/>
  <c r="P151" i="3"/>
  <c r="O169" i="3"/>
  <c r="O151" i="3"/>
  <c r="N169" i="3"/>
  <c r="N151" i="3"/>
  <c r="M169" i="3"/>
  <c r="M151" i="3"/>
  <c r="L169" i="3"/>
  <c r="L151" i="3"/>
  <c r="I20" i="5"/>
  <c r="H6" i="5"/>
  <c r="H7" i="5"/>
  <c r="I7" i="5" s="1"/>
  <c r="J7" i="5" s="1"/>
  <c r="K7" i="5" s="1"/>
  <c r="L7" i="5" s="1"/>
  <c r="G13" i="5"/>
  <c r="G65" i="20"/>
  <c r="AC171" i="3"/>
  <c r="I71" i="17" s="1"/>
  <c r="AC172" i="3"/>
  <c r="F18" i="16"/>
  <c r="AE19" i="5"/>
  <c r="AA6" i="5"/>
  <c r="J19" i="5"/>
  <c r="D5" i="12"/>
  <c r="D6" i="11"/>
  <c r="Q181" i="3"/>
  <c r="Q180" i="3"/>
  <c r="E3" i="17"/>
  <c r="J56" i="19"/>
  <c r="E5" i="5"/>
  <c r="E18" i="5" s="1"/>
  <c r="D6" i="14"/>
  <c r="D6" i="7"/>
  <c r="D5" i="6"/>
  <c r="D5" i="8"/>
  <c r="D11" i="5"/>
  <c r="C52" i="16"/>
  <c r="G53" i="17"/>
  <c r="F53" i="17"/>
  <c r="E53" i="17"/>
  <c r="D53" i="17"/>
  <c r="G51" i="17"/>
  <c r="F51" i="17"/>
  <c r="E51" i="17"/>
  <c r="D51" i="17"/>
  <c r="C51" i="17"/>
  <c r="C53" i="17"/>
  <c r="Q150" i="3"/>
  <c r="AC155" i="3"/>
  <c r="AC168" i="3" s="1"/>
  <c r="Q77" i="3"/>
  <c r="Q151" i="3" s="1"/>
  <c r="F22" i="8"/>
  <c r="AC70" i="3"/>
  <c r="Q166" i="3"/>
  <c r="L60" i="19"/>
  <c r="Q168" i="3"/>
  <c r="K60" i="19"/>
  <c r="J60" i="19"/>
  <c r="I60" i="19"/>
  <c r="H60" i="19"/>
  <c r="G16" i="17"/>
  <c r="G33" i="8"/>
  <c r="L62" i="19"/>
  <c r="F16" i="17"/>
  <c r="F33" i="8"/>
  <c r="K62" i="19"/>
  <c r="E16" i="17"/>
  <c r="E33" i="8"/>
  <c r="J62" i="19"/>
  <c r="D16" i="17"/>
  <c r="D33" i="8"/>
  <c r="I62" i="19"/>
  <c r="C16" i="17"/>
  <c r="C33" i="8"/>
  <c r="H62" i="19"/>
  <c r="E22" i="8"/>
  <c r="C22" i="8"/>
  <c r="G44" i="17"/>
  <c r="F44" i="17"/>
  <c r="E44" i="17"/>
  <c r="D44" i="17"/>
  <c r="C44" i="17"/>
  <c r="G26" i="17"/>
  <c r="F26" i="17"/>
  <c r="E26" i="17"/>
  <c r="D26" i="17"/>
  <c r="C26" i="17"/>
  <c r="G18" i="17"/>
  <c r="F18" i="17"/>
  <c r="E18" i="17"/>
  <c r="D18" i="17"/>
  <c r="C18" i="17"/>
  <c r="G22" i="8"/>
  <c r="D22" i="8"/>
  <c r="K67" i="19"/>
  <c r="J67" i="19"/>
  <c r="I67" i="19"/>
  <c r="H67" i="19"/>
  <c r="Q121" i="3"/>
  <c r="L67" i="19" s="1"/>
  <c r="Q69" i="3"/>
  <c r="J69" i="19"/>
  <c r="I69" i="19"/>
  <c r="H69" i="19"/>
  <c r="K61" i="19"/>
  <c r="K69" i="19"/>
  <c r="AC79" i="3"/>
  <c r="AC101" i="3"/>
  <c r="AC119" i="3"/>
  <c r="I26" i="17" s="1"/>
  <c r="C31" i="16"/>
  <c r="F21" i="18"/>
  <c r="C19" i="18"/>
  <c r="C21" i="18"/>
  <c r="F19" i="18"/>
  <c r="F11" i="18"/>
  <c r="F13" i="18"/>
  <c r="Q167" i="3"/>
  <c r="G59" i="17" s="1"/>
  <c r="F59" i="17"/>
  <c r="E59" i="17"/>
  <c r="D59" i="17"/>
  <c r="C59" i="17"/>
  <c r="AC175" i="3"/>
  <c r="AC176" i="3"/>
  <c r="AC177" i="3"/>
  <c r="I23" i="17"/>
  <c r="G22" i="7"/>
  <c r="D22" i="7"/>
  <c r="E21" i="7"/>
  <c r="C21" i="7"/>
  <c r="C53" i="16"/>
  <c r="I72" i="17"/>
  <c r="F34" i="16"/>
  <c r="I48" i="17"/>
  <c r="F32" i="16"/>
  <c r="I47" i="17"/>
  <c r="F30" i="16"/>
  <c r="I44" i="17"/>
  <c r="C32" i="16"/>
  <c r="I40" i="17"/>
  <c r="C30" i="16"/>
  <c r="I38" i="17"/>
  <c r="Q142" i="3"/>
  <c r="G41" i="17" s="1"/>
  <c r="G38" i="17"/>
  <c r="F41" i="17"/>
  <c r="F38" i="17"/>
  <c r="E41" i="17"/>
  <c r="E38" i="17"/>
  <c r="D41" i="17"/>
  <c r="D38" i="17"/>
  <c r="C41" i="17"/>
  <c r="C38" i="17"/>
  <c r="C25" i="16"/>
  <c r="I29" i="17"/>
  <c r="C23" i="16"/>
  <c r="I27" i="17"/>
  <c r="C17" i="16"/>
  <c r="I17" i="17"/>
  <c r="C16" i="16"/>
  <c r="I16" i="17"/>
  <c r="AA173" i="3"/>
  <c r="Q173" i="3"/>
  <c r="G67" i="17" s="1"/>
  <c r="F67" i="17"/>
  <c r="E67" i="17"/>
  <c r="D67" i="17"/>
  <c r="C67" i="17"/>
  <c r="AA142" i="3"/>
  <c r="C33" i="14"/>
  <c r="D30" i="12"/>
  <c r="F29" i="12"/>
  <c r="E20" i="12"/>
  <c r="H19" i="12"/>
  <c r="I19" i="12" s="1"/>
  <c r="J19" i="12" s="1"/>
  <c r="K19" i="12" s="1"/>
  <c r="L19" i="12" s="1"/>
  <c r="AA144" i="3"/>
  <c r="AA170" i="3"/>
  <c r="Q144" i="3"/>
  <c r="G45" i="17" s="1"/>
  <c r="Q170" i="3"/>
  <c r="G66" i="17" s="1"/>
  <c r="F45" i="17"/>
  <c r="F66" i="17"/>
  <c r="E45" i="17"/>
  <c r="E66" i="17"/>
  <c r="D45" i="17"/>
  <c r="D66" i="17"/>
  <c r="C45" i="17"/>
  <c r="C66" i="17"/>
  <c r="AC142" i="3"/>
  <c r="I41" i="17" s="1"/>
  <c r="C9" i="17"/>
  <c r="D9" i="17"/>
  <c r="E9" i="17"/>
  <c r="G10" i="17"/>
  <c r="F10" i="17"/>
  <c r="E10" i="17"/>
  <c r="D10" i="17"/>
  <c r="C10" i="17"/>
  <c r="G9" i="17"/>
  <c r="F9" i="17"/>
  <c r="T21" i="6"/>
  <c r="T20" i="6"/>
  <c r="G20" i="6"/>
  <c r="AC105" i="3"/>
  <c r="AA145" i="3"/>
  <c r="G32" i="12"/>
  <c r="Q145" i="3"/>
  <c r="G46" i="17" s="1"/>
  <c r="F32" i="12"/>
  <c r="F46" i="17"/>
  <c r="E32" i="12"/>
  <c r="E46" i="17"/>
  <c r="D32" i="12"/>
  <c r="D46" i="17"/>
  <c r="C32" i="12"/>
  <c r="C46" i="17"/>
  <c r="AC107" i="3"/>
  <c r="Q107" i="3"/>
  <c r="Q156" i="3" s="1"/>
  <c r="E46" i="7"/>
  <c r="W10" i="6"/>
  <c r="U10" i="6"/>
  <c r="R10" i="6"/>
  <c r="AA77" i="3"/>
  <c r="F20" i="12"/>
  <c r="D20" i="12"/>
  <c r="G13" i="12"/>
  <c r="C30" i="12"/>
  <c r="E29" i="12"/>
  <c r="D29" i="12"/>
  <c r="G20" i="12"/>
  <c r="F13" i="12"/>
  <c r="E13" i="12"/>
  <c r="D13" i="12"/>
  <c r="G30" i="12"/>
  <c r="G8" i="8"/>
  <c r="D8" i="8"/>
  <c r="C46" i="7"/>
  <c r="G43" i="7"/>
  <c r="C43" i="7"/>
  <c r="D19" i="6"/>
  <c r="D36" i="7"/>
  <c r="D37" i="7" s="1"/>
  <c r="V19" i="6"/>
  <c r="S19" i="6"/>
  <c r="Q19" i="6"/>
  <c r="R12" i="5"/>
  <c r="Q20" i="6"/>
  <c r="F21" i="6"/>
  <c r="F30" i="12"/>
  <c r="E30" i="12"/>
  <c r="G29" i="12"/>
  <c r="C29" i="12"/>
  <c r="D20" i="6"/>
  <c r="S21" i="6"/>
  <c r="Q21" i="6"/>
  <c r="V22" i="6"/>
  <c r="G46" i="7"/>
  <c r="C35" i="14"/>
  <c r="E22" i="6"/>
  <c r="E9" i="8"/>
  <c r="D9" i="8"/>
  <c r="D22" i="6"/>
  <c r="G22" i="6"/>
  <c r="G9" i="8"/>
  <c r="C9" i="8"/>
  <c r="C22" i="6"/>
  <c r="F22" i="6"/>
  <c r="F9" i="8"/>
  <c r="U20" i="6"/>
  <c r="P20" i="6"/>
  <c r="U22" i="6"/>
  <c r="T22" i="6"/>
  <c r="P22" i="6"/>
  <c r="G21" i="6"/>
  <c r="E20" i="6"/>
  <c r="C20" i="6"/>
  <c r="U21" i="6"/>
  <c r="P21" i="6"/>
  <c r="W21" i="6"/>
  <c r="V21" i="6"/>
  <c r="W20" i="6"/>
  <c r="V20" i="6"/>
  <c r="S20" i="6"/>
  <c r="W22" i="6"/>
  <c r="S22" i="6"/>
  <c r="Q22" i="6"/>
  <c r="E21" i="6"/>
  <c r="C21" i="6"/>
  <c r="F20" i="6"/>
  <c r="Q10" i="6"/>
  <c r="C19" i="8"/>
  <c r="C14" i="8"/>
  <c r="C8" i="8"/>
  <c r="F46" i="7"/>
  <c r="S10" i="6"/>
  <c r="P10" i="6"/>
  <c r="F8" i="8"/>
  <c r="C26" i="8"/>
  <c r="G36" i="7"/>
  <c r="G37" i="7" s="1"/>
  <c r="F20" i="7"/>
  <c r="C12" i="7"/>
  <c r="R13" i="5"/>
  <c r="E8" i="8"/>
  <c r="F43" i="7"/>
  <c r="D43" i="7"/>
  <c r="C41" i="7"/>
  <c r="C34" i="7"/>
  <c r="E19" i="6"/>
  <c r="C27" i="7"/>
  <c r="F22" i="7"/>
  <c r="F21" i="7"/>
  <c r="D21" i="7"/>
  <c r="G20" i="7"/>
  <c r="D46" i="7"/>
  <c r="E43" i="7"/>
  <c r="F36" i="7"/>
  <c r="F37" i="7" s="1"/>
  <c r="G21" i="7"/>
  <c r="C20" i="7"/>
  <c r="C19" i="7"/>
  <c r="E36" i="7"/>
  <c r="E37" i="7" s="1"/>
  <c r="C36" i="7"/>
  <c r="C37" i="7" s="1"/>
  <c r="E22" i="7"/>
  <c r="C22" i="7"/>
  <c r="E20" i="7"/>
  <c r="D20" i="7"/>
  <c r="W19" i="6"/>
  <c r="T19" i="6"/>
  <c r="F19" i="6"/>
  <c r="R19" i="6"/>
  <c r="P19" i="6"/>
  <c r="U19" i="6"/>
  <c r="G19" i="6"/>
  <c r="C19" i="6"/>
  <c r="C18" i="6"/>
  <c r="C10" i="6"/>
  <c r="W18" i="6"/>
  <c r="V18" i="6"/>
  <c r="U18" i="6"/>
  <c r="T18" i="6"/>
  <c r="S18" i="6"/>
  <c r="R18" i="6"/>
  <c r="Q18" i="6"/>
  <c r="P18" i="6"/>
  <c r="V10" i="6"/>
  <c r="T10" i="6"/>
  <c r="R21" i="6"/>
  <c r="R20" i="6"/>
  <c r="R22" i="6"/>
  <c r="AA69" i="3"/>
  <c r="K69" i="3"/>
  <c r="J69" i="3"/>
  <c r="I69" i="3"/>
  <c r="H69" i="3"/>
  <c r="G69" i="3"/>
  <c r="F69" i="3"/>
  <c r="E69" i="3"/>
  <c r="D69" i="3"/>
  <c r="C69" i="3"/>
  <c r="AC77" i="3" l="1"/>
  <c r="AA151" i="3"/>
  <c r="AA152" i="3" s="1"/>
  <c r="J20" i="5"/>
  <c r="I6" i="5"/>
  <c r="P157" i="3"/>
  <c r="P174" i="3"/>
  <c r="P162" i="3"/>
  <c r="P152" i="3"/>
  <c r="P163" i="3"/>
  <c r="P159" i="3"/>
  <c r="O162" i="3"/>
  <c r="O157" i="3"/>
  <c r="O174" i="3"/>
  <c r="O163" i="3"/>
  <c r="O152" i="3"/>
  <c r="O159" i="3"/>
  <c r="N163" i="3"/>
  <c r="N162" i="3"/>
  <c r="N174" i="3"/>
  <c r="N152" i="3"/>
  <c r="N157" i="3"/>
  <c r="N159" i="3"/>
  <c r="M163" i="3"/>
  <c r="M174" i="3"/>
  <c r="M152" i="3"/>
  <c r="M157" i="3"/>
  <c r="M162" i="3"/>
  <c r="M159" i="3"/>
  <c r="L174" i="3"/>
  <c r="L157" i="3"/>
  <c r="L152" i="3"/>
  <c r="L163" i="3"/>
  <c r="L162" i="3"/>
  <c r="L159" i="3"/>
  <c r="K19" i="5"/>
  <c r="E5" i="12"/>
  <c r="E6" i="11"/>
  <c r="C67" i="12"/>
  <c r="C46" i="12"/>
  <c r="AC181" i="3"/>
  <c r="AC180" i="3"/>
  <c r="AC165" i="3"/>
  <c r="AC166" i="3"/>
  <c r="F5" i="5"/>
  <c r="F18" i="5" s="1"/>
  <c r="F3" i="17"/>
  <c r="K56" i="19"/>
  <c r="E5" i="6"/>
  <c r="E6" i="7"/>
  <c r="E11" i="5"/>
  <c r="E5" i="8"/>
  <c r="E6" i="14"/>
  <c r="D19" i="7"/>
  <c r="D27" i="7"/>
  <c r="D12" i="7"/>
  <c r="D34" i="7"/>
  <c r="D41" i="7"/>
  <c r="D18" i="6"/>
  <c r="D10" i="6"/>
  <c r="D32" i="8"/>
  <c r="D19" i="8"/>
  <c r="D26" i="8"/>
  <c r="D14" i="8"/>
  <c r="Q169" i="3"/>
  <c r="G63" i="17" s="1"/>
  <c r="D11" i="17"/>
  <c r="G58" i="17"/>
  <c r="E60" i="17"/>
  <c r="D58" i="17"/>
  <c r="D60" i="17"/>
  <c r="C58" i="17"/>
  <c r="D63" i="17"/>
  <c r="C11" i="17"/>
  <c r="C60" i="17"/>
  <c r="F63" i="17"/>
  <c r="G11" i="17"/>
  <c r="E11" i="17"/>
  <c r="C63" i="17"/>
  <c r="E63" i="17"/>
  <c r="F11" i="17"/>
  <c r="C22" i="11"/>
  <c r="C24" i="14"/>
  <c r="C25" i="11"/>
  <c r="C49" i="12"/>
  <c r="C70" i="12"/>
  <c r="AC69" i="3"/>
  <c r="C55" i="17"/>
  <c r="C68" i="17"/>
  <c r="C52" i="17"/>
  <c r="C54" i="17"/>
  <c r="C7" i="17"/>
  <c r="D68" i="17"/>
  <c r="D54" i="17"/>
  <c r="D7" i="17"/>
  <c r="D55" i="17"/>
  <c r="D52" i="17"/>
  <c r="E52" i="17"/>
  <c r="E68" i="17"/>
  <c r="E54" i="17"/>
  <c r="E7" i="17"/>
  <c r="E55" i="17"/>
  <c r="F68" i="17"/>
  <c r="F54" i="17"/>
  <c r="F52" i="17"/>
  <c r="F55" i="17"/>
  <c r="F7" i="17"/>
  <c r="Q174" i="3"/>
  <c r="G68" i="17" s="1"/>
  <c r="Q162" i="3"/>
  <c r="G54" i="17" s="1"/>
  <c r="G7" i="17"/>
  <c r="Q152" i="3"/>
  <c r="Q163" i="3"/>
  <c r="G55" i="17" s="1"/>
  <c r="Q157" i="3"/>
  <c r="Q159" i="3"/>
  <c r="G52" i="17" s="1"/>
  <c r="G60" i="17"/>
  <c r="F58" i="17"/>
  <c r="F60" i="17"/>
  <c r="E58" i="17"/>
  <c r="F28" i="17"/>
  <c r="F33" i="17" s="1"/>
  <c r="E28" i="17"/>
  <c r="E33" i="17" s="1"/>
  <c r="D28" i="17"/>
  <c r="D33" i="17" s="1"/>
  <c r="C28" i="17"/>
  <c r="C33" i="17" s="1"/>
  <c r="Q123" i="3"/>
  <c r="J61" i="19"/>
  <c r="I61" i="19"/>
  <c r="H61" i="19"/>
  <c r="G28" i="17"/>
  <c r="G33" i="17" s="1"/>
  <c r="E35" i="17"/>
  <c r="D35" i="17"/>
  <c r="C35" i="17"/>
  <c r="F35" i="17"/>
  <c r="AC169" i="3"/>
  <c r="I63" i="17" s="1"/>
  <c r="AC121" i="3"/>
  <c r="I28" i="17" s="1"/>
  <c r="I33" i="17" s="1"/>
  <c r="C22" i="16"/>
  <c r="AC138" i="3"/>
  <c r="L61" i="19"/>
  <c r="Q138" i="3"/>
  <c r="L69" i="19" s="1"/>
  <c r="C18" i="16"/>
  <c r="I18" i="17"/>
  <c r="F52" i="16"/>
  <c r="I75" i="17"/>
  <c r="F53" i="16"/>
  <c r="I76" i="17"/>
  <c r="F54" i="16"/>
  <c r="I77" i="17"/>
  <c r="AC167" i="3"/>
  <c r="C56" i="12"/>
  <c r="C33" i="16"/>
  <c r="F18" i="1"/>
  <c r="AC170" i="3"/>
  <c r="AC173" i="3"/>
  <c r="I67" i="17" s="1"/>
  <c r="C33" i="12"/>
  <c r="D33" i="12"/>
  <c r="F33" i="12"/>
  <c r="E33" i="12"/>
  <c r="G33" i="12"/>
  <c r="AC145" i="3"/>
  <c r="I46" i="17" s="1"/>
  <c r="AC144" i="3"/>
  <c r="I45" i="17" s="1"/>
  <c r="D10" i="8"/>
  <c r="G10" i="8"/>
  <c r="C5" i="10"/>
  <c r="C12" i="12"/>
  <c r="C23" i="12"/>
  <c r="C18" i="12"/>
  <c r="C28" i="12"/>
  <c r="C10" i="8"/>
  <c r="F10" i="8"/>
  <c r="E10" i="8"/>
  <c r="E23" i="7"/>
  <c r="D23" i="7"/>
  <c r="F23" i="7"/>
  <c r="G23" i="7"/>
  <c r="C23" i="7"/>
  <c r="K20" i="5" l="1"/>
  <c r="J6" i="5"/>
  <c r="P154" i="3"/>
  <c r="P153" i="3"/>
  <c r="P158" i="3"/>
  <c r="O153" i="3"/>
  <c r="O154" i="3"/>
  <c r="O158" i="3"/>
  <c r="N154" i="3"/>
  <c r="N153" i="3"/>
  <c r="N158" i="3"/>
  <c r="M154" i="3"/>
  <c r="M158" i="3"/>
  <c r="M153" i="3"/>
  <c r="L154" i="3"/>
  <c r="L158" i="3"/>
  <c r="L153" i="3"/>
  <c r="L19" i="5"/>
  <c r="L6" i="5" s="1"/>
  <c r="F5" i="12"/>
  <c r="F6" i="11"/>
  <c r="G3" i="17"/>
  <c r="L56" i="19"/>
  <c r="G5" i="5"/>
  <c r="G18" i="5" s="1"/>
  <c r="F5" i="8"/>
  <c r="F6" i="14"/>
  <c r="F6" i="7"/>
  <c r="F5" i="6"/>
  <c r="F11" i="5"/>
  <c r="E10" i="6"/>
  <c r="E18" i="6"/>
  <c r="E12" i="7"/>
  <c r="E34" i="7"/>
  <c r="E27" i="7"/>
  <c r="E41" i="7"/>
  <c r="E19" i="7"/>
  <c r="E14" i="8"/>
  <c r="E26" i="8"/>
  <c r="E19" i="8"/>
  <c r="E32" i="8"/>
  <c r="D28" i="12"/>
  <c r="D12" i="12"/>
  <c r="D18" i="12"/>
  <c r="D23" i="12"/>
  <c r="Q153" i="3"/>
  <c r="G12" i="17" s="1"/>
  <c r="Q154" i="3"/>
  <c r="G13" i="17" s="1"/>
  <c r="C8" i="17"/>
  <c r="D8" i="17"/>
  <c r="E8" i="17"/>
  <c r="F8" i="17"/>
  <c r="G8" i="17"/>
  <c r="C32" i="14"/>
  <c r="C12" i="17"/>
  <c r="C13" i="17"/>
  <c r="D12" i="17"/>
  <c r="D13" i="17"/>
  <c r="E12" i="17"/>
  <c r="E13" i="17"/>
  <c r="F12" i="17"/>
  <c r="F13" i="17"/>
  <c r="C46" i="16"/>
  <c r="F17" i="1"/>
  <c r="C24" i="16"/>
  <c r="F22" i="16" s="1"/>
  <c r="F12" i="1"/>
  <c r="AC123" i="3"/>
  <c r="I30" i="17" s="1"/>
  <c r="I34" i="17" s="1"/>
  <c r="F30" i="17"/>
  <c r="F34" i="17" s="1"/>
  <c r="K68" i="19"/>
  <c r="E30" i="17"/>
  <c r="E34" i="17" s="1"/>
  <c r="J68" i="19"/>
  <c r="D30" i="17"/>
  <c r="D34" i="17" s="1"/>
  <c r="I68" i="19"/>
  <c r="C30" i="17"/>
  <c r="C34" i="17" s="1"/>
  <c r="H68" i="19"/>
  <c r="G30" i="17"/>
  <c r="G34" i="17" s="1"/>
  <c r="L68" i="19"/>
  <c r="I35" i="17"/>
  <c r="AC164" i="3"/>
  <c r="G35" i="17"/>
  <c r="Q164" i="3"/>
  <c r="F38" i="16"/>
  <c r="I58" i="17"/>
  <c r="F39" i="16"/>
  <c r="I59" i="17"/>
  <c r="F40" i="16"/>
  <c r="I60" i="17"/>
  <c r="F46" i="16"/>
  <c r="I66" i="17"/>
  <c r="F47" i="16"/>
  <c r="F16" i="1"/>
  <c r="F33" i="16"/>
  <c r="F20" i="1"/>
  <c r="F31" i="16"/>
  <c r="F19" i="1"/>
  <c r="F24" i="16"/>
  <c r="F14" i="1"/>
  <c r="Q158" i="3"/>
  <c r="D27" i="8"/>
  <c r="D28" i="8" s="1"/>
  <c r="G27" i="8"/>
  <c r="G28" i="8" s="1"/>
  <c r="G7" i="14" s="1"/>
  <c r="G7" i="12"/>
  <c r="D7" i="12"/>
  <c r="C7" i="12"/>
  <c r="C27" i="8"/>
  <c r="C28" i="8" s="1"/>
  <c r="F7" i="12"/>
  <c r="F27" i="8"/>
  <c r="F28" i="8" s="1"/>
  <c r="E7" i="12"/>
  <c r="E27" i="8"/>
  <c r="E28" i="8" s="1"/>
  <c r="L20" i="5" l="1"/>
  <c r="K6" i="5"/>
  <c r="G5" i="12"/>
  <c r="G6" i="11"/>
  <c r="H7" i="14"/>
  <c r="H5" i="5"/>
  <c r="H18" i="5" s="1"/>
  <c r="G11" i="5"/>
  <c r="G5" i="6"/>
  <c r="G5" i="8"/>
  <c r="G6" i="7"/>
  <c r="G6" i="14"/>
  <c r="F19" i="8"/>
  <c r="F14" i="8"/>
  <c r="F26" i="8"/>
  <c r="F32" i="8"/>
  <c r="F27" i="7"/>
  <c r="F34" i="7"/>
  <c r="F41" i="7"/>
  <c r="F12" i="7"/>
  <c r="F19" i="7"/>
  <c r="F18" i="6"/>
  <c r="F10" i="6"/>
  <c r="E23" i="12"/>
  <c r="E18" i="12"/>
  <c r="E12" i="12"/>
  <c r="E28" i="12"/>
  <c r="F14" i="12"/>
  <c r="C26" i="16"/>
  <c r="F23" i="16" s="1"/>
  <c r="F13" i="1"/>
  <c r="G14" i="12"/>
  <c r="E14" i="12"/>
  <c r="C34" i="12"/>
  <c r="D14" i="12"/>
  <c r="D7" i="11"/>
  <c r="D8" i="12"/>
  <c r="G7" i="11"/>
  <c r="G8" i="12"/>
  <c r="G34" i="12"/>
  <c r="D7" i="14"/>
  <c r="D34" i="12"/>
  <c r="C7" i="11"/>
  <c r="C8" i="12"/>
  <c r="C7" i="14"/>
  <c r="F34" i="12"/>
  <c r="F7" i="11"/>
  <c r="F8" i="12"/>
  <c r="F7" i="14"/>
  <c r="E34" i="12"/>
  <c r="E7" i="11"/>
  <c r="E8" i="12"/>
  <c r="E7" i="14"/>
  <c r="AE7" i="5"/>
  <c r="H5" i="12" l="1"/>
  <c r="H6" i="11"/>
  <c r="I7" i="14"/>
  <c r="H11" i="5"/>
  <c r="I5" i="5"/>
  <c r="I18" i="5" s="1"/>
  <c r="H6" i="14"/>
  <c r="G10" i="6"/>
  <c r="G18" i="6"/>
  <c r="H5" i="6"/>
  <c r="G19" i="8"/>
  <c r="G14" i="8"/>
  <c r="G26" i="8"/>
  <c r="H5" i="8"/>
  <c r="G32" i="8"/>
  <c r="G19" i="7"/>
  <c r="G34" i="7"/>
  <c r="G41" i="7"/>
  <c r="G12" i="7"/>
  <c r="G27" i="7"/>
  <c r="H6" i="7"/>
  <c r="F12" i="12"/>
  <c r="F28" i="12"/>
  <c r="F23" i="12"/>
  <c r="F18" i="12"/>
  <c r="F15" i="12"/>
  <c r="E15" i="12"/>
  <c r="G15" i="12"/>
  <c r="C35" i="12"/>
  <c r="D15" i="12"/>
  <c r="D35" i="12"/>
  <c r="G35" i="12"/>
  <c r="F35" i="12"/>
  <c r="E35" i="12"/>
  <c r="I5" i="12" l="1"/>
  <c r="I6" i="11"/>
  <c r="J7" i="14"/>
  <c r="I11" i="5"/>
  <c r="J5" i="5"/>
  <c r="J18" i="5" s="1"/>
  <c r="I6" i="14"/>
  <c r="G28" i="12"/>
  <c r="G12" i="12"/>
  <c r="G23" i="12"/>
  <c r="G18" i="12"/>
  <c r="H18" i="6"/>
  <c r="H10" i="6"/>
  <c r="I5" i="6"/>
  <c r="H19" i="8"/>
  <c r="H14" i="8"/>
  <c r="I5" i="8"/>
  <c r="H26" i="8"/>
  <c r="H32" i="8"/>
  <c r="H12" i="7"/>
  <c r="H19" i="7"/>
  <c r="I6" i="7"/>
  <c r="H27" i="7"/>
  <c r="H34" i="7"/>
  <c r="H41" i="7"/>
  <c r="J5" i="12" l="1"/>
  <c r="J6" i="11"/>
  <c r="K7" i="14"/>
  <c r="H23" i="12"/>
  <c r="H28" i="12"/>
  <c r="H12" i="12"/>
  <c r="H18" i="12"/>
  <c r="K5" i="5"/>
  <c r="K18" i="5" s="1"/>
  <c r="J11" i="5"/>
  <c r="J6" i="14"/>
  <c r="I18" i="6"/>
  <c r="I10" i="6"/>
  <c r="J5" i="6"/>
  <c r="I14" i="8"/>
  <c r="J5" i="8"/>
  <c r="I19" i="8"/>
  <c r="I26" i="8"/>
  <c r="I32" i="8"/>
  <c r="I12" i="7"/>
  <c r="I34" i="7"/>
  <c r="I41" i="7"/>
  <c r="I19" i="7"/>
  <c r="I27" i="7"/>
  <c r="J6" i="7"/>
  <c r="K5" i="12" l="1"/>
  <c r="K6" i="11"/>
  <c r="L7" i="14"/>
  <c r="I12" i="12"/>
  <c r="I23" i="12"/>
  <c r="I28" i="12"/>
  <c r="I18" i="12"/>
  <c r="L5" i="5"/>
  <c r="L18" i="5" s="1"/>
  <c r="K11" i="5"/>
  <c r="K6" i="14"/>
  <c r="J10" i="6"/>
  <c r="J18" i="6"/>
  <c r="K5" i="6"/>
  <c r="K5" i="8"/>
  <c r="J14" i="8"/>
  <c r="J19" i="8"/>
  <c r="J26" i="8"/>
  <c r="J32" i="8"/>
  <c r="K6" i="7"/>
  <c r="J27" i="7"/>
  <c r="J19" i="7"/>
  <c r="J12" i="7"/>
  <c r="J41" i="7"/>
  <c r="J34" i="7"/>
  <c r="L5" i="12" l="1"/>
  <c r="L6" i="11"/>
  <c r="J12" i="12"/>
  <c r="J28" i="12"/>
  <c r="J23" i="12"/>
  <c r="J18" i="12"/>
  <c r="L11" i="5"/>
  <c r="L6" i="14"/>
  <c r="K10" i="6"/>
  <c r="K18" i="6"/>
  <c r="L5" i="6"/>
  <c r="K14" i="8"/>
  <c r="K19" i="8"/>
  <c r="L5" i="8"/>
  <c r="K26" i="8"/>
  <c r="K32" i="8"/>
  <c r="L6" i="7"/>
  <c r="K41" i="7"/>
  <c r="K34" i="7"/>
  <c r="K27" i="7"/>
  <c r="K19" i="7"/>
  <c r="K12" i="7"/>
  <c r="K23" i="12" l="1"/>
  <c r="K18" i="12"/>
  <c r="K12" i="12"/>
  <c r="K28" i="12"/>
  <c r="L18" i="6"/>
  <c r="L10" i="6"/>
  <c r="L26" i="8"/>
  <c r="L19" i="8"/>
  <c r="L14" i="8"/>
  <c r="L32" i="8"/>
  <c r="L34" i="7"/>
  <c r="L41" i="7"/>
  <c r="L19" i="7"/>
  <c r="L27" i="7"/>
  <c r="L12" i="7"/>
  <c r="AC65" i="3"/>
  <c r="L28" i="12" l="1"/>
  <c r="L23" i="12"/>
  <c r="L18" i="12"/>
  <c r="L12" i="12"/>
  <c r="H8" i="5" l="1"/>
  <c r="H12" i="5"/>
  <c r="H6" i="8" l="1"/>
  <c r="H6" i="6"/>
  <c r="H11" i="6" s="1"/>
  <c r="H6" i="12"/>
  <c r="H13" i="12" s="1"/>
  <c r="H14" i="5"/>
  <c r="H7" i="7"/>
  <c r="H13" i="7" s="1"/>
  <c r="H28" i="7" s="1"/>
  <c r="H12" i="6" l="1"/>
  <c r="H13" i="6"/>
  <c r="H36" i="7"/>
  <c r="H42" i="7"/>
  <c r="H45" i="7"/>
  <c r="H21" i="8" s="1"/>
  <c r="H20" i="8" l="1"/>
  <c r="H44" i="7"/>
  <c r="H14" i="6"/>
  <c r="H8" i="7" l="1"/>
  <c r="H7" i="8"/>
  <c r="H8" i="8" s="1"/>
  <c r="H22" i="6"/>
  <c r="H9" i="8"/>
  <c r="I8" i="5"/>
  <c r="I7" i="7" s="1"/>
  <c r="J8" i="5"/>
  <c r="J7" i="7" s="1"/>
  <c r="K8" i="5"/>
  <c r="L8" i="5"/>
  <c r="I12" i="5"/>
  <c r="J12" i="5"/>
  <c r="K12" i="5"/>
  <c r="L12" i="5"/>
  <c r="K6" i="12" l="1"/>
  <c r="K14" i="5"/>
  <c r="L6" i="12"/>
  <c r="L14" i="5"/>
  <c r="I6" i="12"/>
  <c r="I13" i="12" s="1"/>
  <c r="I14" i="5"/>
  <c r="J6" i="12"/>
  <c r="J14" i="5"/>
  <c r="H14" i="7"/>
  <c r="H29" i="7" s="1"/>
  <c r="H15" i="7"/>
  <c r="H30" i="7" s="1"/>
  <c r="H10" i="8"/>
  <c r="H33" i="8"/>
  <c r="I6" i="8"/>
  <c r="I6" i="6"/>
  <c r="I11" i="6" s="1"/>
  <c r="J6" i="8"/>
  <c r="J6" i="6"/>
  <c r="J11" i="6" s="1"/>
  <c r="K6" i="8"/>
  <c r="K7" i="7"/>
  <c r="K6" i="6"/>
  <c r="K11" i="6" s="1"/>
  <c r="L6" i="8"/>
  <c r="L7" i="7"/>
  <c r="L6" i="6"/>
  <c r="L11" i="6" s="1"/>
  <c r="I13" i="7"/>
  <c r="I28" i="7" s="1"/>
  <c r="I36" i="7"/>
  <c r="I42" i="7"/>
  <c r="I45" i="7"/>
  <c r="I21" i="8" s="1"/>
  <c r="J13" i="7"/>
  <c r="J36" i="7"/>
  <c r="J42" i="7"/>
  <c r="J45" i="7"/>
  <c r="J21" i="8" s="1"/>
  <c r="C53" i="12" l="1"/>
  <c r="C57" i="12" s="1"/>
  <c r="L13" i="12"/>
  <c r="J28" i="7"/>
  <c r="K13" i="12"/>
  <c r="J13" i="12"/>
  <c r="H7" i="12"/>
  <c r="H14" i="12" s="1"/>
  <c r="H34" i="8"/>
  <c r="H27" i="8"/>
  <c r="I13" i="6"/>
  <c r="I12" i="6"/>
  <c r="I14" i="6" s="1"/>
  <c r="J13" i="6"/>
  <c r="J12" i="6"/>
  <c r="K45" i="7"/>
  <c r="K21" i="8" s="1"/>
  <c r="K42" i="7"/>
  <c r="K36" i="7"/>
  <c r="K13" i="7"/>
  <c r="K28" i="7" s="1"/>
  <c r="K13" i="6"/>
  <c r="K12" i="6"/>
  <c r="L45" i="7"/>
  <c r="L21" i="8" s="1"/>
  <c r="L42" i="7"/>
  <c r="L36" i="7"/>
  <c r="L13" i="7"/>
  <c r="L13" i="6"/>
  <c r="L12" i="6"/>
  <c r="I20" i="8"/>
  <c r="I44" i="7"/>
  <c r="J20" i="8"/>
  <c r="J44" i="7"/>
  <c r="H35" i="7"/>
  <c r="H22" i="8" s="1"/>
  <c r="L8" i="7" l="1"/>
  <c r="K14" i="6"/>
  <c r="H28" i="8"/>
  <c r="J14" i="6"/>
  <c r="I9" i="8"/>
  <c r="I22" i="6"/>
  <c r="J8" i="7"/>
  <c r="J7" i="8"/>
  <c r="J8" i="8" s="1"/>
  <c r="K20" i="8"/>
  <c r="K44" i="7"/>
  <c r="L20" i="8"/>
  <c r="L44" i="7"/>
  <c r="L28" i="7"/>
  <c r="L14" i="6"/>
  <c r="L7" i="8" l="1"/>
  <c r="L8" i="8" s="1"/>
  <c r="L33" i="8" s="1"/>
  <c r="K9" i="8"/>
  <c r="K22" i="6"/>
  <c r="H8" i="12"/>
  <c r="H15" i="12" s="1"/>
  <c r="H7" i="11"/>
  <c r="J9" i="8"/>
  <c r="J10" i="8" s="1"/>
  <c r="J22" i="6"/>
  <c r="J15" i="7"/>
  <c r="J14" i="7"/>
  <c r="J33" i="8"/>
  <c r="L15" i="7"/>
  <c r="L14" i="7"/>
  <c r="I7" i="8"/>
  <c r="I8" i="8" s="1"/>
  <c r="I8" i="7"/>
  <c r="K7" i="8"/>
  <c r="K8" i="8" s="1"/>
  <c r="K8" i="7"/>
  <c r="L22" i="6"/>
  <c r="L9" i="8"/>
  <c r="L10" i="8" l="1"/>
  <c r="J7" i="12"/>
  <c r="J34" i="8"/>
  <c r="J27" i="8"/>
  <c r="I10" i="8"/>
  <c r="I33" i="8"/>
  <c r="I15" i="7"/>
  <c r="I14" i="7"/>
  <c r="K10" i="8"/>
  <c r="K33" i="8"/>
  <c r="K15" i="7"/>
  <c r="K14" i="7"/>
  <c r="L7" i="12" l="1"/>
  <c r="C40" i="12" s="1"/>
  <c r="C43" i="12" s="1"/>
  <c r="L34" i="8"/>
  <c r="L27" i="8"/>
  <c r="I7" i="12"/>
  <c r="I34" i="8"/>
  <c r="I27" i="8"/>
  <c r="J30" i="7"/>
  <c r="I30" i="7"/>
  <c r="J29" i="7"/>
  <c r="I29" i="7"/>
  <c r="K7" i="12"/>
  <c r="K34" i="8"/>
  <c r="K27" i="8"/>
  <c r="L30" i="7"/>
  <c r="K30" i="7"/>
  <c r="L29" i="7"/>
  <c r="K29" i="7"/>
  <c r="J35" i="7" l="1"/>
  <c r="J22" i="8" s="1"/>
  <c r="J28" i="8" s="1"/>
  <c r="L35" i="7"/>
  <c r="L22" i="8" s="1"/>
  <c r="L28" i="8" s="1"/>
  <c r="I35" i="7"/>
  <c r="I22" i="8" s="1"/>
  <c r="I28" i="8" s="1"/>
  <c r="K35" i="7"/>
  <c r="K22" i="8" s="1"/>
  <c r="K28" i="8" s="1"/>
  <c r="I14" i="12"/>
  <c r="J14" i="12"/>
  <c r="K14" i="12"/>
  <c r="L14" i="12"/>
  <c r="J8" i="12" l="1"/>
  <c r="J7" i="11"/>
  <c r="L8" i="12"/>
  <c r="C61" i="12" s="1"/>
  <c r="C64" i="12" s="1"/>
  <c r="L7" i="11"/>
  <c r="I8" i="12"/>
  <c r="I7" i="11"/>
  <c r="K8" i="12"/>
  <c r="K7" i="11"/>
  <c r="I15" i="12" l="1"/>
  <c r="J15" i="12"/>
  <c r="K15" i="12"/>
  <c r="L15" i="12"/>
  <c r="AE6" i="5" l="1"/>
  <c r="AE20" i="5" s="1"/>
  <c r="AA8" i="5"/>
  <c r="AA12" i="5"/>
  <c r="X6" i="6" l="1"/>
  <c r="X11" i="6" s="1"/>
  <c r="AB11" i="6" s="1"/>
  <c r="AE8" i="5"/>
  <c r="AB6" i="6" s="1"/>
  <c r="AA14" i="5"/>
  <c r="X13" i="6" l="1"/>
  <c r="X12" i="6"/>
  <c r="AB12" i="6" s="1"/>
  <c r="AB13" i="6" l="1"/>
  <c r="X14" i="6"/>
  <c r="X22" i="6" l="1"/>
  <c r="AB14" i="6"/>
  <c r="F27" i="1" s="1"/>
  <c r="C9" i="10" s="1"/>
  <c r="C10" i="10" s="1"/>
  <c r="C11" i="13" s="1"/>
  <c r="AC114" i="3" l="1"/>
  <c r="C6" i="10"/>
  <c r="C7" i="10" s="1"/>
  <c r="C15" i="14"/>
  <c r="C23" i="14" s="1"/>
  <c r="C26" i="14" s="1"/>
  <c r="C5" i="16"/>
  <c r="C19" i="10"/>
  <c r="C24" i="21" l="1"/>
  <c r="C26" i="21" s="1"/>
  <c r="I11" i="1" s="1"/>
  <c r="C54" i="12"/>
  <c r="C17" i="10"/>
  <c r="C16" i="10"/>
  <c r="AC115" i="3"/>
  <c r="I6" i="17"/>
  <c r="C58" i="12" l="1"/>
  <c r="C7" i="13" s="1"/>
  <c r="I5" i="1" s="1"/>
  <c r="I18" i="1"/>
  <c r="C20" i="10"/>
  <c r="AC151" i="3"/>
  <c r="AC149" i="3"/>
  <c r="AC148" i="3"/>
  <c r="AC161" i="3"/>
  <c r="AC150" i="3"/>
  <c r="AC160" i="3"/>
  <c r="C21" i="14" l="1"/>
  <c r="C75" i="12"/>
  <c r="C78" i="12" s="1"/>
  <c r="C62" i="12"/>
  <c r="C65" i="12" s="1"/>
  <c r="C41" i="12"/>
  <c r="C44" i="12" s="1"/>
  <c r="C15" i="11"/>
  <c r="I17" i="1" s="1"/>
  <c r="C38" i="16"/>
  <c r="F9" i="1"/>
  <c r="I51" i="17"/>
  <c r="I11" i="17"/>
  <c r="C10" i="16"/>
  <c r="C40" i="16"/>
  <c r="I53" i="17"/>
  <c r="F11" i="1"/>
  <c r="I10" i="17"/>
  <c r="C9" i="16"/>
  <c r="F7" i="1"/>
  <c r="F3" i="1"/>
  <c r="AC162" i="3"/>
  <c r="AC157" i="3"/>
  <c r="AC174" i="3"/>
  <c r="I7" i="17"/>
  <c r="C6" i="16"/>
  <c r="AC152" i="3"/>
  <c r="AC163" i="3"/>
  <c r="AC159" i="3"/>
  <c r="C8" i="16"/>
  <c r="I9" i="17"/>
  <c r="F6" i="1"/>
  <c r="C58" i="16" l="1"/>
  <c r="I88" i="17"/>
  <c r="H10" i="14"/>
  <c r="I10" i="14"/>
  <c r="J10" i="14"/>
  <c r="K10" i="14"/>
  <c r="L10" i="14"/>
  <c r="L8" i="14"/>
  <c r="L11" i="14" s="1"/>
  <c r="C30" i="14" s="1"/>
  <c r="L8" i="11"/>
  <c r="L11" i="11" s="1"/>
  <c r="C20" i="11" s="1"/>
  <c r="I10" i="11"/>
  <c r="I9" i="12" s="1"/>
  <c r="H10" i="11"/>
  <c r="H9" i="12" s="1"/>
  <c r="J10" i="11"/>
  <c r="J9" i="12" s="1"/>
  <c r="K10" i="11"/>
  <c r="K9" i="12" s="1"/>
  <c r="L10" i="11"/>
  <c r="L9" i="12" s="1"/>
  <c r="I52" i="17"/>
  <c r="C39" i="16"/>
  <c r="F8" i="1"/>
  <c r="C42" i="16"/>
  <c r="I55" i="17"/>
  <c r="AC154" i="3"/>
  <c r="AC158" i="3"/>
  <c r="AC153" i="3"/>
  <c r="C7" i="16"/>
  <c r="F4" i="1"/>
  <c r="I8" i="17"/>
  <c r="I54" i="17"/>
  <c r="C41" i="16"/>
  <c r="F10" i="1"/>
  <c r="I68" i="17"/>
  <c r="F48" i="16"/>
  <c r="F15" i="1"/>
  <c r="C59" i="16" l="1"/>
  <c r="I89" i="17"/>
  <c r="C29" i="14"/>
  <c r="C31" i="14" s="1"/>
  <c r="C34" i="14" s="1"/>
  <c r="C36" i="14" s="1"/>
  <c r="C16" i="14" s="1"/>
  <c r="I14" i="1" s="1"/>
  <c r="C79" i="12"/>
  <c r="C82" i="12" s="1"/>
  <c r="C84" i="12" s="1"/>
  <c r="C9" i="13" s="1"/>
  <c r="I7" i="1" s="1"/>
  <c r="C45" i="12"/>
  <c r="C48" i="12" s="1"/>
  <c r="C50" i="12" s="1"/>
  <c r="C6" i="13" s="1"/>
  <c r="I4" i="1" s="1"/>
  <c r="C66" i="12"/>
  <c r="C69" i="12" s="1"/>
  <c r="C71" i="12" s="1"/>
  <c r="C8" i="13" s="1"/>
  <c r="I6" i="1" s="1"/>
  <c r="C19" i="11"/>
  <c r="C21" i="11" s="1"/>
  <c r="C24" i="11" s="1"/>
  <c r="C26" i="11" s="1"/>
  <c r="C5" i="13" s="1"/>
  <c r="C11" i="16"/>
  <c r="I12" i="17"/>
  <c r="C12" i="16"/>
  <c r="I13" i="17"/>
  <c r="C10" i="13" l="1"/>
  <c r="I3" i="1"/>
  <c r="I8" i="1" l="1"/>
  <c r="C12" i="13"/>
  <c r="I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tc={69DCCB8F-B0E5-EE40-B16B-2407A64D5CBB}</author>
    <author>tc={41597581-4D82-244A-BAC0-F95FCD30A56A}</author>
  </authors>
  <commentList>
    <comment ref="B83"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4"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 ref="B205" authorId="2" shapeId="0" xr:uid="{69DCCB8F-B0E5-EE40-B16B-2407A64D5CBB}">
      <text>
        <t>[Threaded comment]
Your version of Excel allows you to read this threaded comment; however, any edits to it will get removed if the file is opened in a newer version of Excel. Learn more: https://go.microsoft.com/fwlink/?linkid=870924
Comment:
    Actual number for all 3 rows</t>
      </text>
    </comment>
    <comment ref="B206" authorId="3" shapeId="0" xr:uid="{41597581-4D82-244A-BAC0-F95FCD30A56A}">
      <text>
        <t>[Threaded comment]
Your version of Excel allows you to read this threaded comment; however, any edits to it will get removed if the file is opened in a newer version of Excel. Learn more: https://go.microsoft.com/fwlink/?linkid=870924
Comment:
    Exabytes for the Cloud business segment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<sst xmlns="http://schemas.openxmlformats.org/spreadsheetml/2006/main" count="820" uniqueCount="445">
  <si>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</si>
  <si>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</si>
  <si>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</si>
  <si>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</si>
  <si>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</si>
  <si>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</si>
  <si>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</si>
  <si>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</si>
  <si>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</si>
  <si>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</si>
  <si>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</si>
  <si>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</si>
  <si>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</si>
  <si>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</si>
  <si>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</si>
  <si>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</si>
  <si>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</si>
  <si>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</si>
  <si>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</si>
  <si>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</si>
  <si>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</si>
  <si>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</si>
  <si>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</si>
  <si>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</si>
  <si>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</si>
  <si>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</si>
  <si>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</si>
  <si>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</si>
  <si>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</si>
  <si>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</si>
  <si>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</si>
  <si>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</si>
  <si>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</si>
  <si>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</si>
  <si>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</si>
  <si>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</si>
  <si>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</si>
  <si>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</si>
  <si>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</si>
  <si>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</si>
  <si>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</si>
  <si>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</si>
  <si>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</si>
  <si>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</si>
  <si>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</si>
  <si>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</si>
  <si>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</si>
  <si>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</si>
  <si>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</si>
  <si>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</si>
  <si>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</si>
  <si>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</si>
  <si>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</si>
  <si>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</si>
  <si>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</si>
  <si>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</si>
  <si>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</si>
  <si>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</si>
  <si>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</si>
  <si>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</si>
  <si>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</si>
  <si>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</si>
  <si>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</si>
  <si>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</si>
  <si>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</si>
  <si>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</si>
  <si>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</si>
  <si>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</si>
  <si>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</si>
  <si>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</si>
  <si>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</si>
  <si>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</si>
  <si>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</si>
  <si>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</si>
  <si>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</si>
  <si>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</si>
  <si>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</si>
  <si>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</si>
  <si>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</si>
  <si>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</si>
  <si>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</si>
  <si>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</si>
  <si>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</si>
  <si>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</si>
  <si>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</si>
  <si>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</si>
  <si>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</si>
  <si>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</si>
  <si>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</si>
  <si>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</si>
  <si>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</si>
  <si>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</si>
  <si>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</si>
  <si>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</si>
  <si>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</si>
  <si>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</si>
  <si>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</si>
  <si>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</si>
  <si>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</si>
  <si>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</si>
  <si>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</si>
  <si>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</si>
  <si>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</si>
  <si>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</si>
  <si>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</si>
  <si>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</si>
  <si>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</si>
  <si>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</si>
  <si>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</si>
  <si>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</si>
  <si>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</si>
  <si>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</si>
  <si>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</si>
  <si>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</si>
  <si>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</si>
  <si>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</si>
  <si>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</si>
  <si>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</si>
  <si>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</si>
  <si>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</si>
  <si>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</si>
  <si>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</si>
  <si>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</si>
  <si>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</si>
  <si>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</si>
  <si>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</si>
  <si>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</si>
  <si>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</si>
  <si>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</si>
  <si>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</si>
  <si>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</si>
  <si>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</si>
  <si>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</si>
  <si>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</si>
  <si>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</si>
  <si>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</si>
  <si>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</si>
  <si>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</si>
  <si>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</si>
  <si>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</si>
  <si>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</si>
  <si>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</si>
  <si>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</si>
  <si>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</si>
  <si>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</si>
  <si>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</si>
  <si>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</si>
  <si>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</si>
  <si>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</si>
  <si>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</si>
  <si>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</si>
  <si>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</si>
  <si>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</si>
  <si>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</si>
  <si>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</si>
  <si>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</si>
  <si>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</si>
  <si>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</si>
  <si>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</si>
  <si>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</si>
  <si>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</si>
  <si>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</si>
  <si>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</si>
  <si>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</si>
  <si>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</si>
  <si>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</si>
  <si>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</si>
  <si>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</si>
  <si>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</si>
  <si>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</si>
  <si>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</si>
  <si>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</si>
  <si>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</si>
  <si>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</si>
  <si>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</si>
  <si>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</si>
  <si>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</si>
  <si>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</si>
  <si>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</si>
  <si>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</si>
  <si>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</si>
  <si>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</si>
  <si>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</si>
  <si>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</si>
  <si>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</si>
  <si>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</si>
  <si>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</si>
  <si>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</si>
  <si>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</si>
  <si>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</si>
  <si>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</si>
  <si>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</si>
  <si>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</si>
  <si>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</si>
  <si>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</si>
  <si>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</si>
  <si>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</si>
  <si>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</si>
  <si>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</si>
  <si>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</si>
  <si>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</si>
  <si>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</si>
  <si>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</si>
  <si>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</si>
  <si>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</si>
  <si>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</si>
  <si>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</si>
  <si>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</si>
  <si>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</si>
  <si>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</si>
  <si>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</si>
  <si>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</si>
  <si>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</si>
  <si>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</si>
  <si>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</si>
  <si>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</si>
  <si>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</si>
  <si>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</si>
  <si>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</si>
  <si>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</si>
  <si>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</si>
  <si>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</si>
  <si>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</si>
  <si>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</si>
  <si>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</si>
  <si>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</si>
  <si>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</si>
  <si>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</si>
  <si>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</si>
  <si>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</si>
  <si>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</si>
  <si>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</si>
  <si>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</si>
  <si>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</si>
  <si>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</si>
  <si>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</si>
  <si>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</si>
  <si>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</si>
  <si>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</si>
  <si>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</si>
  <si>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</si>
  <si>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</si>
  <si>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</si>
  <si>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</si>
  <si>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</si>
  <si>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</si>
  <si>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</si>
  <si>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</si>
  <si>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</si>
  <si>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</si>
  <si>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</si>
  <si>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</si>
  <si>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</si>
  <si>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</si>
  <si>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</si>
  <si>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</si>
  <si>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</si>
  <si>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</si>
  <si>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</si>
  <si>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</si>
  <si>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</si>
  <si>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</si>
  <si>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</si>
  <si>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</si>
  <si>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</si>
  <si>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</si>
  <si>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</si>
  <si>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</si>
  <si>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</si>
  <si>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</si>
  <si>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</si>
  <si>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</si>
  <si>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</si>
  <si>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</si>
  <si>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</si>
  <si>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</si>
  <si>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</si>
  <si>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</si>
  <si>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</si>
  <si>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</si>
  <si>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</si>
  <si>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</si>
  <si>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</si>
  <si>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</si>
  <si>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</si>
  <si>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</si>
  <si>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</si>
  <si>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</si>
  <si>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</si>
  <si>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</si>
  <si>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</si>
  <si>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</si>
  <si>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</si>
  <si>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</si>
  <si>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</si>
  <si>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</si>
  <si>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</si>
  <si>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</si>
  <si>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</si>
  <si>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</si>
  <si>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</si>
  <si>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</si>
  <si>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</si>
  <si>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</si>
  <si>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</si>
  <si>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</si>
  <si>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</si>
  <si>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</si>
  <si>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</si>
  <si>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</si>
  <si>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</si>
  <si>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</si>
  <si>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</si>
  <si>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</si>
  <si>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</si>
  <si>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</si>
  <si>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</si>
  <si>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</si>
  <si>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</si>
  <si>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</si>
  <si>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</si>
  <si>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</si>
  <si>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</si>
  <si>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</si>
  <si>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</si>
  <si>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</si>
  <si>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</si>
  <si>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</si>
  <si>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</si>
  <si>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</si>
  <si>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</si>
  <si>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</si>
  <si>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</si>
  <si>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</si>
  <si>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</si>
  <si>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</si>
  <si>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</si>
  <si>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</si>
  <si>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</si>
  <si>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</si>
  <si>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</si>
  <si>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</si>
  <si>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</si>
  <si>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</si>
  <si>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</si>
  <si>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</si>
  <si>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</si>
  <si>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</si>
  <si>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</si>
  <si>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</si>
  <si>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</si>
  <si>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</si>
  <si>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</si>
  <si>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</si>
  <si>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</si>
  <si>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29.11.2024</t>
  </si>
  <si>
    <t>Q1 2025</t>
  </si>
  <si>
    <t>EPS Lower</t>
  </si>
  <si>
    <t>EPS Upper</t>
  </si>
  <si>
    <t>Actual EPS</t>
  </si>
  <si>
    <t>FY 2024</t>
  </si>
  <si>
    <t>Manual Cost of Equity</t>
  </si>
  <si>
    <t>DDM price</t>
  </si>
  <si>
    <t>Dividend discount model</t>
  </si>
  <si>
    <t>Dividend per share</t>
  </si>
  <si>
    <t>Ratios</t>
  </si>
  <si>
    <t>Payout</t>
  </si>
  <si>
    <t>DDM valuation</t>
  </si>
  <si>
    <t>Latest dividend</t>
  </si>
  <si>
    <t>Year 1 growth rate</t>
  </si>
  <si>
    <t>Year 1 dividend</t>
  </si>
  <si>
    <t>Perpetual dividend growth</t>
  </si>
  <si>
    <t>27.06.2025</t>
  </si>
  <si>
    <t>28.06.2024</t>
  </si>
  <si>
    <t>30.06.2023</t>
  </si>
  <si>
    <t>SG&amp;A</t>
  </si>
  <si>
    <t>01.07.2022</t>
  </si>
  <si>
    <t>02.07.2021</t>
  </si>
  <si>
    <t>Q3 2026</t>
  </si>
  <si>
    <t>03.04.2026</t>
  </si>
  <si>
    <t>28.03.2025</t>
  </si>
  <si>
    <t>02.01.2026</t>
  </si>
  <si>
    <t>27.12.2024</t>
  </si>
  <si>
    <t>03.10.2025</t>
  </si>
  <si>
    <t>27.09.2024</t>
  </si>
  <si>
    <t>Opex</t>
  </si>
  <si>
    <t>-</t>
  </si>
  <si>
    <t>Exabytes</t>
  </si>
  <si>
    <t>Nearline</t>
  </si>
  <si>
    <t>Non-Neraline</t>
  </si>
  <si>
    <t>Price per Exabyte</t>
  </si>
  <si>
    <t>Business units:</t>
  </si>
  <si>
    <t>Competitors:</t>
  </si>
  <si>
    <t>Patents:</t>
  </si>
  <si>
    <t>Nearline exabytes * price per exabyte</t>
  </si>
  <si>
    <t>Metrics</t>
  </si>
  <si>
    <t>Nearline exabytes growth rate</t>
  </si>
  <si>
    <t>Price per exabyte growth rate</t>
  </si>
  <si>
    <t>Datacenter</t>
  </si>
  <si>
    <t>Edge &amp; IoT</t>
  </si>
  <si>
    <t>Kioxia Holdings</t>
  </si>
  <si>
    <t>Micron</t>
  </si>
  <si>
    <t>Samsung Electronics</t>
  </si>
  <si>
    <t>Sandisk</t>
  </si>
  <si>
    <t>SK Hynix</t>
  </si>
  <si>
    <t>Western Digital</t>
  </si>
  <si>
    <t>Toshiba Corporation</t>
  </si>
  <si>
    <t>Datacenter represents high capacity nearline products sold to clouds and enterprise customers</t>
  </si>
  <si>
    <t>Edge &amp; IoT includes consumer and client markets</t>
  </si>
  <si>
    <t>Erns &amp; young</t>
  </si>
  <si>
    <t>Enable enterprises and end-users to confidently store and unlock value of their data</t>
  </si>
  <si>
    <t>Q4 operating margin will be 40%-44%</t>
  </si>
  <si>
    <t>Q4 OpEx will be about 295M</t>
  </si>
  <si>
    <t>Q4 diluted avg shares will be 231M</t>
  </si>
  <si>
    <t>27.04.2026</t>
  </si>
  <si>
    <t>Edge &amp; IoT Growth Rate</t>
  </si>
  <si>
    <t>03.07.2026</t>
  </si>
  <si>
    <t>Q4 2026</t>
  </si>
  <si>
    <t>31.07.2026</t>
  </si>
  <si>
    <t>Nearline exabyte supply largely allocated into CY28 and some customers expand planning horizons into CY29 and beyond</t>
  </si>
  <si>
    <t>Q1 operating margin will be about 50%</t>
  </si>
  <si>
    <t>Q1 OpEx will be about 300M</t>
  </si>
  <si>
    <t>Q1 diluted avg shares will be 231M</t>
  </si>
  <si>
    <t>Terminal EV</t>
  </si>
  <si>
    <t>PV of Terminal EV</t>
  </si>
  <si>
    <t>Total EV</t>
  </si>
  <si>
    <t>Year 5 FCFF</t>
  </si>
  <si>
    <t>EV/Sales</t>
  </si>
  <si>
    <t>EV/Sales valuation</t>
  </si>
  <si>
    <t>Year 5 Sales</t>
  </si>
  <si>
    <t>Applied EV/Sales ratio</t>
  </si>
  <si>
    <t>Reverse DCF rate</t>
  </si>
  <si>
    <t>Discount rates used</t>
  </si>
  <si>
    <t>Cost of Equity</t>
  </si>
  <si>
    <t>Links</t>
  </si>
  <si>
    <t>Financials -&gt;'!B13</t>
  </si>
  <si>
    <t>Analysis -&gt;'!B13</t>
  </si>
  <si>
    <t>Forecast -&gt;'!B13</t>
  </si>
  <si>
    <t>Valuation -&gt;'!B13</t>
  </si>
  <si>
    <t>Overview'!B3</t>
  </si>
  <si>
    <t>Reverse DCF price</t>
  </si>
  <si>
    <t>FCF ratios</t>
  </si>
  <si>
    <t>FCFF/Sales</t>
  </si>
  <si>
    <t>FCFE/Sales</t>
  </si>
  <si>
    <t>Other standard growth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</si>
</sst>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 numFmtId="171" formatCode="0.0_);\(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b/>
      <sz val="12"/>
      <color rgb="FF000000"/>
      <name val="Aptos Narrow"/>
      <scheme val="minor"/>
    </font>
    <font>
      <i/>
      <sz val="12"/>
      <color rgb="FF000000"/>
      <name val="Aptos Narrow"/>
      <scheme val="minor"/>
    </font>
    <font>
      <u/>
      <sz val="12"/>
      <color theme="10"/>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
      <patternFill patternType="solid">
        <fgColor rgb="FFFFC000"/>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24" fillId="0" borderId="0" applyNumberFormat="0" applyFill="0" applyBorder="0" applyAlignment="0" applyProtection="0"/>
  </cellStyleXfs>
  <cellXfs count="267">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2"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3" fillId="12" borderId="0" xfId="0" applyNumberFormat="1" applyFont="1" applyFill="1"/>
    <xf numFmtId="168" fontId="23" fillId="12" borderId="14" xfId="0" applyNumberFormat="1" applyFont="1" applyFill="1" applyBorder="1"/>
    <xf numFmtId="168" fontId="23"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40" fontId="10" fillId="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0" fillId="7" borderId="0" xfId="0" applyFill="1" applyAlignment="1">
      <alignment horizontal="left" indent="1"/>
    </xf>
    <xf numFmtId="0" fontId="0" fillId="7" borderId="0" xfId="0" applyFill="1" applyAlignment="1">
      <alignment horizontal="left"/>
    </xf>
    <xf numFmtId="169" fontId="16" fillId="2" borderId="0" xfId="0" applyNumberFormat="1" applyFont="1" applyFill="1"/>
    <xf numFmtId="169" fontId="16" fillId="2" borderId="14" xfId="0" applyNumberFormat="1" applyFont="1" applyFill="1" applyBorder="1"/>
    <xf numFmtId="169" fontId="0" fillId="2" borderId="0" xfId="0" applyNumberFormat="1" applyFill="1"/>
    <xf numFmtId="37" fontId="10" fillId="2" borderId="0" xfId="1" applyNumberFormat="1" applyFont="1" applyFill="1"/>
    <xf numFmtId="171" fontId="10" fillId="2" borderId="0" xfId="1" applyNumberFormat="1" applyFont="1" applyFill="1"/>
    <xf numFmtId="37" fontId="8" fillId="8" borderId="0" xfId="0" applyNumberFormat="1" applyFont="1" applyFill="1"/>
    <xf numFmtId="38" fontId="9" fillId="19" borderId="0" xfId="0" applyNumberFormat="1" applyFont="1" applyFill="1"/>
    <xf numFmtId="0" fontId="7" fillId="9" borderId="15" xfId="0" applyFont="1" applyFill="1" applyBorder="1"/>
    <xf numFmtId="167" fontId="7" fillId="9" borderId="16" xfId="0" applyNumberFormat="1" applyFont="1" applyFill="1" applyBorder="1"/>
    <xf numFmtId="168" fontId="0" fillId="17" borderId="25" xfId="1" applyNumberFormat="1" applyFont="1" applyFill="1" applyBorder="1"/>
    <xf numFmtId="168" fontId="0" fillId="17" borderId="26" xfId="1" applyNumberFormat="1" applyFont="1" applyFill="1" applyBorder="1"/>
    <xf numFmtId="0" fontId="24" fillId="8" borderId="25" xfId="2" quotePrefix="1" applyFill="1" applyBorder="1" applyAlignment="1">
      <alignment horizontal="center"/>
    </xf>
    <xf numFmtId="0" fontId="24" fillId="8" borderId="26" xfId="2" quotePrefix="1" applyFill="1" applyBorder="1" applyAlignment="1">
      <alignment horizontal="center"/>
    </xf>
    <xf numFmtId="168" fontId="0" fillId="17" borderId="2" xfId="1" applyNumberFormat="1" applyFont="1" applyFill="1" applyBorder="1"/>
    <xf numFmtId="2" fontId="0" fillId="17" borderId="6" xfId="1" applyNumberFormat="1" applyFont="1" applyFill="1" applyBorder="1"/>
    <xf numFmtId="0" fontId="0" fillId="7" borderId="27" xfId="0" applyFill="1" applyBorder="1"/>
    <xf numFmtId="0" fontId="4" fillId="4" borderId="0" xfId="0" applyFont="1" applyFill="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cellXfs>
  <cellStyles count="3">
    <cellStyle name="Hyperlink" xfId="2" builtinId="8"/>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Year'!$H$57:$L$57</c:f>
              <c:numCache>
                <c:formatCode>#,##0_);[Red]\(#,##0\)</c:formatCode>
                <c:ptCount val="5"/>
                <c:pt idx="0">
                  <c:v>11661</c:v>
                </c:pt>
                <c:pt idx="1">
                  <c:v>7384</c:v>
                </c:pt>
                <c:pt idx="2">
                  <c:v>6551</c:v>
                </c:pt>
                <c:pt idx="3">
                  <c:v>9097</c:v>
                </c:pt>
                <c:pt idx="4">
                  <c:v>12195</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Year'!$H$58:$L$58</c:f>
              <c:numCache>
                <c:formatCode>#,##0_);\(#,##0\)</c:formatCode>
                <c:ptCount val="5"/>
                <c:pt idx="0">
                  <c:v>1955</c:v>
                </c:pt>
                <c:pt idx="1">
                  <c:v>-342</c:v>
                </c:pt>
                <c:pt idx="2">
                  <c:v>452</c:v>
                </c:pt>
                <c:pt idx="3">
                  <c:v>1890</c:v>
                </c:pt>
                <c:pt idx="4">
                  <c:v>4094</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01.07.2022</c:v>
                </c:pt>
                <c:pt idx="1">
                  <c:v>30.06.2023</c:v>
                </c:pt>
                <c:pt idx="2">
                  <c:v>28.06.2024</c:v>
                </c:pt>
                <c:pt idx="3">
                  <c:v>27.06.2025</c:v>
                </c:pt>
                <c:pt idx="4">
                  <c:v>03.07.2026</c:v>
                </c:pt>
              </c:strCache>
            </c:strRef>
          </c:cat>
          <c:val>
            <c:numRef>
              <c:f>'Graphs Year'!$H$59:$L$59</c:f>
              <c:numCache>
                <c:formatCode>#,##0_);\(#,##0\)</c:formatCode>
                <c:ptCount val="5"/>
                <c:pt idx="0">
                  <c:v>1649</c:v>
                </c:pt>
                <c:pt idx="1">
                  <c:v>-529</c:v>
                </c:pt>
                <c:pt idx="2">
                  <c:v>335</c:v>
                </c:pt>
                <c:pt idx="3">
                  <c:v>1469</c:v>
                </c:pt>
                <c:pt idx="4">
                  <c:v>3184</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1131</c:v>
                </c:pt>
                <c:pt idx="1">
                  <c:v>511</c:v>
                </c:pt>
                <c:pt idx="2">
                  <c:v>537</c:v>
                </c:pt>
                <c:pt idx="3">
                  <c:v>618</c:v>
                </c:pt>
                <c:pt idx="4">
                  <c:v>2892</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1347.0684931506848</c:v>
                </c:pt>
                <c:pt idx="1">
                  <c:v>1017</c:v>
                </c:pt>
                <c:pt idx="2">
                  <c:v>736.2696629213483</c:v>
                </c:pt>
                <c:pt idx="3">
                  <c:v>856.03635161929924</c:v>
                </c:pt>
                <c:pt idx="4">
                  <c:v>3080.6005420054198</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0.29748735099905671</c:v>
                </c:pt>
                <c:pt idx="1">
                  <c:v>0.1829631635969664</c:v>
                </c:pt>
                <c:pt idx="2">
                  <c:v>0.23446802014959547</c:v>
                </c:pt>
                <c:pt idx="3">
                  <c:v>0.3517643179070023</c:v>
                </c:pt>
                <c:pt idx="4">
                  <c:v>0.45576055760557604</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0.16765285996055226</c:v>
                </c:pt>
                <c:pt idx="1">
                  <c:v>-4.6316359696641385E-2</c:v>
                </c:pt>
                <c:pt idx="2">
                  <c:v>6.8997099679438248E-2</c:v>
                </c:pt>
                <c:pt idx="3">
                  <c:v>0.20776080026382324</c:v>
                </c:pt>
                <c:pt idx="4">
                  <c:v>0.33571135711357114</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0.1414115427493354</c:v>
                </c:pt>
                <c:pt idx="1">
                  <c:v>-7.164138678223185E-2</c:v>
                </c:pt>
                <c:pt idx="2">
                  <c:v>5.1137230957105782E-2</c:v>
                </c:pt>
                <c:pt idx="3">
                  <c:v>0.16148180718918326</c:v>
                </c:pt>
                <c:pt idx="4">
                  <c:v>0.26109061090610908</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Datacenter</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0</c:v>
                </c:pt>
                <c:pt idx="1">
                  <c:v>0</c:v>
                </c:pt>
                <c:pt idx="2">
                  <c:v>0</c:v>
                </c:pt>
                <c:pt idx="3">
                  <c:v>6796</c:v>
                </c:pt>
                <c:pt idx="4">
                  <c:v>9771</c:v>
                </c:pt>
              </c:numCache>
            </c:numRef>
          </c:val>
          <c:extLst>
            <c:ext xmlns:c16="http://schemas.microsoft.com/office/drawing/2014/chart" uri="{C3380CC4-5D6E-409C-BE32-E72D297353CC}">
              <c16:uniqueId val="{00000000-CDE5-154C-8153-319428CD8714}"/>
            </c:ext>
          </c:extLst>
        </c:ser>
        <c:ser>
          <c:idx val="1"/>
          <c:order val="1"/>
          <c:tx>
            <c:v>Edge &amp; IoT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0</c:v>
                </c:pt>
                <c:pt idx="1">
                  <c:v>0</c:v>
                </c:pt>
                <c:pt idx="2">
                  <c:v>0</c:v>
                </c:pt>
                <c:pt idx="3">
                  <c:v>2300</c:v>
                </c:pt>
                <c:pt idx="4">
                  <c:v>2425</c:v>
                </c:pt>
              </c:numCache>
            </c:numRef>
          </c:val>
          <c:extLst>
            <c:ext xmlns:c16="http://schemas.microsoft.com/office/drawing/2014/chart" uri="{C3380CC4-5D6E-409C-BE32-E72D297353CC}">
              <c16:uniqueId val="{00000001-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0.00%</c:formatCode>
                <c:ptCount val="5"/>
                <c:pt idx="0">
                  <c:v>0.18436940966010734</c:v>
                </c:pt>
                <c:pt idx="1">
                  <c:v>-7.0010587612493388E-2</c:v>
                </c:pt>
                <c:pt idx="2">
                  <c:v>4.3287246414265401E-2</c:v>
                </c:pt>
                <c:pt idx="3">
                  <c:v>0.18309859154929578</c:v>
                </c:pt>
                <c:pt idx="4">
                  <c:v>0.31929402326514245</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15.128440366972477</c:v>
                </c:pt>
                <c:pt idx="1">
                  <c:v>0.44120100083402836</c:v>
                </c:pt>
                <c:pt idx="2">
                  <c:v>-0.22468142186452042</c:v>
                </c:pt>
                <c:pt idx="3">
                  <c:v>-3.2428256070640176</c:v>
                </c:pt>
                <c:pt idx="4">
                  <c:v>1.4693124134748501</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0.37355418154682585</c:v>
                </c:pt>
                <c:pt idx="1">
                  <c:v>-9.867282169648009E-2</c:v>
                </c:pt>
                <c:pt idx="2">
                  <c:v>0.12044943820224721</c:v>
                </c:pt>
                <c:pt idx="3">
                  <c:v>0.5026119834618733</c:v>
                </c:pt>
                <c:pt idx="4">
                  <c:v>0.87701105809469215</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Year'!$H$70:$L$70</c:f>
              <c:numCache>
                <c:formatCode>0</c:formatCode>
                <c:ptCount val="5"/>
                <c:pt idx="0">
                  <c:v>100</c:v>
                </c:pt>
                <c:pt idx="1">
                  <c:v>89.549862498190762</c:v>
                </c:pt>
                <c:pt idx="2">
                  <c:v>149.47170357504703</c:v>
                </c:pt>
                <c:pt idx="3">
                  <c:v>204.718483137936</c:v>
                </c:pt>
                <c:pt idx="4">
                  <c:v>1187.0893038066288</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63.322185061315494</c:v>
                </c:pt>
                <c:pt idx="2">
                  <c:v>56.17871537603979</c:v>
                </c:pt>
                <c:pt idx="3">
                  <c:v>78.012177343281024</c:v>
                </c:pt>
                <c:pt idx="4">
                  <c:v>104.57936712117315</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-34.782608695652172</c:v>
                </c:pt>
                <c:pt idx="2">
                  <c:v>21.467391304347828</c:v>
                </c:pt>
                <c:pt idx="3">
                  <c:v>91.983695652173907</c:v>
                </c:pt>
                <c:pt idx="4">
                  <c:v>188.85869565217394</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2168</c:v>
                </c:pt>
                <c:pt idx="1">
                  <c:v>2325</c:v>
                </c:pt>
                <c:pt idx="2">
                  <c:v>2160</c:v>
                </c:pt>
                <c:pt idx="3">
                  <c:v>2444</c:v>
                </c:pt>
                <c:pt idx="4">
                  <c:v>2629</c:v>
                </c:pt>
                <c:pt idx="5">
                  <c:v>2825</c:v>
                </c:pt>
                <c:pt idx="6">
                  <c:v>3112</c:v>
                </c:pt>
                <c:pt idx="7">
                  <c:v>3629</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403</c:v>
                </c:pt>
                <c:pt idx="1">
                  <c:v>488</c:v>
                </c:pt>
                <c:pt idx="2">
                  <c:v>431</c:v>
                </c:pt>
                <c:pt idx="3">
                  <c:v>568</c:v>
                </c:pt>
                <c:pt idx="4">
                  <c:v>694</c:v>
                </c:pt>
                <c:pt idx="5">
                  <c:v>843</c:v>
                </c:pt>
                <c:pt idx="6">
                  <c:v>998</c:v>
                </c:pt>
                <c:pt idx="7">
                  <c:v>1559</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305</c:v>
                </c:pt>
                <c:pt idx="1">
                  <c:v>336</c:v>
                </c:pt>
                <c:pt idx="2">
                  <c:v>340</c:v>
                </c:pt>
                <c:pt idx="3">
                  <c:v>488</c:v>
                </c:pt>
                <c:pt idx="4">
                  <c:v>549</c:v>
                </c:pt>
                <c:pt idx="5">
                  <c:v>593</c:v>
                </c:pt>
                <c:pt idx="6">
                  <c:v>748</c:v>
                </c:pt>
                <c:pt idx="7">
                  <c:v>1294</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0.32933579335793356</c:v>
                </c:pt>
                <c:pt idx="1">
                  <c:v>0.34924731182795699</c:v>
                </c:pt>
                <c:pt idx="2">
                  <c:v>0.35185185185185186</c:v>
                </c:pt>
                <c:pt idx="3">
                  <c:v>0.3739770867430442</c:v>
                </c:pt>
                <c:pt idx="4">
                  <c:v>0.39444655762647396</c:v>
                </c:pt>
                <c:pt idx="5">
                  <c:v>0.41628318584070795</c:v>
                </c:pt>
                <c:pt idx="6">
                  <c:v>0.46497429305912596</c:v>
                </c:pt>
                <c:pt idx="7">
                  <c:v>0.52300909341416368</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0.18588560885608857</c:v>
                </c:pt>
                <c:pt idx="1">
                  <c:v>0.20989247311827958</c:v>
                </c:pt>
                <c:pt idx="2">
                  <c:v>0.19953703703703704</c:v>
                </c:pt>
                <c:pt idx="3">
                  <c:v>0.23240589198036007</c:v>
                </c:pt>
                <c:pt idx="4">
                  <c:v>0.26397869912514266</c:v>
                </c:pt>
                <c:pt idx="5">
                  <c:v>0.2984070796460177</c:v>
                </c:pt>
                <c:pt idx="6">
                  <c:v>0.32069408740359895</c:v>
                </c:pt>
                <c:pt idx="7">
                  <c:v>0.42959492973270874</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0.14068265682656828</c:v>
                </c:pt>
                <c:pt idx="1">
                  <c:v>0.14451612903225808</c:v>
                </c:pt>
                <c:pt idx="2">
                  <c:v>0.15740740740740741</c:v>
                </c:pt>
                <c:pt idx="3">
                  <c:v>0.19967266775777415</c:v>
                </c:pt>
                <c:pt idx="4">
                  <c:v>0.20882464815519208</c:v>
                </c:pt>
                <c:pt idx="5">
                  <c:v>0.20991150442477877</c:v>
                </c:pt>
                <c:pt idx="6">
                  <c:v>0.24035989717223649</c:v>
                </c:pt>
                <c:pt idx="7">
                  <c:v>0.35657205841829703</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Datacenter</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1582</c:v>
                </c:pt>
                <c:pt idx="1">
                  <c:v>1736</c:v>
                </c:pt>
                <c:pt idx="2">
                  <c:v>1615</c:v>
                </c:pt>
                <c:pt idx="3">
                  <c:v>1863</c:v>
                </c:pt>
                <c:pt idx="4">
                  <c:v>2114</c:v>
                </c:pt>
                <c:pt idx="5">
                  <c:v>2224</c:v>
                </c:pt>
                <c:pt idx="6">
                  <c:v>2500</c:v>
                </c:pt>
                <c:pt idx="7">
                  <c:v>2933</c:v>
                </c:pt>
              </c:numCache>
            </c:numRef>
          </c:val>
          <c:extLst>
            <c:ext xmlns:c16="http://schemas.microsoft.com/office/drawing/2014/chart" uri="{C3380CC4-5D6E-409C-BE32-E72D297353CC}">
              <c16:uniqueId val="{00000000-2E19-FD44-9C5E-C1716B02A7E3}"/>
            </c:ext>
          </c:extLst>
        </c:ser>
        <c:ser>
          <c:idx val="1"/>
          <c:order val="1"/>
          <c:tx>
            <c:v>Edge &amp; IoT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585</c:v>
                </c:pt>
                <c:pt idx="1">
                  <c:v>589</c:v>
                </c:pt>
                <c:pt idx="2">
                  <c:v>545</c:v>
                </c:pt>
                <c:pt idx="3">
                  <c:v>581</c:v>
                </c:pt>
                <c:pt idx="4">
                  <c:v>515</c:v>
                </c:pt>
                <c:pt idx="5">
                  <c:v>601</c:v>
                </c:pt>
                <c:pt idx="6">
                  <c:v>612</c:v>
                </c:pt>
                <c:pt idx="7">
                  <c:v>697</c:v>
                </c:pt>
              </c:numCache>
            </c:numRef>
          </c:val>
          <c:extLst>
            <c:ext xmlns:c16="http://schemas.microsoft.com/office/drawing/2014/chart" uri="{C3380CC4-5D6E-409C-BE32-E72D297353CC}">
              <c16:uniqueId val="{00000001-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1"/>
        <c:axPos val="b"/>
        <c:majorTickMark val="none"/>
        <c:minorTickMark val="none"/>
        <c:tickLblPos val="nextTo"/>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Quarter'!$C$65:$J$65</c:f>
              <c:numCache>
                <c:formatCode>#,##0_);\(#,##0\)</c:formatCode>
                <c:ptCount val="8"/>
                <c:pt idx="0">
                  <c:v>-11</c:v>
                </c:pt>
                <c:pt idx="1">
                  <c:v>101</c:v>
                </c:pt>
                <c:pt idx="2">
                  <c:v>162</c:v>
                </c:pt>
                <c:pt idx="3">
                  <c:v>366</c:v>
                </c:pt>
                <c:pt idx="4">
                  <c:v>375</c:v>
                </c:pt>
                <c:pt idx="5">
                  <c:v>554</c:v>
                </c:pt>
                <c:pt idx="6">
                  <c:v>899</c:v>
                </c:pt>
                <c:pt idx="7">
                  <c:v>1064</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https://www.bing.com/financeapi/forcetrigger?t=a23rjc&amp;q=XNAS%3aSTX&amp;form=skydnc</v>
    <v>Learn more on Bing</v>
  </rv>
  <rv s="1">
    <v>0</v>
    <v>SEAGATE TECHNOLOGY HOLDINGS PUBLIC LIMITED COMPANY (XNAS:STX)</v>
    <v>2</v>
    <v>3</v>
    <v>Finance</v>
    <v>4</v>
    <v>en-US</v>
    <v>a23rjc</v>
    <v>268435456</v>
    <v>1</v>
    <v>Powered by Refinitiv</v>
    <v>1145</v>
    <v>217.67</v>
    <v>2.1471</v>
    <v>32.56</v>
    <v>5.0542999999999998E-2</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687.05</v>
    <v>Computers, Phones &amp; Household Electronics</v>
    <v>Stock</v>
    <v>46322.699459212497</v>
    <v>0</v>
    <v>648.03</v>
    <v>155008009893</v>
    <v>SEAGATE TECHNOLOGY HOLDINGS PUBLIC LIMITED COMPANY</v>
    <v>SEAGATE TECHNOLOGY HOLDINGS PUBLIC LIMITED COMPANY</v>
    <v>650.01</v>
    <v>48.674799999999998</v>
    <v>644.21</v>
    <v>676.77</v>
    <v>229040900</v>
    <v>STX</v>
    <v>SEAGATE TECHNOLOGY HOLDINGS PUBLIC LIMITED COMPANY (XNAS:STX)</v>
    <v>3848191</v>
    <v>4848790</v>
    <v>2017</v>
  </rv>
  <rv s="2">
    <v>1</v>
  </rv>
  <rv s="3">
    <v>12</v>
    <v>Price (Extended hours)</v>
    <v>0</v>
  </rv>
  <rv s="3">
    <v>12</v>
    <v>Change (extended hours)</v>
    <v>0</v>
  </rv>
  <rv s="3">
    <v>12</v>
    <v>Change % (extended hours)</v>
    <v>0</v>
  </rv>
  <rv s="0">
    <v>https://www.bing.com/financeapi/forcetrigger?t=a33knm&amp;q=10+Y+TSY+YLD+NDX&amp;form=skydnc</v>
    <v>Learn more on Bing</v>
  </rv>
  <rv s="4">
    <v>5</v>
    <v>10 Y TSY YLD NDX</v>
    <v>6</v>
    <v>7</v>
    <v>Finance</v>
    <v>8</v>
    <v>en-US</v>
    <v>a33knm</v>
    <v>268435456</v>
    <v>1</v>
    <v>Powered by Refinitiv</v>
    <v>53.64</v>
    <v>39.47</v>
    <v>-0.02</v>
    <v>-4.0099999999999999E-4</v>
    <v>US</v>
    <v>50.03</v>
    <v>Index</v>
    <v>6</v>
    <v>49.61</v>
    <v>10 Y TSY YLD NDX</v>
    <v>50.03</v>
    <v>49.88</v>
    <v>49.86</v>
    <v>TNX</v>
    <v>10 Y TSY YLD NDX</v>
  </rv>
  <rv s="2">
    <v>7</v>
  </rv>
</rvData>
</file>

<file path=xl/richData/rdrichvaluestructure.xml><?xml version="1.0" encoding="utf-8"?>
<rvStructures xmlns="http://schemas.microsoft.com/office/spreadsheetml/2017/richdata" count="5">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error">
    <k n="errorType" t="i"/>
    <k n="field" t="s"/>
    <k n="subType" t="i"/>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1</v>
      <v>1</v>
      <v>1</v>
    </spb>
    <spb s="6">
      <v>1</v>
      <v>1</v>
      <v>3</v>
      <v>1</v>
      <v>1</v>
      <v>1</v>
      <v>5</v>
      <v>1</v>
      <v>1</v>
      <v>1</v>
      <v>9</v>
    </spb>
    <spb s="7">
      <v>from previous close</v>
      <v>from previous close</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3" dT="2026-02-17T21:45:28.65" personId="{A0F62302-F8D3-B346-B5DF-839B413AE710}" id="{22B2B3EF-EBF6-0D4F-BF74-BA371A77FD6F}">
    <text>Actual number</text>
  </threadedComment>
  <threadedComment ref="B114"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 ref="B205" dT="2026-07-21T21:51:20.04" personId="{A0F62302-F8D3-B346-B5DF-839B413AE710}" id="{69DCCB8F-B0E5-EE40-B16B-2407A64D5CBB}">
    <text>Actual number for all 3 rows</text>
  </threadedComment>
  <threadedComment ref="B206" dT="2026-07-25T14:50:00.96" personId="{A0F62302-F8D3-B346-B5DF-839B413AE710}" id="{41597581-4D82-244A-BAC0-F95FCD30A56A}">
    <text>Exabytes for the Cloud business segment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sheetPr codeName="Sheet1"/>
  <dimension ref="B1:K75"/>
  <sheetViews>
    <sheetView tabSelected="1" zoomScale="160" zoomScaleNormal="160" workbookViewId="0">
      <selection activeCell="I14" sqref="I14"/>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83203125" style="1" customWidth="1"/>
    <col min="9" max="9" width="8.6640625" style="1" customWidth="1"/>
    <col min="10" max="10" width="2" style="1" customWidth="1"/>
    <col min="11" max="11" width="16.5" style="1" customWidth="1"/>
    <col min="12" max="16384" width="10.83203125" style="1"/>
  </cols>
  <sheetData>
    <row r="1" spans="2:11" ht="11" customHeight="1" x14ac:dyDescent="0.2"/>
    <row r="2" spans="2:11" x14ac:dyDescent="0.2">
      <c r="B2" s="250" t="s">
        <v>17</v>
      </c>
      <c r="C2" s="251"/>
      <c r="E2" s="250" t="s">
        <v>286</v>
      </c>
      <c r="F2" s="251"/>
      <c r="H2" s="250" t="s">
        <v>324</v>
      </c>
      <c r="I2" s="251"/>
      <c r="K2" s="132" t="s">
        <v>434</v>
      </c>
    </row>
    <row r="3" spans="2:11" x14ac:dyDescent="0.2">
      <c r="B3" s="181" t="s">
        <v>11</v>
      </c>
      <c r="C3" s="213" t="e" vm="1">
        <v>#VALUE!</v>
      </c>
      <c r="D3" s="2"/>
      <c r="E3" s="181" t="s">
        <v>238</v>
      </c>
      <c r="F3" s="183">
        <f ca="1">Statement!AC151</f>
        <v>160394.49</v>
      </c>
      <c r="H3" s="181" t="str">
        <f>'AVG target price'!B5</f>
        <v>DCF price</v>
      </c>
      <c r="I3" s="207">
        <f ca="1">'AVG target price'!C5</f>
        <v>134.6512323282559</v>
      </c>
      <c r="K3" s="244" t="s">
        <v>435</v>
      </c>
    </row>
    <row r="4" spans="2:11" x14ac:dyDescent="0.2">
      <c r="B4" s="181" t="s">
        <v>0</v>
      </c>
      <c r="C4" s="185" t="str" cm="1">
        <f t="array" aca="1" ref="C4" ca="1">_FV(C3,"Ticker symbol",TRUE)</f>
        <v>STX</v>
      </c>
      <c r="E4" s="182" t="s">
        <v>187</v>
      </c>
      <c r="F4" s="184">
        <f ca="1">Statement!AC152</f>
        <v>162255.49</v>
      </c>
      <c r="H4" s="181" t="str">
        <f>'AVG target price'!B6</f>
        <v>EV/EBIT price</v>
      </c>
      <c r="I4" s="207">
        <f ca="1">'AVG target price'!C6</f>
        <v>212.51770731536101</v>
      </c>
      <c r="K4" s="244" t="s">
        <v>436</v>
      </c>
    </row>
    <row r="5" spans="2:11" x14ac:dyDescent="0.2">
      <c r="B5" s="181" t="s">
        <v>1</v>
      </c>
      <c r="C5" s="204" cm="1">
        <f t="array" aca="1" ref="C5" ca="1">_FV(C3,"Price",TRUE)</f>
        <v>676.77</v>
      </c>
      <c r="E5" s="181" t="s">
        <v>242</v>
      </c>
      <c r="F5" s="185">
        <f>Statement!AC25</f>
        <v>13.88</v>
      </c>
      <c r="H5" s="181" t="str">
        <f>'AVG target price'!B7</f>
        <v>PS price</v>
      </c>
      <c r="I5" s="207">
        <f ca="1">'AVG target price'!C7</f>
        <v>146.73746204659241</v>
      </c>
      <c r="K5" s="244" t="s">
        <v>437</v>
      </c>
    </row>
    <row r="6" spans="2:11" x14ac:dyDescent="0.2">
      <c r="B6" s="181" t="s">
        <v>2</v>
      </c>
      <c r="C6" s="204" t="e" cm="1" vm="2">
        <f t="array" ref="C6">_FV(C3,"Price (Extended hours)",TRUE)</f>
        <v>#VALUE!</v>
      </c>
      <c r="E6" s="181" t="s">
        <v>236</v>
      </c>
      <c r="F6" s="186">
        <f ca="1">Statement!AC148</f>
        <v>48.758645533141205</v>
      </c>
      <c r="H6" s="181" t="str">
        <f>'AVG target price'!B8</f>
        <v>EV/FCFF price</v>
      </c>
      <c r="I6" s="207">
        <f ca="1">'AVG target price'!C8</f>
        <v>227.6838031105919</v>
      </c>
      <c r="K6" s="245" t="s">
        <v>438</v>
      </c>
    </row>
    <row r="7" spans="2:11" x14ac:dyDescent="0.2">
      <c r="B7" s="181" t="s">
        <v>3</v>
      </c>
      <c r="C7" s="6" cm="1">
        <f t="array" aca="1" ref="C7" ca="1">_FV(C3,"Change")</f>
        <v>32.56</v>
      </c>
      <c r="E7" s="182" t="s">
        <v>200</v>
      </c>
      <c r="F7" s="187">
        <f ca="1">Statement!AC149</f>
        <v>12.694640221402214</v>
      </c>
      <c r="H7" s="181" t="str">
        <f>'AVG target price'!B9</f>
        <v>EV/Sales</v>
      </c>
      <c r="I7" s="207">
        <f ca="1">'AVG target price'!C9</f>
        <v>218.83791585802089</v>
      </c>
    </row>
    <row r="8" spans="2:11" x14ac:dyDescent="0.2">
      <c r="B8" s="181" t="s">
        <v>4</v>
      </c>
      <c r="C8" s="6" t="e" cm="1" vm="3">
        <f t="array" ref="C8">_FV(C3,"Change (extended hours)",TRUE)</f>
        <v>#VALUE!</v>
      </c>
      <c r="E8" s="181" t="s">
        <v>264</v>
      </c>
      <c r="F8" s="188">
        <f ca="1">Statement!AC159</f>
        <v>1.8030544565464813E-2</v>
      </c>
      <c r="H8" s="180" t="str">
        <f>'AVG target price'!B10</f>
        <v>AVG price</v>
      </c>
      <c r="I8" s="208">
        <f ca="1">'AVG target price'!C10</f>
        <v>188.08562413176443</v>
      </c>
    </row>
    <row r="9" spans="2:11" x14ac:dyDescent="0.2">
      <c r="B9" s="181" t="s">
        <v>5</v>
      </c>
      <c r="C9" s="73" cm="1">
        <f t="array" aca="1" ref="C9" ca="1">_FV(C3,"Change (%)",TRUE)</f>
        <v>5.0542999999999998E-2</v>
      </c>
      <c r="E9" s="181" t="s">
        <v>287</v>
      </c>
      <c r="F9" s="188">
        <f ca="1">Statement!AC160</f>
        <v>2.0509183326684104E-2</v>
      </c>
      <c r="H9" s="180" t="str">
        <f>'AVG target price'!B12</f>
        <v>Upside/Downside</v>
      </c>
      <c r="I9" s="209">
        <f ca="1">'AVG target price'!C12</f>
        <v>-0.72208339002650168</v>
      </c>
    </row>
    <row r="10" spans="2:11" x14ac:dyDescent="0.2">
      <c r="B10" s="181" t="s">
        <v>6</v>
      </c>
      <c r="C10" s="73" t="e" cm="1" vm="4">
        <f t="array" ref="C10">_FV(C3,"Change % (extended hours)",TRUE)</f>
        <v>#VALUE!</v>
      </c>
      <c r="E10" s="181" t="s">
        <v>292</v>
      </c>
      <c r="F10" s="188">
        <f ca="1">Statement!AC162</f>
        <v>1.0972945517018697E-3</v>
      </c>
    </row>
    <row r="11" spans="2:11" x14ac:dyDescent="0.2">
      <c r="B11" s="181" t="s">
        <v>7</v>
      </c>
      <c r="C11" s="205" cm="1">
        <f t="array" aca="1" ref="C11" ca="1">_FV(C3,"52 week high",TRUE)</f>
        <v>1145</v>
      </c>
      <c r="E11" s="182" t="s">
        <v>288</v>
      </c>
      <c r="F11" s="189">
        <f ca="1">Statement!AC161</f>
        <v>4.3146120543168286E-3</v>
      </c>
      <c r="H11" s="180" t="s">
        <v>362</v>
      </c>
      <c r="I11" s="208">
        <f ca="1">DDM!C26</f>
        <v>23.779347641317369</v>
      </c>
    </row>
    <row r="12" spans="2:11" x14ac:dyDescent="0.2">
      <c r="B12" s="181" t="s">
        <v>8</v>
      </c>
      <c r="C12" s="205" cm="1">
        <f t="array" aca="1" ref="C12" ca="1">_FV(C3,"52 week low",TRUE)</f>
        <v>217.67</v>
      </c>
      <c r="E12" s="181" t="s">
        <v>101</v>
      </c>
      <c r="F12" s="188">
        <f>Statement!AC121</f>
        <v>0.31929402326514245</v>
      </c>
    </row>
    <row r="13" spans="2:11" x14ac:dyDescent="0.2">
      <c r="B13" s="181" t="s">
        <v>9</v>
      </c>
      <c r="C13" s="205" cm="1">
        <f t="array" aca="1" ref="C13" ca="1">_FV(C3,"Beta")</f>
        <v>2.1471</v>
      </c>
      <c r="E13" s="181" t="s">
        <v>103</v>
      </c>
      <c r="F13" s="188">
        <f>Statement!AC123</f>
        <v>1.4693124134748501</v>
      </c>
      <c r="H13" s="248" t="s">
        <v>431</v>
      </c>
      <c r="I13" s="246">
        <f>'Reverse DCF'!C17</f>
        <v>0.56000000000000005</v>
      </c>
    </row>
    <row r="14" spans="2:11" x14ac:dyDescent="0.2">
      <c r="B14" s="182" t="s">
        <v>10</v>
      </c>
      <c r="C14" s="206" cm="1">
        <f t="array" aca="1" ref="C14" ca="1">_FV(C3,"Volume average",TRUE)</f>
        <v>4848790</v>
      </c>
      <c r="E14" s="182" t="s">
        <v>104</v>
      </c>
      <c r="F14" s="189">
        <f>Statement!AC138</f>
        <v>0.87701105809469215</v>
      </c>
      <c r="H14" s="182" t="s">
        <v>440</v>
      </c>
      <c r="I14" s="247">
        <f ca="1">'Reverse DCF'!C16</f>
        <v>682.17153793007083</v>
      </c>
    </row>
    <row r="15" spans="2:11" x14ac:dyDescent="0.2">
      <c r="E15" s="181" t="s">
        <v>289</v>
      </c>
      <c r="F15" s="188">
        <f ca="1">Statement!AC174</f>
        <v>-1.1602642958620337E-2</v>
      </c>
    </row>
    <row r="16" spans="2:11" x14ac:dyDescent="0.2">
      <c r="E16" s="182" t="s">
        <v>294</v>
      </c>
      <c r="F16" s="187">
        <f>Statement!AC173</f>
        <v>-8.1982378854625555</v>
      </c>
      <c r="H16" s="250" t="s">
        <v>432</v>
      </c>
      <c r="I16" s="251"/>
    </row>
    <row r="17" spans="2:9" x14ac:dyDescent="0.2">
      <c r="B17" s="252" t="s">
        <v>89</v>
      </c>
      <c r="C17" s="252"/>
      <c r="E17" s="180" t="s">
        <v>295</v>
      </c>
      <c r="F17" s="190">
        <f>Statement!AC169</f>
        <v>8.4388185654008432E-3</v>
      </c>
      <c r="H17" s="181" t="s">
        <v>164</v>
      </c>
      <c r="I17" s="242">
        <f ca="1">DCF!C15</f>
        <v>0.14432519702247792</v>
      </c>
    </row>
    <row r="18" spans="2:9" x14ac:dyDescent="0.2">
      <c r="B18" s="180" t="s">
        <v>12</v>
      </c>
      <c r="C18" s="69" t="s">
        <v>354</v>
      </c>
      <c r="E18" s="181" t="s">
        <v>296</v>
      </c>
      <c r="F18" s="186">
        <f>Statement!AC142</f>
        <v>36.179012534437547</v>
      </c>
      <c r="H18" s="182" t="s">
        <v>433</v>
      </c>
      <c r="I18" s="243">
        <f ca="1">Multiples!C54</f>
        <v>0.14647949999999998</v>
      </c>
    </row>
    <row r="19" spans="2:9" x14ac:dyDescent="0.2">
      <c r="B19" s="180" t="s">
        <v>13</v>
      </c>
      <c r="C19" s="70">
        <v>1000000</v>
      </c>
      <c r="E19" s="181" t="s">
        <v>257</v>
      </c>
      <c r="F19" s="186">
        <f>Statement!AC144</f>
        <v>0.8587909552376557</v>
      </c>
    </row>
    <row r="20" spans="2:9" x14ac:dyDescent="0.2">
      <c r="B20" s="180" t="s">
        <v>90</v>
      </c>
      <c r="C20" s="69" t="s">
        <v>93</v>
      </c>
      <c r="E20" s="182" t="s">
        <v>297</v>
      </c>
      <c r="F20" s="187">
        <f>Statement!AC145</f>
        <v>1.0354972817396866</v>
      </c>
    </row>
    <row r="21" spans="2:9" x14ac:dyDescent="0.2">
      <c r="B21" s="180" t="s">
        <v>92</v>
      </c>
      <c r="C21" s="69" t="s">
        <v>93</v>
      </c>
      <c r="I21" s="50"/>
    </row>
    <row r="22" spans="2:9" x14ac:dyDescent="0.2">
      <c r="B22" s="180" t="s">
        <v>94</v>
      </c>
      <c r="C22" s="69" t="s">
        <v>91</v>
      </c>
    </row>
    <row r="25" spans="2:9" x14ac:dyDescent="0.2">
      <c r="B25" s="252" t="s">
        <v>106</v>
      </c>
      <c r="C25" s="252"/>
      <c r="E25" s="250" t="s">
        <v>337</v>
      </c>
      <c r="F25" s="251"/>
    </row>
    <row r="26" spans="2:9" x14ac:dyDescent="0.2">
      <c r="B26" s="180" t="s">
        <v>107</v>
      </c>
      <c r="C26" s="166">
        <v>0.21</v>
      </c>
      <c r="E26" s="181" t="e" vm="5">
        <v>#VALUE!</v>
      </c>
      <c r="F26" s="215" cm="1">
        <f t="array" aca="1" ref="F26" ca="1">_FV(E26,"Price")</f>
        <v>49.86</v>
      </c>
    </row>
    <row r="27" spans="2:9" x14ac:dyDescent="0.2">
      <c r="B27" s="180" t="s">
        <v>171</v>
      </c>
      <c r="C27" s="217">
        <v>0.06</v>
      </c>
      <c r="E27" s="182" t="s">
        <v>338</v>
      </c>
      <c r="F27" s="216">
        <f ca="1">F26/1000</f>
        <v>4.9860000000000002E-2</v>
      </c>
    </row>
    <row r="28" spans="2:9" x14ac:dyDescent="0.2">
      <c r="B28" s="180" t="s">
        <v>342</v>
      </c>
      <c r="C28" s="217">
        <v>0</v>
      </c>
    </row>
    <row r="29" spans="2:9" x14ac:dyDescent="0.2">
      <c r="B29" s="180" t="s">
        <v>361</v>
      </c>
      <c r="C29" s="217">
        <v>0</v>
      </c>
    </row>
    <row r="33" spans="2:8" x14ac:dyDescent="0.2">
      <c r="B33" s="132" t="s">
        <v>332</v>
      </c>
      <c r="C33" s="132"/>
      <c r="D33" s="132"/>
      <c r="E33" s="132"/>
      <c r="F33" s="132"/>
      <c r="G33" s="132"/>
      <c r="H33" s="132"/>
    </row>
    <row r="35" spans="2:8" x14ac:dyDescent="0.2">
      <c r="B35" s="16" t="s">
        <v>333</v>
      </c>
      <c r="C35" s="1" t="s">
        <v>410</v>
      </c>
    </row>
    <row r="36" spans="2:8" x14ac:dyDescent="0.2">
      <c r="B36" s="16" t="s">
        <v>334</v>
      </c>
      <c r="C36" s="1" t="s">
        <v>409</v>
      </c>
    </row>
    <row r="37" spans="2:8" x14ac:dyDescent="0.2">
      <c r="B37" s="16" t="s">
        <v>391</v>
      </c>
      <c r="C37" s="1" t="s">
        <v>407</v>
      </c>
    </row>
    <row r="38" spans="2:8" x14ac:dyDescent="0.2">
      <c r="B38" s="16"/>
      <c r="C38" s="1" t="s">
        <v>408</v>
      </c>
    </row>
    <row r="39" spans="2:8" x14ac:dyDescent="0.2">
      <c r="B39" s="16" t="s">
        <v>392</v>
      </c>
      <c r="C39" s="1" t="s">
        <v>400</v>
      </c>
    </row>
    <row r="40" spans="2:8" x14ac:dyDescent="0.2">
      <c r="B40" s="16"/>
      <c r="C40" s="1" t="s">
        <v>401</v>
      </c>
    </row>
    <row r="41" spans="2:8" x14ac:dyDescent="0.2">
      <c r="B41" s="16"/>
      <c r="C41" s="1" t="s">
        <v>402</v>
      </c>
    </row>
    <row r="42" spans="2:8" x14ac:dyDescent="0.2">
      <c r="B42" s="16"/>
      <c r="C42" s="1" t="s">
        <v>403</v>
      </c>
    </row>
    <row r="43" spans="2:8" x14ac:dyDescent="0.2">
      <c r="B43" s="16"/>
      <c r="C43" s="1" t="s">
        <v>404</v>
      </c>
    </row>
    <row r="44" spans="2:8" x14ac:dyDescent="0.2">
      <c r="B44" s="16"/>
      <c r="C44" s="1" t="s">
        <v>405</v>
      </c>
    </row>
    <row r="45" spans="2:8" x14ac:dyDescent="0.2">
      <c r="B45" s="16"/>
      <c r="C45" s="1" t="s">
        <v>406</v>
      </c>
    </row>
    <row r="46" spans="2:8" x14ac:dyDescent="0.2">
      <c r="B46" s="16" t="s">
        <v>393</v>
      </c>
      <c r="C46" s="90">
        <f>3036+226</f>
        <v>3262</v>
      </c>
    </row>
    <row r="49" spans="2:8" ht="6" customHeight="1" x14ac:dyDescent="0.2">
      <c r="B49" s="132"/>
      <c r="C49" s="132"/>
      <c r="D49" s="132"/>
      <c r="E49" s="132"/>
      <c r="F49" s="132"/>
      <c r="G49" s="132"/>
      <c r="H49" s="132"/>
    </row>
    <row r="52" spans="2:8" x14ac:dyDescent="0.2">
      <c r="B52" s="132" t="s">
        <v>335</v>
      </c>
      <c r="C52" s="132"/>
      <c r="D52" s="132"/>
      <c r="E52" s="132"/>
      <c r="F52" s="132"/>
      <c r="G52" s="132"/>
      <c r="H52" s="132"/>
    </row>
    <row r="54" spans="2:8" x14ac:dyDescent="0.2">
      <c r="B54" s="41" t="s">
        <v>336</v>
      </c>
      <c r="C54" s="41" t="s">
        <v>418</v>
      </c>
      <c r="D54" s="41"/>
      <c r="E54" s="41" t="s">
        <v>417</v>
      </c>
    </row>
    <row r="55" spans="2:8" x14ac:dyDescent="0.2">
      <c r="B55" s="1" t="s">
        <v>386</v>
      </c>
      <c r="C55" s="1" t="s">
        <v>419</v>
      </c>
    </row>
    <row r="56" spans="2:8" x14ac:dyDescent="0.2">
      <c r="B56" s="1" t="s">
        <v>386</v>
      </c>
      <c r="C56" s="1" t="s">
        <v>420</v>
      </c>
    </row>
    <row r="57" spans="2:8" x14ac:dyDescent="0.2">
      <c r="B57" s="1" t="s">
        <v>386</v>
      </c>
      <c r="C57" s="1" t="s">
        <v>421</v>
      </c>
    </row>
    <row r="58" spans="2:8" x14ac:dyDescent="0.2">
      <c r="B58" s="1" t="s">
        <v>386</v>
      </c>
      <c r="C58" s="1" t="s">
        <v>422</v>
      </c>
    </row>
    <row r="60" spans="2:8" x14ac:dyDescent="0.2">
      <c r="B60" s="41" t="s">
        <v>336</v>
      </c>
      <c r="C60" s="41" t="s">
        <v>414</v>
      </c>
      <c r="D60" s="41"/>
      <c r="E60" s="41" t="s">
        <v>378</v>
      </c>
    </row>
    <row r="61" spans="2:8" x14ac:dyDescent="0.2">
      <c r="B61" s="1" t="s">
        <v>386</v>
      </c>
      <c r="C61" s="1" t="s">
        <v>411</v>
      </c>
    </row>
    <row r="62" spans="2:8" x14ac:dyDescent="0.2">
      <c r="B62" s="1" t="s">
        <v>386</v>
      </c>
      <c r="C62" s="1" t="s">
        <v>412</v>
      </c>
    </row>
    <row r="63" spans="2:8" x14ac:dyDescent="0.2">
      <c r="B63" s="1" t="s">
        <v>386</v>
      </c>
      <c r="C63" s="1" t="s">
        <v>413</v>
      </c>
    </row>
    <row r="65" spans="2:8" ht="5" customHeight="1" x14ac:dyDescent="0.2">
      <c r="B65" s="132"/>
      <c r="C65" s="132"/>
      <c r="D65" s="132"/>
      <c r="E65" s="132"/>
      <c r="F65" s="132"/>
      <c r="G65" s="132"/>
      <c r="H65" s="132"/>
    </row>
    <row r="68" spans="2:8" x14ac:dyDescent="0.2">
      <c r="B68" s="132" t="s">
        <v>108</v>
      </c>
      <c r="C68" s="132"/>
      <c r="D68" s="132"/>
      <c r="E68" s="132"/>
      <c r="F68" s="132"/>
      <c r="G68" s="132"/>
      <c r="H68" s="132"/>
    </row>
    <row r="70" spans="2:8" x14ac:dyDescent="0.2">
      <c r="B70" s="41" t="s">
        <v>336</v>
      </c>
      <c r="C70" s="41" t="s">
        <v>355</v>
      </c>
      <c r="D70" s="41"/>
      <c r="E70" s="41" t="s">
        <v>360</v>
      </c>
    </row>
    <row r="75" spans="2:8" ht="5" customHeight="1" x14ac:dyDescent="0.2">
      <c r="B75" s="132"/>
      <c r="C75" s="132"/>
      <c r="D75" s="132"/>
      <c r="E75" s="132"/>
      <c r="F75" s="132"/>
      <c r="G75" s="132"/>
      <c r="H75" s="132"/>
    </row>
  </sheetData>
  <mergeCells count="7">
    <mergeCell ref="B2:C2"/>
    <mergeCell ref="B17:C17"/>
    <mergeCell ref="B25:C25"/>
    <mergeCell ref="E2:F2"/>
    <mergeCell ref="H2:I2"/>
    <mergeCell ref="E25:F25"/>
    <mergeCell ref="H16:I16"/>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hyperlinks>
    <hyperlink ref="K3" location="'Financials -&gt;'!B13" display="'Financials -&gt;'!B13" xr:uid="{C9A0330F-AEB1-8041-B346-9F46F64AF0AE}"/>
    <hyperlink ref="K4" location="'Analysis -&gt;'!B13" display="'Analysis -&gt;'!B13" xr:uid="{8DA827DE-CD1B-C34D-9ED3-B447BC124A4C}"/>
    <hyperlink ref="K5" location="'Forecast -&gt;'!B13" display="'Forecast -&gt;'!B13" xr:uid="{EC678545-5E05-A343-9D81-8A31E6DBE3A9}"/>
    <hyperlink ref="K6" location="'Valuation -&gt;'!B13" display="'Valuation -&gt;'!B13" xr:uid="{827FA968-8C22-8945-B26F-5E75F8B24E3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codeName="Sheet2">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8.1640625" style="1" customWidth="1"/>
    <col min="9" max="16384" width="10.83203125" style="1"/>
  </cols>
  <sheetData>
    <row r="5" spans="2:8" x14ac:dyDescent="0.2">
      <c r="H5" s="132" t="s">
        <v>434</v>
      </c>
    </row>
    <row r="6" spans="2:8" x14ac:dyDescent="0.2">
      <c r="H6" s="244" t="s">
        <v>439</v>
      </c>
    </row>
    <row r="7" spans="2:8" x14ac:dyDescent="0.2">
      <c r="H7" s="244" t="s">
        <v>435</v>
      </c>
    </row>
    <row r="8" spans="2:8" x14ac:dyDescent="0.2">
      <c r="H8" s="244" t="s">
        <v>436</v>
      </c>
    </row>
    <row r="9" spans="2:8" x14ac:dyDescent="0.2">
      <c r="H9" s="244" t="s">
        <v>437</v>
      </c>
    </row>
    <row r="10" spans="2:8" x14ac:dyDescent="0.2">
      <c r="H10" s="245" t="s">
        <v>438</v>
      </c>
    </row>
    <row r="13" spans="2:8" s="4" customFormat="1" ht="49" x14ac:dyDescent="0.2">
      <c r="B13" s="3" t="s">
        <v>14</v>
      </c>
    </row>
  </sheetData>
  <hyperlinks>
    <hyperlink ref="H6" location="Overview!B3" display="Overview'!B3" xr:uid="{78DA7ED1-F921-F44A-A294-208CD2D1C067}"/>
    <hyperlink ref="H8" location="'Analysis -&gt;'!B13" display="'Analysis -&gt;'!B13" xr:uid="{26CDD6BA-06DF-6F4B-ADA9-87A8D1C58344}"/>
    <hyperlink ref="H9" location="'Forecast -&gt;'!B13" display="'Forecast -&gt;'!B13" xr:uid="{865A684D-6882-9E40-B817-6A42BD68F9AE}"/>
    <hyperlink ref="H10" location="'Valuation -&gt;'!B13" display="'Valuation -&gt;'!B13" xr:uid="{72181239-CE13-8344-B650-FFA87C48B2DC}"/>
    <hyperlink ref="H7" location="'Financials -&gt;'!B13" display="'Financials -&gt;'!B13" xr:uid="{0A7A90C0-CC97-1C4E-BBA7-7C308D1A3C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sheetPr codeName="Sheet3"/>
  <dimension ref="A1:AE211"/>
  <sheetViews>
    <sheetView zoomScale="170" zoomScaleNormal="150" workbookViewId="0">
      <pane xSplit="2" ySplit="3" topLeftCell="K157" activePane="bottomRight" state="frozen"/>
      <selection pane="topRight" activeCell="C1" sqref="C1"/>
      <selection pane="bottomLeft" activeCell="A4" sqref="A4"/>
      <selection pane="bottomRight" activeCell="AC164" sqref="AC164"/>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1" width="10.83203125" style="1" customWidth="1"/>
    <col min="12" max="12" width="10.6640625" style="1" customWidth="1"/>
    <col min="13" max="13" width="10.83203125" style="1" customWidth="1"/>
    <col min="14" max="15" width="12" style="1" bestFit="1" customWidth="1"/>
    <col min="16"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L2" s="9" t="s">
        <v>377</v>
      </c>
      <c r="M2" s="9" t="s">
        <v>376</v>
      </c>
      <c r="N2" s="10" t="s">
        <v>374</v>
      </c>
      <c r="O2" s="10" t="s">
        <v>373</v>
      </c>
      <c r="P2" s="10" t="s">
        <v>372</v>
      </c>
      <c r="Q2" s="10" t="s">
        <v>416</v>
      </c>
      <c r="R2" s="7"/>
      <c r="S2" s="7"/>
      <c r="T2" s="10" t="s">
        <v>384</v>
      </c>
      <c r="U2" s="10" t="s">
        <v>382</v>
      </c>
      <c r="V2" s="10" t="s">
        <v>380</v>
      </c>
      <c r="W2" s="10" t="s">
        <v>372</v>
      </c>
      <c r="X2" s="199" t="s">
        <v>383</v>
      </c>
      <c r="Y2" s="199" t="s">
        <v>381</v>
      </c>
      <c r="Z2" s="199" t="s">
        <v>379</v>
      </c>
      <c r="AA2" s="199" t="s">
        <v>416</v>
      </c>
      <c r="AB2" s="7"/>
      <c r="AD2" s="7"/>
      <c r="AE2" s="7"/>
    </row>
    <row r="3" spans="1:31" s="13" customFormat="1" x14ac:dyDescent="0.2">
      <c r="A3" s="11"/>
      <c r="B3" s="12" t="s">
        <v>16</v>
      </c>
      <c r="L3" s="13">
        <v>2021</v>
      </c>
      <c r="M3" s="13">
        <v>2022</v>
      </c>
      <c r="N3" s="13">
        <v>2023</v>
      </c>
      <c r="O3" s="13">
        <v>2024</v>
      </c>
      <c r="P3" s="13">
        <v>2025</v>
      </c>
      <c r="Q3" s="13">
        <v>2026</v>
      </c>
      <c r="R3" s="11"/>
      <c r="S3" s="11"/>
      <c r="T3" s="10" t="s">
        <v>356</v>
      </c>
      <c r="U3" s="10" t="s">
        <v>87</v>
      </c>
      <c r="V3" s="10" t="s">
        <v>85</v>
      </c>
      <c r="W3" s="10" t="s">
        <v>84</v>
      </c>
      <c r="X3" s="199" t="s">
        <v>88</v>
      </c>
      <c r="Y3" s="199" t="s">
        <v>86</v>
      </c>
      <c r="Z3" s="199" t="s">
        <v>378</v>
      </c>
      <c r="AA3" s="199" t="s">
        <v>417</v>
      </c>
      <c r="AB3" s="11"/>
      <c r="AC3" s="59" t="s">
        <v>83</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v>10681</v>
      </c>
      <c r="M5" s="18">
        <v>11661</v>
      </c>
      <c r="N5" s="18">
        <v>7384</v>
      </c>
      <c r="O5" s="18">
        <v>6551</v>
      </c>
      <c r="P5" s="18">
        <v>9097</v>
      </c>
      <c r="Q5" s="18">
        <v>12195</v>
      </c>
      <c r="R5" s="16"/>
      <c r="S5" s="16"/>
      <c r="T5" s="18">
        <v>2168</v>
      </c>
      <c r="U5" s="18">
        <v>2325</v>
      </c>
      <c r="V5" s="18">
        <v>2160</v>
      </c>
      <c r="W5" s="18">
        <v>2444</v>
      </c>
      <c r="X5" s="18">
        <v>2629</v>
      </c>
      <c r="Y5" s="18">
        <v>2825</v>
      </c>
      <c r="Z5" s="18">
        <v>3112</v>
      </c>
      <c r="AA5" s="18">
        <v>3629</v>
      </c>
      <c r="AB5" s="16"/>
      <c r="AC5" s="18">
        <f>SUM(X5:AA5)</f>
        <v>12195</v>
      </c>
      <c r="AD5" s="16"/>
      <c r="AE5" s="16"/>
    </row>
    <row r="6" spans="1:31" x14ac:dyDescent="0.2">
      <c r="B6" s="20" t="s">
        <v>20</v>
      </c>
      <c r="C6" s="21"/>
      <c r="D6" s="21"/>
      <c r="E6" s="21"/>
      <c r="F6" s="21"/>
      <c r="G6" s="21"/>
      <c r="H6" s="21"/>
      <c r="I6" s="21"/>
      <c r="J6" s="21"/>
      <c r="K6" s="21"/>
      <c r="L6" s="21">
        <v>7764</v>
      </c>
      <c r="M6" s="21">
        <v>8192</v>
      </c>
      <c r="N6" s="21">
        <v>6033</v>
      </c>
      <c r="O6" s="21">
        <v>5015</v>
      </c>
      <c r="P6" s="21">
        <v>5897</v>
      </c>
      <c r="Q6" s="21">
        <v>6637</v>
      </c>
      <c r="T6" s="21">
        <v>1454</v>
      </c>
      <c r="U6" s="21">
        <v>1513</v>
      </c>
      <c r="V6" s="21">
        <v>1400</v>
      </c>
      <c r="W6" s="21">
        <v>1530</v>
      </c>
      <c r="X6" s="21">
        <v>1592</v>
      </c>
      <c r="Y6" s="21">
        <v>1649</v>
      </c>
      <c r="Z6" s="21">
        <v>1665</v>
      </c>
      <c r="AA6" s="21">
        <v>1731</v>
      </c>
      <c r="AC6" s="21">
        <f t="shared" ref="AC6:AC17" si="0">SUM(X6:AA6)</f>
        <v>6637</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ref="L7:P7" si="2">L5-L6</f>
        <v>2917</v>
      </c>
      <c r="M7" s="22">
        <f t="shared" si="2"/>
        <v>3469</v>
      </c>
      <c r="N7" s="22">
        <f t="shared" si="2"/>
        <v>1351</v>
      </c>
      <c r="O7" s="22">
        <f t="shared" si="2"/>
        <v>1536</v>
      </c>
      <c r="P7" s="22">
        <f t="shared" si="2"/>
        <v>3200</v>
      </c>
      <c r="Q7" s="22">
        <f t="shared" si="1"/>
        <v>5558</v>
      </c>
      <c r="R7" s="16"/>
      <c r="S7" s="16"/>
      <c r="T7" s="22">
        <f t="shared" ref="T7:Y7" si="3">T5-T6</f>
        <v>714</v>
      </c>
      <c r="U7" s="22">
        <f t="shared" si="3"/>
        <v>812</v>
      </c>
      <c r="V7" s="22">
        <f t="shared" si="3"/>
        <v>760</v>
      </c>
      <c r="W7" s="22">
        <f t="shared" si="3"/>
        <v>914</v>
      </c>
      <c r="X7" s="22">
        <f t="shared" si="3"/>
        <v>1037</v>
      </c>
      <c r="Y7" s="22">
        <f t="shared" si="3"/>
        <v>1176</v>
      </c>
      <c r="Z7" s="22">
        <f t="shared" ref="Z7:AA7" si="4">Z5-Z6</f>
        <v>1447</v>
      </c>
      <c r="AA7" s="22">
        <f t="shared" si="4"/>
        <v>1898</v>
      </c>
      <c r="AB7" s="16"/>
      <c r="AC7" s="22">
        <f t="shared" si="0"/>
        <v>5558</v>
      </c>
      <c r="AD7" s="16"/>
      <c r="AE7" s="16"/>
    </row>
    <row r="8" spans="1:31" x14ac:dyDescent="0.2">
      <c r="B8" s="20" t="s">
        <v>22</v>
      </c>
      <c r="C8" s="21"/>
      <c r="D8" s="21"/>
      <c r="E8" s="21"/>
      <c r="F8" s="21"/>
      <c r="G8" s="21"/>
      <c r="H8" s="21"/>
      <c r="I8" s="21"/>
      <c r="J8" s="21"/>
      <c r="K8" s="21"/>
      <c r="L8" s="21">
        <v>903</v>
      </c>
      <c r="M8" s="21">
        <v>941</v>
      </c>
      <c r="N8" s="21">
        <v>797</v>
      </c>
      <c r="O8" s="21">
        <v>654</v>
      </c>
      <c r="P8" s="21">
        <v>724</v>
      </c>
      <c r="Q8" s="21">
        <v>755</v>
      </c>
      <c r="T8" s="21">
        <v>181</v>
      </c>
      <c r="U8" s="21">
        <v>184</v>
      </c>
      <c r="V8" s="21">
        <v>180</v>
      </c>
      <c r="W8" s="21">
        <v>179</v>
      </c>
      <c r="X8" s="21">
        <v>186</v>
      </c>
      <c r="Y8" s="21">
        <v>187</v>
      </c>
      <c r="Z8" s="21">
        <v>194</v>
      </c>
      <c r="AA8" s="21">
        <v>188</v>
      </c>
      <c r="AC8" s="21">
        <f t="shared" si="0"/>
        <v>755</v>
      </c>
    </row>
    <row r="9" spans="1:31" x14ac:dyDescent="0.2">
      <c r="B9" s="20" t="s">
        <v>375</v>
      </c>
      <c r="C9" s="21"/>
      <c r="D9" s="21"/>
      <c r="E9" s="21"/>
      <c r="F9" s="21"/>
      <c r="G9" s="21"/>
      <c r="H9" s="21"/>
      <c r="I9" s="21"/>
      <c r="J9" s="21"/>
      <c r="K9" s="21"/>
      <c r="L9" s="21">
        <v>502</v>
      </c>
      <c r="M9" s="21">
        <v>559</v>
      </c>
      <c r="N9" s="21">
        <v>491</v>
      </c>
      <c r="O9" s="21">
        <v>460</v>
      </c>
      <c r="P9" s="21">
        <v>561</v>
      </c>
      <c r="Q9" s="21">
        <v>577</v>
      </c>
      <c r="T9" s="21">
        <v>129</v>
      </c>
      <c r="U9" s="21">
        <v>139</v>
      </c>
      <c r="V9" s="21">
        <v>139</v>
      </c>
      <c r="W9" s="21">
        <v>154</v>
      </c>
      <c r="X9" s="21">
        <v>144</v>
      </c>
      <c r="Y9" s="21">
        <v>143</v>
      </c>
      <c r="Z9" s="21">
        <v>143</v>
      </c>
      <c r="AA9" s="21">
        <v>147</v>
      </c>
      <c r="AC9" s="21">
        <f t="shared" si="0"/>
        <v>577</v>
      </c>
    </row>
    <row r="10" spans="1:31" x14ac:dyDescent="0.2">
      <c r="B10" s="20" t="s">
        <v>385</v>
      </c>
      <c r="C10" s="21"/>
      <c r="D10" s="21"/>
      <c r="E10" s="21"/>
      <c r="F10" s="21"/>
      <c r="G10" s="21"/>
      <c r="H10" s="21"/>
      <c r="I10" s="21"/>
      <c r="J10" s="21"/>
      <c r="K10" s="21"/>
      <c r="L10" s="21">
        <f>903+502+20</f>
        <v>1425</v>
      </c>
      <c r="M10" s="21">
        <f>941+559+14</f>
        <v>1514</v>
      </c>
      <c r="N10" s="21">
        <f>797+491+3+300+102</f>
        <v>1693</v>
      </c>
      <c r="O10" s="62">
        <f>654+430</f>
        <v>1084</v>
      </c>
      <c r="P10" s="21">
        <f>724+561+25</f>
        <v>1310</v>
      </c>
      <c r="Q10" s="21">
        <f>755+577+105+27</f>
        <v>1464</v>
      </c>
      <c r="T10" s="21">
        <f>181+130</f>
        <v>311</v>
      </c>
      <c r="U10" s="21">
        <f>184+140</f>
        <v>324</v>
      </c>
      <c r="V10" s="21">
        <f>180+139+10</f>
        <v>329</v>
      </c>
      <c r="W10" s="21">
        <f>179+154+13</f>
        <v>346</v>
      </c>
      <c r="X10" s="21">
        <f>186+144+13</f>
        <v>343</v>
      </c>
      <c r="Y10" s="21">
        <f>187+146</f>
        <v>333</v>
      </c>
      <c r="Z10" s="21">
        <f>194+143+112</f>
        <v>449</v>
      </c>
      <c r="AA10" s="21">
        <f>188+147+4</f>
        <v>339</v>
      </c>
      <c r="AC10" s="21">
        <f t="shared" si="0"/>
        <v>1464</v>
      </c>
    </row>
    <row r="11" spans="1:31" s="19" customFormat="1" x14ac:dyDescent="0.2">
      <c r="A11" s="16"/>
      <c r="B11" s="17" t="s">
        <v>25</v>
      </c>
      <c r="C11" s="18"/>
      <c r="D11" s="18"/>
      <c r="E11" s="18"/>
      <c r="F11" s="18"/>
      <c r="G11" s="18"/>
      <c r="H11" s="18"/>
      <c r="I11" s="18"/>
      <c r="J11" s="18"/>
      <c r="K11" s="18"/>
      <c r="L11" s="18">
        <v>1492</v>
      </c>
      <c r="M11" s="18">
        <v>1955</v>
      </c>
      <c r="N11" s="61">
        <v>-342</v>
      </c>
      <c r="O11" s="61">
        <v>452</v>
      </c>
      <c r="P11" s="18">
        <v>1890</v>
      </c>
      <c r="Q11" s="18">
        <v>4094</v>
      </c>
      <c r="R11" s="16"/>
      <c r="S11" s="16"/>
      <c r="T11" s="18">
        <v>403</v>
      </c>
      <c r="U11" s="18">
        <v>488</v>
      </c>
      <c r="V11" s="18">
        <v>431</v>
      </c>
      <c r="W11" s="18">
        <v>568</v>
      </c>
      <c r="X11" s="18">
        <v>694</v>
      </c>
      <c r="Y11" s="18">
        <v>843</v>
      </c>
      <c r="Z11" s="18">
        <v>998</v>
      </c>
      <c r="AA11" s="18">
        <v>1559</v>
      </c>
      <c r="AB11" s="1"/>
      <c r="AC11" s="18">
        <f t="shared" si="0"/>
        <v>4094</v>
      </c>
      <c r="AD11" s="1"/>
      <c r="AE11" s="1"/>
    </row>
    <row r="12" spans="1:31" x14ac:dyDescent="0.2">
      <c r="B12" s="23" t="s">
        <v>26</v>
      </c>
      <c r="C12" s="21"/>
      <c r="D12" s="21"/>
      <c r="E12" s="21"/>
      <c r="F12" s="21"/>
      <c r="G12" s="21"/>
      <c r="H12" s="21"/>
      <c r="I12" s="21"/>
      <c r="J12" s="21"/>
      <c r="K12" s="21"/>
      <c r="L12" s="62">
        <v>-218</v>
      </c>
      <c r="M12" s="62">
        <v>-247</v>
      </c>
      <c r="N12" s="62">
        <v>-303</v>
      </c>
      <c r="O12" s="62">
        <f>15-332</f>
        <v>-317</v>
      </c>
      <c r="P12" s="62">
        <f>25-321</f>
        <v>-296</v>
      </c>
      <c r="Q12" s="62">
        <v>-254</v>
      </c>
      <c r="T12" s="62">
        <v>-78</v>
      </c>
      <c r="U12" s="62">
        <v>-76</v>
      </c>
      <c r="V12" s="62">
        <v>-73</v>
      </c>
      <c r="W12" s="62">
        <v>-69</v>
      </c>
      <c r="X12" s="62">
        <v>-73</v>
      </c>
      <c r="Y12" s="62">
        <v>-65</v>
      </c>
      <c r="Z12" s="62">
        <v>-62</v>
      </c>
      <c r="AA12" s="62">
        <v>-54</v>
      </c>
      <c r="AC12" s="62">
        <f t="shared" si="0"/>
        <v>-254</v>
      </c>
    </row>
    <row r="13" spans="1:31" x14ac:dyDescent="0.2">
      <c r="B13" s="23" t="s">
        <v>27</v>
      </c>
      <c r="C13" s="21"/>
      <c r="D13" s="21"/>
      <c r="E13" s="21"/>
      <c r="F13" s="21"/>
      <c r="G13" s="21"/>
      <c r="H13" s="21"/>
      <c r="I13" s="21"/>
      <c r="J13" s="21"/>
      <c r="K13" s="21"/>
      <c r="L13" s="21">
        <v>74</v>
      </c>
      <c r="M13" s="62">
        <v>-29</v>
      </c>
      <c r="N13" s="62">
        <f>190-41</f>
        <v>149</v>
      </c>
      <c r="O13" s="62">
        <f>417-29-78</f>
        <v>310</v>
      </c>
      <c r="P13" s="62">
        <v>-81</v>
      </c>
      <c r="Q13" s="62">
        <v>-150</v>
      </c>
      <c r="T13" s="62">
        <v>-9</v>
      </c>
      <c r="U13" s="62">
        <v>-62</v>
      </c>
      <c r="V13" s="62">
        <v>-3</v>
      </c>
      <c r="W13" s="62">
        <v>-7</v>
      </c>
      <c r="X13" s="62">
        <v>-7</v>
      </c>
      <c r="Y13" s="62">
        <v>-71</v>
      </c>
      <c r="Z13" s="62">
        <v>-72</v>
      </c>
      <c r="AA13" s="62">
        <v>0</v>
      </c>
      <c r="AC13" s="62">
        <f t="shared" si="0"/>
        <v>-150</v>
      </c>
    </row>
    <row r="14" spans="1:31" s="19" customFormat="1" x14ac:dyDescent="0.2">
      <c r="A14" s="16"/>
      <c r="B14" s="17" t="s">
        <v>28</v>
      </c>
      <c r="C14" s="18"/>
      <c r="D14" s="18"/>
      <c r="E14" s="18"/>
      <c r="F14" s="18"/>
      <c r="G14" s="18"/>
      <c r="H14" s="18"/>
      <c r="I14" s="18"/>
      <c r="J14" s="18"/>
      <c r="K14" s="18"/>
      <c r="L14" s="18">
        <v>1348</v>
      </c>
      <c r="M14" s="18">
        <v>1679</v>
      </c>
      <c r="N14" s="61">
        <v>-496</v>
      </c>
      <c r="O14" s="61">
        <v>445</v>
      </c>
      <c r="P14" s="18">
        <v>1513</v>
      </c>
      <c r="Q14" s="18">
        <v>3690</v>
      </c>
      <c r="R14" s="1"/>
      <c r="S14" s="1"/>
      <c r="T14" s="18">
        <v>316</v>
      </c>
      <c r="U14" s="18">
        <v>350</v>
      </c>
      <c r="V14" s="18">
        <v>355</v>
      </c>
      <c r="W14" s="18">
        <v>492</v>
      </c>
      <c r="X14" s="18">
        <v>614</v>
      </c>
      <c r="Y14" s="18">
        <v>707</v>
      </c>
      <c r="Z14" s="18">
        <v>864</v>
      </c>
      <c r="AA14" s="18">
        <v>1505</v>
      </c>
      <c r="AB14" s="1"/>
      <c r="AC14" s="18">
        <f t="shared" si="0"/>
        <v>3690</v>
      </c>
      <c r="AD14" s="1"/>
      <c r="AE14" s="1"/>
    </row>
    <row r="15" spans="1:31" x14ac:dyDescent="0.2">
      <c r="B15" s="23" t="s">
        <v>29</v>
      </c>
      <c r="C15" s="21"/>
      <c r="D15" s="21"/>
      <c r="E15" s="21"/>
      <c r="F15" s="21"/>
      <c r="G15" s="21"/>
      <c r="H15" s="21"/>
      <c r="I15" s="21"/>
      <c r="J15" s="21"/>
      <c r="K15" s="21"/>
      <c r="L15" s="62">
        <v>-34</v>
      </c>
      <c r="M15" s="62">
        <v>-30</v>
      </c>
      <c r="N15" s="62">
        <v>-33</v>
      </c>
      <c r="O15" s="62">
        <v>-110</v>
      </c>
      <c r="P15" s="62">
        <v>-44</v>
      </c>
      <c r="Q15" s="62">
        <v>-506</v>
      </c>
      <c r="T15" s="62">
        <v>-11</v>
      </c>
      <c r="U15" s="62">
        <v>-14</v>
      </c>
      <c r="V15" s="62">
        <v>-15</v>
      </c>
      <c r="W15" s="62">
        <v>-4</v>
      </c>
      <c r="X15" s="62">
        <v>-65</v>
      </c>
      <c r="Y15" s="62">
        <v>-114</v>
      </c>
      <c r="Z15" s="62">
        <v>-116</v>
      </c>
      <c r="AA15" s="62">
        <v>-211</v>
      </c>
      <c r="AC15" s="62">
        <f t="shared" si="0"/>
        <v>-506</v>
      </c>
    </row>
    <row r="16" spans="1:31" x14ac:dyDescent="0.2">
      <c r="B16" s="23" t="s">
        <v>325</v>
      </c>
      <c r="C16" s="21"/>
      <c r="D16" s="21"/>
      <c r="E16" s="21"/>
      <c r="F16" s="21"/>
      <c r="G16" s="21"/>
      <c r="H16" s="21"/>
      <c r="I16" s="21"/>
      <c r="J16" s="21"/>
      <c r="K16" s="21"/>
      <c r="L16" s="62">
        <v>0</v>
      </c>
      <c r="M16" s="62">
        <v>0</v>
      </c>
      <c r="N16" s="62">
        <v>0</v>
      </c>
      <c r="O16" s="62">
        <v>0</v>
      </c>
      <c r="P16" s="62">
        <v>0</v>
      </c>
      <c r="Q16" s="62">
        <v>0</v>
      </c>
      <c r="T16" s="62">
        <v>0</v>
      </c>
      <c r="U16" s="62">
        <v>0</v>
      </c>
      <c r="V16" s="62">
        <v>0</v>
      </c>
      <c r="W16" s="62">
        <v>0</v>
      </c>
      <c r="X16" s="62">
        <v>0</v>
      </c>
      <c r="Y16" s="62">
        <v>0</v>
      </c>
      <c r="Z16" s="62">
        <v>0</v>
      </c>
      <c r="AA16" s="62">
        <v>0</v>
      </c>
      <c r="AC16" s="62">
        <f t="shared" si="0"/>
        <v>0</v>
      </c>
    </row>
    <row r="17" spans="1:31" s="19" customFormat="1" x14ac:dyDescent="0.2">
      <c r="A17" s="16"/>
      <c r="B17" s="17" t="s">
        <v>30</v>
      </c>
      <c r="C17" s="18"/>
      <c r="D17" s="18"/>
      <c r="E17" s="18"/>
      <c r="F17" s="18"/>
      <c r="G17" s="18"/>
      <c r="H17" s="18"/>
      <c r="I17" s="18"/>
      <c r="J17" s="18"/>
      <c r="K17" s="18"/>
      <c r="L17" s="18">
        <v>1314</v>
      </c>
      <c r="M17" s="18">
        <v>1649</v>
      </c>
      <c r="N17" s="61">
        <v>-529</v>
      </c>
      <c r="O17" s="61">
        <v>335</v>
      </c>
      <c r="P17" s="18">
        <v>1469</v>
      </c>
      <c r="Q17" s="18">
        <v>3184</v>
      </c>
      <c r="R17" s="60"/>
      <c r="S17" s="60"/>
      <c r="T17" s="18">
        <v>305</v>
      </c>
      <c r="U17" s="18">
        <v>336</v>
      </c>
      <c r="V17" s="18">
        <v>340</v>
      </c>
      <c r="W17" s="18">
        <v>488</v>
      </c>
      <c r="X17" s="18">
        <v>549</v>
      </c>
      <c r="Y17" s="18">
        <v>593</v>
      </c>
      <c r="Z17" s="18">
        <v>748</v>
      </c>
      <c r="AA17" s="18">
        <v>1294</v>
      </c>
      <c r="AB17" s="1"/>
      <c r="AC17" s="61">
        <f t="shared" si="0"/>
        <v>3184</v>
      </c>
      <c r="AD17" s="1"/>
      <c r="AE17" s="1"/>
    </row>
    <row r="18" spans="1:31" x14ac:dyDescent="0.2">
      <c r="B18" s="23" t="s">
        <v>31</v>
      </c>
      <c r="C18" s="21"/>
      <c r="D18" s="21"/>
      <c r="E18" s="21"/>
      <c r="F18" s="21"/>
      <c r="G18" s="21"/>
      <c r="H18" s="21"/>
      <c r="I18" s="21"/>
      <c r="J18" s="21"/>
      <c r="K18" s="21"/>
      <c r="L18" s="21">
        <v>242</v>
      </c>
      <c r="M18" s="21">
        <v>220</v>
      </c>
      <c r="N18" s="21">
        <v>207</v>
      </c>
      <c r="O18" s="21">
        <v>209</v>
      </c>
      <c r="P18" s="21">
        <v>212</v>
      </c>
      <c r="Q18" s="21">
        <v>219</v>
      </c>
      <c r="R18" s="60"/>
      <c r="S18" s="60"/>
      <c r="T18" s="21">
        <v>211</v>
      </c>
      <c r="U18" s="21">
        <v>212</v>
      </c>
      <c r="V18" s="21">
        <v>212</v>
      </c>
      <c r="W18" s="21">
        <v>212</v>
      </c>
      <c r="X18" s="21">
        <v>213</v>
      </c>
      <c r="Y18" s="21">
        <v>216</v>
      </c>
      <c r="Z18" s="21">
        <v>221</v>
      </c>
      <c r="AA18" s="21">
        <v>225</v>
      </c>
      <c r="AC18" s="62">
        <f>AVERAGE(X18:AA18)</f>
        <v>218.75</v>
      </c>
    </row>
    <row r="19" spans="1:31" x14ac:dyDescent="0.2">
      <c r="B19" s="23" t="s">
        <v>32</v>
      </c>
      <c r="C19" s="25">
        <f t="shared" ref="C19:Q19" si="5">C18*C$84</f>
        <v>0</v>
      </c>
      <c r="D19" s="25">
        <f t="shared" si="5"/>
        <v>0</v>
      </c>
      <c r="E19" s="25">
        <f t="shared" si="5"/>
        <v>0</v>
      </c>
      <c r="F19" s="25">
        <f t="shared" si="5"/>
        <v>0</v>
      </c>
      <c r="G19" s="25">
        <f t="shared" si="5"/>
        <v>0</v>
      </c>
      <c r="H19" s="25">
        <f t="shared" si="5"/>
        <v>0</v>
      </c>
      <c r="I19" s="25">
        <f t="shared" si="5"/>
        <v>0</v>
      </c>
      <c r="J19" s="25">
        <f t="shared" si="5"/>
        <v>0</v>
      </c>
      <c r="K19" s="25">
        <f t="shared" si="5"/>
        <v>0</v>
      </c>
      <c r="L19" s="25">
        <f t="shared" ref="L19:P19" si="6">L18*L$84</f>
        <v>242</v>
      </c>
      <c r="M19" s="25">
        <f t="shared" si="6"/>
        <v>220</v>
      </c>
      <c r="N19" s="25">
        <f t="shared" si="6"/>
        <v>207</v>
      </c>
      <c r="O19" s="25">
        <f t="shared" si="6"/>
        <v>209</v>
      </c>
      <c r="P19" s="25">
        <f t="shared" si="6"/>
        <v>212</v>
      </c>
      <c r="Q19" s="25">
        <f t="shared" si="5"/>
        <v>219</v>
      </c>
      <c r="T19" s="25">
        <f t="shared" ref="T19:Z19" si="7">T18*T$84</f>
        <v>211</v>
      </c>
      <c r="U19" s="25">
        <f t="shared" si="7"/>
        <v>212</v>
      </c>
      <c r="V19" s="25">
        <f t="shared" si="7"/>
        <v>212</v>
      </c>
      <c r="W19" s="25">
        <f t="shared" si="7"/>
        <v>212</v>
      </c>
      <c r="X19" s="25">
        <f t="shared" si="7"/>
        <v>213</v>
      </c>
      <c r="Y19" s="25">
        <f t="shared" si="7"/>
        <v>216</v>
      </c>
      <c r="Z19" s="25">
        <f t="shared" si="7"/>
        <v>221</v>
      </c>
      <c r="AA19" s="25">
        <f t="shared" ref="AA19" si="8">AA18*AA$84</f>
        <v>225</v>
      </c>
      <c r="AC19" s="25">
        <f>AC18*AC$84</f>
        <v>218.75</v>
      </c>
    </row>
    <row r="20" spans="1:31" x14ac:dyDescent="0.2">
      <c r="B20" s="23" t="s">
        <v>33</v>
      </c>
      <c r="C20" s="21"/>
      <c r="D20" s="21"/>
      <c r="E20" s="21"/>
      <c r="F20" s="21"/>
      <c r="G20" s="21"/>
      <c r="H20" s="21"/>
      <c r="I20" s="21"/>
      <c r="J20" s="21"/>
      <c r="K20" s="21"/>
      <c r="L20" s="21">
        <v>245</v>
      </c>
      <c r="M20" s="21">
        <v>224</v>
      </c>
      <c r="N20" s="21">
        <v>207</v>
      </c>
      <c r="O20" s="21">
        <v>212</v>
      </c>
      <c r="P20" s="21">
        <v>217</v>
      </c>
      <c r="Q20" s="21">
        <v>229</v>
      </c>
      <c r="T20" s="21">
        <v>216</v>
      </c>
      <c r="U20" s="21">
        <v>217</v>
      </c>
      <c r="V20" s="21">
        <v>216</v>
      </c>
      <c r="W20" s="21">
        <v>218</v>
      </c>
      <c r="X20" s="21">
        <v>226</v>
      </c>
      <c r="Y20" s="21">
        <v>228</v>
      </c>
      <c r="Z20" s="21">
        <v>229</v>
      </c>
      <c r="AA20" s="21">
        <v>232</v>
      </c>
      <c r="AC20" s="62">
        <f>AVERAGE(X20:AA20)</f>
        <v>228.75</v>
      </c>
    </row>
    <row r="21" spans="1:31" x14ac:dyDescent="0.2">
      <c r="B21" s="23" t="s">
        <v>34</v>
      </c>
      <c r="C21" s="25">
        <f t="shared" ref="C21:Q21" si="9">C20*C$84</f>
        <v>0</v>
      </c>
      <c r="D21" s="25">
        <f t="shared" si="9"/>
        <v>0</v>
      </c>
      <c r="E21" s="25">
        <f t="shared" si="9"/>
        <v>0</v>
      </c>
      <c r="F21" s="25">
        <f t="shared" si="9"/>
        <v>0</v>
      </c>
      <c r="G21" s="25">
        <f t="shared" si="9"/>
        <v>0</v>
      </c>
      <c r="H21" s="25">
        <f t="shared" si="9"/>
        <v>0</v>
      </c>
      <c r="I21" s="25">
        <f t="shared" si="9"/>
        <v>0</v>
      </c>
      <c r="J21" s="25">
        <f t="shared" si="9"/>
        <v>0</v>
      </c>
      <c r="K21" s="25">
        <f t="shared" si="9"/>
        <v>0</v>
      </c>
      <c r="L21" s="25">
        <f t="shared" ref="L21:P21" si="10">L20*L$84</f>
        <v>245</v>
      </c>
      <c r="M21" s="25">
        <f t="shared" si="10"/>
        <v>224</v>
      </c>
      <c r="N21" s="25">
        <f t="shared" si="10"/>
        <v>207</v>
      </c>
      <c r="O21" s="25">
        <f t="shared" si="10"/>
        <v>212</v>
      </c>
      <c r="P21" s="25">
        <f t="shared" si="10"/>
        <v>217</v>
      </c>
      <c r="Q21" s="25">
        <f t="shared" si="9"/>
        <v>229</v>
      </c>
      <c r="T21" s="25">
        <f t="shared" ref="T21:Z21" si="11">T20*T$84</f>
        <v>216</v>
      </c>
      <c r="U21" s="25">
        <f t="shared" si="11"/>
        <v>217</v>
      </c>
      <c r="V21" s="25">
        <f t="shared" si="11"/>
        <v>216</v>
      </c>
      <c r="W21" s="25">
        <f t="shared" si="11"/>
        <v>218</v>
      </c>
      <c r="X21" s="25">
        <f t="shared" si="11"/>
        <v>226</v>
      </c>
      <c r="Y21" s="25">
        <f t="shared" si="11"/>
        <v>228</v>
      </c>
      <c r="Z21" s="25">
        <f t="shared" si="11"/>
        <v>229</v>
      </c>
      <c r="AA21" s="25">
        <f t="shared" ref="AA21" si="12">AA20*AA$84</f>
        <v>232</v>
      </c>
      <c r="AC21" s="25">
        <f>AC20*AC$84</f>
        <v>228.75</v>
      </c>
    </row>
    <row r="22" spans="1:31" x14ac:dyDescent="0.2">
      <c r="B22" s="23" t="s">
        <v>35</v>
      </c>
      <c r="C22" s="26"/>
      <c r="D22" s="26"/>
      <c r="E22" s="26"/>
      <c r="F22" s="26"/>
      <c r="G22" s="26"/>
      <c r="H22" s="26"/>
      <c r="I22" s="26"/>
      <c r="J22" s="26"/>
      <c r="K22" s="26"/>
      <c r="L22" s="26">
        <v>5.43</v>
      </c>
      <c r="M22" s="26">
        <v>7.5</v>
      </c>
      <c r="N22" s="63">
        <v>-2.56</v>
      </c>
      <c r="O22" s="63">
        <v>1.6</v>
      </c>
      <c r="P22" s="26">
        <v>6.93</v>
      </c>
      <c r="Q22" s="26">
        <v>14.54</v>
      </c>
      <c r="T22" s="26">
        <v>1.45</v>
      </c>
      <c r="U22" s="26">
        <v>1.58</v>
      </c>
      <c r="V22" s="26">
        <v>1.6</v>
      </c>
      <c r="W22" s="26">
        <v>2.2999999999999998</v>
      </c>
      <c r="X22" s="26">
        <v>2.58</v>
      </c>
      <c r="Y22" s="26">
        <v>2.75</v>
      </c>
      <c r="Z22" s="26">
        <v>3.38</v>
      </c>
      <c r="AA22" s="26">
        <v>5.75</v>
      </c>
      <c r="AC22" s="26">
        <f>SUM(X22:AA22)</f>
        <v>14.46</v>
      </c>
    </row>
    <row r="23" spans="1:31" x14ac:dyDescent="0.2">
      <c r="B23" s="23" t="s">
        <v>36</v>
      </c>
      <c r="C23" s="27"/>
      <c r="D23" s="27"/>
      <c r="E23" s="27"/>
      <c r="F23" s="27"/>
      <c r="G23" s="27"/>
      <c r="H23" s="27"/>
      <c r="I23" s="27"/>
      <c r="J23" s="27"/>
      <c r="K23" s="27"/>
      <c r="L23" s="65">
        <f t="shared" ref="L23:Q23" si="13">L22/L$84</f>
        <v>5.43</v>
      </c>
      <c r="M23" s="65">
        <f t="shared" si="13"/>
        <v>7.5</v>
      </c>
      <c r="N23" s="65">
        <f t="shared" si="13"/>
        <v>-2.56</v>
      </c>
      <c r="O23" s="65">
        <f t="shared" si="13"/>
        <v>1.6</v>
      </c>
      <c r="P23" s="65">
        <f t="shared" si="13"/>
        <v>6.93</v>
      </c>
      <c r="Q23" s="65">
        <f t="shared" si="13"/>
        <v>14.54</v>
      </c>
      <c r="T23" s="65">
        <f t="shared" ref="T23:Z23" si="14">T22/T$84</f>
        <v>1.45</v>
      </c>
      <c r="U23" s="65">
        <f t="shared" si="14"/>
        <v>1.58</v>
      </c>
      <c r="V23" s="65">
        <f t="shared" si="14"/>
        <v>1.6</v>
      </c>
      <c r="W23" s="65">
        <f t="shared" si="14"/>
        <v>2.2999999999999998</v>
      </c>
      <c r="X23" s="65">
        <f t="shared" si="14"/>
        <v>2.58</v>
      </c>
      <c r="Y23" s="65">
        <f t="shared" si="14"/>
        <v>2.75</v>
      </c>
      <c r="Z23" s="65">
        <f t="shared" si="14"/>
        <v>3.38</v>
      </c>
      <c r="AA23" s="65">
        <f t="shared" ref="AA23" si="15">AA22/AA$84</f>
        <v>5.75</v>
      </c>
      <c r="AC23" s="65">
        <f>AC22/AC$84</f>
        <v>14.46</v>
      </c>
    </row>
    <row r="24" spans="1:31" x14ac:dyDescent="0.2">
      <c r="B24" s="23" t="s">
        <v>37</v>
      </c>
      <c r="C24" s="26"/>
      <c r="D24" s="26"/>
      <c r="E24" s="26"/>
      <c r="F24" s="26"/>
      <c r="G24" s="26"/>
      <c r="H24" s="26"/>
      <c r="I24" s="26"/>
      <c r="J24" s="26"/>
      <c r="K24" s="26"/>
      <c r="L24" s="26">
        <v>5.36</v>
      </c>
      <c r="M24" s="26">
        <v>7.36</v>
      </c>
      <c r="N24" s="63">
        <v>-2.56</v>
      </c>
      <c r="O24" s="63">
        <v>1.58</v>
      </c>
      <c r="P24" s="26">
        <v>6.77</v>
      </c>
      <c r="Q24" s="26">
        <v>13.9</v>
      </c>
      <c r="T24" s="63">
        <v>1.41</v>
      </c>
      <c r="U24" s="26">
        <v>1.55</v>
      </c>
      <c r="V24" s="63">
        <v>1.57</v>
      </c>
      <c r="W24" s="26">
        <v>2.2400000000000002</v>
      </c>
      <c r="X24" s="26">
        <v>2.4300000000000002</v>
      </c>
      <c r="Y24" s="26">
        <v>2.6</v>
      </c>
      <c r="Z24" s="26">
        <v>3.27</v>
      </c>
      <c r="AA24" s="26">
        <v>5.58</v>
      </c>
      <c r="AC24" s="26">
        <f>SUM(X24:AA24)</f>
        <v>13.88</v>
      </c>
    </row>
    <row r="25" spans="1:31" s="30" customFormat="1" ht="17" thickBot="1" x14ac:dyDescent="0.25">
      <c r="A25" s="1"/>
      <c r="B25" s="28" t="s">
        <v>38</v>
      </c>
      <c r="C25" s="29"/>
      <c r="D25" s="29"/>
      <c r="E25" s="29"/>
      <c r="F25" s="29"/>
      <c r="G25" s="29"/>
      <c r="H25" s="29"/>
      <c r="I25" s="29"/>
      <c r="J25" s="29"/>
      <c r="K25" s="29"/>
      <c r="L25" s="66">
        <f t="shared" ref="L25:Q25" si="16">L24/L$84</f>
        <v>5.36</v>
      </c>
      <c r="M25" s="66">
        <f t="shared" si="16"/>
        <v>7.36</v>
      </c>
      <c r="N25" s="66">
        <f t="shared" si="16"/>
        <v>-2.56</v>
      </c>
      <c r="O25" s="66">
        <f t="shared" si="16"/>
        <v>1.58</v>
      </c>
      <c r="P25" s="66">
        <f t="shared" si="16"/>
        <v>6.77</v>
      </c>
      <c r="Q25" s="66">
        <f t="shared" si="16"/>
        <v>13.9</v>
      </c>
      <c r="R25" s="1"/>
      <c r="S25" s="1"/>
      <c r="T25" s="66">
        <f t="shared" ref="T25:Z25" si="17">T24/T$84</f>
        <v>1.41</v>
      </c>
      <c r="U25" s="66">
        <f t="shared" si="17"/>
        <v>1.55</v>
      </c>
      <c r="V25" s="66">
        <f t="shared" si="17"/>
        <v>1.57</v>
      </c>
      <c r="W25" s="66">
        <f t="shared" si="17"/>
        <v>2.2400000000000002</v>
      </c>
      <c r="X25" s="66">
        <f t="shared" si="17"/>
        <v>2.4300000000000002</v>
      </c>
      <c r="Y25" s="66">
        <f t="shared" si="17"/>
        <v>2.6</v>
      </c>
      <c r="Z25" s="66">
        <f t="shared" si="17"/>
        <v>3.27</v>
      </c>
      <c r="AA25" s="66">
        <f t="shared" ref="AA25" si="18">AA24/AA$84</f>
        <v>5.58</v>
      </c>
      <c r="AB25" s="1"/>
      <c r="AC25" s="66">
        <f>AC24/AC$84</f>
        <v>13.88</v>
      </c>
      <c r="AD25" s="1"/>
      <c r="AE25" s="1"/>
    </row>
    <row r="26" spans="1:31" s="30" customFormat="1" ht="17" thickBot="1" x14ac:dyDescent="0.25">
      <c r="A26" s="1"/>
      <c r="B26" s="31"/>
      <c r="J26" s="31"/>
      <c r="K26" s="31"/>
      <c r="L26" s="31"/>
      <c r="M26" s="31"/>
      <c r="N26" s="31"/>
      <c r="O26" s="31"/>
      <c r="R26" s="1"/>
      <c r="S26" s="1"/>
      <c r="AB26" s="1"/>
      <c r="AD26" s="1"/>
      <c r="AE26" s="1"/>
    </row>
    <row r="27" spans="1:31" s="15" customFormat="1" ht="17" thickBot="1" x14ac:dyDescent="0.25">
      <c r="A27" s="11"/>
      <c r="B27" s="14" t="s">
        <v>39</v>
      </c>
      <c r="R27" s="1"/>
      <c r="S27" s="1"/>
      <c r="AB27" s="1"/>
      <c r="AD27" s="1"/>
      <c r="AE27" s="1"/>
    </row>
    <row r="28" spans="1:31" x14ac:dyDescent="0.2">
      <c r="B28" s="20" t="s">
        <v>40</v>
      </c>
      <c r="C28" s="21"/>
      <c r="D28" s="21"/>
      <c r="E28" s="21"/>
      <c r="F28" s="21"/>
      <c r="G28" s="21"/>
      <c r="H28" s="21"/>
      <c r="I28" s="21"/>
      <c r="J28" s="21"/>
      <c r="K28" s="21"/>
      <c r="L28" s="21">
        <v>1209</v>
      </c>
      <c r="M28" s="21">
        <v>615</v>
      </c>
      <c r="N28" s="21">
        <v>786</v>
      </c>
      <c r="O28" s="21">
        <v>1358</v>
      </c>
      <c r="P28" s="21">
        <v>891</v>
      </c>
      <c r="Q28" s="21">
        <v>1704</v>
      </c>
      <c r="T28" s="21">
        <v>1239</v>
      </c>
      <c r="U28" s="21">
        <v>1238</v>
      </c>
      <c r="V28" s="21">
        <v>814</v>
      </c>
      <c r="W28" s="21">
        <v>891</v>
      </c>
      <c r="X28" s="21">
        <v>1112</v>
      </c>
      <c r="Y28" s="21">
        <v>1046</v>
      </c>
      <c r="Z28" s="21">
        <v>1146</v>
      </c>
      <c r="AA28" s="21">
        <v>1704</v>
      </c>
      <c r="AC28" s="21">
        <f>AA28</f>
        <v>1704</v>
      </c>
    </row>
    <row r="29" spans="1:31" x14ac:dyDescent="0.2">
      <c r="B29" s="20" t="s">
        <v>41</v>
      </c>
      <c r="C29" s="21"/>
      <c r="D29" s="21"/>
      <c r="E29" s="21"/>
      <c r="F29" s="21"/>
      <c r="G29" s="21"/>
      <c r="H29" s="21"/>
      <c r="I29" s="21"/>
      <c r="J29" s="21"/>
      <c r="K29" s="21"/>
      <c r="L29" s="21">
        <v>1158</v>
      </c>
      <c r="M29" s="21">
        <v>1532</v>
      </c>
      <c r="N29" s="21">
        <v>621</v>
      </c>
      <c r="O29" s="21">
        <v>429</v>
      </c>
      <c r="P29" s="21">
        <v>959</v>
      </c>
      <c r="Q29" s="21">
        <v>1534</v>
      </c>
      <c r="T29" s="21">
        <v>628</v>
      </c>
      <c r="U29" s="21">
        <v>587</v>
      </c>
      <c r="V29" s="21">
        <v>622</v>
      </c>
      <c r="W29" s="21">
        <v>959</v>
      </c>
      <c r="X29" s="21">
        <v>1073</v>
      </c>
      <c r="Y29" s="21">
        <v>1246</v>
      </c>
      <c r="Z29" s="21">
        <v>1197</v>
      </c>
      <c r="AA29" s="21">
        <v>1534</v>
      </c>
      <c r="AC29" s="21">
        <f t="shared" ref="AC29:AC49" si="19">AA29</f>
        <v>1534</v>
      </c>
    </row>
    <row r="30" spans="1:31" x14ac:dyDescent="0.2">
      <c r="B30" s="20" t="s">
        <v>134</v>
      </c>
      <c r="C30" s="21"/>
      <c r="D30" s="21"/>
      <c r="E30" s="21"/>
      <c r="F30" s="21"/>
      <c r="G30" s="21"/>
      <c r="H30" s="21"/>
      <c r="I30" s="21"/>
      <c r="J30" s="21"/>
      <c r="K30" s="21"/>
      <c r="L30" s="21">
        <v>1204</v>
      </c>
      <c r="M30" s="21">
        <v>1565</v>
      </c>
      <c r="N30" s="21">
        <v>1140</v>
      </c>
      <c r="O30" s="21">
        <v>1239</v>
      </c>
      <c r="P30" s="21">
        <v>1440</v>
      </c>
      <c r="Q30" s="21">
        <v>1571</v>
      </c>
      <c r="T30" s="21">
        <v>1383</v>
      </c>
      <c r="U30" s="21">
        <v>1473</v>
      </c>
      <c r="V30" s="21">
        <v>1472</v>
      </c>
      <c r="W30" s="21">
        <v>1440</v>
      </c>
      <c r="X30" s="21">
        <v>1496</v>
      </c>
      <c r="Y30" s="21">
        <v>1498</v>
      </c>
      <c r="Z30" s="21">
        <v>1530</v>
      </c>
      <c r="AA30" s="21">
        <v>1571</v>
      </c>
      <c r="AC30" s="21">
        <f>AA30</f>
        <v>1571</v>
      </c>
    </row>
    <row r="31" spans="1:31" s="34" customFormat="1" x14ac:dyDescent="0.2">
      <c r="A31" s="16"/>
      <c r="B31" s="32" t="s">
        <v>42</v>
      </c>
      <c r="C31" s="33"/>
      <c r="D31" s="33"/>
      <c r="E31" s="33"/>
      <c r="F31" s="33"/>
      <c r="G31" s="33"/>
      <c r="H31" s="33"/>
      <c r="I31" s="33"/>
      <c r="J31" s="33"/>
      <c r="K31" s="33"/>
      <c r="L31" s="33">
        <v>3779</v>
      </c>
      <c r="M31" s="33">
        <v>4033</v>
      </c>
      <c r="N31" s="33">
        <v>2905</v>
      </c>
      <c r="O31" s="33">
        <v>3332</v>
      </c>
      <c r="P31" s="33">
        <v>3653</v>
      </c>
      <c r="Q31" s="33">
        <v>5221</v>
      </c>
      <c r="R31" s="1"/>
      <c r="S31" s="1"/>
      <c r="T31" s="33">
        <v>3608</v>
      </c>
      <c r="U31" s="33">
        <v>3662</v>
      </c>
      <c r="V31" s="33">
        <v>3282</v>
      </c>
      <c r="W31" s="33">
        <v>3653</v>
      </c>
      <c r="X31" s="33">
        <v>4032</v>
      </c>
      <c r="Y31" s="33">
        <v>4209</v>
      </c>
      <c r="Z31" s="33">
        <v>4299</v>
      </c>
      <c r="AA31" s="33">
        <v>5221</v>
      </c>
      <c r="AB31" s="1"/>
      <c r="AC31" s="33">
        <f t="shared" si="19"/>
        <v>5221</v>
      </c>
      <c r="AD31" s="1"/>
      <c r="AE31" s="1"/>
    </row>
    <row r="32" spans="1:31" x14ac:dyDescent="0.2">
      <c r="B32" s="20" t="s">
        <v>43</v>
      </c>
      <c r="C32" s="21"/>
      <c r="D32" s="21"/>
      <c r="E32" s="21"/>
      <c r="F32" s="21"/>
      <c r="G32" s="21"/>
      <c r="H32" s="21"/>
      <c r="I32" s="21"/>
      <c r="J32" s="21"/>
      <c r="K32" s="21"/>
      <c r="L32" s="21">
        <v>2181</v>
      </c>
      <c r="M32" s="21">
        <v>2239</v>
      </c>
      <c r="N32" s="21">
        <v>1706</v>
      </c>
      <c r="O32" s="21">
        <v>1614</v>
      </c>
      <c r="P32" s="21">
        <v>1657</v>
      </c>
      <c r="Q32" s="21">
        <v>2034</v>
      </c>
      <c r="T32" s="21">
        <v>1599</v>
      </c>
      <c r="U32" s="21">
        <v>1595</v>
      </c>
      <c r="V32" s="21">
        <v>1613</v>
      </c>
      <c r="W32" s="21">
        <v>1657</v>
      </c>
      <c r="X32" s="21">
        <v>1688</v>
      </c>
      <c r="Y32" s="21">
        <v>1771</v>
      </c>
      <c r="Z32" s="21">
        <v>1852</v>
      </c>
      <c r="AA32" s="21">
        <v>2034</v>
      </c>
      <c r="AC32" s="21">
        <f t="shared" si="19"/>
        <v>2034</v>
      </c>
    </row>
    <row r="33" spans="1:31" x14ac:dyDescent="0.2">
      <c r="B33" s="20" t="s">
        <v>349</v>
      </c>
      <c r="C33" s="21"/>
      <c r="D33" s="21"/>
      <c r="E33" s="21"/>
      <c r="F33" s="21"/>
      <c r="G33" s="21"/>
      <c r="H33" s="21"/>
      <c r="I33" s="21"/>
      <c r="J33" s="21"/>
      <c r="K33" s="21"/>
      <c r="L33" s="21">
        <v>0</v>
      </c>
      <c r="M33" s="21">
        <v>0</v>
      </c>
      <c r="N33" s="21">
        <v>0</v>
      </c>
      <c r="O33" s="21">
        <v>0</v>
      </c>
      <c r="P33" s="21">
        <v>0</v>
      </c>
      <c r="Q33" s="21">
        <v>0</v>
      </c>
      <c r="T33" s="21">
        <v>0</v>
      </c>
      <c r="U33" s="21">
        <v>0</v>
      </c>
      <c r="V33" s="21">
        <v>0</v>
      </c>
      <c r="W33" s="21">
        <v>0</v>
      </c>
      <c r="X33" s="21">
        <v>0</v>
      </c>
      <c r="Y33" s="21">
        <v>0</v>
      </c>
      <c r="Z33" s="21">
        <v>0</v>
      </c>
      <c r="AA33" s="21">
        <v>0</v>
      </c>
      <c r="AC33" s="21">
        <f t="shared" si="19"/>
        <v>0</v>
      </c>
    </row>
    <row r="34" spans="1:31" x14ac:dyDescent="0.2">
      <c r="B34" s="20" t="s">
        <v>44</v>
      </c>
      <c r="C34" s="21"/>
      <c r="D34" s="21"/>
      <c r="E34" s="21"/>
      <c r="F34" s="21"/>
      <c r="G34" s="21"/>
      <c r="H34" s="21"/>
      <c r="I34" s="21"/>
      <c r="J34" s="21"/>
      <c r="K34" s="21"/>
      <c r="L34" s="21">
        <v>1237</v>
      </c>
      <c r="M34" s="21">
        <v>1237</v>
      </c>
      <c r="N34" s="21">
        <v>1237</v>
      </c>
      <c r="O34" s="21">
        <v>1219</v>
      </c>
      <c r="P34" s="21">
        <v>1221</v>
      </c>
      <c r="Q34" s="21">
        <v>1221</v>
      </c>
      <c r="T34" s="21">
        <v>1219</v>
      </c>
      <c r="U34" s="21">
        <v>1219</v>
      </c>
      <c r="V34" s="21">
        <v>1219</v>
      </c>
      <c r="W34" s="21">
        <v>1221</v>
      </c>
      <c r="X34" s="224">
        <v>1221</v>
      </c>
      <c r="Y34" s="224">
        <v>1221</v>
      </c>
      <c r="Z34" s="21">
        <v>1221</v>
      </c>
      <c r="AA34" s="21">
        <v>1221</v>
      </c>
      <c r="AC34" s="21">
        <f t="shared" si="19"/>
        <v>1221</v>
      </c>
    </row>
    <row r="35" spans="1:31" s="34" customFormat="1" x14ac:dyDescent="0.2">
      <c r="A35" s="16"/>
      <c r="B35" s="32" t="s">
        <v>45</v>
      </c>
      <c r="C35" s="35"/>
      <c r="D35" s="35"/>
      <c r="E35" s="35"/>
      <c r="F35" s="35"/>
      <c r="G35" s="35"/>
      <c r="H35" s="35"/>
      <c r="I35" s="35"/>
      <c r="J35" s="35"/>
      <c r="K35" s="35"/>
      <c r="L35" s="35">
        <f t="shared" ref="L35:N35" si="20">L36-L31</f>
        <v>4896</v>
      </c>
      <c r="M35" s="35">
        <f t="shared" si="20"/>
        <v>4911</v>
      </c>
      <c r="N35" s="35">
        <f t="shared" si="20"/>
        <v>4651</v>
      </c>
      <c r="O35" s="35">
        <f>O36-O31</f>
        <v>4407</v>
      </c>
      <c r="P35" s="35">
        <f>P36-P31</f>
        <v>4370</v>
      </c>
      <c r="Q35" s="35">
        <f>Q36-Q31</f>
        <v>4751</v>
      </c>
      <c r="R35" s="1"/>
      <c r="S35" s="1"/>
      <c r="T35" s="35">
        <f t="shared" ref="T35:Y35" si="21">T36-T31</f>
        <v>4364</v>
      </c>
      <c r="U35" s="35">
        <f t="shared" si="21"/>
        <v>4297</v>
      </c>
      <c r="V35" s="35">
        <f t="shared" si="21"/>
        <v>4282</v>
      </c>
      <c r="W35" s="35">
        <f t="shared" si="21"/>
        <v>4370</v>
      </c>
      <c r="X35" s="35">
        <f t="shared" si="21"/>
        <v>4410</v>
      </c>
      <c r="Y35" s="35">
        <f t="shared" si="21"/>
        <v>4499</v>
      </c>
      <c r="Z35" s="35">
        <f t="shared" ref="Z35" si="22">Z36-Z31</f>
        <v>4593</v>
      </c>
      <c r="AA35" s="35">
        <f>AA36-AA31</f>
        <v>4751</v>
      </c>
      <c r="AB35" s="1"/>
      <c r="AC35" s="35">
        <f t="shared" si="19"/>
        <v>4751</v>
      </c>
      <c r="AD35" s="1"/>
      <c r="AE35" s="1"/>
    </row>
    <row r="36" spans="1:31" s="19" customFormat="1" x14ac:dyDescent="0.2">
      <c r="A36" s="16"/>
      <c r="B36" s="17" t="s">
        <v>46</v>
      </c>
      <c r="C36" s="18"/>
      <c r="D36" s="18"/>
      <c r="E36" s="18"/>
      <c r="F36" s="18"/>
      <c r="G36" s="18"/>
      <c r="H36" s="18"/>
      <c r="I36" s="18"/>
      <c r="J36" s="18"/>
      <c r="K36" s="18"/>
      <c r="L36" s="18">
        <v>8675</v>
      </c>
      <c r="M36" s="18">
        <v>8944</v>
      </c>
      <c r="N36" s="18">
        <v>7556</v>
      </c>
      <c r="O36" s="18">
        <v>7739</v>
      </c>
      <c r="P36" s="18">
        <v>8023</v>
      </c>
      <c r="Q36" s="18">
        <v>9972</v>
      </c>
      <c r="R36" s="1"/>
      <c r="S36" s="1"/>
      <c r="T36" s="18">
        <v>7972</v>
      </c>
      <c r="U36" s="18">
        <v>7959</v>
      </c>
      <c r="V36" s="18">
        <v>7564</v>
      </c>
      <c r="W36" s="18">
        <v>8023</v>
      </c>
      <c r="X36" s="18">
        <v>8442</v>
      </c>
      <c r="Y36" s="18">
        <v>8708</v>
      </c>
      <c r="Z36" s="18">
        <v>8892</v>
      </c>
      <c r="AA36" s="18">
        <v>9972</v>
      </c>
      <c r="AB36" s="1"/>
      <c r="AC36" s="18">
        <f t="shared" si="19"/>
        <v>9972</v>
      </c>
      <c r="AD36" s="1"/>
      <c r="AE36" s="1"/>
    </row>
    <row r="37" spans="1:31" x14ac:dyDescent="0.2">
      <c r="B37" s="20" t="s">
        <v>47</v>
      </c>
      <c r="C37" s="21"/>
      <c r="D37" s="21"/>
      <c r="E37" s="21"/>
      <c r="F37" s="21"/>
      <c r="G37" s="21"/>
      <c r="H37" s="21"/>
      <c r="I37" s="21"/>
      <c r="J37" s="21"/>
      <c r="K37" s="21"/>
      <c r="L37" s="21">
        <v>1725</v>
      </c>
      <c r="M37" s="21">
        <v>2058</v>
      </c>
      <c r="N37" s="21">
        <v>1603</v>
      </c>
      <c r="O37" s="21">
        <v>1786</v>
      </c>
      <c r="P37" s="21">
        <v>1604</v>
      </c>
      <c r="Q37" s="21">
        <v>1748</v>
      </c>
      <c r="T37" s="21">
        <v>1778</v>
      </c>
      <c r="U37" s="21">
        <v>1567</v>
      </c>
      <c r="V37" s="21">
        <v>1467</v>
      </c>
      <c r="W37" s="21">
        <v>1604</v>
      </c>
      <c r="X37" s="21">
        <v>1673</v>
      </c>
      <c r="Y37" s="21">
        <v>1771</v>
      </c>
      <c r="Z37" s="21">
        <v>1694</v>
      </c>
      <c r="AA37" s="21">
        <v>1748</v>
      </c>
      <c r="AC37" s="21">
        <f t="shared" si="19"/>
        <v>1748</v>
      </c>
    </row>
    <row r="38" spans="1:31" x14ac:dyDescent="0.2">
      <c r="B38" s="20" t="s">
        <v>168</v>
      </c>
      <c r="C38" s="21"/>
      <c r="D38" s="21"/>
      <c r="E38" s="21"/>
      <c r="F38" s="21"/>
      <c r="G38" s="21"/>
      <c r="H38" s="21"/>
      <c r="I38" s="21"/>
      <c r="J38" s="21"/>
      <c r="K38" s="21"/>
      <c r="L38" s="21">
        <v>245</v>
      </c>
      <c r="M38" s="21">
        <v>584</v>
      </c>
      <c r="N38" s="21">
        <v>63</v>
      </c>
      <c r="O38" s="21">
        <v>479</v>
      </c>
      <c r="P38" s="21">
        <v>0</v>
      </c>
      <c r="Q38" s="21">
        <v>185</v>
      </c>
      <c r="T38" s="21">
        <v>479</v>
      </c>
      <c r="U38" s="21">
        <v>479</v>
      </c>
      <c r="V38" s="21">
        <v>0</v>
      </c>
      <c r="W38" s="21">
        <v>0</v>
      </c>
      <c r="X38" s="21">
        <v>1496</v>
      </c>
      <c r="Y38" s="21">
        <v>998</v>
      </c>
      <c r="Z38" s="21">
        <v>398</v>
      </c>
      <c r="AA38" s="21">
        <v>185</v>
      </c>
      <c r="AC38" s="21">
        <f t="shared" si="19"/>
        <v>185</v>
      </c>
    </row>
    <row r="39" spans="1:31" s="34" customFormat="1" x14ac:dyDescent="0.2">
      <c r="A39" s="16"/>
      <c r="B39" s="32" t="s">
        <v>48</v>
      </c>
      <c r="C39" s="33"/>
      <c r="D39" s="33"/>
      <c r="E39" s="33"/>
      <c r="F39" s="33"/>
      <c r="G39" s="33"/>
      <c r="H39" s="33"/>
      <c r="I39" s="33"/>
      <c r="J39" s="33"/>
      <c r="K39" s="33"/>
      <c r="L39" s="33">
        <v>2921</v>
      </c>
      <c r="M39" s="33">
        <v>3555</v>
      </c>
      <c r="N39" s="33">
        <v>2592</v>
      </c>
      <c r="O39" s="33">
        <v>3099</v>
      </c>
      <c r="P39" s="33">
        <v>2648</v>
      </c>
      <c r="Q39" s="33">
        <v>3127</v>
      </c>
      <c r="R39" s="60"/>
      <c r="S39" s="60"/>
      <c r="T39" s="33">
        <v>3161</v>
      </c>
      <c r="U39" s="33">
        <v>2969</v>
      </c>
      <c r="V39" s="33">
        <v>2412</v>
      </c>
      <c r="W39" s="33">
        <v>2648</v>
      </c>
      <c r="X39" s="33">
        <v>4117</v>
      </c>
      <c r="Y39" s="33">
        <v>3761</v>
      </c>
      <c r="Z39" s="33">
        <v>3241</v>
      </c>
      <c r="AA39" s="33">
        <v>3127</v>
      </c>
      <c r="AB39" s="1"/>
      <c r="AC39" s="33">
        <f t="shared" si="19"/>
        <v>3127</v>
      </c>
      <c r="AD39" s="1"/>
      <c r="AE39" s="1"/>
    </row>
    <row r="40" spans="1:31" x14ac:dyDescent="0.2">
      <c r="B40" s="20" t="s">
        <v>168</v>
      </c>
      <c r="C40" s="21"/>
      <c r="D40" s="21"/>
      <c r="E40" s="21"/>
      <c r="F40" s="21"/>
      <c r="G40" s="21"/>
      <c r="H40" s="21"/>
      <c r="I40" s="21"/>
      <c r="J40" s="21"/>
      <c r="K40" s="21"/>
      <c r="L40" s="21">
        <v>4894</v>
      </c>
      <c r="M40" s="21">
        <v>5062</v>
      </c>
      <c r="N40" s="21">
        <v>5388</v>
      </c>
      <c r="O40" s="21">
        <v>5195</v>
      </c>
      <c r="P40" s="21">
        <v>4995</v>
      </c>
      <c r="Q40" s="21">
        <v>3380</v>
      </c>
      <c r="T40" s="21">
        <v>5197</v>
      </c>
      <c r="U40" s="21">
        <v>5200</v>
      </c>
      <c r="V40" s="21">
        <v>5146</v>
      </c>
      <c r="W40" s="21">
        <v>4995</v>
      </c>
      <c r="X40" s="21">
        <v>3498</v>
      </c>
      <c r="Y40" s="21">
        <v>3501</v>
      </c>
      <c r="Z40" s="21">
        <v>3465</v>
      </c>
      <c r="AA40" s="21">
        <v>3380</v>
      </c>
      <c r="AC40" s="21">
        <f t="shared" si="19"/>
        <v>3380</v>
      </c>
    </row>
    <row r="41" spans="1:31" s="34" customFormat="1" x14ac:dyDescent="0.2">
      <c r="A41" s="16"/>
      <c r="B41" s="32" t="s">
        <v>49</v>
      </c>
      <c r="C41" s="35"/>
      <c r="D41" s="35"/>
      <c r="E41" s="35"/>
      <c r="F41" s="35"/>
      <c r="G41" s="35"/>
      <c r="H41" s="35"/>
      <c r="I41" s="35"/>
      <c r="J41" s="35"/>
      <c r="K41" s="35"/>
      <c r="L41" s="35">
        <f t="shared" ref="L41:N41" si="23">L42-L39</f>
        <v>5123</v>
      </c>
      <c r="M41" s="35">
        <f t="shared" si="23"/>
        <v>5280</v>
      </c>
      <c r="N41" s="35">
        <f t="shared" si="23"/>
        <v>6163</v>
      </c>
      <c r="O41" s="35">
        <f>O42-O39</f>
        <v>6131</v>
      </c>
      <c r="P41" s="35">
        <f>P42-P39</f>
        <v>5828</v>
      </c>
      <c r="Q41" s="35">
        <f>Q42-Q39</f>
        <v>4678</v>
      </c>
      <c r="R41" s="1"/>
      <c r="S41" s="1"/>
      <c r="T41" s="35">
        <f t="shared" ref="T41:Y41" si="24">T42-T39</f>
        <v>6111</v>
      </c>
      <c r="U41" s="35">
        <f t="shared" si="24"/>
        <v>6069</v>
      </c>
      <c r="V41" s="35">
        <f t="shared" si="24"/>
        <v>5981</v>
      </c>
      <c r="W41" s="35">
        <f t="shared" si="24"/>
        <v>5828</v>
      </c>
      <c r="X41" s="35">
        <f t="shared" si="24"/>
        <v>4388</v>
      </c>
      <c r="Y41" s="35">
        <f t="shared" si="24"/>
        <v>4488</v>
      </c>
      <c r="Z41" s="35">
        <f t="shared" ref="Z41" si="25">Z42-Z39</f>
        <v>4556</v>
      </c>
      <c r="AA41" s="35">
        <f>AA42-AA39</f>
        <v>4678</v>
      </c>
      <c r="AB41" s="1"/>
      <c r="AC41" s="35">
        <f t="shared" si="19"/>
        <v>4678</v>
      </c>
      <c r="AD41" s="1"/>
      <c r="AE41" s="1"/>
    </row>
    <row r="42" spans="1:31" s="19" customFormat="1" x14ac:dyDescent="0.2">
      <c r="A42" s="16"/>
      <c r="B42" s="17" t="s">
        <v>50</v>
      </c>
      <c r="C42" s="18"/>
      <c r="D42" s="18"/>
      <c r="E42" s="18"/>
      <c r="F42" s="18"/>
      <c r="G42" s="18"/>
      <c r="H42" s="18"/>
      <c r="I42" s="18"/>
      <c r="J42" s="18"/>
      <c r="K42" s="18"/>
      <c r="L42" s="18">
        <v>8044</v>
      </c>
      <c r="M42" s="18">
        <v>8835</v>
      </c>
      <c r="N42" s="18">
        <v>8755</v>
      </c>
      <c r="O42" s="18">
        <v>9230</v>
      </c>
      <c r="P42" s="18">
        <v>8476</v>
      </c>
      <c r="Q42" s="18">
        <v>7805</v>
      </c>
      <c r="R42" s="1"/>
      <c r="S42" s="1"/>
      <c r="T42" s="18">
        <v>9272</v>
      </c>
      <c r="U42" s="18">
        <v>9038</v>
      </c>
      <c r="V42" s="18">
        <v>8393</v>
      </c>
      <c r="W42" s="18">
        <v>8476</v>
      </c>
      <c r="X42" s="18">
        <v>8505</v>
      </c>
      <c r="Y42" s="18">
        <v>8249</v>
      </c>
      <c r="Z42" s="18">
        <v>7797</v>
      </c>
      <c r="AA42" s="18">
        <v>7805</v>
      </c>
      <c r="AB42" s="1"/>
      <c r="AC42" s="18">
        <f t="shared" si="19"/>
        <v>7805</v>
      </c>
      <c r="AD42" s="1"/>
      <c r="AE42" s="1"/>
    </row>
    <row r="43" spans="1:31" x14ac:dyDescent="0.2">
      <c r="B43" s="20" t="s">
        <v>52</v>
      </c>
      <c r="C43" s="21"/>
      <c r="D43" s="21"/>
      <c r="E43" s="21"/>
      <c r="F43" s="21"/>
      <c r="G43" s="21"/>
      <c r="H43" s="21"/>
      <c r="I43" s="21"/>
      <c r="J43" s="21"/>
      <c r="K43" s="21"/>
      <c r="L43" s="62">
        <v>0</v>
      </c>
      <c r="M43" s="62">
        <v>0</v>
      </c>
      <c r="N43" s="62">
        <v>0</v>
      </c>
      <c r="O43" s="62">
        <v>0</v>
      </c>
      <c r="P43" s="62">
        <v>0</v>
      </c>
      <c r="Q43" s="62">
        <v>0</v>
      </c>
      <c r="T43" s="62">
        <v>0</v>
      </c>
      <c r="U43" s="62">
        <v>0</v>
      </c>
      <c r="V43" s="62">
        <v>0</v>
      </c>
      <c r="W43" s="62">
        <v>0</v>
      </c>
      <c r="X43" s="62">
        <v>0</v>
      </c>
      <c r="Y43" s="62">
        <v>0</v>
      </c>
      <c r="Z43" s="62">
        <v>0</v>
      </c>
      <c r="AA43" s="62">
        <v>0</v>
      </c>
      <c r="AC43" s="62">
        <f t="shared" si="19"/>
        <v>0</v>
      </c>
    </row>
    <row r="44" spans="1:31" x14ac:dyDescent="0.2">
      <c r="B44" s="20" t="s">
        <v>329</v>
      </c>
      <c r="C44" s="21"/>
      <c r="D44" s="21"/>
      <c r="E44" s="21"/>
      <c r="F44" s="21"/>
      <c r="G44" s="21"/>
      <c r="H44" s="21"/>
      <c r="I44" s="21"/>
      <c r="J44" s="21"/>
      <c r="K44" s="21"/>
      <c r="L44" s="62">
        <v>0</v>
      </c>
      <c r="M44" s="62">
        <v>0</v>
      </c>
      <c r="N44" s="62">
        <v>0</v>
      </c>
      <c r="O44" s="62">
        <v>0</v>
      </c>
      <c r="P44" s="62">
        <v>0</v>
      </c>
      <c r="Q44" s="62">
        <v>0</v>
      </c>
      <c r="T44" s="62">
        <v>0</v>
      </c>
      <c r="U44" s="62">
        <v>0</v>
      </c>
      <c r="V44" s="62">
        <v>0</v>
      </c>
      <c r="W44" s="62">
        <v>0</v>
      </c>
      <c r="X44" s="62">
        <v>0</v>
      </c>
      <c r="Y44" s="62">
        <v>0</v>
      </c>
      <c r="Z44" s="62">
        <v>0</v>
      </c>
      <c r="AA44" s="62">
        <v>0</v>
      </c>
      <c r="AC44" s="62">
        <f t="shared" si="19"/>
        <v>0</v>
      </c>
    </row>
    <row r="45" spans="1:31" x14ac:dyDescent="0.2">
      <c r="B45" s="20" t="s">
        <v>51</v>
      </c>
      <c r="C45" s="21"/>
      <c r="D45" s="21"/>
      <c r="E45" s="21"/>
      <c r="F45" s="21"/>
      <c r="G45" s="21"/>
      <c r="H45" s="21"/>
      <c r="I45" s="21"/>
      <c r="J45" s="21"/>
      <c r="K45" s="21"/>
      <c r="L45" s="21">
        <v>6977</v>
      </c>
      <c r="M45" s="21">
        <v>7190</v>
      </c>
      <c r="N45" s="21">
        <v>7373</v>
      </c>
      <c r="O45" s="21">
        <v>7471</v>
      </c>
      <c r="P45" s="21">
        <v>7706</v>
      </c>
      <c r="Q45" s="21">
        <v>8078</v>
      </c>
      <c r="T45" s="21">
        <v>7533</v>
      </c>
      <c r="U45" s="62">
        <v>7577</v>
      </c>
      <c r="V45" s="62">
        <v>7648</v>
      </c>
      <c r="W45" s="21">
        <v>7706</v>
      </c>
      <c r="X45" s="21">
        <v>7780</v>
      </c>
      <c r="Y45" s="21">
        <v>7890</v>
      </c>
      <c r="Z45" s="21">
        <v>8021</v>
      </c>
      <c r="AA45" s="21">
        <v>8078</v>
      </c>
      <c r="AC45" s="62">
        <f t="shared" si="19"/>
        <v>8078</v>
      </c>
    </row>
    <row r="46" spans="1:31" x14ac:dyDescent="0.2">
      <c r="B46" s="20" t="s">
        <v>330</v>
      </c>
      <c r="C46" s="21"/>
      <c r="D46" s="21"/>
      <c r="E46" s="21"/>
      <c r="F46" s="21"/>
      <c r="G46" s="21"/>
      <c r="H46" s="21"/>
      <c r="I46" s="21"/>
      <c r="J46" s="21"/>
      <c r="K46" s="21"/>
      <c r="L46" s="62">
        <v>-6305</v>
      </c>
      <c r="M46" s="62">
        <v>-7117</v>
      </c>
      <c r="N46" s="62">
        <v>-8670</v>
      </c>
      <c r="O46" s="62">
        <v>-8960</v>
      </c>
      <c r="P46" s="62">
        <v>-8151</v>
      </c>
      <c r="Q46" s="62">
        <v>-5911</v>
      </c>
      <c r="T46" s="62">
        <v>-8831</v>
      </c>
      <c r="U46" s="62">
        <v>-8654</v>
      </c>
      <c r="V46" s="62">
        <v>-8376</v>
      </c>
      <c r="W46" s="62">
        <v>-8151</v>
      </c>
      <c r="X46" s="62">
        <v>-7835</v>
      </c>
      <c r="Y46" s="62">
        <v>-7423</v>
      </c>
      <c r="Z46" s="62">
        <v>-6918</v>
      </c>
      <c r="AA46" s="62">
        <v>-5911</v>
      </c>
      <c r="AC46" s="62">
        <f t="shared" si="19"/>
        <v>-5911</v>
      </c>
    </row>
    <row r="47" spans="1:31" x14ac:dyDescent="0.2">
      <c r="B47" s="20" t="s">
        <v>325</v>
      </c>
      <c r="C47" s="21"/>
      <c r="D47" s="21"/>
      <c r="E47" s="21"/>
      <c r="F47" s="21"/>
      <c r="G47" s="21"/>
      <c r="H47" s="21"/>
      <c r="I47" s="21"/>
      <c r="J47" s="21"/>
      <c r="K47" s="21"/>
      <c r="L47" s="62">
        <v>0</v>
      </c>
      <c r="M47" s="62">
        <v>0</v>
      </c>
      <c r="N47" s="62">
        <v>0</v>
      </c>
      <c r="O47" s="62">
        <v>0</v>
      </c>
      <c r="P47" s="62">
        <v>0</v>
      </c>
      <c r="Q47" s="62">
        <v>0</v>
      </c>
      <c r="T47" s="62">
        <v>0</v>
      </c>
      <c r="U47" s="62">
        <v>0</v>
      </c>
      <c r="V47" s="62">
        <v>0</v>
      </c>
      <c r="W47" s="62">
        <v>0</v>
      </c>
      <c r="X47" s="62">
        <v>0</v>
      </c>
      <c r="Y47" s="62">
        <v>0</v>
      </c>
      <c r="Z47" s="62">
        <v>0</v>
      </c>
      <c r="AA47" s="62">
        <v>0</v>
      </c>
      <c r="AC47" s="62">
        <f t="shared" si="19"/>
        <v>0</v>
      </c>
    </row>
    <row r="48" spans="1:31" s="34" customFormat="1" x14ac:dyDescent="0.2">
      <c r="A48" s="16"/>
      <c r="B48" s="32" t="s">
        <v>53</v>
      </c>
      <c r="C48" s="33"/>
      <c r="D48" s="33"/>
      <c r="E48" s="33"/>
      <c r="F48" s="33"/>
      <c r="G48" s="33"/>
      <c r="H48" s="33"/>
      <c r="I48" s="33"/>
      <c r="J48" s="33"/>
      <c r="K48" s="33"/>
      <c r="L48" s="238">
        <v>631</v>
      </c>
      <c r="M48" s="238">
        <v>109</v>
      </c>
      <c r="N48" s="238">
        <v>-1199</v>
      </c>
      <c r="O48" s="238">
        <v>-1491</v>
      </c>
      <c r="P48" s="238">
        <v>-453</v>
      </c>
      <c r="Q48" s="238">
        <v>2167</v>
      </c>
      <c r="R48" s="1"/>
      <c r="S48" s="1"/>
      <c r="T48" s="238">
        <v>-1300</v>
      </c>
      <c r="U48" s="238">
        <v>-1079</v>
      </c>
      <c r="V48" s="238">
        <v>-829</v>
      </c>
      <c r="W48" s="238">
        <v>-453</v>
      </c>
      <c r="X48" s="238">
        <v>-63</v>
      </c>
      <c r="Y48" s="238">
        <v>459</v>
      </c>
      <c r="Z48" s="238">
        <v>1095</v>
      </c>
      <c r="AA48" s="238">
        <v>2167</v>
      </c>
      <c r="AB48" s="1"/>
      <c r="AC48" s="33">
        <f t="shared" si="19"/>
        <v>2167</v>
      </c>
      <c r="AD48" s="1"/>
      <c r="AE48" s="1"/>
    </row>
    <row r="49" spans="1:31" s="38" customFormat="1" ht="17" thickBot="1" x14ac:dyDescent="0.25">
      <c r="A49" s="16"/>
      <c r="B49" s="36" t="s">
        <v>54</v>
      </c>
      <c r="C49" s="37"/>
      <c r="D49" s="37"/>
      <c r="E49" s="37"/>
      <c r="F49" s="37"/>
      <c r="G49" s="37"/>
      <c r="H49" s="37"/>
      <c r="I49" s="37"/>
      <c r="J49" s="37"/>
      <c r="K49" s="37"/>
      <c r="L49" s="37">
        <v>8675</v>
      </c>
      <c r="M49" s="37">
        <v>8944</v>
      </c>
      <c r="N49" s="37">
        <v>7556</v>
      </c>
      <c r="O49" s="37">
        <v>7739</v>
      </c>
      <c r="P49" s="37">
        <v>8023</v>
      </c>
      <c r="Q49" s="37">
        <v>9972</v>
      </c>
      <c r="R49" s="1"/>
      <c r="S49" s="1"/>
      <c r="T49" s="37">
        <v>7972</v>
      </c>
      <c r="U49" s="37">
        <v>7959</v>
      </c>
      <c r="V49" s="37">
        <v>7564</v>
      </c>
      <c r="W49" s="37">
        <v>8023</v>
      </c>
      <c r="X49" s="37">
        <v>8442</v>
      </c>
      <c r="Y49" s="37">
        <v>8708</v>
      </c>
      <c r="Z49" s="37">
        <v>8892</v>
      </c>
      <c r="AA49" s="37">
        <v>9972</v>
      </c>
      <c r="AB49" s="1"/>
      <c r="AC49" s="37">
        <f t="shared" si="19"/>
        <v>9972</v>
      </c>
      <c r="AD49" s="1"/>
      <c r="AE49" s="1"/>
    </row>
    <row r="50" spans="1:31" x14ac:dyDescent="0.2">
      <c r="B50" s="1"/>
    </row>
    <row r="51" spans="1:31" s="15" customFormat="1" ht="17" thickBot="1" x14ac:dyDescent="0.25">
      <c r="A51" s="11"/>
      <c r="B51" s="14" t="s">
        <v>55</v>
      </c>
      <c r="R51" s="1"/>
      <c r="S51" s="1"/>
      <c r="AB51" s="1"/>
      <c r="AD51" s="1"/>
      <c r="AE51" s="1"/>
    </row>
    <row r="52" spans="1:31" x14ac:dyDescent="0.2">
      <c r="B52" s="20" t="s">
        <v>56</v>
      </c>
      <c r="C52" s="62"/>
      <c r="D52" s="62"/>
      <c r="E52" s="62"/>
      <c r="F52" s="62"/>
      <c r="G52" s="62"/>
      <c r="H52" s="62"/>
      <c r="I52" s="62"/>
      <c r="J52" s="62"/>
      <c r="K52" s="62"/>
      <c r="L52" s="21">
        <v>397</v>
      </c>
      <c r="M52" s="21">
        <v>451</v>
      </c>
      <c r="N52" s="21">
        <v>513</v>
      </c>
      <c r="O52" s="21">
        <v>264</v>
      </c>
      <c r="P52" s="21">
        <v>251</v>
      </c>
      <c r="Q52" s="21">
        <v>276</v>
      </c>
      <c r="T52" s="62">
        <v>64</v>
      </c>
      <c r="U52" s="21">
        <f>127-64</f>
        <v>63</v>
      </c>
      <c r="V52" s="21">
        <f>190-64-63</f>
        <v>63</v>
      </c>
      <c r="W52" s="21">
        <v>61</v>
      </c>
      <c r="X52" s="21">
        <v>72</v>
      </c>
      <c r="Y52" s="21">
        <f>140-72</f>
        <v>68</v>
      </c>
      <c r="Z52" s="21">
        <f>206-72-68</f>
        <v>66</v>
      </c>
      <c r="AA52" s="21">
        <v>70</v>
      </c>
      <c r="AC52" s="62">
        <f>SUM(X52:AA52)</f>
        <v>276</v>
      </c>
    </row>
    <row r="53" spans="1:31" x14ac:dyDescent="0.2">
      <c r="B53" s="23" t="s">
        <v>57</v>
      </c>
      <c r="C53" s="62"/>
      <c r="D53" s="62"/>
      <c r="E53" s="62"/>
      <c r="F53" s="62"/>
      <c r="G53" s="62"/>
      <c r="H53" s="62"/>
      <c r="I53" s="62"/>
      <c r="J53" s="62"/>
      <c r="K53" s="62"/>
      <c r="L53" s="21">
        <v>112</v>
      </c>
      <c r="M53" s="21">
        <v>145</v>
      </c>
      <c r="N53" s="21">
        <v>115</v>
      </c>
      <c r="O53" s="21">
        <v>127</v>
      </c>
      <c r="P53" s="21">
        <v>200</v>
      </c>
      <c r="Q53" s="21">
        <v>213</v>
      </c>
      <c r="T53" s="62">
        <v>38</v>
      </c>
      <c r="U53" s="21">
        <f>87-38</f>
        <v>49</v>
      </c>
      <c r="V53" s="21">
        <f>141-38-49</f>
        <v>54</v>
      </c>
      <c r="W53" s="21">
        <v>59</v>
      </c>
      <c r="X53" s="21">
        <v>52</v>
      </c>
      <c r="Y53" s="21">
        <f>105-52</f>
        <v>53</v>
      </c>
      <c r="Z53" s="21">
        <f>159-52-53</f>
        <v>54</v>
      </c>
      <c r="AA53" s="21">
        <v>54</v>
      </c>
      <c r="AC53" s="62">
        <f t="shared" ref="AC53:AC57" si="26">SUM(X53:AA53)</f>
        <v>213</v>
      </c>
    </row>
    <row r="54" spans="1:31" x14ac:dyDescent="0.2">
      <c r="B54" s="23" t="s">
        <v>95</v>
      </c>
      <c r="C54" s="62"/>
      <c r="D54" s="62"/>
      <c r="E54" s="62"/>
      <c r="F54" s="62"/>
      <c r="G54" s="62"/>
      <c r="H54" s="62"/>
      <c r="I54" s="62"/>
      <c r="J54" s="62"/>
      <c r="K54" s="62"/>
      <c r="L54" s="62">
        <v>-42</v>
      </c>
      <c r="M54" s="62">
        <v>-374</v>
      </c>
      <c r="N54" s="62">
        <v>911</v>
      </c>
      <c r="O54" s="62">
        <v>192</v>
      </c>
      <c r="P54" s="62">
        <v>-513</v>
      </c>
      <c r="Q54" s="62">
        <v>-575</v>
      </c>
      <c r="T54" s="62">
        <v>-199</v>
      </c>
      <c r="U54" s="62">
        <f>-158+199</f>
        <v>41</v>
      </c>
      <c r="V54" s="62">
        <v>-35</v>
      </c>
      <c r="W54" s="62">
        <v>-320</v>
      </c>
      <c r="X54" s="62">
        <v>-114</v>
      </c>
      <c r="Y54" s="62">
        <f>-287+114</f>
        <v>-173</v>
      </c>
      <c r="Z54" s="62">
        <f>-238+114+173</f>
        <v>49</v>
      </c>
      <c r="AA54" s="62">
        <v>-337</v>
      </c>
      <c r="AC54" s="62">
        <f t="shared" si="26"/>
        <v>-575</v>
      </c>
    </row>
    <row r="55" spans="1:31" x14ac:dyDescent="0.2">
      <c r="B55" s="23" t="s">
        <v>144</v>
      </c>
      <c r="C55" s="62"/>
      <c r="D55" s="62"/>
      <c r="E55" s="62"/>
      <c r="F55" s="62"/>
      <c r="G55" s="62"/>
      <c r="H55" s="62"/>
      <c r="I55" s="62"/>
      <c r="J55" s="62"/>
      <c r="K55" s="62"/>
      <c r="L55" s="62">
        <v>-64</v>
      </c>
      <c r="M55" s="62">
        <v>-361</v>
      </c>
      <c r="N55" s="62">
        <v>425</v>
      </c>
      <c r="O55" s="62">
        <v>-99</v>
      </c>
      <c r="P55" s="62">
        <v>-201</v>
      </c>
      <c r="Q55" s="62">
        <v>-131</v>
      </c>
      <c r="T55" s="62">
        <v>-144</v>
      </c>
      <c r="U55" s="62">
        <f>-234+144</f>
        <v>-90</v>
      </c>
      <c r="V55" s="62">
        <f>-233+144+90</f>
        <v>1</v>
      </c>
      <c r="W55" s="62">
        <v>32</v>
      </c>
      <c r="X55" s="62">
        <v>-56</v>
      </c>
      <c r="Y55" s="62">
        <f>-58+56</f>
        <v>-2</v>
      </c>
      <c r="Z55" s="62">
        <f>-90+56+2</f>
        <v>-32</v>
      </c>
      <c r="AA55" s="62">
        <v>-41</v>
      </c>
      <c r="AC55" s="62">
        <f>SUM(X55:AA55)</f>
        <v>-131</v>
      </c>
    </row>
    <row r="56" spans="1:31" x14ac:dyDescent="0.2">
      <c r="B56" s="23" t="s">
        <v>96</v>
      </c>
      <c r="C56" s="62"/>
      <c r="D56" s="62"/>
      <c r="E56" s="62"/>
      <c r="F56" s="62"/>
      <c r="G56" s="62"/>
      <c r="H56" s="62"/>
      <c r="I56" s="62"/>
      <c r="J56" s="62"/>
      <c r="K56" s="62"/>
      <c r="L56" s="62">
        <v>-14</v>
      </c>
      <c r="M56" s="62">
        <v>228</v>
      </c>
      <c r="N56" s="62">
        <v>-421</v>
      </c>
      <c r="O56" s="62">
        <v>227</v>
      </c>
      <c r="P56" s="62">
        <v>-242</v>
      </c>
      <c r="Q56" s="62">
        <v>66</v>
      </c>
      <c r="T56" s="62">
        <v>10</v>
      </c>
      <c r="U56" s="62">
        <v>-180</v>
      </c>
      <c r="V56" s="62">
        <v>-161</v>
      </c>
      <c r="W56" s="62">
        <v>89</v>
      </c>
      <c r="X56" s="21">
        <v>84</v>
      </c>
      <c r="Y56" s="21">
        <f>162-84</f>
        <v>78</v>
      </c>
      <c r="Z56" s="62">
        <f>89-84-78</f>
        <v>-73</v>
      </c>
      <c r="AA56" s="62">
        <v>-23</v>
      </c>
      <c r="AC56" s="62">
        <f t="shared" si="26"/>
        <v>66</v>
      </c>
    </row>
    <row r="57" spans="1:31" x14ac:dyDescent="0.2">
      <c r="B57" s="23" t="s">
        <v>97</v>
      </c>
      <c r="C57" s="62"/>
      <c r="D57" s="62"/>
      <c r="E57" s="62"/>
      <c r="F57" s="62"/>
      <c r="G57" s="62"/>
      <c r="H57" s="62"/>
      <c r="I57" s="62"/>
      <c r="J57" s="62"/>
      <c r="K57" s="62"/>
      <c r="L57" s="62">
        <f>58-38-44</f>
        <v>-24</v>
      </c>
      <c r="M57" s="62">
        <f>-30-26-80</f>
        <v>-136</v>
      </c>
      <c r="N57" s="62">
        <f>-152+101+298</f>
        <v>247</v>
      </c>
      <c r="O57" s="62">
        <f>6-45-138+243</f>
        <v>66</v>
      </c>
      <c r="P57" s="62">
        <f>207-60-95-61</f>
        <v>-9</v>
      </c>
      <c r="Q57" s="62">
        <f>525-44</f>
        <v>481</v>
      </c>
      <c r="T57" s="62">
        <f>37-15+16-37</f>
        <v>1</v>
      </c>
      <c r="U57" s="62">
        <f>85-30-42-71-1</f>
        <v>-59</v>
      </c>
      <c r="V57" s="62">
        <f>-102+59</f>
        <v>-43</v>
      </c>
      <c r="W57" s="62">
        <v>92</v>
      </c>
      <c r="X57" s="62">
        <f>-140-15+119-9</f>
        <v>-45</v>
      </c>
      <c r="Y57" s="62">
        <f>-108-30+197-87+45</f>
        <v>17</v>
      </c>
      <c r="Z57" s="62">
        <f>-62+346-83+45-17</f>
        <v>229</v>
      </c>
      <c r="AA57" s="62">
        <v>280</v>
      </c>
      <c r="AC57" s="62">
        <f t="shared" si="26"/>
        <v>481</v>
      </c>
    </row>
    <row r="58" spans="1:31" s="19" customFormat="1" x14ac:dyDescent="0.2">
      <c r="A58" s="16"/>
      <c r="B58" s="17" t="s">
        <v>58</v>
      </c>
      <c r="C58" s="61"/>
      <c r="D58" s="61"/>
      <c r="E58" s="61"/>
      <c r="F58" s="61"/>
      <c r="G58" s="61"/>
      <c r="H58" s="61"/>
      <c r="I58" s="61"/>
      <c r="J58" s="61"/>
      <c r="K58" s="61"/>
      <c r="L58" s="18">
        <v>1626</v>
      </c>
      <c r="M58" s="18">
        <v>1657</v>
      </c>
      <c r="N58" s="61">
        <v>942</v>
      </c>
      <c r="O58" s="61">
        <v>918</v>
      </c>
      <c r="P58" s="18">
        <v>1083</v>
      </c>
      <c r="Q58" s="18">
        <v>3674</v>
      </c>
      <c r="R58" s="1"/>
      <c r="S58" s="1"/>
      <c r="T58" s="61">
        <v>95</v>
      </c>
      <c r="U58" s="18">
        <f>316-95</f>
        <v>221</v>
      </c>
      <c r="V58" s="18">
        <f>575-95-221</f>
        <v>259</v>
      </c>
      <c r="W58" s="18">
        <v>508</v>
      </c>
      <c r="X58" s="18">
        <v>532</v>
      </c>
      <c r="Y58" s="18">
        <f>1255-532</f>
        <v>723</v>
      </c>
      <c r="Z58" s="18">
        <f>2369-532-723</f>
        <v>1114</v>
      </c>
      <c r="AA58" s="18">
        <v>1305</v>
      </c>
      <c r="AB58" s="1"/>
      <c r="AC58" s="61">
        <f>SUM(X58:AA58)</f>
        <v>3674</v>
      </c>
      <c r="AD58" s="1"/>
      <c r="AE58" s="1"/>
    </row>
    <row r="59" spans="1:31" x14ac:dyDescent="0.2">
      <c r="B59" s="20" t="s">
        <v>59</v>
      </c>
      <c r="C59" s="62"/>
      <c r="D59" s="62"/>
      <c r="E59" s="62"/>
      <c r="F59" s="62"/>
      <c r="G59" s="62"/>
      <c r="H59" s="62"/>
      <c r="I59" s="62"/>
      <c r="J59" s="62"/>
      <c r="K59" s="62"/>
      <c r="L59" s="62">
        <v>-498</v>
      </c>
      <c r="M59" s="62">
        <v>-381</v>
      </c>
      <c r="N59" s="62">
        <v>-316</v>
      </c>
      <c r="O59" s="62">
        <v>-254</v>
      </c>
      <c r="P59" s="62">
        <v>-265</v>
      </c>
      <c r="Q59" s="62">
        <v>-569</v>
      </c>
      <c r="T59" s="62">
        <v>-68</v>
      </c>
      <c r="U59" s="62">
        <f>-139+68</f>
        <v>-71</v>
      </c>
      <c r="V59" s="62">
        <f>-182+68+71</f>
        <v>-43</v>
      </c>
      <c r="W59" s="62">
        <v>-83</v>
      </c>
      <c r="X59" s="62">
        <v>-105</v>
      </c>
      <c r="Y59" s="62">
        <f>-221+105</f>
        <v>-116</v>
      </c>
      <c r="Z59" s="62">
        <f>-382+105+116</f>
        <v>-161</v>
      </c>
      <c r="AA59" s="62">
        <v>-187</v>
      </c>
      <c r="AC59" s="62">
        <f>SUM(X59:AA59)</f>
        <v>-569</v>
      </c>
    </row>
    <row r="60" spans="1:31" x14ac:dyDescent="0.2">
      <c r="B60" s="20" t="s">
        <v>98</v>
      </c>
      <c r="C60" s="62"/>
      <c r="D60" s="62"/>
      <c r="E60" s="62"/>
      <c r="F60" s="62"/>
      <c r="G60" s="62"/>
      <c r="H60" s="62"/>
      <c r="I60" s="62"/>
      <c r="J60" s="62"/>
      <c r="K60" s="62"/>
      <c r="L60" s="62">
        <v>0</v>
      </c>
      <c r="M60" s="62">
        <v>0</v>
      </c>
      <c r="N60" s="62">
        <v>0</v>
      </c>
      <c r="O60" s="62">
        <v>0</v>
      </c>
      <c r="P60" s="62">
        <v>0</v>
      </c>
      <c r="Q60" s="62">
        <v>0</v>
      </c>
      <c r="T60" s="62">
        <v>0</v>
      </c>
      <c r="U60" s="62">
        <v>0</v>
      </c>
      <c r="V60" s="62">
        <v>0</v>
      </c>
      <c r="W60" s="62">
        <v>0</v>
      </c>
      <c r="X60" s="62">
        <v>0</v>
      </c>
      <c r="Y60" s="62">
        <v>0</v>
      </c>
      <c r="Z60" s="62">
        <v>0</v>
      </c>
      <c r="AA60" s="62">
        <v>0</v>
      </c>
      <c r="AC60" s="62">
        <f t="shared" ref="AC60:AC65" si="27">SUM(X60:AA60)</f>
        <v>0</v>
      </c>
    </row>
    <row r="61" spans="1:31" s="19" customFormat="1" x14ac:dyDescent="0.2">
      <c r="A61" s="16"/>
      <c r="B61" s="17" t="s">
        <v>60</v>
      </c>
      <c r="C61" s="61"/>
      <c r="D61" s="61"/>
      <c r="E61" s="61"/>
      <c r="F61" s="61"/>
      <c r="G61" s="61"/>
      <c r="H61" s="61"/>
      <c r="I61" s="61"/>
      <c r="J61" s="61"/>
      <c r="K61" s="61"/>
      <c r="L61" s="61">
        <v>-466</v>
      </c>
      <c r="M61" s="61">
        <v>-352</v>
      </c>
      <c r="N61" s="61">
        <v>217</v>
      </c>
      <c r="O61" s="61">
        <v>126</v>
      </c>
      <c r="P61" s="61">
        <v>-276</v>
      </c>
      <c r="Q61" s="61">
        <v>-525</v>
      </c>
      <c r="R61" s="1"/>
      <c r="S61" s="1"/>
      <c r="T61" s="61">
        <v>-68</v>
      </c>
      <c r="U61" s="61">
        <f>-138+68</f>
        <v>-70</v>
      </c>
      <c r="V61" s="61">
        <f>-146+68+70</f>
        <v>-8</v>
      </c>
      <c r="W61" s="61">
        <v>-130</v>
      </c>
      <c r="X61" s="61">
        <v>-90</v>
      </c>
      <c r="Y61" s="61">
        <f>-206+90</f>
        <v>-116</v>
      </c>
      <c r="Z61" s="61">
        <f>-369+90+116</f>
        <v>-163</v>
      </c>
      <c r="AA61" s="61">
        <v>-156</v>
      </c>
      <c r="AB61" s="1"/>
      <c r="AC61" s="61">
        <f t="shared" si="27"/>
        <v>-525</v>
      </c>
      <c r="AD61" s="1"/>
      <c r="AE61" s="1"/>
    </row>
    <row r="62" spans="1:31" x14ac:dyDescent="0.2">
      <c r="B62" s="20" t="s">
        <v>61</v>
      </c>
      <c r="C62" s="62"/>
      <c r="D62" s="62"/>
      <c r="E62" s="62"/>
      <c r="F62" s="62"/>
      <c r="G62" s="62"/>
      <c r="H62" s="62"/>
      <c r="I62" s="62"/>
      <c r="J62" s="62"/>
      <c r="K62" s="62"/>
      <c r="L62" s="62">
        <v>-2047</v>
      </c>
      <c r="M62" s="62">
        <v>-1799</v>
      </c>
      <c r="N62" s="62">
        <v>-408</v>
      </c>
      <c r="O62" s="62">
        <v>0</v>
      </c>
      <c r="P62" s="62">
        <v>0</v>
      </c>
      <c r="Q62" s="62">
        <v>-176</v>
      </c>
      <c r="T62" s="62">
        <v>0</v>
      </c>
      <c r="U62" s="62">
        <v>0</v>
      </c>
      <c r="V62" s="62">
        <v>0</v>
      </c>
      <c r="W62" s="62">
        <v>0</v>
      </c>
      <c r="X62" s="62">
        <v>-29</v>
      </c>
      <c r="Y62" s="62">
        <v>0</v>
      </c>
      <c r="Z62" s="62">
        <f>-59+29</f>
        <v>-30</v>
      </c>
      <c r="AA62" s="62">
        <v>-117</v>
      </c>
      <c r="AC62" s="62">
        <f t="shared" si="27"/>
        <v>-176</v>
      </c>
    </row>
    <row r="63" spans="1:31" x14ac:dyDescent="0.2">
      <c r="B63" s="20" t="s">
        <v>283</v>
      </c>
      <c r="C63" s="62"/>
      <c r="D63" s="62"/>
      <c r="E63" s="62"/>
      <c r="F63" s="62"/>
      <c r="G63" s="62"/>
      <c r="H63" s="62"/>
      <c r="I63" s="62"/>
      <c r="J63" s="62"/>
      <c r="K63" s="62"/>
      <c r="L63" s="62">
        <v>-649</v>
      </c>
      <c r="M63" s="62">
        <v>-610</v>
      </c>
      <c r="N63" s="62">
        <v>-582</v>
      </c>
      <c r="O63" s="62">
        <v>-585</v>
      </c>
      <c r="P63" s="62">
        <v>-600</v>
      </c>
      <c r="Q63" s="62">
        <v>-634</v>
      </c>
      <c r="T63" s="62">
        <v>-147</v>
      </c>
      <c r="U63" s="62">
        <f>-295+147</f>
        <v>-148</v>
      </c>
      <c r="V63" s="62">
        <f>-447+147+148</f>
        <v>-152</v>
      </c>
      <c r="W63" s="62">
        <v>-153</v>
      </c>
      <c r="X63" s="62">
        <v>-153</v>
      </c>
      <c r="Y63" s="62">
        <f>-307+153</f>
        <v>-154</v>
      </c>
      <c r="Z63" s="62">
        <f>-468+153+154</f>
        <v>-161</v>
      </c>
      <c r="AA63" s="62">
        <v>-166</v>
      </c>
      <c r="AC63" s="62">
        <f>SUM(X63:AA63)</f>
        <v>-634</v>
      </c>
    </row>
    <row r="64" spans="1:31" x14ac:dyDescent="0.2">
      <c r="B64" s="20" t="s">
        <v>328</v>
      </c>
      <c r="C64" s="62"/>
      <c r="D64" s="62"/>
      <c r="E64" s="62"/>
      <c r="F64" s="62"/>
      <c r="G64" s="62"/>
      <c r="H64" s="62"/>
      <c r="I64" s="62"/>
      <c r="J64" s="62"/>
      <c r="K64" s="62"/>
      <c r="L64" s="62">
        <v>0</v>
      </c>
      <c r="M64" s="62">
        <v>0</v>
      </c>
      <c r="N64" s="62">
        <v>0</v>
      </c>
      <c r="O64" s="62">
        <v>0</v>
      </c>
      <c r="P64" s="62">
        <v>0</v>
      </c>
      <c r="Q64" s="62">
        <v>0</v>
      </c>
      <c r="T64" s="62">
        <v>0</v>
      </c>
      <c r="U64" s="62">
        <v>0</v>
      </c>
      <c r="V64" s="62">
        <v>0</v>
      </c>
      <c r="W64" s="62">
        <v>0</v>
      </c>
      <c r="X64" s="62">
        <v>0</v>
      </c>
      <c r="Y64" s="62">
        <v>0</v>
      </c>
      <c r="Z64" s="62">
        <v>0</v>
      </c>
      <c r="AA64" s="62">
        <v>0</v>
      </c>
      <c r="AC64" s="62">
        <f>SUM(X64:AA64)</f>
        <v>0</v>
      </c>
    </row>
    <row r="65" spans="1:31" s="19" customFormat="1" ht="17" thickBot="1" x14ac:dyDescent="0.25">
      <c r="A65" s="16"/>
      <c r="B65" s="36" t="s">
        <v>62</v>
      </c>
      <c r="C65" s="71"/>
      <c r="D65" s="71"/>
      <c r="E65" s="71"/>
      <c r="F65" s="71"/>
      <c r="G65" s="71"/>
      <c r="H65" s="71"/>
      <c r="I65" s="71"/>
      <c r="J65" s="71"/>
      <c r="K65" s="71"/>
      <c r="L65" s="71">
        <v>-1673</v>
      </c>
      <c r="M65" s="71">
        <v>-1899</v>
      </c>
      <c r="N65" s="71">
        <v>-988</v>
      </c>
      <c r="O65" s="71">
        <v>-473</v>
      </c>
      <c r="P65" s="71">
        <v>-1274</v>
      </c>
      <c r="Q65" s="71">
        <v>-2337</v>
      </c>
      <c r="R65" s="1"/>
      <c r="S65" s="1"/>
      <c r="T65" s="71">
        <v>-146</v>
      </c>
      <c r="U65" s="71">
        <f>-298+146</f>
        <v>-152</v>
      </c>
      <c r="V65" s="71">
        <f>-973+146+152</f>
        <v>-675</v>
      </c>
      <c r="W65" s="71">
        <v>-301</v>
      </c>
      <c r="X65" s="71">
        <v>-221</v>
      </c>
      <c r="Y65" s="71">
        <f>-894+221</f>
        <v>-673</v>
      </c>
      <c r="Z65" s="71">
        <f>-1746+221+673</f>
        <v>-852</v>
      </c>
      <c r="AA65" s="71">
        <v>-591</v>
      </c>
      <c r="AB65" s="1"/>
      <c r="AC65" s="71">
        <f t="shared" si="27"/>
        <v>-2337</v>
      </c>
      <c r="AD65" s="1"/>
      <c r="AE65" s="1"/>
    </row>
    <row r="66" spans="1:31" x14ac:dyDescent="0.2">
      <c r="B66" s="1"/>
    </row>
    <row r="67" spans="1:31" s="15" customFormat="1" ht="17" thickBot="1" x14ac:dyDescent="0.25">
      <c r="A67" s="11"/>
      <c r="B67" s="14" t="s">
        <v>63</v>
      </c>
      <c r="R67" s="1"/>
      <c r="S67" s="1"/>
      <c r="AB67" s="1"/>
      <c r="AD67" s="1"/>
      <c r="AE67" s="1"/>
    </row>
    <row r="68" spans="1:31" x14ac:dyDescent="0.2">
      <c r="B68" s="20" t="s">
        <v>64</v>
      </c>
      <c r="C68" s="64">
        <f t="shared" ref="C68:K68" si="28">C5-C6-C10+C12+C13+C15-C16</f>
        <v>0</v>
      </c>
      <c r="D68" s="64">
        <f t="shared" si="28"/>
        <v>0</v>
      </c>
      <c r="E68" s="64">
        <f t="shared" si="28"/>
        <v>0</v>
      </c>
      <c r="F68" s="64">
        <f t="shared" si="28"/>
        <v>0</v>
      </c>
      <c r="G68" s="64">
        <f t="shared" si="28"/>
        <v>0</v>
      </c>
      <c r="H68" s="64">
        <f t="shared" si="28"/>
        <v>0</v>
      </c>
      <c r="I68" s="64">
        <f t="shared" si="28"/>
        <v>0</v>
      </c>
      <c r="J68" s="64">
        <f t="shared" si="28"/>
        <v>0</v>
      </c>
      <c r="K68" s="64">
        <f t="shared" si="28"/>
        <v>0</v>
      </c>
      <c r="L68" s="64">
        <f>L5-L6-L10+L12+L13+L15-L16</f>
        <v>1314</v>
      </c>
      <c r="M68" s="64">
        <f t="shared" ref="M68:P68" si="29">M5-M6-M10+M12+M13+M15-M16</f>
        <v>1649</v>
      </c>
      <c r="N68" s="64">
        <f t="shared" si="29"/>
        <v>-529</v>
      </c>
      <c r="O68" s="64">
        <f t="shared" si="29"/>
        <v>335</v>
      </c>
      <c r="P68" s="64">
        <f t="shared" si="29"/>
        <v>1469</v>
      </c>
      <c r="Q68" s="64">
        <f t="shared" ref="Q68" si="30">Q5-Q6-Q10+Q12+Q13+Q15-Q16</f>
        <v>3184</v>
      </c>
      <c r="T68" s="64">
        <f t="shared" ref="T68:Z68" si="31">T5-T6-T10+T12+T13+T15-T16</f>
        <v>305</v>
      </c>
      <c r="U68" s="64">
        <f t="shared" si="31"/>
        <v>336</v>
      </c>
      <c r="V68" s="64">
        <f t="shared" si="31"/>
        <v>340</v>
      </c>
      <c r="W68" s="64">
        <f t="shared" si="31"/>
        <v>488</v>
      </c>
      <c r="X68" s="64">
        <f t="shared" si="31"/>
        <v>549</v>
      </c>
      <c r="Y68" s="64">
        <f t="shared" si="31"/>
        <v>593</v>
      </c>
      <c r="Z68" s="64">
        <f t="shared" si="31"/>
        <v>748</v>
      </c>
      <c r="AA68" s="64">
        <f t="shared" ref="AA68:AC68" si="32">AA5-AA6-AA10+AA12+AA13+AA15-AA16</f>
        <v>1294</v>
      </c>
      <c r="AC68" s="64">
        <f t="shared" si="32"/>
        <v>3184</v>
      </c>
    </row>
    <row r="69" spans="1:31" s="41" customFormat="1" x14ac:dyDescent="0.2">
      <c r="A69" s="16"/>
      <c r="B69" s="17" t="s">
        <v>65</v>
      </c>
      <c r="C69" s="40">
        <f t="shared" ref="C69:Q69" si="33">C17-C68</f>
        <v>0</v>
      </c>
      <c r="D69" s="40">
        <f t="shared" si="33"/>
        <v>0</v>
      </c>
      <c r="E69" s="40">
        <f t="shared" si="33"/>
        <v>0</v>
      </c>
      <c r="F69" s="40">
        <f t="shared" si="33"/>
        <v>0</v>
      </c>
      <c r="G69" s="40">
        <f t="shared" si="33"/>
        <v>0</v>
      </c>
      <c r="H69" s="40">
        <f t="shared" si="33"/>
        <v>0</v>
      </c>
      <c r="I69" s="40">
        <f t="shared" si="33"/>
        <v>0</v>
      </c>
      <c r="J69" s="40">
        <f t="shared" si="33"/>
        <v>0</v>
      </c>
      <c r="K69" s="40">
        <f t="shared" si="33"/>
        <v>0</v>
      </c>
      <c r="L69" s="40">
        <f t="shared" ref="L69:P69" si="34">L17-L68</f>
        <v>0</v>
      </c>
      <c r="M69" s="40">
        <f t="shared" si="34"/>
        <v>0</v>
      </c>
      <c r="N69" s="40">
        <f t="shared" si="34"/>
        <v>0</v>
      </c>
      <c r="O69" s="40">
        <f t="shared" si="34"/>
        <v>0</v>
      </c>
      <c r="P69" s="40">
        <f t="shared" si="34"/>
        <v>0</v>
      </c>
      <c r="Q69" s="40">
        <f t="shared" si="33"/>
        <v>0</v>
      </c>
      <c r="R69" s="1"/>
      <c r="S69" s="1"/>
      <c r="T69" s="40">
        <f t="shared" ref="T69:Y69" si="35">T17-T68</f>
        <v>0</v>
      </c>
      <c r="U69" s="40">
        <f t="shared" si="35"/>
        <v>0</v>
      </c>
      <c r="V69" s="40">
        <f t="shared" si="35"/>
        <v>0</v>
      </c>
      <c r="W69" s="40">
        <f t="shared" si="35"/>
        <v>0</v>
      </c>
      <c r="X69" s="40">
        <f t="shared" si="35"/>
        <v>0</v>
      </c>
      <c r="Y69" s="40">
        <f t="shared" si="35"/>
        <v>0</v>
      </c>
      <c r="Z69" s="40">
        <f t="shared" ref="Z69:AA69" si="36">Z17-Z68</f>
        <v>0</v>
      </c>
      <c r="AA69" s="40">
        <f t="shared" si="36"/>
        <v>0</v>
      </c>
      <c r="AB69" s="16"/>
      <c r="AC69" s="40">
        <f>AC17-AC68</f>
        <v>0</v>
      </c>
      <c r="AD69" s="1"/>
      <c r="AE69" s="1"/>
    </row>
    <row r="70" spans="1:31" s="41" customFormat="1" x14ac:dyDescent="0.2">
      <c r="A70" s="16"/>
      <c r="B70" s="17" t="s">
        <v>66</v>
      </c>
      <c r="C70" s="42">
        <f t="shared" ref="C70:Q70" si="37">C36-(C42+C110)</f>
        <v>0</v>
      </c>
      <c r="D70" s="42">
        <f t="shared" si="37"/>
        <v>0</v>
      </c>
      <c r="E70" s="42">
        <f t="shared" si="37"/>
        <v>0</v>
      </c>
      <c r="F70" s="42">
        <f t="shared" si="37"/>
        <v>0</v>
      </c>
      <c r="G70" s="42">
        <f t="shared" si="37"/>
        <v>0</v>
      </c>
      <c r="H70" s="42">
        <f t="shared" si="37"/>
        <v>0</v>
      </c>
      <c r="I70" s="42">
        <f t="shared" si="37"/>
        <v>0</v>
      </c>
      <c r="J70" s="42">
        <f t="shared" si="37"/>
        <v>0</v>
      </c>
      <c r="K70" s="42">
        <f t="shared" si="37"/>
        <v>0</v>
      </c>
      <c r="L70" s="42">
        <f t="shared" ref="L70:P70" si="38">L36-(L42+L110)</f>
        <v>0</v>
      </c>
      <c r="M70" s="42">
        <f t="shared" si="38"/>
        <v>0</v>
      </c>
      <c r="N70" s="42">
        <f t="shared" si="38"/>
        <v>0</v>
      </c>
      <c r="O70" s="42">
        <f t="shared" si="38"/>
        <v>0</v>
      </c>
      <c r="P70" s="42">
        <f t="shared" si="38"/>
        <v>0</v>
      </c>
      <c r="Q70" s="42">
        <f t="shared" si="37"/>
        <v>0</v>
      </c>
      <c r="R70" s="1"/>
      <c r="S70" s="1"/>
      <c r="T70" s="42">
        <f t="shared" ref="T70:Z70" si="39">T36-(T42+T110)</f>
        <v>0</v>
      </c>
      <c r="U70" s="42">
        <f t="shared" si="39"/>
        <v>0</v>
      </c>
      <c r="V70" s="42">
        <f t="shared" si="39"/>
        <v>0</v>
      </c>
      <c r="W70" s="42">
        <f t="shared" si="39"/>
        <v>0</v>
      </c>
      <c r="X70" s="42">
        <f t="shared" si="39"/>
        <v>0</v>
      </c>
      <c r="Y70" s="42">
        <f t="shared" si="39"/>
        <v>0</v>
      </c>
      <c r="Z70" s="42">
        <f t="shared" si="39"/>
        <v>0</v>
      </c>
      <c r="AA70" s="42">
        <f t="shared" ref="AA70" si="40">AA36-(AA42+AA110)</f>
        <v>0</v>
      </c>
      <c r="AB70" s="16"/>
      <c r="AC70" s="42">
        <f>AC36-(AC42+AC110)</f>
        <v>0</v>
      </c>
      <c r="AD70" s="1"/>
      <c r="AE70" s="1"/>
    </row>
    <row r="71" spans="1:31" x14ac:dyDescent="0.2">
      <c r="B71" s="39"/>
      <c r="J71" s="39"/>
      <c r="K71" s="39"/>
      <c r="L71" s="39"/>
      <c r="M71" s="39"/>
      <c r="N71" s="39"/>
      <c r="O71" s="39"/>
    </row>
    <row r="72" spans="1:31" s="15" customFormat="1" ht="17" thickBot="1" x14ac:dyDescent="0.25">
      <c r="A72" s="11"/>
      <c r="B72" s="14" t="s">
        <v>67</v>
      </c>
      <c r="R72" s="1"/>
      <c r="S72" s="1"/>
      <c r="AB72" s="1"/>
      <c r="AD72" s="1"/>
      <c r="AE72" s="1"/>
    </row>
    <row r="73" spans="1:31" x14ac:dyDescent="0.2">
      <c r="B73" s="20" t="s">
        <v>68</v>
      </c>
      <c r="C73" s="43"/>
      <c r="D73" s="43"/>
      <c r="E73" s="43"/>
      <c r="F73" s="43"/>
      <c r="G73" s="43"/>
      <c r="H73" s="43"/>
      <c r="I73" s="43"/>
      <c r="J73" s="21"/>
      <c r="K73" s="21"/>
      <c r="L73" s="43">
        <v>227</v>
      </c>
      <c r="M73" s="43">
        <v>209</v>
      </c>
      <c r="N73" s="21">
        <v>207</v>
      </c>
      <c r="O73" s="21">
        <v>210</v>
      </c>
      <c r="P73" s="21">
        <v>213</v>
      </c>
      <c r="Q73" s="21">
        <v>227</v>
      </c>
      <c r="T73" s="21">
        <v>212</v>
      </c>
      <c r="U73" s="21">
        <v>212</v>
      </c>
      <c r="V73" s="21">
        <v>212</v>
      </c>
      <c r="W73" s="21">
        <v>213</v>
      </c>
      <c r="X73" s="21">
        <v>214</v>
      </c>
      <c r="Y73" s="21">
        <v>218</v>
      </c>
      <c r="Z73" s="21">
        <v>224</v>
      </c>
      <c r="AA73" s="21">
        <v>227</v>
      </c>
      <c r="AC73" s="24">
        <f>AA73</f>
        <v>227</v>
      </c>
    </row>
    <row r="74" spans="1:31" x14ac:dyDescent="0.2">
      <c r="B74" s="20" t="s">
        <v>69</v>
      </c>
      <c r="C74" s="25"/>
      <c r="D74" s="25"/>
      <c r="E74" s="25"/>
      <c r="F74" s="25"/>
      <c r="G74" s="25"/>
      <c r="H74" s="25"/>
      <c r="I74" s="25"/>
      <c r="J74" s="25"/>
      <c r="K74" s="25"/>
      <c r="L74" s="25">
        <f t="shared" ref="L74:P74" si="41">L73*L84</f>
        <v>227</v>
      </c>
      <c r="M74" s="25">
        <f t="shared" si="41"/>
        <v>209</v>
      </c>
      <c r="N74" s="25">
        <f t="shared" si="41"/>
        <v>207</v>
      </c>
      <c r="O74" s="25">
        <f t="shared" si="41"/>
        <v>210</v>
      </c>
      <c r="P74" s="25">
        <f t="shared" si="41"/>
        <v>213</v>
      </c>
      <c r="Q74" s="25">
        <f t="shared" ref="Q74" si="42">Q73*Q84</f>
        <v>227</v>
      </c>
      <c r="T74" s="25">
        <f t="shared" ref="T74" si="43">T73*T84</f>
        <v>212</v>
      </c>
      <c r="U74" s="25">
        <f t="shared" ref="U74" si="44">U73*U84</f>
        <v>212</v>
      </c>
      <c r="V74" s="25">
        <f t="shared" ref="V74" si="45">V73*V84</f>
        <v>212</v>
      </c>
      <c r="W74" s="25">
        <f t="shared" ref="W74" si="46">W73*W84</f>
        <v>213</v>
      </c>
      <c r="X74" s="25">
        <f t="shared" ref="X74:Z74" si="47">X73*X84</f>
        <v>214</v>
      </c>
      <c r="Y74" s="25">
        <f t="shared" si="47"/>
        <v>218</v>
      </c>
      <c r="Z74" s="25">
        <f t="shared" si="47"/>
        <v>224</v>
      </c>
      <c r="AA74" s="25">
        <f t="shared" ref="AA74" si="48">AA73*AA84</f>
        <v>227</v>
      </c>
      <c r="AC74" s="24">
        <f>AA74</f>
        <v>227</v>
      </c>
    </row>
    <row r="75" spans="1:31" x14ac:dyDescent="0.2">
      <c r="B75" s="20" t="s">
        <v>233</v>
      </c>
      <c r="C75" s="25"/>
      <c r="D75" s="25"/>
      <c r="E75" s="25"/>
      <c r="F75" s="25"/>
      <c r="G75" s="25"/>
      <c r="H75" s="25"/>
      <c r="I75" s="25"/>
      <c r="J75" s="25"/>
      <c r="K75" s="25"/>
      <c r="L75" s="21">
        <v>3</v>
      </c>
      <c r="M75" s="21">
        <v>4</v>
      </c>
      <c r="N75" s="21">
        <v>0</v>
      </c>
      <c r="O75" s="21">
        <v>3</v>
      </c>
      <c r="P75" s="21">
        <v>5</v>
      </c>
      <c r="Q75" s="21">
        <v>10</v>
      </c>
      <c r="T75" s="21">
        <v>5</v>
      </c>
      <c r="U75" s="21">
        <v>5</v>
      </c>
      <c r="V75" s="21">
        <v>4</v>
      </c>
      <c r="W75" s="21">
        <v>5</v>
      </c>
      <c r="X75" s="21">
        <v>13</v>
      </c>
      <c r="Y75" s="21">
        <v>12</v>
      </c>
      <c r="Z75" s="21">
        <v>8</v>
      </c>
      <c r="AA75" s="21">
        <v>10</v>
      </c>
      <c r="AC75" s="21">
        <f>AA75</f>
        <v>10</v>
      </c>
    </row>
    <row r="76" spans="1:31" x14ac:dyDescent="0.2">
      <c r="B76" s="20" t="s">
        <v>234</v>
      </c>
      <c r="C76" s="25"/>
      <c r="D76" s="25"/>
      <c r="E76" s="25"/>
      <c r="F76" s="25"/>
      <c r="G76" s="25"/>
      <c r="H76" s="25"/>
      <c r="I76" s="25"/>
      <c r="J76" s="25"/>
      <c r="K76" s="25"/>
      <c r="L76" s="25">
        <f t="shared" ref="L76:O76" si="49">L75*L84</f>
        <v>3</v>
      </c>
      <c r="M76" s="25">
        <f t="shared" si="49"/>
        <v>4</v>
      </c>
      <c r="N76" s="25">
        <f t="shared" si="49"/>
        <v>0</v>
      </c>
      <c r="O76" s="25">
        <f t="shared" si="49"/>
        <v>3</v>
      </c>
      <c r="P76" s="25">
        <f>P75*P84</f>
        <v>5</v>
      </c>
      <c r="Q76" s="25">
        <f>Q75*Q84</f>
        <v>10</v>
      </c>
      <c r="T76" s="25">
        <f t="shared" ref="T76:Y76" si="50">T75*T84</f>
        <v>5</v>
      </c>
      <c r="U76" s="25">
        <f t="shared" si="50"/>
        <v>5</v>
      </c>
      <c r="V76" s="25">
        <f t="shared" si="50"/>
        <v>4</v>
      </c>
      <c r="W76" s="25">
        <f t="shared" si="50"/>
        <v>5</v>
      </c>
      <c r="X76" s="25">
        <f t="shared" si="50"/>
        <v>13</v>
      </c>
      <c r="Y76" s="25">
        <f t="shared" si="50"/>
        <v>12</v>
      </c>
      <c r="Z76" s="25">
        <f t="shared" ref="Z76:AA76" si="51">Z75*Z84</f>
        <v>8</v>
      </c>
      <c r="AA76" s="25">
        <f t="shared" si="51"/>
        <v>10</v>
      </c>
      <c r="AC76" s="24">
        <f>AA76</f>
        <v>10</v>
      </c>
    </row>
    <row r="77" spans="1:31" x14ac:dyDescent="0.2">
      <c r="B77" s="20" t="s">
        <v>235</v>
      </c>
      <c r="C77" s="25"/>
      <c r="D77" s="25"/>
      <c r="E77" s="25"/>
      <c r="F77" s="25"/>
      <c r="G77" s="25"/>
      <c r="H77" s="25"/>
      <c r="I77" s="25"/>
      <c r="J77" s="25"/>
      <c r="K77" s="25"/>
      <c r="L77" s="25">
        <f t="shared" ref="L77:O77" si="52">L74+L76</f>
        <v>230</v>
      </c>
      <c r="M77" s="25">
        <f t="shared" si="52"/>
        <v>213</v>
      </c>
      <c r="N77" s="25">
        <f t="shared" si="52"/>
        <v>207</v>
      </c>
      <c r="O77" s="25">
        <f t="shared" si="52"/>
        <v>213</v>
      </c>
      <c r="P77" s="25">
        <f>P74+P76</f>
        <v>218</v>
      </c>
      <c r="Q77" s="25">
        <f>Q74+Q76</f>
        <v>237</v>
      </c>
      <c r="T77" s="25">
        <f t="shared" ref="T77:Y77" si="53">T74+T76</f>
        <v>217</v>
      </c>
      <c r="U77" s="25">
        <f t="shared" si="53"/>
        <v>217</v>
      </c>
      <c r="V77" s="25">
        <f t="shared" si="53"/>
        <v>216</v>
      </c>
      <c r="W77" s="25">
        <f t="shared" si="53"/>
        <v>218</v>
      </c>
      <c r="X77" s="25">
        <f t="shared" si="53"/>
        <v>227</v>
      </c>
      <c r="Y77" s="25">
        <f t="shared" si="53"/>
        <v>230</v>
      </c>
      <c r="Z77" s="25">
        <f t="shared" ref="Z77:AA77" si="54">Z74+Z76</f>
        <v>232</v>
      </c>
      <c r="AA77" s="25">
        <f t="shared" si="54"/>
        <v>237</v>
      </c>
      <c r="AC77" s="24">
        <f>AA77</f>
        <v>237</v>
      </c>
    </row>
    <row r="78" spans="1:31" x14ac:dyDescent="0.2">
      <c r="B78" s="20" t="s">
        <v>274</v>
      </c>
      <c r="C78" s="25"/>
      <c r="D78" s="25"/>
      <c r="E78" s="25"/>
      <c r="F78" s="25"/>
      <c r="G78" s="25"/>
      <c r="H78" s="25"/>
      <c r="I78" s="25"/>
      <c r="J78" s="25"/>
      <c r="K78" s="25"/>
      <c r="L78" s="21">
        <v>2</v>
      </c>
      <c r="M78" s="21">
        <v>2</v>
      </c>
      <c r="N78" s="21">
        <v>2</v>
      </c>
      <c r="O78" s="21">
        <v>2</v>
      </c>
      <c r="P78" s="21">
        <v>2</v>
      </c>
      <c r="Q78" s="239">
        <v>2</v>
      </c>
      <c r="T78" s="68"/>
      <c r="U78" s="68"/>
      <c r="V78" s="68"/>
      <c r="W78" s="68"/>
      <c r="X78" s="68"/>
      <c r="Y78" s="68"/>
      <c r="Z78" s="68"/>
      <c r="AA78" s="68"/>
      <c r="AC78" s="24">
        <f>Q78</f>
        <v>2</v>
      </c>
    </row>
    <row r="79" spans="1:31" x14ac:dyDescent="0.2">
      <c r="B79" s="20" t="s">
        <v>275</v>
      </c>
      <c r="C79" s="25"/>
      <c r="D79" s="25"/>
      <c r="E79" s="25"/>
      <c r="F79" s="25"/>
      <c r="G79" s="25"/>
      <c r="H79" s="25"/>
      <c r="I79" s="25"/>
      <c r="J79" s="25"/>
      <c r="K79" s="25"/>
      <c r="L79" s="25">
        <f t="shared" ref="L79:O79" si="55">L78*L84</f>
        <v>2</v>
      </c>
      <c r="M79" s="25">
        <f t="shared" si="55"/>
        <v>2</v>
      </c>
      <c r="N79" s="25">
        <f t="shared" si="55"/>
        <v>2</v>
      </c>
      <c r="O79" s="25">
        <f t="shared" si="55"/>
        <v>2</v>
      </c>
      <c r="P79" s="25">
        <f>P78*P84</f>
        <v>2</v>
      </c>
      <c r="Q79" s="25">
        <f>Q78*Q84</f>
        <v>2</v>
      </c>
      <c r="T79" s="68"/>
      <c r="U79" s="68"/>
      <c r="V79" s="68"/>
      <c r="W79" s="68"/>
      <c r="X79" s="68"/>
      <c r="Y79" s="68"/>
      <c r="Z79" s="68"/>
      <c r="AA79" s="68"/>
      <c r="AC79" s="24">
        <f>Q79</f>
        <v>2</v>
      </c>
    </row>
    <row r="80" spans="1:31" x14ac:dyDescent="0.2">
      <c r="B80" s="23" t="s">
        <v>70</v>
      </c>
      <c r="C80" s="44"/>
      <c r="D80" s="44"/>
      <c r="E80" s="44"/>
      <c r="F80" s="44"/>
      <c r="G80" s="44"/>
      <c r="H80" s="44"/>
      <c r="I80" s="44"/>
      <c r="J80" s="44"/>
      <c r="K80" s="44"/>
      <c r="L80" s="44">
        <v>2.66</v>
      </c>
      <c r="M80" s="44">
        <v>2.77</v>
      </c>
      <c r="N80" s="44">
        <v>2.8</v>
      </c>
      <c r="O80" s="44">
        <v>2.8</v>
      </c>
      <c r="P80" s="44">
        <v>2.86</v>
      </c>
      <c r="Q80" s="44">
        <v>2.92</v>
      </c>
      <c r="T80" s="44">
        <v>0.7</v>
      </c>
      <c r="U80" s="44">
        <v>0.72</v>
      </c>
      <c r="V80" s="44">
        <v>0.72</v>
      </c>
      <c r="W80" s="44">
        <v>0.72</v>
      </c>
      <c r="X80" s="44">
        <v>0.72</v>
      </c>
      <c r="Y80" s="44">
        <v>0.72</v>
      </c>
      <c r="Z80" s="44">
        <v>0.74</v>
      </c>
      <c r="AA80" s="44">
        <v>0.74</v>
      </c>
      <c r="AC80" s="72">
        <f>SUM(X80:AA80)</f>
        <v>2.92</v>
      </c>
    </row>
    <row r="81" spans="1:31" x14ac:dyDescent="0.2">
      <c r="B81" s="23" t="s">
        <v>71</v>
      </c>
      <c r="C81" s="39"/>
      <c r="D81" s="45"/>
      <c r="E81" s="45"/>
      <c r="F81" s="45"/>
      <c r="G81" s="45"/>
      <c r="H81" s="45"/>
      <c r="I81" s="45"/>
      <c r="J81" s="45"/>
      <c r="K81" s="45"/>
      <c r="L81" s="45">
        <f t="shared" ref="L81:P81" si="56">L80/L84</f>
        <v>2.66</v>
      </c>
      <c r="M81" s="45">
        <f t="shared" si="56"/>
        <v>2.77</v>
      </c>
      <c r="N81" s="45">
        <f t="shared" si="56"/>
        <v>2.8</v>
      </c>
      <c r="O81" s="45">
        <f t="shared" si="56"/>
        <v>2.8</v>
      </c>
      <c r="P81" s="45">
        <f t="shared" si="56"/>
        <v>2.86</v>
      </c>
      <c r="Q81" s="45">
        <f t="shared" ref="Q81" si="57">Q80/Q84</f>
        <v>2.92</v>
      </c>
      <c r="T81" s="45">
        <f t="shared" ref="T81" si="58">T80/T84</f>
        <v>0.7</v>
      </c>
      <c r="U81" s="45">
        <f t="shared" ref="U81" si="59">U80/U84</f>
        <v>0.72</v>
      </c>
      <c r="V81" s="45">
        <f t="shared" ref="V81" si="60">V80/V84</f>
        <v>0.72</v>
      </c>
      <c r="W81" s="45">
        <f t="shared" ref="W81" si="61">W80/W84</f>
        <v>0.72</v>
      </c>
      <c r="X81" s="45">
        <f t="shared" ref="X81:Z81" si="62">X80/X84</f>
        <v>0.72</v>
      </c>
      <c r="Y81" s="45">
        <f t="shared" si="62"/>
        <v>0.72</v>
      </c>
      <c r="Z81" s="45">
        <f t="shared" si="62"/>
        <v>0.74</v>
      </c>
      <c r="AA81" s="45">
        <f t="shared" ref="AA81" si="63">AA80/AA84</f>
        <v>0.74</v>
      </c>
      <c r="AC81" s="72">
        <f>SUM(X81:AA81)</f>
        <v>2.92</v>
      </c>
    </row>
    <row r="82" spans="1:31" x14ac:dyDescent="0.2">
      <c r="B82" s="20" t="s">
        <v>72</v>
      </c>
      <c r="C82" s="46">
        <f t="shared" ref="C82:Q82" si="64">IF(AND(C14&gt;0,C15&lt;0),-(C15)/C14,0)</f>
        <v>0</v>
      </c>
      <c r="D82" s="46">
        <f t="shared" si="64"/>
        <v>0</v>
      </c>
      <c r="E82" s="46">
        <f t="shared" si="64"/>
        <v>0</v>
      </c>
      <c r="F82" s="46">
        <f t="shared" si="64"/>
        <v>0</v>
      </c>
      <c r="G82" s="46">
        <f t="shared" si="64"/>
        <v>0</v>
      </c>
      <c r="H82" s="46">
        <f t="shared" si="64"/>
        <v>0</v>
      </c>
      <c r="I82" s="46">
        <f t="shared" si="64"/>
        <v>0</v>
      </c>
      <c r="J82" s="46">
        <f t="shared" si="64"/>
        <v>0</v>
      </c>
      <c r="K82" s="46">
        <f t="shared" si="64"/>
        <v>0</v>
      </c>
      <c r="L82" s="46">
        <f t="shared" ref="L82:P82" si="65">IF(AND(L14&gt;0,L15&lt;0),-(L15)/L14,0)</f>
        <v>2.5222551928783383E-2</v>
      </c>
      <c r="M82" s="46">
        <f t="shared" si="65"/>
        <v>1.7867778439547351E-2</v>
      </c>
      <c r="N82" s="46">
        <f t="shared" si="65"/>
        <v>0</v>
      </c>
      <c r="O82" s="46">
        <f t="shared" si="65"/>
        <v>0.24719101123595505</v>
      </c>
      <c r="P82" s="46">
        <f t="shared" si="65"/>
        <v>2.9081295439524125E-2</v>
      </c>
      <c r="Q82" s="46">
        <f t="shared" si="64"/>
        <v>0.13712737127371274</v>
      </c>
      <c r="T82" s="46">
        <f t="shared" ref="T82:Z82" si="66">IF(AND(T14&gt;0,T15&lt;0),-(T15)/T14,0)</f>
        <v>3.4810126582278479E-2</v>
      </c>
      <c r="U82" s="46">
        <f t="shared" si="66"/>
        <v>0.04</v>
      </c>
      <c r="V82" s="46">
        <f t="shared" si="66"/>
        <v>4.2253521126760563E-2</v>
      </c>
      <c r="W82" s="46">
        <f t="shared" si="66"/>
        <v>8.130081300813009E-3</v>
      </c>
      <c r="X82" s="46">
        <f t="shared" si="66"/>
        <v>0.10586319218241043</v>
      </c>
      <c r="Y82" s="46">
        <f t="shared" si="66"/>
        <v>0.16124469589816123</v>
      </c>
      <c r="Z82" s="46">
        <f t="shared" si="66"/>
        <v>0.13425925925925927</v>
      </c>
      <c r="AA82" s="46">
        <f t="shared" ref="AA82" si="67">IF(AND(AA14&gt;0,AA15&lt;0),-(AA15)/AA14,0)</f>
        <v>0.14019933554817277</v>
      </c>
      <c r="AC82" s="46">
        <f>IF(AND(AC14&gt;0,AC15&lt;0),-(AC15)/AC14,0)</f>
        <v>0.13712737127371274</v>
      </c>
    </row>
    <row r="83" spans="1:31" x14ac:dyDescent="0.2">
      <c r="B83" s="20" t="s">
        <v>73</v>
      </c>
      <c r="C83" s="21"/>
      <c r="D83" s="21"/>
      <c r="E83" s="21"/>
      <c r="F83" s="21"/>
      <c r="G83" s="21"/>
      <c r="H83" s="21"/>
      <c r="I83" s="21"/>
      <c r="J83" s="21"/>
      <c r="K83" s="21"/>
      <c r="L83" s="21">
        <v>40000</v>
      </c>
      <c r="M83" s="21">
        <v>40000</v>
      </c>
      <c r="N83" s="21">
        <v>33400</v>
      </c>
      <c r="O83" s="21">
        <v>30000</v>
      </c>
      <c r="P83" s="21">
        <v>30000</v>
      </c>
      <c r="Q83" s="21">
        <v>30000</v>
      </c>
      <c r="T83" s="68"/>
      <c r="U83" s="68"/>
      <c r="V83" s="68"/>
      <c r="W83" s="68"/>
      <c r="X83" s="68"/>
      <c r="Y83" s="68"/>
      <c r="Z83" s="68"/>
      <c r="AA83" s="68"/>
      <c r="AC83" s="21">
        <f>Q83</f>
        <v>30000</v>
      </c>
    </row>
    <row r="84" spans="1:31" x14ac:dyDescent="0.2">
      <c r="B84" s="20" t="s">
        <v>74</v>
      </c>
      <c r="C84" s="21"/>
      <c r="D84" s="21"/>
      <c r="E84" s="21"/>
      <c r="F84" s="21"/>
      <c r="G84" s="21"/>
      <c r="H84" s="21"/>
      <c r="I84" s="21"/>
      <c r="J84" s="21"/>
      <c r="K84" s="21"/>
      <c r="L84" s="21">
        <v>1</v>
      </c>
      <c r="M84" s="21">
        <v>1</v>
      </c>
      <c r="N84" s="21">
        <v>1</v>
      </c>
      <c r="O84" s="21">
        <v>1</v>
      </c>
      <c r="P84" s="21">
        <v>1</v>
      </c>
      <c r="Q84" s="21">
        <v>1</v>
      </c>
      <c r="T84" s="21">
        <v>1</v>
      </c>
      <c r="U84" s="21">
        <v>1</v>
      </c>
      <c r="V84" s="21">
        <v>1</v>
      </c>
      <c r="W84" s="21">
        <v>1</v>
      </c>
      <c r="X84" s="21">
        <v>1</v>
      </c>
      <c r="Y84" s="21">
        <v>1</v>
      </c>
      <c r="Z84" s="21">
        <v>1</v>
      </c>
      <c r="AA84" s="21">
        <v>1</v>
      </c>
      <c r="AC84" s="21">
        <v>1</v>
      </c>
    </row>
    <row r="86" spans="1:31" x14ac:dyDescent="0.2">
      <c r="B86" s="1"/>
    </row>
    <row r="87" spans="1:31" s="15" customFormat="1" ht="17" thickBot="1" x14ac:dyDescent="0.25">
      <c r="A87" s="11"/>
      <c r="B87" s="14" t="s">
        <v>75</v>
      </c>
      <c r="R87" s="1"/>
      <c r="S87" s="1"/>
      <c r="AB87" s="1"/>
      <c r="AD87" s="1"/>
      <c r="AE87" s="1"/>
    </row>
    <row r="88" spans="1:31" s="41" customFormat="1" x14ac:dyDescent="0.2">
      <c r="A88" s="16"/>
      <c r="B88" s="17" t="s">
        <v>19</v>
      </c>
      <c r="C88" s="47"/>
      <c r="D88" s="48"/>
      <c r="E88" s="48"/>
      <c r="F88" s="48"/>
      <c r="G88" s="48"/>
      <c r="H88" s="48"/>
      <c r="I88" s="48"/>
      <c r="J88" s="48"/>
      <c r="K88" s="48"/>
      <c r="L88" s="48">
        <f t="shared" ref="L88:L92" si="68">IF(K5=0,
IF(L5=0,0,IF(L5&gt;0,1,-1)),
(L5-K5)/ABS(K5)
)</f>
        <v>1</v>
      </c>
      <c r="M88" s="48">
        <f t="shared" ref="M88:M93" si="69">IF(L5=0,
IF(M5=0,0,IF(M5&gt;0,1,-1)),
(M5-L5)/ABS(L5)
)</f>
        <v>9.1751708641512969E-2</v>
      </c>
      <c r="N88" s="48">
        <f t="shared" ref="N88:N93" si="70">IF(M5=0,
IF(N5=0,0,IF(N5&gt;0,1,-1)),
(N5-M5)/ABS(M5)
)</f>
        <v>-0.36677814938684505</v>
      </c>
      <c r="O88" s="48">
        <f t="shared" ref="O88:O93" si="71">IF(N5=0,
IF(O5=0,0,IF(O5&gt;0,1,-1)),
(O5-N5)/ABS(N5)
)</f>
        <v>-0.11281148429035753</v>
      </c>
      <c r="P88" s="48">
        <f t="shared" ref="P88:P93" si="72">IF(O5=0,
IF(P5=0,0,IF(P5&gt;0,1,-1)),
(P5-O5)/ABS(O5)
)</f>
        <v>0.38864295527400394</v>
      </c>
      <c r="Q88" s="48">
        <f t="shared" ref="Q88:Q92" si="73">IF(P5=0,
IF(Q5=0,0,IF(Q5&gt;0,1,-1)),
(Q5-P5)/ABS(P5)
)</f>
        <v>0.3405518302737166</v>
      </c>
      <c r="R88" s="1"/>
      <c r="S88" s="1"/>
      <c r="T88" s="48">
        <f t="shared" ref="T88:T94" si="74">IF(S5=0,
IF(T5=0,0,IF(T5&gt;0,1,-1)),
(T5-S5)/ABS(S5)
)</f>
        <v>1</v>
      </c>
      <c r="U88" s="48">
        <f t="shared" ref="U88:U94" si="75">IF(T5=0,
IF(U5=0,0,IF(U5&gt;0,1,-1)),
(U5-T5)/ABS(T5)
)</f>
        <v>7.2416974169741702E-2</v>
      </c>
      <c r="V88" s="48">
        <f t="shared" ref="V88:V94" si="76">IF(U5=0,
IF(V5=0,0,IF(V5&gt;0,1,-1)),
(V5-U5)/ABS(U5)
)</f>
        <v>-7.0967741935483872E-2</v>
      </c>
      <c r="W88" s="48">
        <f t="shared" ref="W88:W94" si="77">IF(V5=0,
IF(W5=0,0,IF(W5&gt;0,1,-1)),
(W5-V5)/ABS(V5)
)</f>
        <v>0.13148148148148148</v>
      </c>
      <c r="X88" s="48">
        <f t="shared" ref="X88:X94" si="78">IF(W5=0,
IF(X5=0,0,IF(X5&gt;0,1,-1)),
(X5-W5)/ABS(W5)
)</f>
        <v>7.5695581014729951E-2</v>
      </c>
      <c r="Y88" s="48">
        <f t="shared" ref="Y88:Y94" si="79">IF(X5=0,
IF(Y5=0,0,IF(Y5&gt;0,1,-1)),
(Y5-X5)/ABS(X5)
)</f>
        <v>7.4553062000760742E-2</v>
      </c>
      <c r="Z88" s="48">
        <f t="shared" ref="Z88:Z94" si="80">IF(Y5=0,
IF(Z5=0,0,IF(Z5&gt;0,1,-1)),
(Z5-Y5)/ABS(Y5)
)</f>
        <v>0.10159292035398231</v>
      </c>
      <c r="AA88" s="48">
        <f t="shared" ref="AA88:AA92" si="81">IF(Z5=0,
IF(AA5=0,0,IF(AA5&gt;0,1,-1)),
(AA5-Z5)/ABS(Z5)
)</f>
        <v>0.16613110539845757</v>
      </c>
      <c r="AB88" s="1"/>
      <c r="AC88" s="67"/>
      <c r="AD88" s="1"/>
      <c r="AE88" s="1"/>
    </row>
    <row r="89" spans="1:31" x14ac:dyDescent="0.2">
      <c r="B89" s="20" t="s">
        <v>20</v>
      </c>
      <c r="C89" s="49"/>
      <c r="D89" s="50"/>
      <c r="E89" s="50"/>
      <c r="F89" s="50"/>
      <c r="G89" s="50"/>
      <c r="H89" s="50"/>
      <c r="I89" s="50"/>
      <c r="J89" s="50"/>
      <c r="K89" s="50"/>
      <c r="L89" s="50">
        <f t="shared" si="68"/>
        <v>1</v>
      </c>
      <c r="M89" s="50">
        <f t="shared" si="69"/>
        <v>5.5126223596084489E-2</v>
      </c>
      <c r="N89" s="50">
        <f t="shared" si="70"/>
        <v>-0.2635498046875</v>
      </c>
      <c r="O89" s="50">
        <f t="shared" si="71"/>
        <v>-0.16873860434278137</v>
      </c>
      <c r="P89" s="50">
        <f t="shared" si="72"/>
        <v>0.17587238285144566</v>
      </c>
      <c r="Q89" s="50">
        <f t="shared" si="73"/>
        <v>0.12548753603527218</v>
      </c>
      <c r="T89" s="50">
        <f t="shared" si="74"/>
        <v>1</v>
      </c>
      <c r="U89" s="50">
        <f t="shared" si="75"/>
        <v>4.05777166437414E-2</v>
      </c>
      <c r="V89" s="50">
        <f t="shared" si="76"/>
        <v>-7.4686054196959686E-2</v>
      </c>
      <c r="W89" s="50">
        <f t="shared" si="77"/>
        <v>9.285714285714286E-2</v>
      </c>
      <c r="X89" s="50">
        <f t="shared" si="78"/>
        <v>4.0522875816993466E-2</v>
      </c>
      <c r="Y89" s="50">
        <f t="shared" si="79"/>
        <v>3.5804020100502515E-2</v>
      </c>
      <c r="Z89" s="50">
        <f t="shared" si="80"/>
        <v>9.7028502122498486E-3</v>
      </c>
      <c r="AA89" s="50">
        <f t="shared" si="81"/>
        <v>3.9639639639639637E-2</v>
      </c>
      <c r="AC89" s="68"/>
    </row>
    <row r="90" spans="1:31" s="41" customFormat="1" x14ac:dyDescent="0.2">
      <c r="A90" s="16"/>
      <c r="B90" s="17" t="s">
        <v>21</v>
      </c>
      <c r="C90" s="47"/>
      <c r="D90" s="48"/>
      <c r="E90" s="48"/>
      <c r="F90" s="48"/>
      <c r="G90" s="48"/>
      <c r="H90" s="48"/>
      <c r="I90" s="48"/>
      <c r="J90" s="48"/>
      <c r="K90" s="48"/>
      <c r="L90" s="48">
        <f t="shared" si="68"/>
        <v>1</v>
      </c>
      <c r="M90" s="48">
        <f t="shared" si="69"/>
        <v>0.1892355159410353</v>
      </c>
      <c r="N90" s="48">
        <f t="shared" si="70"/>
        <v>-0.61055059094840014</v>
      </c>
      <c r="O90" s="48">
        <f t="shared" si="71"/>
        <v>0.13693560325684678</v>
      </c>
      <c r="P90" s="48">
        <f t="shared" si="72"/>
        <v>1.0833333333333333</v>
      </c>
      <c r="Q90" s="48">
        <f t="shared" si="73"/>
        <v>0.73687499999999995</v>
      </c>
      <c r="R90" s="1"/>
      <c r="S90" s="1"/>
      <c r="T90" s="48">
        <f t="shared" si="74"/>
        <v>1</v>
      </c>
      <c r="U90" s="48">
        <f t="shared" si="75"/>
        <v>0.13725490196078433</v>
      </c>
      <c r="V90" s="48">
        <f t="shared" si="76"/>
        <v>-6.4039408866995079E-2</v>
      </c>
      <c r="W90" s="48">
        <f t="shared" si="77"/>
        <v>0.20263157894736841</v>
      </c>
      <c r="X90" s="48">
        <f t="shared" si="78"/>
        <v>0.13457330415754923</v>
      </c>
      <c r="Y90" s="48">
        <f t="shared" si="79"/>
        <v>0.13404050144648022</v>
      </c>
      <c r="Z90" s="48">
        <f t="shared" si="80"/>
        <v>0.23044217687074831</v>
      </c>
      <c r="AA90" s="48">
        <f t="shared" si="81"/>
        <v>0.31167933655839669</v>
      </c>
      <c r="AB90" s="1"/>
      <c r="AC90" s="67"/>
      <c r="AD90" s="1"/>
      <c r="AE90" s="1"/>
    </row>
    <row r="91" spans="1:31" x14ac:dyDescent="0.2">
      <c r="B91" s="20" t="s">
        <v>23</v>
      </c>
      <c r="C91" s="49"/>
      <c r="D91" s="50"/>
      <c r="E91" s="50"/>
      <c r="F91" s="50"/>
      <c r="G91" s="50"/>
      <c r="H91" s="50"/>
      <c r="I91" s="50"/>
      <c r="J91" s="50"/>
      <c r="K91" s="50"/>
      <c r="L91" s="50">
        <f t="shared" si="68"/>
        <v>1</v>
      </c>
      <c r="M91" s="50">
        <f t="shared" si="69"/>
        <v>4.2081949058693245E-2</v>
      </c>
      <c r="N91" s="50">
        <f t="shared" si="70"/>
        <v>-0.153028692879915</v>
      </c>
      <c r="O91" s="50">
        <f t="shared" si="71"/>
        <v>-0.1794228356336261</v>
      </c>
      <c r="P91" s="50">
        <f t="shared" si="72"/>
        <v>0.10703363914373089</v>
      </c>
      <c r="Q91" s="50">
        <f t="shared" si="73"/>
        <v>4.2817679558011051E-2</v>
      </c>
      <c r="T91" s="50">
        <f t="shared" si="74"/>
        <v>1</v>
      </c>
      <c r="U91" s="50">
        <f t="shared" si="75"/>
        <v>1.6574585635359115E-2</v>
      </c>
      <c r="V91" s="50">
        <f t="shared" si="76"/>
        <v>-2.1739130434782608E-2</v>
      </c>
      <c r="W91" s="50">
        <f t="shared" si="77"/>
        <v>-5.5555555555555558E-3</v>
      </c>
      <c r="X91" s="50">
        <f t="shared" si="78"/>
        <v>3.9106145251396648E-2</v>
      </c>
      <c r="Y91" s="50">
        <f t="shared" si="79"/>
        <v>5.3763440860215058E-3</v>
      </c>
      <c r="Z91" s="50">
        <f t="shared" si="80"/>
        <v>3.7433155080213901E-2</v>
      </c>
      <c r="AA91" s="50">
        <f t="shared" si="81"/>
        <v>-3.0927835051546393E-2</v>
      </c>
      <c r="AC91" s="68"/>
    </row>
    <row r="92" spans="1:31" x14ac:dyDescent="0.2">
      <c r="B92" s="20" t="s">
        <v>22</v>
      </c>
      <c r="C92" s="49"/>
      <c r="D92" s="50"/>
      <c r="E92" s="50"/>
      <c r="F92" s="50"/>
      <c r="G92" s="50"/>
      <c r="H92" s="50"/>
      <c r="I92" s="50"/>
      <c r="J92" s="50"/>
      <c r="K92" s="50"/>
      <c r="L92" s="50">
        <f t="shared" si="68"/>
        <v>1</v>
      </c>
      <c r="M92" s="50">
        <f t="shared" si="69"/>
        <v>0.11354581673306773</v>
      </c>
      <c r="N92" s="50">
        <f t="shared" si="70"/>
        <v>-0.12164579606440072</v>
      </c>
      <c r="O92" s="50">
        <f t="shared" si="71"/>
        <v>-6.313645621181263E-2</v>
      </c>
      <c r="P92" s="50">
        <f t="shared" si="72"/>
        <v>0.21956521739130436</v>
      </c>
      <c r="Q92" s="50">
        <f t="shared" si="73"/>
        <v>2.8520499108734401E-2</v>
      </c>
      <c r="T92" s="50">
        <f t="shared" si="74"/>
        <v>1</v>
      </c>
      <c r="U92" s="50">
        <f t="shared" si="75"/>
        <v>7.7519379844961239E-2</v>
      </c>
      <c r="V92" s="50">
        <f t="shared" si="76"/>
        <v>0</v>
      </c>
      <c r="W92" s="50">
        <f t="shared" si="77"/>
        <v>0.1079136690647482</v>
      </c>
      <c r="X92" s="50">
        <f t="shared" si="78"/>
        <v>-6.4935064935064929E-2</v>
      </c>
      <c r="Y92" s="50">
        <f t="shared" si="79"/>
        <v>-6.9444444444444441E-3</v>
      </c>
      <c r="Z92" s="50">
        <f t="shared" si="80"/>
        <v>0</v>
      </c>
      <c r="AA92" s="50">
        <f t="shared" si="81"/>
        <v>2.7972027972027972E-2</v>
      </c>
      <c r="AC92" s="68"/>
    </row>
    <row r="93" spans="1:31" x14ac:dyDescent="0.2">
      <c r="B93" s="23" t="s">
        <v>24</v>
      </c>
      <c r="C93" s="49"/>
      <c r="D93" s="50"/>
      <c r="E93" s="50"/>
      <c r="F93" s="50"/>
      <c r="G93" s="50"/>
      <c r="H93" s="50"/>
      <c r="I93" s="50"/>
      <c r="J93" s="50"/>
      <c r="K93" s="50"/>
      <c r="L93" s="50">
        <f>IF(K10=0,
IF(L10=0,0,IF(L10&gt;0,1,-1)),
(L10-K10)/ABS(K10)
)</f>
        <v>1</v>
      </c>
      <c r="M93" s="50">
        <f t="shared" si="69"/>
        <v>6.2456140350877196E-2</v>
      </c>
      <c r="N93" s="50">
        <f t="shared" si="70"/>
        <v>0.11822985468956407</v>
      </c>
      <c r="O93" s="50">
        <f t="shared" si="71"/>
        <v>-0.35971647962197284</v>
      </c>
      <c r="P93" s="50">
        <f t="shared" si="72"/>
        <v>0.20848708487084872</v>
      </c>
      <c r="Q93" s="50">
        <f t="shared" ref="Q93" si="82">IF(P10=0,
IF(Q10=0,0,IF(Q10&gt;0,1,-1)),
(Q10-P10)/ABS(P10)
)</f>
        <v>0.11755725190839694</v>
      </c>
      <c r="T93" s="50">
        <f t="shared" si="74"/>
        <v>1</v>
      </c>
      <c r="U93" s="50">
        <f t="shared" si="75"/>
        <v>4.1800643086816719E-2</v>
      </c>
      <c r="V93" s="50">
        <f t="shared" si="76"/>
        <v>1.5432098765432098E-2</v>
      </c>
      <c r="W93" s="50">
        <f t="shared" si="77"/>
        <v>5.1671732522796353E-2</v>
      </c>
      <c r="X93" s="50">
        <f t="shared" si="78"/>
        <v>-8.670520231213872E-3</v>
      </c>
      <c r="Y93" s="50">
        <f t="shared" si="79"/>
        <v>-2.9154518950437316E-2</v>
      </c>
      <c r="Z93" s="50">
        <f t="shared" si="80"/>
        <v>0.34834834834834832</v>
      </c>
      <c r="AA93" s="50">
        <f t="shared" ref="AA93" si="83">IF(Z10=0,
IF(AA10=0,0,IF(AA10&gt;0,1,-1)),
(AA10-Z10)/ABS(Z10)
)</f>
        <v>-0.24498886414253898</v>
      </c>
      <c r="AC93" s="68"/>
    </row>
    <row r="94" spans="1:31" s="41" customFormat="1" x14ac:dyDescent="0.2">
      <c r="A94" s="16"/>
      <c r="B94" s="17" t="s">
        <v>25</v>
      </c>
      <c r="C94" s="47"/>
      <c r="D94" s="48"/>
      <c r="E94" s="48"/>
      <c r="F94" s="48"/>
      <c r="G94" s="48"/>
      <c r="H94" s="48"/>
      <c r="I94" s="48"/>
      <c r="J94" s="48"/>
      <c r="K94" s="48"/>
      <c r="L94" s="48">
        <f>IF(K11=0,
IF(L11=0,0,IF(L11&gt;0,1,-1)),
(L11-K11)/ABS(K11)
)</f>
        <v>1</v>
      </c>
      <c r="M94" s="48">
        <f>IF(L11=0,
IF(M11=0,0,IF(M11&gt;0,1,-1)),
(M11-L11)/ABS(L11)
)</f>
        <v>0.31032171581769435</v>
      </c>
      <c r="N94" s="48">
        <f>IF(M11=0,
IF(N11=0,0,IF(N11&gt;0,1,-1)),
(N11-M11)/ABS(M11)
)</f>
        <v>-1.1749360613810742</v>
      </c>
      <c r="O94" s="48">
        <f>IF(N11=0,
IF(O11=0,0,IF(O11&gt;0,1,-1)),
(O11-N11)/ABS(N11)
)</f>
        <v>2.3216374269005846</v>
      </c>
      <c r="P94" s="48">
        <f>IF(O11=0,
IF(P11=0,0,IF(P11&gt;0,1,-1)),
(P11-O11)/ABS(O11)
)</f>
        <v>3.1814159292035398</v>
      </c>
      <c r="Q94" s="48">
        <f>IF(P11=0,
IF(Q11=0,0,IF(Q11&gt;0,1,-1)),
(Q11-P11)/ABS(P11)
)</f>
        <v>1.1661375661375661</v>
      </c>
      <c r="R94" s="1"/>
      <c r="S94" s="1"/>
      <c r="T94" s="48">
        <f t="shared" si="74"/>
        <v>1</v>
      </c>
      <c r="U94" s="48">
        <f t="shared" si="75"/>
        <v>0.21091811414392059</v>
      </c>
      <c r="V94" s="48">
        <f t="shared" si="76"/>
        <v>-0.11680327868852459</v>
      </c>
      <c r="W94" s="48">
        <f t="shared" si="77"/>
        <v>0.31786542923433875</v>
      </c>
      <c r="X94" s="48">
        <f t="shared" si="78"/>
        <v>0.22183098591549297</v>
      </c>
      <c r="Y94" s="48">
        <f t="shared" si="79"/>
        <v>0.21469740634005763</v>
      </c>
      <c r="Z94" s="48">
        <f t="shared" si="80"/>
        <v>0.18386714116251482</v>
      </c>
      <c r="AA94" s="48">
        <f t="shared" ref="AA94" si="84">IF(Z11=0,
IF(AA11=0,0,IF(AA11&gt;0,1,-1)),
(AA11-Z11)/ABS(Z11)
)</f>
        <v>0.56212424849699394</v>
      </c>
      <c r="AB94" s="1"/>
      <c r="AC94" s="67"/>
      <c r="AD94" s="1"/>
      <c r="AE94" s="1"/>
    </row>
    <row r="95" spans="1:31" s="53" customFormat="1" x14ac:dyDescent="0.2">
      <c r="A95" s="16"/>
      <c r="B95" s="51" t="s">
        <v>28</v>
      </c>
      <c r="C95" s="47"/>
      <c r="D95" s="52"/>
      <c r="E95" s="52"/>
      <c r="F95" s="52"/>
      <c r="G95" s="52"/>
      <c r="H95" s="52"/>
      <c r="I95" s="52"/>
      <c r="J95" s="52"/>
      <c r="K95" s="52"/>
      <c r="L95" s="52">
        <f t="shared" ref="L95:Q95" si="85">IF(K14=0,
IF(L14=0,0,IF(L14&gt;0,1,-1)),
(L14-K14)/ABS(K14)
)</f>
        <v>1</v>
      </c>
      <c r="M95" s="52">
        <f t="shared" si="85"/>
        <v>0.24554896142433236</v>
      </c>
      <c r="N95" s="52">
        <f t="shared" si="85"/>
        <v>-1.2954139368671829</v>
      </c>
      <c r="O95" s="52">
        <f t="shared" si="85"/>
        <v>1.8971774193548387</v>
      </c>
      <c r="P95" s="52">
        <f t="shared" si="85"/>
        <v>2.4</v>
      </c>
      <c r="Q95" s="52">
        <f t="shared" si="85"/>
        <v>1.4388631857237277</v>
      </c>
      <c r="R95" s="1"/>
      <c r="S95" s="1"/>
      <c r="T95" s="52">
        <f t="shared" ref="T95" si="86">IF(S14=0,
IF(T14=0,0,IF(T14&gt;0,1,-1)),
(T14-S14)/ABS(S14)
)</f>
        <v>1</v>
      </c>
      <c r="U95" s="52">
        <f t="shared" ref="U95" si="87">IF(T14=0,
IF(U14=0,0,IF(U14&gt;0,1,-1)),
(U14-T14)/ABS(T14)
)</f>
        <v>0.10759493670886076</v>
      </c>
      <c r="V95" s="52">
        <f t="shared" ref="V95" si="88">IF(U14=0,
IF(V14=0,0,IF(V14&gt;0,1,-1)),
(V14-U14)/ABS(U14)
)</f>
        <v>1.4285714285714285E-2</v>
      </c>
      <c r="W95" s="52">
        <f t="shared" ref="W95" si="89">IF(V14=0,
IF(W14=0,0,IF(W14&gt;0,1,-1)),
(W14-V14)/ABS(V14)
)</f>
        <v>0.38591549295774646</v>
      </c>
      <c r="X95" s="52">
        <f t="shared" ref="X95" si="90">IF(W14=0,
IF(X14=0,0,IF(X14&gt;0,1,-1)),
(X14-W14)/ABS(W14)
)</f>
        <v>0.24796747967479674</v>
      </c>
      <c r="Y95" s="52">
        <f t="shared" ref="Y95" si="91">IF(X14=0,
IF(Y14=0,0,IF(Y14&gt;0,1,-1)),
(Y14-X14)/ABS(X14)
)</f>
        <v>0.15146579804560262</v>
      </c>
      <c r="Z95" s="52">
        <f t="shared" ref="Z95" si="92">IF(Y14=0,
IF(Z14=0,0,IF(Z14&gt;0,1,-1)),
(Z14-Y14)/ABS(Y14)
)</f>
        <v>0.22206506364922207</v>
      </c>
      <c r="AA95" s="52">
        <f t="shared" ref="AA95" si="93">IF(Z14=0,
IF(AA14=0,0,IF(AA14&gt;0,1,-1)),
(AA14-Z14)/ABS(Z14)
)</f>
        <v>0.74189814814814814</v>
      </c>
      <c r="AB95" s="1"/>
      <c r="AC95" s="67"/>
      <c r="AD95" s="1"/>
      <c r="AE95" s="1"/>
    </row>
    <row r="96" spans="1:31" s="53" customFormat="1" x14ac:dyDescent="0.2">
      <c r="A96" s="16"/>
      <c r="B96" s="51" t="s">
        <v>30</v>
      </c>
      <c r="C96" s="47"/>
      <c r="D96" s="52"/>
      <c r="E96" s="52"/>
      <c r="F96" s="52"/>
      <c r="G96" s="52"/>
      <c r="H96" s="52"/>
      <c r="I96" s="52"/>
      <c r="J96" s="52"/>
      <c r="K96" s="52"/>
      <c r="L96" s="52">
        <f t="shared" ref="L96:Q96" si="94">IF(K17=0,
IF(L17=0,0,IF(L17&gt;0,1,-1)),
(L17-K17)/ABS(K17)
)</f>
        <v>1</v>
      </c>
      <c r="M96" s="52">
        <f t="shared" si="94"/>
        <v>0.25494672754946729</v>
      </c>
      <c r="N96" s="52">
        <f t="shared" si="94"/>
        <v>-1.3208004851425106</v>
      </c>
      <c r="O96" s="52">
        <f t="shared" si="94"/>
        <v>1.6332703213610587</v>
      </c>
      <c r="P96" s="52">
        <f t="shared" si="94"/>
        <v>3.3850746268656717</v>
      </c>
      <c r="Q96" s="52">
        <f t="shared" si="94"/>
        <v>1.1674608577263446</v>
      </c>
      <c r="R96" s="1"/>
      <c r="S96" s="1"/>
      <c r="T96" s="52">
        <f t="shared" ref="T96" si="95">IF(S17=0,
IF(T17=0,0,IF(T17&gt;0,1,-1)),
(T17-S17)/ABS(S17)
)</f>
        <v>1</v>
      </c>
      <c r="U96" s="52">
        <f t="shared" ref="U96" si="96">IF(T17=0,
IF(U17=0,0,IF(U17&gt;0,1,-1)),
(U17-T17)/ABS(T17)
)</f>
        <v>0.10163934426229508</v>
      </c>
      <c r="V96" s="52">
        <f t="shared" ref="V96" si="97">IF(U17=0,
IF(V17=0,0,IF(V17&gt;0,1,-1)),
(V17-U17)/ABS(U17)
)</f>
        <v>1.1904761904761904E-2</v>
      </c>
      <c r="W96" s="52">
        <f t="shared" ref="W96" si="98">IF(V17=0,
IF(W17=0,0,IF(W17&gt;0,1,-1)),
(W17-V17)/ABS(V17)
)</f>
        <v>0.43529411764705883</v>
      </c>
      <c r="X96" s="52">
        <f t="shared" ref="X96" si="99">IF(W17=0,
IF(X17=0,0,IF(X17&gt;0,1,-1)),
(X17-W17)/ABS(W17)
)</f>
        <v>0.125</v>
      </c>
      <c r="Y96" s="52">
        <f t="shared" ref="Y96" si="100">IF(X17=0,
IF(Y17=0,0,IF(Y17&gt;0,1,-1)),
(Y17-X17)/ABS(X17)
)</f>
        <v>8.0145719489981782E-2</v>
      </c>
      <c r="Z96" s="52">
        <f t="shared" ref="Z96" si="101">IF(Y17=0,
IF(Z17=0,0,IF(Z17&gt;0,1,-1)),
(Z17-Y17)/ABS(Y17)
)</f>
        <v>0.26138279932546377</v>
      </c>
      <c r="AA96" s="52">
        <f t="shared" ref="AA96" si="102">IF(Z17=0,
IF(AA17=0,0,IF(AA17&gt;0,1,-1)),
(AA17-Z17)/ABS(Z17)
)</f>
        <v>0.72994652406417115</v>
      </c>
      <c r="AB96" s="1"/>
      <c r="AC96" s="67"/>
      <c r="AD96" s="1"/>
      <c r="AE96" s="1"/>
    </row>
    <row r="97" spans="1:31" x14ac:dyDescent="0.2">
      <c r="B97" s="1"/>
    </row>
    <row r="98" spans="1:31" s="15" customFormat="1" ht="17" thickBot="1" x14ac:dyDescent="0.25">
      <c r="A98" s="11"/>
      <c r="B98" s="14" t="s">
        <v>76</v>
      </c>
      <c r="R98" s="1"/>
      <c r="S98" s="1"/>
      <c r="AB98" s="1"/>
      <c r="AD98" s="1"/>
      <c r="AE98" s="1"/>
    </row>
    <row r="99" spans="1:31" x14ac:dyDescent="0.2">
      <c r="B99" s="20" t="s">
        <v>77</v>
      </c>
      <c r="C99" s="50"/>
      <c r="D99" s="50"/>
      <c r="E99" s="50"/>
      <c r="F99" s="50"/>
      <c r="G99" s="50"/>
      <c r="H99" s="50"/>
      <c r="I99" s="50"/>
      <c r="J99" s="50"/>
      <c r="K99" s="50"/>
      <c r="L99" s="50">
        <f t="shared" ref="L99:Q99" si="103">L7/L5</f>
        <v>0.27310176949723808</v>
      </c>
      <c r="M99" s="50">
        <f t="shared" si="103"/>
        <v>0.29748735099905671</v>
      </c>
      <c r="N99" s="50">
        <f t="shared" si="103"/>
        <v>0.1829631635969664</v>
      </c>
      <c r="O99" s="50">
        <f t="shared" si="103"/>
        <v>0.23446802014959547</v>
      </c>
      <c r="P99" s="50">
        <f t="shared" si="103"/>
        <v>0.3517643179070023</v>
      </c>
      <c r="Q99" s="50">
        <f t="shared" si="103"/>
        <v>0.45576055760557604</v>
      </c>
      <c r="T99" s="50">
        <f t="shared" ref="T99:Z99" si="104">T7/T5</f>
        <v>0.32933579335793356</v>
      </c>
      <c r="U99" s="50">
        <f t="shared" si="104"/>
        <v>0.34924731182795699</v>
      </c>
      <c r="V99" s="50">
        <f t="shared" si="104"/>
        <v>0.35185185185185186</v>
      </c>
      <c r="W99" s="50">
        <f t="shared" si="104"/>
        <v>0.3739770867430442</v>
      </c>
      <c r="X99" s="50">
        <f t="shared" si="104"/>
        <v>0.39444655762647396</v>
      </c>
      <c r="Y99" s="50">
        <f t="shared" si="104"/>
        <v>0.41628318584070795</v>
      </c>
      <c r="Z99" s="50">
        <f t="shared" si="104"/>
        <v>0.46497429305912596</v>
      </c>
      <c r="AA99" s="50">
        <f t="shared" ref="AA99" si="105">AA7/AA5</f>
        <v>0.52300909341416368</v>
      </c>
      <c r="AC99" s="50">
        <f>AC7/AC5</f>
        <v>0.45576055760557604</v>
      </c>
    </row>
    <row r="100" spans="1:31" x14ac:dyDescent="0.2">
      <c r="B100" s="20" t="s">
        <v>78</v>
      </c>
      <c r="C100" s="50"/>
      <c r="D100" s="50"/>
      <c r="E100" s="50"/>
      <c r="F100" s="50"/>
      <c r="G100" s="50"/>
      <c r="H100" s="50"/>
      <c r="I100" s="50"/>
      <c r="J100" s="50"/>
      <c r="K100" s="50"/>
      <c r="L100" s="50">
        <f t="shared" ref="L100:Q100" si="106">L11/L5</f>
        <v>0.13968729519707893</v>
      </c>
      <c r="M100" s="50">
        <f t="shared" si="106"/>
        <v>0.16765285996055226</v>
      </c>
      <c r="N100" s="50">
        <f t="shared" si="106"/>
        <v>-4.6316359696641385E-2</v>
      </c>
      <c r="O100" s="50">
        <f t="shared" si="106"/>
        <v>6.8997099679438248E-2</v>
      </c>
      <c r="P100" s="50">
        <f t="shared" si="106"/>
        <v>0.20776080026382324</v>
      </c>
      <c r="Q100" s="50">
        <f t="shared" si="106"/>
        <v>0.33571135711357114</v>
      </c>
      <c r="T100" s="50">
        <f t="shared" ref="T100:Z100" si="107">T11/T5</f>
        <v>0.18588560885608857</v>
      </c>
      <c r="U100" s="50">
        <f t="shared" si="107"/>
        <v>0.20989247311827958</v>
      </c>
      <c r="V100" s="50">
        <f t="shared" si="107"/>
        <v>0.19953703703703704</v>
      </c>
      <c r="W100" s="50">
        <f t="shared" si="107"/>
        <v>0.23240589198036007</v>
      </c>
      <c r="X100" s="50">
        <f t="shared" si="107"/>
        <v>0.26397869912514266</v>
      </c>
      <c r="Y100" s="50">
        <f t="shared" si="107"/>
        <v>0.2984070796460177</v>
      </c>
      <c r="Z100" s="50">
        <f t="shared" si="107"/>
        <v>0.32069408740359895</v>
      </c>
      <c r="AA100" s="50">
        <f t="shared" ref="AA100" si="108">AA11/AA5</f>
        <v>0.42959492973270874</v>
      </c>
      <c r="AC100" s="50">
        <f>AC11/AC5</f>
        <v>0.33571135711357114</v>
      </c>
    </row>
    <row r="101" spans="1:31" s="56" customFormat="1" x14ac:dyDescent="0.2">
      <c r="A101" s="1"/>
      <c r="B101" s="54" t="s">
        <v>79</v>
      </c>
      <c r="C101" s="55"/>
      <c r="D101" s="55"/>
      <c r="E101" s="55"/>
      <c r="F101" s="55"/>
      <c r="G101" s="55"/>
      <c r="H101" s="55"/>
      <c r="I101" s="55"/>
      <c r="J101" s="55"/>
      <c r="K101" s="55"/>
      <c r="L101" s="55">
        <f t="shared" ref="L101:Q101" si="109">L109/L5</f>
        <v>0.12302218893362045</v>
      </c>
      <c r="M101" s="55">
        <f t="shared" si="109"/>
        <v>0.1414115427493354</v>
      </c>
      <c r="N101" s="55">
        <f t="shared" si="109"/>
        <v>-7.164138678223185E-2</v>
      </c>
      <c r="O101" s="55">
        <f t="shared" si="109"/>
        <v>5.1137230957105782E-2</v>
      </c>
      <c r="P101" s="55">
        <f t="shared" si="109"/>
        <v>0.16148180718918326</v>
      </c>
      <c r="Q101" s="55">
        <f t="shared" si="109"/>
        <v>0.26109061090610908</v>
      </c>
      <c r="R101" s="1"/>
      <c r="S101" s="1"/>
      <c r="T101" s="55">
        <f t="shared" ref="T101:Z101" si="110">T109/T5</f>
        <v>0.14068265682656828</v>
      </c>
      <c r="U101" s="55">
        <f t="shared" si="110"/>
        <v>0.14451612903225808</v>
      </c>
      <c r="V101" s="55">
        <f t="shared" si="110"/>
        <v>0.15740740740740741</v>
      </c>
      <c r="W101" s="55">
        <f t="shared" si="110"/>
        <v>0.19967266775777415</v>
      </c>
      <c r="X101" s="55">
        <f t="shared" si="110"/>
        <v>0.20882464815519208</v>
      </c>
      <c r="Y101" s="55">
        <f t="shared" si="110"/>
        <v>0.20991150442477877</v>
      </c>
      <c r="Z101" s="55">
        <f t="shared" si="110"/>
        <v>0.24035989717223649</v>
      </c>
      <c r="AA101" s="55">
        <f t="shared" ref="AA101" si="111">AA109/AA5</f>
        <v>0.35657205841829703</v>
      </c>
      <c r="AB101" s="1"/>
      <c r="AC101" s="55">
        <f>AC109/AC5</f>
        <v>0.26109061090610908</v>
      </c>
      <c r="AD101" s="1"/>
      <c r="AE101" s="1"/>
    </row>
    <row r="102" spans="1:31" x14ac:dyDescent="0.2">
      <c r="B102" s="1"/>
    </row>
    <row r="103" spans="1:31" s="15" customFormat="1" ht="17" thickBot="1" x14ac:dyDescent="0.25">
      <c r="A103" s="11"/>
      <c r="B103" s="14" t="s">
        <v>108</v>
      </c>
      <c r="R103" s="1"/>
      <c r="S103" s="1"/>
      <c r="AB103" s="1"/>
      <c r="AD103" s="1"/>
      <c r="AE103" s="1"/>
    </row>
    <row r="104" spans="1:31" x14ac:dyDescent="0.2">
      <c r="B104" s="20" t="s">
        <v>72</v>
      </c>
      <c r="C104" s="81">
        <f t="shared" ref="C104:Q104" si="112">IF(AND(C82&gt;=0,C11&gt;=0),C82,0)</f>
        <v>0</v>
      </c>
      <c r="D104" s="81">
        <f t="shared" si="112"/>
        <v>0</v>
      </c>
      <c r="E104" s="81">
        <f t="shared" si="112"/>
        <v>0</v>
      </c>
      <c r="F104" s="81">
        <f t="shared" si="112"/>
        <v>0</v>
      </c>
      <c r="G104" s="81">
        <f t="shared" si="112"/>
        <v>0</v>
      </c>
      <c r="H104" s="81">
        <f t="shared" si="112"/>
        <v>0</v>
      </c>
      <c r="I104" s="81">
        <f t="shared" si="112"/>
        <v>0</v>
      </c>
      <c r="J104" s="81">
        <f t="shared" si="112"/>
        <v>0</v>
      </c>
      <c r="K104" s="81">
        <f t="shared" si="112"/>
        <v>0</v>
      </c>
      <c r="L104" s="81">
        <f t="shared" ref="L104:P104" si="113">IF(AND(L82&gt;=0,L11&gt;=0),L82,0)</f>
        <v>2.5222551928783383E-2</v>
      </c>
      <c r="M104" s="81">
        <f t="shared" si="113"/>
        <v>1.7867778439547351E-2</v>
      </c>
      <c r="N104" s="81">
        <f t="shared" si="113"/>
        <v>0</v>
      </c>
      <c r="O104" s="81">
        <f t="shared" si="113"/>
        <v>0.24719101123595505</v>
      </c>
      <c r="P104" s="81">
        <f t="shared" si="113"/>
        <v>2.9081295439524125E-2</v>
      </c>
      <c r="Q104" s="81">
        <f t="shared" si="112"/>
        <v>0.13712737127371274</v>
      </c>
      <c r="T104" s="81">
        <f t="shared" ref="T104:Z104" si="114">IF(AND(T82&gt;=0,T11&gt;=0),T82,0)</f>
        <v>3.4810126582278479E-2</v>
      </c>
      <c r="U104" s="81">
        <f t="shared" si="114"/>
        <v>0.04</v>
      </c>
      <c r="V104" s="81">
        <f t="shared" si="114"/>
        <v>4.2253521126760563E-2</v>
      </c>
      <c r="W104" s="81">
        <f t="shared" si="114"/>
        <v>8.130081300813009E-3</v>
      </c>
      <c r="X104" s="81">
        <f t="shared" si="114"/>
        <v>0.10586319218241043</v>
      </c>
      <c r="Y104" s="81">
        <f t="shared" si="114"/>
        <v>0.16124469589816123</v>
      </c>
      <c r="Z104" s="81">
        <f t="shared" si="114"/>
        <v>0.13425925925925927</v>
      </c>
      <c r="AA104" s="81">
        <f t="shared" ref="AA104" si="115">IF(AND(AA82&gt;=0,AA11&gt;=0),AA82,0)</f>
        <v>0.14019933554817277</v>
      </c>
      <c r="AC104" s="81">
        <f>IF(AND(AC82&gt;=0,AC11&gt;=0),AC82,0)</f>
        <v>0.13712737127371274</v>
      </c>
    </row>
    <row r="105" spans="1:31" x14ac:dyDescent="0.2">
      <c r="B105" s="20" t="s">
        <v>177</v>
      </c>
      <c r="C105" s="25"/>
      <c r="D105" s="25"/>
      <c r="E105" s="25"/>
      <c r="F105" s="25"/>
      <c r="G105" s="25"/>
      <c r="H105" s="25"/>
      <c r="I105" s="25"/>
      <c r="J105" s="25"/>
      <c r="K105" s="25"/>
      <c r="L105" s="25">
        <f t="shared" ref="L105:Q105" si="116">L28+L33</f>
        <v>1209</v>
      </c>
      <c r="M105" s="25">
        <f t="shared" si="116"/>
        <v>615</v>
      </c>
      <c r="N105" s="25">
        <f t="shared" si="116"/>
        <v>786</v>
      </c>
      <c r="O105" s="25">
        <f t="shared" si="116"/>
        <v>1358</v>
      </c>
      <c r="P105" s="25">
        <f t="shared" si="116"/>
        <v>891</v>
      </c>
      <c r="Q105" s="25">
        <f t="shared" si="116"/>
        <v>1704</v>
      </c>
      <c r="T105" s="25">
        <f t="shared" ref="T105:Z105" si="117">T28+T33</f>
        <v>1239</v>
      </c>
      <c r="U105" s="25">
        <f t="shared" si="117"/>
        <v>1238</v>
      </c>
      <c r="V105" s="25">
        <f t="shared" si="117"/>
        <v>814</v>
      </c>
      <c r="W105" s="25">
        <f t="shared" si="117"/>
        <v>891</v>
      </c>
      <c r="X105" s="25">
        <f t="shared" si="117"/>
        <v>1112</v>
      </c>
      <c r="Y105" s="25">
        <f t="shared" si="117"/>
        <v>1046</v>
      </c>
      <c r="Z105" s="25">
        <f t="shared" si="117"/>
        <v>1146</v>
      </c>
      <c r="AA105" s="25">
        <f t="shared" ref="AA105" si="118">AA28+AA33</f>
        <v>1704</v>
      </c>
      <c r="AC105" s="25">
        <f>AA105</f>
        <v>1704</v>
      </c>
    </row>
    <row r="106" spans="1:31" x14ac:dyDescent="0.2">
      <c r="B106" s="20" t="s">
        <v>168</v>
      </c>
      <c r="C106" s="25">
        <v>0</v>
      </c>
      <c r="D106" s="25">
        <v>0</v>
      </c>
      <c r="E106" s="25">
        <v>0</v>
      </c>
      <c r="F106" s="25">
        <v>0</v>
      </c>
      <c r="G106" s="25">
        <v>0</v>
      </c>
      <c r="H106" s="25">
        <v>0</v>
      </c>
      <c r="I106" s="25">
        <v>0</v>
      </c>
      <c r="J106" s="25">
        <v>0</v>
      </c>
      <c r="K106" s="25">
        <v>0</v>
      </c>
      <c r="L106" s="25">
        <f t="shared" ref="L106:Q106" si="119">L38+L40</f>
        <v>5139</v>
      </c>
      <c r="M106" s="25">
        <f t="shared" si="119"/>
        <v>5646</v>
      </c>
      <c r="N106" s="25">
        <f t="shared" si="119"/>
        <v>5451</v>
      </c>
      <c r="O106" s="25">
        <f t="shared" si="119"/>
        <v>5674</v>
      </c>
      <c r="P106" s="25">
        <f t="shared" si="119"/>
        <v>4995</v>
      </c>
      <c r="Q106" s="25">
        <f t="shared" si="119"/>
        <v>3565</v>
      </c>
      <c r="T106" s="25">
        <f t="shared" ref="T106:Z106" si="120">T38+T40</f>
        <v>5676</v>
      </c>
      <c r="U106" s="25">
        <f t="shared" si="120"/>
        <v>5679</v>
      </c>
      <c r="V106" s="25">
        <f t="shared" si="120"/>
        <v>5146</v>
      </c>
      <c r="W106" s="25">
        <f t="shared" si="120"/>
        <v>4995</v>
      </c>
      <c r="X106" s="25">
        <f t="shared" si="120"/>
        <v>4994</v>
      </c>
      <c r="Y106" s="25">
        <f t="shared" si="120"/>
        <v>4499</v>
      </c>
      <c r="Z106" s="25">
        <f t="shared" si="120"/>
        <v>3863</v>
      </c>
      <c r="AA106" s="25">
        <f t="shared" ref="AA106" si="121">AA38+AA40</f>
        <v>3565</v>
      </c>
      <c r="AC106" s="25">
        <f>AA106</f>
        <v>3565</v>
      </c>
    </row>
    <row r="107" spans="1:31" x14ac:dyDescent="0.2">
      <c r="B107" s="20" t="s">
        <v>161</v>
      </c>
      <c r="C107" s="25"/>
      <c r="D107" s="25"/>
      <c r="E107" s="25"/>
      <c r="F107" s="25"/>
      <c r="G107" s="25"/>
      <c r="H107" s="25"/>
      <c r="I107" s="25"/>
      <c r="J107" s="25"/>
      <c r="K107" s="25"/>
      <c r="L107" s="126">
        <f t="shared" ref="L107:Q107" si="122">L11*(1-L104)</f>
        <v>1454.3679525222551</v>
      </c>
      <c r="M107" s="126">
        <f t="shared" si="122"/>
        <v>1920.0684931506848</v>
      </c>
      <c r="N107" s="126">
        <f t="shared" si="122"/>
        <v>-342</v>
      </c>
      <c r="O107" s="126">
        <f t="shared" si="122"/>
        <v>340.26966292134836</v>
      </c>
      <c r="P107" s="25">
        <f t="shared" si="122"/>
        <v>1835.0363516192995</v>
      </c>
      <c r="Q107" s="25">
        <f t="shared" si="122"/>
        <v>3532.6005420054198</v>
      </c>
      <c r="T107" s="67"/>
      <c r="U107" s="67"/>
      <c r="V107" s="67"/>
      <c r="W107" s="67"/>
      <c r="X107" s="67"/>
      <c r="Y107" s="67"/>
      <c r="Z107" s="67"/>
      <c r="AA107" s="67"/>
      <c r="AC107" s="25">
        <f>AC11*(1-AC104)</f>
        <v>3532.6005420054198</v>
      </c>
    </row>
    <row r="108" spans="1:31" x14ac:dyDescent="0.2">
      <c r="B108" s="20" t="s">
        <v>298</v>
      </c>
      <c r="C108" s="25"/>
      <c r="D108" s="25"/>
      <c r="E108" s="25"/>
      <c r="F108" s="25"/>
      <c r="G108" s="25"/>
      <c r="H108" s="25"/>
      <c r="I108" s="25"/>
      <c r="J108" s="25"/>
      <c r="K108" s="25"/>
      <c r="L108" s="126">
        <f t="shared" ref="L108:Q108" si="123">L59+L60</f>
        <v>-498</v>
      </c>
      <c r="M108" s="126">
        <f t="shared" si="123"/>
        <v>-381</v>
      </c>
      <c r="N108" s="126">
        <f t="shared" si="123"/>
        <v>-316</v>
      </c>
      <c r="O108" s="126">
        <f t="shared" si="123"/>
        <v>-254</v>
      </c>
      <c r="P108" s="126">
        <f t="shared" si="123"/>
        <v>-265</v>
      </c>
      <c r="Q108" s="126">
        <f t="shared" si="123"/>
        <v>-569</v>
      </c>
      <c r="T108" s="126">
        <f t="shared" ref="T108:Z108" si="124">T59+T60</f>
        <v>-68</v>
      </c>
      <c r="U108" s="126">
        <f t="shared" si="124"/>
        <v>-71</v>
      </c>
      <c r="V108" s="126">
        <f t="shared" si="124"/>
        <v>-43</v>
      </c>
      <c r="W108" s="126">
        <f t="shared" si="124"/>
        <v>-83</v>
      </c>
      <c r="X108" s="126">
        <f t="shared" si="124"/>
        <v>-105</v>
      </c>
      <c r="Y108" s="126">
        <f t="shared" si="124"/>
        <v>-116</v>
      </c>
      <c r="Z108" s="126">
        <f t="shared" si="124"/>
        <v>-161</v>
      </c>
      <c r="AA108" s="126">
        <f t="shared" ref="AA108" si="125">AA59+AA60</f>
        <v>-187</v>
      </c>
      <c r="AC108" s="126">
        <f>AC59+AC60</f>
        <v>-569</v>
      </c>
    </row>
    <row r="109" spans="1:31" x14ac:dyDescent="0.2">
      <c r="B109" s="20" t="s">
        <v>326</v>
      </c>
      <c r="C109" s="25"/>
      <c r="D109" s="25"/>
      <c r="E109" s="25"/>
      <c r="F109" s="25"/>
      <c r="G109" s="25"/>
      <c r="H109" s="25"/>
      <c r="I109" s="25"/>
      <c r="J109" s="25"/>
      <c r="K109" s="25"/>
      <c r="L109" s="126">
        <f t="shared" ref="L109:Q109" si="126">L16+L17</f>
        <v>1314</v>
      </c>
      <c r="M109" s="126">
        <f t="shared" si="126"/>
        <v>1649</v>
      </c>
      <c r="N109" s="126">
        <f t="shared" si="126"/>
        <v>-529</v>
      </c>
      <c r="O109" s="126">
        <f t="shared" si="126"/>
        <v>335</v>
      </c>
      <c r="P109" s="126">
        <f t="shared" si="126"/>
        <v>1469</v>
      </c>
      <c r="Q109" s="126">
        <f t="shared" si="126"/>
        <v>3184</v>
      </c>
      <c r="T109" s="126">
        <f t="shared" ref="T109:Z109" si="127">T16+T17</f>
        <v>305</v>
      </c>
      <c r="U109" s="126">
        <f t="shared" si="127"/>
        <v>336</v>
      </c>
      <c r="V109" s="126">
        <f t="shared" si="127"/>
        <v>340</v>
      </c>
      <c r="W109" s="126">
        <f t="shared" si="127"/>
        <v>488</v>
      </c>
      <c r="X109" s="126">
        <f t="shared" si="127"/>
        <v>549</v>
      </c>
      <c r="Y109" s="126">
        <f t="shared" si="127"/>
        <v>593</v>
      </c>
      <c r="Z109" s="126">
        <f t="shared" si="127"/>
        <v>748</v>
      </c>
      <c r="AA109" s="126">
        <f t="shared" ref="AA109" si="128">AA16+AA17</f>
        <v>1294</v>
      </c>
      <c r="AC109" s="126">
        <f>AC16+AC17</f>
        <v>3184</v>
      </c>
    </row>
    <row r="110" spans="1:31" x14ac:dyDescent="0.2">
      <c r="B110" s="20" t="s">
        <v>327</v>
      </c>
      <c r="C110" s="25"/>
      <c r="D110" s="25"/>
      <c r="E110" s="25"/>
      <c r="F110" s="25"/>
      <c r="G110" s="25"/>
      <c r="H110" s="25"/>
      <c r="I110" s="25"/>
      <c r="J110" s="25"/>
      <c r="K110" s="25"/>
      <c r="L110" s="126">
        <f t="shared" ref="L110:Q110" si="129">L48+L47</f>
        <v>631</v>
      </c>
      <c r="M110" s="126">
        <f t="shared" si="129"/>
        <v>109</v>
      </c>
      <c r="N110" s="126">
        <f t="shared" si="129"/>
        <v>-1199</v>
      </c>
      <c r="O110" s="126">
        <f t="shared" si="129"/>
        <v>-1491</v>
      </c>
      <c r="P110" s="126">
        <f t="shared" si="129"/>
        <v>-453</v>
      </c>
      <c r="Q110" s="126">
        <f t="shared" si="129"/>
        <v>2167</v>
      </c>
      <c r="T110" s="126">
        <f t="shared" ref="T110:Z110" si="130">T48+T47</f>
        <v>-1300</v>
      </c>
      <c r="U110" s="126">
        <f t="shared" si="130"/>
        <v>-1079</v>
      </c>
      <c r="V110" s="126">
        <f t="shared" si="130"/>
        <v>-829</v>
      </c>
      <c r="W110" s="126">
        <f t="shared" si="130"/>
        <v>-453</v>
      </c>
      <c r="X110" s="126">
        <f t="shared" si="130"/>
        <v>-63</v>
      </c>
      <c r="Y110" s="126">
        <f t="shared" si="130"/>
        <v>459</v>
      </c>
      <c r="Z110" s="126">
        <f t="shared" si="130"/>
        <v>1095</v>
      </c>
      <c r="AA110" s="126">
        <f t="shared" ref="AA110" si="131">AA48+AA47</f>
        <v>2167</v>
      </c>
      <c r="AC110" s="126">
        <f>AC48+AC47</f>
        <v>2167</v>
      </c>
    </row>
    <row r="111" spans="1:31" x14ac:dyDescent="0.2">
      <c r="C111" s="57"/>
      <c r="D111" s="57"/>
      <c r="E111" s="57"/>
      <c r="F111" s="57"/>
      <c r="G111" s="57"/>
      <c r="H111" s="57"/>
      <c r="I111" s="57"/>
      <c r="J111" s="57"/>
      <c r="K111" s="57"/>
    </row>
    <row r="112" spans="1:31" x14ac:dyDescent="0.2">
      <c r="B112" s="1"/>
    </row>
    <row r="113" spans="1:31" s="15" customFormat="1" ht="17" thickBot="1" x14ac:dyDescent="0.25">
      <c r="A113" s="11"/>
      <c r="B113" s="14" t="s">
        <v>81</v>
      </c>
      <c r="R113" s="1"/>
      <c r="S113" s="1"/>
      <c r="AB113" s="1"/>
      <c r="AD113" s="1"/>
      <c r="AE113" s="1"/>
    </row>
    <row r="114" spans="1:31" x14ac:dyDescent="0.2">
      <c r="B114" s="20" t="s">
        <v>82</v>
      </c>
      <c r="C114" s="26"/>
      <c r="D114" s="26"/>
      <c r="E114" s="26"/>
      <c r="F114" s="26"/>
      <c r="G114" s="26"/>
      <c r="H114" s="26"/>
      <c r="I114" s="26"/>
      <c r="J114" s="26"/>
      <c r="K114" s="26"/>
      <c r="L114" s="26">
        <v>87.03</v>
      </c>
      <c r="M114" s="26">
        <v>69.09</v>
      </c>
      <c r="N114" s="26">
        <v>61.87</v>
      </c>
      <c r="O114" s="26">
        <v>103.27</v>
      </c>
      <c r="P114" s="26">
        <v>141.44</v>
      </c>
      <c r="Q114" s="26">
        <v>820.16</v>
      </c>
      <c r="T114" s="26">
        <v>108.74</v>
      </c>
      <c r="U114" s="26">
        <v>87.39</v>
      </c>
      <c r="V114" s="26">
        <v>84.92</v>
      </c>
      <c r="W114" s="26">
        <v>141.44</v>
      </c>
      <c r="X114" s="26">
        <v>252.79</v>
      </c>
      <c r="Y114" s="26">
        <v>286.83999999999997</v>
      </c>
      <c r="Z114" s="26">
        <v>375.01</v>
      </c>
      <c r="AA114" s="26">
        <v>820.16</v>
      </c>
      <c r="AC114" s="63">
        <f ca="1">Overview!C5</f>
        <v>676.77</v>
      </c>
    </row>
    <row r="115" spans="1:31" x14ac:dyDescent="0.2">
      <c r="B115" s="20" t="s">
        <v>339</v>
      </c>
      <c r="C115" s="26"/>
      <c r="D115" s="26"/>
      <c r="E115" s="26"/>
      <c r="F115" s="26"/>
      <c r="G115" s="26"/>
      <c r="H115" s="26"/>
      <c r="I115" s="26"/>
      <c r="J115" s="26"/>
      <c r="K115" s="26"/>
      <c r="L115" s="65">
        <f t="shared" ref="L115:Q115" si="132">L114/L84</f>
        <v>87.03</v>
      </c>
      <c r="M115" s="65">
        <f t="shared" si="132"/>
        <v>69.09</v>
      </c>
      <c r="N115" s="65">
        <f t="shared" si="132"/>
        <v>61.87</v>
      </c>
      <c r="O115" s="65">
        <f t="shared" si="132"/>
        <v>103.27</v>
      </c>
      <c r="P115" s="65">
        <f t="shared" si="132"/>
        <v>141.44</v>
      </c>
      <c r="Q115" s="65">
        <f t="shared" si="132"/>
        <v>820.16</v>
      </c>
      <c r="T115" s="65">
        <f t="shared" ref="T115:Z115" si="133">T114/T84</f>
        <v>108.74</v>
      </c>
      <c r="U115" s="65">
        <f t="shared" si="133"/>
        <v>87.39</v>
      </c>
      <c r="V115" s="65">
        <f t="shared" si="133"/>
        <v>84.92</v>
      </c>
      <c r="W115" s="65">
        <f t="shared" si="133"/>
        <v>141.44</v>
      </c>
      <c r="X115" s="65">
        <f t="shared" si="133"/>
        <v>252.79</v>
      </c>
      <c r="Y115" s="65">
        <f t="shared" si="133"/>
        <v>286.83999999999997</v>
      </c>
      <c r="Z115" s="65">
        <f t="shared" si="133"/>
        <v>375.01</v>
      </c>
      <c r="AA115" s="65">
        <f t="shared" ref="AA115" si="134">AA114/AA84</f>
        <v>820.16</v>
      </c>
      <c r="AC115" s="65">
        <f ca="1">AC114/AC84</f>
        <v>676.77</v>
      </c>
    </row>
    <row r="117" spans="1:31" x14ac:dyDescent="0.2">
      <c r="B117" s="1"/>
    </row>
    <row r="118" spans="1:31" ht="17" thickBot="1" x14ac:dyDescent="0.25">
      <c r="B118" s="14" t="s">
        <v>105</v>
      </c>
      <c r="C118" s="15"/>
      <c r="D118" s="15"/>
      <c r="E118" s="15"/>
      <c r="F118" s="15"/>
      <c r="G118" s="15"/>
      <c r="H118" s="15"/>
      <c r="I118" s="15"/>
      <c r="J118" s="15"/>
      <c r="K118" s="15"/>
      <c r="L118" s="15"/>
      <c r="M118" s="15"/>
      <c r="N118" s="15"/>
      <c r="O118" s="15"/>
      <c r="P118" s="15"/>
      <c r="Q118" s="15"/>
      <c r="T118" s="15"/>
      <c r="U118" s="15"/>
      <c r="V118" s="15"/>
      <c r="W118" s="15"/>
      <c r="X118" s="15"/>
      <c r="Y118" s="15"/>
      <c r="Z118" s="15"/>
      <c r="AA118" s="15"/>
      <c r="AC118" s="15"/>
    </row>
    <row r="119" spans="1:31" x14ac:dyDescent="0.2">
      <c r="B119" s="20" t="s">
        <v>99</v>
      </c>
      <c r="L119" s="74">
        <f t="shared" ref="L119:Q119" si="135">L109/L5</f>
        <v>0.12302218893362045</v>
      </c>
      <c r="M119" s="74">
        <f t="shared" si="135"/>
        <v>0.1414115427493354</v>
      </c>
      <c r="N119" s="74">
        <f t="shared" si="135"/>
        <v>-7.164138678223185E-2</v>
      </c>
      <c r="O119" s="74">
        <f t="shared" si="135"/>
        <v>5.1137230957105782E-2</v>
      </c>
      <c r="P119" s="74">
        <f t="shared" si="135"/>
        <v>0.16148180718918326</v>
      </c>
      <c r="Q119" s="74">
        <f t="shared" si="135"/>
        <v>0.26109061090610908</v>
      </c>
      <c r="T119" s="77"/>
      <c r="U119" s="77"/>
      <c r="V119" s="77"/>
      <c r="W119" s="77"/>
      <c r="X119" s="77"/>
      <c r="Y119" s="77"/>
      <c r="Z119" s="77"/>
      <c r="AA119" s="77"/>
      <c r="AC119" s="74">
        <f>AC109/AC5</f>
        <v>0.26109061090610908</v>
      </c>
    </row>
    <row r="120" spans="1:31" x14ac:dyDescent="0.2">
      <c r="B120" s="20" t="s">
        <v>100</v>
      </c>
      <c r="L120" s="75">
        <f t="shared" ref="L120:Q120" si="136">L5/L36</f>
        <v>1.2312391930835735</v>
      </c>
      <c r="M120" s="75">
        <f t="shared" si="136"/>
        <v>1.3037790697674418</v>
      </c>
      <c r="N120" s="75">
        <f t="shared" si="136"/>
        <v>0.97723663313922715</v>
      </c>
      <c r="O120" s="75">
        <f t="shared" si="136"/>
        <v>0.84649179480553038</v>
      </c>
      <c r="P120" s="75">
        <f t="shared" si="136"/>
        <v>1.133865137729029</v>
      </c>
      <c r="Q120" s="75">
        <f t="shared" si="136"/>
        <v>1.2229241877256318</v>
      </c>
      <c r="T120" s="78"/>
      <c r="U120" s="78"/>
      <c r="V120" s="78"/>
      <c r="W120" s="78"/>
      <c r="X120" s="78"/>
      <c r="Y120" s="78"/>
      <c r="Z120" s="78"/>
      <c r="AA120" s="78"/>
      <c r="AC120" s="75">
        <f>AC5/AC36</f>
        <v>1.2229241877256318</v>
      </c>
    </row>
    <row r="121" spans="1:31" x14ac:dyDescent="0.2">
      <c r="B121" s="32" t="s">
        <v>101</v>
      </c>
      <c r="L121" s="76">
        <f t="shared" ref="L121:O121" si="137">L119*L120</f>
        <v>0.15146974063400578</v>
      </c>
      <c r="M121" s="76">
        <f t="shared" si="137"/>
        <v>0.18436940966010734</v>
      </c>
      <c r="N121" s="76">
        <f t="shared" si="137"/>
        <v>-7.0010587612493388E-2</v>
      </c>
      <c r="O121" s="76">
        <f t="shared" si="137"/>
        <v>4.3287246414265401E-2</v>
      </c>
      <c r="P121" s="76">
        <f>P119*P120</f>
        <v>0.18309859154929578</v>
      </c>
      <c r="Q121" s="76">
        <f>Q119*Q120</f>
        <v>0.31929402326514245</v>
      </c>
      <c r="T121" s="79"/>
      <c r="U121" s="79"/>
      <c r="V121" s="79"/>
      <c r="W121" s="79"/>
      <c r="X121" s="79"/>
      <c r="Y121" s="79"/>
      <c r="Z121" s="79"/>
      <c r="AA121" s="79"/>
      <c r="AC121" s="76">
        <f>AC119*AC120</f>
        <v>0.31929402326514245</v>
      </c>
    </row>
    <row r="122" spans="1:31" x14ac:dyDescent="0.2">
      <c r="B122" s="20" t="s">
        <v>102</v>
      </c>
      <c r="L122" s="75">
        <f t="shared" ref="L122:Q122" si="138">L36/L48</f>
        <v>13.748019017432647</v>
      </c>
      <c r="M122" s="75">
        <f t="shared" si="138"/>
        <v>82.055045871559628</v>
      </c>
      <c r="N122" s="75">
        <f t="shared" si="138"/>
        <v>-6.3019182652210173</v>
      </c>
      <c r="O122" s="75">
        <f t="shared" si="138"/>
        <v>-5.1904761904761907</v>
      </c>
      <c r="P122" s="75">
        <f t="shared" si="138"/>
        <v>-17.710816777041941</v>
      </c>
      <c r="Q122" s="75">
        <f t="shared" si="138"/>
        <v>4.6017535763728654</v>
      </c>
      <c r="T122" s="80"/>
      <c r="U122" s="80"/>
      <c r="V122" s="80"/>
      <c r="W122" s="80"/>
      <c r="X122" s="80"/>
      <c r="Y122" s="80"/>
      <c r="Z122" s="80"/>
      <c r="AA122" s="80"/>
      <c r="AC122" s="75">
        <f>AC36/AC48</f>
        <v>4.6017535763728654</v>
      </c>
    </row>
    <row r="123" spans="1:31" x14ac:dyDescent="0.2">
      <c r="B123" s="32" t="s">
        <v>103</v>
      </c>
      <c r="L123" s="76">
        <f t="shared" ref="L123:O123" si="139">L121*L122</f>
        <v>2.0824088748019021</v>
      </c>
      <c r="M123" s="76">
        <f t="shared" si="139"/>
        <v>15.128440366972477</v>
      </c>
      <c r="N123" s="76">
        <f t="shared" si="139"/>
        <v>0.44120100083402836</v>
      </c>
      <c r="O123" s="76">
        <f t="shared" si="139"/>
        <v>-0.22468142186452042</v>
      </c>
      <c r="P123" s="76">
        <f>P121*P122</f>
        <v>-3.2428256070640176</v>
      </c>
      <c r="Q123" s="76">
        <f>Q121*Q122</f>
        <v>1.4693124134748501</v>
      </c>
      <c r="T123" s="79"/>
      <c r="U123" s="79"/>
      <c r="V123" s="79"/>
      <c r="W123" s="79"/>
      <c r="X123" s="79"/>
      <c r="Y123" s="79"/>
      <c r="Z123" s="79"/>
      <c r="AA123" s="79"/>
      <c r="AC123" s="76">
        <f>AC121*AC122</f>
        <v>1.4693124134748501</v>
      </c>
    </row>
    <row r="125" spans="1:31" x14ac:dyDescent="0.2">
      <c r="B125" s="1"/>
    </row>
    <row r="126" spans="1:31" ht="17" thickBot="1" x14ac:dyDescent="0.25">
      <c r="B126" s="14" t="s">
        <v>227</v>
      </c>
      <c r="C126" s="167"/>
      <c r="D126" s="167"/>
      <c r="E126" s="167"/>
      <c r="F126" s="167"/>
      <c r="G126" s="167"/>
      <c r="H126" s="167"/>
      <c r="I126" s="167"/>
      <c r="J126" s="167"/>
      <c r="K126" s="167"/>
      <c r="L126" s="167"/>
      <c r="M126" s="167"/>
      <c r="N126" s="167"/>
      <c r="O126" s="167"/>
      <c r="P126" s="167"/>
      <c r="Q126" s="167"/>
      <c r="T126" s="167"/>
      <c r="U126" s="167"/>
      <c r="V126" s="167"/>
      <c r="W126" s="167"/>
      <c r="X126" s="167"/>
      <c r="Y126" s="167"/>
      <c r="Z126" s="167"/>
      <c r="AA126" s="167"/>
      <c r="AC126" s="167"/>
    </row>
    <row r="127" spans="1:31" x14ac:dyDescent="0.2">
      <c r="B127" s="20" t="s">
        <v>228</v>
      </c>
      <c r="C127" s="49"/>
      <c r="D127" s="49"/>
      <c r="E127" s="49"/>
      <c r="F127" s="49"/>
      <c r="G127" s="49"/>
      <c r="H127" s="49"/>
      <c r="I127" s="49"/>
      <c r="J127" s="49"/>
      <c r="K127" s="49"/>
      <c r="L127" s="49"/>
      <c r="M127" s="49"/>
      <c r="N127" s="49"/>
      <c r="O127" s="49"/>
      <c r="P127" s="49"/>
      <c r="Q127" s="49"/>
      <c r="T127" s="21">
        <v>2150</v>
      </c>
      <c r="U127" s="21">
        <v>1995</v>
      </c>
      <c r="V127" s="21">
        <v>2250</v>
      </c>
      <c r="W127" s="21">
        <v>2350</v>
      </c>
      <c r="X127" s="21">
        <v>2600</v>
      </c>
      <c r="Y127" s="21">
        <v>2800</v>
      </c>
      <c r="Z127" s="21">
        <v>3350</v>
      </c>
      <c r="AA127" s="21">
        <v>4000</v>
      </c>
      <c r="AC127" s="49"/>
    </row>
    <row r="128" spans="1:31" x14ac:dyDescent="0.2">
      <c r="B128" s="20" t="s">
        <v>229</v>
      </c>
      <c r="C128" s="49"/>
      <c r="D128" s="49"/>
      <c r="E128" s="49"/>
      <c r="F128" s="49"/>
      <c r="G128" s="49"/>
      <c r="H128" s="49"/>
      <c r="I128" s="49"/>
      <c r="J128" s="49"/>
      <c r="K128" s="49"/>
      <c r="L128" s="49"/>
      <c r="M128" s="49"/>
      <c r="N128" s="49"/>
      <c r="O128" s="49"/>
      <c r="P128" s="49"/>
      <c r="Q128" s="49"/>
      <c r="T128" s="21">
        <v>2450</v>
      </c>
      <c r="U128" s="21">
        <v>2950</v>
      </c>
      <c r="V128" s="21">
        <v>2550</v>
      </c>
      <c r="W128" s="21">
        <v>2650</v>
      </c>
      <c r="X128" s="21">
        <v>2800</v>
      </c>
      <c r="Y128" s="21">
        <v>3000</v>
      </c>
      <c r="Z128" s="21">
        <v>3550</v>
      </c>
      <c r="AA128" s="21">
        <v>4200</v>
      </c>
      <c r="AC128" s="49"/>
    </row>
    <row r="129" spans="2:29" x14ac:dyDescent="0.2">
      <c r="B129" s="20" t="s">
        <v>230</v>
      </c>
      <c r="C129" s="49"/>
      <c r="D129" s="49"/>
      <c r="E129" s="49"/>
      <c r="F129" s="49"/>
      <c r="G129" s="49"/>
      <c r="H129" s="49"/>
      <c r="I129" s="49"/>
      <c r="J129" s="49"/>
      <c r="K129" s="49"/>
      <c r="L129" s="49"/>
      <c r="M129" s="49"/>
      <c r="N129" s="49"/>
      <c r="O129" s="49"/>
      <c r="P129" s="49"/>
      <c r="Q129" s="49"/>
      <c r="T129" s="25">
        <f t="shared" ref="T129" si="140">U5</f>
        <v>2325</v>
      </c>
      <c r="U129" s="25">
        <f t="shared" ref="U129" si="141">V5</f>
        <v>2160</v>
      </c>
      <c r="V129" s="25">
        <f t="shared" ref="V129" si="142">W5</f>
        <v>2444</v>
      </c>
      <c r="W129" s="25">
        <f t="shared" ref="W129" si="143">X5</f>
        <v>2629</v>
      </c>
      <c r="X129" s="25">
        <f t="shared" ref="X129" si="144">Y5</f>
        <v>2825</v>
      </c>
      <c r="Y129" s="25">
        <f t="shared" ref="Y129" si="145">Z5</f>
        <v>3112</v>
      </c>
      <c r="Z129" s="25">
        <f t="shared" ref="Z129" si="146">AA5</f>
        <v>3629</v>
      </c>
      <c r="AA129" s="25">
        <f t="shared" ref="AA129" si="147">AB5</f>
        <v>0</v>
      </c>
      <c r="AC129" s="49"/>
    </row>
    <row r="130" spans="2:29" x14ac:dyDescent="0.2">
      <c r="B130" s="20" t="s">
        <v>185</v>
      </c>
      <c r="C130" s="49"/>
      <c r="D130" s="49"/>
      <c r="E130" s="49"/>
      <c r="F130" s="49"/>
      <c r="G130" s="49"/>
      <c r="H130" s="49"/>
      <c r="I130" s="49"/>
      <c r="J130" s="49"/>
      <c r="K130" s="49"/>
      <c r="L130" s="49"/>
      <c r="M130" s="49"/>
      <c r="N130" s="49"/>
      <c r="O130" s="49"/>
      <c r="P130" s="49"/>
      <c r="Q130" s="49"/>
      <c r="T130" s="221" t="str">
        <f t="shared" ref="T130:Y130" si="148">IF(T129&gt;T128, "BEAT", IF(T129&lt;T127, "MISSED", "MET"))</f>
        <v>MET</v>
      </c>
      <c r="U130" s="221" t="str">
        <f t="shared" si="148"/>
        <v>MET</v>
      </c>
      <c r="V130" s="221" t="str">
        <f t="shared" si="148"/>
        <v>MET</v>
      </c>
      <c r="W130" s="221" t="str">
        <f t="shared" si="148"/>
        <v>MET</v>
      </c>
      <c r="X130" s="221" t="str">
        <f t="shared" si="148"/>
        <v>BEAT</v>
      </c>
      <c r="Y130" s="221" t="str">
        <f t="shared" si="148"/>
        <v>BEAT</v>
      </c>
      <c r="Z130" s="221" t="str">
        <f>IF(Z129&gt;Z128, "BEAT", IF(Z129&lt;Z127, "MISSED", "MET"))</f>
        <v>BEAT</v>
      </c>
      <c r="AA130" s="221" t="str">
        <f>IF(AA129&gt;AA128, "BEAT", IF(AA129&lt;AA127, "MISSED", "MET"))</f>
        <v>MISSED</v>
      </c>
      <c r="AC130" s="49"/>
    </row>
    <row r="131" spans="2:29" x14ac:dyDescent="0.2">
      <c r="B131" s="20" t="s">
        <v>357</v>
      </c>
      <c r="C131" s="49"/>
      <c r="D131" s="49"/>
      <c r="E131" s="49"/>
      <c r="F131" s="49"/>
      <c r="G131" s="49"/>
      <c r="H131" s="49"/>
      <c r="I131" s="49"/>
      <c r="J131" s="49"/>
      <c r="K131" s="49"/>
      <c r="L131" s="49"/>
      <c r="M131" s="49"/>
      <c r="N131" s="49"/>
      <c r="O131" s="49"/>
      <c r="P131" s="49"/>
      <c r="Q131" s="49"/>
      <c r="T131" s="26">
        <v>1.43</v>
      </c>
      <c r="U131" s="26">
        <v>1.27</v>
      </c>
      <c r="V131" s="26">
        <v>1.98</v>
      </c>
      <c r="W131" s="26">
        <v>1.87</v>
      </c>
      <c r="X131" s="26">
        <v>2.31</v>
      </c>
      <c r="Y131" s="26">
        <v>2.97</v>
      </c>
      <c r="Z131" s="26">
        <v>4.57</v>
      </c>
      <c r="AA131" s="26">
        <v>7.1</v>
      </c>
      <c r="AC131" s="49"/>
    </row>
    <row r="132" spans="2:29" x14ac:dyDescent="0.2">
      <c r="B132" s="20" t="s">
        <v>358</v>
      </c>
      <c r="C132" s="49"/>
      <c r="D132" s="49"/>
      <c r="E132" s="49"/>
      <c r="F132" s="49"/>
      <c r="G132" s="49"/>
      <c r="H132" s="49"/>
      <c r="I132" s="49"/>
      <c r="J132" s="49"/>
      <c r="K132" s="49"/>
      <c r="L132" s="49"/>
      <c r="M132" s="49"/>
      <c r="N132" s="49"/>
      <c r="O132" s="49"/>
      <c r="P132" s="49"/>
      <c r="Q132" s="49"/>
      <c r="T132" s="26">
        <v>1.83</v>
      </c>
      <c r="U132" s="26">
        <v>1.67</v>
      </c>
      <c r="V132" s="26">
        <v>2.38</v>
      </c>
      <c r="W132" s="26">
        <v>2.27</v>
      </c>
      <c r="X132" s="26">
        <v>2.71</v>
      </c>
      <c r="Y132" s="26">
        <v>3.37</v>
      </c>
      <c r="Z132" s="26">
        <v>4.97</v>
      </c>
      <c r="AA132" s="26">
        <v>7.5</v>
      </c>
      <c r="AC132" s="49"/>
    </row>
    <row r="133" spans="2:29" x14ac:dyDescent="0.2">
      <c r="B133" s="20" t="s">
        <v>359</v>
      </c>
      <c r="C133" s="49"/>
      <c r="D133" s="49"/>
      <c r="E133" s="49"/>
      <c r="F133" s="49"/>
      <c r="G133" s="49"/>
      <c r="H133" s="49"/>
      <c r="I133" s="49"/>
      <c r="J133" s="49"/>
      <c r="K133" s="49"/>
      <c r="L133" s="49"/>
      <c r="M133" s="49"/>
      <c r="N133" s="49"/>
      <c r="O133" s="49"/>
      <c r="P133" s="49"/>
      <c r="Q133" s="49"/>
      <c r="T133" s="225">
        <f t="shared" ref="T133" si="149">U24</f>
        <v>1.55</v>
      </c>
      <c r="U133" s="225">
        <f t="shared" ref="U133" si="150">V24</f>
        <v>1.57</v>
      </c>
      <c r="V133" s="225">
        <f t="shared" ref="V133" si="151">W24</f>
        <v>2.2400000000000002</v>
      </c>
      <c r="W133" s="225">
        <f t="shared" ref="W133" si="152">X24</f>
        <v>2.4300000000000002</v>
      </c>
      <c r="X133" s="225">
        <f t="shared" ref="X133" si="153">Y24</f>
        <v>2.6</v>
      </c>
      <c r="Y133" s="225">
        <f t="shared" ref="Y133" si="154">Z24</f>
        <v>3.27</v>
      </c>
      <c r="Z133" s="225">
        <f t="shared" ref="Z133" si="155">AA24</f>
        <v>5.58</v>
      </c>
      <c r="AA133" s="225">
        <f t="shared" ref="AA133" si="156">AB24</f>
        <v>0</v>
      </c>
      <c r="AC133" s="49"/>
    </row>
    <row r="134" spans="2:29" x14ac:dyDescent="0.2">
      <c r="B134" s="23" t="s">
        <v>185</v>
      </c>
      <c r="C134" s="49"/>
      <c r="D134" s="49"/>
      <c r="E134" s="49"/>
      <c r="F134" s="49"/>
      <c r="G134" s="49"/>
      <c r="H134" s="49"/>
      <c r="I134" s="49"/>
      <c r="J134" s="49"/>
      <c r="K134" s="49"/>
      <c r="L134" s="49"/>
      <c r="M134" s="49"/>
      <c r="N134" s="49"/>
      <c r="O134" s="49"/>
      <c r="P134" s="49"/>
      <c r="Q134" s="49"/>
      <c r="T134" s="221" t="str">
        <f t="shared" ref="T134:Y134" si="157">IF(T133&gt;T132, "BEAT", IF(T133&lt;T131, "MISSED", "MET"))</f>
        <v>MET</v>
      </c>
      <c r="U134" s="221" t="str">
        <f t="shared" si="157"/>
        <v>MET</v>
      </c>
      <c r="V134" s="221" t="str">
        <f t="shared" si="157"/>
        <v>MET</v>
      </c>
      <c r="W134" s="221" t="str">
        <f t="shared" si="157"/>
        <v>BEAT</v>
      </c>
      <c r="X134" s="221" t="str">
        <f t="shared" si="157"/>
        <v>MET</v>
      </c>
      <c r="Y134" s="221" t="str">
        <f t="shared" si="157"/>
        <v>MET</v>
      </c>
      <c r="Z134" s="221" t="str">
        <f>IF(Z133&gt;Z132, "BEAT", IF(Z133&lt;Z131, "MISSED", "MET"))</f>
        <v>BEAT</v>
      </c>
      <c r="AA134" s="221" t="str">
        <f>IF(AA133&gt;AA132, "BEAT", IF(AA133&lt;AA131, "MISSED", "MET"))</f>
        <v>MISSED</v>
      </c>
      <c r="AC134" s="49"/>
    </row>
    <row r="136" spans="2:29" x14ac:dyDescent="0.2">
      <c r="B136" s="1"/>
    </row>
    <row r="137" spans="2:29" ht="17" thickBot="1" x14ac:dyDescent="0.25">
      <c r="B137" s="14" t="s">
        <v>247</v>
      </c>
      <c r="C137" s="167"/>
      <c r="D137" s="167"/>
      <c r="E137" s="167"/>
      <c r="F137" s="167"/>
      <c r="G137" s="167"/>
      <c r="H137" s="167"/>
      <c r="I137" s="167"/>
      <c r="J137" s="167"/>
      <c r="K137" s="167"/>
      <c r="L137" s="167"/>
      <c r="M137" s="167"/>
      <c r="N137" s="167"/>
      <c r="O137" s="167"/>
      <c r="P137" s="167"/>
      <c r="Q137" s="167"/>
      <c r="T137" s="167"/>
      <c r="U137" s="167"/>
      <c r="V137" s="167"/>
      <c r="W137" s="167"/>
      <c r="X137" s="167"/>
      <c r="Y137" s="167"/>
      <c r="Z137" s="167"/>
      <c r="AA137" s="167"/>
      <c r="AC137" s="167"/>
    </row>
    <row r="138" spans="2:29" x14ac:dyDescent="0.2">
      <c r="B138" s="20" t="s">
        <v>104</v>
      </c>
      <c r="C138" s="81"/>
      <c r="D138" s="81"/>
      <c r="E138" s="81"/>
      <c r="F138" s="81"/>
      <c r="G138" s="81"/>
      <c r="H138" s="81"/>
      <c r="I138" s="81"/>
      <c r="J138" s="81"/>
      <c r="K138" s="81"/>
      <c r="L138" s="81">
        <f t="shared" ref="L138:Q138" si="158">L107/(L106+L110-L105)</f>
        <v>0.31887041274331401</v>
      </c>
      <c r="M138" s="81">
        <f t="shared" si="158"/>
        <v>0.37355418154682585</v>
      </c>
      <c r="N138" s="81">
        <f t="shared" si="158"/>
        <v>-9.867282169648009E-2</v>
      </c>
      <c r="O138" s="81">
        <f t="shared" si="158"/>
        <v>0.12044943820224721</v>
      </c>
      <c r="P138" s="81">
        <f t="shared" si="158"/>
        <v>0.5026119834618733</v>
      </c>
      <c r="Q138" s="81">
        <f t="shared" si="158"/>
        <v>0.87701105809469215</v>
      </c>
      <c r="T138" s="49"/>
      <c r="U138" s="49"/>
      <c r="V138" s="49"/>
      <c r="W138" s="49"/>
      <c r="X138" s="49"/>
      <c r="Y138" s="49"/>
      <c r="Z138" s="49"/>
      <c r="AA138" s="49"/>
      <c r="AC138" s="81">
        <f>AC107/(AC106+AC110-AC105)</f>
        <v>0.87701105809469215</v>
      </c>
    </row>
    <row r="139" spans="2:29" x14ac:dyDescent="0.2">
      <c r="B139" s="20" t="s">
        <v>138</v>
      </c>
      <c r="L139" s="118">
        <f t="shared" ref="L139:P139" si="159">L29/L5*365</f>
        <v>39.572137440314577</v>
      </c>
      <c r="M139" s="118">
        <f t="shared" si="159"/>
        <v>47.953005745647879</v>
      </c>
      <c r="N139" s="118">
        <f t="shared" si="159"/>
        <v>30.696776814734559</v>
      </c>
      <c r="O139" s="118">
        <f t="shared" si="159"/>
        <v>23.902457640054951</v>
      </c>
      <c r="P139" s="118">
        <f t="shared" si="159"/>
        <v>38.478069693305486</v>
      </c>
      <c r="Q139" s="118">
        <f t="shared" ref="Q139:Q140" si="160">Q29/Q5*365</f>
        <v>45.913079130791303</v>
      </c>
      <c r="T139" s="118">
        <f t="shared" ref="T139:Z139" si="161">T29/T5*90</f>
        <v>26.070110701107012</v>
      </c>
      <c r="U139" s="118">
        <f t="shared" si="161"/>
        <v>22.722580645161294</v>
      </c>
      <c r="V139" s="118">
        <f t="shared" si="161"/>
        <v>25.916666666666668</v>
      </c>
      <c r="W139" s="118">
        <f t="shared" si="161"/>
        <v>35.315057283142387</v>
      </c>
      <c r="X139" s="118">
        <f t="shared" si="161"/>
        <v>36.732597945987067</v>
      </c>
      <c r="Y139" s="118">
        <f t="shared" si="161"/>
        <v>39.69557522123894</v>
      </c>
      <c r="Z139" s="118">
        <f t="shared" si="161"/>
        <v>34.617609254498717</v>
      </c>
      <c r="AA139" s="118">
        <f t="shared" ref="AA139" si="162">AA29/AA5*90</f>
        <v>38.043538164783691</v>
      </c>
      <c r="AC139" s="118">
        <f>AC29/AC5*365</f>
        <v>45.913079130791303</v>
      </c>
    </row>
    <row r="140" spans="2:29" x14ac:dyDescent="0.2">
      <c r="B140" s="20" t="s">
        <v>139</v>
      </c>
      <c r="L140" s="118">
        <f t="shared" ref="L140:P140" si="163">L30/L6*365</f>
        <v>56.602266872746</v>
      </c>
      <c r="M140" s="118">
        <f t="shared" si="163"/>
        <v>69.7296142578125</v>
      </c>
      <c r="N140" s="118">
        <f t="shared" si="163"/>
        <v>68.97066136250622</v>
      </c>
      <c r="O140" s="118">
        <f t="shared" si="163"/>
        <v>90.176470588235304</v>
      </c>
      <c r="P140" s="118">
        <f t="shared" si="163"/>
        <v>89.130066135323048</v>
      </c>
      <c r="Q140" s="118">
        <f t="shared" si="160"/>
        <v>86.396715383456382</v>
      </c>
      <c r="T140" s="118">
        <f t="shared" ref="T140:Z140" si="164">T30/T6*365</f>
        <v>347.17675378266847</v>
      </c>
      <c r="U140" s="118">
        <f t="shared" si="164"/>
        <v>355.35029742233974</v>
      </c>
      <c r="V140" s="118">
        <f t="shared" si="164"/>
        <v>383.77142857142854</v>
      </c>
      <c r="W140" s="118">
        <f t="shared" si="164"/>
        <v>343.52941176470586</v>
      </c>
      <c r="X140" s="118">
        <f t="shared" si="164"/>
        <v>342.9899497487437</v>
      </c>
      <c r="Y140" s="118">
        <f t="shared" si="164"/>
        <v>331.57671315949062</v>
      </c>
      <c r="Z140" s="118">
        <f t="shared" si="164"/>
        <v>335.40540540540542</v>
      </c>
      <c r="AA140" s="118">
        <f t="shared" ref="AA140" si="165">AA30/AA6*365</f>
        <v>331.26227614095899</v>
      </c>
      <c r="AC140" s="118">
        <f>AC30/AC6*365</f>
        <v>86.396715383456382</v>
      </c>
    </row>
    <row r="141" spans="2:29" x14ac:dyDescent="0.2">
      <c r="B141" s="20" t="s">
        <v>140</v>
      </c>
      <c r="L141" s="118">
        <f t="shared" ref="L141:Q141" si="166">L37/L6*365</f>
        <v>81.09544049459042</v>
      </c>
      <c r="M141" s="118">
        <f t="shared" si="166"/>
        <v>91.695556640625</v>
      </c>
      <c r="N141" s="118">
        <f t="shared" si="166"/>
        <v>96.982429968506537</v>
      </c>
      <c r="O141" s="118">
        <f t="shared" si="166"/>
        <v>129.98803589232301</v>
      </c>
      <c r="P141" s="118">
        <f t="shared" si="166"/>
        <v>99.280990334068164</v>
      </c>
      <c r="Q141" s="118">
        <f t="shared" si="166"/>
        <v>96.130781979810152</v>
      </c>
      <c r="T141" s="118">
        <f t="shared" ref="T141:Z141" si="167">T37/T6*90</f>
        <v>110.05502063273727</v>
      </c>
      <c r="U141" s="118">
        <f t="shared" si="167"/>
        <v>93.212161269001996</v>
      </c>
      <c r="V141" s="118">
        <f t="shared" si="167"/>
        <v>94.30714285714285</v>
      </c>
      <c r="W141" s="118">
        <f t="shared" si="167"/>
        <v>94.352941176470594</v>
      </c>
      <c r="X141" s="118">
        <f t="shared" si="167"/>
        <v>94.579145728643212</v>
      </c>
      <c r="Y141" s="118">
        <f t="shared" si="167"/>
        <v>96.658580958156449</v>
      </c>
      <c r="Z141" s="118">
        <f t="shared" si="167"/>
        <v>91.567567567567565</v>
      </c>
      <c r="AA141" s="118">
        <f t="shared" ref="AA141" si="168">AA37/AA6*90</f>
        <v>90.883882149046798</v>
      </c>
      <c r="AC141" s="118">
        <f>AC37/AC6*365</f>
        <v>96.130781979810152</v>
      </c>
    </row>
    <row r="142" spans="2:29" x14ac:dyDescent="0.2">
      <c r="B142" s="20" t="s">
        <v>141</v>
      </c>
      <c r="L142" s="118">
        <f>L139+L140-L141</f>
        <v>15.078963818470157</v>
      </c>
      <c r="M142" s="118">
        <f t="shared" ref="M142:P142" si="169">M139+M140-M141</f>
        <v>25.987063362835386</v>
      </c>
      <c r="N142" s="118">
        <f t="shared" si="169"/>
        <v>2.6850082087342457</v>
      </c>
      <c r="O142" s="118">
        <f t="shared" si="169"/>
        <v>-15.90910766403276</v>
      </c>
      <c r="P142" s="118">
        <f t="shared" si="169"/>
        <v>28.327145494560369</v>
      </c>
      <c r="Q142" s="118">
        <f t="shared" ref="Q142" si="170">Q139+Q140-Q141</f>
        <v>36.179012534437547</v>
      </c>
      <c r="T142" s="118">
        <f t="shared" ref="T142" si="171">T139+T140-T141</f>
        <v>263.19184385103824</v>
      </c>
      <c r="U142" s="118">
        <f t="shared" ref="U142" si="172">U139+U140-U141</f>
        <v>284.86071679849908</v>
      </c>
      <c r="V142" s="118">
        <f t="shared" ref="V142" si="173">V139+V140-V141</f>
        <v>315.38095238095241</v>
      </c>
      <c r="W142" s="118">
        <f t="shared" ref="W142" si="174">W139+W140-W141</f>
        <v>284.49152787137763</v>
      </c>
      <c r="X142" s="118">
        <f t="shared" ref="X142:Z142" si="175">X139+X140-X141</f>
        <v>285.14340196608759</v>
      </c>
      <c r="Y142" s="118">
        <f t="shared" si="175"/>
        <v>274.6137074225731</v>
      </c>
      <c r="Z142" s="118">
        <f t="shared" si="175"/>
        <v>278.45544709233656</v>
      </c>
      <c r="AA142" s="118">
        <f t="shared" ref="AA142" si="176">AA139+AA140-AA141</f>
        <v>278.4219321566959</v>
      </c>
      <c r="AC142" s="118">
        <f t="shared" ref="AC142" si="177">AC139+AC140-AC141</f>
        <v>36.179012534437547</v>
      </c>
    </row>
    <row r="143" spans="2:29" x14ac:dyDescent="0.2">
      <c r="B143" s="20" t="s">
        <v>250</v>
      </c>
      <c r="L143" s="118">
        <f t="shared" ref="L143:Q143" si="178">L106/L48</f>
        <v>8.1442155309033275</v>
      </c>
      <c r="M143" s="118">
        <f t="shared" si="178"/>
        <v>51.798165137614681</v>
      </c>
      <c r="N143" s="118">
        <f t="shared" si="178"/>
        <v>-4.54628857381151</v>
      </c>
      <c r="O143" s="118">
        <f t="shared" si="178"/>
        <v>-3.8054996646545942</v>
      </c>
      <c r="P143" s="118">
        <f t="shared" si="178"/>
        <v>-11.026490066225165</v>
      </c>
      <c r="Q143" s="118">
        <f t="shared" si="178"/>
        <v>1.6451315182279649</v>
      </c>
      <c r="T143" s="118">
        <f t="shared" ref="T143:Z143" si="179">T106/T48</f>
        <v>-4.3661538461538463</v>
      </c>
      <c r="U143" s="118">
        <f t="shared" si="179"/>
        <v>-5.2632066728452269</v>
      </c>
      <c r="V143" s="118">
        <f t="shared" si="179"/>
        <v>-6.2074788902291917</v>
      </c>
      <c r="W143" s="118">
        <f t="shared" si="179"/>
        <v>-11.026490066225165</v>
      </c>
      <c r="X143" s="118">
        <f t="shared" si="179"/>
        <v>-79.269841269841265</v>
      </c>
      <c r="Y143" s="118">
        <f t="shared" si="179"/>
        <v>9.8017429193899783</v>
      </c>
      <c r="Z143" s="118">
        <f t="shared" si="179"/>
        <v>3.5278538812785389</v>
      </c>
      <c r="AA143" s="118">
        <f t="shared" ref="AA143" si="180">AA106/AA48</f>
        <v>1.6451315182279649</v>
      </c>
      <c r="AC143" s="118">
        <f>AC106/AC48</f>
        <v>1.6451315182279649</v>
      </c>
    </row>
    <row r="144" spans="2:29" x14ac:dyDescent="0.2">
      <c r="B144" s="20" t="s">
        <v>254</v>
      </c>
      <c r="L144" s="175">
        <f t="shared" ref="L144:Q144" si="181">(L106-L105)/L48</f>
        <v>6.2282091917591123</v>
      </c>
      <c r="M144" s="175">
        <f t="shared" si="181"/>
        <v>46.155963302752291</v>
      </c>
      <c r="N144" s="175">
        <f t="shared" si="181"/>
        <v>-3.8907422852376983</v>
      </c>
      <c r="O144" s="175">
        <f t="shared" si="181"/>
        <v>-2.8947015425888667</v>
      </c>
      <c r="P144" s="175">
        <f t="shared" si="181"/>
        <v>-9.0596026490066226</v>
      </c>
      <c r="Q144" s="175">
        <f t="shared" si="181"/>
        <v>0.8587909552376557</v>
      </c>
      <c r="T144" s="175">
        <f t="shared" ref="T144:Z144" si="182">(T106-T105)/T48</f>
        <v>-3.4130769230769231</v>
      </c>
      <c r="U144" s="175">
        <f t="shared" si="182"/>
        <v>-4.1158480074142725</v>
      </c>
      <c r="V144" s="175">
        <f t="shared" si="182"/>
        <v>-5.2255729794933652</v>
      </c>
      <c r="W144" s="175">
        <f t="shared" si="182"/>
        <v>-9.0596026490066226</v>
      </c>
      <c r="X144" s="175">
        <f t="shared" si="182"/>
        <v>-61.61904761904762</v>
      </c>
      <c r="Y144" s="175">
        <f t="shared" si="182"/>
        <v>7.522875816993464</v>
      </c>
      <c r="Z144" s="175">
        <f t="shared" si="182"/>
        <v>2.4812785388127856</v>
      </c>
      <c r="AA144" s="175">
        <f t="shared" ref="AA144" si="183">(AA106-AA105)/AA48</f>
        <v>0.8587909552376557</v>
      </c>
      <c r="AC144" s="175">
        <f>(AC106-AC105)/AC48</f>
        <v>0.8587909552376557</v>
      </c>
    </row>
    <row r="145" spans="2:29" x14ac:dyDescent="0.2">
      <c r="B145" s="20" t="s">
        <v>251</v>
      </c>
      <c r="L145" s="118">
        <f t="shared" ref="L145:Q145" si="184">(L105+L29)/L39</f>
        <v>0.81033892502567617</v>
      </c>
      <c r="M145" s="118">
        <f t="shared" si="184"/>
        <v>0.60393811533052044</v>
      </c>
      <c r="N145" s="118">
        <f t="shared" si="184"/>
        <v>0.54282407407407407</v>
      </c>
      <c r="O145" s="118">
        <f t="shared" si="184"/>
        <v>0.57663762504033556</v>
      </c>
      <c r="P145" s="118">
        <f t="shared" si="184"/>
        <v>0.69864048338368578</v>
      </c>
      <c r="Q145" s="118">
        <f t="shared" si="184"/>
        <v>1.0354972817396866</v>
      </c>
      <c r="T145" s="118">
        <f t="shared" ref="T145:Z145" si="185">(T105+T29)/T39</f>
        <v>0.5906358747231889</v>
      </c>
      <c r="U145" s="118">
        <f t="shared" si="185"/>
        <v>0.61468507915122939</v>
      </c>
      <c r="V145" s="118">
        <f t="shared" si="185"/>
        <v>0.59535655058043113</v>
      </c>
      <c r="W145" s="118">
        <f t="shared" si="185"/>
        <v>0.69864048338368578</v>
      </c>
      <c r="X145" s="118">
        <f t="shared" si="185"/>
        <v>0.53072625698324027</v>
      </c>
      <c r="Y145" s="118">
        <f t="shared" si="185"/>
        <v>0.6094123903217229</v>
      </c>
      <c r="Z145" s="118">
        <f t="shared" si="185"/>
        <v>0.72292502314100582</v>
      </c>
      <c r="AA145" s="118">
        <f t="shared" ref="AA145" si="186">(AA105+AA29)/AA39</f>
        <v>1.0354972817396866</v>
      </c>
      <c r="AC145" s="118">
        <f>(AC105+AC29)/AC39</f>
        <v>1.0354972817396866</v>
      </c>
    </row>
    <row r="146" spans="2:29" x14ac:dyDescent="0.2">
      <c r="B146" s="20" t="s">
        <v>252</v>
      </c>
      <c r="L146" s="118">
        <f t="shared" ref="L146:Q146" si="187">L31/L39</f>
        <v>1.2937350222526531</v>
      </c>
      <c r="M146" s="118">
        <f t="shared" si="187"/>
        <v>1.1344585091420534</v>
      </c>
      <c r="N146" s="118">
        <f t="shared" si="187"/>
        <v>1.1207561728395061</v>
      </c>
      <c r="O146" s="118">
        <f t="shared" si="187"/>
        <v>1.0751855437237818</v>
      </c>
      <c r="P146" s="118">
        <f t="shared" si="187"/>
        <v>1.3795317220543806</v>
      </c>
      <c r="Q146" s="118">
        <f t="shared" si="187"/>
        <v>1.669651423089223</v>
      </c>
      <c r="T146" s="118">
        <f t="shared" ref="T146:Z146" si="188">T31/T39</f>
        <v>1.1414109459031951</v>
      </c>
      <c r="U146" s="118">
        <f t="shared" si="188"/>
        <v>1.2334119232064669</v>
      </c>
      <c r="V146" s="118">
        <f t="shared" si="188"/>
        <v>1.3606965174129353</v>
      </c>
      <c r="W146" s="118">
        <f t="shared" si="188"/>
        <v>1.3795317220543806</v>
      </c>
      <c r="X146" s="118">
        <f t="shared" si="188"/>
        <v>0.97935389846975951</v>
      </c>
      <c r="Y146" s="118">
        <f t="shared" si="188"/>
        <v>1.1191172560489231</v>
      </c>
      <c r="Z146" s="118">
        <f t="shared" si="188"/>
        <v>1.3264424560320889</v>
      </c>
      <c r="AA146" s="118">
        <f t="shared" ref="AA146" si="189">AA31/AA39</f>
        <v>1.669651423089223</v>
      </c>
      <c r="AC146" s="118">
        <f>AC31/AC39</f>
        <v>1.669651423089223</v>
      </c>
    </row>
    <row r="147" spans="2:29" x14ac:dyDescent="0.2">
      <c r="B147" s="20" t="s">
        <v>258</v>
      </c>
      <c r="L147" s="177">
        <f t="shared" ref="L147:Q147" si="190">IF(L12&gt;=0,"N/A",IF(L11&lt;=0,"N/A",L11/-L12))</f>
        <v>6.8440366972477067</v>
      </c>
      <c r="M147" s="177">
        <f t="shared" si="190"/>
        <v>7.9149797570850202</v>
      </c>
      <c r="N147" s="177" t="str">
        <f t="shared" si="190"/>
        <v>N/A</v>
      </c>
      <c r="O147" s="177">
        <f t="shared" si="190"/>
        <v>1.4258675078864353</v>
      </c>
      <c r="P147" s="177">
        <f t="shared" si="190"/>
        <v>6.3851351351351351</v>
      </c>
      <c r="Q147" s="177">
        <f t="shared" si="190"/>
        <v>16.118110236220474</v>
      </c>
      <c r="T147" s="177">
        <f t="shared" ref="T147:Z147" si="191">IF(T12&gt;=0,"N/A",IF(T11&lt;=0,"N/A",T11/-T12))</f>
        <v>5.166666666666667</v>
      </c>
      <c r="U147" s="177">
        <f t="shared" si="191"/>
        <v>6.4210526315789478</v>
      </c>
      <c r="V147" s="177">
        <f t="shared" si="191"/>
        <v>5.904109589041096</v>
      </c>
      <c r="W147" s="177">
        <f t="shared" si="191"/>
        <v>8.2318840579710137</v>
      </c>
      <c r="X147" s="177">
        <f t="shared" si="191"/>
        <v>9.506849315068493</v>
      </c>
      <c r="Y147" s="177">
        <f t="shared" si="191"/>
        <v>12.969230769230769</v>
      </c>
      <c r="Z147" s="177">
        <f t="shared" si="191"/>
        <v>16.096774193548388</v>
      </c>
      <c r="AA147" s="177">
        <f t="shared" ref="AA147" si="192">IF(AA12&gt;=0,"N/A",IF(AA11&lt;=0,"N/A",AA11/-AA12))</f>
        <v>28.87037037037037</v>
      </c>
      <c r="AC147" s="177">
        <f>IF(AC12&gt;=0,"N/A",IF(AC11&lt;=0,"N/A",AC11/-AC12))</f>
        <v>16.118110236220474</v>
      </c>
    </row>
    <row r="148" spans="2:29" x14ac:dyDescent="0.2">
      <c r="B148" s="20" t="s">
        <v>236</v>
      </c>
      <c r="L148" s="72">
        <f>L115/Statement!L25</f>
        <v>16.236940298507463</v>
      </c>
      <c r="M148" s="72">
        <f>M115/Statement!M25</f>
        <v>9.3872282608695645</v>
      </c>
      <c r="N148" s="72">
        <f>N115/Statement!N25</f>
        <v>-24.16796875</v>
      </c>
      <c r="O148" s="72">
        <f>O115/Statement!O25</f>
        <v>65.360759493670884</v>
      </c>
      <c r="P148" s="72">
        <f>P115/Statement!P25</f>
        <v>20.892171344165437</v>
      </c>
      <c r="Q148" s="72">
        <f>Q115/Statement!Q25</f>
        <v>59.004316546762588</v>
      </c>
      <c r="T148" s="49"/>
      <c r="U148" s="49"/>
      <c r="V148" s="49"/>
      <c r="W148" s="49"/>
      <c r="X148" s="49"/>
      <c r="Y148" s="49"/>
      <c r="Z148" s="49"/>
      <c r="AA148" s="49"/>
      <c r="AC148" s="72">
        <f ca="1">AC115/Statement!AC25</f>
        <v>48.758645533141205</v>
      </c>
    </row>
    <row r="149" spans="2:29" x14ac:dyDescent="0.2">
      <c r="B149" s="20" t="s">
        <v>200</v>
      </c>
      <c r="L149" s="72">
        <f>L115/(Statement!L5/Statement!L21)</f>
        <v>1.9962878007677183</v>
      </c>
      <c r="M149" s="72">
        <f>M115/(Statement!M5/Statement!M21)</f>
        <v>1.3271726267043993</v>
      </c>
      <c r="N149" s="72">
        <f>N115/(Statement!N5/Statement!N21)</f>
        <v>1.7344379739978331</v>
      </c>
      <c r="O149" s="72">
        <f>O115/(Statement!O5/Statement!O21)</f>
        <v>3.3419691650129746</v>
      </c>
      <c r="P149" s="72">
        <f>P115/(Statement!P5/Statement!P21)</f>
        <v>3.3739122787732216</v>
      </c>
      <c r="Q149" s="72">
        <f>Q115/(Statement!Q5/Statement!Q21)</f>
        <v>15.401118491184912</v>
      </c>
      <c r="T149" s="49"/>
      <c r="U149" s="49"/>
      <c r="V149" s="49"/>
      <c r="W149" s="49"/>
      <c r="X149" s="49"/>
      <c r="Y149" s="49"/>
      <c r="Z149" s="49"/>
      <c r="AA149" s="49"/>
      <c r="AC149" s="72">
        <f ca="1">AC115/(Statement!AC5/Statement!AC21)</f>
        <v>12.694640221402214</v>
      </c>
    </row>
    <row r="150" spans="2:29" x14ac:dyDescent="0.2">
      <c r="B150" s="20" t="s">
        <v>237</v>
      </c>
      <c r="L150" s="72">
        <f>L115/(Statement!L48/Statement!L74)</f>
        <v>31.308732171156894</v>
      </c>
      <c r="M150" s="72">
        <f>M115/(Statement!M48/Statement!M74)</f>
        <v>132.47532110091745</v>
      </c>
      <c r="N150" s="72">
        <f>N115/(Statement!N48/Statement!N74)</f>
        <v>-10.681476230191826</v>
      </c>
      <c r="O150" s="72">
        <f>O115/(Statement!O48/Statement!O74)</f>
        <v>-14.545070422535211</v>
      </c>
      <c r="P150" s="72">
        <f>P115/(Statement!P48/Statement!P74)</f>
        <v>-66.504900662251657</v>
      </c>
      <c r="Q150" s="72">
        <f>Q115/(Statement!Q48/Statement!Q74)</f>
        <v>85.914314720812186</v>
      </c>
      <c r="T150" s="72">
        <f>T115/(Statement!T48/Statement!T74)</f>
        <v>-17.732984615384616</v>
      </c>
      <c r="U150" s="72">
        <f>U115/(Statement!U48/Statement!U74)</f>
        <v>-17.170231696014827</v>
      </c>
      <c r="V150" s="72">
        <f>V115/(Statement!V48/Statement!V74)</f>
        <v>-21.716574185765982</v>
      </c>
      <c r="W150" s="72">
        <f>W115/(Statement!W48/Statement!W74)</f>
        <v>-66.504900662251657</v>
      </c>
      <c r="X150" s="72">
        <f>X115/(Statement!X48/Statement!X74)</f>
        <v>-858.68349206349205</v>
      </c>
      <c r="Y150" s="72">
        <f>Y115/(Statement!Y48/Statement!Y74)</f>
        <v>136.23337690631809</v>
      </c>
      <c r="Z150" s="72">
        <f>Z115/(Statement!Z48/Statement!Z74)</f>
        <v>76.714374429223753</v>
      </c>
      <c r="AA150" s="72">
        <f>AA115/(Statement!AA48/Statement!AA74)</f>
        <v>85.914314720812186</v>
      </c>
      <c r="AC150" s="72">
        <f ca="1">AC115/(Statement!AC48/Statement!AC74)</f>
        <v>70.893765574526995</v>
      </c>
    </row>
    <row r="151" spans="2:29" x14ac:dyDescent="0.2">
      <c r="B151" s="20" t="s">
        <v>238</v>
      </c>
      <c r="L151" s="141">
        <f>Statement!L115*Statement!L77</f>
        <v>20016.900000000001</v>
      </c>
      <c r="M151" s="141">
        <f>Statement!M115*Statement!M77</f>
        <v>14716.17</v>
      </c>
      <c r="N151" s="141">
        <f>Statement!N115*Statement!N77</f>
        <v>12807.09</v>
      </c>
      <c r="O151" s="141">
        <f>Statement!O115*Statement!O77</f>
        <v>21996.51</v>
      </c>
      <c r="P151" s="141">
        <f>Statement!P115*Statement!P77</f>
        <v>30833.919999999998</v>
      </c>
      <c r="Q151" s="141">
        <f>Statement!Q115*Statement!Q77</f>
        <v>194377.91999999998</v>
      </c>
      <c r="T151" s="141">
        <f>Statement!T115*Statement!T77</f>
        <v>23596.579999999998</v>
      </c>
      <c r="U151" s="141">
        <f>Statement!U115*Statement!U77</f>
        <v>18963.63</v>
      </c>
      <c r="V151" s="141">
        <f>Statement!V115*Statement!V77</f>
        <v>18342.72</v>
      </c>
      <c r="W151" s="141">
        <f>Statement!W115*Statement!W77</f>
        <v>30833.919999999998</v>
      </c>
      <c r="X151" s="141">
        <f>Statement!X115*Statement!X77</f>
        <v>57383.33</v>
      </c>
      <c r="Y151" s="141">
        <f>Statement!Y115*Statement!Y77</f>
        <v>65973.2</v>
      </c>
      <c r="Z151" s="141">
        <f>Statement!Z115*Statement!Z77</f>
        <v>87002.319999999992</v>
      </c>
      <c r="AA151" s="141">
        <f>Statement!AA115*Statement!AA77</f>
        <v>194377.91999999998</v>
      </c>
      <c r="AC151" s="141">
        <f ca="1">Statement!AC115*Statement!AC77</f>
        <v>160394.49</v>
      </c>
    </row>
    <row r="152" spans="2:29" x14ac:dyDescent="0.2">
      <c r="B152" s="20" t="s">
        <v>187</v>
      </c>
      <c r="L152" s="141">
        <f t="shared" ref="L152:Q152" si="193">L151+L106-L105+L47+L44</f>
        <v>23946.9</v>
      </c>
      <c r="M152" s="141">
        <f t="shared" si="193"/>
        <v>19747.169999999998</v>
      </c>
      <c r="N152" s="141">
        <f t="shared" si="193"/>
        <v>17472.09</v>
      </c>
      <c r="O152" s="141">
        <f t="shared" si="193"/>
        <v>26312.51</v>
      </c>
      <c r="P152" s="141">
        <f t="shared" si="193"/>
        <v>34937.919999999998</v>
      </c>
      <c r="Q152" s="141">
        <f t="shared" si="193"/>
        <v>196238.91999999998</v>
      </c>
      <c r="T152" s="141">
        <f t="shared" ref="T152:Z152" si="194">T151+T106-T105+T47+T44</f>
        <v>28033.579999999998</v>
      </c>
      <c r="U152" s="141">
        <f t="shared" si="194"/>
        <v>23404.63</v>
      </c>
      <c r="V152" s="141">
        <f t="shared" si="194"/>
        <v>22674.720000000001</v>
      </c>
      <c r="W152" s="141">
        <f t="shared" si="194"/>
        <v>34937.919999999998</v>
      </c>
      <c r="X152" s="141">
        <f t="shared" si="194"/>
        <v>61265.33</v>
      </c>
      <c r="Y152" s="141">
        <f t="shared" si="194"/>
        <v>69426.2</v>
      </c>
      <c r="Z152" s="141">
        <f t="shared" si="194"/>
        <v>89719.319999999992</v>
      </c>
      <c r="AA152" s="141">
        <f t="shared" ref="AA152" si="195">AA151+AA106-AA105+AA47+AA44</f>
        <v>196238.91999999998</v>
      </c>
      <c r="AC152" s="141">
        <f ca="1">AC151+AC106-AC105+AC47+AC44</f>
        <v>162255.49</v>
      </c>
    </row>
    <row r="153" spans="2:29" x14ac:dyDescent="0.2">
      <c r="B153" s="20" t="s">
        <v>259</v>
      </c>
      <c r="L153" s="179">
        <f t="shared" ref="L153:Q153" si="196">L152/L5</f>
        <v>2.2420091751708644</v>
      </c>
      <c r="M153" s="179">
        <f t="shared" si="196"/>
        <v>1.6934370980190376</v>
      </c>
      <c r="N153" s="179">
        <f t="shared" si="196"/>
        <v>2.3662093716143011</v>
      </c>
      <c r="O153" s="179">
        <f t="shared" si="196"/>
        <v>4.0165638833765831</v>
      </c>
      <c r="P153" s="179">
        <f t="shared" si="196"/>
        <v>3.8405979993404418</v>
      </c>
      <c r="Q153" s="179">
        <f t="shared" si="196"/>
        <v>16.091752357523575</v>
      </c>
      <c r="T153" s="49"/>
      <c r="U153" s="49"/>
      <c r="V153" s="49"/>
      <c r="W153" s="49"/>
      <c r="X153" s="49"/>
      <c r="Y153" s="49"/>
      <c r="Z153" s="49"/>
      <c r="AA153" s="49"/>
      <c r="AC153" s="179">
        <f ca="1">AC152/AC5</f>
        <v>13.305083230832308</v>
      </c>
    </row>
    <row r="154" spans="2:29" x14ac:dyDescent="0.2">
      <c r="B154" s="20" t="s">
        <v>203</v>
      </c>
      <c r="L154" s="179">
        <f t="shared" ref="L154:Q154" si="197">L152/L11</f>
        <v>16.050201072386059</v>
      </c>
      <c r="M154" s="179">
        <f t="shared" si="197"/>
        <v>10.100854219948848</v>
      </c>
      <c r="N154" s="179">
        <f t="shared" si="197"/>
        <v>-51.087982456140352</v>
      </c>
      <c r="O154" s="179">
        <f t="shared" si="197"/>
        <v>58.213517699115037</v>
      </c>
      <c r="P154" s="179">
        <f t="shared" si="197"/>
        <v>18.485671957671958</v>
      </c>
      <c r="Q154" s="179">
        <f t="shared" si="197"/>
        <v>47.933297508549096</v>
      </c>
      <c r="T154" s="49"/>
      <c r="U154" s="49"/>
      <c r="V154" s="49"/>
      <c r="W154" s="49"/>
      <c r="X154" s="49"/>
      <c r="Y154" s="49"/>
      <c r="Z154" s="49"/>
      <c r="AA154" s="49"/>
      <c r="AC154" s="179">
        <f ca="1">AC152/AC11</f>
        <v>39.632508549096237</v>
      </c>
    </row>
    <row r="155" spans="2:29" x14ac:dyDescent="0.2">
      <c r="B155" s="20" t="s">
        <v>260</v>
      </c>
      <c r="L155" s="64">
        <f t="shared" ref="L155:Q155" si="198">L58-L53+L108+L64</f>
        <v>1016</v>
      </c>
      <c r="M155" s="64">
        <f t="shared" si="198"/>
        <v>1131</v>
      </c>
      <c r="N155" s="64">
        <f t="shared" si="198"/>
        <v>511</v>
      </c>
      <c r="O155" s="64">
        <f t="shared" si="198"/>
        <v>537</v>
      </c>
      <c r="P155" s="64">
        <f t="shared" si="198"/>
        <v>618</v>
      </c>
      <c r="Q155" s="64">
        <f t="shared" si="198"/>
        <v>2892</v>
      </c>
      <c r="T155" s="64">
        <f t="shared" ref="T155:Z155" si="199">T58-T53+T108+T64</f>
        <v>-11</v>
      </c>
      <c r="U155" s="64">
        <f t="shared" si="199"/>
        <v>101</v>
      </c>
      <c r="V155" s="64">
        <f t="shared" si="199"/>
        <v>162</v>
      </c>
      <c r="W155" s="64">
        <f t="shared" si="199"/>
        <v>366</v>
      </c>
      <c r="X155" s="64">
        <f t="shared" si="199"/>
        <v>375</v>
      </c>
      <c r="Y155" s="64">
        <f t="shared" si="199"/>
        <v>554</v>
      </c>
      <c r="Z155" s="64">
        <f t="shared" si="199"/>
        <v>899</v>
      </c>
      <c r="AA155" s="64">
        <f t="shared" ref="AA155" si="200">AA58-AA53+AA108+AA64</f>
        <v>1064</v>
      </c>
      <c r="AC155" s="64">
        <f>AC58-AC53+AC108+AC64</f>
        <v>2892</v>
      </c>
    </row>
    <row r="156" spans="2:29" x14ac:dyDescent="0.2">
      <c r="B156" s="20" t="s">
        <v>261</v>
      </c>
      <c r="L156" s="64">
        <f t="shared" ref="L156:Q156" si="201">L107+L52+L108+L54+L56+L57+L55</f>
        <v>1209.3679525222551</v>
      </c>
      <c r="M156" s="64">
        <f t="shared" si="201"/>
        <v>1347.0684931506848</v>
      </c>
      <c r="N156" s="64">
        <f t="shared" si="201"/>
        <v>1017</v>
      </c>
      <c r="O156" s="64">
        <f t="shared" si="201"/>
        <v>736.2696629213483</v>
      </c>
      <c r="P156" s="64">
        <f t="shared" si="201"/>
        <v>856.03635161929924</v>
      </c>
      <c r="Q156" s="64">
        <f t="shared" si="201"/>
        <v>3080.6005420054198</v>
      </c>
      <c r="T156" s="49"/>
      <c r="U156" s="49"/>
      <c r="V156" s="49"/>
      <c r="W156" s="49"/>
      <c r="X156" s="49"/>
      <c r="Y156" s="49"/>
      <c r="Z156" s="49"/>
      <c r="AA156" s="49"/>
      <c r="AC156" s="64">
        <f t="shared" ref="AC156" si="202">AC107+AC52+AC108+AC54+AC56+AC57+AC55</f>
        <v>3080.6005420054198</v>
      </c>
    </row>
    <row r="157" spans="2:29" x14ac:dyDescent="0.2">
      <c r="B157" s="20" t="s">
        <v>262</v>
      </c>
      <c r="L157" s="72">
        <f>L151/L155</f>
        <v>19.701673228346458</v>
      </c>
      <c r="M157" s="72">
        <f t="shared" ref="M157:P157" si="203">M151/M155</f>
        <v>13.011644562334217</v>
      </c>
      <c r="N157" s="72">
        <f t="shared" si="203"/>
        <v>25.062798434442271</v>
      </c>
      <c r="O157" s="72">
        <f t="shared" si="203"/>
        <v>40.961843575418989</v>
      </c>
      <c r="P157" s="72">
        <f t="shared" si="203"/>
        <v>49.893074433656956</v>
      </c>
      <c r="Q157" s="72">
        <f t="shared" ref="Q157" si="204">Q151/Q155</f>
        <v>67.212282157676341</v>
      </c>
      <c r="T157" s="49"/>
      <c r="U157" s="49"/>
      <c r="V157" s="49"/>
      <c r="W157" s="49"/>
      <c r="X157" s="49"/>
      <c r="Y157" s="49"/>
      <c r="Z157" s="49"/>
      <c r="AA157" s="49"/>
      <c r="AC157" s="72">
        <f t="shared" ref="AC157:AC158" ca="1" si="205">AC151/AC155</f>
        <v>55.461441908713688</v>
      </c>
    </row>
    <row r="158" spans="2:29" x14ac:dyDescent="0.2">
      <c r="B158" s="20" t="s">
        <v>263</v>
      </c>
      <c r="L158" s="72">
        <f>L152/L156</f>
        <v>19.801169652343109</v>
      </c>
      <c r="M158" s="72">
        <f t="shared" ref="M158:P158" si="206">M152/M156</f>
        <v>14.659365949397982</v>
      </c>
      <c r="N158" s="72">
        <f t="shared" si="206"/>
        <v>17.180029498525073</v>
      </c>
      <c r="O158" s="72">
        <f t="shared" si="206"/>
        <v>35.737599041631057</v>
      </c>
      <c r="P158" s="72">
        <f t="shared" si="206"/>
        <v>40.813593878239608</v>
      </c>
      <c r="Q158" s="72">
        <f t="shared" ref="Q158" si="207">Q152/Q156</f>
        <v>63.70151446907547</v>
      </c>
      <c r="T158" s="49"/>
      <c r="U158" s="49"/>
      <c r="V158" s="49"/>
      <c r="W158" s="49"/>
      <c r="X158" s="49"/>
      <c r="Y158" s="49"/>
      <c r="Z158" s="49"/>
      <c r="AA158" s="49"/>
      <c r="AC158" s="72">
        <f t="shared" ca="1" si="205"/>
        <v>52.670084221427281</v>
      </c>
    </row>
    <row r="159" spans="2:29" x14ac:dyDescent="0.2">
      <c r="B159" s="20" t="s">
        <v>264</v>
      </c>
      <c r="L159" s="74">
        <f>L155/L151</f>
        <v>5.0757110241845635E-2</v>
      </c>
      <c r="M159" s="74">
        <f t="shared" ref="M159:P159" si="208">M155/M151</f>
        <v>7.685423585076824E-2</v>
      </c>
      <c r="N159" s="74">
        <f t="shared" si="208"/>
        <v>3.9899774265660659E-2</v>
      </c>
      <c r="O159" s="74">
        <f t="shared" si="208"/>
        <v>2.4412963692876734E-2</v>
      </c>
      <c r="P159" s="74">
        <f t="shared" si="208"/>
        <v>2.0042861887168417E-2</v>
      </c>
      <c r="Q159" s="74">
        <f t="shared" ref="Q159" si="209">Q155/Q151</f>
        <v>1.4878233083263779E-2</v>
      </c>
      <c r="T159" s="49"/>
      <c r="U159" s="49"/>
      <c r="V159" s="49"/>
      <c r="W159" s="49"/>
      <c r="X159" s="49"/>
      <c r="Y159" s="49"/>
      <c r="Z159" s="49"/>
      <c r="AA159" s="49"/>
      <c r="AC159" s="74">
        <f t="shared" ref="AC159" ca="1" si="210">AC155/AC151</f>
        <v>1.8030544565464813E-2</v>
      </c>
    </row>
    <row r="160" spans="2:29" x14ac:dyDescent="0.2">
      <c r="B160" s="20" t="s">
        <v>265</v>
      </c>
      <c r="L160" s="74">
        <f t="shared" ref="L160:Q160" si="211">L25/L115</f>
        <v>6.1587958175341836E-2</v>
      </c>
      <c r="M160" s="74">
        <f t="shared" si="211"/>
        <v>0.10652771746996671</v>
      </c>
      <c r="N160" s="74">
        <f t="shared" si="211"/>
        <v>-4.1377080976240509E-2</v>
      </c>
      <c r="O160" s="74">
        <f t="shared" si="211"/>
        <v>1.529969981601627E-2</v>
      </c>
      <c r="P160" s="74">
        <f t="shared" si="211"/>
        <v>4.7864819004524883E-2</v>
      </c>
      <c r="Q160" s="74">
        <f t="shared" si="211"/>
        <v>1.6947912602419041E-2</v>
      </c>
      <c r="T160" s="49"/>
      <c r="U160" s="49"/>
      <c r="V160" s="49"/>
      <c r="W160" s="49"/>
      <c r="X160" s="49"/>
      <c r="Y160" s="49"/>
      <c r="Z160" s="49"/>
      <c r="AA160" s="49"/>
      <c r="AC160" s="74">
        <f ca="1">AC25/AC115</f>
        <v>2.0509183326684104E-2</v>
      </c>
    </row>
    <row r="161" spans="2:29" x14ac:dyDescent="0.2">
      <c r="B161" s="20" t="s">
        <v>266</v>
      </c>
      <c r="L161" s="152">
        <f t="shared" ref="L161:Q161" si="212">L81/L115</f>
        <v>3.0564173273583822E-2</v>
      </c>
      <c r="M161" s="152">
        <f t="shared" si="212"/>
        <v>4.0092632797799968E-2</v>
      </c>
      <c r="N161" s="152">
        <f t="shared" si="212"/>
        <v>4.5256182317763051E-2</v>
      </c>
      <c r="O161" s="152">
        <f t="shared" si="212"/>
        <v>2.7113392079016172E-2</v>
      </c>
      <c r="P161" s="152">
        <f t="shared" si="212"/>
        <v>2.0220588235294119E-2</v>
      </c>
      <c r="Q161" s="152">
        <f t="shared" si="212"/>
        <v>3.5602809207959424E-3</v>
      </c>
      <c r="T161" s="49"/>
      <c r="U161" s="49"/>
      <c r="V161" s="49"/>
      <c r="W161" s="49"/>
      <c r="X161" s="49"/>
      <c r="Y161" s="49"/>
      <c r="Z161" s="49"/>
      <c r="AA161" s="49"/>
      <c r="AC161" s="152">
        <f ca="1">AC81/AC115</f>
        <v>4.3146120543168286E-3</v>
      </c>
    </row>
    <row r="162" spans="2:29" x14ac:dyDescent="0.2">
      <c r="B162" s="20" t="s">
        <v>291</v>
      </c>
      <c r="L162" s="152">
        <f t="shared" ref="L162:Q162" si="213">-L62/L151</f>
        <v>0.10226358726875789</v>
      </c>
      <c r="M162" s="152">
        <f t="shared" si="213"/>
        <v>0.12224648125157565</v>
      </c>
      <c r="N162" s="152">
        <f t="shared" si="213"/>
        <v>3.1857354012504009E-2</v>
      </c>
      <c r="O162" s="152">
        <f t="shared" si="213"/>
        <v>0</v>
      </c>
      <c r="P162" s="152">
        <f t="shared" si="213"/>
        <v>0</v>
      </c>
      <c r="Q162" s="152">
        <f t="shared" si="213"/>
        <v>9.0545263577262276E-4</v>
      </c>
      <c r="T162" s="49"/>
      <c r="U162" s="49"/>
      <c r="V162" s="49"/>
      <c r="W162" s="49"/>
      <c r="X162" s="49"/>
      <c r="Y162" s="49"/>
      <c r="Z162" s="49"/>
      <c r="AA162" s="49"/>
      <c r="AC162" s="152">
        <f ca="1">-AC62/AC151</f>
        <v>1.0972945517018697E-3</v>
      </c>
    </row>
    <row r="163" spans="2:29" x14ac:dyDescent="0.2">
      <c r="B163" s="20" t="s">
        <v>293</v>
      </c>
      <c r="L163" s="152">
        <f t="shared" ref="L163:Q163" si="214">-(L62+L63)/L151</f>
        <v>0.13468619016930691</v>
      </c>
      <c r="M163" s="152">
        <f t="shared" si="214"/>
        <v>0.16369748378824109</v>
      </c>
      <c r="N163" s="152">
        <f t="shared" si="214"/>
        <v>7.7300932530340621E-2</v>
      </c>
      <c r="O163" s="152">
        <f t="shared" si="214"/>
        <v>2.6595128045312645E-2</v>
      </c>
      <c r="P163" s="152">
        <f t="shared" si="214"/>
        <v>1.9459089210843123E-2</v>
      </c>
      <c r="Q163" s="152">
        <f t="shared" si="214"/>
        <v>4.1671399714535481E-3</v>
      </c>
      <c r="T163" s="49"/>
      <c r="U163" s="49"/>
      <c r="V163" s="49"/>
      <c r="W163" s="49"/>
      <c r="X163" s="49"/>
      <c r="Y163" s="49"/>
      <c r="Z163" s="49"/>
      <c r="AA163" s="49"/>
      <c r="AC163" s="152">
        <f ca="1">-(AC62+AC63)/AC151</f>
        <v>5.0500487890824683E-3</v>
      </c>
    </row>
    <row r="164" spans="2:29" x14ac:dyDescent="0.2">
      <c r="B164" s="20" t="s">
        <v>340</v>
      </c>
      <c r="L164" s="152">
        <f t="shared" ref="L164:Q164" si="215">L156/L5</f>
        <v>0.11322609797980106</v>
      </c>
      <c r="M164" s="152">
        <f t="shared" si="215"/>
        <v>0.11551912298693807</v>
      </c>
      <c r="N164" s="152">
        <f t="shared" si="215"/>
        <v>0.13773022751895991</v>
      </c>
      <c r="O164" s="152">
        <f t="shared" si="215"/>
        <v>0.1123904232821475</v>
      </c>
      <c r="P164" s="152">
        <f t="shared" si="215"/>
        <v>9.4100951040925501E-2</v>
      </c>
      <c r="Q164" s="152">
        <f t="shared" si="215"/>
        <v>0.25261177056215006</v>
      </c>
      <c r="T164" s="49"/>
      <c r="U164" s="49"/>
      <c r="V164" s="49"/>
      <c r="W164" s="49"/>
      <c r="X164" s="49"/>
      <c r="Y164" s="49"/>
      <c r="Z164" s="49"/>
      <c r="AA164" s="49"/>
      <c r="AC164" s="152">
        <f>AC156/AC5</f>
        <v>0.25261177056215006</v>
      </c>
    </row>
    <row r="165" spans="2:29" x14ac:dyDescent="0.2">
      <c r="B165" s="20" t="s">
        <v>341</v>
      </c>
      <c r="L165" s="152">
        <f t="shared" ref="L165:Q165" si="216">L155/L5</f>
        <v>9.5122179571201199E-2</v>
      </c>
      <c r="M165" s="152">
        <f t="shared" si="216"/>
        <v>9.6989966555183951E-2</v>
      </c>
      <c r="N165" s="152">
        <f t="shared" si="216"/>
        <v>6.9203683640303354E-2</v>
      </c>
      <c r="O165" s="152">
        <f t="shared" si="216"/>
        <v>8.1972217981987477E-2</v>
      </c>
      <c r="P165" s="152">
        <f t="shared" si="216"/>
        <v>6.7934483895789821E-2</v>
      </c>
      <c r="Q165" s="152">
        <f t="shared" si="216"/>
        <v>0.23714637146371464</v>
      </c>
      <c r="T165" s="49"/>
      <c r="U165" s="49"/>
      <c r="V165" s="49"/>
      <c r="W165" s="49"/>
      <c r="X165" s="49"/>
      <c r="Y165" s="49"/>
      <c r="Z165" s="49"/>
      <c r="AA165" s="49"/>
      <c r="AC165" s="152">
        <f>AC155/AC5</f>
        <v>0.23714637146371464</v>
      </c>
    </row>
    <row r="166" spans="2:29" x14ac:dyDescent="0.2">
      <c r="B166" s="20" t="s">
        <v>269</v>
      </c>
      <c r="L166" s="152">
        <f t="shared" ref="L166:Q166" si="217">-L63/L155</f>
        <v>0.63877952755905509</v>
      </c>
      <c r="M166" s="152">
        <f t="shared" si="217"/>
        <v>0.53934571175950485</v>
      </c>
      <c r="N166" s="152">
        <f t="shared" si="217"/>
        <v>1.1389432485322897</v>
      </c>
      <c r="O166" s="152">
        <f t="shared" si="217"/>
        <v>1.0893854748603351</v>
      </c>
      <c r="P166" s="152">
        <f t="shared" si="217"/>
        <v>0.970873786407767</v>
      </c>
      <c r="Q166" s="152">
        <f t="shared" si="217"/>
        <v>0.21922544951590595</v>
      </c>
      <c r="T166" s="49"/>
      <c r="U166" s="49"/>
      <c r="V166" s="49"/>
      <c r="W166" s="49"/>
      <c r="X166" s="49"/>
      <c r="Y166" s="49"/>
      <c r="Z166" s="49"/>
      <c r="AA166" s="49"/>
      <c r="AC166" s="152">
        <f>-AC63/AC155</f>
        <v>0.21922544951590595</v>
      </c>
    </row>
    <row r="167" spans="2:29" x14ac:dyDescent="0.2">
      <c r="B167" s="20" t="s">
        <v>271</v>
      </c>
      <c r="L167" s="152">
        <f t="shared" ref="L167:Q167" si="218">-L62/L155</f>
        <v>2.0147637795275593</v>
      </c>
      <c r="M167" s="152">
        <f t="shared" si="218"/>
        <v>1.5906277630415562</v>
      </c>
      <c r="N167" s="152">
        <f t="shared" si="218"/>
        <v>0.79843444227005866</v>
      </c>
      <c r="O167" s="152">
        <f t="shared" si="218"/>
        <v>0</v>
      </c>
      <c r="P167" s="152">
        <f t="shared" si="218"/>
        <v>0</v>
      </c>
      <c r="Q167" s="152">
        <f t="shared" si="218"/>
        <v>6.0857538035961271E-2</v>
      </c>
      <c r="T167" s="49"/>
      <c r="U167" s="49"/>
      <c r="V167" s="49"/>
      <c r="W167" s="49"/>
      <c r="X167" s="49"/>
      <c r="Y167" s="49"/>
      <c r="Z167" s="49"/>
      <c r="AA167" s="49"/>
      <c r="AC167" s="152">
        <f>-AC62/AC155</f>
        <v>6.0857538035961271E-2</v>
      </c>
    </row>
    <row r="168" spans="2:29" x14ac:dyDescent="0.2">
      <c r="B168" s="20" t="s">
        <v>282</v>
      </c>
      <c r="L168" s="152">
        <f t="shared" ref="L168:Q168" si="219">(-L63-L62)/L155</f>
        <v>2.6535433070866143</v>
      </c>
      <c r="M168" s="152">
        <f t="shared" si="219"/>
        <v>2.1299734748010608</v>
      </c>
      <c r="N168" s="152">
        <f t="shared" si="219"/>
        <v>1.9373776908023483</v>
      </c>
      <c r="O168" s="152">
        <f t="shared" si="219"/>
        <v>1.0893854748603351</v>
      </c>
      <c r="P168" s="152">
        <f t="shared" si="219"/>
        <v>0.970873786407767</v>
      </c>
      <c r="Q168" s="152">
        <f t="shared" si="219"/>
        <v>0.28008298755186722</v>
      </c>
      <c r="T168" s="49"/>
      <c r="U168" s="49"/>
      <c r="V168" s="49"/>
      <c r="W168" s="49"/>
      <c r="X168" s="49"/>
      <c r="Y168" s="49"/>
      <c r="Z168" s="49"/>
      <c r="AA168" s="49"/>
      <c r="AC168" s="152">
        <f>(-AC63-AC62)/AC155</f>
        <v>0.28008298755186722</v>
      </c>
    </row>
    <row r="169" spans="2:29" x14ac:dyDescent="0.2">
      <c r="B169" s="20" t="s">
        <v>276</v>
      </c>
      <c r="L169" s="152">
        <f t="shared" ref="L169:Q169" si="220">L79/L77</f>
        <v>8.6956521739130436E-3</v>
      </c>
      <c r="M169" s="152">
        <f t="shared" si="220"/>
        <v>9.3896713615023476E-3</v>
      </c>
      <c r="N169" s="152">
        <f t="shared" si="220"/>
        <v>9.6618357487922701E-3</v>
      </c>
      <c r="O169" s="152">
        <f t="shared" si="220"/>
        <v>9.3896713615023476E-3</v>
      </c>
      <c r="P169" s="152">
        <f t="shared" si="220"/>
        <v>9.1743119266055051E-3</v>
      </c>
      <c r="Q169" s="152">
        <f t="shared" si="220"/>
        <v>8.4388185654008432E-3</v>
      </c>
      <c r="T169" s="49"/>
      <c r="U169" s="49"/>
      <c r="V169" s="49"/>
      <c r="W169" s="49"/>
      <c r="X169" s="49"/>
      <c r="Y169" s="49"/>
      <c r="Z169" s="49"/>
      <c r="AA169" s="49"/>
      <c r="AC169" s="152">
        <f>AC79/AC77</f>
        <v>8.4388185654008432E-3</v>
      </c>
    </row>
    <row r="170" spans="2:29" x14ac:dyDescent="0.2">
      <c r="B170" s="20" t="s">
        <v>277</v>
      </c>
      <c r="L170" s="72">
        <f t="shared" ref="L170:Q170" si="221">L105/L74</f>
        <v>5.3259911894273131</v>
      </c>
      <c r="M170" s="72">
        <f t="shared" si="221"/>
        <v>2.9425837320574164</v>
      </c>
      <c r="N170" s="72">
        <f t="shared" si="221"/>
        <v>3.7971014492753623</v>
      </c>
      <c r="O170" s="72">
        <f t="shared" si="221"/>
        <v>6.4666666666666668</v>
      </c>
      <c r="P170" s="72">
        <f t="shared" si="221"/>
        <v>4.183098591549296</v>
      </c>
      <c r="Q170" s="72">
        <f t="shared" si="221"/>
        <v>7.5066079295154182</v>
      </c>
      <c r="T170" s="72">
        <f t="shared" ref="T170:Z170" si="222">T105/T74</f>
        <v>5.8443396226415096</v>
      </c>
      <c r="U170" s="72">
        <f t="shared" si="222"/>
        <v>5.8396226415094343</v>
      </c>
      <c r="V170" s="72">
        <f t="shared" si="222"/>
        <v>3.8396226415094339</v>
      </c>
      <c r="W170" s="72">
        <f t="shared" si="222"/>
        <v>4.183098591549296</v>
      </c>
      <c r="X170" s="72">
        <f t="shared" si="222"/>
        <v>5.1962616822429908</v>
      </c>
      <c r="Y170" s="72">
        <f t="shared" si="222"/>
        <v>4.7981651376146788</v>
      </c>
      <c r="Z170" s="72">
        <f t="shared" si="222"/>
        <v>5.1160714285714288</v>
      </c>
      <c r="AA170" s="72">
        <f t="shared" ref="AA170" si="223">AA105/AA74</f>
        <v>7.5066079295154182</v>
      </c>
      <c r="AC170" s="72">
        <f>AC105/AC74</f>
        <v>7.5066079295154182</v>
      </c>
    </row>
    <row r="171" spans="2:29" x14ac:dyDescent="0.2">
      <c r="B171" s="20" t="s">
        <v>279</v>
      </c>
      <c r="L171" s="152">
        <f t="shared" ref="L171:Q171" si="224">L53/L58</f>
        <v>6.8880688806888066E-2</v>
      </c>
      <c r="M171" s="152">
        <f t="shared" si="224"/>
        <v>8.7507543753771871E-2</v>
      </c>
      <c r="N171" s="152">
        <f t="shared" si="224"/>
        <v>0.12208067940552017</v>
      </c>
      <c r="O171" s="152">
        <f t="shared" si="224"/>
        <v>0.1383442265795207</v>
      </c>
      <c r="P171" s="152">
        <f t="shared" si="224"/>
        <v>0.18467220683287167</v>
      </c>
      <c r="Q171" s="152">
        <f t="shared" si="224"/>
        <v>5.7974959172563963E-2</v>
      </c>
      <c r="T171" s="152">
        <f t="shared" ref="T171:Z171" si="225">T53/T58</f>
        <v>0.4</v>
      </c>
      <c r="U171" s="152">
        <f t="shared" si="225"/>
        <v>0.22171945701357465</v>
      </c>
      <c r="V171" s="152">
        <f t="shared" si="225"/>
        <v>0.20849420849420849</v>
      </c>
      <c r="W171" s="152">
        <f t="shared" si="225"/>
        <v>0.11614173228346457</v>
      </c>
      <c r="X171" s="152">
        <f t="shared" si="225"/>
        <v>9.7744360902255634E-2</v>
      </c>
      <c r="Y171" s="152">
        <f t="shared" si="225"/>
        <v>7.3305670816044263E-2</v>
      </c>
      <c r="Z171" s="152">
        <f t="shared" si="225"/>
        <v>4.8473967684021541E-2</v>
      </c>
      <c r="AA171" s="152">
        <f t="shared" ref="AA171" si="226">AA53/AA58</f>
        <v>4.1379310344827586E-2</v>
      </c>
      <c r="AC171" s="152">
        <f>AC53/AC58</f>
        <v>5.7974959172563963E-2</v>
      </c>
    </row>
    <row r="172" spans="2:29" x14ac:dyDescent="0.2">
      <c r="B172" s="20" t="s">
        <v>280</v>
      </c>
      <c r="L172" s="152">
        <f t="shared" ref="L172:Q172" si="227">L53/L5</f>
        <v>1.0485909559030053E-2</v>
      </c>
      <c r="M172" s="152">
        <f t="shared" si="227"/>
        <v>1.2434611096818454E-2</v>
      </c>
      <c r="N172" s="152">
        <f t="shared" si="227"/>
        <v>1.5574214517876489E-2</v>
      </c>
      <c r="O172" s="152">
        <f t="shared" si="227"/>
        <v>1.938635322851473E-2</v>
      </c>
      <c r="P172" s="152">
        <f t="shared" si="227"/>
        <v>2.1985269869187644E-2</v>
      </c>
      <c r="Q172" s="152">
        <f t="shared" si="227"/>
        <v>1.7466174661746617E-2</v>
      </c>
      <c r="T172" s="152">
        <f t="shared" ref="T172:Z172" si="228">T53/T5</f>
        <v>1.7527675276752766E-2</v>
      </c>
      <c r="U172" s="152">
        <f t="shared" si="228"/>
        <v>2.1075268817204302E-2</v>
      </c>
      <c r="V172" s="152">
        <f t="shared" si="228"/>
        <v>2.5000000000000001E-2</v>
      </c>
      <c r="W172" s="152">
        <f t="shared" si="228"/>
        <v>2.4140752864157119E-2</v>
      </c>
      <c r="X172" s="152">
        <f t="shared" si="228"/>
        <v>1.9779383796120199E-2</v>
      </c>
      <c r="Y172" s="152">
        <f t="shared" si="228"/>
        <v>1.8761061946902656E-2</v>
      </c>
      <c r="Z172" s="152">
        <f t="shared" si="228"/>
        <v>1.7352185089974295E-2</v>
      </c>
      <c r="AA172" s="152">
        <f t="shared" ref="AA172" si="229">AA53/AA5</f>
        <v>1.4880132267842381E-2</v>
      </c>
      <c r="AC172" s="152">
        <f>AC53/AC5</f>
        <v>1.7466174661746617E-2</v>
      </c>
    </row>
    <row r="173" spans="2:29" x14ac:dyDescent="0.2">
      <c r="B173" s="20" t="s">
        <v>285</v>
      </c>
      <c r="L173" s="72">
        <f t="shared" ref="L173:Q173" si="230">(L105-L106)/L74</f>
        <v>-17.312775330396477</v>
      </c>
      <c r="M173" s="72">
        <f t="shared" si="230"/>
        <v>-24.071770334928228</v>
      </c>
      <c r="N173" s="72">
        <f t="shared" si="230"/>
        <v>-22.536231884057973</v>
      </c>
      <c r="O173" s="72">
        <f t="shared" si="230"/>
        <v>-20.552380952380954</v>
      </c>
      <c r="P173" s="72">
        <f t="shared" si="230"/>
        <v>-19.267605633802816</v>
      </c>
      <c r="Q173" s="72">
        <f t="shared" si="230"/>
        <v>-8.1982378854625555</v>
      </c>
      <c r="T173" s="72">
        <f t="shared" ref="T173:Z173" si="231">(T105-T106)/T74</f>
        <v>-20.929245283018869</v>
      </c>
      <c r="U173" s="72">
        <f t="shared" si="231"/>
        <v>-20.94811320754717</v>
      </c>
      <c r="V173" s="72">
        <f t="shared" si="231"/>
        <v>-20.433962264150942</v>
      </c>
      <c r="W173" s="72">
        <f t="shared" si="231"/>
        <v>-19.267605633802816</v>
      </c>
      <c r="X173" s="72">
        <f t="shared" si="231"/>
        <v>-18.140186915887849</v>
      </c>
      <c r="Y173" s="72">
        <f t="shared" si="231"/>
        <v>-15.839449541284404</v>
      </c>
      <c r="Z173" s="72">
        <f t="shared" si="231"/>
        <v>-12.129464285714286</v>
      </c>
      <c r="AA173" s="72">
        <f t="shared" ref="AA173" si="232">(AA105-AA106)/AA74</f>
        <v>-8.1982378854625555</v>
      </c>
      <c r="AC173" s="72">
        <f>(AC105-AC106)/AC74</f>
        <v>-8.1982378854625555</v>
      </c>
    </row>
    <row r="174" spans="2:29" x14ac:dyDescent="0.2">
      <c r="B174" s="20" t="s">
        <v>290</v>
      </c>
      <c r="L174" s="152">
        <f t="shared" ref="L174:Q174" si="233">(L105-L106)/L151</f>
        <v>-0.19633409768745408</v>
      </c>
      <c r="M174" s="152">
        <f t="shared" si="233"/>
        <v>-0.34186884223272768</v>
      </c>
      <c r="N174" s="152">
        <f t="shared" si="233"/>
        <v>-0.36425136389296864</v>
      </c>
      <c r="O174" s="152">
        <f t="shared" si="233"/>
        <v>-0.19621294468986217</v>
      </c>
      <c r="P174" s="152">
        <f t="shared" si="233"/>
        <v>-0.13310017020216697</v>
      </c>
      <c r="Q174" s="152">
        <f t="shared" si="233"/>
        <v>-9.5741326998457447E-3</v>
      </c>
      <c r="T174" s="49"/>
      <c r="U174" s="49"/>
      <c r="V174" s="49"/>
      <c r="W174" s="49"/>
      <c r="X174" s="49"/>
      <c r="Y174" s="49"/>
      <c r="Z174" s="49"/>
      <c r="AA174" s="49"/>
      <c r="AC174" s="152">
        <f ca="1">(AC105-AC106)/AC151</f>
        <v>-1.1602642958620337E-2</v>
      </c>
    </row>
    <row r="175" spans="2:29" x14ac:dyDescent="0.2">
      <c r="B175" s="20" t="s">
        <v>299</v>
      </c>
      <c r="L175" s="152">
        <f t="shared" ref="L175:Q175" si="234">-L108/L5</f>
        <v>4.6624847860687199E-2</v>
      </c>
      <c r="M175" s="152">
        <f t="shared" si="234"/>
        <v>3.2673012606122973E-2</v>
      </c>
      <c r="N175" s="152">
        <f t="shared" si="234"/>
        <v>4.2795232936078009E-2</v>
      </c>
      <c r="O175" s="152">
        <f t="shared" si="234"/>
        <v>3.877270645702946E-2</v>
      </c>
      <c r="P175" s="152">
        <f t="shared" si="234"/>
        <v>2.9130482576673628E-2</v>
      </c>
      <c r="Q175" s="152">
        <f t="shared" si="234"/>
        <v>4.6658466584665846E-2</v>
      </c>
      <c r="T175" s="152">
        <f t="shared" ref="T175:Z175" si="235">-T108/T5</f>
        <v>3.136531365313653E-2</v>
      </c>
      <c r="U175" s="152">
        <f t="shared" si="235"/>
        <v>3.053763440860215E-2</v>
      </c>
      <c r="V175" s="152">
        <f t="shared" si="235"/>
        <v>1.9907407407407408E-2</v>
      </c>
      <c r="W175" s="152">
        <f t="shared" si="235"/>
        <v>3.3960720130932896E-2</v>
      </c>
      <c r="X175" s="152">
        <f t="shared" si="235"/>
        <v>3.9939140357550397E-2</v>
      </c>
      <c r="Y175" s="152">
        <f t="shared" si="235"/>
        <v>4.1061946902654869E-2</v>
      </c>
      <c r="Z175" s="152">
        <f t="shared" si="235"/>
        <v>5.1735218508997427E-2</v>
      </c>
      <c r="AA175" s="152">
        <f t="shared" ref="AA175" si="236">-AA108/AA5</f>
        <v>5.1529346927528245E-2</v>
      </c>
      <c r="AC175" s="152">
        <f>-AC108/AC5</f>
        <v>4.6658466584665846E-2</v>
      </c>
    </row>
    <row r="176" spans="2:29" x14ac:dyDescent="0.2">
      <c r="B176" s="20" t="s">
        <v>300</v>
      </c>
      <c r="L176" s="152">
        <f t="shared" ref="L176:Q176" si="237">-(L108/L58)</f>
        <v>0.30627306273062732</v>
      </c>
      <c r="M176" s="152">
        <f t="shared" si="237"/>
        <v>0.22993361496680748</v>
      </c>
      <c r="N176" s="152">
        <f t="shared" si="237"/>
        <v>0.3354564755838641</v>
      </c>
      <c r="O176" s="152">
        <f t="shared" si="237"/>
        <v>0.27668845315904139</v>
      </c>
      <c r="P176" s="152">
        <f t="shared" si="237"/>
        <v>0.24469067405355494</v>
      </c>
      <c r="Q176" s="152">
        <f t="shared" si="237"/>
        <v>0.15487207403375067</v>
      </c>
      <c r="T176" s="152">
        <f t="shared" ref="T176:Z176" si="238">-(T108/T58)</f>
        <v>0.71578947368421053</v>
      </c>
      <c r="U176" s="152">
        <f t="shared" si="238"/>
        <v>0.32126696832579188</v>
      </c>
      <c r="V176" s="152">
        <f t="shared" si="238"/>
        <v>0.16602316602316602</v>
      </c>
      <c r="W176" s="152">
        <f t="shared" si="238"/>
        <v>0.16338582677165353</v>
      </c>
      <c r="X176" s="152">
        <f t="shared" si="238"/>
        <v>0.19736842105263158</v>
      </c>
      <c r="Y176" s="152">
        <f t="shared" si="238"/>
        <v>0.16044260027662519</v>
      </c>
      <c r="Z176" s="152">
        <f t="shared" si="238"/>
        <v>0.14452423698384201</v>
      </c>
      <c r="AA176" s="152">
        <f t="shared" ref="AA176" si="239">-(AA108/AA58)</f>
        <v>0.14329501915708812</v>
      </c>
      <c r="AC176" s="152">
        <f>-(AC108/AC58)</f>
        <v>0.15487207403375067</v>
      </c>
    </row>
    <row r="177" spans="1:31" x14ac:dyDescent="0.2">
      <c r="B177" s="20" t="s">
        <v>301</v>
      </c>
      <c r="L177" s="152">
        <f t="shared" ref="L177:Q177" si="240">-L108/L52</f>
        <v>1.2544080604534005</v>
      </c>
      <c r="M177" s="152">
        <f t="shared" si="240"/>
        <v>0.84478935698447899</v>
      </c>
      <c r="N177" s="152">
        <f t="shared" si="240"/>
        <v>0.61598440545808963</v>
      </c>
      <c r="O177" s="152">
        <f t="shared" si="240"/>
        <v>0.96212121212121215</v>
      </c>
      <c r="P177" s="152">
        <f t="shared" si="240"/>
        <v>1.0557768924302788</v>
      </c>
      <c r="Q177" s="152">
        <f t="shared" si="240"/>
        <v>2.0615942028985508</v>
      </c>
      <c r="T177" s="152">
        <f t="shared" ref="T177:Z177" si="241">-T108/T52</f>
        <v>1.0625</v>
      </c>
      <c r="U177" s="152">
        <f t="shared" si="241"/>
        <v>1.126984126984127</v>
      </c>
      <c r="V177" s="152">
        <f t="shared" si="241"/>
        <v>0.68253968253968256</v>
      </c>
      <c r="W177" s="152">
        <f t="shared" si="241"/>
        <v>1.360655737704918</v>
      </c>
      <c r="X177" s="152">
        <f t="shared" si="241"/>
        <v>1.4583333333333333</v>
      </c>
      <c r="Y177" s="152">
        <f t="shared" si="241"/>
        <v>1.7058823529411764</v>
      </c>
      <c r="Z177" s="152">
        <f t="shared" si="241"/>
        <v>2.4393939393939394</v>
      </c>
      <c r="AA177" s="152">
        <f t="shared" ref="AA177" si="242">-AA108/AA52</f>
        <v>2.6714285714285713</v>
      </c>
      <c r="AC177" s="152">
        <f>-AC108/AC52</f>
        <v>2.0615942028985508</v>
      </c>
    </row>
    <row r="178" spans="1:31" x14ac:dyDescent="0.2">
      <c r="B178" s="20" t="s">
        <v>353</v>
      </c>
      <c r="L178" s="220">
        <f t="shared" ref="L178:Q178" si="243">L5/L36</f>
        <v>1.2312391930835735</v>
      </c>
      <c r="M178" s="220">
        <f t="shared" si="243"/>
        <v>1.3037790697674418</v>
      </c>
      <c r="N178" s="220">
        <f t="shared" si="243"/>
        <v>0.97723663313922715</v>
      </c>
      <c r="O178" s="220">
        <f t="shared" si="243"/>
        <v>0.84649179480553038</v>
      </c>
      <c r="P178" s="220">
        <f t="shared" si="243"/>
        <v>1.133865137729029</v>
      </c>
      <c r="Q178" s="220">
        <f t="shared" si="243"/>
        <v>1.2229241877256318</v>
      </c>
      <c r="T178" s="49"/>
      <c r="U178" s="49"/>
      <c r="V178" s="49"/>
      <c r="W178" s="49"/>
      <c r="X178" s="49"/>
      <c r="Y178" s="49"/>
      <c r="Z178" s="49"/>
      <c r="AA178" s="49"/>
      <c r="AC178" s="220">
        <f>AC5/AC36</f>
        <v>1.2229241877256318</v>
      </c>
    </row>
    <row r="179" spans="1:31" x14ac:dyDescent="0.2">
      <c r="B179" s="20" t="s">
        <v>350</v>
      </c>
      <c r="L179" s="222">
        <f t="shared" ref="L179:Q179" si="244">IF(AND(L11&gt;0,L106&gt;0),L106/L11,"N/A")</f>
        <v>3.4443699731903483</v>
      </c>
      <c r="M179" s="222">
        <f t="shared" si="244"/>
        <v>2.8879795396419436</v>
      </c>
      <c r="N179" s="222" t="str">
        <f t="shared" si="244"/>
        <v>N/A</v>
      </c>
      <c r="O179" s="222">
        <f t="shared" si="244"/>
        <v>12.553097345132743</v>
      </c>
      <c r="P179" s="222">
        <f t="shared" si="244"/>
        <v>2.6428571428571428</v>
      </c>
      <c r="Q179" s="222">
        <f t="shared" si="244"/>
        <v>0.8707865168539326</v>
      </c>
      <c r="T179" s="49"/>
      <c r="U179" s="49"/>
      <c r="V179" s="49"/>
      <c r="W179" s="49"/>
      <c r="X179" s="49"/>
      <c r="Y179" s="49"/>
      <c r="Z179" s="49"/>
      <c r="AA179" s="49"/>
      <c r="AC179" s="222">
        <f>IF(AND(AC11&gt;0,AC106&gt;0),AC106/AC11,"N/A")</f>
        <v>0.8707865168539326</v>
      </c>
    </row>
    <row r="180" spans="1:31" x14ac:dyDescent="0.2">
      <c r="B180" s="20" t="s">
        <v>351</v>
      </c>
      <c r="L180" s="222">
        <f t="shared" ref="L180:Q180" si="245">IF(AND(L11&gt;0,L106&gt;0),(L106-L105)/L11,"N/A")</f>
        <v>2.6340482573726542</v>
      </c>
      <c r="M180" s="222">
        <f t="shared" si="245"/>
        <v>2.5734015345268544</v>
      </c>
      <c r="N180" s="222" t="str">
        <f t="shared" si="245"/>
        <v>N/A</v>
      </c>
      <c r="O180" s="222">
        <f t="shared" si="245"/>
        <v>9.5486725663716818</v>
      </c>
      <c r="P180" s="222">
        <f t="shared" si="245"/>
        <v>2.1714285714285713</v>
      </c>
      <c r="Q180" s="222">
        <f t="shared" si="245"/>
        <v>0.45456765999022958</v>
      </c>
      <c r="T180" s="49"/>
      <c r="U180" s="49"/>
      <c r="V180" s="49"/>
      <c r="W180" s="49"/>
      <c r="X180" s="49"/>
      <c r="Y180" s="49"/>
      <c r="Z180" s="49"/>
      <c r="AA180" s="49"/>
      <c r="AC180" s="222">
        <f>IF(AND(AC11&gt;0,AC106&gt;0),(AC106-AC105)/AC11,"N/A")</f>
        <v>0.45456765999022958</v>
      </c>
    </row>
    <row r="181" spans="1:31" x14ac:dyDescent="0.2">
      <c r="B181" s="20" t="s">
        <v>352</v>
      </c>
      <c r="L181" s="222">
        <f t="shared" ref="L181:Q181" si="246">L5/(L106+L110-L105)</f>
        <v>2.3418110063582547</v>
      </c>
      <c r="M181" s="222">
        <f t="shared" si="246"/>
        <v>2.2686770428015564</v>
      </c>
      <c r="N181" s="222">
        <f t="shared" si="246"/>
        <v>2.1304096941719561</v>
      </c>
      <c r="O181" s="222">
        <f t="shared" si="246"/>
        <v>2.3189380530973454</v>
      </c>
      <c r="P181" s="222">
        <f t="shared" si="246"/>
        <v>2.4916461243494932</v>
      </c>
      <c r="Q181" s="222">
        <f t="shared" si="246"/>
        <v>3.0275571002979147</v>
      </c>
      <c r="T181" s="49"/>
      <c r="U181" s="49"/>
      <c r="V181" s="49"/>
      <c r="W181" s="49"/>
      <c r="X181" s="49"/>
      <c r="Y181" s="49"/>
      <c r="Z181" s="49"/>
      <c r="AA181" s="49"/>
      <c r="AC181" s="222">
        <f>AC5/(AC106+AC110-AC105)</f>
        <v>3.0275571002979147</v>
      </c>
    </row>
    <row r="183" spans="1:31" x14ac:dyDescent="0.2">
      <c r="B183" s="1"/>
    </row>
    <row r="184" spans="1:31" s="15" customFormat="1" ht="17" thickBot="1" x14ac:dyDescent="0.25">
      <c r="A184" s="11"/>
      <c r="B184" s="14" t="s">
        <v>80</v>
      </c>
      <c r="R184" s="1"/>
      <c r="S184" s="1"/>
      <c r="AB184" s="1"/>
      <c r="AD184" s="1"/>
      <c r="AE184" s="1"/>
    </row>
    <row r="185" spans="1:31" x14ac:dyDescent="0.2">
      <c r="B185" s="20" t="s">
        <v>398</v>
      </c>
      <c r="C185" s="62"/>
      <c r="D185" s="62"/>
      <c r="E185" s="62"/>
      <c r="F185" s="62"/>
      <c r="G185" s="62"/>
      <c r="H185" s="62"/>
      <c r="I185" s="62"/>
      <c r="J185" s="62"/>
      <c r="K185" s="62"/>
      <c r="L185" s="21">
        <v>0</v>
      </c>
      <c r="M185" s="21">
        <v>0</v>
      </c>
      <c r="N185" s="21">
        <v>0</v>
      </c>
      <c r="O185" s="21">
        <v>0</v>
      </c>
      <c r="P185" s="21">
        <v>6796</v>
      </c>
      <c r="Q185" s="21">
        <v>9771</v>
      </c>
      <c r="T185" s="21">
        <v>1582</v>
      </c>
      <c r="U185" s="21">
        <v>1736</v>
      </c>
      <c r="V185" s="21">
        <v>1615</v>
      </c>
      <c r="W185" s="21">
        <v>1863</v>
      </c>
      <c r="X185" s="21">
        <v>2114</v>
      </c>
      <c r="Y185" s="21">
        <v>2224</v>
      </c>
      <c r="Z185" s="21">
        <v>2500</v>
      </c>
      <c r="AA185" s="21">
        <v>2933</v>
      </c>
      <c r="AC185" s="62">
        <f>SUM(X185:AA185)</f>
        <v>9771</v>
      </c>
    </row>
    <row r="186" spans="1:31" x14ac:dyDescent="0.2">
      <c r="B186" s="20" t="s">
        <v>399</v>
      </c>
      <c r="C186" s="62"/>
      <c r="D186" s="62"/>
      <c r="E186" s="62"/>
      <c r="F186" s="62"/>
      <c r="G186" s="62"/>
      <c r="H186" s="62"/>
      <c r="I186" s="62"/>
      <c r="J186" s="62"/>
      <c r="K186" s="62"/>
      <c r="L186" s="21">
        <v>0</v>
      </c>
      <c r="M186" s="21">
        <v>0</v>
      </c>
      <c r="N186" s="21">
        <v>0</v>
      </c>
      <c r="O186" s="21">
        <v>0</v>
      </c>
      <c r="P186" s="21">
        <v>2300</v>
      </c>
      <c r="Q186" s="21">
        <v>2425</v>
      </c>
      <c r="T186" s="21">
        <v>585</v>
      </c>
      <c r="U186" s="21">
        <v>589</v>
      </c>
      <c r="V186" s="21">
        <v>545</v>
      </c>
      <c r="W186" s="21">
        <v>581</v>
      </c>
      <c r="X186" s="21">
        <v>515</v>
      </c>
      <c r="Y186" s="21">
        <v>601</v>
      </c>
      <c r="Z186" s="21">
        <v>612</v>
      </c>
      <c r="AA186" s="21">
        <v>697</v>
      </c>
      <c r="AC186" s="62">
        <f t="shared" ref="AC186" si="247">SUM(X186:AA186)</f>
        <v>2425</v>
      </c>
    </row>
    <row r="187" spans="1:31" x14ac:dyDescent="0.2">
      <c r="C187" s="21"/>
      <c r="D187" s="21"/>
      <c r="E187" s="21"/>
      <c r="F187" s="21"/>
      <c r="G187" s="21"/>
      <c r="H187" s="21"/>
      <c r="I187" s="21"/>
      <c r="J187" s="21"/>
      <c r="K187" s="21"/>
      <c r="L187" s="21"/>
      <c r="AC187" s="62"/>
    </row>
    <row r="188" spans="1:31" x14ac:dyDescent="0.2">
      <c r="B188" s="1"/>
    </row>
    <row r="189" spans="1:31" ht="17" thickBot="1" x14ac:dyDescent="0.25">
      <c r="B189" s="14" t="s">
        <v>310</v>
      </c>
      <c r="C189" s="167"/>
      <c r="D189" s="167"/>
      <c r="E189" s="167"/>
      <c r="F189" s="167"/>
      <c r="G189" s="167"/>
      <c r="H189" s="167"/>
      <c r="I189" s="167"/>
      <c r="J189" s="167"/>
      <c r="K189" s="167"/>
      <c r="L189" s="167"/>
      <c r="M189" s="167"/>
      <c r="N189" s="167"/>
      <c r="O189" s="167"/>
      <c r="P189" s="167"/>
      <c r="Q189" s="167"/>
      <c r="T189" s="167"/>
      <c r="U189" s="167"/>
      <c r="V189" s="167"/>
      <c r="W189" s="167"/>
      <c r="X189" s="167"/>
      <c r="Y189" s="167"/>
      <c r="Z189" s="167"/>
      <c r="AA189" s="167"/>
      <c r="AC189" s="167"/>
    </row>
    <row r="190" spans="1:31" x14ac:dyDescent="0.2">
      <c r="B190" s="20" t="str">
        <f>B185</f>
        <v>Datacenter</v>
      </c>
      <c r="C190" s="81"/>
      <c r="D190" s="81"/>
      <c r="E190" s="81"/>
      <c r="F190" s="81"/>
      <c r="G190" s="81"/>
      <c r="H190" s="81"/>
      <c r="I190" s="81"/>
      <c r="J190" s="81"/>
      <c r="K190" s="81"/>
      <c r="L190" s="81">
        <f t="shared" ref="L190:L191" si="248">IF(K185=0,
IF(L185=0,0,IF(L185&gt;0,1,-1)),
(L185-K185)/ABS(K185)
)</f>
        <v>0</v>
      </c>
      <c r="M190" s="81">
        <f t="shared" ref="M190:M191" si="249">IF(L185=0,
IF(M185=0,0,IF(M185&gt;0,1,-1)),
(M185-L185)/ABS(L185)
)</f>
        <v>0</v>
      </c>
      <c r="N190" s="81">
        <f t="shared" ref="N190:N191" si="250">IF(M185=0,
IF(N185=0,0,IF(N185&gt;0,1,-1)),
(N185-M185)/ABS(M185)
)</f>
        <v>0</v>
      </c>
      <c r="O190" s="81">
        <f t="shared" ref="O190:O191" si="251">IF(N185=0,
IF(O185=0,0,IF(O185&gt;0,1,-1)),
(O185-N185)/ABS(N185)
)</f>
        <v>0</v>
      </c>
      <c r="P190" s="81">
        <f t="shared" ref="P190:P191" si="252">IF(O185=0,
IF(P185=0,0,IF(P185&gt;0,1,-1)),
(P185-O185)/ABS(O185)
)</f>
        <v>1</v>
      </c>
      <c r="Q190" s="81">
        <f t="shared" ref="Q190:Q191" si="253">IF(P185=0,
IF(Q185=0,0,IF(Q185&gt;0,1,-1)),
(Q185-P185)/ABS(P185)
)</f>
        <v>0.4377575044143614</v>
      </c>
      <c r="T190" s="81">
        <f t="shared" ref="T190:T191" si="254">IF(S185=0,
IF(T185=0,0,IF(T185&gt;0,1,-1)),
(T185-S185)/ABS(S185)
)</f>
        <v>1</v>
      </c>
      <c r="U190" s="81">
        <f t="shared" ref="U190:U191" si="255">IF(T185=0,
IF(U185=0,0,IF(U185&gt;0,1,-1)),
(U185-T185)/ABS(T185)
)</f>
        <v>9.7345132743362831E-2</v>
      </c>
      <c r="V190" s="81">
        <f t="shared" ref="V190:V191" si="256">IF(U185=0,
IF(V185=0,0,IF(V185&gt;0,1,-1)),
(V185-U185)/ABS(U185)
)</f>
        <v>-6.9700460829493091E-2</v>
      </c>
      <c r="W190" s="81">
        <f t="shared" ref="W190:W191" si="257">IF(V185=0,
IF(W185=0,0,IF(W185&gt;0,1,-1)),
(W185-V185)/ABS(V185)
)</f>
        <v>0.15356037151702787</v>
      </c>
      <c r="X190" s="81">
        <f t="shared" ref="X190:X191" si="258">IF(W185=0,
IF(X185=0,0,IF(X185&gt;0,1,-1)),
(X185-W185)/ABS(W185)
)</f>
        <v>0.13472893183038109</v>
      </c>
      <c r="Y190" s="81">
        <f t="shared" ref="Y190:Y191" si="259">IF(X185=0,
IF(Y185=0,0,IF(Y185&gt;0,1,-1)),
(Y185-X185)/ABS(X185)
)</f>
        <v>5.2034058656575212E-2</v>
      </c>
      <c r="Z190" s="81">
        <f t="shared" ref="Z190:Z191" si="260">IF(Y185=0,
IF(Z185=0,0,IF(Z185&gt;0,1,-1)),
(Z185-Y185)/ABS(Y185)
)</f>
        <v>0.12410071942446044</v>
      </c>
      <c r="AA190" s="81">
        <f t="shared" ref="AA190:AA191" si="261">IF(Z185=0,
IF(AA185=0,0,IF(AA185&gt;0,1,-1)),
(AA185-Z185)/ABS(Z185)
)</f>
        <v>0.17319999999999999</v>
      </c>
      <c r="AC190" s="49"/>
    </row>
    <row r="191" spans="1:31" x14ac:dyDescent="0.2">
      <c r="B191" s="20" t="str">
        <f>B186</f>
        <v>Edge &amp; IoT</v>
      </c>
      <c r="L191" s="81">
        <f t="shared" si="248"/>
        <v>0</v>
      </c>
      <c r="M191" s="81">
        <f t="shared" si="249"/>
        <v>0</v>
      </c>
      <c r="N191" s="81">
        <f t="shared" si="250"/>
        <v>0</v>
      </c>
      <c r="O191" s="81">
        <f t="shared" si="251"/>
        <v>0</v>
      </c>
      <c r="P191" s="81">
        <f t="shared" si="252"/>
        <v>1</v>
      </c>
      <c r="Q191" s="81">
        <f t="shared" si="253"/>
        <v>5.434782608695652E-2</v>
      </c>
      <c r="T191" s="81">
        <f t="shared" si="254"/>
        <v>1</v>
      </c>
      <c r="U191" s="81">
        <f t="shared" si="255"/>
        <v>6.8376068376068376E-3</v>
      </c>
      <c r="V191" s="81">
        <f t="shared" si="256"/>
        <v>-7.4702886247877756E-2</v>
      </c>
      <c r="W191" s="81">
        <f t="shared" si="257"/>
        <v>6.6055045871559637E-2</v>
      </c>
      <c r="X191" s="81">
        <f t="shared" si="258"/>
        <v>-0.11359724612736662</v>
      </c>
      <c r="Y191" s="81">
        <f t="shared" si="259"/>
        <v>0.16699029126213591</v>
      </c>
      <c r="Z191" s="81">
        <f t="shared" si="260"/>
        <v>1.8302828618968387E-2</v>
      </c>
      <c r="AA191" s="81">
        <f t="shared" si="261"/>
        <v>0.1388888888888889</v>
      </c>
      <c r="AC191" s="49"/>
    </row>
    <row r="193" spans="1:31" x14ac:dyDescent="0.2">
      <c r="B193" s="1"/>
    </row>
    <row r="194" spans="1:31" ht="17" thickBot="1" x14ac:dyDescent="0.25">
      <c r="B194" s="14" t="s">
        <v>311</v>
      </c>
      <c r="C194" s="167"/>
      <c r="D194" s="167"/>
      <c r="E194" s="167"/>
      <c r="F194" s="167"/>
      <c r="G194" s="167"/>
      <c r="H194" s="167"/>
      <c r="I194" s="167"/>
      <c r="J194" s="167"/>
      <c r="K194" s="167"/>
      <c r="L194" s="167"/>
      <c r="M194" s="167"/>
      <c r="N194" s="167"/>
      <c r="O194" s="167"/>
      <c r="P194" s="167"/>
      <c r="Q194" s="167"/>
      <c r="T194" s="167"/>
      <c r="U194" s="167"/>
      <c r="V194" s="167"/>
      <c r="W194" s="167"/>
      <c r="X194" s="167"/>
      <c r="Y194" s="167"/>
      <c r="Z194" s="167"/>
      <c r="AA194" s="167"/>
      <c r="AC194" s="167"/>
    </row>
    <row r="195" spans="1:31" x14ac:dyDescent="0.2">
      <c r="B195" s="20" t="s">
        <v>283</v>
      </c>
      <c r="C195" s="81"/>
      <c r="D195" s="81"/>
      <c r="E195" s="81"/>
      <c r="F195" s="81"/>
      <c r="G195" s="81"/>
      <c r="H195" s="81"/>
      <c r="I195" s="81"/>
      <c r="J195" s="81"/>
      <c r="K195" s="81"/>
      <c r="L195" s="81">
        <f t="shared" ref="L195:Q195" si="262">IF(K63=0,
IF(L63=0,0,IF(L63&gt;0,1,-1)),
(L63-K63)/K63
)</f>
        <v>-1</v>
      </c>
      <c r="M195" s="81">
        <f t="shared" si="262"/>
        <v>-6.0092449922958396E-2</v>
      </c>
      <c r="N195" s="81">
        <f t="shared" si="262"/>
        <v>-4.5901639344262293E-2</v>
      </c>
      <c r="O195" s="81">
        <f t="shared" si="262"/>
        <v>5.1546391752577319E-3</v>
      </c>
      <c r="P195" s="81">
        <f t="shared" si="262"/>
        <v>2.564102564102564E-2</v>
      </c>
      <c r="Q195" s="81">
        <f t="shared" si="262"/>
        <v>5.6666666666666664E-2</v>
      </c>
      <c r="T195" s="49"/>
      <c r="U195" s="49"/>
      <c r="V195" s="49"/>
      <c r="W195" s="49"/>
      <c r="X195" s="49"/>
      <c r="Y195" s="49"/>
      <c r="Z195" s="49"/>
      <c r="AA195" s="49"/>
      <c r="AC195" s="49"/>
    </row>
    <row r="197" spans="1:31" x14ac:dyDescent="0.2">
      <c r="B197" s="1"/>
    </row>
    <row r="198" spans="1:31" ht="17" thickBot="1" x14ac:dyDescent="0.25">
      <c r="B198" s="14" t="s">
        <v>345</v>
      </c>
      <c r="C198" s="167"/>
      <c r="D198" s="167"/>
      <c r="E198" s="167"/>
      <c r="F198" s="167"/>
      <c r="G198" s="167"/>
      <c r="H198" s="167"/>
      <c r="I198" s="167"/>
      <c r="J198" s="167"/>
      <c r="K198" s="167"/>
      <c r="L198" s="167"/>
      <c r="M198" s="167"/>
      <c r="N198" s="167"/>
      <c r="O198" s="167"/>
      <c r="P198" s="167"/>
      <c r="Q198" s="167"/>
      <c r="T198" s="167"/>
      <c r="U198" s="167"/>
      <c r="V198" s="167"/>
      <c r="W198" s="167"/>
      <c r="X198" s="167"/>
      <c r="Y198" s="167"/>
      <c r="Z198" s="167"/>
      <c r="AA198" s="167"/>
      <c r="AC198" s="167"/>
    </row>
    <row r="199" spans="1:31" x14ac:dyDescent="0.2">
      <c r="B199" s="20" t="s">
        <v>346</v>
      </c>
      <c r="L199" s="141">
        <v>100</v>
      </c>
      <c r="M199" s="141">
        <f>100*(1+((M115-$M115)/ABS($M115)))</f>
        <v>100</v>
      </c>
      <c r="N199" s="141">
        <f>100*(1+((N115-$M115)/ABS($M115)))</f>
        <v>89.549862498190762</v>
      </c>
      <c r="O199" s="141">
        <f>100*(1+((O115-$M115)/ABS($M115)))</f>
        <v>149.47170357504703</v>
      </c>
      <c r="P199" s="141">
        <f>100*(1+((P115-$M115)/ABS($M115)))</f>
        <v>204.718483137936</v>
      </c>
      <c r="Q199" s="141">
        <f>100*(1+((Q115-$M115)/ABS($M115)))</f>
        <v>1187.0893038066288</v>
      </c>
      <c r="T199" s="49"/>
      <c r="U199" s="49"/>
      <c r="V199" s="49"/>
      <c r="W199" s="49"/>
      <c r="X199" s="49"/>
      <c r="Y199" s="49"/>
      <c r="Z199" s="49"/>
      <c r="AA199" s="49"/>
      <c r="AC199" s="49"/>
    </row>
    <row r="200" spans="1:31" x14ac:dyDescent="0.2">
      <c r="B200" s="20" t="s">
        <v>347</v>
      </c>
      <c r="L200" s="141">
        <v>100</v>
      </c>
      <c r="M200" s="141">
        <f>100*(1+((M5-$M5)/ABS($M5)))</f>
        <v>100</v>
      </c>
      <c r="N200" s="141">
        <f>100*(1+((N5-$M5)/ABS($M5)))</f>
        <v>63.322185061315494</v>
      </c>
      <c r="O200" s="141">
        <f>100*(1+((O5-$M5)/ABS($M5)))</f>
        <v>56.17871537603979</v>
      </c>
      <c r="P200" s="141">
        <f>100*(1+((P5-$M5)/ABS($M5)))</f>
        <v>78.012177343281024</v>
      </c>
      <c r="Q200" s="141">
        <f>100*(1+((Q5-$M5)/ABS($M5)))</f>
        <v>104.57936712117315</v>
      </c>
      <c r="T200" s="49"/>
      <c r="U200" s="49"/>
      <c r="V200" s="49"/>
      <c r="W200" s="49"/>
      <c r="X200" s="49"/>
      <c r="Y200" s="49"/>
      <c r="Z200" s="49"/>
      <c r="AA200" s="49"/>
      <c r="AC200" s="49"/>
    </row>
    <row r="201" spans="1:31" x14ac:dyDescent="0.2">
      <c r="B201" s="20" t="s">
        <v>348</v>
      </c>
      <c r="L201" s="141">
        <v>100</v>
      </c>
      <c r="M201" s="141">
        <f>100*(1+((M25-$M25)/ABS($M25)))</f>
        <v>100</v>
      </c>
      <c r="N201" s="141">
        <f>100*(1+((N25-$M25)/ABS($M25)))</f>
        <v>-34.782608695652172</v>
      </c>
      <c r="O201" s="141">
        <f>100*(1+((O25-$M25)/ABS($M25)))</f>
        <v>21.467391304347828</v>
      </c>
      <c r="P201" s="141">
        <f>100*(1+((P25-$M25)/ABS($M25)))</f>
        <v>91.983695652173907</v>
      </c>
      <c r="Q201" s="141">
        <f>100*(1+((Q25-$M25)/ABS($M25)))</f>
        <v>188.85869565217394</v>
      </c>
      <c r="T201" s="49"/>
      <c r="U201" s="49"/>
      <c r="V201" s="49"/>
      <c r="W201" s="49"/>
      <c r="X201" s="49"/>
      <c r="Y201" s="49"/>
      <c r="Z201" s="49"/>
      <c r="AA201" s="49"/>
      <c r="AC201" s="49"/>
    </row>
    <row r="203" spans="1:31" x14ac:dyDescent="0.2">
      <c r="B203" s="1"/>
    </row>
    <row r="204" spans="1:31" s="15" customFormat="1" ht="17" thickBot="1" x14ac:dyDescent="0.25">
      <c r="A204" s="11"/>
      <c r="B204" s="14" t="s">
        <v>109</v>
      </c>
      <c r="R204" s="1"/>
      <c r="S204" s="1"/>
      <c r="AB204" s="1"/>
      <c r="AD204" s="1"/>
      <c r="AE204" s="1"/>
    </row>
    <row r="205" spans="1:31" x14ac:dyDescent="0.2">
      <c r="B205" s="20" t="s">
        <v>387</v>
      </c>
      <c r="C205" s="62"/>
      <c r="D205" s="62"/>
      <c r="E205" s="62"/>
      <c r="F205" s="62"/>
      <c r="G205" s="62"/>
      <c r="H205" s="62"/>
      <c r="I205" s="62"/>
      <c r="J205" s="62"/>
      <c r="K205" s="62"/>
      <c r="L205" s="62">
        <v>0</v>
      </c>
      <c r="M205" s="62">
        <v>0</v>
      </c>
      <c r="N205" s="62">
        <v>0</v>
      </c>
      <c r="O205" s="62">
        <v>0</v>
      </c>
      <c r="P205" s="62">
        <v>594.6</v>
      </c>
      <c r="Q205" s="62">
        <v>789</v>
      </c>
      <c r="T205" s="62">
        <v>138</v>
      </c>
      <c r="U205" s="62">
        <v>151</v>
      </c>
      <c r="V205" s="62">
        <v>143.6</v>
      </c>
      <c r="W205" s="62">
        <v>162</v>
      </c>
      <c r="X205" s="62">
        <v>182</v>
      </c>
      <c r="Y205" s="62">
        <v>190</v>
      </c>
      <c r="Z205" s="62">
        <v>199.4</v>
      </c>
      <c r="AA205" s="62">
        <v>218</v>
      </c>
      <c r="AC205" s="62">
        <f>SUM(X205:AA205)</f>
        <v>789.4</v>
      </c>
    </row>
    <row r="206" spans="1:31" x14ac:dyDescent="0.2">
      <c r="B206" s="231" t="s">
        <v>388</v>
      </c>
      <c r="C206" s="62"/>
      <c r="D206" s="62"/>
      <c r="E206" s="62"/>
      <c r="F206" s="62"/>
      <c r="G206" s="62"/>
      <c r="H206" s="62"/>
      <c r="I206" s="62"/>
      <c r="J206" s="62"/>
      <c r="K206" s="62"/>
      <c r="L206" s="62">
        <v>0</v>
      </c>
      <c r="M206" s="62">
        <v>0</v>
      </c>
      <c r="N206" s="62">
        <v>0</v>
      </c>
      <c r="O206" s="62">
        <v>0</v>
      </c>
      <c r="P206" s="62">
        <v>496.6</v>
      </c>
      <c r="Q206" s="62">
        <v>695</v>
      </c>
      <c r="T206" s="62">
        <v>114</v>
      </c>
      <c r="U206" s="62">
        <v>126</v>
      </c>
      <c r="V206" s="62">
        <v>119.6</v>
      </c>
      <c r="W206" s="62">
        <v>137</v>
      </c>
      <c r="X206" s="62">
        <v>159</v>
      </c>
      <c r="Y206" s="62">
        <v>165</v>
      </c>
      <c r="Z206" s="62">
        <v>175.4</v>
      </c>
      <c r="AA206" s="62">
        <v>195</v>
      </c>
      <c r="AC206" s="62">
        <f t="shared" ref="AC206:AC207" si="263">SUM(X206:AA206)</f>
        <v>694.4</v>
      </c>
    </row>
    <row r="207" spans="1:31" x14ac:dyDescent="0.2">
      <c r="B207" s="231" t="s">
        <v>389</v>
      </c>
      <c r="C207" s="62"/>
      <c r="D207" s="62"/>
      <c r="E207" s="62"/>
      <c r="F207" s="62"/>
      <c r="G207" s="62"/>
      <c r="H207" s="62"/>
      <c r="I207" s="62"/>
      <c r="J207" s="62"/>
      <c r="K207" s="62"/>
      <c r="L207" s="62">
        <v>0</v>
      </c>
      <c r="M207" s="62">
        <v>0</v>
      </c>
      <c r="N207" s="62">
        <v>0</v>
      </c>
      <c r="O207" s="62">
        <v>0</v>
      </c>
      <c r="P207" s="62">
        <v>98</v>
      </c>
      <c r="Q207" s="62">
        <v>94</v>
      </c>
      <c r="T207" s="62">
        <v>23</v>
      </c>
      <c r="U207" s="62">
        <v>25</v>
      </c>
      <c r="V207" s="62">
        <v>24</v>
      </c>
      <c r="W207" s="62">
        <v>26</v>
      </c>
      <c r="X207" s="62">
        <v>22</v>
      </c>
      <c r="Y207" s="62">
        <v>25</v>
      </c>
      <c r="Z207" s="62">
        <v>24</v>
      </c>
      <c r="AA207" s="62">
        <v>23</v>
      </c>
      <c r="AC207" s="62">
        <f t="shared" si="263"/>
        <v>94</v>
      </c>
    </row>
    <row r="208" spans="1:31" x14ac:dyDescent="0.2">
      <c r="B208" s="231"/>
      <c r="C208" s="62"/>
      <c r="D208" s="62"/>
      <c r="E208" s="62"/>
      <c r="F208" s="62"/>
      <c r="G208" s="62"/>
      <c r="H208" s="62"/>
      <c r="I208" s="62"/>
      <c r="J208" s="62"/>
      <c r="K208" s="62"/>
      <c r="L208" s="62"/>
      <c r="M208" s="62"/>
      <c r="N208" s="62"/>
      <c r="O208" s="62"/>
      <c r="P208" s="62"/>
      <c r="Q208" s="62"/>
      <c r="T208" s="62"/>
      <c r="U208" s="62"/>
      <c r="V208" s="62"/>
      <c r="W208" s="62"/>
      <c r="X208" s="62"/>
      <c r="Y208" s="62"/>
      <c r="Z208" s="62"/>
      <c r="AA208" s="62"/>
      <c r="AC208" s="62"/>
    </row>
    <row r="209" spans="2:29" x14ac:dyDescent="0.2">
      <c r="B209" s="232" t="s">
        <v>390</v>
      </c>
      <c r="C209" s="62"/>
      <c r="D209" s="62"/>
      <c r="E209" s="62"/>
      <c r="F209" s="62"/>
      <c r="G209" s="62"/>
      <c r="H209" s="62"/>
      <c r="I209" s="62"/>
      <c r="J209" s="62"/>
      <c r="K209" s="62"/>
      <c r="L209" s="63" t="e">
        <f t="shared" ref="L209:O209" si="264">L185/L206</f>
        <v>#DIV/0!</v>
      </c>
      <c r="M209" s="63" t="e">
        <f t="shared" si="264"/>
        <v>#DIV/0!</v>
      </c>
      <c r="N209" s="63" t="e">
        <f t="shared" si="264"/>
        <v>#DIV/0!</v>
      </c>
      <c r="O209" s="63" t="e">
        <f t="shared" si="264"/>
        <v>#DIV/0!</v>
      </c>
      <c r="P209" s="63">
        <f>P185/P206</f>
        <v>13.685058397100281</v>
      </c>
      <c r="Q209" s="63">
        <f>Q185/Q206</f>
        <v>14.058992805755397</v>
      </c>
      <c r="T209" s="63">
        <f t="shared" ref="T209:Z209" si="265">T185/T206</f>
        <v>13.87719298245614</v>
      </c>
      <c r="U209" s="63">
        <f t="shared" si="265"/>
        <v>13.777777777777779</v>
      </c>
      <c r="V209" s="63">
        <f t="shared" si="265"/>
        <v>13.503344481605351</v>
      </c>
      <c r="W209" s="63">
        <f t="shared" si="265"/>
        <v>13.598540145985401</v>
      </c>
      <c r="X209" s="63">
        <f t="shared" si="265"/>
        <v>13.29559748427673</v>
      </c>
      <c r="Y209" s="63">
        <f t="shared" si="265"/>
        <v>13.478787878787879</v>
      </c>
      <c r="Z209" s="63">
        <f t="shared" si="265"/>
        <v>14.253135689851767</v>
      </c>
      <c r="AA209" s="63">
        <f t="shared" ref="AA209:AC209" si="266">AA185/AA206</f>
        <v>15.041025641025641</v>
      </c>
      <c r="AC209" s="63">
        <f t="shared" si="266"/>
        <v>14.071140552995391</v>
      </c>
    </row>
    <row r="210" spans="2:29" x14ac:dyDescent="0.2">
      <c r="B210" s="231"/>
      <c r="C210" s="62"/>
      <c r="D210" s="62"/>
      <c r="E210" s="62"/>
      <c r="F210" s="62"/>
      <c r="G210" s="62"/>
      <c r="H210" s="62"/>
      <c r="I210" s="62"/>
      <c r="J210" s="62"/>
      <c r="K210" s="62"/>
      <c r="L210" s="62"/>
      <c r="M210" s="62"/>
      <c r="N210" s="62"/>
      <c r="O210" s="62"/>
      <c r="P210" s="62"/>
      <c r="Q210" s="62"/>
      <c r="T210" s="62"/>
      <c r="U210" s="62"/>
      <c r="V210" s="62"/>
      <c r="W210" s="62"/>
      <c r="X210" s="62"/>
      <c r="Y210" s="62"/>
      <c r="Z210" s="62"/>
      <c r="AA210" s="62"/>
      <c r="AC210" s="62"/>
    </row>
    <row r="211" spans="2:29" x14ac:dyDescent="0.2">
      <c r="B211" s="1"/>
    </row>
  </sheetData>
  <pageMargins left="0.7" right="0.7" top="0.75" bottom="0.75" header="0.3" footer="0.3"/>
  <ignoredErrors>
    <ignoredError sqref="AC22 AC80 AC65 AC52:AC56 AC58:AC61 AC5:AC9 AC63:AC64 AC11:AC18" formulaRange="1"/>
    <ignoredError sqref="AC19:AC20 AC23:AC24" formula="1" formulaRange="1"/>
    <ignoredError sqref="Q122"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codeName="Sheet4">
    <tabColor theme="6" tint="0.59999389629810485"/>
  </sheetPr>
  <dimension ref="B5:H13"/>
  <sheetViews>
    <sheetView workbookViewId="0">
      <selection activeCell="H5" sqref="H5:H10"/>
    </sheetView>
  </sheetViews>
  <sheetFormatPr baseColWidth="10" defaultRowHeight="16" x14ac:dyDescent="0.2"/>
  <cols>
    <col min="1" max="7" width="10.83203125" style="1"/>
    <col min="8" max="8" width="18.6640625" style="1" customWidth="1"/>
    <col min="9" max="16384" width="10.83203125" style="1"/>
  </cols>
  <sheetData>
    <row r="5" spans="2:8" x14ac:dyDescent="0.2">
      <c r="H5" s="132" t="s">
        <v>434</v>
      </c>
    </row>
    <row r="6" spans="2:8" x14ac:dyDescent="0.2">
      <c r="H6" s="244" t="s">
        <v>439</v>
      </c>
    </row>
    <row r="7" spans="2:8" x14ac:dyDescent="0.2">
      <c r="H7" s="244" t="s">
        <v>435</v>
      </c>
    </row>
    <row r="8" spans="2:8" x14ac:dyDescent="0.2">
      <c r="H8" s="244" t="s">
        <v>436</v>
      </c>
    </row>
    <row r="9" spans="2:8" x14ac:dyDescent="0.2">
      <c r="H9" s="244" t="s">
        <v>437</v>
      </c>
    </row>
    <row r="10" spans="2:8" x14ac:dyDescent="0.2">
      <c r="H10" s="245" t="s">
        <v>438</v>
      </c>
    </row>
    <row r="13" spans="2:8" s="4" customFormat="1" ht="49" x14ac:dyDescent="0.2">
      <c r="B13" s="3" t="s">
        <v>231</v>
      </c>
    </row>
  </sheetData>
  <hyperlinks>
    <hyperlink ref="H6" location="Overview!B3" display="Overview'!B3" xr:uid="{251D58DD-32C8-2140-B84C-BE7C425C40AF}"/>
    <hyperlink ref="H8" location="'Analysis -&gt;'!B13" display="'Analysis -&gt;'!B13" xr:uid="{14CFDF64-2EA4-0442-8B8D-E537BF6B2D37}"/>
    <hyperlink ref="H9" location="'Forecast -&gt;'!B13" display="'Forecast -&gt;'!B13" xr:uid="{66302CD3-F76E-4D41-8C04-2D48B6B76C30}"/>
    <hyperlink ref="H10" location="'Valuation -&gt;'!B13" display="'Valuation -&gt;'!B13" xr:uid="{167D24A7-9C93-B24B-92B1-A504314798FB}"/>
    <hyperlink ref="H7" location="'Financials -&gt;'!B13" display="'Financials -&gt;'!B13" xr:uid="{8CE0858A-BEBE-6746-81D0-913C93F9219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sheetPr codeName="Sheet5"/>
  <dimension ref="B1:G61"/>
  <sheetViews>
    <sheetView topLeftCell="A50" zoomScale="173" workbookViewId="0">
      <selection activeCell="B58" sqref="B58:B61"/>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273</v>
      </c>
    </row>
    <row r="4" spans="2:7" x14ac:dyDescent="0.2">
      <c r="B4" s="249" t="s">
        <v>232</v>
      </c>
      <c r="C4" s="249"/>
      <c r="E4" s="249" t="s">
        <v>239</v>
      </c>
      <c r="F4" s="249"/>
      <c r="G4" s="249"/>
    </row>
    <row r="5" spans="2:7" x14ac:dyDescent="0.2">
      <c r="B5" s="20" t="s">
        <v>1</v>
      </c>
      <c r="C5" s="168">
        <f ca="1">Overview!C5</f>
        <v>676.77</v>
      </c>
      <c r="E5" s="12"/>
      <c r="F5" s="132" t="s">
        <v>240</v>
      </c>
      <c r="G5" s="132" t="s">
        <v>241</v>
      </c>
    </row>
    <row r="6" spans="2:7" x14ac:dyDescent="0.2">
      <c r="B6" s="20" t="s">
        <v>238</v>
      </c>
      <c r="C6" s="169">
        <f ca="1">Statement!AC151</f>
        <v>160394.49</v>
      </c>
      <c r="E6" s="20" t="s">
        <v>19</v>
      </c>
      <c r="F6" s="174">
        <f>IF(Statement!M5&lt;=0,"N/A",_xlfn.RRI(4,Statement!M5,Statement!Q5))</f>
        <v>1.125691029112641E-2</v>
      </c>
      <c r="G6" s="174" t="str">
        <f>IF(Statement!H5&lt;=0,"N/A",_xlfn.RRI(9,Statement!H5,Statement!Q5))</f>
        <v>N/A</v>
      </c>
    </row>
    <row r="7" spans="2:7" x14ac:dyDescent="0.2">
      <c r="B7" s="20" t="s">
        <v>187</v>
      </c>
      <c r="C7" s="169">
        <f ca="1">Statement!AC152</f>
        <v>162255.49</v>
      </c>
      <c r="E7" s="20" t="s">
        <v>30</v>
      </c>
      <c r="F7" s="174">
        <f>IF(OR(Statement!M17&lt;=0, Statement!Q17&lt;=0), "N/A", _xlfn.RRI(4, Statement!M17, Statement!Q17))</f>
        <v>0.17879449999109109</v>
      </c>
      <c r="G7" s="174" t="str">
        <f>IF(OR(Statement!H17&lt;=0, Statement!Q17&lt;=0), "N/A", _xlfn.RRI(9, Statement!H17, Statement!Q17))</f>
        <v>N/A</v>
      </c>
    </row>
    <row r="8" spans="2:7" x14ac:dyDescent="0.2">
      <c r="B8" s="20" t="s">
        <v>236</v>
      </c>
      <c r="C8" s="170">
        <f ca="1">Statement!AC148</f>
        <v>48.758645533141205</v>
      </c>
      <c r="E8" s="20" t="s">
        <v>242</v>
      </c>
      <c r="F8" s="174">
        <f>IF(OR(Statement!M25&lt;=0, Statement!Q25&lt;=0), "N/A", _xlfn.RRI(4, Statement!M25, Statement!Q25))</f>
        <v>0.17228780316506631</v>
      </c>
      <c r="G8" s="174" t="str">
        <f>IF(OR(Statement!H25&lt;=0, Statement!Q25&lt;=0), "N/A", _xlfn.RRI(9, Statement!H25, Statement!Q25))</f>
        <v>N/A</v>
      </c>
    </row>
    <row r="9" spans="2:7" x14ac:dyDescent="0.2">
      <c r="B9" s="20" t="s">
        <v>200</v>
      </c>
      <c r="C9" s="170">
        <f ca="1">Statement!AC149</f>
        <v>12.694640221402214</v>
      </c>
      <c r="E9" s="20" t="s">
        <v>243</v>
      </c>
      <c r="F9" s="174">
        <f>IF(Statement!M81&lt;=0,"N/A",_xlfn.RRI(4,Statement!M81,Statement!Q81))</f>
        <v>1.3271367128538714E-2</v>
      </c>
      <c r="G9" s="174" t="str">
        <f>IF(Statement!H81&lt;=0,"N/A",_xlfn.RRI(9,Statement!H81,Statement!Q81))</f>
        <v>N/A</v>
      </c>
    </row>
    <row r="10" spans="2:7" x14ac:dyDescent="0.2">
      <c r="B10" s="20" t="s">
        <v>237</v>
      </c>
      <c r="C10" s="170">
        <f ca="1">Statement!AC150</f>
        <v>70.893765574526995</v>
      </c>
      <c r="E10" s="20" t="s">
        <v>1</v>
      </c>
      <c r="F10" s="174">
        <f>IF(Statement!M115&lt;=0,"N/A",_xlfn.RRI(4,Statement!M115,Statement!Q115))</f>
        <v>0.85618324413891456</v>
      </c>
      <c r="G10" s="174" t="str">
        <f>IF(Statement!H115&lt;=0,"N/A",_xlfn.RRI(9,Statement!H115,Statement!Q115))</f>
        <v>N/A</v>
      </c>
    </row>
    <row r="11" spans="2:7" x14ac:dyDescent="0.2">
      <c r="B11" s="20" t="s">
        <v>259</v>
      </c>
      <c r="C11" s="170">
        <f ca="1">Statement!AC153</f>
        <v>13.305083230832308</v>
      </c>
    </row>
    <row r="12" spans="2:7" x14ac:dyDescent="0.2">
      <c r="B12" s="20" t="s">
        <v>203</v>
      </c>
      <c r="C12" s="170">
        <f ca="1">Statement!AC154</f>
        <v>39.632508549096237</v>
      </c>
    </row>
    <row r="15" spans="2:7" x14ac:dyDescent="0.2">
      <c r="B15" s="249" t="s">
        <v>76</v>
      </c>
      <c r="C15" s="249"/>
      <c r="E15" s="249" t="s">
        <v>245</v>
      </c>
      <c r="F15" s="249"/>
    </row>
    <row r="16" spans="2:7" x14ac:dyDescent="0.2">
      <c r="B16" s="20" t="s">
        <v>77</v>
      </c>
      <c r="C16" s="171">
        <f>Statement!AC99</f>
        <v>0.45576055760557604</v>
      </c>
      <c r="E16" s="20" t="s">
        <v>30</v>
      </c>
      <c r="F16" s="169">
        <f>Statement!AC17</f>
        <v>3184</v>
      </c>
    </row>
    <row r="17" spans="2:6" x14ac:dyDescent="0.2">
      <c r="B17" s="20" t="s">
        <v>78</v>
      </c>
      <c r="C17" s="171">
        <f>Statement!AC100</f>
        <v>0.33571135711357114</v>
      </c>
      <c r="E17" s="20" t="s">
        <v>246</v>
      </c>
      <c r="F17" s="169">
        <f>Statement!AC58</f>
        <v>3674</v>
      </c>
    </row>
    <row r="18" spans="2:6" x14ac:dyDescent="0.2">
      <c r="B18" s="20" t="s">
        <v>79</v>
      </c>
      <c r="C18" s="171">
        <f>Statement!AC101</f>
        <v>0.26109061090610908</v>
      </c>
      <c r="E18" s="20" t="s">
        <v>253</v>
      </c>
      <c r="F18" s="173">
        <f>IF(OR(F16&lt;=0, F17&lt;=0),"N/A",F16-F17)</f>
        <v>-490</v>
      </c>
    </row>
    <row r="21" spans="2:6" x14ac:dyDescent="0.2">
      <c r="B21" s="249" t="s">
        <v>244</v>
      </c>
      <c r="C21" s="249"/>
      <c r="E21" s="249" t="s">
        <v>248</v>
      </c>
      <c r="F21" s="249"/>
    </row>
    <row r="22" spans="2:6" x14ac:dyDescent="0.2">
      <c r="B22" s="20" t="s">
        <v>99</v>
      </c>
      <c r="C22" s="171">
        <f>Statement!AC119</f>
        <v>0.26109061090610908</v>
      </c>
      <c r="E22" s="20" t="s">
        <v>101</v>
      </c>
      <c r="F22" s="171">
        <f>C24</f>
        <v>0.31929402326514245</v>
      </c>
    </row>
    <row r="23" spans="2:6" x14ac:dyDescent="0.2">
      <c r="B23" s="20" t="s">
        <v>100</v>
      </c>
      <c r="C23" s="170">
        <f>Statement!AC120</f>
        <v>1.2229241877256318</v>
      </c>
      <c r="E23" s="20" t="s">
        <v>103</v>
      </c>
      <c r="F23" s="171">
        <f>C26</f>
        <v>1.4693124134748501</v>
      </c>
    </row>
    <row r="24" spans="2:6" x14ac:dyDescent="0.2">
      <c r="B24" s="32" t="s">
        <v>101</v>
      </c>
      <c r="C24" s="172">
        <f>Statement!AC121</f>
        <v>0.31929402326514245</v>
      </c>
      <c r="E24" s="20" t="s">
        <v>104</v>
      </c>
      <c r="F24" s="171">
        <f>Statement!AC138</f>
        <v>0.87701105809469215</v>
      </c>
    </row>
    <row r="25" spans="2:6" x14ac:dyDescent="0.2">
      <c r="B25" s="20" t="s">
        <v>102</v>
      </c>
      <c r="C25" s="170">
        <f>Statement!AC122</f>
        <v>4.6017535763728654</v>
      </c>
    </row>
    <row r="26" spans="2:6" x14ac:dyDescent="0.2">
      <c r="B26" s="32" t="s">
        <v>103</v>
      </c>
      <c r="C26" s="172">
        <f>Statement!AC123</f>
        <v>1.4693124134748501</v>
      </c>
    </row>
    <row r="29" spans="2:6" x14ac:dyDescent="0.2">
      <c r="B29" s="249" t="s">
        <v>249</v>
      </c>
      <c r="C29" s="249"/>
      <c r="E29" s="249" t="s">
        <v>255</v>
      </c>
      <c r="F29" s="249"/>
    </row>
    <row r="30" spans="2:6" x14ac:dyDescent="0.2">
      <c r="B30" s="20" t="s">
        <v>138</v>
      </c>
      <c r="C30" s="170">
        <f>Statement!AC139</f>
        <v>45.913079130791303</v>
      </c>
      <c r="E30" s="20" t="s">
        <v>256</v>
      </c>
      <c r="F30" s="176">
        <f>Statement!AC143</f>
        <v>1.6451315182279649</v>
      </c>
    </row>
    <row r="31" spans="2:6" x14ac:dyDescent="0.2">
      <c r="B31" s="20" t="s">
        <v>139</v>
      </c>
      <c r="C31" s="170">
        <f>Statement!AC140</f>
        <v>86.396715383456382</v>
      </c>
      <c r="E31" s="20" t="s">
        <v>257</v>
      </c>
      <c r="F31" s="176">
        <f>Statement!AC144</f>
        <v>0.8587909552376557</v>
      </c>
    </row>
    <row r="32" spans="2:6" x14ac:dyDescent="0.2">
      <c r="B32" s="20" t="s">
        <v>140</v>
      </c>
      <c r="C32" s="170">
        <f>Statement!AC141</f>
        <v>96.130781979810152</v>
      </c>
      <c r="E32" s="20" t="s">
        <v>252</v>
      </c>
      <c r="F32" s="176">
        <f>Statement!AC146</f>
        <v>1.669651423089223</v>
      </c>
    </row>
    <row r="33" spans="2:6" x14ac:dyDescent="0.2">
      <c r="B33" s="20" t="s">
        <v>141</v>
      </c>
      <c r="C33" s="170">
        <f>Statement!AC142</f>
        <v>36.179012534437547</v>
      </c>
      <c r="E33" s="20" t="s">
        <v>251</v>
      </c>
      <c r="F33" s="176">
        <f>Statement!AC145</f>
        <v>1.0354972817396866</v>
      </c>
    </row>
    <row r="34" spans="2:6" x14ac:dyDescent="0.2">
      <c r="E34" s="20" t="s">
        <v>258</v>
      </c>
      <c r="F34" s="178">
        <f>Statement!AC147</f>
        <v>16.118110236220474</v>
      </c>
    </row>
    <row r="37" spans="2:6" x14ac:dyDescent="0.2">
      <c r="B37" s="249" t="s">
        <v>267</v>
      </c>
      <c r="C37" s="249"/>
      <c r="E37" s="249" t="s">
        <v>270</v>
      </c>
      <c r="F37" s="249"/>
    </row>
    <row r="38" spans="2:6" x14ac:dyDescent="0.2">
      <c r="B38" s="20" t="s">
        <v>265</v>
      </c>
      <c r="C38" s="171">
        <f ca="1">Statement!AC160</f>
        <v>2.0509183326684104E-2</v>
      </c>
      <c r="E38" s="20" t="s">
        <v>269</v>
      </c>
      <c r="F38" s="171">
        <f>Statement!AC166</f>
        <v>0.21922544951590595</v>
      </c>
    </row>
    <row r="39" spans="2:6" x14ac:dyDescent="0.2">
      <c r="B39" s="54" t="s">
        <v>268</v>
      </c>
      <c r="C39" s="211">
        <f ca="1">Statement!AC159</f>
        <v>1.8030544565464813E-2</v>
      </c>
      <c r="E39" s="20" t="s">
        <v>271</v>
      </c>
      <c r="F39" s="171">
        <f>Statement!AC167</f>
        <v>6.0857538035961271E-2</v>
      </c>
    </row>
    <row r="40" spans="2:6" x14ac:dyDescent="0.2">
      <c r="B40" s="20" t="s">
        <v>266</v>
      </c>
      <c r="C40" s="171">
        <f ca="1">Statement!AC161</f>
        <v>4.3146120543168286E-3</v>
      </c>
      <c r="E40" s="20" t="s">
        <v>272</v>
      </c>
      <c r="F40" s="171">
        <f>Statement!AC168</f>
        <v>0.28008298755186722</v>
      </c>
    </row>
    <row r="41" spans="2:6" x14ac:dyDescent="0.2">
      <c r="B41" s="20" t="s">
        <v>291</v>
      </c>
      <c r="C41" s="171">
        <f ca="1">Statement!AC162</f>
        <v>1.0972945517018697E-3</v>
      </c>
    </row>
    <row r="42" spans="2:6" x14ac:dyDescent="0.2">
      <c r="B42" s="20" t="s">
        <v>293</v>
      </c>
      <c r="C42" s="171">
        <f ca="1">Statement!AC163</f>
        <v>5.0500487890824683E-3</v>
      </c>
    </row>
    <row r="45" spans="2:6" x14ac:dyDescent="0.2">
      <c r="B45" s="249" t="s">
        <v>278</v>
      </c>
      <c r="C45" s="249"/>
      <c r="E45" s="249" t="s">
        <v>284</v>
      </c>
      <c r="F45" s="249"/>
    </row>
    <row r="46" spans="2:6" x14ac:dyDescent="0.2">
      <c r="B46" s="20" t="s">
        <v>276</v>
      </c>
      <c r="C46" s="171">
        <f>Statement!AC169</f>
        <v>8.4388185654008432E-3</v>
      </c>
      <c r="E46" s="20" t="s">
        <v>277</v>
      </c>
      <c r="F46" s="170">
        <f>Statement!AC170</f>
        <v>7.5066079295154182</v>
      </c>
    </row>
    <row r="47" spans="2:6" x14ac:dyDescent="0.2">
      <c r="E47" s="20" t="s">
        <v>285</v>
      </c>
      <c r="F47" s="170">
        <f>Statement!AC173</f>
        <v>-8.1982378854625555</v>
      </c>
    </row>
    <row r="48" spans="2:6" x14ac:dyDescent="0.2">
      <c r="E48" s="20" t="s">
        <v>290</v>
      </c>
      <c r="F48" s="171">
        <f ca="1">Statement!AC174</f>
        <v>-1.1602642958620337E-2</v>
      </c>
    </row>
    <row r="51" spans="2:6" x14ac:dyDescent="0.2">
      <c r="B51" s="249" t="s">
        <v>281</v>
      </c>
      <c r="C51" s="249"/>
      <c r="E51" s="249" t="s">
        <v>302</v>
      </c>
      <c r="F51" s="249"/>
    </row>
    <row r="52" spans="2:6" x14ac:dyDescent="0.2">
      <c r="B52" s="20" t="s">
        <v>279</v>
      </c>
      <c r="C52" s="171">
        <f>Statement!AC171</f>
        <v>5.7974959172563963E-2</v>
      </c>
      <c r="E52" s="20" t="s">
        <v>303</v>
      </c>
      <c r="F52" s="171">
        <f>Statement!AC175</f>
        <v>4.6658466584665846E-2</v>
      </c>
    </row>
    <row r="53" spans="2:6" x14ac:dyDescent="0.2">
      <c r="B53" s="20" t="s">
        <v>280</v>
      </c>
      <c r="C53" s="171">
        <f>Statement!AC172</f>
        <v>1.7466174661746617E-2</v>
      </c>
      <c r="E53" s="20" t="s">
        <v>300</v>
      </c>
      <c r="F53" s="171">
        <f>Statement!AC176</f>
        <v>0.15487207403375067</v>
      </c>
    </row>
    <row r="54" spans="2:6" x14ac:dyDescent="0.2">
      <c r="E54" s="20" t="s">
        <v>301</v>
      </c>
      <c r="F54" s="171">
        <f>Statement!AC177</f>
        <v>2.0615942028985508</v>
      </c>
    </row>
    <row r="57" spans="2:6" x14ac:dyDescent="0.2">
      <c r="B57" s="249" t="s">
        <v>441</v>
      </c>
      <c r="C57" s="249"/>
    </row>
    <row r="58" spans="2:6" x14ac:dyDescent="0.2">
      <c r="B58" s="20" t="s">
        <v>262</v>
      </c>
      <c r="C58" s="170">
        <f ca="1">Statement!AC157</f>
        <v>55.461441908713688</v>
      </c>
    </row>
    <row r="59" spans="2:6" x14ac:dyDescent="0.2">
      <c r="B59" s="20" t="s">
        <v>263</v>
      </c>
      <c r="C59" s="170">
        <f ca="1">Statement!AC158</f>
        <v>52.670084221427281</v>
      </c>
    </row>
    <row r="60" spans="2:6" x14ac:dyDescent="0.2">
      <c r="B60" s="20" t="s">
        <v>442</v>
      </c>
      <c r="C60" s="171">
        <f>Statement!AC164</f>
        <v>0.25261177056215006</v>
      </c>
    </row>
    <row r="61" spans="2:6" x14ac:dyDescent="0.2">
      <c r="B61" s="20" t="s">
        <v>443</v>
      </c>
      <c r="C61" s="171">
        <f>Statement!AC165</f>
        <v>0.23714637146371464</v>
      </c>
    </row>
  </sheetData>
  <mergeCells count="15">
    <mergeCell ref="B57:C57"/>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sheetPr codeName="Sheet6"/>
  <dimension ref="B1:I99"/>
  <sheetViews>
    <sheetView zoomScale="159" zoomScaleNormal="230" workbookViewId="0">
      <pane xSplit="2" ySplit="3" topLeftCell="C88" activePane="bottomRight" state="frozen"/>
      <selection pane="topRight" activeCell="C1" sqref="C1"/>
      <selection pane="bottomLeft" activeCell="A4" sqref="A4"/>
      <selection pane="bottomRight" activeCell="B100" sqref="B100"/>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01.07.2022</v>
      </c>
      <c r="D2" s="10" t="str">
        <f>Statement!N2</f>
        <v>30.06.2023</v>
      </c>
      <c r="E2" s="10" t="str">
        <f>Statement!O2</f>
        <v>28.06.2024</v>
      </c>
      <c r="F2" s="10" t="str">
        <f>Statement!P2</f>
        <v>27.06.2025</v>
      </c>
      <c r="G2" s="10" t="str">
        <f>Statement!Q2</f>
        <v>03.07.2026</v>
      </c>
      <c r="I2" s="10"/>
    </row>
    <row r="3" spans="2:9" x14ac:dyDescent="0.2">
      <c r="B3" s="10"/>
      <c r="C3" s="10">
        <f>Statement!M3</f>
        <v>2022</v>
      </c>
      <c r="D3" s="10">
        <f>Statement!N3</f>
        <v>2023</v>
      </c>
      <c r="E3" s="10">
        <f>Statement!O3</f>
        <v>2024</v>
      </c>
      <c r="F3" s="10">
        <f>Statement!P3</f>
        <v>2025</v>
      </c>
      <c r="G3" s="10">
        <f>Statement!Q3</f>
        <v>2026</v>
      </c>
      <c r="I3" s="10" t="str">
        <f>Statement!AC3</f>
        <v>TTM/YTD</v>
      </c>
    </row>
    <row r="5" spans="2:9" ht="17" thickBot="1" x14ac:dyDescent="0.25">
      <c r="B5" s="14" t="s">
        <v>232</v>
      </c>
      <c r="C5" s="14"/>
      <c r="D5" s="14"/>
      <c r="E5" s="14"/>
      <c r="F5" s="14"/>
      <c r="G5" s="14"/>
      <c r="I5" s="14"/>
    </row>
    <row r="6" spans="2:9" x14ac:dyDescent="0.2">
      <c r="B6" s="20" t="s">
        <v>1</v>
      </c>
      <c r="C6" s="168">
        <f>Statement!M114</f>
        <v>69.09</v>
      </c>
      <c r="D6" s="168">
        <f>Statement!N114</f>
        <v>61.87</v>
      </c>
      <c r="E6" s="168">
        <f>Statement!O114</f>
        <v>103.27</v>
      </c>
      <c r="F6" s="168">
        <f>Statement!P114</f>
        <v>141.44</v>
      </c>
      <c r="G6" s="168">
        <f>Statement!Q114</f>
        <v>820.16</v>
      </c>
      <c r="I6" s="168">
        <f ca="1">Statement!AC114</f>
        <v>676.77</v>
      </c>
    </row>
    <row r="7" spans="2:9" x14ac:dyDescent="0.2">
      <c r="B7" s="20" t="s">
        <v>238</v>
      </c>
      <c r="C7" s="169">
        <f>Statement!M151</f>
        <v>14716.17</v>
      </c>
      <c r="D7" s="169">
        <f>Statement!N151</f>
        <v>12807.09</v>
      </c>
      <c r="E7" s="169">
        <f>Statement!O151</f>
        <v>21996.51</v>
      </c>
      <c r="F7" s="169">
        <f>Statement!P151</f>
        <v>30833.919999999998</v>
      </c>
      <c r="G7" s="169">
        <f>Statement!Q151</f>
        <v>194377.91999999998</v>
      </c>
      <c r="I7" s="169">
        <f ca="1">Statement!AC151</f>
        <v>160394.49</v>
      </c>
    </row>
    <row r="8" spans="2:9" x14ac:dyDescent="0.2">
      <c r="B8" s="20" t="s">
        <v>187</v>
      </c>
      <c r="C8" s="169">
        <f>Statement!M152</f>
        <v>19747.169999999998</v>
      </c>
      <c r="D8" s="169">
        <f>Statement!N152</f>
        <v>17472.09</v>
      </c>
      <c r="E8" s="169">
        <f>Statement!O152</f>
        <v>26312.51</v>
      </c>
      <c r="F8" s="169">
        <f>Statement!P152</f>
        <v>34937.919999999998</v>
      </c>
      <c r="G8" s="169">
        <f>Statement!Q152</f>
        <v>196238.91999999998</v>
      </c>
      <c r="I8" s="169">
        <f ca="1">Statement!AC152</f>
        <v>162255.49</v>
      </c>
    </row>
    <row r="9" spans="2:9" x14ac:dyDescent="0.2">
      <c r="B9" s="20" t="s">
        <v>236</v>
      </c>
      <c r="C9" s="170">
        <f>Statement!M148</f>
        <v>9.3872282608695645</v>
      </c>
      <c r="D9" s="170">
        <f>Statement!N148</f>
        <v>-24.16796875</v>
      </c>
      <c r="E9" s="170">
        <f>Statement!O148</f>
        <v>65.360759493670884</v>
      </c>
      <c r="F9" s="170">
        <f>Statement!P148</f>
        <v>20.892171344165437</v>
      </c>
      <c r="G9" s="170">
        <f>Statement!Q148</f>
        <v>59.004316546762588</v>
      </c>
      <c r="I9" s="170">
        <f ca="1">Statement!AC148</f>
        <v>48.758645533141205</v>
      </c>
    </row>
    <row r="10" spans="2:9" x14ac:dyDescent="0.2">
      <c r="B10" s="20" t="s">
        <v>200</v>
      </c>
      <c r="C10" s="170">
        <f>Statement!M149</f>
        <v>1.3271726267043993</v>
      </c>
      <c r="D10" s="170">
        <f>Statement!N149</f>
        <v>1.7344379739978331</v>
      </c>
      <c r="E10" s="170">
        <f>Statement!O149</f>
        <v>3.3419691650129746</v>
      </c>
      <c r="F10" s="170">
        <f>Statement!P149</f>
        <v>3.3739122787732216</v>
      </c>
      <c r="G10" s="170">
        <f>Statement!Q149</f>
        <v>15.401118491184912</v>
      </c>
      <c r="I10" s="170">
        <f ca="1">Statement!AC149</f>
        <v>12.694640221402214</v>
      </c>
    </row>
    <row r="11" spans="2:9" x14ac:dyDescent="0.2">
      <c r="B11" s="20" t="s">
        <v>237</v>
      </c>
      <c r="C11" s="170">
        <f>Statement!M150</f>
        <v>132.47532110091745</v>
      </c>
      <c r="D11" s="170">
        <f>Statement!N150</f>
        <v>-10.681476230191826</v>
      </c>
      <c r="E11" s="170">
        <f>Statement!O150</f>
        <v>-14.545070422535211</v>
      </c>
      <c r="F11" s="170">
        <f>Statement!P150</f>
        <v>-66.504900662251657</v>
      </c>
      <c r="G11" s="170">
        <f>Statement!Q150</f>
        <v>85.914314720812186</v>
      </c>
      <c r="I11" s="170">
        <f ca="1">Statement!AC150</f>
        <v>70.893765574526995</v>
      </c>
    </row>
    <row r="12" spans="2:9" x14ac:dyDescent="0.2">
      <c r="B12" s="20" t="s">
        <v>259</v>
      </c>
      <c r="C12" s="170">
        <f>Statement!M153</f>
        <v>1.6934370980190376</v>
      </c>
      <c r="D12" s="170">
        <f>Statement!N153</f>
        <v>2.3662093716143011</v>
      </c>
      <c r="E12" s="170">
        <f>Statement!O153</f>
        <v>4.0165638833765831</v>
      </c>
      <c r="F12" s="170">
        <f>Statement!P153</f>
        <v>3.8405979993404418</v>
      </c>
      <c r="G12" s="170">
        <f>Statement!Q153</f>
        <v>16.091752357523575</v>
      </c>
      <c r="I12" s="170">
        <f ca="1">Statement!AC153</f>
        <v>13.305083230832308</v>
      </c>
    </row>
    <row r="13" spans="2:9" x14ac:dyDescent="0.2">
      <c r="B13" s="20" t="s">
        <v>203</v>
      </c>
      <c r="C13" s="170">
        <f>Statement!M154</f>
        <v>10.100854219948848</v>
      </c>
      <c r="D13" s="170">
        <f>Statement!N154</f>
        <v>-51.087982456140352</v>
      </c>
      <c r="E13" s="170">
        <f>Statement!O154</f>
        <v>58.213517699115037</v>
      </c>
      <c r="F13" s="170">
        <f>Statement!P154</f>
        <v>18.485671957671958</v>
      </c>
      <c r="G13" s="170">
        <f>Statement!Q154</f>
        <v>47.933297508549096</v>
      </c>
      <c r="I13" s="170">
        <f ca="1">Statement!AC154</f>
        <v>39.632508549096237</v>
      </c>
    </row>
    <row r="15" spans="2:9" ht="17" thickBot="1" x14ac:dyDescent="0.25">
      <c r="B15" s="14" t="s">
        <v>76</v>
      </c>
      <c r="C15" s="14"/>
      <c r="D15" s="14"/>
      <c r="E15" s="14"/>
      <c r="F15" s="14"/>
      <c r="G15" s="14"/>
      <c r="I15" s="14"/>
    </row>
    <row r="16" spans="2:9" x14ac:dyDescent="0.2">
      <c r="B16" s="20" t="s">
        <v>77</v>
      </c>
      <c r="C16" s="171">
        <f>Statement!M99</f>
        <v>0.29748735099905671</v>
      </c>
      <c r="D16" s="171">
        <f>Statement!N99</f>
        <v>0.1829631635969664</v>
      </c>
      <c r="E16" s="171">
        <f>Statement!O99</f>
        <v>0.23446802014959547</v>
      </c>
      <c r="F16" s="171">
        <f>Statement!P99</f>
        <v>0.3517643179070023</v>
      </c>
      <c r="G16" s="171">
        <f>Statement!Q99</f>
        <v>0.45576055760557604</v>
      </c>
      <c r="I16" s="171">
        <f>Statement!AC99</f>
        <v>0.45576055760557604</v>
      </c>
    </row>
    <row r="17" spans="2:9" x14ac:dyDescent="0.2">
      <c r="B17" s="20" t="s">
        <v>78</v>
      </c>
      <c r="C17" s="171">
        <f>Statement!M100</f>
        <v>0.16765285996055226</v>
      </c>
      <c r="D17" s="171">
        <f>Statement!N100</f>
        <v>-4.6316359696641385E-2</v>
      </c>
      <c r="E17" s="171">
        <f>Statement!O100</f>
        <v>6.8997099679438248E-2</v>
      </c>
      <c r="F17" s="171">
        <f>Statement!P100</f>
        <v>0.20776080026382324</v>
      </c>
      <c r="G17" s="171">
        <f>Statement!Q100</f>
        <v>0.33571135711357114</v>
      </c>
      <c r="I17" s="171">
        <f>Statement!AC100</f>
        <v>0.33571135711357114</v>
      </c>
    </row>
    <row r="18" spans="2:9" x14ac:dyDescent="0.2">
      <c r="B18" s="20" t="s">
        <v>79</v>
      </c>
      <c r="C18" s="171">
        <f>Statement!M101</f>
        <v>0.1414115427493354</v>
      </c>
      <c r="D18" s="171">
        <f>Statement!N101</f>
        <v>-7.164138678223185E-2</v>
      </c>
      <c r="E18" s="171">
        <f>Statement!O101</f>
        <v>5.1137230957105782E-2</v>
      </c>
      <c r="F18" s="171">
        <f>Statement!P101</f>
        <v>0.16148180718918326</v>
      </c>
      <c r="G18" s="171">
        <f>Statement!Q101</f>
        <v>0.26109061090610908</v>
      </c>
      <c r="I18" s="171">
        <f>Statement!AC101</f>
        <v>0.26109061090610908</v>
      </c>
    </row>
    <row r="20" spans="2:9" ht="17" thickBot="1" x14ac:dyDescent="0.25">
      <c r="B20" s="14" t="s">
        <v>245</v>
      </c>
      <c r="C20" s="14"/>
      <c r="D20" s="14"/>
      <c r="E20" s="14"/>
      <c r="F20" s="14"/>
      <c r="G20" s="14"/>
      <c r="I20" s="14"/>
    </row>
    <row r="21" spans="2:9" x14ac:dyDescent="0.2">
      <c r="B21" s="20" t="s">
        <v>30</v>
      </c>
      <c r="C21" s="173">
        <f>Statement!M17</f>
        <v>1649</v>
      </c>
      <c r="D21" s="173">
        <f>Statement!N17</f>
        <v>-529</v>
      </c>
      <c r="E21" s="173">
        <f>Statement!O17</f>
        <v>335</v>
      </c>
      <c r="F21" s="173">
        <f>Statement!P17</f>
        <v>1469</v>
      </c>
      <c r="G21" s="173">
        <f>Statement!Q17</f>
        <v>3184</v>
      </c>
      <c r="I21" s="173">
        <f>Statement!AC17</f>
        <v>3184</v>
      </c>
    </row>
    <row r="22" spans="2:9" x14ac:dyDescent="0.2">
      <c r="B22" s="20" t="s">
        <v>246</v>
      </c>
      <c r="C22" s="173">
        <f>Statement!M58</f>
        <v>1657</v>
      </c>
      <c r="D22" s="173">
        <f>Statement!N58</f>
        <v>942</v>
      </c>
      <c r="E22" s="173">
        <f>Statement!O58</f>
        <v>918</v>
      </c>
      <c r="F22" s="173">
        <f>Statement!P58</f>
        <v>1083</v>
      </c>
      <c r="G22" s="173">
        <f>Statement!Q58</f>
        <v>3674</v>
      </c>
      <c r="I22" s="173">
        <f>Statement!AC58</f>
        <v>3674</v>
      </c>
    </row>
    <row r="23" spans="2:9" x14ac:dyDescent="0.2">
      <c r="B23" s="20" t="s">
        <v>253</v>
      </c>
      <c r="C23" s="191">
        <f>IF(OR(C21&lt;=0, C22&lt;=0),"N/A",C21-C22)</f>
        <v>-8</v>
      </c>
      <c r="D23" s="191" t="str">
        <f t="shared" ref="D23:I23" si="0">IF(OR(D21&lt;=0, D22&lt;=0),"N/A",D21-D22)</f>
        <v>N/A</v>
      </c>
      <c r="E23" s="191">
        <f t="shared" si="0"/>
        <v>-583</v>
      </c>
      <c r="F23" s="191">
        <f t="shared" si="0"/>
        <v>386</v>
      </c>
      <c r="G23" s="191">
        <f t="shared" si="0"/>
        <v>-490</v>
      </c>
      <c r="I23" s="191">
        <f t="shared" si="0"/>
        <v>-490</v>
      </c>
    </row>
    <row r="25" spans="2:9" ht="17" thickBot="1" x14ac:dyDescent="0.25">
      <c r="B25" s="14" t="s">
        <v>244</v>
      </c>
      <c r="C25" s="14"/>
      <c r="D25" s="14"/>
      <c r="E25" s="14"/>
      <c r="F25" s="14"/>
      <c r="G25" s="14"/>
      <c r="I25" s="14"/>
    </row>
    <row r="26" spans="2:9" x14ac:dyDescent="0.2">
      <c r="B26" s="20" t="s">
        <v>99</v>
      </c>
      <c r="C26" s="171">
        <f>Statement!M119</f>
        <v>0.1414115427493354</v>
      </c>
      <c r="D26" s="171">
        <f>Statement!N119</f>
        <v>-7.164138678223185E-2</v>
      </c>
      <c r="E26" s="171">
        <f>Statement!O119</f>
        <v>5.1137230957105782E-2</v>
      </c>
      <c r="F26" s="171">
        <f>Statement!P119</f>
        <v>0.16148180718918326</v>
      </c>
      <c r="G26" s="171">
        <f>Statement!Q119</f>
        <v>0.26109061090610908</v>
      </c>
      <c r="I26" s="171">
        <f>Statement!AC119</f>
        <v>0.26109061090610908</v>
      </c>
    </row>
    <row r="27" spans="2:9" x14ac:dyDescent="0.2">
      <c r="B27" s="20" t="s">
        <v>100</v>
      </c>
      <c r="C27" s="210">
        <f>Statement!M120</f>
        <v>1.3037790697674418</v>
      </c>
      <c r="D27" s="210">
        <f>Statement!N120</f>
        <v>0.97723663313922715</v>
      </c>
      <c r="E27" s="210">
        <f>Statement!O120</f>
        <v>0.84649179480553038</v>
      </c>
      <c r="F27" s="210">
        <f>Statement!P120</f>
        <v>1.133865137729029</v>
      </c>
      <c r="G27" s="210">
        <f>Statement!Q120</f>
        <v>1.2229241877256318</v>
      </c>
      <c r="I27" s="210">
        <f>Statement!AC120</f>
        <v>1.2229241877256318</v>
      </c>
    </row>
    <row r="28" spans="2:9" x14ac:dyDescent="0.2">
      <c r="B28" s="32" t="s">
        <v>101</v>
      </c>
      <c r="C28" s="172">
        <f>Statement!M121</f>
        <v>0.18436940966010734</v>
      </c>
      <c r="D28" s="172">
        <f>Statement!N121</f>
        <v>-7.0010587612493388E-2</v>
      </c>
      <c r="E28" s="172">
        <f>Statement!O121</f>
        <v>4.3287246414265401E-2</v>
      </c>
      <c r="F28" s="172">
        <f>Statement!P121</f>
        <v>0.18309859154929578</v>
      </c>
      <c r="G28" s="172">
        <f>Statement!Q121</f>
        <v>0.31929402326514245</v>
      </c>
      <c r="I28" s="172">
        <f>Statement!AC121</f>
        <v>0.31929402326514245</v>
      </c>
    </row>
    <row r="29" spans="2:9" x14ac:dyDescent="0.2">
      <c r="B29" s="20" t="s">
        <v>102</v>
      </c>
      <c r="C29" s="210">
        <f>Statement!M122</f>
        <v>82.055045871559628</v>
      </c>
      <c r="D29" s="210">
        <f>Statement!N122</f>
        <v>-6.3019182652210173</v>
      </c>
      <c r="E29" s="210">
        <f>Statement!O122</f>
        <v>-5.1904761904761907</v>
      </c>
      <c r="F29" s="210">
        <f>Statement!P122</f>
        <v>-17.710816777041941</v>
      </c>
      <c r="G29" s="210">
        <f>Statement!Q122</f>
        <v>4.6017535763728654</v>
      </c>
      <c r="I29" s="210">
        <f>Statement!AC122</f>
        <v>4.6017535763728654</v>
      </c>
    </row>
    <row r="30" spans="2:9" x14ac:dyDescent="0.2">
      <c r="B30" s="32" t="s">
        <v>103</v>
      </c>
      <c r="C30" s="172">
        <f>Statement!M123</f>
        <v>15.128440366972477</v>
      </c>
      <c r="D30" s="172">
        <f>Statement!N123</f>
        <v>0.44120100083402836</v>
      </c>
      <c r="E30" s="172">
        <f>Statement!O123</f>
        <v>-0.22468142186452042</v>
      </c>
      <c r="F30" s="172">
        <f>Statement!P123</f>
        <v>-3.2428256070640176</v>
      </c>
      <c r="G30" s="172">
        <f>Statement!Q123</f>
        <v>1.4693124134748501</v>
      </c>
      <c r="I30" s="172">
        <f>Statement!AC123</f>
        <v>1.4693124134748501</v>
      </c>
    </row>
    <row r="32" spans="2:9" ht="17" thickBot="1" x14ac:dyDescent="0.25">
      <c r="B32" s="14" t="s">
        <v>304</v>
      </c>
      <c r="C32" s="14"/>
      <c r="D32" s="14"/>
      <c r="E32" s="14"/>
      <c r="F32" s="14"/>
      <c r="G32" s="14"/>
      <c r="I32" s="14"/>
    </row>
    <row r="33" spans="2:9" x14ac:dyDescent="0.2">
      <c r="B33" s="20" t="s">
        <v>101</v>
      </c>
      <c r="C33" s="171">
        <f>C28</f>
        <v>0.18436940966010734</v>
      </c>
      <c r="D33" s="171">
        <f t="shared" ref="D33:G33" si="1">D28</f>
        <v>-7.0010587612493388E-2</v>
      </c>
      <c r="E33" s="171">
        <f t="shared" si="1"/>
        <v>4.3287246414265401E-2</v>
      </c>
      <c r="F33" s="171">
        <f t="shared" si="1"/>
        <v>0.18309859154929578</v>
      </c>
      <c r="G33" s="171">
        <f t="shared" si="1"/>
        <v>0.31929402326514245</v>
      </c>
      <c r="I33" s="171">
        <f>I28</f>
        <v>0.31929402326514245</v>
      </c>
    </row>
    <row r="34" spans="2:9" x14ac:dyDescent="0.2">
      <c r="B34" s="20" t="s">
        <v>103</v>
      </c>
      <c r="C34" s="171">
        <f>C30</f>
        <v>15.128440366972477</v>
      </c>
      <c r="D34" s="171">
        <f t="shared" ref="D34:G34" si="2">D30</f>
        <v>0.44120100083402836</v>
      </c>
      <c r="E34" s="171">
        <f t="shared" si="2"/>
        <v>-0.22468142186452042</v>
      </c>
      <c r="F34" s="171">
        <f t="shared" si="2"/>
        <v>-3.2428256070640176</v>
      </c>
      <c r="G34" s="171">
        <f t="shared" si="2"/>
        <v>1.4693124134748501</v>
      </c>
      <c r="I34" s="171">
        <f>I30</f>
        <v>1.4693124134748501</v>
      </c>
    </row>
    <row r="35" spans="2:9" x14ac:dyDescent="0.2">
      <c r="B35" s="20" t="s">
        <v>104</v>
      </c>
      <c r="C35" s="171">
        <f>Statement!M138</f>
        <v>0.37355418154682585</v>
      </c>
      <c r="D35" s="171">
        <f>Statement!N138</f>
        <v>-9.867282169648009E-2</v>
      </c>
      <c r="E35" s="171">
        <f>Statement!O138</f>
        <v>0.12044943820224721</v>
      </c>
      <c r="F35" s="171">
        <f>Statement!P138</f>
        <v>0.5026119834618733</v>
      </c>
      <c r="G35" s="171">
        <f>Statement!Q138</f>
        <v>0.87701105809469215</v>
      </c>
      <c r="I35" s="171">
        <f>Statement!AC138</f>
        <v>0.87701105809469215</v>
      </c>
    </row>
    <row r="37" spans="2:9" ht="17" thickBot="1" x14ac:dyDescent="0.25">
      <c r="B37" s="14" t="s">
        <v>249</v>
      </c>
      <c r="C37" s="14"/>
      <c r="D37" s="14"/>
      <c r="E37" s="14"/>
      <c r="F37" s="14"/>
      <c r="G37" s="14"/>
      <c r="I37" s="14"/>
    </row>
    <row r="38" spans="2:9" x14ac:dyDescent="0.2">
      <c r="B38" s="20" t="s">
        <v>138</v>
      </c>
      <c r="C38" s="170">
        <f>Statement!M139</f>
        <v>47.953005745647879</v>
      </c>
      <c r="D38" s="170">
        <f>Statement!N139</f>
        <v>30.696776814734559</v>
      </c>
      <c r="E38" s="170">
        <f>Statement!O139</f>
        <v>23.902457640054951</v>
      </c>
      <c r="F38" s="170">
        <f>Statement!P139</f>
        <v>38.478069693305486</v>
      </c>
      <c r="G38" s="170">
        <f>Statement!Q139</f>
        <v>45.913079130791303</v>
      </c>
      <c r="I38" s="170">
        <f>Statement!AC139</f>
        <v>45.913079130791303</v>
      </c>
    </row>
    <row r="39" spans="2:9" x14ac:dyDescent="0.2">
      <c r="B39" s="20" t="s">
        <v>139</v>
      </c>
      <c r="C39" s="170">
        <f>Statement!M140</f>
        <v>69.7296142578125</v>
      </c>
      <c r="D39" s="170">
        <f>Statement!N140</f>
        <v>68.97066136250622</v>
      </c>
      <c r="E39" s="170">
        <f>Statement!O140</f>
        <v>90.176470588235304</v>
      </c>
      <c r="F39" s="170">
        <f>Statement!P140</f>
        <v>89.130066135323048</v>
      </c>
      <c r="G39" s="170">
        <f>Statement!Q140</f>
        <v>86.396715383456382</v>
      </c>
      <c r="I39" s="170">
        <f>Statement!AC140</f>
        <v>86.396715383456382</v>
      </c>
    </row>
    <row r="40" spans="2:9" x14ac:dyDescent="0.2">
      <c r="B40" s="20" t="s">
        <v>140</v>
      </c>
      <c r="C40" s="170">
        <f>Statement!M141</f>
        <v>91.695556640625</v>
      </c>
      <c r="D40" s="170">
        <f>Statement!N141</f>
        <v>96.982429968506537</v>
      </c>
      <c r="E40" s="170">
        <f>Statement!O141</f>
        <v>129.98803589232301</v>
      </c>
      <c r="F40" s="170">
        <f>Statement!P141</f>
        <v>99.280990334068164</v>
      </c>
      <c r="G40" s="170">
        <f>Statement!Q141</f>
        <v>96.130781979810152</v>
      </c>
      <c r="I40" s="170">
        <f>Statement!AC141</f>
        <v>96.130781979810152</v>
      </c>
    </row>
    <row r="41" spans="2:9" x14ac:dyDescent="0.2">
      <c r="B41" s="20" t="s">
        <v>141</v>
      </c>
      <c r="C41" s="170">
        <f>Statement!M142</f>
        <v>25.987063362835386</v>
      </c>
      <c r="D41" s="170">
        <f>Statement!N142</f>
        <v>2.6850082087342457</v>
      </c>
      <c r="E41" s="170">
        <f>Statement!O142</f>
        <v>-15.90910766403276</v>
      </c>
      <c r="F41" s="170">
        <f>Statement!P142</f>
        <v>28.327145494560369</v>
      </c>
      <c r="G41" s="170">
        <f>Statement!Q142</f>
        <v>36.179012534437547</v>
      </c>
      <c r="I41" s="170">
        <f>Statement!AC142</f>
        <v>36.179012534437547</v>
      </c>
    </row>
    <row r="43" spans="2:9" ht="17" thickBot="1" x14ac:dyDescent="0.25">
      <c r="B43" s="14" t="s">
        <v>255</v>
      </c>
      <c r="C43" s="14"/>
      <c r="D43" s="14"/>
      <c r="E43" s="14"/>
      <c r="F43" s="14"/>
      <c r="G43" s="14"/>
      <c r="I43" s="14"/>
    </row>
    <row r="44" spans="2:9" x14ac:dyDescent="0.2">
      <c r="B44" s="20" t="s">
        <v>256</v>
      </c>
      <c r="C44" s="176">
        <f>Statement!M143</f>
        <v>51.798165137614681</v>
      </c>
      <c r="D44" s="176">
        <f>Statement!N143</f>
        <v>-4.54628857381151</v>
      </c>
      <c r="E44" s="176">
        <f>Statement!O143</f>
        <v>-3.8054996646545942</v>
      </c>
      <c r="F44" s="176">
        <f>Statement!P143</f>
        <v>-11.026490066225165</v>
      </c>
      <c r="G44" s="176">
        <f>Statement!Q143</f>
        <v>1.6451315182279649</v>
      </c>
      <c r="I44" s="176">
        <f>Statement!AC143</f>
        <v>1.6451315182279649</v>
      </c>
    </row>
    <row r="45" spans="2:9" x14ac:dyDescent="0.2">
      <c r="B45" s="20" t="s">
        <v>257</v>
      </c>
      <c r="C45" s="176">
        <f>Statement!M144</f>
        <v>46.155963302752291</v>
      </c>
      <c r="D45" s="176">
        <f>Statement!N144</f>
        <v>-3.8907422852376983</v>
      </c>
      <c r="E45" s="176">
        <f>Statement!O144</f>
        <v>-2.8947015425888667</v>
      </c>
      <c r="F45" s="176">
        <f>Statement!P144</f>
        <v>-9.0596026490066226</v>
      </c>
      <c r="G45" s="176">
        <f>Statement!Q144</f>
        <v>0.8587909552376557</v>
      </c>
      <c r="I45" s="176">
        <f>Statement!AC144</f>
        <v>0.8587909552376557</v>
      </c>
    </row>
    <row r="46" spans="2:9" x14ac:dyDescent="0.2">
      <c r="B46" s="20" t="s">
        <v>251</v>
      </c>
      <c r="C46" s="176">
        <f>Statement!M145</f>
        <v>0.60393811533052044</v>
      </c>
      <c r="D46" s="176">
        <f>Statement!N145</f>
        <v>0.54282407407407407</v>
      </c>
      <c r="E46" s="176">
        <f>Statement!O145</f>
        <v>0.57663762504033556</v>
      </c>
      <c r="F46" s="176">
        <f>Statement!P145</f>
        <v>0.69864048338368578</v>
      </c>
      <c r="G46" s="176">
        <f>Statement!Q145</f>
        <v>1.0354972817396866</v>
      </c>
      <c r="I46" s="176">
        <f>Statement!AC145</f>
        <v>1.0354972817396866</v>
      </c>
    </row>
    <row r="47" spans="2:9" x14ac:dyDescent="0.2">
      <c r="B47" s="20" t="s">
        <v>252</v>
      </c>
      <c r="C47" s="176">
        <f>Statement!M146</f>
        <v>1.1344585091420534</v>
      </c>
      <c r="D47" s="176">
        <f>Statement!N146</f>
        <v>1.1207561728395061</v>
      </c>
      <c r="E47" s="176">
        <f>Statement!O146</f>
        <v>1.0751855437237818</v>
      </c>
      <c r="F47" s="176">
        <f>Statement!P146</f>
        <v>1.3795317220543806</v>
      </c>
      <c r="G47" s="176">
        <f>Statement!Q146</f>
        <v>1.669651423089223</v>
      </c>
      <c r="I47" s="176">
        <f>Statement!AC146</f>
        <v>1.669651423089223</v>
      </c>
    </row>
    <row r="48" spans="2:9" x14ac:dyDescent="0.2">
      <c r="B48" s="20" t="s">
        <v>258</v>
      </c>
      <c r="C48" s="178">
        <f>Statement!M147</f>
        <v>7.9149797570850202</v>
      </c>
      <c r="D48" s="178" t="str">
        <f>Statement!N147</f>
        <v>N/A</v>
      </c>
      <c r="E48" s="178">
        <f>Statement!O147</f>
        <v>1.4258675078864353</v>
      </c>
      <c r="F48" s="178">
        <f>Statement!P147</f>
        <v>6.3851351351351351</v>
      </c>
      <c r="G48" s="178">
        <f>Statement!Q147</f>
        <v>16.118110236220474</v>
      </c>
      <c r="I48" s="178">
        <f>Statement!AC147</f>
        <v>16.118110236220474</v>
      </c>
    </row>
    <row r="50" spans="2:9" ht="17" thickBot="1" x14ac:dyDescent="0.25">
      <c r="B50" s="14" t="s">
        <v>267</v>
      </c>
      <c r="C50" s="14"/>
      <c r="D50" s="14"/>
      <c r="E50" s="14"/>
      <c r="F50" s="14"/>
      <c r="G50" s="14"/>
      <c r="I50" s="14"/>
    </row>
    <row r="51" spans="2:9" x14ac:dyDescent="0.2">
      <c r="B51" s="20" t="s">
        <v>265</v>
      </c>
      <c r="C51" s="171">
        <f>Statement!M160</f>
        <v>0.10652771746996671</v>
      </c>
      <c r="D51" s="171">
        <f>Statement!N160</f>
        <v>-4.1377080976240509E-2</v>
      </c>
      <c r="E51" s="171">
        <f>Statement!O160</f>
        <v>1.529969981601627E-2</v>
      </c>
      <c r="F51" s="171">
        <f>Statement!P160</f>
        <v>4.7864819004524883E-2</v>
      </c>
      <c r="G51" s="171">
        <f>Statement!Q160</f>
        <v>1.6947912602419041E-2</v>
      </c>
      <c r="I51" s="171">
        <f ca="1">Statement!AC160</f>
        <v>2.0509183326684104E-2</v>
      </c>
    </row>
    <row r="52" spans="2:9" x14ac:dyDescent="0.2">
      <c r="B52" s="20" t="s">
        <v>268</v>
      </c>
      <c r="C52" s="171">
        <f>Statement!M159</f>
        <v>7.685423585076824E-2</v>
      </c>
      <c r="D52" s="171">
        <f>Statement!N159</f>
        <v>3.9899774265660659E-2</v>
      </c>
      <c r="E52" s="171">
        <f>Statement!O159</f>
        <v>2.4412963692876734E-2</v>
      </c>
      <c r="F52" s="171">
        <f>Statement!P159</f>
        <v>2.0042861887168417E-2</v>
      </c>
      <c r="G52" s="171">
        <f>Statement!Q159</f>
        <v>1.4878233083263779E-2</v>
      </c>
      <c r="I52" s="171">
        <f ca="1">Statement!AC159</f>
        <v>1.8030544565464813E-2</v>
      </c>
    </row>
    <row r="53" spans="2:9" x14ac:dyDescent="0.2">
      <c r="B53" s="20" t="s">
        <v>266</v>
      </c>
      <c r="C53" s="171">
        <f>Statement!M161</f>
        <v>4.0092632797799968E-2</v>
      </c>
      <c r="D53" s="171">
        <f>Statement!N161</f>
        <v>4.5256182317763051E-2</v>
      </c>
      <c r="E53" s="171">
        <f>Statement!O161</f>
        <v>2.7113392079016172E-2</v>
      </c>
      <c r="F53" s="171">
        <f>Statement!P161</f>
        <v>2.0220588235294119E-2</v>
      </c>
      <c r="G53" s="171">
        <f>Statement!Q161</f>
        <v>3.5602809207959424E-3</v>
      </c>
      <c r="I53" s="171">
        <f ca="1">Statement!AC161</f>
        <v>4.3146120543168286E-3</v>
      </c>
    </row>
    <row r="54" spans="2:9" x14ac:dyDescent="0.2">
      <c r="B54" s="20" t="s">
        <v>291</v>
      </c>
      <c r="C54" s="171">
        <f>Statement!M162</f>
        <v>0.12224648125157565</v>
      </c>
      <c r="D54" s="171">
        <f>Statement!N162</f>
        <v>3.1857354012504009E-2</v>
      </c>
      <c r="E54" s="171">
        <f>Statement!O162</f>
        <v>0</v>
      </c>
      <c r="F54" s="171">
        <f>Statement!P162</f>
        <v>0</v>
      </c>
      <c r="G54" s="171">
        <f>Statement!Q162</f>
        <v>9.0545263577262276E-4</v>
      </c>
      <c r="I54" s="171">
        <f ca="1">Statement!AC162</f>
        <v>1.0972945517018697E-3</v>
      </c>
    </row>
    <row r="55" spans="2:9" x14ac:dyDescent="0.2">
      <c r="B55" s="20" t="s">
        <v>293</v>
      </c>
      <c r="C55" s="171">
        <f>Statement!M163</f>
        <v>0.16369748378824109</v>
      </c>
      <c r="D55" s="171">
        <f>Statement!N163</f>
        <v>7.7300932530340621E-2</v>
      </c>
      <c r="E55" s="171">
        <f>Statement!O163</f>
        <v>2.6595128045312645E-2</v>
      </c>
      <c r="F55" s="171">
        <f>Statement!P163</f>
        <v>1.9459089210843123E-2</v>
      </c>
      <c r="G55" s="171">
        <f>Statement!Q163</f>
        <v>4.1671399714535481E-3</v>
      </c>
      <c r="I55" s="171">
        <f ca="1">Statement!AC163</f>
        <v>5.0500487890824683E-3</v>
      </c>
    </row>
    <row r="57" spans="2:9" ht="17" thickBot="1" x14ac:dyDescent="0.25">
      <c r="B57" s="14" t="s">
        <v>270</v>
      </c>
      <c r="C57" s="14"/>
      <c r="D57" s="14"/>
      <c r="E57" s="14"/>
      <c r="F57" s="14"/>
      <c r="G57" s="14"/>
      <c r="I57" s="14"/>
    </row>
    <row r="58" spans="2:9" x14ac:dyDescent="0.2">
      <c r="B58" s="20" t="s">
        <v>269</v>
      </c>
      <c r="C58" s="171">
        <f>Statement!M166</f>
        <v>0.53934571175950485</v>
      </c>
      <c r="D58" s="171">
        <f>Statement!N166</f>
        <v>1.1389432485322897</v>
      </c>
      <c r="E58" s="171">
        <f>Statement!O166</f>
        <v>1.0893854748603351</v>
      </c>
      <c r="F58" s="171">
        <f>Statement!P166</f>
        <v>0.970873786407767</v>
      </c>
      <c r="G58" s="171">
        <f>Statement!Q166</f>
        <v>0.21922544951590595</v>
      </c>
      <c r="I58" s="171">
        <f>Statement!AC166</f>
        <v>0.21922544951590595</v>
      </c>
    </row>
    <row r="59" spans="2:9" x14ac:dyDescent="0.2">
      <c r="B59" s="20" t="s">
        <v>271</v>
      </c>
      <c r="C59" s="171">
        <f>Statement!M167</f>
        <v>1.5906277630415562</v>
      </c>
      <c r="D59" s="171">
        <f>Statement!N167</f>
        <v>0.79843444227005866</v>
      </c>
      <c r="E59" s="171">
        <f>Statement!O167</f>
        <v>0</v>
      </c>
      <c r="F59" s="171">
        <f>Statement!P167</f>
        <v>0</v>
      </c>
      <c r="G59" s="171">
        <f>Statement!Q167</f>
        <v>6.0857538035961271E-2</v>
      </c>
      <c r="I59" s="171">
        <f>Statement!AC167</f>
        <v>6.0857538035961271E-2</v>
      </c>
    </row>
    <row r="60" spans="2:9" x14ac:dyDescent="0.2">
      <c r="B60" s="20" t="s">
        <v>272</v>
      </c>
      <c r="C60" s="171">
        <f>Statement!M168</f>
        <v>2.1299734748010608</v>
      </c>
      <c r="D60" s="171">
        <f>Statement!N168</f>
        <v>1.9373776908023483</v>
      </c>
      <c r="E60" s="171">
        <f>Statement!O168</f>
        <v>1.0893854748603351</v>
      </c>
      <c r="F60" s="171">
        <f>Statement!P168</f>
        <v>0.970873786407767</v>
      </c>
      <c r="G60" s="171">
        <f>Statement!Q168</f>
        <v>0.28008298755186722</v>
      </c>
      <c r="I60" s="171">
        <f>Statement!AC168</f>
        <v>0.28008298755186722</v>
      </c>
    </row>
    <row r="62" spans="2:9" ht="17" thickBot="1" x14ac:dyDescent="0.25">
      <c r="B62" s="14" t="s">
        <v>278</v>
      </c>
      <c r="C62" s="14"/>
      <c r="D62" s="14"/>
      <c r="E62" s="14"/>
      <c r="F62" s="14"/>
      <c r="G62" s="14"/>
      <c r="I62" s="14"/>
    </row>
    <row r="63" spans="2:9" x14ac:dyDescent="0.2">
      <c r="B63" s="20" t="s">
        <v>276</v>
      </c>
      <c r="C63" s="171">
        <f>Statement!M169</f>
        <v>9.3896713615023476E-3</v>
      </c>
      <c r="D63" s="171">
        <f>Statement!N169</f>
        <v>9.6618357487922701E-3</v>
      </c>
      <c r="E63" s="171">
        <f>Statement!O169</f>
        <v>9.3896713615023476E-3</v>
      </c>
      <c r="F63" s="171">
        <f>Statement!P169</f>
        <v>9.1743119266055051E-3</v>
      </c>
      <c r="G63" s="171">
        <f>Statement!Q169</f>
        <v>8.4388185654008432E-3</v>
      </c>
      <c r="I63" s="171">
        <f>Statement!AC169</f>
        <v>8.4388185654008432E-3</v>
      </c>
    </row>
    <row r="65" spans="2:9" ht="17" thickBot="1" x14ac:dyDescent="0.25">
      <c r="B65" s="14" t="s">
        <v>284</v>
      </c>
      <c r="C65" s="14"/>
      <c r="D65" s="14"/>
      <c r="E65" s="14"/>
      <c r="F65" s="14"/>
      <c r="G65" s="14"/>
      <c r="I65" s="14"/>
    </row>
    <row r="66" spans="2:9" x14ac:dyDescent="0.2">
      <c r="B66" s="20" t="s">
        <v>277</v>
      </c>
      <c r="C66" s="170">
        <f>Statement!M170</f>
        <v>2.9425837320574164</v>
      </c>
      <c r="D66" s="170">
        <f>Statement!N170</f>
        <v>3.7971014492753623</v>
      </c>
      <c r="E66" s="170">
        <f>Statement!O170</f>
        <v>6.4666666666666668</v>
      </c>
      <c r="F66" s="170">
        <f>Statement!P170</f>
        <v>4.183098591549296</v>
      </c>
      <c r="G66" s="170">
        <f>Statement!Q170</f>
        <v>7.5066079295154182</v>
      </c>
      <c r="I66" s="170">
        <f>Statement!AC170</f>
        <v>7.5066079295154182</v>
      </c>
    </row>
    <row r="67" spans="2:9" x14ac:dyDescent="0.2">
      <c r="B67" s="20" t="s">
        <v>285</v>
      </c>
      <c r="C67" s="170">
        <f>Statement!M173</f>
        <v>-24.071770334928228</v>
      </c>
      <c r="D67" s="170">
        <f>Statement!N173</f>
        <v>-22.536231884057973</v>
      </c>
      <c r="E67" s="170">
        <f>Statement!O173</f>
        <v>-20.552380952380954</v>
      </c>
      <c r="F67" s="170">
        <f>Statement!P173</f>
        <v>-19.267605633802816</v>
      </c>
      <c r="G67" s="170">
        <f>Statement!Q173</f>
        <v>-8.1982378854625555</v>
      </c>
      <c r="I67" s="170">
        <f>Statement!AC173</f>
        <v>-8.1982378854625555</v>
      </c>
    </row>
    <row r="68" spans="2:9" x14ac:dyDescent="0.2">
      <c r="B68" s="20" t="s">
        <v>290</v>
      </c>
      <c r="C68" s="192">
        <f>Statement!M174</f>
        <v>-0.34186884223272768</v>
      </c>
      <c r="D68" s="192">
        <f>Statement!N174</f>
        <v>-0.36425136389296864</v>
      </c>
      <c r="E68" s="192">
        <f>Statement!O174</f>
        <v>-0.19621294468986217</v>
      </c>
      <c r="F68" s="192">
        <f>Statement!P174</f>
        <v>-0.13310017020216697</v>
      </c>
      <c r="G68" s="192">
        <f>Statement!Q174</f>
        <v>-9.5741326998457447E-3</v>
      </c>
      <c r="I68" s="192">
        <f ca="1">Statement!AC174</f>
        <v>-1.1602642958620337E-2</v>
      </c>
    </row>
    <row r="70" spans="2:9" ht="17" thickBot="1" x14ac:dyDescent="0.25">
      <c r="B70" s="14" t="s">
        <v>305</v>
      </c>
      <c r="C70" s="14"/>
      <c r="D70" s="14"/>
      <c r="E70" s="14"/>
      <c r="F70" s="14"/>
      <c r="G70" s="14"/>
      <c r="I70" s="14"/>
    </row>
    <row r="71" spans="2:9" x14ac:dyDescent="0.2">
      <c r="B71" s="20" t="s">
        <v>279</v>
      </c>
      <c r="C71" s="171">
        <f>Statement!M171</f>
        <v>8.7507543753771871E-2</v>
      </c>
      <c r="D71" s="171">
        <f>Statement!N171</f>
        <v>0.12208067940552017</v>
      </c>
      <c r="E71" s="171">
        <f>Statement!O171</f>
        <v>0.1383442265795207</v>
      </c>
      <c r="F71" s="171">
        <f>Statement!P171</f>
        <v>0.18467220683287167</v>
      </c>
      <c r="G71" s="171">
        <f>Statement!Q171</f>
        <v>5.7974959172563963E-2</v>
      </c>
      <c r="I71" s="171">
        <f>Statement!AC171</f>
        <v>5.7974959172563963E-2</v>
      </c>
    </row>
    <row r="72" spans="2:9" x14ac:dyDescent="0.2">
      <c r="B72" s="20" t="s">
        <v>280</v>
      </c>
      <c r="C72" s="171">
        <f>Statement!M172</f>
        <v>1.2434611096818454E-2</v>
      </c>
      <c r="D72" s="171">
        <f>Statement!N172</f>
        <v>1.5574214517876489E-2</v>
      </c>
      <c r="E72" s="171">
        <f>Statement!O172</f>
        <v>1.938635322851473E-2</v>
      </c>
      <c r="F72" s="171">
        <f>Statement!P172</f>
        <v>2.1985269869187644E-2</v>
      </c>
      <c r="G72" s="171">
        <f>Statement!Q172</f>
        <v>1.7466174661746617E-2</v>
      </c>
      <c r="I72" s="171">
        <f>Statement!AC172</f>
        <v>1.7466174661746617E-2</v>
      </c>
    </row>
    <row r="74" spans="2:9" ht="17" thickBot="1" x14ac:dyDescent="0.25">
      <c r="B74" s="14" t="s">
        <v>306</v>
      </c>
      <c r="C74" s="14"/>
      <c r="D74" s="14"/>
      <c r="E74" s="14"/>
      <c r="F74" s="14"/>
      <c r="G74" s="14"/>
      <c r="I74" s="14"/>
    </row>
    <row r="75" spans="2:9" x14ac:dyDescent="0.2">
      <c r="B75" s="20" t="s">
        <v>303</v>
      </c>
      <c r="C75" s="171">
        <f>Statement!M175</f>
        <v>3.2673012606122973E-2</v>
      </c>
      <c r="D75" s="171">
        <f>Statement!N175</f>
        <v>4.2795232936078009E-2</v>
      </c>
      <c r="E75" s="171">
        <f>Statement!O175</f>
        <v>3.877270645702946E-2</v>
      </c>
      <c r="F75" s="171">
        <f>Statement!P175</f>
        <v>2.9130482576673628E-2</v>
      </c>
      <c r="G75" s="171">
        <f>Statement!Q175</f>
        <v>4.6658466584665846E-2</v>
      </c>
      <c r="I75" s="171">
        <f>Statement!AC175</f>
        <v>4.6658466584665846E-2</v>
      </c>
    </row>
    <row r="76" spans="2:9" x14ac:dyDescent="0.2">
      <c r="B76" s="20" t="s">
        <v>300</v>
      </c>
      <c r="C76" s="171">
        <f>Statement!M176</f>
        <v>0.22993361496680748</v>
      </c>
      <c r="D76" s="171">
        <f>Statement!N176</f>
        <v>0.3354564755838641</v>
      </c>
      <c r="E76" s="171">
        <f>Statement!O176</f>
        <v>0.27668845315904139</v>
      </c>
      <c r="F76" s="171">
        <f>Statement!P176</f>
        <v>0.24469067405355494</v>
      </c>
      <c r="G76" s="171">
        <f>Statement!Q176</f>
        <v>0.15487207403375067</v>
      </c>
      <c r="I76" s="171">
        <f>Statement!AC176</f>
        <v>0.15487207403375067</v>
      </c>
    </row>
    <row r="77" spans="2:9" x14ac:dyDescent="0.2">
      <c r="B77" s="20" t="s">
        <v>301</v>
      </c>
      <c r="C77" s="171">
        <f>Statement!M177</f>
        <v>0.84478935698447899</v>
      </c>
      <c r="D77" s="171">
        <f>Statement!N177</f>
        <v>0.61598440545808963</v>
      </c>
      <c r="E77" s="171">
        <f>Statement!O177</f>
        <v>0.96212121212121215</v>
      </c>
      <c r="F77" s="171">
        <f>Statement!P177</f>
        <v>1.0557768924302788</v>
      </c>
      <c r="G77" s="171">
        <f>Statement!Q177</f>
        <v>2.0615942028985508</v>
      </c>
      <c r="I77" s="171">
        <f>Statement!AC177</f>
        <v>2.0615942028985508</v>
      </c>
    </row>
    <row r="79" spans="2:9" ht="17" thickBot="1" x14ac:dyDescent="0.25">
      <c r="B79" s="14" t="s">
        <v>121</v>
      </c>
      <c r="C79" s="14"/>
      <c r="D79" s="14"/>
      <c r="E79" s="14"/>
      <c r="F79" s="14"/>
      <c r="G79" s="14"/>
      <c r="I79" s="14"/>
    </row>
    <row r="80" spans="2:9" x14ac:dyDescent="0.2">
      <c r="B80" s="20" t="s">
        <v>19</v>
      </c>
      <c r="C80" s="171">
        <f>Statement!M88</f>
        <v>9.1751708641512969E-2</v>
      </c>
      <c r="D80" s="171">
        <f>Statement!N88</f>
        <v>-0.36677814938684505</v>
      </c>
      <c r="E80" s="171">
        <f>Statement!O88</f>
        <v>-0.11281148429035753</v>
      </c>
      <c r="F80" s="171">
        <f>Statement!P88</f>
        <v>0.38864295527400394</v>
      </c>
      <c r="G80" s="171">
        <f>Statement!Q88</f>
        <v>0.3405518302737166</v>
      </c>
      <c r="I80" s="193"/>
    </row>
    <row r="81" spans="2:9" x14ac:dyDescent="0.2">
      <c r="B81" s="20" t="s">
        <v>20</v>
      </c>
      <c r="C81" s="171">
        <f>Statement!M89</f>
        <v>5.5126223596084489E-2</v>
      </c>
      <c r="D81" s="171">
        <f>Statement!N89</f>
        <v>-0.2635498046875</v>
      </c>
      <c r="E81" s="171">
        <f>Statement!O89</f>
        <v>-0.16873860434278137</v>
      </c>
      <c r="F81" s="171">
        <f>Statement!P89</f>
        <v>0.17587238285144566</v>
      </c>
      <c r="G81" s="171">
        <f>Statement!Q89</f>
        <v>0.12548753603527218</v>
      </c>
      <c r="I81" s="193"/>
    </row>
    <row r="82" spans="2:9" x14ac:dyDescent="0.2">
      <c r="B82" s="20" t="s">
        <v>21</v>
      </c>
      <c r="C82" s="171">
        <f>Statement!M90</f>
        <v>0.1892355159410353</v>
      </c>
      <c r="D82" s="171">
        <f>Statement!N90</f>
        <v>-0.61055059094840014</v>
      </c>
      <c r="E82" s="171">
        <f>Statement!O90</f>
        <v>0.13693560325684678</v>
      </c>
      <c r="F82" s="171">
        <f>Statement!P90</f>
        <v>1.0833333333333333</v>
      </c>
      <c r="G82" s="171">
        <f>Statement!Q90</f>
        <v>0.73687499999999995</v>
      </c>
      <c r="I82" s="193"/>
    </row>
    <row r="83" spans="2:9" x14ac:dyDescent="0.2">
      <c r="B83" s="20" t="s">
        <v>24</v>
      </c>
      <c r="C83" s="171">
        <f>Statement!M93</f>
        <v>6.2456140350877196E-2</v>
      </c>
      <c r="D83" s="171">
        <f>Statement!N93</f>
        <v>0.11822985468956407</v>
      </c>
      <c r="E83" s="171">
        <f>Statement!O93</f>
        <v>-0.35971647962197284</v>
      </c>
      <c r="F83" s="171">
        <f>Statement!P93</f>
        <v>0.20848708487084872</v>
      </c>
      <c r="G83" s="171">
        <f>Statement!Q93</f>
        <v>0.11755725190839694</v>
      </c>
      <c r="I83" s="193"/>
    </row>
    <row r="84" spans="2:9" x14ac:dyDescent="0.2">
      <c r="B84" s="20" t="s">
        <v>307</v>
      </c>
      <c r="C84" s="171">
        <f>Statement!M94</f>
        <v>0.31032171581769435</v>
      </c>
      <c r="D84" s="171">
        <f>Statement!N94</f>
        <v>-1.1749360613810742</v>
      </c>
      <c r="E84" s="171">
        <f>Statement!O94</f>
        <v>2.3216374269005846</v>
      </c>
      <c r="F84" s="171">
        <f>Statement!P94</f>
        <v>3.1814159292035398</v>
      </c>
      <c r="G84" s="171">
        <f>Statement!Q94</f>
        <v>1.1661375661375661</v>
      </c>
      <c r="I84" s="193"/>
    </row>
    <row r="85" spans="2:9" x14ac:dyDescent="0.2">
      <c r="B85" s="20" t="s">
        <v>308</v>
      </c>
      <c r="C85" s="171">
        <f>Statement!M96</f>
        <v>0.25494672754946729</v>
      </c>
      <c r="D85" s="171">
        <f>Statement!N96</f>
        <v>-1.3208004851425106</v>
      </c>
      <c r="E85" s="171">
        <f>Statement!O96</f>
        <v>1.6332703213610587</v>
      </c>
      <c r="F85" s="171">
        <f>Statement!P96</f>
        <v>3.3850746268656717</v>
      </c>
      <c r="G85" s="171">
        <f>Statement!Q96</f>
        <v>1.1674608577263446</v>
      </c>
      <c r="I85" s="193"/>
    </row>
    <row r="87" spans="2:9" ht="17" thickBot="1" x14ac:dyDescent="0.25">
      <c r="B87" s="14" t="s">
        <v>441</v>
      </c>
      <c r="C87" s="14"/>
      <c r="D87" s="14"/>
      <c r="E87" s="14"/>
      <c r="F87" s="14"/>
      <c r="G87" s="14"/>
      <c r="I87" s="14"/>
    </row>
    <row r="88" spans="2:9" x14ac:dyDescent="0.2">
      <c r="B88" s="20" t="s">
        <v>262</v>
      </c>
      <c r="C88" s="170">
        <f>Statement!M157</f>
        <v>13.011644562334217</v>
      </c>
      <c r="D88" s="170">
        <f>Statement!N157</f>
        <v>25.062798434442271</v>
      </c>
      <c r="E88" s="170">
        <f>Statement!O157</f>
        <v>40.961843575418989</v>
      </c>
      <c r="F88" s="170">
        <f>Statement!P157</f>
        <v>49.893074433656956</v>
      </c>
      <c r="G88" s="170">
        <f>Statement!Q157</f>
        <v>67.212282157676341</v>
      </c>
      <c r="I88" s="170">
        <f ca="1">Statement!AC157</f>
        <v>55.461441908713688</v>
      </c>
    </row>
    <row r="89" spans="2:9" x14ac:dyDescent="0.2">
      <c r="B89" s="20" t="s">
        <v>263</v>
      </c>
      <c r="C89" s="170">
        <f>Statement!M158</f>
        <v>14.659365949397982</v>
      </c>
      <c r="D89" s="170">
        <f>Statement!N158</f>
        <v>17.180029498525073</v>
      </c>
      <c r="E89" s="170">
        <f>Statement!O158</f>
        <v>35.737599041631057</v>
      </c>
      <c r="F89" s="170">
        <f>Statement!P158</f>
        <v>40.813593878239608</v>
      </c>
      <c r="G89" s="170">
        <f>Statement!Q158</f>
        <v>63.70151446907547</v>
      </c>
      <c r="I89" s="170">
        <f ca="1">Statement!AC158</f>
        <v>52.670084221427281</v>
      </c>
    </row>
    <row r="90" spans="2:9" x14ac:dyDescent="0.2">
      <c r="B90" s="20" t="s">
        <v>442</v>
      </c>
      <c r="C90" s="171">
        <f>Statement!M164</f>
        <v>0.11551912298693807</v>
      </c>
      <c r="D90" s="171">
        <f>Statement!N164</f>
        <v>0.13773022751895991</v>
      </c>
      <c r="E90" s="171">
        <f>Statement!O164</f>
        <v>0.1123904232821475</v>
      </c>
      <c r="F90" s="171">
        <f>Statement!P164</f>
        <v>9.4100951040925501E-2</v>
      </c>
      <c r="G90" s="171">
        <f>Statement!Q164</f>
        <v>0.25261177056215006</v>
      </c>
      <c r="I90" s="171">
        <f>Statement!AC164</f>
        <v>0.25261177056215006</v>
      </c>
    </row>
    <row r="91" spans="2:9" x14ac:dyDescent="0.2">
      <c r="B91" s="20" t="s">
        <v>443</v>
      </c>
      <c r="C91" s="171">
        <f>Statement!M165</f>
        <v>9.6989966555183951E-2</v>
      </c>
      <c r="D91" s="171">
        <f>Statement!N165</f>
        <v>6.9203683640303354E-2</v>
      </c>
      <c r="E91" s="171">
        <f>Statement!O165</f>
        <v>8.1972217981987477E-2</v>
      </c>
      <c r="F91" s="171">
        <f>Statement!P165</f>
        <v>6.7934483895789821E-2</v>
      </c>
      <c r="G91" s="171">
        <f>Statement!Q165</f>
        <v>0.23714637146371464</v>
      </c>
      <c r="I91" s="171">
        <f>Statement!AC165</f>
        <v>0.23714637146371464</v>
      </c>
    </row>
    <row r="93" spans="2:9" ht="17" thickBot="1" x14ac:dyDescent="0.25">
      <c r="B93" s="14" t="s">
        <v>444</v>
      </c>
      <c r="C93" s="14"/>
      <c r="D93" s="14"/>
      <c r="E93" s="14"/>
      <c r="F93" s="14"/>
      <c r="G93" s="14"/>
      <c r="I93" s="14"/>
    </row>
    <row r="94" spans="2:9" x14ac:dyDescent="0.2">
      <c r="B94" s="20" t="s">
        <v>283</v>
      </c>
      <c r="C94" s="171">
        <f>Statement!M195</f>
        <v>-6.0092449922958396E-2</v>
      </c>
      <c r="D94" s="171">
        <f>Statement!N195</f>
        <v>-4.5901639344262293E-2</v>
      </c>
      <c r="E94" s="171">
        <f>Statement!O195</f>
        <v>5.1546391752577319E-3</v>
      </c>
      <c r="F94" s="171">
        <f>Statement!P195</f>
        <v>2.564102564102564E-2</v>
      </c>
      <c r="G94" s="171">
        <f>Statement!Q195</f>
        <v>5.6666666666666664E-2</v>
      </c>
      <c r="I94" s="193"/>
    </row>
    <row r="97" spans="2:9" ht="17" thickBot="1" x14ac:dyDescent="0.25">
      <c r="B97" s="14" t="s">
        <v>309</v>
      </c>
      <c r="C97" s="14"/>
      <c r="D97" s="14"/>
      <c r="E97" s="14"/>
      <c r="F97" s="14"/>
      <c r="G97" s="14"/>
      <c r="I97" s="14"/>
    </row>
    <row r="98" spans="2:9" x14ac:dyDescent="0.2">
      <c r="B98" s="20" t="str">
        <f>Statement!B190</f>
        <v>Datacenter</v>
      </c>
      <c r="C98" s="171">
        <f>Statement!M190</f>
        <v>0</v>
      </c>
      <c r="D98" s="171">
        <f>Statement!N190</f>
        <v>0</v>
      </c>
      <c r="E98" s="171">
        <f>Statement!O190</f>
        <v>0</v>
      </c>
      <c r="F98" s="171">
        <f>Statement!P190</f>
        <v>1</v>
      </c>
      <c r="G98" s="171">
        <f>Statement!Q190</f>
        <v>0.4377575044143614</v>
      </c>
      <c r="I98" s="193"/>
    </row>
    <row r="99" spans="2:9" x14ac:dyDescent="0.2">
      <c r="B99" s="20" t="str">
        <f>Statement!B191</f>
        <v>Edge &amp; IoT</v>
      </c>
      <c r="C99" s="171">
        <f>Statement!M191</f>
        <v>0</v>
      </c>
      <c r="D99" s="171">
        <f>Statement!N191</f>
        <v>0</v>
      </c>
      <c r="E99" s="171">
        <f>Statement!O191</f>
        <v>0</v>
      </c>
      <c r="F99" s="171">
        <f>Statement!P191</f>
        <v>1</v>
      </c>
      <c r="G99" s="171">
        <f>Statement!Q191</f>
        <v>5.434782608695652E-2</v>
      </c>
      <c r="I99" s="1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sheetPr codeName="Sheet7"/>
  <dimension ref="B1:G27"/>
  <sheetViews>
    <sheetView topLeftCell="A19" zoomScale="180" workbookViewId="0">
      <selection activeCell="C27" sqref="C27:D27"/>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55" t="s">
        <v>312</v>
      </c>
      <c r="D3" s="256"/>
      <c r="F3" s="257" t="s">
        <v>313</v>
      </c>
      <c r="G3" s="256"/>
    </row>
    <row r="4" spans="2:7" x14ac:dyDescent="0.2">
      <c r="B4" s="8"/>
      <c r="C4" s="10" t="str">
        <f>Statement!Z2</f>
        <v>03.04.2026</v>
      </c>
      <c r="D4" s="199" t="str">
        <f>Statement!AA2</f>
        <v>03.07.2026</v>
      </c>
      <c r="F4" s="200" t="str">
        <f>Statement!W2</f>
        <v>27.06.2025</v>
      </c>
      <c r="G4" s="199" t="str">
        <f>Statement!AA2</f>
        <v>03.07.2026</v>
      </c>
    </row>
    <row r="5" spans="2:7" x14ac:dyDescent="0.2">
      <c r="B5" s="8" t="s">
        <v>318</v>
      </c>
      <c r="C5" s="10" t="str">
        <f>Statement!Z3</f>
        <v>Q3 2026</v>
      </c>
      <c r="D5" s="199" t="str">
        <f>Statement!AA3</f>
        <v>Q4 2026</v>
      </c>
      <c r="F5" s="200" t="str">
        <f>Statement!W3</f>
        <v>Q4 2025</v>
      </c>
      <c r="G5" s="199" t="str">
        <f>Statement!AA3</f>
        <v>Q4 2026</v>
      </c>
    </row>
    <row r="6" spans="2:7" x14ac:dyDescent="0.2">
      <c r="B6" s="201" t="s">
        <v>19</v>
      </c>
      <c r="C6" s="195">
        <f>Statement!Z5</f>
        <v>3112</v>
      </c>
      <c r="D6" s="194">
        <f>Statement!AA5</f>
        <v>3629</v>
      </c>
      <c r="F6" s="195">
        <f>Statement!W5</f>
        <v>2444</v>
      </c>
      <c r="G6" s="194">
        <f>Statement!AA5</f>
        <v>3629</v>
      </c>
    </row>
    <row r="7" spans="2:7" x14ac:dyDescent="0.2">
      <c r="B7" s="202" t="s">
        <v>314</v>
      </c>
      <c r="C7" s="253">
        <f>Statement!AA88</f>
        <v>0.16613110539845757</v>
      </c>
      <c r="D7" s="254"/>
      <c r="F7" s="253">
        <f>IF(F6=0,
IF(G6=0,0,IF(G6&gt;0,1,-1)),
(G6-F6)/ABS(F6)
)</f>
        <v>0.484860883797054</v>
      </c>
      <c r="G7" s="254"/>
    </row>
    <row r="8" spans="2:7" x14ac:dyDescent="0.2">
      <c r="B8" s="203" t="s">
        <v>20</v>
      </c>
      <c r="C8" s="196">
        <f>Statement!Z6</f>
        <v>1665</v>
      </c>
      <c r="D8" s="194">
        <f>Statement!AA6</f>
        <v>1731</v>
      </c>
      <c r="F8" s="196">
        <f>Statement!W6</f>
        <v>1530</v>
      </c>
      <c r="G8" s="194">
        <f>Statement!AA6</f>
        <v>1731</v>
      </c>
    </row>
    <row r="9" spans="2:7" x14ac:dyDescent="0.2">
      <c r="B9" s="202" t="s">
        <v>314</v>
      </c>
      <c r="C9" s="253">
        <f>Statement!AA89</f>
        <v>3.9639639639639637E-2</v>
      </c>
      <c r="D9" s="254"/>
      <c r="F9" s="253">
        <f>IF(F8=0,
IF(G8=0,0,IF(G8&gt;0,1,-1)),
(G8-F8)/ABS(F8)
)</f>
        <v>0.13137254901960785</v>
      </c>
      <c r="G9" s="254"/>
    </row>
    <row r="10" spans="2:7" x14ac:dyDescent="0.2">
      <c r="B10" s="203" t="s">
        <v>21</v>
      </c>
      <c r="C10" s="196">
        <f>Statement!Z7</f>
        <v>1447</v>
      </c>
      <c r="D10" s="194">
        <f>Statement!AA7</f>
        <v>1898</v>
      </c>
      <c r="F10" s="196">
        <f>Statement!W7</f>
        <v>914</v>
      </c>
      <c r="G10" s="194">
        <f>Statement!AA7</f>
        <v>1898</v>
      </c>
    </row>
    <row r="11" spans="2:7" x14ac:dyDescent="0.2">
      <c r="B11" s="202" t="s">
        <v>314</v>
      </c>
      <c r="C11" s="253">
        <f>Statement!AA90</f>
        <v>0.31167933655839669</v>
      </c>
      <c r="D11" s="254"/>
      <c r="F11" s="253">
        <f>IF(F10=0,
IF(G10=0,0,IF(G10&gt;0,1,-1)),
(G10-F10)/ABS(F10)
)</f>
        <v>1.0765864332603938</v>
      </c>
      <c r="G11" s="254"/>
    </row>
    <row r="12" spans="2:7" x14ac:dyDescent="0.2">
      <c r="B12" s="203" t="s">
        <v>24</v>
      </c>
      <c r="C12" s="196">
        <f>Statement!Z10</f>
        <v>449</v>
      </c>
      <c r="D12" s="196">
        <f>Statement!AA10</f>
        <v>339</v>
      </c>
      <c r="F12" s="196">
        <f>Statement!W10</f>
        <v>346</v>
      </c>
      <c r="G12" s="194">
        <f>Statement!AA10</f>
        <v>339</v>
      </c>
    </row>
    <row r="13" spans="2:7" x14ac:dyDescent="0.2">
      <c r="B13" s="202" t="s">
        <v>314</v>
      </c>
      <c r="C13" s="253">
        <f>Statement!AA93</f>
        <v>-0.24498886414253898</v>
      </c>
      <c r="D13" s="254"/>
      <c r="F13" s="253">
        <f>IF(F12=0,
IF(G12=0,0,IF(G12&gt;0,1,-1)),
(G12-F12)/ABS(F12)
)</f>
        <v>-2.023121387283237E-2</v>
      </c>
      <c r="G13" s="254"/>
    </row>
    <row r="14" spans="2:7" x14ac:dyDescent="0.2">
      <c r="B14" s="203" t="s">
        <v>315</v>
      </c>
      <c r="C14" s="196">
        <f>Statement!Z11</f>
        <v>998</v>
      </c>
      <c r="D14" s="194">
        <f>Statement!AA11</f>
        <v>1559</v>
      </c>
      <c r="F14" s="196">
        <f>Statement!W11</f>
        <v>568</v>
      </c>
      <c r="G14" s="194">
        <f>Statement!AA11</f>
        <v>1559</v>
      </c>
    </row>
    <row r="15" spans="2:7" x14ac:dyDescent="0.2">
      <c r="B15" s="202" t="s">
        <v>314</v>
      </c>
      <c r="C15" s="253">
        <f>Statement!AA94</f>
        <v>0.56212424849699394</v>
      </c>
      <c r="D15" s="254"/>
      <c r="F15" s="253">
        <f>IF(F14=0,
IF(G14=0,0,IF(G14&gt;0,1,-1)),
(G14-F14)/ABS(F14)
)</f>
        <v>1.744718309859155</v>
      </c>
      <c r="G15" s="254"/>
    </row>
    <row r="16" spans="2:7" x14ac:dyDescent="0.2">
      <c r="B16" s="203" t="s">
        <v>30</v>
      </c>
      <c r="C16" s="196">
        <f>Statement!Z17</f>
        <v>748</v>
      </c>
      <c r="D16" s="194">
        <f>Statement!AA17</f>
        <v>1294</v>
      </c>
      <c r="F16" s="196">
        <f>Statement!W17</f>
        <v>488</v>
      </c>
      <c r="G16" s="194">
        <f>Statement!AA17</f>
        <v>1294</v>
      </c>
    </row>
    <row r="17" spans="2:7" x14ac:dyDescent="0.2">
      <c r="B17" s="202" t="s">
        <v>314</v>
      </c>
      <c r="C17" s="253">
        <f>Statement!AA96</f>
        <v>0.72994652406417115</v>
      </c>
      <c r="D17" s="254"/>
      <c r="F17" s="253">
        <f>IF(F16=0,
IF(G16=0,0,IF(G16&gt;0,1,-1)),
(G16-F16)/ABS(F16)
)</f>
        <v>1.651639344262295</v>
      </c>
      <c r="G17" s="254"/>
    </row>
    <row r="18" spans="2:7" x14ac:dyDescent="0.2">
      <c r="B18" s="203" t="s">
        <v>316</v>
      </c>
      <c r="C18" s="196">
        <f>Statement!Z21</f>
        <v>229</v>
      </c>
      <c r="D18" s="194">
        <f>Statement!AA21</f>
        <v>232</v>
      </c>
      <c r="F18" s="196">
        <f>Statement!W21</f>
        <v>218</v>
      </c>
      <c r="G18" s="194">
        <f>Statement!AA21</f>
        <v>232</v>
      </c>
    </row>
    <row r="19" spans="2:7" x14ac:dyDescent="0.2">
      <c r="B19" s="202" t="s">
        <v>314</v>
      </c>
      <c r="C19" s="253">
        <f>IF(C18=0,
IF(D18=0,0,IF(D18&gt;0,1,-1)),
(D18-C18)/ABS(C18)
)</f>
        <v>1.3100436681222707E-2</v>
      </c>
      <c r="D19" s="254"/>
      <c r="F19" s="253">
        <f>IF(F18=0,
IF(G18=0,0,IF(G18&gt;0,1,-1)),
(G18-F18)/ABS(F18)
)</f>
        <v>6.4220183486238536E-2</v>
      </c>
      <c r="G19" s="254"/>
    </row>
    <row r="20" spans="2:7" x14ac:dyDescent="0.2">
      <c r="B20" s="203" t="s">
        <v>37</v>
      </c>
      <c r="C20" s="197">
        <f>Statement!Z25</f>
        <v>3.27</v>
      </c>
      <c r="D20" s="198">
        <f>Statement!AA25</f>
        <v>5.58</v>
      </c>
      <c r="F20" s="197">
        <f>Statement!W25</f>
        <v>2.2400000000000002</v>
      </c>
      <c r="G20" s="198">
        <f>Statement!AA25</f>
        <v>5.58</v>
      </c>
    </row>
    <row r="21" spans="2:7" x14ac:dyDescent="0.2">
      <c r="B21" s="202" t="s">
        <v>314</v>
      </c>
      <c r="C21" s="253">
        <f>IF(C20=0,
IF(D20=0,0,IF(D20&gt;0,1,-1)),
(D20-C20)/ABS(C20)
)</f>
        <v>0.70642201834862384</v>
      </c>
      <c r="D21" s="254"/>
      <c r="F21" s="253">
        <f>IF(F20=0,
IF(G20=0,0,IF(G20&gt;0,1,-1)),
(G20-F20)/ABS(F20)
)</f>
        <v>1.4910714285714284</v>
      </c>
      <c r="G21" s="254"/>
    </row>
    <row r="23" spans="2:7" x14ac:dyDescent="0.2">
      <c r="B23" s="8" t="s">
        <v>317</v>
      </c>
      <c r="C23" s="10" t="str">
        <f>C5</f>
        <v>Q3 2026</v>
      </c>
      <c r="D23" s="199" t="str">
        <f>D5</f>
        <v>Q4 2026</v>
      </c>
      <c r="F23" s="200" t="str">
        <f>F5</f>
        <v>Q4 2025</v>
      </c>
      <c r="G23" s="199" t="str">
        <f>G5</f>
        <v>Q4 2026</v>
      </c>
    </row>
    <row r="24" spans="2:7" x14ac:dyDescent="0.2">
      <c r="B24" s="20" t="str">
        <f>Statement!B185</f>
        <v>Datacenter</v>
      </c>
      <c r="C24" s="196">
        <f>Statement!Z185</f>
        <v>2500</v>
      </c>
      <c r="D24" s="194">
        <f>Statement!AA185</f>
        <v>2933</v>
      </c>
      <c r="F24" s="196">
        <f>Statement!W185</f>
        <v>1863</v>
      </c>
      <c r="G24" s="194">
        <f>Statement!AA185</f>
        <v>2933</v>
      </c>
    </row>
    <row r="25" spans="2:7" x14ac:dyDescent="0.2">
      <c r="B25" s="202" t="s">
        <v>314</v>
      </c>
      <c r="C25" s="253">
        <f>IF(C24=0,
IF(D24=0,0,IF(D24&gt;0,1,-1)),
(D24-C24)/ABS(C24)
)</f>
        <v>0.17319999999999999</v>
      </c>
      <c r="D25" s="254"/>
      <c r="F25" s="253">
        <f>IF(F24=0,
IF(G24=0,0,IF(G24&gt;0,1,-1)),
(G24-F24)/ABS(F24)
)</f>
        <v>0.57434245840042941</v>
      </c>
      <c r="G25" s="254"/>
    </row>
    <row r="26" spans="2:7" x14ac:dyDescent="0.2">
      <c r="B26" s="20" t="str">
        <f>Statement!B186</f>
        <v>Edge &amp; IoT</v>
      </c>
      <c r="C26" s="196">
        <f>Statement!Z186</f>
        <v>612</v>
      </c>
      <c r="D26" s="194">
        <f>Statement!AA186</f>
        <v>697</v>
      </c>
      <c r="F26" s="196">
        <f>Statement!W186</f>
        <v>581</v>
      </c>
      <c r="G26" s="194">
        <f>Statement!AA186</f>
        <v>697</v>
      </c>
    </row>
    <row r="27" spans="2:7" x14ac:dyDescent="0.2">
      <c r="B27" s="202" t="s">
        <v>314</v>
      </c>
      <c r="C27" s="253">
        <f>IF(C26=0,
IF(D26=0,0,IF(D26&gt;0,1,-1)),
(D26-C26)/ABS(C26)
)</f>
        <v>0.1388888888888889</v>
      </c>
      <c r="D27" s="254"/>
      <c r="F27" s="253">
        <f>IF(F26=0,
IF(G26=0,0,IF(G26&gt;0,1,-1)),
(G26-F26)/ABS(F26)
)</f>
        <v>0.19965576592082615</v>
      </c>
      <c r="G27" s="254"/>
    </row>
  </sheetData>
  <mergeCells count="22">
    <mergeCell ref="C3:D3"/>
    <mergeCell ref="F3:G3"/>
    <mergeCell ref="C7:D7"/>
    <mergeCell ref="F7:G7"/>
    <mergeCell ref="C9:D9"/>
    <mergeCell ref="F9:G9"/>
    <mergeCell ref="C11:D11"/>
    <mergeCell ref="F11:G11"/>
    <mergeCell ref="C13:D13"/>
    <mergeCell ref="F13:G13"/>
    <mergeCell ref="C15:D15"/>
    <mergeCell ref="F15:G15"/>
    <mergeCell ref="C25:D25"/>
    <mergeCell ref="F25:G25"/>
    <mergeCell ref="C27:D27"/>
    <mergeCell ref="F27:G27"/>
    <mergeCell ref="C17:D17"/>
    <mergeCell ref="F17:G17"/>
    <mergeCell ref="F19:G19"/>
    <mergeCell ref="C19:D19"/>
    <mergeCell ref="C21:D21"/>
    <mergeCell ref="F21:G21"/>
  </mergeCells>
  <pageMargins left="0.7" right="0.7" top="0.75" bottom="0.75" header="0.3" footer="0.3"/>
  <ignoredErrors>
    <ignoredError sqref="F8 F10 F14 F16 F18 C20 F20 C26 F26"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sheetPr codeName="Sheet8"/>
  <dimension ref="B55:L72"/>
  <sheetViews>
    <sheetView topLeftCell="B15" zoomScale="159" workbookViewId="0">
      <selection activeCell="A67" sqref="A67:XFD67"/>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t="str">
        <f>Statement!L2</f>
        <v>02.07.2021</v>
      </c>
      <c r="H55" s="10" t="str">
        <f>Statement!M2</f>
        <v>01.07.2022</v>
      </c>
      <c r="I55" s="10" t="str">
        <f>Statement!N2</f>
        <v>30.06.2023</v>
      </c>
      <c r="J55" s="10" t="str">
        <f>Statement!O2</f>
        <v>28.06.2024</v>
      </c>
      <c r="K55" s="10" t="str">
        <f>Statement!P2</f>
        <v>27.06.2025</v>
      </c>
      <c r="L55" s="10" t="str">
        <f>Statement!Q2</f>
        <v>03.07.2026</v>
      </c>
    </row>
    <row r="56" spans="2:12" x14ac:dyDescent="0.2">
      <c r="B56" s="10"/>
      <c r="C56" s="10">
        <f>Statement!H3</f>
        <v>0</v>
      </c>
      <c r="D56" s="10">
        <f>Statement!I3</f>
        <v>0</v>
      </c>
      <c r="E56" s="10">
        <f>Statement!J3</f>
        <v>0</v>
      </c>
      <c r="F56" s="10">
        <f>Statement!K3</f>
        <v>0</v>
      </c>
      <c r="G56" s="10">
        <f>Statement!L3</f>
        <v>2021</v>
      </c>
      <c r="H56" s="10">
        <f>Statement!M3</f>
        <v>2022</v>
      </c>
      <c r="I56" s="10">
        <f>Statement!N3</f>
        <v>2023</v>
      </c>
      <c r="J56" s="10">
        <f>Statement!O3</f>
        <v>2024</v>
      </c>
      <c r="K56" s="10">
        <f>Statement!P3</f>
        <v>2025</v>
      </c>
      <c r="L56" s="10">
        <f>Statement!Q3</f>
        <v>2026</v>
      </c>
    </row>
    <row r="57" spans="2:12" x14ac:dyDescent="0.2">
      <c r="B57" s="20" t="s">
        <v>19</v>
      </c>
      <c r="C57" s="64">
        <f>Statement!H5</f>
        <v>0</v>
      </c>
      <c r="D57" s="64">
        <f>Statement!I5</f>
        <v>0</v>
      </c>
      <c r="E57" s="64">
        <f>Statement!J5</f>
        <v>0</v>
      </c>
      <c r="F57" s="64">
        <f>Statement!K5</f>
        <v>0</v>
      </c>
      <c r="G57" s="64">
        <f>Statement!L5</f>
        <v>10681</v>
      </c>
      <c r="H57" s="24">
        <f>Statement!M5</f>
        <v>11661</v>
      </c>
      <c r="I57" s="24">
        <f>Statement!N5</f>
        <v>7384</v>
      </c>
      <c r="J57" s="24">
        <f>Statement!O5</f>
        <v>6551</v>
      </c>
      <c r="K57" s="24">
        <f>Statement!P5</f>
        <v>9097</v>
      </c>
      <c r="L57" s="24">
        <f>Statement!Q5</f>
        <v>12195</v>
      </c>
    </row>
    <row r="58" spans="2:12" x14ac:dyDescent="0.2">
      <c r="B58" s="20" t="s">
        <v>25</v>
      </c>
      <c r="C58" s="64">
        <f>Statement!H11</f>
        <v>0</v>
      </c>
      <c r="D58" s="64">
        <f>Statement!I11</f>
        <v>0</v>
      </c>
      <c r="E58" s="64">
        <f>Statement!J11</f>
        <v>0</v>
      </c>
      <c r="F58" s="64">
        <f>Statement!K11</f>
        <v>0</v>
      </c>
      <c r="G58" s="64">
        <f>Statement!L11</f>
        <v>1492</v>
      </c>
      <c r="H58" s="64">
        <f>Statement!M11</f>
        <v>1955</v>
      </c>
      <c r="I58" s="64">
        <f>Statement!N11</f>
        <v>-342</v>
      </c>
      <c r="J58" s="64">
        <f>Statement!O11</f>
        <v>452</v>
      </c>
      <c r="K58" s="64">
        <f>Statement!P11</f>
        <v>1890</v>
      </c>
      <c r="L58" s="64">
        <f>Statement!Q11</f>
        <v>4094</v>
      </c>
    </row>
    <row r="59" spans="2:12" x14ac:dyDescent="0.2">
      <c r="B59" s="20" t="s">
        <v>30</v>
      </c>
      <c r="C59" s="64">
        <f>Statement!H17</f>
        <v>0</v>
      </c>
      <c r="D59" s="64">
        <f>Statement!I17</f>
        <v>0</v>
      </c>
      <c r="E59" s="64">
        <f>Statement!J17</f>
        <v>0</v>
      </c>
      <c r="F59" s="64">
        <f>Statement!K17</f>
        <v>0</v>
      </c>
      <c r="G59" s="64">
        <f>Statement!L17</f>
        <v>1314</v>
      </c>
      <c r="H59" s="64">
        <f>Statement!M17</f>
        <v>1649</v>
      </c>
      <c r="I59" s="64">
        <f>Statement!N17</f>
        <v>-529</v>
      </c>
      <c r="J59" s="64">
        <f>Statement!O17</f>
        <v>335</v>
      </c>
      <c r="K59" s="64">
        <f>Statement!P17</f>
        <v>1469</v>
      </c>
      <c r="L59" s="64">
        <f>Statement!Q17</f>
        <v>3184</v>
      </c>
    </row>
    <row r="60" spans="2:12" x14ac:dyDescent="0.2">
      <c r="B60" s="20" t="s">
        <v>260</v>
      </c>
      <c r="C60" s="64">
        <f>Statement!H155</f>
        <v>0</v>
      </c>
      <c r="D60" s="64">
        <f>Statement!I155</f>
        <v>0</v>
      </c>
      <c r="E60" s="64">
        <f>Statement!J155</f>
        <v>0</v>
      </c>
      <c r="F60" s="64">
        <f>Statement!K155</f>
        <v>0</v>
      </c>
      <c r="G60" s="64">
        <f>Statement!L155</f>
        <v>1016</v>
      </c>
      <c r="H60" s="64">
        <f>Statement!M155</f>
        <v>1131</v>
      </c>
      <c r="I60" s="64">
        <f>Statement!N155</f>
        <v>511</v>
      </c>
      <c r="J60" s="64">
        <f>Statement!O155</f>
        <v>537</v>
      </c>
      <c r="K60" s="64">
        <f>Statement!P155</f>
        <v>618</v>
      </c>
      <c r="L60" s="64">
        <f>Statement!Q155</f>
        <v>2892</v>
      </c>
    </row>
    <row r="61" spans="2:12" x14ac:dyDescent="0.2">
      <c r="B61" s="20" t="s">
        <v>261</v>
      </c>
      <c r="C61" s="64">
        <f>Statement!H156</f>
        <v>0</v>
      </c>
      <c r="D61" s="64">
        <f>Statement!I156</f>
        <v>0</v>
      </c>
      <c r="E61" s="64">
        <f>Statement!J156</f>
        <v>0</v>
      </c>
      <c r="F61" s="64">
        <f>Statement!K156</f>
        <v>0</v>
      </c>
      <c r="G61" s="64">
        <f>Statement!L156</f>
        <v>1209.3679525222551</v>
      </c>
      <c r="H61" s="64">
        <f>Statement!M156</f>
        <v>1347.0684931506848</v>
      </c>
      <c r="I61" s="64">
        <f>Statement!N156</f>
        <v>1017</v>
      </c>
      <c r="J61" s="64">
        <f>Statement!O156</f>
        <v>736.2696629213483</v>
      </c>
      <c r="K61" s="64">
        <f>Statement!P156</f>
        <v>856.03635161929924</v>
      </c>
      <c r="L61" s="64">
        <f>Statement!Q156</f>
        <v>3080.6005420054198</v>
      </c>
    </row>
    <row r="62" spans="2:12" x14ac:dyDescent="0.2">
      <c r="B62" s="20" t="s">
        <v>77</v>
      </c>
      <c r="C62" s="58">
        <f>Statement!H99</f>
        <v>0</v>
      </c>
      <c r="D62" s="58">
        <f>Statement!I99</f>
        <v>0</v>
      </c>
      <c r="E62" s="58">
        <f>Statement!J99</f>
        <v>0</v>
      </c>
      <c r="F62" s="58">
        <f>Statement!K99</f>
        <v>0</v>
      </c>
      <c r="G62" s="58">
        <f>Statement!L99</f>
        <v>0.27310176949723808</v>
      </c>
      <c r="H62" s="58">
        <f>Statement!M99</f>
        <v>0.29748735099905671</v>
      </c>
      <c r="I62" s="58">
        <f>Statement!N99</f>
        <v>0.1829631635969664</v>
      </c>
      <c r="J62" s="58">
        <f>Statement!O99</f>
        <v>0.23446802014959547</v>
      </c>
      <c r="K62" s="58">
        <f>Statement!P99</f>
        <v>0.3517643179070023</v>
      </c>
      <c r="L62" s="58">
        <f>Statement!Q99</f>
        <v>0.45576055760557604</v>
      </c>
    </row>
    <row r="63" spans="2:12" x14ac:dyDescent="0.2">
      <c r="B63" s="20" t="s">
        <v>78</v>
      </c>
      <c r="C63" s="58">
        <f>Statement!H100</f>
        <v>0</v>
      </c>
      <c r="D63" s="58">
        <f>Statement!I100</f>
        <v>0</v>
      </c>
      <c r="E63" s="58">
        <f>Statement!J100</f>
        <v>0</v>
      </c>
      <c r="F63" s="58">
        <f>Statement!K100</f>
        <v>0</v>
      </c>
      <c r="G63" s="58">
        <f>Statement!L100</f>
        <v>0.13968729519707893</v>
      </c>
      <c r="H63" s="58">
        <f>Statement!M100</f>
        <v>0.16765285996055226</v>
      </c>
      <c r="I63" s="58">
        <f>Statement!N100</f>
        <v>-4.6316359696641385E-2</v>
      </c>
      <c r="J63" s="58">
        <f>Statement!O100</f>
        <v>6.8997099679438248E-2</v>
      </c>
      <c r="K63" s="58">
        <f>Statement!P100</f>
        <v>0.20776080026382324</v>
      </c>
      <c r="L63" s="58">
        <f>Statement!Q100</f>
        <v>0.33571135711357114</v>
      </c>
    </row>
    <row r="64" spans="2:12" x14ac:dyDescent="0.2">
      <c r="B64" s="20" t="s">
        <v>79</v>
      </c>
      <c r="C64" s="58">
        <f>Statement!H101</f>
        <v>0</v>
      </c>
      <c r="D64" s="58">
        <f>Statement!I101</f>
        <v>0</v>
      </c>
      <c r="E64" s="58">
        <f>Statement!J101</f>
        <v>0</v>
      </c>
      <c r="F64" s="58">
        <f>Statement!K101</f>
        <v>0</v>
      </c>
      <c r="G64" s="58">
        <f>Statement!L101</f>
        <v>0.12302218893362045</v>
      </c>
      <c r="H64" s="58">
        <f>Statement!M101</f>
        <v>0.1414115427493354</v>
      </c>
      <c r="I64" s="58">
        <f>Statement!N101</f>
        <v>-7.164138678223185E-2</v>
      </c>
      <c r="J64" s="58">
        <f>Statement!O101</f>
        <v>5.1137230957105782E-2</v>
      </c>
      <c r="K64" s="58">
        <f>Statement!P101</f>
        <v>0.16148180718918326</v>
      </c>
      <c r="L64" s="58">
        <f>Statement!Q101</f>
        <v>0.26109061090610908</v>
      </c>
    </row>
    <row r="65" spans="2:12" x14ac:dyDescent="0.2">
      <c r="B65" s="20" t="str">
        <f>"Revenue "&amp;Statement!B185</f>
        <v>Revenue Datacenter</v>
      </c>
      <c r="C65" s="64">
        <f>Statement!H185</f>
        <v>0</v>
      </c>
      <c r="D65" s="64">
        <f>Statement!I185</f>
        <v>0</v>
      </c>
      <c r="E65" s="64">
        <f>Statement!J185</f>
        <v>0</v>
      </c>
      <c r="F65" s="64">
        <f>Statement!K185</f>
        <v>0</v>
      </c>
      <c r="G65" s="64">
        <f>Statement!L185</f>
        <v>0</v>
      </c>
      <c r="H65" s="64">
        <f>Statement!M185</f>
        <v>0</v>
      </c>
      <c r="I65" s="64">
        <f>Statement!N185</f>
        <v>0</v>
      </c>
      <c r="J65" s="64">
        <f>Statement!O185</f>
        <v>0</v>
      </c>
      <c r="K65" s="64">
        <f>Statement!P185</f>
        <v>6796</v>
      </c>
      <c r="L65" s="64">
        <f>Statement!Q185</f>
        <v>9771</v>
      </c>
    </row>
    <row r="66" spans="2:12" x14ac:dyDescent="0.2">
      <c r="B66" s="20" t="str">
        <f>"Revenue "&amp;Statement!B186</f>
        <v>Revenue Edge &amp; IoT</v>
      </c>
      <c r="C66" s="64">
        <f>Statement!H186</f>
        <v>0</v>
      </c>
      <c r="D66" s="64">
        <f>Statement!I186</f>
        <v>0</v>
      </c>
      <c r="E66" s="64">
        <f>Statement!J186</f>
        <v>0</v>
      </c>
      <c r="F66" s="64">
        <f>Statement!K186</f>
        <v>0</v>
      </c>
      <c r="G66" s="64">
        <f>Statement!L186</f>
        <v>0</v>
      </c>
      <c r="H66" s="64">
        <f>Statement!M186</f>
        <v>0</v>
      </c>
      <c r="I66" s="64">
        <f>Statement!N186</f>
        <v>0</v>
      </c>
      <c r="J66" s="64">
        <f>Statement!O186</f>
        <v>0</v>
      </c>
      <c r="K66" s="64">
        <f>Statement!P186</f>
        <v>2300</v>
      </c>
      <c r="L66" s="64">
        <f>Statement!Q186</f>
        <v>2425</v>
      </c>
    </row>
    <row r="67" spans="2:12" x14ac:dyDescent="0.2">
      <c r="B67" s="20" t="s">
        <v>101</v>
      </c>
      <c r="C67" s="214">
        <f>Statement!H121</f>
        <v>0</v>
      </c>
      <c r="D67" s="214">
        <f>Statement!I121</f>
        <v>0</v>
      </c>
      <c r="E67" s="214">
        <f>Statement!J121</f>
        <v>0</v>
      </c>
      <c r="F67" s="214">
        <f>Statement!K121</f>
        <v>0</v>
      </c>
      <c r="G67" s="214">
        <f>Statement!L121</f>
        <v>0.15146974063400578</v>
      </c>
      <c r="H67" s="214">
        <f>Statement!M121</f>
        <v>0.18436940966010734</v>
      </c>
      <c r="I67" s="214">
        <f>Statement!N121</f>
        <v>-7.0010587612493388E-2</v>
      </c>
      <c r="J67" s="214">
        <f>Statement!O121</f>
        <v>4.3287246414265401E-2</v>
      </c>
      <c r="K67" s="214">
        <f>Statement!P121</f>
        <v>0.18309859154929578</v>
      </c>
      <c r="L67" s="214">
        <f>Statement!Q121</f>
        <v>0.31929402326514245</v>
      </c>
    </row>
    <row r="68" spans="2:12" x14ac:dyDescent="0.2">
      <c r="B68" s="20" t="s">
        <v>103</v>
      </c>
      <c r="C68" s="214">
        <f>Statement!H123</f>
        <v>0</v>
      </c>
      <c r="D68" s="214">
        <f>Statement!I123</f>
        <v>0</v>
      </c>
      <c r="E68" s="214">
        <f>Statement!J123</f>
        <v>0</v>
      </c>
      <c r="F68" s="214">
        <f>Statement!K123</f>
        <v>0</v>
      </c>
      <c r="G68" s="214">
        <f>Statement!L123</f>
        <v>2.0824088748019021</v>
      </c>
      <c r="H68" s="214">
        <f>Statement!M123</f>
        <v>15.128440366972477</v>
      </c>
      <c r="I68" s="214">
        <f>Statement!N123</f>
        <v>0.44120100083402836</v>
      </c>
      <c r="J68" s="214">
        <f>Statement!O123</f>
        <v>-0.22468142186452042</v>
      </c>
      <c r="K68" s="214">
        <f>Statement!P123</f>
        <v>-3.2428256070640176</v>
      </c>
      <c r="L68" s="214">
        <f>Statement!Q123</f>
        <v>1.4693124134748501</v>
      </c>
    </row>
    <row r="69" spans="2:12" x14ac:dyDescent="0.2">
      <c r="B69" s="20" t="s">
        <v>104</v>
      </c>
      <c r="C69" s="214">
        <f>Statement!H138</f>
        <v>0</v>
      </c>
      <c r="D69" s="214">
        <f>Statement!I138</f>
        <v>0</v>
      </c>
      <c r="E69" s="214">
        <f>Statement!J138</f>
        <v>0</v>
      </c>
      <c r="F69" s="214">
        <f>Statement!K138</f>
        <v>0</v>
      </c>
      <c r="G69" s="214">
        <f>Statement!L138</f>
        <v>0.31887041274331401</v>
      </c>
      <c r="H69" s="214">
        <f>Statement!M138</f>
        <v>0.37355418154682585</v>
      </c>
      <c r="I69" s="214">
        <f>Statement!N138</f>
        <v>-9.867282169648009E-2</v>
      </c>
      <c r="J69" s="214">
        <f>Statement!O138</f>
        <v>0.12044943820224721</v>
      </c>
      <c r="K69" s="214">
        <f>Statement!P138</f>
        <v>0.5026119834618733</v>
      </c>
      <c r="L69" s="214">
        <f>Statement!Q138</f>
        <v>0.87701105809469215</v>
      </c>
    </row>
    <row r="70" spans="2:12" x14ac:dyDescent="0.2">
      <c r="B70" s="20" t="s">
        <v>346</v>
      </c>
      <c r="C70" s="223">
        <f>Statement!H199</f>
        <v>0</v>
      </c>
      <c r="D70" s="223">
        <f>Statement!I199</f>
        <v>0</v>
      </c>
      <c r="E70" s="223">
        <f>Statement!J199</f>
        <v>0</v>
      </c>
      <c r="F70" s="223">
        <f>Statement!K199</f>
        <v>0</v>
      </c>
      <c r="G70" s="223">
        <f>Statement!L199</f>
        <v>100</v>
      </c>
      <c r="H70" s="223">
        <f>Statement!M199</f>
        <v>100</v>
      </c>
      <c r="I70" s="223">
        <f>Statement!N199</f>
        <v>89.549862498190762</v>
      </c>
      <c r="J70" s="223">
        <f>Statement!O199</f>
        <v>149.47170357504703</v>
      </c>
      <c r="K70" s="223">
        <f>Statement!P199</f>
        <v>204.718483137936</v>
      </c>
      <c r="L70" s="223">
        <f>Statement!Q199</f>
        <v>1187.0893038066288</v>
      </c>
    </row>
    <row r="71" spans="2:12" x14ac:dyDescent="0.2">
      <c r="B71" s="20" t="s">
        <v>347</v>
      </c>
      <c r="C71" s="223">
        <f>Statement!H200</f>
        <v>0</v>
      </c>
      <c r="D71" s="223">
        <f>Statement!I200</f>
        <v>0</v>
      </c>
      <c r="E71" s="223">
        <f>Statement!J200</f>
        <v>0</v>
      </c>
      <c r="F71" s="223">
        <f>Statement!K200</f>
        <v>0</v>
      </c>
      <c r="G71" s="223">
        <f>Statement!L200</f>
        <v>100</v>
      </c>
      <c r="H71" s="223">
        <f>Statement!M200</f>
        <v>100</v>
      </c>
      <c r="I71" s="223">
        <f>Statement!N200</f>
        <v>63.322185061315494</v>
      </c>
      <c r="J71" s="223">
        <f>Statement!O200</f>
        <v>56.17871537603979</v>
      </c>
      <c r="K71" s="223">
        <f>Statement!P200</f>
        <v>78.012177343281024</v>
      </c>
      <c r="L71" s="223">
        <f>Statement!Q200</f>
        <v>104.57936712117315</v>
      </c>
    </row>
    <row r="72" spans="2:12" x14ac:dyDescent="0.2">
      <c r="B72" s="20" t="s">
        <v>348</v>
      </c>
      <c r="C72" s="223">
        <f>Statement!H201</f>
        <v>0</v>
      </c>
      <c r="D72" s="223">
        <f>Statement!I201</f>
        <v>0</v>
      </c>
      <c r="E72" s="223">
        <f>Statement!J201</f>
        <v>0</v>
      </c>
      <c r="F72" s="223">
        <f>Statement!K201</f>
        <v>0</v>
      </c>
      <c r="G72" s="223">
        <f>Statement!L201</f>
        <v>100</v>
      </c>
      <c r="H72" s="223">
        <f>Statement!M201</f>
        <v>100</v>
      </c>
      <c r="I72" s="223">
        <f>Statement!N201</f>
        <v>-34.782608695652172</v>
      </c>
      <c r="J72" s="223">
        <f>Statement!O201</f>
        <v>21.467391304347828</v>
      </c>
      <c r="K72" s="223">
        <f>Statement!P201</f>
        <v>91.983695652173907</v>
      </c>
      <c r="L72" s="223">
        <f>Statement!Q201</f>
        <v>188.85869565217394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sheetPr codeName="Sheet9"/>
  <dimension ref="B55:J65"/>
  <sheetViews>
    <sheetView zoomScale="161" workbookViewId="0">
      <selection activeCell="A65" sqref="A65:XFD65"/>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27.09.2024</v>
      </c>
      <c r="D55" s="10" t="str">
        <f>Statement!U2</f>
        <v>27.12.2024</v>
      </c>
      <c r="E55" s="10" t="str">
        <f>Statement!V2</f>
        <v>28.03.2025</v>
      </c>
      <c r="F55" s="10" t="str">
        <f>Statement!W2</f>
        <v>27.06.2025</v>
      </c>
      <c r="G55" s="10" t="str">
        <f>Statement!X2</f>
        <v>03.10.2025</v>
      </c>
      <c r="H55" s="10" t="str">
        <f>Statement!Y2</f>
        <v>02.01.2026</v>
      </c>
      <c r="I55" s="10" t="str">
        <f>Statement!Z2</f>
        <v>03.04.2026</v>
      </c>
      <c r="J55" s="10" t="str">
        <f>Statement!AA2</f>
        <v>03.07.2026</v>
      </c>
    </row>
    <row r="56" spans="2:10" x14ac:dyDescent="0.2">
      <c r="B56" s="10"/>
      <c r="C56" s="10" t="str">
        <f>Statement!T3</f>
        <v>Q1 2025</v>
      </c>
      <c r="D56" s="10" t="str">
        <f>Statement!U3</f>
        <v>Q2 2025</v>
      </c>
      <c r="E56" s="10" t="str">
        <f>Statement!V3</f>
        <v>Q3 2025</v>
      </c>
      <c r="F56" s="10" t="str">
        <f>Statement!W3</f>
        <v>Q4 2025</v>
      </c>
      <c r="G56" s="10" t="str">
        <f>Statement!X3</f>
        <v>Q1 2026</v>
      </c>
      <c r="H56" s="10" t="str">
        <f>Statement!Y3</f>
        <v>Q2 2026</v>
      </c>
      <c r="I56" s="10" t="str">
        <f>Statement!Z3</f>
        <v>Q3 2026</v>
      </c>
      <c r="J56" s="10" t="str">
        <f>Statement!AA3</f>
        <v>Q4 2026</v>
      </c>
    </row>
    <row r="57" spans="2:10" x14ac:dyDescent="0.2">
      <c r="B57" s="20" t="s">
        <v>19</v>
      </c>
      <c r="C57" s="64">
        <f>Statement!T5</f>
        <v>2168</v>
      </c>
      <c r="D57" s="64">
        <f>Statement!U5</f>
        <v>2325</v>
      </c>
      <c r="E57" s="64">
        <f>Statement!V5</f>
        <v>2160</v>
      </c>
      <c r="F57" s="64">
        <f>Statement!W5</f>
        <v>2444</v>
      </c>
      <c r="G57" s="64">
        <f>Statement!X5</f>
        <v>2629</v>
      </c>
      <c r="H57" s="64">
        <f>Statement!Y5</f>
        <v>2825</v>
      </c>
      <c r="I57" s="64">
        <f>Statement!Z5</f>
        <v>3112</v>
      </c>
      <c r="J57" s="64">
        <f>Statement!AA5</f>
        <v>3629</v>
      </c>
    </row>
    <row r="58" spans="2:10" x14ac:dyDescent="0.2">
      <c r="B58" s="20" t="s">
        <v>25</v>
      </c>
      <c r="C58" s="64">
        <f>Statement!T11</f>
        <v>403</v>
      </c>
      <c r="D58" s="64">
        <f>Statement!U11</f>
        <v>488</v>
      </c>
      <c r="E58" s="64">
        <f>Statement!V11</f>
        <v>431</v>
      </c>
      <c r="F58" s="64">
        <f>Statement!W11</f>
        <v>568</v>
      </c>
      <c r="G58" s="64">
        <f>Statement!X11</f>
        <v>694</v>
      </c>
      <c r="H58" s="64">
        <f>Statement!Y11</f>
        <v>843</v>
      </c>
      <c r="I58" s="64">
        <f>Statement!Z11</f>
        <v>998</v>
      </c>
      <c r="J58" s="64">
        <f>Statement!AA11</f>
        <v>1559</v>
      </c>
    </row>
    <row r="59" spans="2:10" x14ac:dyDescent="0.2">
      <c r="B59" s="20" t="s">
        <v>30</v>
      </c>
      <c r="C59" s="64">
        <f>Statement!T17</f>
        <v>305</v>
      </c>
      <c r="D59" s="64">
        <f>Statement!U17</f>
        <v>336</v>
      </c>
      <c r="E59" s="64">
        <f>Statement!V17</f>
        <v>340</v>
      </c>
      <c r="F59" s="64">
        <f>Statement!W17</f>
        <v>488</v>
      </c>
      <c r="G59" s="64">
        <f>Statement!X17</f>
        <v>549</v>
      </c>
      <c r="H59" s="64">
        <f>Statement!Y17</f>
        <v>593</v>
      </c>
      <c r="I59" s="64">
        <f>Statement!Z17</f>
        <v>748</v>
      </c>
      <c r="J59" s="64">
        <f>Statement!AA17</f>
        <v>1294</v>
      </c>
    </row>
    <row r="60" spans="2:10" x14ac:dyDescent="0.2">
      <c r="B60" s="20" t="s">
        <v>77</v>
      </c>
      <c r="C60" s="58">
        <f>Statement!T99</f>
        <v>0.32933579335793356</v>
      </c>
      <c r="D60" s="58">
        <f>Statement!U99</f>
        <v>0.34924731182795699</v>
      </c>
      <c r="E60" s="58">
        <f>Statement!V99</f>
        <v>0.35185185185185186</v>
      </c>
      <c r="F60" s="58">
        <f>Statement!W99</f>
        <v>0.3739770867430442</v>
      </c>
      <c r="G60" s="58">
        <f>Statement!X99</f>
        <v>0.39444655762647396</v>
      </c>
      <c r="H60" s="58">
        <f>Statement!Y99</f>
        <v>0.41628318584070795</v>
      </c>
      <c r="I60" s="58">
        <f>Statement!Z99</f>
        <v>0.46497429305912596</v>
      </c>
      <c r="J60" s="58">
        <f>Statement!AA99</f>
        <v>0.52300909341416368</v>
      </c>
    </row>
    <row r="61" spans="2:10" x14ac:dyDescent="0.2">
      <c r="B61" s="20" t="s">
        <v>78</v>
      </c>
      <c r="C61" s="58">
        <f>Statement!T100</f>
        <v>0.18588560885608857</v>
      </c>
      <c r="D61" s="58">
        <f>Statement!U100</f>
        <v>0.20989247311827958</v>
      </c>
      <c r="E61" s="58">
        <f>Statement!V100</f>
        <v>0.19953703703703704</v>
      </c>
      <c r="F61" s="58">
        <f>Statement!W100</f>
        <v>0.23240589198036007</v>
      </c>
      <c r="G61" s="58">
        <f>Statement!X100</f>
        <v>0.26397869912514266</v>
      </c>
      <c r="H61" s="58">
        <f>Statement!Y100</f>
        <v>0.2984070796460177</v>
      </c>
      <c r="I61" s="58">
        <f>Statement!Z100</f>
        <v>0.32069408740359895</v>
      </c>
      <c r="J61" s="58">
        <f>Statement!AA100</f>
        <v>0.42959492973270874</v>
      </c>
    </row>
    <row r="62" spans="2:10" x14ac:dyDescent="0.2">
      <c r="B62" s="20" t="s">
        <v>79</v>
      </c>
      <c r="C62" s="58">
        <f>Statement!T101</f>
        <v>0.14068265682656828</v>
      </c>
      <c r="D62" s="58">
        <f>Statement!U101</f>
        <v>0.14451612903225808</v>
      </c>
      <c r="E62" s="58">
        <f>Statement!V101</f>
        <v>0.15740740740740741</v>
      </c>
      <c r="F62" s="58">
        <f>Statement!W101</f>
        <v>0.19967266775777415</v>
      </c>
      <c r="G62" s="58">
        <f>Statement!X101</f>
        <v>0.20882464815519208</v>
      </c>
      <c r="H62" s="58">
        <f>Statement!Y101</f>
        <v>0.20991150442477877</v>
      </c>
      <c r="I62" s="58">
        <f>Statement!Z101</f>
        <v>0.24035989717223649</v>
      </c>
      <c r="J62" s="58">
        <f>Statement!AA101</f>
        <v>0.35657205841829703</v>
      </c>
    </row>
    <row r="63" spans="2:10" x14ac:dyDescent="0.2">
      <c r="B63" s="20" t="str">
        <f>"Revenue "&amp;Statement!B185</f>
        <v>Revenue Datacenter</v>
      </c>
      <c r="C63" s="64">
        <f>Statement!T185</f>
        <v>1582</v>
      </c>
      <c r="D63" s="64">
        <f>Statement!U185</f>
        <v>1736</v>
      </c>
      <c r="E63" s="64">
        <f>Statement!V185</f>
        <v>1615</v>
      </c>
      <c r="F63" s="64">
        <f>Statement!W185</f>
        <v>1863</v>
      </c>
      <c r="G63" s="64">
        <f>Statement!X185</f>
        <v>2114</v>
      </c>
      <c r="H63" s="64">
        <f>Statement!Y185</f>
        <v>2224</v>
      </c>
      <c r="I63" s="64">
        <f>Statement!Z185</f>
        <v>2500</v>
      </c>
      <c r="J63" s="64">
        <f>Statement!AA185</f>
        <v>2933</v>
      </c>
    </row>
    <row r="64" spans="2:10" x14ac:dyDescent="0.2">
      <c r="B64" s="20" t="str">
        <f>"Revenue "&amp;Statement!B186</f>
        <v>Revenue Edge &amp; IoT</v>
      </c>
      <c r="C64" s="64">
        <f>Statement!T186</f>
        <v>585</v>
      </c>
      <c r="D64" s="64">
        <f>Statement!U186</f>
        <v>589</v>
      </c>
      <c r="E64" s="64">
        <f>Statement!V186</f>
        <v>545</v>
      </c>
      <c r="F64" s="64">
        <f>Statement!W186</f>
        <v>581</v>
      </c>
      <c r="G64" s="64">
        <f>Statement!X186</f>
        <v>515</v>
      </c>
      <c r="H64" s="64">
        <f>Statement!Y186</f>
        <v>601</v>
      </c>
      <c r="I64" s="64">
        <f>Statement!Z186</f>
        <v>612</v>
      </c>
      <c r="J64" s="64">
        <f>Statement!AA186</f>
        <v>697</v>
      </c>
    </row>
    <row r="65" spans="2:10" x14ac:dyDescent="0.2">
      <c r="B65" s="20" t="s">
        <v>260</v>
      </c>
      <c r="C65" s="64">
        <f>Statement!T155</f>
        <v>-11</v>
      </c>
      <c r="D65" s="64">
        <f>Statement!U155</f>
        <v>101</v>
      </c>
      <c r="E65" s="64">
        <f>Statement!V155</f>
        <v>162</v>
      </c>
      <c r="F65" s="64">
        <f>Statement!W155</f>
        <v>366</v>
      </c>
      <c r="G65" s="64">
        <f>Statement!X155</f>
        <v>375</v>
      </c>
      <c r="H65" s="64">
        <f>Statement!Y155</f>
        <v>554</v>
      </c>
      <c r="I65" s="64">
        <f>Statement!Z155</f>
        <v>899</v>
      </c>
      <c r="J65" s="64">
        <f>Statement!AA155</f>
        <v>1064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codeName="Sheet10">
    <tabColor theme="6" tint="0.59999389629810485"/>
  </sheetPr>
  <dimension ref="B5:H13"/>
  <sheetViews>
    <sheetView workbookViewId="0">
      <selection activeCell="H10" sqref="H10"/>
    </sheetView>
  </sheetViews>
  <sheetFormatPr baseColWidth="10" defaultRowHeight="16" x14ac:dyDescent="0.2"/>
  <cols>
    <col min="1" max="7" width="10.83203125" style="1"/>
    <col min="8" max="8" width="16.6640625" style="1" customWidth="1"/>
    <col min="9" max="16384" width="10.83203125" style="1"/>
  </cols>
  <sheetData>
    <row r="5" spans="2:8" x14ac:dyDescent="0.2">
      <c r="H5" s="132" t="s">
        <v>434</v>
      </c>
    </row>
    <row r="6" spans="2:8" x14ac:dyDescent="0.2">
      <c r="H6" s="244" t="s">
        <v>439</v>
      </c>
    </row>
    <row r="7" spans="2:8" x14ac:dyDescent="0.2">
      <c r="H7" s="244" t="s">
        <v>435</v>
      </c>
    </row>
    <row r="8" spans="2:8" x14ac:dyDescent="0.2">
      <c r="H8" s="244" t="s">
        <v>436</v>
      </c>
    </row>
    <row r="9" spans="2:8" x14ac:dyDescent="0.2">
      <c r="H9" s="244" t="s">
        <v>437</v>
      </c>
    </row>
    <row r="10" spans="2:8" x14ac:dyDescent="0.2">
      <c r="H10" s="245" t="s">
        <v>438</v>
      </c>
    </row>
    <row r="13" spans="2:8" s="4" customFormat="1" ht="49" x14ac:dyDescent="0.2">
      <c r="B13" s="3" t="s">
        <v>110</v>
      </c>
    </row>
  </sheetData>
  <hyperlinks>
    <hyperlink ref="H6" location="Overview!B3" display="Overview'!B3" xr:uid="{7E2A1D8D-1CDD-1E4F-B51B-E3B8BA9957A6}"/>
    <hyperlink ref="H8" location="'Analysis -&gt;'!B13" display="'Analysis -&gt;'!B13" xr:uid="{C625FB63-EE93-664B-BF74-E83DD6A6F311}"/>
    <hyperlink ref="H9" location="'Forecast -&gt;'!B13" display="'Forecast -&gt;'!B13" xr:uid="{69DF3F5D-47B5-5B40-AEE2-A99380EE7ACD}"/>
    <hyperlink ref="H10" location="'Valuation -&gt;'!B13" display="'Valuation -&gt;'!B13" xr:uid="{3EEDFC26-E5BA-7840-B6FE-F1C7AA1A05B2}"/>
    <hyperlink ref="H7" location="'Financials -&gt;'!B13" display="'Financials -&gt;'!B13" xr:uid="{0F4F0629-A024-8043-AE13-C454702686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sheetPr codeName="Sheet11"/>
  <dimension ref="A1:AE23"/>
  <sheetViews>
    <sheetView topLeftCell="A18" zoomScale="184" zoomScaleNormal="75" workbookViewId="0">
      <selection activeCell="I21" sqref="I21"/>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111</v>
      </c>
      <c r="O1" s="84"/>
    </row>
    <row r="2" spans="1:31" x14ac:dyDescent="0.2">
      <c r="A2" s="4"/>
      <c r="C2" s="249" t="s">
        <v>112</v>
      </c>
      <c r="D2" s="249"/>
      <c r="E2" s="249"/>
      <c r="F2" s="249"/>
      <c r="G2" s="261"/>
      <c r="H2" s="262" t="s">
        <v>113</v>
      </c>
      <c r="I2" s="249"/>
      <c r="J2" s="249"/>
      <c r="K2" s="249"/>
      <c r="L2" s="249"/>
      <c r="O2" s="5"/>
      <c r="S2" s="249" t="s">
        <v>112</v>
      </c>
      <c r="T2" s="249"/>
      <c r="U2" s="249"/>
      <c r="V2" s="249"/>
      <c r="W2" s="249"/>
      <c r="X2" s="249"/>
      <c r="Y2" s="249"/>
      <c r="Z2" s="249"/>
      <c r="AA2" s="249" t="s">
        <v>113</v>
      </c>
      <c r="AB2" s="249"/>
      <c r="AC2" s="249"/>
      <c r="AE2" s="85" t="s">
        <v>114</v>
      </c>
    </row>
    <row r="3" spans="1:31" ht="10" customHeight="1" x14ac:dyDescent="0.2">
      <c r="O3" s="5"/>
    </row>
    <row r="4" spans="1:31" ht="16" customHeight="1" x14ac:dyDescent="0.2">
      <c r="A4" s="86"/>
      <c r="B4" s="60"/>
      <c r="C4" s="258" t="s">
        <v>115</v>
      </c>
      <c r="D4" s="258"/>
      <c r="E4" s="258"/>
      <c r="F4" s="258"/>
      <c r="G4" s="258"/>
      <c r="H4" s="258"/>
      <c r="I4" s="258"/>
      <c r="J4" s="258"/>
      <c r="K4" s="258"/>
      <c r="L4" s="258"/>
      <c r="O4" s="5"/>
      <c r="S4" s="259" t="s">
        <v>115</v>
      </c>
      <c r="T4" s="260"/>
      <c r="U4" s="260"/>
      <c r="V4" s="260"/>
      <c r="W4" s="260"/>
      <c r="X4" s="260"/>
      <c r="Y4" s="260"/>
      <c r="Z4" s="260"/>
      <c r="AA4" s="260"/>
      <c r="AB4" s="260"/>
      <c r="AC4" s="260"/>
      <c r="AE4" s="87"/>
    </row>
    <row r="5" spans="1:31" x14ac:dyDescent="0.2">
      <c r="B5" s="16" t="s">
        <v>116</v>
      </c>
      <c r="C5" s="12">
        <f>Statement!M3</f>
        <v>2022</v>
      </c>
      <c r="D5" s="12">
        <f>Statement!N3</f>
        <v>2023</v>
      </c>
      <c r="E5" s="12">
        <f>Statement!O3</f>
        <v>2024</v>
      </c>
      <c r="F5" s="12">
        <f>Statement!P3</f>
        <v>2025</v>
      </c>
      <c r="G5" s="12">
        <f>Statement!Q3</f>
        <v>2026</v>
      </c>
      <c r="H5" s="12">
        <f>G5+1</f>
        <v>2027</v>
      </c>
      <c r="I5" s="12">
        <f t="shared" ref="I5:L5" si="0">H5+1</f>
        <v>2028</v>
      </c>
      <c r="J5" s="12">
        <f t="shared" si="0"/>
        <v>2029</v>
      </c>
      <c r="K5" s="12">
        <f t="shared" si="0"/>
        <v>2030</v>
      </c>
      <c r="L5" s="12">
        <f t="shared" si="0"/>
        <v>2031</v>
      </c>
      <c r="O5" s="5"/>
      <c r="R5" s="16" t="str">
        <f>B5</f>
        <v>Revenues (thousand)</v>
      </c>
      <c r="S5" s="12" t="str">
        <f>Statement!T3</f>
        <v>Q1 2025</v>
      </c>
      <c r="T5" s="12" t="str">
        <f>Statement!U3</f>
        <v>Q2 2025</v>
      </c>
      <c r="U5" s="12" t="str">
        <f>Statement!V3</f>
        <v>Q3 2025</v>
      </c>
      <c r="V5" s="12" t="str">
        <f>Statement!W3</f>
        <v>Q4 2025</v>
      </c>
      <c r="W5" s="12" t="str">
        <f>Statement!X3</f>
        <v>Q1 2026</v>
      </c>
      <c r="X5" s="12" t="str">
        <f>Statement!Y3</f>
        <v>Q2 2026</v>
      </c>
      <c r="Y5" s="12" t="str">
        <f>Statement!Z3</f>
        <v>Q3 2026</v>
      </c>
      <c r="Z5" s="12" t="str">
        <f>Statement!AA3</f>
        <v>Q4 2026</v>
      </c>
      <c r="AA5" s="12" t="s">
        <v>117</v>
      </c>
      <c r="AB5" s="12" t="s">
        <v>118</v>
      </c>
      <c r="AC5" s="12" t="s">
        <v>119</v>
      </c>
      <c r="AE5" s="8" t="s">
        <v>117</v>
      </c>
    </row>
    <row r="6" spans="1:31" x14ac:dyDescent="0.2">
      <c r="B6" s="1" t="str">
        <f>Statement!B185</f>
        <v>Datacenter</v>
      </c>
      <c r="C6" s="88">
        <f>Statement!M185</f>
        <v>0</v>
      </c>
      <c r="D6" s="88">
        <f>Statement!N185</f>
        <v>0</v>
      </c>
      <c r="E6" s="88">
        <f>Statement!O185</f>
        <v>0</v>
      </c>
      <c r="F6" s="88">
        <f>Statement!P185</f>
        <v>6796</v>
      </c>
      <c r="G6" s="89">
        <f>Statement!Q185</f>
        <v>9771</v>
      </c>
      <c r="H6" s="64">
        <f>H19*H20</f>
        <v>13366.728000000001</v>
      </c>
      <c r="I6" s="64">
        <f t="shared" ref="I6:L6" si="1">I19*I20</f>
        <v>17543.830500000004</v>
      </c>
      <c r="J6" s="64">
        <f t="shared" si="1"/>
        <v>18333.3028725</v>
      </c>
      <c r="K6" s="64">
        <f t="shared" si="1"/>
        <v>17416.637728875001</v>
      </c>
      <c r="L6" s="64">
        <f t="shared" si="1"/>
        <v>14891.225258188126</v>
      </c>
      <c r="N6" s="90" t="s">
        <v>394</v>
      </c>
      <c r="O6" s="5"/>
      <c r="Q6" s="90" t="s">
        <v>394</v>
      </c>
      <c r="R6" s="1" t="str">
        <f>B6</f>
        <v>Datacenter</v>
      </c>
      <c r="S6" s="88">
        <f>Statement!T185</f>
        <v>1582</v>
      </c>
      <c r="T6" s="88">
        <f>Statement!U185</f>
        <v>1736</v>
      </c>
      <c r="U6" s="88">
        <f>Statement!V185</f>
        <v>1615</v>
      </c>
      <c r="V6" s="88">
        <f>Statement!W185</f>
        <v>1863</v>
      </c>
      <c r="W6" s="88">
        <f>Statement!X185</f>
        <v>2114</v>
      </c>
      <c r="X6" s="88">
        <f>Statement!Y185</f>
        <v>2224</v>
      </c>
      <c r="Y6" s="88">
        <f>Statement!Z185</f>
        <v>2500</v>
      </c>
      <c r="Z6" s="89">
        <f>Statement!AA185</f>
        <v>2933</v>
      </c>
      <c r="AA6" s="64">
        <f>AA19*AA20</f>
        <v>3262.6692000000007</v>
      </c>
      <c r="AB6" s="64"/>
      <c r="AC6" s="64"/>
      <c r="AE6" s="64">
        <f>SUM(X6:AA6)</f>
        <v>10919.6692</v>
      </c>
    </row>
    <row r="7" spans="1:31" x14ac:dyDescent="0.2">
      <c r="B7" s="1" t="str">
        <f>Statement!B186</f>
        <v>Edge &amp; IoT</v>
      </c>
      <c r="C7" s="88">
        <f>Statement!M186</f>
        <v>0</v>
      </c>
      <c r="D7" s="88">
        <f>Statement!N186</f>
        <v>0</v>
      </c>
      <c r="E7" s="88">
        <f>Statement!O186</f>
        <v>0</v>
      </c>
      <c r="F7" s="88">
        <f>Statement!P186</f>
        <v>2300</v>
      </c>
      <c r="G7" s="89">
        <f>Statement!Q186</f>
        <v>2425</v>
      </c>
      <c r="H7" s="64">
        <f>G7*(1+H13)</f>
        <v>2788.75</v>
      </c>
      <c r="I7" s="64">
        <f>H7*(1+I13)</f>
        <v>3346.5</v>
      </c>
      <c r="J7" s="64">
        <f>I7*(1+J13)</f>
        <v>3681.15</v>
      </c>
      <c r="K7" s="64">
        <f>J7*(1+K13)</f>
        <v>3865.2075000000004</v>
      </c>
      <c r="L7" s="64">
        <f>K7*(1+L13)</f>
        <v>3478.6867500000003</v>
      </c>
      <c r="N7" s="90" t="s">
        <v>415</v>
      </c>
      <c r="O7" s="5"/>
      <c r="Q7" s="90" t="s">
        <v>415</v>
      </c>
      <c r="R7" s="1" t="str">
        <f t="shared" ref="R7" si="2">B7</f>
        <v>Edge &amp; IoT</v>
      </c>
      <c r="S7" s="88">
        <f>Statement!T186</f>
        <v>585</v>
      </c>
      <c r="T7" s="88">
        <f>Statement!U186</f>
        <v>589</v>
      </c>
      <c r="U7" s="88">
        <f>Statement!V186</f>
        <v>545</v>
      </c>
      <c r="V7" s="88">
        <f>Statement!W186</f>
        <v>581</v>
      </c>
      <c r="W7" s="88">
        <f>Statement!X186</f>
        <v>515</v>
      </c>
      <c r="X7" s="88">
        <f>Statement!Y186</f>
        <v>601</v>
      </c>
      <c r="Y7" s="88">
        <f>Statement!Z186</f>
        <v>612</v>
      </c>
      <c r="Z7" s="89">
        <f>Statement!AA186</f>
        <v>697</v>
      </c>
      <c r="AA7" s="64">
        <f>Z7*(1+AA13)</f>
        <v>738.82</v>
      </c>
      <c r="AB7" s="64"/>
      <c r="AC7" s="64"/>
      <c r="AE7" s="64">
        <f t="shared" ref="AE7" si="3">SUM(X7:AA7)</f>
        <v>2648.82</v>
      </c>
    </row>
    <row r="8" spans="1:31" x14ac:dyDescent="0.2">
      <c r="B8" s="16" t="s">
        <v>120</v>
      </c>
      <c r="C8" s="92">
        <f>Statement!M5</f>
        <v>11661</v>
      </c>
      <c r="D8" s="92">
        <f>Statement!N5</f>
        <v>7384</v>
      </c>
      <c r="E8" s="92">
        <f>Statement!O5</f>
        <v>6551</v>
      </c>
      <c r="F8" s="92">
        <f>Statement!P5</f>
        <v>9097</v>
      </c>
      <c r="G8" s="93">
        <f>Statement!Q5</f>
        <v>12195</v>
      </c>
      <c r="H8" s="94">
        <f>SUM(H6:H7)</f>
        <v>16155.478000000001</v>
      </c>
      <c r="I8" s="94">
        <f>SUM(I6:I7)</f>
        <v>20890.330500000004</v>
      </c>
      <c r="J8" s="94">
        <f>SUM(J6:J7)</f>
        <v>22014.452872500002</v>
      </c>
      <c r="K8" s="94">
        <f>SUM(K6:K7)</f>
        <v>21281.845228875001</v>
      </c>
      <c r="L8" s="94">
        <f>SUM(L6:L7)</f>
        <v>18369.912008188126</v>
      </c>
      <c r="O8" s="5"/>
      <c r="R8" s="16" t="s">
        <v>120</v>
      </c>
      <c r="S8" s="92">
        <f>Statement!T5</f>
        <v>2168</v>
      </c>
      <c r="T8" s="92">
        <f>Statement!U5</f>
        <v>2325</v>
      </c>
      <c r="U8" s="92">
        <f>Statement!V5</f>
        <v>2160</v>
      </c>
      <c r="V8" s="92">
        <f>Statement!W5</f>
        <v>2444</v>
      </c>
      <c r="W8" s="92">
        <f>Statement!X5</f>
        <v>2629</v>
      </c>
      <c r="X8" s="92">
        <f>Statement!Y5</f>
        <v>2825</v>
      </c>
      <c r="Y8" s="92">
        <f>Statement!Z5</f>
        <v>3112</v>
      </c>
      <c r="Z8" s="93">
        <f>Statement!AA5</f>
        <v>3629</v>
      </c>
      <c r="AA8" s="94">
        <f>SUM(AA6:AA7)</f>
        <v>4001.4892000000009</v>
      </c>
      <c r="AB8" s="94"/>
      <c r="AC8" s="94"/>
      <c r="AE8" s="94">
        <f>SUM(X8:AA8)</f>
        <v>13567.4892</v>
      </c>
    </row>
    <row r="9" spans="1:31" x14ac:dyDescent="0.2">
      <c r="O9" s="5"/>
      <c r="Q9" s="91"/>
    </row>
    <row r="10" spans="1:31" x14ac:dyDescent="0.2">
      <c r="C10" s="258" t="s">
        <v>121</v>
      </c>
      <c r="D10" s="258"/>
      <c r="E10" s="258"/>
      <c r="F10" s="258"/>
      <c r="G10" s="258"/>
      <c r="H10" s="258"/>
      <c r="I10" s="258"/>
      <c r="J10" s="258"/>
      <c r="K10" s="258"/>
      <c r="L10" s="258"/>
      <c r="O10" s="5"/>
      <c r="Q10" s="91"/>
      <c r="S10" s="259" t="s">
        <v>121</v>
      </c>
      <c r="T10" s="260"/>
      <c r="U10" s="260"/>
      <c r="V10" s="260"/>
      <c r="W10" s="260"/>
      <c r="X10" s="260"/>
      <c r="Y10" s="260"/>
      <c r="Z10" s="260"/>
      <c r="AA10" s="260"/>
      <c r="AB10" s="260"/>
      <c r="AC10" s="260"/>
    </row>
    <row r="11" spans="1:31" x14ac:dyDescent="0.2">
      <c r="B11" s="16" t="s">
        <v>122</v>
      </c>
      <c r="C11" s="12">
        <f t="shared" ref="C11:L11" si="4">C5</f>
        <v>2022</v>
      </c>
      <c r="D11" s="12">
        <f t="shared" si="4"/>
        <v>2023</v>
      </c>
      <c r="E11" s="12">
        <f t="shared" si="4"/>
        <v>2024</v>
      </c>
      <c r="F11" s="12">
        <f t="shared" si="4"/>
        <v>2025</v>
      </c>
      <c r="G11" s="12">
        <f t="shared" si="4"/>
        <v>2026</v>
      </c>
      <c r="H11" s="12">
        <f t="shared" si="4"/>
        <v>2027</v>
      </c>
      <c r="I11" s="12">
        <f t="shared" si="4"/>
        <v>2028</v>
      </c>
      <c r="J11" s="12">
        <f t="shared" si="4"/>
        <v>2029</v>
      </c>
      <c r="K11" s="12">
        <f t="shared" si="4"/>
        <v>2030</v>
      </c>
      <c r="L11" s="12">
        <f t="shared" si="4"/>
        <v>2031</v>
      </c>
      <c r="O11" s="5"/>
      <c r="Q11" s="91"/>
      <c r="R11" s="16" t="s">
        <v>122</v>
      </c>
      <c r="S11" s="12" t="str">
        <f t="shared" ref="S11:AC11" si="5">S5</f>
        <v>Q1 2025</v>
      </c>
      <c r="T11" s="12" t="str">
        <f t="shared" si="5"/>
        <v>Q2 2025</v>
      </c>
      <c r="U11" s="12" t="str">
        <f t="shared" si="5"/>
        <v>Q3 2025</v>
      </c>
      <c r="V11" s="12" t="str">
        <f t="shared" si="5"/>
        <v>Q4 2025</v>
      </c>
      <c r="W11" s="12" t="str">
        <f t="shared" si="5"/>
        <v>Q1 2026</v>
      </c>
      <c r="X11" s="12" t="str">
        <f t="shared" si="5"/>
        <v>Q2 2026</v>
      </c>
      <c r="Y11" s="12" t="str">
        <f t="shared" si="5"/>
        <v>Q3 2026</v>
      </c>
      <c r="Z11" s="12" t="str">
        <f t="shared" si="5"/>
        <v>Q4 2026</v>
      </c>
      <c r="AA11" s="12" t="str">
        <f t="shared" si="5"/>
        <v>FQ1</v>
      </c>
      <c r="AB11" s="12" t="str">
        <f t="shared" si="5"/>
        <v>FQ2</v>
      </c>
      <c r="AC11" s="12" t="str">
        <f t="shared" si="5"/>
        <v>FQ3</v>
      </c>
    </row>
    <row r="12" spans="1:31" x14ac:dyDescent="0.2">
      <c r="B12" s="1" t="str">
        <f>B6</f>
        <v>Datacenter</v>
      </c>
      <c r="C12" s="47"/>
      <c r="D12" s="95" t="e">
        <f t="shared" ref="D12:L12" si="6">D6/C6-1</f>
        <v>#DIV/0!</v>
      </c>
      <c r="E12" s="95" t="e">
        <f t="shared" si="6"/>
        <v>#DIV/0!</v>
      </c>
      <c r="F12" s="95" t="e">
        <f t="shared" si="6"/>
        <v>#DIV/0!</v>
      </c>
      <c r="G12" s="96">
        <f t="shared" si="6"/>
        <v>0.43775750441436134</v>
      </c>
      <c r="H12" s="95">
        <f t="shared" si="6"/>
        <v>0.3680000000000001</v>
      </c>
      <c r="I12" s="95">
        <f t="shared" si="6"/>
        <v>0.31250000000000022</v>
      </c>
      <c r="J12" s="95">
        <f t="shared" si="6"/>
        <v>4.4999999999999707E-2</v>
      </c>
      <c r="K12" s="95">
        <f t="shared" si="6"/>
        <v>-4.9999999999999933E-2</v>
      </c>
      <c r="L12" s="95">
        <f t="shared" si="6"/>
        <v>-0.14500000000000002</v>
      </c>
      <c r="O12" s="5"/>
      <c r="Q12" s="91"/>
      <c r="R12" s="1" t="str">
        <f>R6</f>
        <v>Datacenter</v>
      </c>
      <c r="S12" s="47"/>
      <c r="T12" s="95">
        <f t="shared" ref="T12:AA12" si="7">T6/S6-1</f>
        <v>9.7345132743362761E-2</v>
      </c>
      <c r="U12" s="95">
        <f t="shared" si="7"/>
        <v>-6.9700460829493105E-2</v>
      </c>
      <c r="V12" s="95">
        <f t="shared" si="7"/>
        <v>0.15356037151702795</v>
      </c>
      <c r="W12" s="95">
        <f t="shared" si="7"/>
        <v>0.13472893183038104</v>
      </c>
      <c r="X12" s="95">
        <f t="shared" si="7"/>
        <v>5.2034058656575288E-2</v>
      </c>
      <c r="Y12" s="95">
        <f t="shared" si="7"/>
        <v>0.12410071942446033</v>
      </c>
      <c r="Z12" s="96">
        <f t="shared" si="7"/>
        <v>0.17320000000000002</v>
      </c>
      <c r="AA12" s="95">
        <f t="shared" si="7"/>
        <v>0.11240000000000028</v>
      </c>
      <c r="AB12" s="95"/>
      <c r="AC12" s="95"/>
    </row>
    <row r="13" spans="1:31" x14ac:dyDescent="0.2">
      <c r="B13" s="1" t="str">
        <f>B7</f>
        <v>Edge &amp; IoT</v>
      </c>
      <c r="C13" s="47"/>
      <c r="D13" s="95" t="e">
        <f t="shared" ref="D13:G14" si="8">D7/C7-1</f>
        <v>#DIV/0!</v>
      </c>
      <c r="E13" s="95" t="e">
        <f t="shared" si="8"/>
        <v>#DIV/0!</v>
      </c>
      <c r="F13" s="95" t="e">
        <f t="shared" si="8"/>
        <v>#DIV/0!</v>
      </c>
      <c r="G13" s="96">
        <f t="shared" si="8"/>
        <v>5.4347826086956541E-2</v>
      </c>
      <c r="H13" s="97">
        <v>0.15</v>
      </c>
      <c r="I13" s="97">
        <v>0.2</v>
      </c>
      <c r="J13" s="97">
        <v>0.1</v>
      </c>
      <c r="K13" s="97">
        <v>0.05</v>
      </c>
      <c r="L13" s="97">
        <v>-0.1</v>
      </c>
      <c r="O13" s="5"/>
      <c r="Q13" s="91"/>
      <c r="R13" s="1" t="str">
        <f>R7</f>
        <v>Edge &amp; IoT</v>
      </c>
      <c r="S13" s="47"/>
      <c r="T13" s="95">
        <f t="shared" ref="T13:Z14" si="9">T7/S7-1</f>
        <v>6.8376068376068133E-3</v>
      </c>
      <c r="U13" s="95">
        <f t="shared" si="9"/>
        <v>-7.4702886247877798E-2</v>
      </c>
      <c r="V13" s="95">
        <f t="shared" si="9"/>
        <v>6.6055045871559637E-2</v>
      </c>
      <c r="W13" s="95">
        <f t="shared" si="9"/>
        <v>-0.11359724612736666</v>
      </c>
      <c r="X13" s="95">
        <f t="shared" si="9"/>
        <v>0.16699029126213594</v>
      </c>
      <c r="Y13" s="95">
        <f t="shared" si="9"/>
        <v>1.830282861896837E-2</v>
      </c>
      <c r="Z13" s="96">
        <f t="shared" si="9"/>
        <v>0.13888888888888884</v>
      </c>
      <c r="AA13" s="97">
        <v>0.06</v>
      </c>
      <c r="AB13" s="95"/>
      <c r="AC13" s="95"/>
    </row>
    <row r="14" spans="1:31" x14ac:dyDescent="0.2">
      <c r="B14" s="16" t="str">
        <f>B8</f>
        <v>Total</v>
      </c>
      <c r="C14" s="47"/>
      <c r="D14" s="103">
        <f t="shared" si="8"/>
        <v>-0.36677814938684505</v>
      </c>
      <c r="E14" s="103">
        <f t="shared" si="8"/>
        <v>-0.11281148429035748</v>
      </c>
      <c r="F14" s="103">
        <f t="shared" si="8"/>
        <v>0.38864295527400405</v>
      </c>
      <c r="G14" s="104">
        <f t="shared" si="8"/>
        <v>0.34055183027371672</v>
      </c>
      <c r="H14" s="103">
        <f>H8/G8-1</f>
        <v>0.32476244362443629</v>
      </c>
      <c r="I14" s="103">
        <f>I8/H8-1</f>
        <v>0.29308030997287737</v>
      </c>
      <c r="J14" s="103">
        <f>J8/I8-1</f>
        <v>5.381065524549733E-2</v>
      </c>
      <c r="K14" s="103">
        <f>K8/J8-1</f>
        <v>-3.3278485178260264E-2</v>
      </c>
      <c r="L14" s="103">
        <f>L8/K8-1</f>
        <v>-0.13682710260179842</v>
      </c>
      <c r="O14" s="5"/>
      <c r="Q14" s="91"/>
      <c r="R14" s="16" t="str">
        <f>R8</f>
        <v>Total</v>
      </c>
      <c r="S14" s="47"/>
      <c r="T14" s="103">
        <f t="shared" si="9"/>
        <v>7.2416974169741799E-2</v>
      </c>
      <c r="U14" s="103">
        <f t="shared" si="9"/>
        <v>-7.096774193548383E-2</v>
      </c>
      <c r="V14" s="103">
        <f t="shared" si="9"/>
        <v>0.13148148148148153</v>
      </c>
      <c r="W14" s="103">
        <f t="shared" si="9"/>
        <v>7.5695581014729951E-2</v>
      </c>
      <c r="X14" s="103">
        <f t="shared" si="9"/>
        <v>7.4553062000760839E-2</v>
      </c>
      <c r="Y14" s="103">
        <f t="shared" si="9"/>
        <v>0.10159292035398226</v>
      </c>
      <c r="Z14" s="104">
        <f t="shared" si="9"/>
        <v>0.16613110539845755</v>
      </c>
      <c r="AA14" s="103">
        <f>AA8/Z8-1</f>
        <v>0.10264238082116317</v>
      </c>
      <c r="AB14" s="103"/>
      <c r="AC14" s="103"/>
    </row>
    <row r="15" spans="1:31" x14ac:dyDescent="0.2">
      <c r="O15" s="5"/>
      <c r="Q15" s="91"/>
    </row>
    <row r="16" spans="1:31" x14ac:dyDescent="0.2">
      <c r="O16" s="5"/>
      <c r="Q16" s="91"/>
    </row>
    <row r="17" spans="1:31" ht="16" customHeight="1" x14ac:dyDescent="0.2">
      <c r="A17" s="86"/>
      <c r="B17" s="60"/>
      <c r="C17" s="258" t="s">
        <v>395</v>
      </c>
      <c r="D17" s="258"/>
      <c r="E17" s="258"/>
      <c r="F17" s="258"/>
      <c r="G17" s="258"/>
      <c r="H17" s="258"/>
      <c r="I17" s="258"/>
      <c r="J17" s="258"/>
      <c r="K17" s="258"/>
      <c r="L17" s="258"/>
      <c r="O17" s="5"/>
      <c r="S17" s="259" t="s">
        <v>115</v>
      </c>
      <c r="T17" s="260"/>
      <c r="U17" s="260"/>
      <c r="V17" s="260"/>
      <c r="W17" s="260"/>
      <c r="X17" s="260"/>
      <c r="Y17" s="260"/>
      <c r="Z17" s="260"/>
      <c r="AA17" s="260"/>
      <c r="AB17" s="260"/>
      <c r="AC17" s="260"/>
      <c r="AE17" s="87"/>
    </row>
    <row r="18" spans="1:31" x14ac:dyDescent="0.2">
      <c r="B18" s="16"/>
      <c r="C18" s="12">
        <f t="shared" ref="C18:L18" si="10">C5</f>
        <v>2022</v>
      </c>
      <c r="D18" s="12">
        <f t="shared" si="10"/>
        <v>2023</v>
      </c>
      <c r="E18" s="12">
        <f t="shared" si="10"/>
        <v>2024</v>
      </c>
      <c r="F18" s="12">
        <f t="shared" si="10"/>
        <v>2025</v>
      </c>
      <c r="G18" s="12">
        <f t="shared" si="10"/>
        <v>2026</v>
      </c>
      <c r="H18" s="12">
        <f t="shared" si="10"/>
        <v>2027</v>
      </c>
      <c r="I18" s="12">
        <f t="shared" si="10"/>
        <v>2028</v>
      </c>
      <c r="J18" s="12">
        <f t="shared" si="10"/>
        <v>2029</v>
      </c>
      <c r="K18" s="12">
        <f t="shared" si="10"/>
        <v>2030</v>
      </c>
      <c r="L18" s="12">
        <f t="shared" si="10"/>
        <v>2031</v>
      </c>
      <c r="O18" s="5"/>
      <c r="R18" s="16"/>
      <c r="S18" s="12" t="str">
        <f t="shared" ref="S18:AC18" si="11">S5</f>
        <v>Q1 2025</v>
      </c>
      <c r="T18" s="12" t="str">
        <f t="shared" si="11"/>
        <v>Q2 2025</v>
      </c>
      <c r="U18" s="12" t="str">
        <f t="shared" si="11"/>
        <v>Q3 2025</v>
      </c>
      <c r="V18" s="12" t="str">
        <f t="shared" si="11"/>
        <v>Q4 2025</v>
      </c>
      <c r="W18" s="12" t="str">
        <f t="shared" si="11"/>
        <v>Q1 2026</v>
      </c>
      <c r="X18" s="12" t="str">
        <f t="shared" si="11"/>
        <v>Q2 2026</v>
      </c>
      <c r="Y18" s="12" t="str">
        <f t="shared" si="11"/>
        <v>Q3 2026</v>
      </c>
      <c r="Z18" s="12" t="str">
        <f t="shared" si="11"/>
        <v>Q4 2026</v>
      </c>
      <c r="AA18" s="12" t="str">
        <f t="shared" si="11"/>
        <v>FQ1</v>
      </c>
      <c r="AB18" s="12" t="str">
        <f t="shared" si="11"/>
        <v>FQ2</v>
      </c>
      <c r="AC18" s="12" t="str">
        <f t="shared" si="11"/>
        <v>FQ3</v>
      </c>
      <c r="AE18" s="8" t="str">
        <f>AE5</f>
        <v>FQ1</v>
      </c>
    </row>
    <row r="19" spans="1:31" x14ac:dyDescent="0.2">
      <c r="B19" s="1" t="str">
        <f>Statement!B206&amp;" exabytes"</f>
        <v>Nearline exabytes</v>
      </c>
      <c r="C19" s="88">
        <f>Statement!M206</f>
        <v>0</v>
      </c>
      <c r="D19" s="88">
        <f>Statement!N206</f>
        <v>0</v>
      </c>
      <c r="E19" s="88">
        <f>Statement!O206</f>
        <v>0</v>
      </c>
      <c r="F19" s="88">
        <f>Statement!P206</f>
        <v>496.6</v>
      </c>
      <c r="G19" s="89">
        <f>Statement!Q206</f>
        <v>695</v>
      </c>
      <c r="H19" s="236">
        <f>G19*(1+H21)</f>
        <v>834</v>
      </c>
      <c r="I19" s="236">
        <f t="shared" ref="I19:L19" si="12">H19*(1+I21)</f>
        <v>1042.5</v>
      </c>
      <c r="J19" s="236">
        <f t="shared" si="12"/>
        <v>1146.75</v>
      </c>
      <c r="K19" s="236">
        <f t="shared" si="12"/>
        <v>1146.75</v>
      </c>
      <c r="L19" s="236">
        <f t="shared" si="12"/>
        <v>1032.075</v>
      </c>
      <c r="N19" s="90" t="s">
        <v>396</v>
      </c>
      <c r="O19" s="5"/>
      <c r="Q19" s="90" t="s">
        <v>396</v>
      </c>
      <c r="R19" s="1" t="str">
        <f>B19</f>
        <v>Nearline exabytes</v>
      </c>
      <c r="S19" s="88">
        <f>Statement!T206</f>
        <v>114</v>
      </c>
      <c r="T19" s="88">
        <f>Statement!U206</f>
        <v>126</v>
      </c>
      <c r="U19" s="88">
        <f>Statement!V206</f>
        <v>119.6</v>
      </c>
      <c r="V19" s="88">
        <f>Statement!W206</f>
        <v>137</v>
      </c>
      <c r="W19" s="88">
        <f>Statement!X206</f>
        <v>159</v>
      </c>
      <c r="X19" s="88">
        <f>Statement!Y206</f>
        <v>165</v>
      </c>
      <c r="Y19" s="88">
        <f>Statement!Z206</f>
        <v>175.4</v>
      </c>
      <c r="Z19" s="89">
        <f>Statement!AA206</f>
        <v>195</v>
      </c>
      <c r="AA19" s="64">
        <f>Z19*(1+AA21)</f>
        <v>210.60000000000002</v>
      </c>
      <c r="AB19" s="64"/>
      <c r="AC19" s="64"/>
      <c r="AE19" s="64">
        <f>SUM(X19:AA19)</f>
        <v>746</v>
      </c>
    </row>
    <row r="20" spans="1:31" x14ac:dyDescent="0.2">
      <c r="B20" s="1" t="str">
        <f>Statement!B209</f>
        <v>Price per Exabyte</v>
      </c>
      <c r="C20" s="233" t="e">
        <f>Statement!M209</f>
        <v>#DIV/0!</v>
      </c>
      <c r="D20" s="233" t="e">
        <f>Statement!N209</f>
        <v>#DIV/0!</v>
      </c>
      <c r="E20" s="233" t="e">
        <f>Statement!O209</f>
        <v>#DIV/0!</v>
      </c>
      <c r="F20" s="233">
        <f>Statement!P209</f>
        <v>13.685058397100281</v>
      </c>
      <c r="G20" s="234">
        <f>Statement!Q209</f>
        <v>14.058992805755397</v>
      </c>
      <c r="H20" s="237">
        <f>G20*(1+H22)</f>
        <v>16.027251798561153</v>
      </c>
      <c r="I20" s="237">
        <f t="shared" ref="I20:L20" si="13">H20*(1+I22)</f>
        <v>16.828614388489211</v>
      </c>
      <c r="J20" s="237">
        <f t="shared" si="13"/>
        <v>15.987183669064748</v>
      </c>
      <c r="K20" s="237">
        <f t="shared" si="13"/>
        <v>15.187824485611511</v>
      </c>
      <c r="L20" s="237">
        <f t="shared" si="13"/>
        <v>14.428433261330936</v>
      </c>
      <c r="N20" s="90" t="s">
        <v>397</v>
      </c>
      <c r="O20" s="5"/>
      <c r="Q20" s="90" t="s">
        <v>397</v>
      </c>
      <c r="R20" s="1" t="str">
        <f t="shared" ref="R20" si="14">B20</f>
        <v>Price per Exabyte</v>
      </c>
      <c r="S20" s="233">
        <f>Statement!T209</f>
        <v>13.87719298245614</v>
      </c>
      <c r="T20" s="233">
        <f>Statement!U209</f>
        <v>13.777777777777779</v>
      </c>
      <c r="U20" s="233">
        <f>Statement!V209</f>
        <v>13.503344481605351</v>
      </c>
      <c r="V20" s="233">
        <f>Statement!W209</f>
        <v>13.598540145985401</v>
      </c>
      <c r="W20" s="233">
        <f>Statement!X209</f>
        <v>13.29559748427673</v>
      </c>
      <c r="X20" s="233">
        <f>Statement!Y209</f>
        <v>13.478787878787879</v>
      </c>
      <c r="Y20" s="233">
        <f>Statement!Z209</f>
        <v>14.253135689851767</v>
      </c>
      <c r="Z20" s="234">
        <f>Statement!AA209</f>
        <v>15.041025641025641</v>
      </c>
      <c r="AA20" s="235">
        <f>Z20*(1+AA22)</f>
        <v>15.492256410256411</v>
      </c>
      <c r="AB20" s="64"/>
      <c r="AC20" s="64"/>
      <c r="AE20" s="235">
        <f>AE6/AE19</f>
        <v>14.637626273458446</v>
      </c>
    </row>
    <row r="21" spans="1:31" x14ac:dyDescent="0.2">
      <c r="B21" s="122" t="str">
        <f>B19&amp;" growth"</f>
        <v>Nearline exabytes growth</v>
      </c>
      <c r="C21" s="47"/>
      <c r="D21" s="95" t="e">
        <f>D19/C19-1</f>
        <v>#DIV/0!</v>
      </c>
      <c r="E21" s="95" t="e">
        <f t="shared" ref="E21:F21" si="15">E19/D19-1</f>
        <v>#DIV/0!</v>
      </c>
      <c r="F21" s="95" t="e">
        <f t="shared" si="15"/>
        <v>#DIV/0!</v>
      </c>
      <c r="G21" s="96">
        <f>G19/F19-1</f>
        <v>0.39951671365283925</v>
      </c>
      <c r="H21" s="97">
        <v>0.2</v>
      </c>
      <c r="I21" s="97">
        <v>0.25</v>
      </c>
      <c r="J21" s="97">
        <v>0.1</v>
      </c>
      <c r="K21" s="97">
        <v>0</v>
      </c>
      <c r="L21" s="97">
        <v>-0.1</v>
      </c>
      <c r="O21" s="5"/>
      <c r="R21" s="122" t="str">
        <f>R19&amp;" growth"</f>
        <v>Nearline exabytes growth</v>
      </c>
      <c r="S21" s="47"/>
      <c r="T21" s="95">
        <f>T19/S19-1</f>
        <v>0.10526315789473695</v>
      </c>
      <c r="U21" s="95">
        <f t="shared" ref="U21:Y21" si="16">U19/T19-1</f>
        <v>-5.0793650793650835E-2</v>
      </c>
      <c r="V21" s="95">
        <f t="shared" si="16"/>
        <v>0.14548494983277593</v>
      </c>
      <c r="W21" s="95">
        <f t="shared" si="16"/>
        <v>0.16058394160583944</v>
      </c>
      <c r="X21" s="95">
        <f t="shared" si="16"/>
        <v>3.7735849056603765E-2</v>
      </c>
      <c r="Y21" s="95">
        <f t="shared" si="16"/>
        <v>6.3030303030302992E-2</v>
      </c>
      <c r="Z21" s="96">
        <f t="shared" ref="Z21" si="17">Z19/Y19-1</f>
        <v>0.11174458380843788</v>
      </c>
      <c r="AA21" s="97">
        <v>0.08</v>
      </c>
    </row>
    <row r="22" spans="1:31" x14ac:dyDescent="0.2">
      <c r="B22" s="122" t="str">
        <f>B20&amp;" growth"</f>
        <v>Price per Exabyte growth</v>
      </c>
      <c r="C22" s="47"/>
      <c r="D22" s="95" t="e">
        <f t="shared" ref="D22:F22" si="18">D20/C20-1</f>
        <v>#DIV/0!</v>
      </c>
      <c r="E22" s="95" t="e">
        <f t="shared" si="18"/>
        <v>#DIV/0!</v>
      </c>
      <c r="F22" s="95" t="e">
        <f t="shared" si="18"/>
        <v>#DIV/0!</v>
      </c>
      <c r="G22" s="96">
        <f>G20/F20-1</f>
        <v>2.7324283010319306E-2</v>
      </c>
      <c r="H22" s="97">
        <v>0.14000000000000001</v>
      </c>
      <c r="I22" s="97">
        <v>0.05</v>
      </c>
      <c r="J22" s="97">
        <v>-0.05</v>
      </c>
      <c r="K22" s="97">
        <v>-0.05</v>
      </c>
      <c r="L22" s="97">
        <v>-0.05</v>
      </c>
      <c r="O22" s="5"/>
      <c r="R22" s="122" t="str">
        <f>R20&amp;" growth"</f>
        <v>Price per Exabyte growth</v>
      </c>
      <c r="S22" s="47"/>
      <c r="T22" s="95">
        <f t="shared" ref="T22:Y22" si="19">T20/S20-1</f>
        <v>-7.1639275179097295E-3</v>
      </c>
      <c r="U22" s="95">
        <f t="shared" si="19"/>
        <v>-1.9918545689934231E-2</v>
      </c>
      <c r="V22" s="95">
        <f t="shared" si="19"/>
        <v>7.0497841856680399E-3</v>
      </c>
      <c r="W22" s="95">
        <f t="shared" si="19"/>
        <v>-2.2277587039231328E-2</v>
      </c>
      <c r="X22" s="95">
        <f t="shared" si="19"/>
        <v>1.3778274705426918E-2</v>
      </c>
      <c r="Y22" s="95">
        <f t="shared" si="19"/>
        <v>5.7449365479110392E-2</v>
      </c>
      <c r="Z22" s="96">
        <f t="shared" ref="Z22" si="20">Z20/Y20-1</f>
        <v>5.5278358974359065E-2</v>
      </c>
      <c r="AA22" s="97">
        <v>0.03</v>
      </c>
    </row>
    <row r="23" spans="1:31" x14ac:dyDescent="0.2">
      <c r="O23" s="5"/>
    </row>
  </sheetData>
  <mergeCells count="10">
    <mergeCell ref="C17:L17"/>
    <mergeCell ref="S17:AC17"/>
    <mergeCell ref="C10:L10"/>
    <mergeCell ref="S10:AC10"/>
    <mergeCell ref="C2:G2"/>
    <mergeCell ref="H2:L2"/>
    <mergeCell ref="S2:Z2"/>
    <mergeCell ref="AA2:AC2"/>
    <mergeCell ref="C4:L4"/>
    <mergeCell ref="S4:A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sheetPr codeName="Sheet12"/>
  <dimension ref="A1:AD22"/>
  <sheetViews>
    <sheetView topLeftCell="A17" zoomScale="178" zoomScaleNormal="100" workbookViewId="0">
      <selection activeCell="H21" sqref="H21"/>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0" s="83" customFormat="1" ht="18" customHeight="1" x14ac:dyDescent="0.2">
      <c r="A1" s="4"/>
      <c r="B1" s="82" t="s">
        <v>123</v>
      </c>
    </row>
    <row r="2" spans="1:30" x14ac:dyDescent="0.2">
      <c r="A2" s="4"/>
      <c r="C2" s="249" t="s">
        <v>112</v>
      </c>
      <c r="D2" s="249"/>
      <c r="E2" s="249"/>
      <c r="F2" s="249"/>
      <c r="G2" s="261"/>
      <c r="H2" s="262" t="s">
        <v>113</v>
      </c>
      <c r="I2" s="249"/>
      <c r="J2" s="249"/>
      <c r="K2" s="249"/>
      <c r="L2" s="249"/>
      <c r="P2" s="249" t="s">
        <v>112</v>
      </c>
      <c r="Q2" s="249"/>
      <c r="R2" s="249"/>
      <c r="S2" s="249"/>
      <c r="T2" s="249"/>
      <c r="U2" s="249"/>
      <c r="V2" s="249"/>
      <c r="W2" s="249"/>
      <c r="X2" s="249" t="s">
        <v>113</v>
      </c>
      <c r="Y2" s="249"/>
      <c r="Z2" s="249"/>
      <c r="AB2" s="85" t="s">
        <v>114</v>
      </c>
    </row>
    <row r="3" spans="1:30" ht="10" customHeight="1" x14ac:dyDescent="0.2"/>
    <row r="4" spans="1:30" ht="16" customHeight="1" x14ac:dyDescent="0.2">
      <c r="A4" s="86"/>
      <c r="B4" s="60"/>
      <c r="C4" s="258" t="s">
        <v>115</v>
      </c>
      <c r="D4" s="258"/>
      <c r="E4" s="258"/>
      <c r="F4" s="258"/>
      <c r="G4" s="258"/>
      <c r="H4" s="258"/>
      <c r="I4" s="258"/>
      <c r="J4" s="258"/>
      <c r="K4" s="258"/>
      <c r="L4" s="258"/>
      <c r="P4" s="260" t="s">
        <v>115</v>
      </c>
      <c r="Q4" s="260"/>
      <c r="R4" s="260"/>
      <c r="S4" s="260"/>
      <c r="T4" s="260"/>
      <c r="U4" s="260"/>
      <c r="V4" s="260"/>
      <c r="W4" s="260"/>
      <c r="X4" s="260"/>
      <c r="Y4" s="260"/>
      <c r="Z4" s="260"/>
      <c r="AB4" s="87"/>
    </row>
    <row r="5" spans="1:30" x14ac:dyDescent="0.2">
      <c r="B5" s="16" t="str">
        <f>Revenue!B5</f>
        <v>Revenues (thousand)</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O5" s="16" t="s">
        <v>116</v>
      </c>
      <c r="P5" s="12" t="str">
        <f>Revenue!S5</f>
        <v>Q1 2025</v>
      </c>
      <c r="Q5" s="12" t="str">
        <f>Revenue!T5</f>
        <v>Q2 2025</v>
      </c>
      <c r="R5" s="12" t="str">
        <f>Revenue!U5</f>
        <v>Q3 2025</v>
      </c>
      <c r="S5" s="12" t="str">
        <f>Revenue!V5</f>
        <v>Q4 2025</v>
      </c>
      <c r="T5" s="12" t="str">
        <f>Revenue!W5</f>
        <v>Q1 2026</v>
      </c>
      <c r="U5" s="12" t="str">
        <f>Revenue!X5</f>
        <v>Q2 2026</v>
      </c>
      <c r="V5" s="12" t="str">
        <f>Revenue!Y5</f>
        <v>Q3 2026</v>
      </c>
      <c r="W5" s="12" t="str">
        <f>Revenue!Z5</f>
        <v>Q4 2026</v>
      </c>
      <c r="X5" s="12" t="s">
        <v>117</v>
      </c>
      <c r="Y5" s="12" t="s">
        <v>118</v>
      </c>
      <c r="Z5" s="12" t="s">
        <v>119</v>
      </c>
      <c r="AB5" s="87" t="str">
        <f>Revenue!AE5</f>
        <v>FQ1</v>
      </c>
    </row>
    <row r="6" spans="1:30" x14ac:dyDescent="0.2">
      <c r="B6" s="16" t="s">
        <v>19</v>
      </c>
      <c r="C6" s="92">
        <f>Revenue!C8</f>
        <v>11661</v>
      </c>
      <c r="D6" s="92">
        <f>Revenue!D8</f>
        <v>7384</v>
      </c>
      <c r="E6" s="92">
        <f>Revenue!E8</f>
        <v>6551</v>
      </c>
      <c r="F6" s="92">
        <f>Revenue!F8</f>
        <v>9097</v>
      </c>
      <c r="G6" s="93">
        <f>Revenue!G8</f>
        <v>12195</v>
      </c>
      <c r="H6" s="92">
        <f>Revenue!H8</f>
        <v>16155.478000000001</v>
      </c>
      <c r="I6" s="92">
        <f>Revenue!I8</f>
        <v>20890.330500000004</v>
      </c>
      <c r="J6" s="92">
        <f>Revenue!J8</f>
        <v>22014.452872500002</v>
      </c>
      <c r="K6" s="92">
        <f>Revenue!K8</f>
        <v>21281.845228875001</v>
      </c>
      <c r="L6" s="92">
        <f>Revenue!L8</f>
        <v>18369.912008188126</v>
      </c>
      <c r="N6" s="91"/>
      <c r="O6" s="16" t="s">
        <v>19</v>
      </c>
      <c r="P6" s="92">
        <f>Revenue!S8</f>
        <v>2168</v>
      </c>
      <c r="Q6" s="92">
        <f>Revenue!T8</f>
        <v>2325</v>
      </c>
      <c r="R6" s="92">
        <f>Revenue!U8</f>
        <v>2160</v>
      </c>
      <c r="S6" s="92">
        <f>Revenue!V8</f>
        <v>2444</v>
      </c>
      <c r="T6" s="92">
        <f>Revenue!W8</f>
        <v>2629</v>
      </c>
      <c r="U6" s="92">
        <f>Revenue!X8</f>
        <v>2825</v>
      </c>
      <c r="V6" s="92">
        <f>Revenue!Y8</f>
        <v>3112</v>
      </c>
      <c r="W6" s="93">
        <f>Revenue!Z8</f>
        <v>3629</v>
      </c>
      <c r="X6" s="92">
        <f>Revenue!AA8</f>
        <v>4001.4892000000009</v>
      </c>
      <c r="Y6" s="94"/>
      <c r="Z6" s="94"/>
      <c r="AB6" s="92">
        <f>Revenue!AE8</f>
        <v>13567.4892</v>
      </c>
    </row>
    <row r="7" spans="1:30" x14ac:dyDescent="0.2">
      <c r="N7" s="91"/>
    </row>
    <row r="8" spans="1:30" x14ac:dyDescent="0.2">
      <c r="N8" s="91"/>
    </row>
    <row r="9" spans="1:30" x14ac:dyDescent="0.2">
      <c r="C9" s="258" t="s">
        <v>124</v>
      </c>
      <c r="D9" s="258"/>
      <c r="E9" s="258"/>
      <c r="F9" s="258"/>
      <c r="G9" s="258"/>
      <c r="H9" s="258"/>
      <c r="I9" s="258"/>
      <c r="J9" s="258"/>
      <c r="K9" s="258"/>
      <c r="L9" s="258"/>
      <c r="N9" s="91"/>
      <c r="P9" s="260" t="s">
        <v>125</v>
      </c>
      <c r="Q9" s="260"/>
      <c r="R9" s="260"/>
      <c r="S9" s="260"/>
      <c r="T9" s="260"/>
      <c r="U9" s="260"/>
      <c r="V9" s="260"/>
      <c r="W9" s="260"/>
      <c r="X9" s="260"/>
      <c r="Y9" s="260"/>
      <c r="Z9" s="260"/>
      <c r="AB9" s="87">
        <f>AB4</f>
        <v>0</v>
      </c>
      <c r="AD9" s="64"/>
    </row>
    <row r="10" spans="1:30" x14ac:dyDescent="0.2">
      <c r="B10" s="16" t="s">
        <v>129</v>
      </c>
      <c r="C10" s="12">
        <f t="shared" ref="C10:L10" si="1">C5</f>
        <v>2022</v>
      </c>
      <c r="D10" s="12">
        <f t="shared" si="1"/>
        <v>2023</v>
      </c>
      <c r="E10" s="12">
        <f t="shared" si="1"/>
        <v>2024</v>
      </c>
      <c r="F10" s="12">
        <f t="shared" si="1"/>
        <v>2025</v>
      </c>
      <c r="G10" s="12">
        <f t="shared" si="1"/>
        <v>2026</v>
      </c>
      <c r="H10" s="12">
        <f t="shared" si="1"/>
        <v>2027</v>
      </c>
      <c r="I10" s="12">
        <f t="shared" si="1"/>
        <v>2028</v>
      </c>
      <c r="J10" s="12">
        <f t="shared" si="1"/>
        <v>2029</v>
      </c>
      <c r="K10" s="12">
        <f t="shared" si="1"/>
        <v>2030</v>
      </c>
      <c r="L10" s="12">
        <f t="shared" si="1"/>
        <v>2031</v>
      </c>
      <c r="N10" s="91"/>
      <c r="O10" s="16" t="s">
        <v>126</v>
      </c>
      <c r="P10" s="12" t="str">
        <f t="shared" ref="P10:Z10" si="2">P5</f>
        <v>Q1 2025</v>
      </c>
      <c r="Q10" s="12" t="str">
        <f t="shared" si="2"/>
        <v>Q2 2025</v>
      </c>
      <c r="R10" s="12" t="str">
        <f t="shared" si="2"/>
        <v>Q3 2025</v>
      </c>
      <c r="S10" s="12" t="str">
        <f t="shared" si="2"/>
        <v>Q4 2025</v>
      </c>
      <c r="T10" s="12" t="str">
        <f t="shared" si="2"/>
        <v>Q1 2026</v>
      </c>
      <c r="U10" s="12" t="str">
        <f t="shared" si="2"/>
        <v>Q2 2026</v>
      </c>
      <c r="V10" s="12" t="str">
        <f t="shared" si="2"/>
        <v>Q3 2026</v>
      </c>
      <c r="W10" s="12" t="str">
        <f t="shared" si="2"/>
        <v>Q4 2026</v>
      </c>
      <c r="X10" s="12" t="str">
        <f t="shared" si="2"/>
        <v>FQ1</v>
      </c>
      <c r="Y10" s="12" t="str">
        <f t="shared" si="2"/>
        <v>FQ2</v>
      </c>
      <c r="Z10" s="12" t="str">
        <f t="shared" si="2"/>
        <v>FQ3</v>
      </c>
      <c r="AB10" s="8" t="str">
        <f>AB5</f>
        <v>FQ1</v>
      </c>
    </row>
    <row r="11" spans="1:30" x14ac:dyDescent="0.2">
      <c r="B11" s="16" t="s">
        <v>20</v>
      </c>
      <c r="C11" s="106">
        <f>Statement!M6</f>
        <v>8192</v>
      </c>
      <c r="D11" s="106">
        <f>Statement!N6</f>
        <v>6033</v>
      </c>
      <c r="E11" s="106">
        <f>Statement!O6</f>
        <v>5015</v>
      </c>
      <c r="F11" s="106">
        <f>Statement!P6</f>
        <v>5897</v>
      </c>
      <c r="G11" s="107">
        <f>Statement!Q6</f>
        <v>6637</v>
      </c>
      <c r="H11" s="108">
        <f>H6*H19</f>
        <v>8885.5129000000015</v>
      </c>
      <c r="I11" s="108">
        <f t="shared" ref="I11:L11" si="3">I6*I19</f>
        <v>10027.358640000002</v>
      </c>
      <c r="J11" s="108">
        <f t="shared" si="3"/>
        <v>10346.792850075</v>
      </c>
      <c r="K11" s="108">
        <f t="shared" si="3"/>
        <v>10428.104162148751</v>
      </c>
      <c r="L11" s="108">
        <f t="shared" si="3"/>
        <v>10103.451604503471</v>
      </c>
      <c r="N11" s="91"/>
      <c r="O11" s="16" t="str">
        <f t="shared" ref="O11:O14" si="4">B11</f>
        <v>COGS</v>
      </c>
      <c r="P11" s="106">
        <f>Statement!T6</f>
        <v>1454</v>
      </c>
      <c r="Q11" s="106">
        <f>Statement!U6</f>
        <v>1513</v>
      </c>
      <c r="R11" s="106">
        <f>Statement!V6</f>
        <v>1400</v>
      </c>
      <c r="S11" s="106">
        <f>Statement!W6</f>
        <v>1530</v>
      </c>
      <c r="T11" s="106">
        <f>Statement!X6</f>
        <v>1592</v>
      </c>
      <c r="U11" s="106">
        <f>Statement!Y6</f>
        <v>1649</v>
      </c>
      <c r="V11" s="106">
        <f>Statement!Z6</f>
        <v>1665</v>
      </c>
      <c r="W11" s="107">
        <f>Statement!AA6</f>
        <v>1731</v>
      </c>
      <c r="X11" s="108">
        <f>X6*X19</f>
        <v>1800.6701400000004</v>
      </c>
      <c r="Y11" s="108"/>
      <c r="Z11" s="108"/>
      <c r="AB11" s="108">
        <f>SUM(U11:X11)</f>
        <v>6845.6701400000002</v>
      </c>
    </row>
    <row r="12" spans="1:30" x14ac:dyDescent="0.2">
      <c r="B12" s="1" t="str">
        <f>Statement!B8</f>
        <v>R&amp;D</v>
      </c>
      <c r="C12" s="98">
        <f>Statement!M8</f>
        <v>941</v>
      </c>
      <c r="D12" s="98">
        <f>Statement!N8</f>
        <v>797</v>
      </c>
      <c r="E12" s="98">
        <f>Statement!O8</f>
        <v>654</v>
      </c>
      <c r="F12" s="98">
        <f>Statement!P8</f>
        <v>724</v>
      </c>
      <c r="G12" s="99">
        <f>Statement!Q8</f>
        <v>755</v>
      </c>
      <c r="H12" s="24">
        <f>H6*H20</f>
        <v>1130.8834600000002</v>
      </c>
      <c r="I12" s="24">
        <f>I6*I20</f>
        <v>1671.2264400000004</v>
      </c>
      <c r="J12" s="24">
        <f>J6*J20</f>
        <v>1981.300758525</v>
      </c>
      <c r="K12" s="24">
        <f>K6*K20</f>
        <v>1915.36607059875</v>
      </c>
      <c r="L12" s="24">
        <f>L6*L20</f>
        <v>1836.9912008188128</v>
      </c>
      <c r="N12" s="91"/>
      <c r="O12" s="39" t="str">
        <f t="shared" si="4"/>
        <v>R&amp;D</v>
      </c>
      <c r="P12" s="98">
        <f>Statement!T8</f>
        <v>181</v>
      </c>
      <c r="Q12" s="98">
        <f>Statement!U8</f>
        <v>184</v>
      </c>
      <c r="R12" s="98">
        <f>Statement!V8</f>
        <v>180</v>
      </c>
      <c r="S12" s="98">
        <f>Statement!W8</f>
        <v>179</v>
      </c>
      <c r="T12" s="98">
        <f>Statement!X8</f>
        <v>186</v>
      </c>
      <c r="U12" s="98">
        <f>Statement!Y8</f>
        <v>187</v>
      </c>
      <c r="V12" s="98">
        <f>Statement!Z8</f>
        <v>194</v>
      </c>
      <c r="W12" s="99">
        <f>Statement!AA8</f>
        <v>188</v>
      </c>
      <c r="X12" s="25">
        <f>X20*X$6</f>
        <v>200.07446000000004</v>
      </c>
      <c r="Y12" s="24"/>
      <c r="Z12" s="24"/>
      <c r="AB12" s="24">
        <f t="shared" ref="AB12:AB14" si="5">SUM(U12:X12)</f>
        <v>769.07446000000004</v>
      </c>
    </row>
    <row r="13" spans="1:30" x14ac:dyDescent="0.2">
      <c r="B13" s="1" t="str">
        <f>Statement!B9</f>
        <v>SG&amp;A</v>
      </c>
      <c r="C13" s="98">
        <f>Statement!M9</f>
        <v>559</v>
      </c>
      <c r="D13" s="98">
        <f>Statement!N9</f>
        <v>491</v>
      </c>
      <c r="E13" s="98">
        <f>Statement!O9</f>
        <v>460</v>
      </c>
      <c r="F13" s="98">
        <f>Statement!P9</f>
        <v>561</v>
      </c>
      <c r="G13" s="99">
        <f>Statement!Q9</f>
        <v>577</v>
      </c>
      <c r="H13" s="24">
        <f>H6*H21</f>
        <v>726.99651000000006</v>
      </c>
      <c r="I13" s="24">
        <f>I6*I21</f>
        <v>1044.5165250000002</v>
      </c>
      <c r="J13" s="24">
        <f>J6*J21</f>
        <v>1320.8671723500001</v>
      </c>
      <c r="K13" s="24">
        <f>K6*K21</f>
        <v>1702.5476183100002</v>
      </c>
      <c r="L13" s="24">
        <f>L6*L21</f>
        <v>2020.6903209006939</v>
      </c>
      <c r="M13" s="90"/>
      <c r="N13" s="90"/>
      <c r="O13" s="39" t="str">
        <f t="shared" si="4"/>
        <v>SG&amp;A</v>
      </c>
      <c r="P13" s="98">
        <f>Statement!T9</f>
        <v>129</v>
      </c>
      <c r="Q13" s="98">
        <f>Statement!U9</f>
        <v>139</v>
      </c>
      <c r="R13" s="98">
        <f>Statement!V9</f>
        <v>139</v>
      </c>
      <c r="S13" s="98">
        <f>Statement!W9</f>
        <v>154</v>
      </c>
      <c r="T13" s="98">
        <f>Statement!X9</f>
        <v>144</v>
      </c>
      <c r="U13" s="98">
        <f>Statement!Y9</f>
        <v>143</v>
      </c>
      <c r="V13" s="98">
        <f>Statement!Z9</f>
        <v>143</v>
      </c>
      <c r="W13" s="99">
        <f>Statement!AA9</f>
        <v>147</v>
      </c>
      <c r="X13" s="25">
        <f>X21*X$6</f>
        <v>160.05956800000004</v>
      </c>
      <c r="Y13" s="24"/>
      <c r="Z13" s="24"/>
      <c r="AB13" s="24">
        <f t="shared" si="5"/>
        <v>593.05956800000001</v>
      </c>
    </row>
    <row r="14" spans="1:30" x14ac:dyDescent="0.2">
      <c r="B14" s="16" t="s">
        <v>24</v>
      </c>
      <c r="C14" s="106">
        <f>Statement!M10</f>
        <v>1514</v>
      </c>
      <c r="D14" s="106">
        <f>Statement!N10</f>
        <v>1693</v>
      </c>
      <c r="E14" s="106">
        <f>Statement!O10</f>
        <v>1084</v>
      </c>
      <c r="F14" s="106">
        <f>Statement!P10</f>
        <v>1310</v>
      </c>
      <c r="G14" s="107">
        <f>Statement!Q10</f>
        <v>1464</v>
      </c>
      <c r="H14" s="108">
        <f>SUM(H12:H13)</f>
        <v>1857.8799700000004</v>
      </c>
      <c r="I14" s="108">
        <f>SUM(I12:I13)</f>
        <v>2715.7429650000004</v>
      </c>
      <c r="J14" s="108">
        <f>SUM(J12:J13)</f>
        <v>3302.1679308749999</v>
      </c>
      <c r="K14" s="108">
        <f>SUM(K12:K13)</f>
        <v>3617.9136889087504</v>
      </c>
      <c r="L14" s="108">
        <f>SUM(L12:L13)</f>
        <v>3857.6815217195067</v>
      </c>
      <c r="M14" s="90"/>
      <c r="N14" s="90"/>
      <c r="O14" s="16" t="str">
        <f t="shared" si="4"/>
        <v>OpEx</v>
      </c>
      <c r="P14" s="106">
        <f>Statement!T10</f>
        <v>311</v>
      </c>
      <c r="Q14" s="106">
        <f>Statement!U10</f>
        <v>324</v>
      </c>
      <c r="R14" s="106">
        <f>Statement!V10</f>
        <v>329</v>
      </c>
      <c r="S14" s="106">
        <f>Statement!W10</f>
        <v>346</v>
      </c>
      <c r="T14" s="106">
        <f>Statement!X10</f>
        <v>343</v>
      </c>
      <c r="U14" s="106">
        <f>Statement!Y10</f>
        <v>333</v>
      </c>
      <c r="V14" s="106">
        <f>Statement!Z10</f>
        <v>449</v>
      </c>
      <c r="W14" s="107">
        <f>Statement!AA10</f>
        <v>339</v>
      </c>
      <c r="X14" s="108">
        <f>SUM(X12:X13)</f>
        <v>360.13402800000006</v>
      </c>
      <c r="Y14" s="108"/>
      <c r="Z14" s="108"/>
      <c r="AB14" s="108">
        <f t="shared" si="5"/>
        <v>1481.1340279999999</v>
      </c>
    </row>
    <row r="17" spans="2:26" x14ac:dyDescent="0.2">
      <c r="C17" s="258" t="s">
        <v>127</v>
      </c>
      <c r="D17" s="258"/>
      <c r="E17" s="258"/>
      <c r="F17" s="258"/>
      <c r="G17" s="258"/>
      <c r="H17" s="258"/>
      <c r="I17" s="258"/>
      <c r="J17" s="258"/>
      <c r="K17" s="258"/>
      <c r="L17" s="258"/>
      <c r="P17" s="260" t="s">
        <v>127</v>
      </c>
      <c r="Q17" s="260"/>
      <c r="R17" s="260"/>
      <c r="S17" s="260"/>
      <c r="T17" s="260"/>
      <c r="U17" s="260"/>
      <c r="V17" s="260"/>
      <c r="W17" s="260"/>
      <c r="X17" s="260"/>
      <c r="Y17" s="260"/>
      <c r="Z17" s="260"/>
    </row>
    <row r="18" spans="2:26" x14ac:dyDescent="0.2">
      <c r="B18" s="16" t="s">
        <v>128</v>
      </c>
      <c r="C18" s="12">
        <f t="shared" ref="C18:L18" si="6">C5</f>
        <v>2022</v>
      </c>
      <c r="D18" s="12">
        <f t="shared" si="6"/>
        <v>2023</v>
      </c>
      <c r="E18" s="12">
        <f t="shared" si="6"/>
        <v>2024</v>
      </c>
      <c r="F18" s="12">
        <f t="shared" si="6"/>
        <v>2025</v>
      </c>
      <c r="G18" s="12">
        <f t="shared" si="6"/>
        <v>2026</v>
      </c>
      <c r="H18" s="12">
        <f t="shared" si="6"/>
        <v>2027</v>
      </c>
      <c r="I18" s="12">
        <f t="shared" si="6"/>
        <v>2028</v>
      </c>
      <c r="J18" s="12">
        <f t="shared" si="6"/>
        <v>2029</v>
      </c>
      <c r="K18" s="12">
        <f t="shared" si="6"/>
        <v>2030</v>
      </c>
      <c r="L18" s="12">
        <f t="shared" si="6"/>
        <v>2031</v>
      </c>
      <c r="O18" s="16" t="s">
        <v>128</v>
      </c>
      <c r="P18" s="12" t="str">
        <f t="shared" ref="P18:Z18" si="7">P5</f>
        <v>Q1 2025</v>
      </c>
      <c r="Q18" s="12" t="str">
        <f t="shared" si="7"/>
        <v>Q2 2025</v>
      </c>
      <c r="R18" s="12" t="str">
        <f t="shared" si="7"/>
        <v>Q3 2025</v>
      </c>
      <c r="S18" s="12" t="str">
        <f t="shared" si="7"/>
        <v>Q4 2025</v>
      </c>
      <c r="T18" s="12" t="str">
        <f t="shared" si="7"/>
        <v>Q1 2026</v>
      </c>
      <c r="U18" s="12" t="str">
        <f t="shared" si="7"/>
        <v>Q2 2026</v>
      </c>
      <c r="V18" s="12" t="str">
        <f t="shared" si="7"/>
        <v>Q3 2026</v>
      </c>
      <c r="W18" s="12" t="str">
        <f t="shared" si="7"/>
        <v>Q4 2026</v>
      </c>
      <c r="X18" s="12" t="str">
        <f t="shared" si="7"/>
        <v>FQ1</v>
      </c>
      <c r="Y18" s="12" t="str">
        <f t="shared" si="7"/>
        <v>FQ2</v>
      </c>
      <c r="Z18" s="12" t="str">
        <f t="shared" si="7"/>
        <v>FQ3</v>
      </c>
    </row>
    <row r="19" spans="2:26" x14ac:dyDescent="0.2">
      <c r="B19" s="16" t="str">
        <f>B11</f>
        <v>COGS</v>
      </c>
      <c r="C19" s="103">
        <f t="shared" ref="C19:G21" si="8">C11/C$6</f>
        <v>0.70251264900094335</v>
      </c>
      <c r="D19" s="103">
        <f t="shared" si="8"/>
        <v>0.8170368364030336</v>
      </c>
      <c r="E19" s="103">
        <f t="shared" si="8"/>
        <v>0.76553197985040455</v>
      </c>
      <c r="F19" s="103">
        <f t="shared" si="8"/>
        <v>0.64823568209299764</v>
      </c>
      <c r="G19" s="104">
        <f t="shared" si="8"/>
        <v>0.5442394423944239</v>
      </c>
      <c r="H19" s="97">
        <v>0.55000000000000004</v>
      </c>
      <c r="I19" s="97">
        <v>0.48</v>
      </c>
      <c r="J19" s="97">
        <v>0.47</v>
      </c>
      <c r="K19" s="97">
        <v>0.49</v>
      </c>
      <c r="L19" s="97">
        <v>0.55000000000000004</v>
      </c>
      <c r="O19" s="16" t="str">
        <f>O11</f>
        <v>COGS</v>
      </c>
      <c r="P19" s="103">
        <f t="shared" ref="P19:W21" si="9">P11/P$6</f>
        <v>0.67066420664206639</v>
      </c>
      <c r="Q19" s="103">
        <f t="shared" si="9"/>
        <v>0.65075268817204301</v>
      </c>
      <c r="R19" s="103">
        <f t="shared" si="9"/>
        <v>0.64814814814814814</v>
      </c>
      <c r="S19" s="103">
        <f t="shared" si="9"/>
        <v>0.6260229132569558</v>
      </c>
      <c r="T19" s="103">
        <f t="shared" si="9"/>
        <v>0.60555344237352604</v>
      </c>
      <c r="U19" s="103">
        <f t="shared" si="9"/>
        <v>0.583716814159292</v>
      </c>
      <c r="V19" s="103">
        <f t="shared" si="9"/>
        <v>0.53502570694087404</v>
      </c>
      <c r="W19" s="104">
        <f t="shared" si="9"/>
        <v>0.47699090658583632</v>
      </c>
      <c r="X19" s="97">
        <v>0.45</v>
      </c>
      <c r="Y19" s="97"/>
      <c r="Z19" s="97"/>
    </row>
    <row r="20" spans="2:26" x14ac:dyDescent="0.2">
      <c r="B20" s="1" t="str">
        <f>B12</f>
        <v>R&amp;D</v>
      </c>
      <c r="C20" s="95">
        <f t="shared" si="8"/>
        <v>8.0696338221421832E-2</v>
      </c>
      <c r="D20" s="95">
        <f t="shared" si="8"/>
        <v>0.10793607800650054</v>
      </c>
      <c r="E20" s="95">
        <f t="shared" si="8"/>
        <v>9.983208670431995E-2</v>
      </c>
      <c r="F20" s="95">
        <f t="shared" si="8"/>
        <v>7.9586676926459266E-2</v>
      </c>
      <c r="G20" s="96">
        <f t="shared" si="8"/>
        <v>6.1910619106191063E-2</v>
      </c>
      <c r="H20" s="97">
        <v>7.0000000000000007E-2</v>
      </c>
      <c r="I20" s="97">
        <v>0.08</v>
      </c>
      <c r="J20" s="97">
        <v>0.09</v>
      </c>
      <c r="K20" s="97">
        <v>0.09</v>
      </c>
      <c r="L20" s="97">
        <v>0.1</v>
      </c>
      <c r="O20" s="1" t="str">
        <f>O12</f>
        <v>R&amp;D</v>
      </c>
      <c r="P20" s="95">
        <f t="shared" si="9"/>
        <v>8.3487084870848702E-2</v>
      </c>
      <c r="Q20" s="95">
        <f t="shared" si="9"/>
        <v>7.9139784946236566E-2</v>
      </c>
      <c r="R20" s="95">
        <f t="shared" si="9"/>
        <v>8.3333333333333329E-2</v>
      </c>
      <c r="S20" s="95">
        <f t="shared" si="9"/>
        <v>7.3240589198036013E-2</v>
      </c>
      <c r="T20" s="95">
        <f t="shared" si="9"/>
        <v>7.0749334347660703E-2</v>
      </c>
      <c r="U20" s="95">
        <f t="shared" si="9"/>
        <v>6.619469026548673E-2</v>
      </c>
      <c r="V20" s="95">
        <f t="shared" si="9"/>
        <v>6.2339331619537273E-2</v>
      </c>
      <c r="W20" s="96">
        <f t="shared" si="9"/>
        <v>5.1804904932488287E-2</v>
      </c>
      <c r="X20" s="97">
        <v>0.05</v>
      </c>
      <c r="Y20" s="97"/>
      <c r="Z20" s="97"/>
    </row>
    <row r="21" spans="2:26" x14ac:dyDescent="0.2">
      <c r="B21" s="1" t="str">
        <f>B13</f>
        <v>SG&amp;A</v>
      </c>
      <c r="C21" s="95">
        <f t="shared" si="8"/>
        <v>4.7937569676700112E-2</v>
      </c>
      <c r="D21" s="95">
        <f t="shared" si="8"/>
        <v>6.6495124593716148E-2</v>
      </c>
      <c r="E21" s="95">
        <f t="shared" si="8"/>
        <v>7.0218287284384062E-2</v>
      </c>
      <c r="F21" s="95">
        <f t="shared" si="8"/>
        <v>6.1668681983071343E-2</v>
      </c>
      <c r="G21" s="96">
        <f t="shared" si="8"/>
        <v>4.7314473144731445E-2</v>
      </c>
      <c r="H21" s="97">
        <v>4.4999999999999998E-2</v>
      </c>
      <c r="I21" s="97">
        <v>0.05</v>
      </c>
      <c r="J21" s="97">
        <v>0.06</v>
      </c>
      <c r="K21" s="97">
        <v>0.08</v>
      </c>
      <c r="L21" s="97">
        <v>0.11</v>
      </c>
      <c r="O21" s="1" t="str">
        <f>O13</f>
        <v>SG&amp;A</v>
      </c>
      <c r="P21" s="95">
        <f t="shared" si="9"/>
        <v>5.9501845018450183E-2</v>
      </c>
      <c r="Q21" s="95">
        <f t="shared" si="9"/>
        <v>5.9784946236559139E-2</v>
      </c>
      <c r="R21" s="95">
        <f t="shared" si="9"/>
        <v>6.4351851851851855E-2</v>
      </c>
      <c r="S21" s="95">
        <f t="shared" si="9"/>
        <v>6.3011456628477902E-2</v>
      </c>
      <c r="T21" s="95">
        <f t="shared" si="9"/>
        <v>5.4773678204640547E-2</v>
      </c>
      <c r="U21" s="95">
        <f t="shared" si="9"/>
        <v>5.0619469026548673E-2</v>
      </c>
      <c r="V21" s="95">
        <f t="shared" si="9"/>
        <v>4.5951156812339335E-2</v>
      </c>
      <c r="W21" s="96">
        <f t="shared" si="9"/>
        <v>4.0507026729126483E-2</v>
      </c>
      <c r="X21" s="97">
        <v>0.04</v>
      </c>
      <c r="Y21" s="97"/>
      <c r="Z21" s="97"/>
    </row>
    <row r="22" spans="2:26" x14ac:dyDescent="0.2">
      <c r="B22" s="16" t="str">
        <f t="shared" ref="B22" si="10">B14</f>
        <v>OpEx</v>
      </c>
      <c r="C22" s="103">
        <f>C14/C$6</f>
        <v>0.12983449103850442</v>
      </c>
      <c r="D22" s="103">
        <f t="shared" ref="D22:L22" si="11">D14/D$6</f>
        <v>0.22927952329360779</v>
      </c>
      <c r="E22" s="103">
        <f t="shared" si="11"/>
        <v>0.16547092047015724</v>
      </c>
      <c r="F22" s="103">
        <f t="shared" si="11"/>
        <v>0.14400351764317906</v>
      </c>
      <c r="G22" s="104">
        <f t="shared" si="11"/>
        <v>0.12004920049200492</v>
      </c>
      <c r="H22" s="103">
        <f t="shared" si="11"/>
        <v>0.11500000000000002</v>
      </c>
      <c r="I22" s="103">
        <f t="shared" si="11"/>
        <v>0.13</v>
      </c>
      <c r="J22" s="103">
        <f t="shared" si="11"/>
        <v>0.15</v>
      </c>
      <c r="K22" s="103">
        <f t="shared" si="11"/>
        <v>0.17</v>
      </c>
      <c r="L22" s="103">
        <f t="shared" si="11"/>
        <v>0.21000000000000002</v>
      </c>
      <c r="O22" s="16" t="str">
        <f t="shared" ref="O22" si="12">O14</f>
        <v>OpEx</v>
      </c>
      <c r="P22" s="103">
        <f t="shared" ref="P22:V22" si="13">P14/P$6</f>
        <v>0.14345018450184502</v>
      </c>
      <c r="Q22" s="103">
        <f t="shared" si="13"/>
        <v>0.13935483870967741</v>
      </c>
      <c r="R22" s="103">
        <f t="shared" si="13"/>
        <v>0.15231481481481482</v>
      </c>
      <c r="S22" s="103">
        <f t="shared" si="13"/>
        <v>0.14157119476268412</v>
      </c>
      <c r="T22" s="103">
        <f t="shared" si="13"/>
        <v>0.1304678585013313</v>
      </c>
      <c r="U22" s="103">
        <f t="shared" si="13"/>
        <v>0.11787610619469027</v>
      </c>
      <c r="V22" s="103">
        <f t="shared" si="13"/>
        <v>0.14428020565552699</v>
      </c>
      <c r="W22" s="104">
        <f t="shared" ref="W22:X22" si="14">W14/W$6</f>
        <v>9.3414163681454943E-2</v>
      </c>
      <c r="X22" s="103">
        <f t="shared" si="14"/>
        <v>0.09</v>
      </c>
      <c r="Y22" s="16"/>
      <c r="Z22" s="16"/>
    </row>
  </sheetData>
  <mergeCells count="10">
    <mergeCell ref="C9:L9"/>
    <mergeCell ref="P9:Z9"/>
    <mergeCell ref="C17:L17"/>
    <mergeCell ref="P17:Z17"/>
    <mergeCell ref="C2:G2"/>
    <mergeCell ref="H2:L2"/>
    <mergeCell ref="P2:W2"/>
    <mergeCell ref="X2:Z2"/>
    <mergeCell ref="C4:L4"/>
    <mergeCell ref="P4:Z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sheetPr codeName="Sheet13"/>
  <dimension ref="A1:AB46"/>
  <sheetViews>
    <sheetView topLeftCell="B38" zoomScale="206" zoomScaleNormal="100" workbookViewId="0">
      <selection activeCell="H46" sqref="H46"/>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130</v>
      </c>
    </row>
    <row r="2" spans="1:28" s="83" customFormat="1" ht="18" customHeight="1" x14ac:dyDescent="0.2">
      <c r="A2" s="4"/>
      <c r="B2" s="82"/>
    </row>
    <row r="3" spans="1:28" x14ac:dyDescent="0.2">
      <c r="A3" s="4"/>
      <c r="C3" s="249" t="s">
        <v>112</v>
      </c>
      <c r="D3" s="249"/>
      <c r="E3" s="249"/>
      <c r="F3" s="249"/>
      <c r="G3" s="261"/>
      <c r="H3" s="262" t="s">
        <v>113</v>
      </c>
      <c r="I3" s="249"/>
      <c r="J3" s="249"/>
      <c r="K3" s="249"/>
      <c r="L3" s="249"/>
      <c r="P3" s="263"/>
      <c r="Q3" s="263"/>
      <c r="R3" s="263"/>
      <c r="S3" s="263"/>
      <c r="T3" s="263"/>
      <c r="U3" s="263"/>
      <c r="V3" s="263"/>
      <c r="W3" s="263"/>
      <c r="X3" s="263"/>
      <c r="Y3" s="263"/>
      <c r="Z3" s="263"/>
      <c r="AB3" s="109"/>
    </row>
    <row r="4" spans="1:28" ht="10" customHeight="1" x14ac:dyDescent="0.2"/>
    <row r="5" spans="1:28" ht="16" customHeight="1" x14ac:dyDescent="0.2">
      <c r="A5" s="86"/>
      <c r="B5" s="60"/>
      <c r="C5" s="258" t="s">
        <v>115</v>
      </c>
      <c r="D5" s="258"/>
      <c r="E5" s="258"/>
      <c r="F5" s="258"/>
      <c r="G5" s="258"/>
      <c r="H5" s="258"/>
      <c r="I5" s="258"/>
      <c r="J5" s="258"/>
      <c r="K5" s="258"/>
      <c r="L5" s="258"/>
      <c r="P5" s="263"/>
      <c r="Q5" s="263"/>
      <c r="R5" s="263"/>
      <c r="S5" s="263"/>
      <c r="T5" s="263"/>
      <c r="U5" s="263"/>
      <c r="V5" s="263"/>
      <c r="W5" s="263"/>
      <c r="X5" s="263"/>
      <c r="Y5" s="263"/>
      <c r="Z5" s="263"/>
      <c r="AB5" s="110"/>
    </row>
    <row r="6" spans="1:28" x14ac:dyDescent="0.2">
      <c r="B6" s="16" t="s">
        <v>116</v>
      </c>
      <c r="C6" s="12">
        <f>Revenue!C5</f>
        <v>2022</v>
      </c>
      <c r="D6" s="12">
        <f>Revenue!D5</f>
        <v>2023</v>
      </c>
      <c r="E6" s="12">
        <f>Revenue!E5</f>
        <v>2024</v>
      </c>
      <c r="F6" s="12">
        <f>Revenue!F5</f>
        <v>2025</v>
      </c>
      <c r="G6" s="12">
        <f>Revenue!G5</f>
        <v>2026</v>
      </c>
      <c r="H6" s="12">
        <f>G6+1</f>
        <v>2027</v>
      </c>
      <c r="I6" s="12">
        <f t="shared" ref="I6:L6" si="0">H6+1</f>
        <v>2028</v>
      </c>
      <c r="J6" s="12">
        <f t="shared" si="0"/>
        <v>2029</v>
      </c>
      <c r="K6" s="12">
        <f t="shared" si="0"/>
        <v>2030</v>
      </c>
      <c r="L6" s="12">
        <f t="shared" si="0"/>
        <v>2031</v>
      </c>
      <c r="O6" s="16"/>
      <c r="P6" s="111"/>
      <c r="Q6" s="111"/>
      <c r="R6" s="111"/>
      <c r="S6" s="111"/>
      <c r="T6" s="111"/>
      <c r="U6" s="111"/>
      <c r="V6" s="111"/>
      <c r="W6" s="111"/>
      <c r="X6" s="111"/>
      <c r="Y6" s="111"/>
      <c r="Z6" s="111"/>
      <c r="AB6" s="110"/>
    </row>
    <row r="7" spans="1:28" x14ac:dyDescent="0.2">
      <c r="B7" s="16" t="s">
        <v>19</v>
      </c>
      <c r="C7" s="92">
        <f>Revenue!C8</f>
        <v>11661</v>
      </c>
      <c r="D7" s="92">
        <f>Revenue!D8</f>
        <v>7384</v>
      </c>
      <c r="E7" s="92">
        <f>Revenue!E8</f>
        <v>6551</v>
      </c>
      <c r="F7" s="92">
        <f>Revenue!F8</f>
        <v>9097</v>
      </c>
      <c r="G7" s="93">
        <f>Revenue!G8</f>
        <v>12195</v>
      </c>
      <c r="H7" s="92">
        <f>Revenue!H8</f>
        <v>16155.478000000001</v>
      </c>
      <c r="I7" s="92">
        <f>Revenue!I8</f>
        <v>20890.330500000004</v>
      </c>
      <c r="J7" s="92">
        <f>Revenue!J8</f>
        <v>22014.452872500002</v>
      </c>
      <c r="K7" s="92">
        <f>Revenue!K8</f>
        <v>21281.845228875001</v>
      </c>
      <c r="L7" s="92">
        <f>Revenue!L8</f>
        <v>18369.912008188126</v>
      </c>
      <c r="N7" s="91"/>
      <c r="O7" s="16"/>
      <c r="P7" s="92"/>
      <c r="Q7" s="92"/>
      <c r="R7" s="92"/>
      <c r="S7" s="92"/>
      <c r="T7" s="92"/>
      <c r="U7" s="92"/>
      <c r="V7" s="92"/>
      <c r="W7" s="92"/>
      <c r="X7" s="94"/>
      <c r="Y7" s="94"/>
      <c r="Z7" s="94"/>
      <c r="AB7" s="94"/>
    </row>
    <row r="8" spans="1:28" x14ac:dyDescent="0.2">
      <c r="B8" s="39" t="s">
        <v>20</v>
      </c>
      <c r="C8" s="112">
        <f>'COGS &amp; OpEx'!C11</f>
        <v>8192</v>
      </c>
      <c r="D8" s="112">
        <f>'COGS &amp; OpEx'!D11</f>
        <v>6033</v>
      </c>
      <c r="E8" s="112">
        <f>'COGS &amp; OpEx'!E11</f>
        <v>5015</v>
      </c>
      <c r="F8" s="112">
        <f>'COGS &amp; OpEx'!F11</f>
        <v>5897</v>
      </c>
      <c r="G8" s="113">
        <f>'COGS &amp; OpEx'!G11</f>
        <v>6637</v>
      </c>
      <c r="H8" s="112">
        <f>'COGS &amp; OpEx'!H11</f>
        <v>8885.5129000000015</v>
      </c>
      <c r="I8" s="112">
        <f>'COGS &amp; OpEx'!I11</f>
        <v>10027.358640000002</v>
      </c>
      <c r="J8" s="112">
        <f>'COGS &amp; OpEx'!J11</f>
        <v>10346.792850075</v>
      </c>
      <c r="K8" s="112">
        <f>'COGS &amp; OpEx'!K11</f>
        <v>10428.104162148751</v>
      </c>
      <c r="L8" s="112">
        <f>'COGS &amp; OpEx'!L11</f>
        <v>10103.451604503471</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58" t="s">
        <v>131</v>
      </c>
      <c r="D11" s="258"/>
      <c r="E11" s="258"/>
      <c r="F11" s="258"/>
      <c r="G11" s="258"/>
      <c r="H11" s="258"/>
      <c r="I11" s="258"/>
      <c r="J11" s="258"/>
      <c r="K11" s="258"/>
      <c r="L11" s="258"/>
      <c r="N11" s="91"/>
      <c r="P11" s="263"/>
      <c r="Q11" s="263"/>
      <c r="R11" s="263"/>
      <c r="S11" s="263"/>
      <c r="T11" s="263"/>
      <c r="U11" s="263"/>
      <c r="V11" s="263"/>
      <c r="W11" s="263"/>
      <c r="X11" s="263"/>
      <c r="Y11" s="263"/>
      <c r="Z11" s="263"/>
      <c r="AB11" s="110"/>
    </row>
    <row r="12" spans="1:28" x14ac:dyDescent="0.2">
      <c r="B12" s="16" t="s">
        <v>132</v>
      </c>
      <c r="C12" s="12">
        <f t="shared" ref="C12:L12" si="1">C6</f>
        <v>2022</v>
      </c>
      <c r="D12" s="12">
        <f t="shared" si="1"/>
        <v>2023</v>
      </c>
      <c r="E12" s="12">
        <f t="shared" si="1"/>
        <v>2024</v>
      </c>
      <c r="F12" s="12">
        <f t="shared" si="1"/>
        <v>2025</v>
      </c>
      <c r="G12" s="12">
        <f t="shared" si="1"/>
        <v>2026</v>
      </c>
      <c r="H12" s="12">
        <f t="shared" si="1"/>
        <v>2027</v>
      </c>
      <c r="I12" s="12">
        <f t="shared" si="1"/>
        <v>2028</v>
      </c>
      <c r="J12" s="12">
        <f t="shared" si="1"/>
        <v>2029</v>
      </c>
      <c r="K12" s="12">
        <f t="shared" si="1"/>
        <v>2030</v>
      </c>
      <c r="L12" s="12">
        <f t="shared" si="1"/>
        <v>2031</v>
      </c>
      <c r="N12" s="91"/>
      <c r="O12" s="16"/>
      <c r="P12" s="111"/>
      <c r="Q12" s="111"/>
      <c r="R12" s="111"/>
      <c r="S12" s="111"/>
      <c r="T12" s="111"/>
      <c r="U12" s="111"/>
      <c r="V12" s="111"/>
      <c r="W12" s="111"/>
      <c r="X12" s="111"/>
      <c r="Y12" s="111"/>
      <c r="Z12" s="111"/>
      <c r="AB12" s="110"/>
    </row>
    <row r="13" spans="1:28" x14ac:dyDescent="0.2">
      <c r="B13" s="39" t="s">
        <v>133</v>
      </c>
      <c r="C13" s="114">
        <f>Statement!M29</f>
        <v>1532</v>
      </c>
      <c r="D13" s="114">
        <f>Statement!N29</f>
        <v>621</v>
      </c>
      <c r="E13" s="114">
        <f>Statement!O29</f>
        <v>429</v>
      </c>
      <c r="F13" s="114">
        <f>Statement!P29</f>
        <v>959</v>
      </c>
      <c r="G13" s="115">
        <f>Statement!Q29</f>
        <v>1534</v>
      </c>
      <c r="H13" s="25">
        <f>H20*H7/365</f>
        <v>1770.4633424657534</v>
      </c>
      <c r="I13" s="25">
        <f>I20*I7/365</f>
        <v>2289.3512876712334</v>
      </c>
      <c r="J13" s="25">
        <f>J20*J7/365</f>
        <v>2412.5427805479453</v>
      </c>
      <c r="K13" s="25">
        <f>K20*K7/365</f>
        <v>2332.2570113835618</v>
      </c>
      <c r="L13" s="25">
        <f>L20*L7/365</f>
        <v>2013.1410419932192</v>
      </c>
      <c r="N13" s="91"/>
      <c r="O13" s="16"/>
      <c r="P13" s="116"/>
      <c r="Q13" s="116"/>
      <c r="R13" s="116"/>
      <c r="S13" s="116"/>
      <c r="T13" s="116"/>
      <c r="U13" s="116"/>
      <c r="V13" s="116"/>
      <c r="W13" s="116"/>
      <c r="X13" s="108"/>
      <c r="Y13" s="108"/>
      <c r="Z13" s="108"/>
      <c r="AB13" s="24"/>
    </row>
    <row r="14" spans="1:28" x14ac:dyDescent="0.2">
      <c r="B14" s="39" t="s">
        <v>134</v>
      </c>
      <c r="C14" s="114">
        <f>Statement!M30</f>
        <v>1565</v>
      </c>
      <c r="D14" s="114">
        <f>Statement!N30</f>
        <v>1140</v>
      </c>
      <c r="E14" s="114">
        <f>Statement!O30</f>
        <v>1239</v>
      </c>
      <c r="F14" s="114">
        <f>Statement!P30</f>
        <v>1440</v>
      </c>
      <c r="G14" s="115">
        <f>Statement!Q30</f>
        <v>1571</v>
      </c>
      <c r="H14" s="126">
        <f>H21*H8/365</f>
        <v>1923.165805753425</v>
      </c>
      <c r="I14" s="126">
        <f t="shared" ref="I14:L14" si="2">I21*I8/365</f>
        <v>2170.3050207123292</v>
      </c>
      <c r="J14" s="126">
        <f t="shared" si="2"/>
        <v>2239.4428360436305</v>
      </c>
      <c r="K14" s="126">
        <f t="shared" si="2"/>
        <v>2257.041722766442</v>
      </c>
      <c r="L14" s="126">
        <f t="shared" si="2"/>
        <v>2186.7744568651347</v>
      </c>
      <c r="N14" s="91"/>
      <c r="O14" s="16"/>
      <c r="P14" s="116"/>
      <c r="Q14" s="116"/>
      <c r="R14" s="116"/>
      <c r="S14" s="116"/>
      <c r="T14" s="116"/>
      <c r="U14" s="116"/>
      <c r="V14" s="116"/>
      <c r="W14" s="116"/>
      <c r="X14" s="108"/>
      <c r="Y14" s="108"/>
      <c r="Z14" s="108"/>
      <c r="AB14" s="24"/>
    </row>
    <row r="15" spans="1:28" x14ac:dyDescent="0.2">
      <c r="B15" s="1" t="s">
        <v>135</v>
      </c>
      <c r="C15" s="114">
        <f>Statement!M37</f>
        <v>2058</v>
      </c>
      <c r="D15" s="114">
        <f>Statement!N37</f>
        <v>1603</v>
      </c>
      <c r="E15" s="114">
        <f>Statement!O37</f>
        <v>1786</v>
      </c>
      <c r="F15" s="114">
        <f>Statement!P37</f>
        <v>1604</v>
      </c>
      <c r="G15" s="115">
        <f>Statement!Q37</f>
        <v>1748</v>
      </c>
      <c r="H15" s="24">
        <f>H22*H8/365</f>
        <v>2312.667741095891</v>
      </c>
      <c r="I15" s="24">
        <f>I22*I8/365</f>
        <v>2609.860467945206</v>
      </c>
      <c r="J15" s="24">
        <f>J22*J8/365</f>
        <v>2693.0008787866441</v>
      </c>
      <c r="K15" s="24">
        <f>K22*K8/365</f>
        <v>2714.1640969976202</v>
      </c>
      <c r="L15" s="24">
        <f>L22*L8/365</f>
        <v>2629.6654861036432</v>
      </c>
      <c r="N15" s="91"/>
      <c r="P15" s="117"/>
      <c r="Q15" s="117"/>
      <c r="R15" s="117"/>
      <c r="S15" s="117"/>
      <c r="T15" s="117"/>
      <c r="U15" s="117"/>
      <c r="V15" s="117"/>
      <c r="W15" s="117"/>
      <c r="X15" s="25"/>
      <c r="Y15" s="24"/>
      <c r="Z15" s="24"/>
      <c r="AB15" s="24"/>
    </row>
    <row r="16" spans="1:28" x14ac:dyDescent="0.2">
      <c r="D16" s="24"/>
    </row>
    <row r="18" spans="2:12" x14ac:dyDescent="0.2">
      <c r="C18" s="258" t="s">
        <v>136</v>
      </c>
      <c r="D18" s="258"/>
      <c r="E18" s="258"/>
      <c r="F18" s="258"/>
      <c r="G18" s="258"/>
      <c r="H18" s="258"/>
      <c r="I18" s="258"/>
      <c r="J18" s="258"/>
      <c r="K18" s="258"/>
      <c r="L18" s="258"/>
    </row>
    <row r="19" spans="2:12" x14ac:dyDescent="0.2">
      <c r="B19" s="16" t="s">
        <v>137</v>
      </c>
      <c r="C19" s="12">
        <f t="shared" ref="C19:L19" si="3">C6</f>
        <v>2022</v>
      </c>
      <c r="D19" s="12">
        <f t="shared" si="3"/>
        <v>2023</v>
      </c>
      <c r="E19" s="12">
        <f t="shared" si="3"/>
        <v>2024</v>
      </c>
      <c r="F19" s="12">
        <f t="shared" si="3"/>
        <v>2025</v>
      </c>
      <c r="G19" s="12">
        <f t="shared" si="3"/>
        <v>2026</v>
      </c>
      <c r="H19" s="12">
        <f t="shared" si="3"/>
        <v>2027</v>
      </c>
      <c r="I19" s="12">
        <f t="shared" si="3"/>
        <v>2028</v>
      </c>
      <c r="J19" s="12">
        <f t="shared" si="3"/>
        <v>2029</v>
      </c>
      <c r="K19" s="12">
        <f t="shared" si="3"/>
        <v>2030</v>
      </c>
      <c r="L19" s="12">
        <f t="shared" si="3"/>
        <v>2031</v>
      </c>
    </row>
    <row r="20" spans="2:12" x14ac:dyDescent="0.2">
      <c r="B20" s="1" t="s">
        <v>138</v>
      </c>
      <c r="C20" s="118">
        <f>C13/C7*365</f>
        <v>47.953005745647879</v>
      </c>
      <c r="D20" s="118">
        <f>D13/D7*365</f>
        <v>30.696776814734559</v>
      </c>
      <c r="E20" s="118">
        <f>E13/E7*365</f>
        <v>23.902457640054951</v>
      </c>
      <c r="F20" s="118">
        <f>F13/F7*365</f>
        <v>38.478069693305486</v>
      </c>
      <c r="G20" s="119">
        <f>G13/G7*365</f>
        <v>45.913079130791303</v>
      </c>
      <c r="H20" s="102">
        <v>40</v>
      </c>
      <c r="I20" s="102">
        <v>40</v>
      </c>
      <c r="J20" s="102">
        <v>40</v>
      </c>
      <c r="K20" s="102">
        <v>40</v>
      </c>
      <c r="L20" s="102">
        <v>40</v>
      </c>
    </row>
    <row r="21" spans="2:12" x14ac:dyDescent="0.2">
      <c r="B21" s="1" t="s">
        <v>139</v>
      </c>
      <c r="C21" s="118">
        <f>C14/C8*365</f>
        <v>69.7296142578125</v>
      </c>
      <c r="D21" s="118">
        <f t="shared" ref="D21:G21" si="4">D14/D8*365</f>
        <v>68.97066136250622</v>
      </c>
      <c r="E21" s="118">
        <f t="shared" si="4"/>
        <v>90.176470588235304</v>
      </c>
      <c r="F21" s="118">
        <f t="shared" si="4"/>
        <v>89.130066135323048</v>
      </c>
      <c r="G21" s="119">
        <f t="shared" si="4"/>
        <v>86.396715383456382</v>
      </c>
      <c r="H21" s="102">
        <v>79</v>
      </c>
      <c r="I21" s="102">
        <v>79</v>
      </c>
      <c r="J21" s="102">
        <v>79</v>
      </c>
      <c r="K21" s="102">
        <v>79</v>
      </c>
      <c r="L21" s="102">
        <v>79</v>
      </c>
    </row>
    <row r="22" spans="2:12" x14ac:dyDescent="0.2">
      <c r="B22" s="1" t="s">
        <v>140</v>
      </c>
      <c r="C22" s="118">
        <f>C15/C8*365</f>
        <v>91.695556640625</v>
      </c>
      <c r="D22" s="118">
        <f>D15/D8*365</f>
        <v>96.982429968506537</v>
      </c>
      <c r="E22" s="118">
        <f>E15/E8*365</f>
        <v>129.98803589232301</v>
      </c>
      <c r="F22" s="118">
        <f>F15/F8*365</f>
        <v>99.280990334068164</v>
      </c>
      <c r="G22" s="119">
        <f>G15/G8*365</f>
        <v>96.130781979810152</v>
      </c>
      <c r="H22" s="102">
        <v>95</v>
      </c>
      <c r="I22" s="102">
        <v>95</v>
      </c>
      <c r="J22" s="102">
        <v>95</v>
      </c>
      <c r="K22" s="102">
        <v>95</v>
      </c>
      <c r="L22" s="102">
        <v>95</v>
      </c>
    </row>
    <row r="23" spans="2:12" x14ac:dyDescent="0.2">
      <c r="B23" s="1" t="s">
        <v>141</v>
      </c>
      <c r="C23" s="118">
        <f>C20+C21-C22</f>
        <v>25.987063362835386</v>
      </c>
      <c r="D23" s="118">
        <f t="shared" ref="D23:L23" si="5">D20+D21-D22</f>
        <v>2.6850082087342457</v>
      </c>
      <c r="E23" s="118">
        <f t="shared" si="5"/>
        <v>-15.90910766403276</v>
      </c>
      <c r="F23" s="118">
        <f t="shared" si="5"/>
        <v>28.327145494560369</v>
      </c>
      <c r="G23" s="119">
        <f t="shared" si="5"/>
        <v>36.179012534437547</v>
      </c>
      <c r="H23" s="118">
        <f t="shared" si="5"/>
        <v>24</v>
      </c>
      <c r="I23" s="118">
        <f t="shared" si="5"/>
        <v>24</v>
      </c>
      <c r="J23" s="118">
        <f t="shared" si="5"/>
        <v>24</v>
      </c>
      <c r="K23" s="118">
        <f t="shared" si="5"/>
        <v>24</v>
      </c>
      <c r="L23" s="118">
        <f t="shared" si="5"/>
        <v>24</v>
      </c>
    </row>
    <row r="25" spans="2:12" x14ac:dyDescent="0.2">
      <c r="B25" s="263"/>
      <c r="C25" s="263"/>
    </row>
    <row r="26" spans="2:12" x14ac:dyDescent="0.2">
      <c r="B26" s="109"/>
      <c r="C26" s="258" t="s">
        <v>142</v>
      </c>
      <c r="D26" s="258"/>
      <c r="E26" s="258"/>
      <c r="F26" s="258"/>
      <c r="G26" s="258"/>
      <c r="H26" s="258"/>
      <c r="I26" s="258"/>
      <c r="J26" s="258"/>
      <c r="K26" s="258"/>
      <c r="L26" s="258"/>
    </row>
    <row r="27" spans="2:12" x14ac:dyDescent="0.2">
      <c r="B27" s="16" t="s">
        <v>132</v>
      </c>
      <c r="C27" s="12">
        <f t="shared" ref="C27:L27" si="6">C6</f>
        <v>2022</v>
      </c>
      <c r="D27" s="12">
        <f t="shared" si="6"/>
        <v>2023</v>
      </c>
      <c r="E27" s="12">
        <f t="shared" si="6"/>
        <v>2024</v>
      </c>
      <c r="F27" s="12">
        <f t="shared" si="6"/>
        <v>2025</v>
      </c>
      <c r="G27" s="12">
        <f t="shared" si="6"/>
        <v>2026</v>
      </c>
      <c r="H27" s="12">
        <f t="shared" si="6"/>
        <v>2027</v>
      </c>
      <c r="I27" s="12">
        <f t="shared" si="6"/>
        <v>2028</v>
      </c>
      <c r="J27" s="12">
        <f t="shared" si="6"/>
        <v>2029</v>
      </c>
      <c r="K27" s="12">
        <f t="shared" si="6"/>
        <v>2030</v>
      </c>
      <c r="L27" s="12">
        <f t="shared" si="6"/>
        <v>2031</v>
      </c>
    </row>
    <row r="28" spans="2:12" x14ac:dyDescent="0.2">
      <c r="B28" s="1" t="s">
        <v>143</v>
      </c>
      <c r="C28" s="114">
        <f>Statement!M54</f>
        <v>-374</v>
      </c>
      <c r="D28" s="114">
        <f>Statement!N54</f>
        <v>911</v>
      </c>
      <c r="E28" s="114">
        <f>Statement!O54</f>
        <v>192</v>
      </c>
      <c r="F28" s="114">
        <f>Statement!P54</f>
        <v>-513</v>
      </c>
      <c r="G28" s="115">
        <f>Statement!Q54</f>
        <v>-575</v>
      </c>
      <c r="H28" s="126">
        <f>-(H13-G13)</f>
        <v>-236.46334246575339</v>
      </c>
      <c r="I28" s="126">
        <f t="shared" ref="I28:L29" si="7">-(I13-H13)</f>
        <v>-518.88794520548004</v>
      </c>
      <c r="J28" s="126">
        <f t="shared" si="7"/>
        <v>-123.19149287671189</v>
      </c>
      <c r="K28" s="126">
        <f t="shared" si="7"/>
        <v>80.28576916438351</v>
      </c>
      <c r="L28" s="126">
        <f t="shared" si="7"/>
        <v>319.11596939034257</v>
      </c>
    </row>
    <row r="29" spans="2:12" x14ac:dyDescent="0.2">
      <c r="B29" s="1" t="s">
        <v>144</v>
      </c>
      <c r="C29" s="114">
        <f>Statement!M55</f>
        <v>-361</v>
      </c>
      <c r="D29" s="114">
        <f>Statement!N55</f>
        <v>425</v>
      </c>
      <c r="E29" s="114">
        <f>Statement!O55</f>
        <v>-99</v>
      </c>
      <c r="F29" s="114">
        <f>Statement!P55</f>
        <v>-201</v>
      </c>
      <c r="G29" s="115">
        <f>Statement!Q55</f>
        <v>-131</v>
      </c>
      <c r="H29" s="126">
        <f>-(H14-G14)</f>
        <v>-352.16580575342505</v>
      </c>
      <c r="I29" s="126">
        <f t="shared" si="7"/>
        <v>-247.13921495890418</v>
      </c>
      <c r="J29" s="126">
        <f t="shared" si="7"/>
        <v>-69.137815331301226</v>
      </c>
      <c r="K29" s="126">
        <f t="shared" si="7"/>
        <v>-17.598886722811585</v>
      </c>
      <c r="L29" s="126">
        <f t="shared" si="7"/>
        <v>70.267265901307383</v>
      </c>
    </row>
    <row r="30" spans="2:12" x14ac:dyDescent="0.2">
      <c r="B30" s="1" t="s">
        <v>145</v>
      </c>
      <c r="C30" s="114">
        <f>Statement!M56</f>
        <v>228</v>
      </c>
      <c r="D30" s="114">
        <f>Statement!N56</f>
        <v>-421</v>
      </c>
      <c r="E30" s="114">
        <f>Statement!O56</f>
        <v>227</v>
      </c>
      <c r="F30" s="114">
        <f>Statement!P56</f>
        <v>-242</v>
      </c>
      <c r="G30" s="115">
        <f>Statement!Q56</f>
        <v>66</v>
      </c>
      <c r="H30" s="64">
        <f>H15-G15</f>
        <v>564.66774109589096</v>
      </c>
      <c r="I30" s="64">
        <f t="shared" ref="I30:L30" si="8">I15-H15</f>
        <v>297.19272684931502</v>
      </c>
      <c r="J30" s="64">
        <f t="shared" si="8"/>
        <v>83.140410841438097</v>
      </c>
      <c r="K30" s="64">
        <f t="shared" si="8"/>
        <v>21.163218210976083</v>
      </c>
      <c r="L30" s="64">
        <f t="shared" si="8"/>
        <v>-84.498610893977002</v>
      </c>
    </row>
    <row r="31" spans="2:12" x14ac:dyDescent="0.2">
      <c r="B31" s="109"/>
      <c r="C31" s="109"/>
    </row>
    <row r="32" spans="2:12" x14ac:dyDescent="0.2">
      <c r="B32" s="109"/>
      <c r="C32" s="109"/>
    </row>
    <row r="33" spans="2:12" x14ac:dyDescent="0.2">
      <c r="B33" s="109"/>
      <c r="C33" s="258" t="s">
        <v>146</v>
      </c>
      <c r="D33" s="258"/>
      <c r="E33" s="258"/>
      <c r="F33" s="258"/>
      <c r="G33" s="258"/>
      <c r="H33" s="258"/>
      <c r="I33" s="258"/>
      <c r="J33" s="258"/>
      <c r="K33" s="258"/>
      <c r="L33" s="258"/>
    </row>
    <row r="34" spans="2:12" x14ac:dyDescent="0.2">
      <c r="B34" s="16" t="s">
        <v>132</v>
      </c>
      <c r="C34" s="12">
        <f t="shared" ref="C34:L34" si="9">C6</f>
        <v>2022</v>
      </c>
      <c r="D34" s="12">
        <f t="shared" si="9"/>
        <v>2023</v>
      </c>
      <c r="E34" s="12">
        <f t="shared" si="9"/>
        <v>2024</v>
      </c>
      <c r="F34" s="12">
        <f t="shared" si="9"/>
        <v>2025</v>
      </c>
      <c r="G34" s="12">
        <f t="shared" si="9"/>
        <v>2026</v>
      </c>
      <c r="H34" s="12">
        <f t="shared" si="9"/>
        <v>2027</v>
      </c>
      <c r="I34" s="12">
        <f t="shared" si="9"/>
        <v>2028</v>
      </c>
      <c r="J34" s="12">
        <f t="shared" si="9"/>
        <v>2029</v>
      </c>
      <c r="K34" s="12">
        <f t="shared" si="9"/>
        <v>2030</v>
      </c>
      <c r="L34" s="12">
        <f t="shared" si="9"/>
        <v>2031</v>
      </c>
    </row>
    <row r="35" spans="2:12" x14ac:dyDescent="0.2">
      <c r="B35" s="1" t="s">
        <v>147</v>
      </c>
      <c r="C35" s="114">
        <f>Statement!M54+Statement!M55+Statement!M56+Statement!M57</f>
        <v>-643</v>
      </c>
      <c r="D35" s="114">
        <f>Statement!N54+Statement!N55+Statement!N56+Statement!N57</f>
        <v>1162</v>
      </c>
      <c r="E35" s="114">
        <f>Statement!O54+Statement!O55+Statement!O56+Statement!O57</f>
        <v>386</v>
      </c>
      <c r="F35" s="114">
        <f>Statement!P54+Statement!P55+Statement!P56+Statement!P57</f>
        <v>-965</v>
      </c>
      <c r="G35" s="115">
        <f>Statement!Q54+Statement!Q55+Statement!Q56+Statement!Q57</f>
        <v>-159</v>
      </c>
      <c r="H35" s="126">
        <f>H36+H28+H29+H30</f>
        <v>299.14815287671257</v>
      </c>
      <c r="I35" s="126">
        <f t="shared" ref="I35:L35" si="10">I36+I28+I29+I30</f>
        <v>-51.027823315069099</v>
      </c>
      <c r="J35" s="126">
        <f t="shared" si="10"/>
        <v>331.10016008342501</v>
      </c>
      <c r="K35" s="126">
        <f t="shared" si="10"/>
        <v>509.48700523004806</v>
      </c>
      <c r="L35" s="126">
        <f t="shared" si="10"/>
        <v>672.28286456143542</v>
      </c>
    </row>
    <row r="36" spans="2:12" x14ac:dyDescent="0.2">
      <c r="B36" s="1" t="s">
        <v>148</v>
      </c>
      <c r="C36" s="120">
        <f>C35-C28-C29-C30</f>
        <v>-136</v>
      </c>
      <c r="D36" s="120">
        <f t="shared" ref="D36:G36" si="11">D35-D28-D29-D30</f>
        <v>247</v>
      </c>
      <c r="E36" s="120">
        <f t="shared" si="11"/>
        <v>66</v>
      </c>
      <c r="F36" s="120">
        <f t="shared" si="11"/>
        <v>-9</v>
      </c>
      <c r="G36" s="121">
        <f t="shared" si="11"/>
        <v>481</v>
      </c>
      <c r="H36" s="64">
        <f>H7*H37</f>
        <v>323.10956000000004</v>
      </c>
      <c r="I36" s="64">
        <f>I7*I37</f>
        <v>417.80661000000009</v>
      </c>
      <c r="J36" s="64">
        <f>J7*J37</f>
        <v>440.28905745000003</v>
      </c>
      <c r="K36" s="64">
        <f>K7*K37</f>
        <v>425.63690457750005</v>
      </c>
      <c r="L36" s="64">
        <f>L7*L37</f>
        <v>367.39824016376252</v>
      </c>
    </row>
    <row r="37" spans="2:12" x14ac:dyDescent="0.2">
      <c r="B37" s="122" t="s">
        <v>128</v>
      </c>
      <c r="C37" s="123">
        <f>C36/C7</f>
        <v>-1.1662807649429723E-2</v>
      </c>
      <c r="D37" s="123">
        <f>D36/D7</f>
        <v>3.345070422535211E-2</v>
      </c>
      <c r="E37" s="123">
        <f>E36/E7</f>
        <v>1.0074797740802931E-2</v>
      </c>
      <c r="F37" s="123">
        <f>F36/F7</f>
        <v>-9.8933714411344391E-4</v>
      </c>
      <c r="G37" s="124">
        <f>G36/G7</f>
        <v>3.944239442394424E-2</v>
      </c>
      <c r="H37" s="97">
        <v>0.02</v>
      </c>
      <c r="I37" s="97">
        <v>0.02</v>
      </c>
      <c r="J37" s="97">
        <v>0.02</v>
      </c>
      <c r="K37" s="97">
        <v>0.02</v>
      </c>
      <c r="L37" s="97">
        <v>0.02</v>
      </c>
    </row>
    <row r="38" spans="2:12" x14ac:dyDescent="0.2">
      <c r="C38" s="64"/>
    </row>
    <row r="39" spans="2:12" x14ac:dyDescent="0.2">
      <c r="C39" s="125"/>
    </row>
    <row r="40" spans="2:12" x14ac:dyDescent="0.2">
      <c r="C40" s="258" t="s">
        <v>149</v>
      </c>
      <c r="D40" s="258"/>
      <c r="E40" s="258"/>
      <c r="F40" s="258"/>
      <c r="G40" s="258"/>
      <c r="H40" s="258"/>
      <c r="I40" s="258"/>
      <c r="J40" s="258"/>
      <c r="K40" s="258"/>
      <c r="L40" s="258"/>
    </row>
    <row r="41" spans="2:12" x14ac:dyDescent="0.2">
      <c r="B41" s="16" t="s">
        <v>132</v>
      </c>
      <c r="C41" s="12">
        <f t="shared" ref="C41:L41" si="12">C6</f>
        <v>2022</v>
      </c>
      <c r="D41" s="12">
        <f t="shared" si="12"/>
        <v>2023</v>
      </c>
      <c r="E41" s="12">
        <f t="shared" si="12"/>
        <v>2024</v>
      </c>
      <c r="F41" s="12">
        <f t="shared" si="12"/>
        <v>2025</v>
      </c>
      <c r="G41" s="12">
        <f t="shared" si="12"/>
        <v>2026</v>
      </c>
      <c r="H41" s="12">
        <f t="shared" si="12"/>
        <v>2027</v>
      </c>
      <c r="I41" s="12">
        <f t="shared" si="12"/>
        <v>2028</v>
      </c>
      <c r="J41" s="12">
        <f t="shared" si="12"/>
        <v>2029</v>
      </c>
      <c r="K41" s="12">
        <f t="shared" si="12"/>
        <v>2030</v>
      </c>
      <c r="L41" s="12">
        <f t="shared" si="12"/>
        <v>2031</v>
      </c>
    </row>
    <row r="42" spans="2:12" x14ac:dyDescent="0.2">
      <c r="B42" s="1" t="s">
        <v>56</v>
      </c>
      <c r="C42" s="114">
        <f>Statement!M52</f>
        <v>451</v>
      </c>
      <c r="D42" s="114">
        <f>Statement!N52</f>
        <v>513</v>
      </c>
      <c r="E42" s="114">
        <f>Statement!O52</f>
        <v>264</v>
      </c>
      <c r="F42" s="114">
        <f>Statement!P52</f>
        <v>251</v>
      </c>
      <c r="G42" s="115">
        <f>Statement!Q52</f>
        <v>276</v>
      </c>
      <c r="H42" s="25">
        <f>H7*H43</f>
        <v>484.66434000000004</v>
      </c>
      <c r="I42" s="25">
        <f>I7*I43</f>
        <v>626.70991500000014</v>
      </c>
      <c r="J42" s="25">
        <f>J7*J43</f>
        <v>660.43358617500007</v>
      </c>
      <c r="K42" s="25">
        <f>K7*K43</f>
        <v>638.45535686624999</v>
      </c>
      <c r="L42" s="25">
        <f>L7*L43</f>
        <v>551.09736024564381</v>
      </c>
    </row>
    <row r="43" spans="2:12" x14ac:dyDescent="0.2">
      <c r="B43" s="122" t="s">
        <v>150</v>
      </c>
      <c r="C43" s="123">
        <f>C42/C7</f>
        <v>3.8675928308035332E-2</v>
      </c>
      <c r="D43" s="123">
        <f>D42/D7</f>
        <v>6.9474539544962077E-2</v>
      </c>
      <c r="E43" s="123">
        <f>E42/E7</f>
        <v>4.0299190963211724E-2</v>
      </c>
      <c r="F43" s="123">
        <f>F42/F7</f>
        <v>2.7591513685830495E-2</v>
      </c>
      <c r="G43" s="124">
        <f>G42/G7</f>
        <v>2.2632226322263221E-2</v>
      </c>
      <c r="H43" s="97">
        <v>0.03</v>
      </c>
      <c r="I43" s="97">
        <v>0.03</v>
      </c>
      <c r="J43" s="97">
        <v>0.03</v>
      </c>
      <c r="K43" s="97">
        <v>0.03</v>
      </c>
      <c r="L43" s="97">
        <v>0.03</v>
      </c>
    </row>
    <row r="44" spans="2:12" x14ac:dyDescent="0.2">
      <c r="B44" s="122" t="s">
        <v>151</v>
      </c>
      <c r="C44" s="123">
        <f>C42/C45</f>
        <v>1.1837270341207349</v>
      </c>
      <c r="D44" s="123">
        <f t="shared" ref="D44:L44" si="13">D42/D45</f>
        <v>1.6234177215189873</v>
      </c>
      <c r="E44" s="123">
        <f t="shared" si="13"/>
        <v>1.0393700787401574</v>
      </c>
      <c r="F44" s="123">
        <f t="shared" si="13"/>
        <v>0.94716981132075473</v>
      </c>
      <c r="G44" s="124">
        <f t="shared" si="13"/>
        <v>0.48506151142355008</v>
      </c>
      <c r="H44" s="123">
        <f t="shared" si="13"/>
        <v>0.66666666666666663</v>
      </c>
      <c r="I44" s="123">
        <f t="shared" si="13"/>
        <v>0.66666666666666674</v>
      </c>
      <c r="J44" s="123">
        <f t="shared" si="13"/>
        <v>0.66666666666666674</v>
      </c>
      <c r="K44" s="123">
        <f t="shared" si="13"/>
        <v>0.66666666666666663</v>
      </c>
      <c r="L44" s="123">
        <f t="shared" si="13"/>
        <v>0.66666666666666674</v>
      </c>
    </row>
    <row r="45" spans="2:12" x14ac:dyDescent="0.2">
      <c r="B45" s="1" t="s">
        <v>59</v>
      </c>
      <c r="C45" s="114">
        <f>-Statement!M108</f>
        <v>381</v>
      </c>
      <c r="D45" s="114">
        <f>-Statement!N108</f>
        <v>316</v>
      </c>
      <c r="E45" s="114">
        <f>-Statement!O108</f>
        <v>254</v>
      </c>
      <c r="F45" s="114">
        <f>-Statement!P108</f>
        <v>265</v>
      </c>
      <c r="G45" s="115">
        <f>-Statement!Q108</f>
        <v>569</v>
      </c>
      <c r="H45" s="25">
        <f>H7*H46</f>
        <v>726.99651000000006</v>
      </c>
      <c r="I45" s="25">
        <f>I7*I46</f>
        <v>940.06487250000009</v>
      </c>
      <c r="J45" s="25">
        <f>J7*J46</f>
        <v>990.6503792625</v>
      </c>
      <c r="K45" s="25">
        <f>K7*K46</f>
        <v>957.68303529937498</v>
      </c>
      <c r="L45" s="25">
        <f>L7*L46</f>
        <v>826.64604036846561</v>
      </c>
    </row>
    <row r="46" spans="2:12" x14ac:dyDescent="0.2">
      <c r="B46" s="122" t="s">
        <v>150</v>
      </c>
      <c r="C46" s="123">
        <f>C45/C7</f>
        <v>3.2673012606122973E-2</v>
      </c>
      <c r="D46" s="123">
        <f>D45/D7</f>
        <v>4.2795232936078009E-2</v>
      </c>
      <c r="E46" s="123">
        <f>E45/E7</f>
        <v>3.877270645702946E-2</v>
      </c>
      <c r="F46" s="123">
        <f>F45/F7</f>
        <v>2.9130482576673628E-2</v>
      </c>
      <c r="G46" s="124">
        <f>G45/G7</f>
        <v>4.6658466584665846E-2</v>
      </c>
      <c r="H46" s="97">
        <v>4.4999999999999998E-2</v>
      </c>
      <c r="I46" s="97">
        <v>4.4999999999999998E-2</v>
      </c>
      <c r="J46" s="97">
        <v>4.4999999999999998E-2</v>
      </c>
      <c r="K46" s="97">
        <v>4.4999999999999998E-2</v>
      </c>
      <c r="L46" s="97">
        <v>4.4999999999999998E-2</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sheetPr codeName="Sheet14"/>
  <dimension ref="A1:AE34"/>
  <sheetViews>
    <sheetView topLeftCell="C21" zoomScale="183" workbookViewId="0">
      <selection activeCell="H16" sqref="H16"/>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152</v>
      </c>
    </row>
    <row r="2" spans="1:31" x14ac:dyDescent="0.2">
      <c r="A2" s="4"/>
      <c r="C2" s="249" t="s">
        <v>112</v>
      </c>
      <c r="D2" s="249"/>
      <c r="E2" s="249"/>
      <c r="F2" s="249"/>
      <c r="G2" s="261"/>
      <c r="H2" s="262" t="s">
        <v>113</v>
      </c>
      <c r="I2" s="249"/>
      <c r="J2" s="249"/>
      <c r="K2" s="249"/>
      <c r="L2" s="249"/>
      <c r="S2" s="263"/>
      <c r="T2" s="263"/>
      <c r="U2" s="263"/>
      <c r="V2" s="263"/>
      <c r="W2" s="263"/>
      <c r="X2" s="263"/>
      <c r="Y2" s="263"/>
      <c r="Z2" s="263"/>
      <c r="AA2" s="263"/>
      <c r="AB2" s="263"/>
      <c r="AC2" s="263"/>
      <c r="AE2" s="109"/>
    </row>
    <row r="3" spans="1:31" ht="10" customHeight="1" x14ac:dyDescent="0.2"/>
    <row r="4" spans="1:31" ht="16" customHeight="1" x14ac:dyDescent="0.2">
      <c r="A4" s="86"/>
      <c r="B4" s="60"/>
      <c r="C4" s="258" t="s">
        <v>18</v>
      </c>
      <c r="D4" s="258"/>
      <c r="E4" s="258"/>
      <c r="F4" s="258"/>
      <c r="G4" s="258"/>
      <c r="H4" s="258"/>
      <c r="I4" s="258"/>
      <c r="J4" s="258"/>
      <c r="K4" s="258"/>
      <c r="L4" s="258"/>
      <c r="S4" s="263"/>
      <c r="T4" s="263"/>
      <c r="U4" s="263"/>
      <c r="V4" s="263"/>
      <c r="W4" s="263"/>
      <c r="X4" s="263"/>
      <c r="Y4" s="263"/>
      <c r="Z4" s="263"/>
      <c r="AA4" s="263"/>
      <c r="AB4" s="263"/>
      <c r="AC4" s="263"/>
      <c r="AE4" s="110"/>
    </row>
    <row r="5" spans="1:31" x14ac:dyDescent="0.2">
      <c r="B5" s="16" t="s">
        <v>132</v>
      </c>
      <c r="C5" s="12">
        <f>Revenue!C5</f>
        <v>2022</v>
      </c>
      <c r="D5" s="12">
        <f>Revenue!D5</f>
        <v>2023</v>
      </c>
      <c r="E5" s="12">
        <f>Revenue!E5</f>
        <v>2024</v>
      </c>
      <c r="F5" s="12">
        <f>Revenue!F5</f>
        <v>2025</v>
      </c>
      <c r="G5" s="12">
        <f>Revenue!G5</f>
        <v>2026</v>
      </c>
      <c r="H5" s="12">
        <f>G5+1</f>
        <v>2027</v>
      </c>
      <c r="I5" s="12">
        <f t="shared" ref="I5:L5" si="0">H5+1</f>
        <v>2028</v>
      </c>
      <c r="J5" s="12">
        <f t="shared" si="0"/>
        <v>2029</v>
      </c>
      <c r="K5" s="12">
        <f t="shared" si="0"/>
        <v>2030</v>
      </c>
      <c r="L5" s="12">
        <f t="shared" si="0"/>
        <v>2031</v>
      </c>
      <c r="R5" s="16"/>
      <c r="S5" s="111"/>
      <c r="T5" s="111"/>
      <c r="U5" s="111"/>
      <c r="V5" s="111"/>
      <c r="W5" s="111"/>
      <c r="X5" s="111"/>
      <c r="Y5" s="111"/>
      <c r="Z5" s="111"/>
      <c r="AA5" s="111"/>
      <c r="AB5" s="111"/>
      <c r="AC5" s="111"/>
      <c r="AE5" s="110"/>
    </row>
    <row r="6" spans="1:31" x14ac:dyDescent="0.2">
      <c r="B6" s="16" t="s">
        <v>19</v>
      </c>
      <c r="C6" s="92">
        <f>Revenue!C8</f>
        <v>11661</v>
      </c>
      <c r="D6" s="92">
        <f>Revenue!D8</f>
        <v>7384</v>
      </c>
      <c r="E6" s="92">
        <f>Revenue!E8</f>
        <v>6551</v>
      </c>
      <c r="F6" s="92">
        <f>Revenue!F8</f>
        <v>9097</v>
      </c>
      <c r="G6" s="93">
        <f>Revenue!G8</f>
        <v>12195</v>
      </c>
      <c r="H6" s="92">
        <f>Revenue!H8</f>
        <v>16155.478000000001</v>
      </c>
      <c r="I6" s="92">
        <f>Revenue!I8</f>
        <v>20890.330500000004</v>
      </c>
      <c r="J6" s="92">
        <f>Revenue!J8</f>
        <v>22014.452872500002</v>
      </c>
      <c r="K6" s="92">
        <f>Revenue!K8</f>
        <v>21281.845228875001</v>
      </c>
      <c r="L6" s="92">
        <f>Revenue!L8</f>
        <v>18369.912008188126</v>
      </c>
      <c r="N6" s="90" t="s">
        <v>153</v>
      </c>
      <c r="Q6" s="90"/>
      <c r="S6" s="88"/>
      <c r="T6" s="88"/>
      <c r="U6" s="88"/>
      <c r="V6" s="88"/>
      <c r="W6" s="88"/>
      <c r="X6" s="88"/>
      <c r="Y6" s="88"/>
      <c r="Z6" s="88"/>
      <c r="AA6" s="64"/>
      <c r="AB6" s="64"/>
      <c r="AC6" s="64"/>
      <c r="AE6" s="64"/>
    </row>
    <row r="7" spans="1:31" x14ac:dyDescent="0.2">
      <c r="B7" s="1" t="s">
        <v>20</v>
      </c>
      <c r="C7" s="88">
        <f>'COGS &amp; OpEx'!C11</f>
        <v>8192</v>
      </c>
      <c r="D7" s="88">
        <f>'COGS &amp; OpEx'!D11</f>
        <v>6033</v>
      </c>
      <c r="E7" s="88">
        <f>'COGS &amp; OpEx'!E11</f>
        <v>5015</v>
      </c>
      <c r="F7" s="88">
        <f>'COGS &amp; OpEx'!F11</f>
        <v>5897</v>
      </c>
      <c r="G7" s="89">
        <f>'COGS &amp; OpEx'!G11</f>
        <v>6637</v>
      </c>
      <c r="H7" s="112">
        <f>'COGS &amp; OpEx'!H11</f>
        <v>8885.5129000000015</v>
      </c>
      <c r="I7" s="112">
        <f>'COGS &amp; OpEx'!I11</f>
        <v>10027.358640000002</v>
      </c>
      <c r="J7" s="112">
        <f>'COGS &amp; OpEx'!J11</f>
        <v>10346.792850075</v>
      </c>
      <c r="K7" s="112">
        <f>'COGS &amp; OpEx'!K11</f>
        <v>10428.104162148751</v>
      </c>
      <c r="L7" s="112">
        <f>'COGS &amp; OpEx'!L11</f>
        <v>10103.451604503471</v>
      </c>
      <c r="N7" s="90" t="s">
        <v>154</v>
      </c>
      <c r="Q7" s="90"/>
      <c r="S7" s="88"/>
      <c r="T7" s="88"/>
      <c r="U7" s="88"/>
      <c r="V7" s="88"/>
      <c r="W7" s="88"/>
      <c r="X7" s="88"/>
      <c r="Y7" s="88"/>
      <c r="Z7" s="88"/>
      <c r="AA7" s="64"/>
      <c r="AB7" s="64"/>
      <c r="AC7" s="64"/>
      <c r="AE7" s="64"/>
    </row>
    <row r="8" spans="1:31" x14ac:dyDescent="0.2">
      <c r="B8" s="16" t="s">
        <v>155</v>
      </c>
      <c r="C8" s="94">
        <f>C6-C7</f>
        <v>3469</v>
      </c>
      <c r="D8" s="94">
        <f t="shared" ref="D8:L8" si="1">D6-D7</f>
        <v>1351</v>
      </c>
      <c r="E8" s="94">
        <f t="shared" si="1"/>
        <v>1536</v>
      </c>
      <c r="F8" s="94">
        <f t="shared" si="1"/>
        <v>3200</v>
      </c>
      <c r="G8" s="127">
        <f t="shared" si="1"/>
        <v>5558</v>
      </c>
      <c r="H8" s="94">
        <f t="shared" si="1"/>
        <v>7269.9650999999994</v>
      </c>
      <c r="I8" s="94">
        <f t="shared" si="1"/>
        <v>10862.971860000001</v>
      </c>
      <c r="J8" s="94">
        <f t="shared" si="1"/>
        <v>11667.660022425001</v>
      </c>
      <c r="K8" s="94">
        <f t="shared" si="1"/>
        <v>10853.74106672625</v>
      </c>
      <c r="L8" s="94">
        <f t="shared" si="1"/>
        <v>8266.4604036846558</v>
      </c>
      <c r="N8" s="90"/>
      <c r="Q8" s="90"/>
      <c r="S8" s="88"/>
      <c r="T8" s="88"/>
      <c r="U8" s="88"/>
      <c r="V8" s="88"/>
      <c r="W8" s="88"/>
      <c r="X8" s="88"/>
      <c r="Y8" s="88"/>
      <c r="Z8" s="88"/>
      <c r="AA8" s="64"/>
      <c r="AB8" s="64"/>
      <c r="AC8" s="64"/>
      <c r="AE8" s="64"/>
    </row>
    <row r="9" spans="1:31" x14ac:dyDescent="0.2">
      <c r="B9" s="1" t="s">
        <v>24</v>
      </c>
      <c r="C9" s="88">
        <f>'COGS &amp; OpEx'!C14</f>
        <v>1514</v>
      </c>
      <c r="D9" s="88">
        <f>'COGS &amp; OpEx'!D14</f>
        <v>1693</v>
      </c>
      <c r="E9" s="88">
        <f>'COGS &amp; OpEx'!E14</f>
        <v>1084</v>
      </c>
      <c r="F9" s="88">
        <f>'COGS &amp; OpEx'!F14</f>
        <v>1310</v>
      </c>
      <c r="G9" s="89">
        <f>'COGS &amp; OpEx'!G14</f>
        <v>1464</v>
      </c>
      <c r="H9" s="112">
        <f>'COGS &amp; OpEx'!H14</f>
        <v>1857.8799700000004</v>
      </c>
      <c r="I9" s="112">
        <f>'COGS &amp; OpEx'!I14</f>
        <v>2715.7429650000004</v>
      </c>
      <c r="J9" s="112">
        <f>'COGS &amp; OpEx'!J14</f>
        <v>3302.1679308749999</v>
      </c>
      <c r="K9" s="112">
        <f>'COGS &amp; OpEx'!K14</f>
        <v>3617.9136889087504</v>
      </c>
      <c r="L9" s="112">
        <f>'COGS &amp; OpEx'!L14</f>
        <v>3857.6815217195067</v>
      </c>
      <c r="N9" s="128" t="s">
        <v>154</v>
      </c>
      <c r="Q9" s="90"/>
      <c r="S9" s="88"/>
      <c r="T9" s="88"/>
      <c r="U9" s="88"/>
      <c r="V9" s="88"/>
      <c r="W9" s="88"/>
      <c r="X9" s="88"/>
      <c r="Y9" s="88"/>
      <c r="Z9" s="88"/>
      <c r="AA9" s="64"/>
      <c r="AB9" s="64"/>
      <c r="AC9" s="64"/>
      <c r="AE9" s="64"/>
    </row>
    <row r="10" spans="1:31" x14ac:dyDescent="0.2">
      <c r="B10" s="16" t="s">
        <v>156</v>
      </c>
      <c r="C10" s="94">
        <f t="shared" ref="C10:L10" si="2">C8-C9</f>
        <v>1955</v>
      </c>
      <c r="D10" s="94">
        <f t="shared" si="2"/>
        <v>-342</v>
      </c>
      <c r="E10" s="94">
        <f t="shared" si="2"/>
        <v>452</v>
      </c>
      <c r="F10" s="94">
        <f t="shared" si="2"/>
        <v>1890</v>
      </c>
      <c r="G10" s="127">
        <f t="shared" si="2"/>
        <v>4094</v>
      </c>
      <c r="H10" s="94">
        <f t="shared" si="2"/>
        <v>5412.0851299999995</v>
      </c>
      <c r="I10" s="94">
        <f t="shared" si="2"/>
        <v>8147.2288950000011</v>
      </c>
      <c r="J10" s="94">
        <f t="shared" si="2"/>
        <v>8365.4920915500006</v>
      </c>
      <c r="K10" s="94">
        <f t="shared" si="2"/>
        <v>7235.8273778174998</v>
      </c>
      <c r="L10" s="94">
        <f t="shared" si="2"/>
        <v>4408.7788819651487</v>
      </c>
      <c r="N10" s="90"/>
      <c r="Q10" s="90"/>
      <c r="S10" s="88"/>
      <c r="T10" s="88"/>
      <c r="U10" s="88"/>
      <c r="V10" s="88"/>
      <c r="W10" s="88"/>
      <c r="X10" s="88"/>
      <c r="Y10" s="88"/>
      <c r="Z10" s="88"/>
      <c r="AA10" s="64"/>
      <c r="AB10" s="64"/>
      <c r="AC10" s="64"/>
      <c r="AE10" s="64"/>
    </row>
    <row r="13" spans="1:31" x14ac:dyDescent="0.2">
      <c r="C13" s="258" t="s">
        <v>157</v>
      </c>
      <c r="D13" s="258"/>
      <c r="E13" s="258"/>
      <c r="F13" s="258"/>
      <c r="G13" s="258"/>
      <c r="H13" s="258"/>
      <c r="I13" s="258"/>
      <c r="J13" s="258"/>
      <c r="K13" s="258"/>
      <c r="L13" s="258"/>
    </row>
    <row r="14" spans="1:31" x14ac:dyDescent="0.2">
      <c r="C14" s="12">
        <f t="shared" ref="C14:L14" si="3">C5</f>
        <v>2022</v>
      </c>
      <c r="D14" s="12">
        <f t="shared" si="3"/>
        <v>2023</v>
      </c>
      <c r="E14" s="12">
        <f t="shared" si="3"/>
        <v>2024</v>
      </c>
      <c r="F14" s="12">
        <f t="shared" si="3"/>
        <v>2025</v>
      </c>
      <c r="G14" s="12">
        <f t="shared" si="3"/>
        <v>2026</v>
      </c>
      <c r="H14" s="12">
        <f t="shared" si="3"/>
        <v>2027</v>
      </c>
      <c r="I14" s="12">
        <f t="shared" si="3"/>
        <v>2028</v>
      </c>
      <c r="J14" s="12">
        <f t="shared" si="3"/>
        <v>2029</v>
      </c>
      <c r="K14" s="12">
        <f t="shared" si="3"/>
        <v>2030</v>
      </c>
      <c r="L14" s="12">
        <f t="shared" si="3"/>
        <v>2031</v>
      </c>
    </row>
    <row r="15" spans="1:31" x14ac:dyDescent="0.2">
      <c r="B15" s="1" t="s">
        <v>72</v>
      </c>
      <c r="C15" s="129">
        <f>Statement!M82</f>
        <v>1.7867778439547351E-2</v>
      </c>
      <c r="D15" s="129">
        <f>Statement!N82</f>
        <v>0</v>
      </c>
      <c r="E15" s="129">
        <f>Statement!O82</f>
        <v>0.24719101123595505</v>
      </c>
      <c r="F15" s="129">
        <f>Statement!P82</f>
        <v>2.9081295439524125E-2</v>
      </c>
      <c r="G15" s="130">
        <f>Statement!Q82</f>
        <v>0.13712737127371274</v>
      </c>
      <c r="H15" s="129">
        <f>Overview!$C$26</f>
        <v>0.21</v>
      </c>
      <c r="I15" s="129">
        <f>Overview!$C$26</f>
        <v>0.21</v>
      </c>
      <c r="J15" s="129">
        <f>Overview!$C$26</f>
        <v>0.21</v>
      </c>
      <c r="K15" s="129">
        <f>Overview!$C$26</f>
        <v>0.21</v>
      </c>
      <c r="L15" s="129">
        <f>Overview!$C$26</f>
        <v>0.21</v>
      </c>
      <c r="N15" s="1" t="s">
        <v>162</v>
      </c>
    </row>
    <row r="18" spans="2:14" x14ac:dyDescent="0.2">
      <c r="C18" s="258" t="s">
        <v>158</v>
      </c>
      <c r="D18" s="258"/>
      <c r="E18" s="258"/>
      <c r="F18" s="258"/>
      <c r="G18" s="258"/>
      <c r="H18" s="258"/>
      <c r="I18" s="258"/>
      <c r="J18" s="258"/>
      <c r="K18" s="258"/>
      <c r="L18" s="258"/>
    </row>
    <row r="19" spans="2:14" x14ac:dyDescent="0.2">
      <c r="B19" s="16" t="s">
        <v>132</v>
      </c>
      <c r="C19" s="12">
        <f t="shared" ref="C19:L19" si="4">C5</f>
        <v>2022</v>
      </c>
      <c r="D19" s="12">
        <f t="shared" si="4"/>
        <v>2023</v>
      </c>
      <c r="E19" s="12">
        <f t="shared" si="4"/>
        <v>2024</v>
      </c>
      <c r="F19" s="12">
        <f t="shared" si="4"/>
        <v>2025</v>
      </c>
      <c r="G19" s="12">
        <f t="shared" si="4"/>
        <v>2026</v>
      </c>
      <c r="H19" s="12">
        <f t="shared" si="4"/>
        <v>2027</v>
      </c>
      <c r="I19" s="12">
        <f t="shared" si="4"/>
        <v>2028</v>
      </c>
      <c r="J19" s="12">
        <f t="shared" si="4"/>
        <v>2029</v>
      </c>
      <c r="K19" s="12">
        <f t="shared" si="4"/>
        <v>2030</v>
      </c>
      <c r="L19" s="12">
        <f t="shared" si="4"/>
        <v>2031</v>
      </c>
    </row>
    <row r="20" spans="2:14" x14ac:dyDescent="0.2">
      <c r="B20" s="1" t="s">
        <v>56</v>
      </c>
      <c r="C20" s="88">
        <f>'WC &amp; Investments'!C42</f>
        <v>451</v>
      </c>
      <c r="D20" s="88">
        <f>'WC &amp; Investments'!D42</f>
        <v>513</v>
      </c>
      <c r="E20" s="88">
        <f>'WC &amp; Investments'!E42</f>
        <v>264</v>
      </c>
      <c r="F20" s="88">
        <f>'WC &amp; Investments'!F42</f>
        <v>251</v>
      </c>
      <c r="G20" s="89">
        <f>'WC &amp; Investments'!G42</f>
        <v>276</v>
      </c>
      <c r="H20" s="88">
        <f>'WC &amp; Investments'!H42</f>
        <v>484.66434000000004</v>
      </c>
      <c r="I20" s="88">
        <f>'WC &amp; Investments'!I42</f>
        <v>626.70991500000014</v>
      </c>
      <c r="J20" s="88">
        <f>'WC &amp; Investments'!J42</f>
        <v>660.43358617500007</v>
      </c>
      <c r="K20" s="88">
        <f>'WC &amp; Investments'!K42</f>
        <v>638.45535686624999</v>
      </c>
      <c r="L20" s="88">
        <f>'WC &amp; Investments'!L42</f>
        <v>551.09736024564381</v>
      </c>
      <c r="N20" s="1" t="s">
        <v>159</v>
      </c>
    </row>
    <row r="21" spans="2:14" x14ac:dyDescent="0.2">
      <c r="B21" s="1" t="s">
        <v>59</v>
      </c>
      <c r="C21" s="88">
        <f>'WC &amp; Investments'!C45</f>
        <v>381</v>
      </c>
      <c r="D21" s="88">
        <f>'WC &amp; Investments'!D45</f>
        <v>316</v>
      </c>
      <c r="E21" s="88">
        <f>'WC &amp; Investments'!E45</f>
        <v>254</v>
      </c>
      <c r="F21" s="88">
        <f>'WC &amp; Investments'!F45</f>
        <v>265</v>
      </c>
      <c r="G21" s="89">
        <f>'WC &amp; Investments'!G45</f>
        <v>569</v>
      </c>
      <c r="H21" s="88">
        <f>'WC &amp; Investments'!H45</f>
        <v>726.99651000000006</v>
      </c>
      <c r="I21" s="88">
        <f>'WC &amp; Investments'!I45</f>
        <v>940.06487250000009</v>
      </c>
      <c r="J21" s="88">
        <f>'WC &amp; Investments'!J45</f>
        <v>990.6503792625</v>
      </c>
      <c r="K21" s="88">
        <f>'WC &amp; Investments'!K45</f>
        <v>957.68303529937498</v>
      </c>
      <c r="L21" s="88">
        <f>'WC &amp; Investments'!L45</f>
        <v>826.64604036846561</v>
      </c>
      <c r="N21" s="1" t="s">
        <v>159</v>
      </c>
    </row>
    <row r="22" spans="2:14" x14ac:dyDescent="0.2">
      <c r="B22" s="1" t="s">
        <v>160</v>
      </c>
      <c r="C22" s="88">
        <f>'WC &amp; Investments'!C35</f>
        <v>-643</v>
      </c>
      <c r="D22" s="88">
        <f>'WC &amp; Investments'!D35</f>
        <v>1162</v>
      </c>
      <c r="E22" s="88">
        <f>'WC &amp; Investments'!E35</f>
        <v>386</v>
      </c>
      <c r="F22" s="88">
        <f>'WC &amp; Investments'!F35</f>
        <v>-965</v>
      </c>
      <c r="G22" s="89">
        <f>'WC &amp; Investments'!G35</f>
        <v>-159</v>
      </c>
      <c r="H22" s="88">
        <f>'WC &amp; Investments'!H35</f>
        <v>299.14815287671257</v>
      </c>
      <c r="I22" s="88">
        <f>'WC &amp; Investments'!I35</f>
        <v>-51.027823315069099</v>
      </c>
      <c r="J22" s="88">
        <f>'WC &amp; Investments'!J35</f>
        <v>331.10016008342501</v>
      </c>
      <c r="K22" s="88">
        <f>'WC &amp; Investments'!K35</f>
        <v>509.48700523004806</v>
      </c>
      <c r="L22" s="88">
        <f>'WC &amp; Investments'!L35</f>
        <v>672.28286456143542</v>
      </c>
      <c r="N22" s="1" t="s">
        <v>159</v>
      </c>
    </row>
    <row r="25" spans="2:14" x14ac:dyDescent="0.2">
      <c r="C25" s="258" t="s">
        <v>261</v>
      </c>
      <c r="D25" s="258"/>
      <c r="E25" s="258"/>
      <c r="F25" s="258"/>
      <c r="G25" s="258"/>
      <c r="H25" s="258"/>
      <c r="I25" s="258"/>
      <c r="J25" s="258"/>
      <c r="K25" s="258"/>
      <c r="L25" s="258"/>
    </row>
    <row r="26" spans="2:14" x14ac:dyDescent="0.2">
      <c r="B26" s="16" t="s">
        <v>132</v>
      </c>
      <c r="C26" s="12">
        <f t="shared" ref="C26:L26" si="5">C5</f>
        <v>2022</v>
      </c>
      <c r="D26" s="12">
        <f t="shared" si="5"/>
        <v>2023</v>
      </c>
      <c r="E26" s="12">
        <f t="shared" si="5"/>
        <v>2024</v>
      </c>
      <c r="F26" s="12">
        <f t="shared" si="5"/>
        <v>2025</v>
      </c>
      <c r="G26" s="12">
        <f t="shared" si="5"/>
        <v>2026</v>
      </c>
      <c r="H26" s="12">
        <f t="shared" si="5"/>
        <v>2027</v>
      </c>
      <c r="I26" s="12">
        <f t="shared" si="5"/>
        <v>2028</v>
      </c>
      <c r="J26" s="12">
        <f t="shared" si="5"/>
        <v>2029</v>
      </c>
      <c r="K26" s="12">
        <f t="shared" si="5"/>
        <v>2030</v>
      </c>
      <c r="L26" s="12">
        <f t="shared" si="5"/>
        <v>2031</v>
      </c>
    </row>
    <row r="27" spans="2:14" x14ac:dyDescent="0.2">
      <c r="B27" s="1" t="s">
        <v>161</v>
      </c>
      <c r="C27" s="126">
        <f>C10*(1-C15)</f>
        <v>1920.0684931506848</v>
      </c>
      <c r="D27" s="126">
        <f t="shared" ref="D27:L27" si="6">D10*(1-D15)</f>
        <v>-342</v>
      </c>
      <c r="E27" s="126">
        <f t="shared" si="6"/>
        <v>340.26966292134836</v>
      </c>
      <c r="F27" s="126">
        <f t="shared" si="6"/>
        <v>1835.0363516192995</v>
      </c>
      <c r="G27" s="131">
        <f t="shared" si="6"/>
        <v>3532.6005420054198</v>
      </c>
      <c r="H27" s="126">
        <f t="shared" si="6"/>
        <v>4275.5472527000002</v>
      </c>
      <c r="I27" s="126">
        <f t="shared" si="6"/>
        <v>6436.3108270500015</v>
      </c>
      <c r="J27" s="126">
        <f t="shared" si="6"/>
        <v>6608.7387523245006</v>
      </c>
      <c r="K27" s="126">
        <f t="shared" si="6"/>
        <v>5716.3036284758255</v>
      </c>
      <c r="L27" s="126">
        <f t="shared" si="6"/>
        <v>3482.9353167524678</v>
      </c>
    </row>
    <row r="28" spans="2:14" x14ac:dyDescent="0.2">
      <c r="B28" s="16" t="s">
        <v>261</v>
      </c>
      <c r="C28" s="94">
        <f>C27+C20-C21+C22</f>
        <v>1347.0684931506848</v>
      </c>
      <c r="D28" s="94">
        <f t="shared" ref="D28:L28" si="7">D27+D20-D21+D22</f>
        <v>1017</v>
      </c>
      <c r="E28" s="94">
        <f t="shared" si="7"/>
        <v>736.2696629213483</v>
      </c>
      <c r="F28" s="94">
        <f t="shared" si="7"/>
        <v>856.03635161929924</v>
      </c>
      <c r="G28" s="127">
        <f t="shared" si="7"/>
        <v>3080.6005420054198</v>
      </c>
      <c r="H28" s="94">
        <f t="shared" si="7"/>
        <v>4332.3632355767131</v>
      </c>
      <c r="I28" s="94">
        <f t="shared" si="7"/>
        <v>6071.9280462349325</v>
      </c>
      <c r="J28" s="94">
        <f t="shared" si="7"/>
        <v>6609.6221193204256</v>
      </c>
      <c r="K28" s="94">
        <f t="shared" si="7"/>
        <v>5906.5629552727496</v>
      </c>
      <c r="L28" s="94">
        <f t="shared" si="7"/>
        <v>3879.6695011910815</v>
      </c>
    </row>
    <row r="31" spans="2:14" x14ac:dyDescent="0.2">
      <c r="C31" s="258" t="s">
        <v>76</v>
      </c>
      <c r="D31" s="258"/>
      <c r="E31" s="258"/>
      <c r="F31" s="258"/>
      <c r="G31" s="258"/>
      <c r="H31" s="258"/>
      <c r="I31" s="258"/>
      <c r="J31" s="258"/>
      <c r="K31" s="258"/>
      <c r="L31" s="258"/>
    </row>
    <row r="32" spans="2:14" x14ac:dyDescent="0.2">
      <c r="B32" s="16" t="s">
        <v>331</v>
      </c>
      <c r="C32" s="12">
        <f>C5</f>
        <v>2022</v>
      </c>
      <c r="D32" s="12">
        <f t="shared" ref="D32:L32" si="8">D5</f>
        <v>2023</v>
      </c>
      <c r="E32" s="12">
        <f t="shared" si="8"/>
        <v>2024</v>
      </c>
      <c r="F32" s="12">
        <f t="shared" si="8"/>
        <v>2025</v>
      </c>
      <c r="G32" s="12">
        <f t="shared" si="8"/>
        <v>2026</v>
      </c>
      <c r="H32" s="12">
        <f t="shared" si="8"/>
        <v>2027</v>
      </c>
      <c r="I32" s="12">
        <f t="shared" si="8"/>
        <v>2028</v>
      </c>
      <c r="J32" s="12">
        <f t="shared" si="8"/>
        <v>2029</v>
      </c>
      <c r="K32" s="12">
        <f t="shared" si="8"/>
        <v>2030</v>
      </c>
      <c r="L32" s="12">
        <f t="shared" si="8"/>
        <v>2031</v>
      </c>
    </row>
    <row r="33" spans="2:12" x14ac:dyDescent="0.2">
      <c r="B33" s="1" t="s">
        <v>77</v>
      </c>
      <c r="C33" s="129">
        <f>Statement!M99</f>
        <v>0.29748735099905671</v>
      </c>
      <c r="D33" s="129">
        <f>Statement!N99</f>
        <v>0.1829631635969664</v>
      </c>
      <c r="E33" s="129">
        <f>Statement!O99</f>
        <v>0.23446802014959547</v>
      </c>
      <c r="F33" s="129">
        <f>Statement!P99</f>
        <v>0.3517643179070023</v>
      </c>
      <c r="G33" s="130">
        <f>Statement!Q99</f>
        <v>0.45576055760557604</v>
      </c>
      <c r="H33" s="212">
        <f>H8/H6</f>
        <v>0.44999999999999996</v>
      </c>
      <c r="I33" s="212">
        <f t="shared" ref="I33:L33" si="9">I8/I6</f>
        <v>0.52</v>
      </c>
      <c r="J33" s="212">
        <f t="shared" si="9"/>
        <v>0.53</v>
      </c>
      <c r="K33" s="212">
        <f t="shared" si="9"/>
        <v>0.51</v>
      </c>
      <c r="L33" s="212">
        <f t="shared" si="9"/>
        <v>0.44999999999999996</v>
      </c>
    </row>
    <row r="34" spans="2:12" x14ac:dyDescent="0.2">
      <c r="B34" s="1" t="s">
        <v>78</v>
      </c>
      <c r="C34" s="129">
        <f>Statement!M100</f>
        <v>0.16765285996055226</v>
      </c>
      <c r="D34" s="129">
        <f>Statement!N100</f>
        <v>-4.6316359696641385E-2</v>
      </c>
      <c r="E34" s="129">
        <f>Statement!O100</f>
        <v>6.8997099679438248E-2</v>
      </c>
      <c r="F34" s="129">
        <f>Statement!P100</f>
        <v>0.20776080026382324</v>
      </c>
      <c r="G34" s="130">
        <f>Statement!Q100</f>
        <v>0.33571135711357114</v>
      </c>
      <c r="H34" s="212">
        <f>H10/H6</f>
        <v>0.33499999999999996</v>
      </c>
      <c r="I34" s="212">
        <f t="shared" ref="I34:L34" si="10">I10/I6</f>
        <v>0.38999999999999996</v>
      </c>
      <c r="J34" s="212">
        <f t="shared" si="10"/>
        <v>0.38</v>
      </c>
      <c r="K34" s="212">
        <f t="shared" si="10"/>
        <v>0.33999999999999997</v>
      </c>
      <c r="L34" s="212">
        <f t="shared" si="10"/>
        <v>0.23999999999999991</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codeName="Sheet15">
    <tabColor theme="6" tint="0.59999389629810485"/>
  </sheetPr>
  <dimension ref="B5:H13"/>
  <sheetViews>
    <sheetView workbookViewId="0">
      <selection activeCell="H6" sqref="H6"/>
    </sheetView>
  </sheetViews>
  <sheetFormatPr baseColWidth="10" defaultRowHeight="16" x14ac:dyDescent="0.2"/>
  <cols>
    <col min="1" max="7" width="10.83203125" style="1"/>
    <col min="8" max="8" width="17.5" style="1" customWidth="1"/>
    <col min="9" max="16384" width="10.83203125" style="1"/>
  </cols>
  <sheetData>
    <row r="5" spans="2:8" x14ac:dyDescent="0.2">
      <c r="H5" s="132" t="s">
        <v>434</v>
      </c>
    </row>
    <row r="6" spans="2:8" x14ac:dyDescent="0.2">
      <c r="H6" s="244" t="s">
        <v>439</v>
      </c>
    </row>
    <row r="7" spans="2:8" x14ac:dyDescent="0.2">
      <c r="H7" s="244" t="s">
        <v>435</v>
      </c>
    </row>
    <row r="8" spans="2:8" x14ac:dyDescent="0.2">
      <c r="H8" s="244" t="s">
        <v>436</v>
      </c>
    </row>
    <row r="9" spans="2:8" x14ac:dyDescent="0.2">
      <c r="H9" s="244" t="s">
        <v>437</v>
      </c>
    </row>
    <row r="10" spans="2:8" x14ac:dyDescent="0.2">
      <c r="H10" s="245" t="s">
        <v>438</v>
      </c>
    </row>
    <row r="13" spans="2:8" s="4" customFormat="1" ht="49" x14ac:dyDescent="0.2">
      <c r="B13" s="3" t="s">
        <v>163</v>
      </c>
    </row>
  </sheetData>
  <hyperlinks>
    <hyperlink ref="H6" location="Overview!B3" display="Overview'!B3" xr:uid="{49A696FB-E039-DA4B-881E-86EEEEE6C609}"/>
    <hyperlink ref="H8" location="'Analysis -&gt;'!B13" display="'Analysis -&gt;'!B13" xr:uid="{C3CCB56E-2AEE-8949-BD10-EF263C026A35}"/>
    <hyperlink ref="H9" location="'Forecast -&gt;'!B13" display="'Forecast -&gt;'!B13" xr:uid="{C8C05393-7849-D247-B056-022C9E876583}"/>
    <hyperlink ref="H10" location="'Valuation -&gt;'!B13" display="'Valuation -&gt;'!B13" xr:uid="{9BB8D394-56D3-A343-9E64-0ADE70E8655D}"/>
    <hyperlink ref="H7" location="'Financials -&gt;'!B13" display="'Financials -&gt;'!B13" xr:uid="{0B03BB47-2A50-8D4E-8BB1-0258E1F908F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sheetPr codeName="Sheet16"/>
  <dimension ref="A1:C20"/>
  <sheetViews>
    <sheetView topLeftCell="A10"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164</v>
      </c>
    </row>
    <row r="2" spans="1:3" s="83" customFormat="1" ht="18" customHeight="1" x14ac:dyDescent="0.2">
      <c r="A2" s="4"/>
      <c r="B2" s="82"/>
    </row>
    <row r="3" spans="1:3" ht="17" customHeight="1" x14ac:dyDescent="0.2"/>
    <row r="4" spans="1:3" ht="17" customHeight="1" x14ac:dyDescent="0.2">
      <c r="B4" s="249" t="s">
        <v>165</v>
      </c>
      <c r="C4" s="249"/>
    </row>
    <row r="5" spans="1:3" ht="17" customHeight="1" x14ac:dyDescent="0.2">
      <c r="B5" s="1" t="s">
        <v>166</v>
      </c>
      <c r="C5" s="136">
        <f>Statement!AC77</f>
        <v>237</v>
      </c>
    </row>
    <row r="6" spans="1:3" ht="17" customHeight="1" x14ac:dyDescent="0.2">
      <c r="B6" s="1" t="s">
        <v>1</v>
      </c>
      <c r="C6" s="133">
        <f ca="1">Overview!C5</f>
        <v>676.77</v>
      </c>
    </row>
    <row r="7" spans="1:3" ht="17" customHeight="1" x14ac:dyDescent="0.2">
      <c r="B7" s="1" t="s">
        <v>167</v>
      </c>
      <c r="C7" s="134">
        <f ca="1">C5*C6</f>
        <v>160394.49</v>
      </c>
    </row>
    <row r="8" spans="1:3" ht="17" customHeight="1" x14ac:dyDescent="0.2">
      <c r="B8" s="1" t="s">
        <v>168</v>
      </c>
      <c r="C8" s="112">
        <f>Statement!AC106</f>
        <v>3565</v>
      </c>
    </row>
    <row r="9" spans="1:3" ht="17" customHeight="1" x14ac:dyDescent="0.2">
      <c r="B9" s="1" t="s">
        <v>169</v>
      </c>
      <c r="C9" s="135">
        <f ca="1">Overview!F27</f>
        <v>4.9860000000000002E-2</v>
      </c>
    </row>
    <row r="10" spans="1:3" ht="17" customHeight="1" x14ac:dyDescent="0.2">
      <c r="B10" s="1" t="s">
        <v>9</v>
      </c>
      <c r="C10" s="133">
        <f ca="1">Overview!C13</f>
        <v>2.1471</v>
      </c>
    </row>
    <row r="11" spans="1:3" ht="17" customHeight="1" x14ac:dyDescent="0.2">
      <c r="B11" s="1" t="s">
        <v>170</v>
      </c>
      <c r="C11" s="135">
        <f>[1]Sheet1!$C$12</f>
        <v>4.4999999999999998E-2</v>
      </c>
    </row>
    <row r="12" spans="1:3" ht="17" customHeight="1" x14ac:dyDescent="0.2">
      <c r="B12" s="1" t="s">
        <v>72</v>
      </c>
      <c r="C12" s="135">
        <f>Overview!C26</f>
        <v>0.21</v>
      </c>
    </row>
    <row r="13" spans="1:3" ht="17" customHeight="1" x14ac:dyDescent="0.2">
      <c r="B13" s="1" t="s">
        <v>171</v>
      </c>
      <c r="C13" s="135">
        <f>Overview!C27</f>
        <v>0.06</v>
      </c>
    </row>
    <row r="14" spans="1:3" ht="17" customHeight="1" x14ac:dyDescent="0.2"/>
    <row r="15" spans="1:3" ht="17" customHeight="1" x14ac:dyDescent="0.2">
      <c r="B15" s="249" t="s">
        <v>172</v>
      </c>
      <c r="C15" s="249"/>
    </row>
    <row r="16" spans="1:3" ht="17" customHeight="1" x14ac:dyDescent="0.2">
      <c r="B16" s="1" t="s">
        <v>173</v>
      </c>
      <c r="C16" s="46">
        <f ca="1">C8/(C8+C7)</f>
        <v>2.1743175707609242E-2</v>
      </c>
    </row>
    <row r="17" spans="2:3" ht="17" customHeight="1" x14ac:dyDescent="0.2">
      <c r="B17" s="1" t="s">
        <v>174</v>
      </c>
      <c r="C17" s="46">
        <f ca="1">C7/(C8+C7)</f>
        <v>0.9782568242923908</v>
      </c>
    </row>
    <row r="18" spans="2:3" ht="17" customHeight="1" x14ac:dyDescent="0.2">
      <c r="B18" s="1" t="s">
        <v>175</v>
      </c>
      <c r="C18" s="46">
        <f>C13*(1-C12)</f>
        <v>4.7399999999999998E-2</v>
      </c>
    </row>
    <row r="19" spans="2:3" ht="17" customHeight="1" x14ac:dyDescent="0.2">
      <c r="B19" s="1" t="s">
        <v>176</v>
      </c>
      <c r="C19" s="46">
        <f ca="1">C9+C10*C11</f>
        <v>0.14647949999999998</v>
      </c>
    </row>
    <row r="20" spans="2:3" ht="17" customHeight="1" x14ac:dyDescent="0.2">
      <c r="B20" s="1" t="s">
        <v>164</v>
      </c>
      <c r="C20" s="46">
        <f ca="1">(C17*C19)+(C16*C18)</f>
        <v>0.14432519702247792</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sheetPr codeName="Sheet17"/>
  <dimension ref="A1:AB26"/>
  <sheetViews>
    <sheetView topLeftCell="C1" zoomScale="188" zoomScaleNormal="100" workbookViewId="0">
      <selection activeCell="E25" sqref="E25"/>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178</v>
      </c>
    </row>
    <row r="2" spans="1:28" s="83" customFormat="1" ht="18" customHeight="1" x14ac:dyDescent="0.2">
      <c r="A2" s="4"/>
      <c r="B2" s="82"/>
    </row>
    <row r="3" spans="1:28" x14ac:dyDescent="0.2">
      <c r="A3" s="4"/>
      <c r="C3" s="249" t="s">
        <v>112</v>
      </c>
      <c r="D3" s="249"/>
      <c r="E3" s="249"/>
      <c r="F3" s="249"/>
      <c r="G3" s="261"/>
      <c r="H3" s="262" t="s">
        <v>113</v>
      </c>
      <c r="I3" s="249"/>
      <c r="J3" s="249"/>
      <c r="K3" s="249"/>
      <c r="L3" s="249"/>
      <c r="P3" s="263"/>
      <c r="Q3" s="263"/>
      <c r="R3" s="263"/>
      <c r="S3" s="263"/>
      <c r="T3" s="263"/>
      <c r="U3" s="263"/>
      <c r="V3" s="263"/>
      <c r="W3" s="263"/>
      <c r="X3" s="263"/>
      <c r="Y3" s="263"/>
      <c r="Z3" s="263"/>
      <c r="AB3" s="109"/>
    </row>
    <row r="4" spans="1:28" ht="10" customHeight="1" x14ac:dyDescent="0.2"/>
    <row r="5" spans="1:28" ht="16" customHeight="1" x14ac:dyDescent="0.2">
      <c r="A5" s="86"/>
      <c r="B5" s="60"/>
      <c r="C5" s="258" t="s">
        <v>179</v>
      </c>
      <c r="D5" s="258"/>
      <c r="E5" s="258"/>
      <c r="F5" s="258"/>
      <c r="G5" s="258"/>
      <c r="H5" s="258"/>
      <c r="I5" s="258"/>
      <c r="J5" s="258"/>
      <c r="K5" s="258"/>
      <c r="L5" s="258"/>
      <c r="P5" s="263"/>
      <c r="Q5" s="263"/>
      <c r="R5" s="263"/>
      <c r="S5" s="263"/>
      <c r="T5" s="263"/>
      <c r="U5" s="263"/>
      <c r="V5" s="263"/>
      <c r="W5" s="263"/>
      <c r="X5" s="263"/>
      <c r="Y5" s="263"/>
      <c r="Z5" s="263"/>
      <c r="AB5" s="110"/>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1"/>
      <c r="Q6" s="111"/>
      <c r="R6" s="111"/>
      <c r="S6" s="111"/>
      <c r="T6" s="111"/>
      <c r="U6" s="111"/>
      <c r="V6" s="111"/>
      <c r="W6" s="111"/>
      <c r="X6" s="111"/>
      <c r="Y6" s="111"/>
      <c r="Z6" s="111"/>
      <c r="AB6" s="110"/>
    </row>
    <row r="7" spans="1:28" x14ac:dyDescent="0.2">
      <c r="B7" s="39" t="s">
        <v>261</v>
      </c>
      <c r="C7" s="112">
        <f>'FCF &amp; Other'!C28</f>
        <v>1347.0684931506848</v>
      </c>
      <c r="D7" s="112">
        <f>'FCF &amp; Other'!D28</f>
        <v>1017</v>
      </c>
      <c r="E7" s="112">
        <f>'FCF &amp; Other'!E28</f>
        <v>736.2696629213483</v>
      </c>
      <c r="F7" s="112">
        <f>'FCF &amp; Other'!F28</f>
        <v>856.03635161929924</v>
      </c>
      <c r="G7" s="113">
        <f>'FCF &amp; Other'!G28</f>
        <v>3080.6005420054198</v>
      </c>
      <c r="H7" s="112">
        <f>'FCF &amp; Other'!H28</f>
        <v>4332.3632355767131</v>
      </c>
      <c r="I7" s="112">
        <f>'FCF &amp; Other'!I28</f>
        <v>6071.9280462349325</v>
      </c>
      <c r="J7" s="112">
        <f>'FCF &amp; Other'!J28</f>
        <v>6609.6221193204256</v>
      </c>
      <c r="K7" s="112">
        <f>'FCF &amp; Other'!K28</f>
        <v>5906.5629552727496</v>
      </c>
      <c r="L7" s="112">
        <f>'FCF &amp; Other'!L28</f>
        <v>3879.6695011910815</v>
      </c>
      <c r="N7" s="91"/>
      <c r="O7" s="16"/>
      <c r="P7" s="92"/>
      <c r="Q7" s="92"/>
      <c r="R7" s="92"/>
      <c r="S7" s="92"/>
      <c r="T7" s="92"/>
      <c r="U7" s="92"/>
      <c r="V7" s="92"/>
      <c r="W7" s="92"/>
      <c r="X7" s="94"/>
      <c r="Y7" s="94"/>
      <c r="Z7" s="94"/>
      <c r="AB7" s="94"/>
    </row>
    <row r="8" spans="1:28" x14ac:dyDescent="0.2">
      <c r="B8" s="39" t="s">
        <v>180</v>
      </c>
      <c r="C8" s="126">
        <v>0</v>
      </c>
      <c r="D8" s="126">
        <v>0</v>
      </c>
      <c r="E8" s="126">
        <v>0</v>
      </c>
      <c r="F8" s="126">
        <v>0</v>
      </c>
      <c r="G8" s="131">
        <v>0</v>
      </c>
      <c r="H8" s="126">
        <v>0</v>
      </c>
      <c r="I8" s="126">
        <v>0</v>
      </c>
      <c r="J8" s="126">
        <v>0</v>
      </c>
      <c r="K8" s="126">
        <v>0</v>
      </c>
      <c r="L8" s="126">
        <f ca="1">L7*(1+C14)/(C15-C14)</f>
        <v>30449.321821056339</v>
      </c>
      <c r="N8" s="91"/>
      <c r="O8" s="16"/>
      <c r="P8" s="92"/>
      <c r="Q8" s="92"/>
      <c r="R8" s="92"/>
      <c r="S8" s="92"/>
      <c r="T8" s="92"/>
      <c r="U8" s="92"/>
      <c r="V8" s="92"/>
      <c r="W8" s="92"/>
      <c r="X8" s="94"/>
      <c r="Y8" s="94"/>
      <c r="Z8" s="94"/>
      <c r="AB8" s="94"/>
    </row>
    <row r="9" spans="1:28" x14ac:dyDescent="0.2">
      <c r="B9" s="1" t="s">
        <v>181</v>
      </c>
      <c r="C9" s="137"/>
      <c r="D9" s="137"/>
      <c r="E9" s="137"/>
      <c r="F9" s="137"/>
      <c r="G9" s="138"/>
      <c r="H9" s="139">
        <v>1</v>
      </c>
      <c r="I9" s="139">
        <v>2</v>
      </c>
      <c r="J9" s="139">
        <v>3</v>
      </c>
      <c r="K9" s="139">
        <v>4</v>
      </c>
      <c r="L9" s="139">
        <v>5</v>
      </c>
      <c r="N9" s="91"/>
    </row>
    <row r="10" spans="1:28" x14ac:dyDescent="0.2">
      <c r="B10" s="1" t="s">
        <v>319</v>
      </c>
      <c r="C10" s="137"/>
      <c r="D10" s="137"/>
      <c r="E10" s="137"/>
      <c r="F10" s="137"/>
      <c r="G10" s="138"/>
      <c r="H10" s="126">
        <f ca="1">H7/(1+$C$15)^H9</f>
        <v>3785.9545930208269</v>
      </c>
      <c r="I10" s="126">
        <f t="shared" ref="I10:L10" ca="1" si="0">I7/(1+$C$15)^I9</f>
        <v>4636.8996245625694</v>
      </c>
      <c r="J10" s="126">
        <f t="shared" ca="1" si="0"/>
        <v>4410.9105281584762</v>
      </c>
      <c r="K10" s="126">
        <f t="shared" ca="1" si="0"/>
        <v>3444.5856973499631</v>
      </c>
      <c r="L10" s="126">
        <f t="shared" ca="1" si="0"/>
        <v>1977.1855447059222</v>
      </c>
      <c r="N10" s="91"/>
    </row>
    <row r="11" spans="1:28" x14ac:dyDescent="0.2">
      <c r="B11" s="1" t="s">
        <v>182</v>
      </c>
      <c r="C11" s="137"/>
      <c r="D11" s="137"/>
      <c r="E11" s="137"/>
      <c r="F11" s="137"/>
      <c r="G11" s="138"/>
      <c r="H11" s="137"/>
      <c r="I11" s="137"/>
      <c r="J11" s="137"/>
      <c r="K11" s="137"/>
      <c r="L11" s="126">
        <f ca="1">L8/(1+C15)^L9</f>
        <v>15517.806073998889</v>
      </c>
    </row>
    <row r="13" spans="1:28" x14ac:dyDescent="0.2">
      <c r="B13" s="249" t="s">
        <v>183</v>
      </c>
      <c r="C13" s="249"/>
    </row>
    <row r="14" spans="1:28" x14ac:dyDescent="0.2">
      <c r="B14" s="1" t="s">
        <v>184</v>
      </c>
      <c r="C14" s="140">
        <v>1.4999999999999999E-2</v>
      </c>
    </row>
    <row r="15" spans="1:28" x14ac:dyDescent="0.2">
      <c r="B15" s="1" t="s">
        <v>164</v>
      </c>
      <c r="C15" s="135">
        <f ca="1">IF(Overview!C28&gt;0,Overview!C28,WACC!C20)</f>
        <v>0.14432519702247792</v>
      </c>
    </row>
    <row r="18" spans="2:3" x14ac:dyDescent="0.2">
      <c r="B18" s="249" t="s">
        <v>185</v>
      </c>
      <c r="C18" s="249"/>
    </row>
    <row r="19" spans="2:3" x14ac:dyDescent="0.2">
      <c r="B19" s="1" t="s">
        <v>186</v>
      </c>
      <c r="C19" s="64">
        <f ca="1">SUM(H10:L10)</f>
        <v>18255.535987797757</v>
      </c>
    </row>
    <row r="20" spans="2:3" x14ac:dyDescent="0.2">
      <c r="B20" s="1" t="s">
        <v>182</v>
      </c>
      <c r="C20" s="64">
        <f ca="1">L11</f>
        <v>15517.806073998889</v>
      </c>
    </row>
    <row r="21" spans="2:3" x14ac:dyDescent="0.2">
      <c r="B21" s="16" t="s">
        <v>187</v>
      </c>
      <c r="C21" s="94">
        <f ca="1">C19+C20</f>
        <v>33773.342061796648</v>
      </c>
    </row>
    <row r="22" spans="2:3" x14ac:dyDescent="0.2">
      <c r="B22" s="1" t="s">
        <v>188</v>
      </c>
      <c r="C22" s="88">
        <f>Statement!AC105</f>
        <v>1704</v>
      </c>
    </row>
    <row r="23" spans="2:3" x14ac:dyDescent="0.2">
      <c r="B23" s="1" t="s">
        <v>189</v>
      </c>
      <c r="C23" s="88">
        <f>Statement!AC106</f>
        <v>3565</v>
      </c>
    </row>
    <row r="24" spans="2:3" x14ac:dyDescent="0.2">
      <c r="B24" s="16" t="s">
        <v>190</v>
      </c>
      <c r="C24" s="94">
        <f ca="1">C21+C22-C23</f>
        <v>31912.342061796648</v>
      </c>
    </row>
    <row r="25" spans="2:3" x14ac:dyDescent="0.2">
      <c r="B25" s="1" t="s">
        <v>68</v>
      </c>
      <c r="C25" s="88">
        <f>Statement!AC77</f>
        <v>237</v>
      </c>
    </row>
    <row r="26" spans="2:3" x14ac:dyDescent="0.2">
      <c r="B26" s="240" t="s">
        <v>191</v>
      </c>
      <c r="C26" s="241">
        <f ca="1">C24/C25</f>
        <v>134.6512323282559</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sheetPr codeName="Sheet18"/>
  <dimension ref="A1:N84"/>
  <sheetViews>
    <sheetView topLeftCell="A73" zoomScale="192" zoomScaleNormal="100" workbookViewId="0">
      <selection activeCell="C83" sqref="C83"/>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192</v>
      </c>
    </row>
    <row r="2" spans="1:14" x14ac:dyDescent="0.2">
      <c r="A2" s="4"/>
      <c r="C2" s="249" t="s">
        <v>112</v>
      </c>
      <c r="D2" s="249"/>
      <c r="E2" s="249"/>
      <c r="F2" s="249"/>
      <c r="G2" s="261"/>
      <c r="H2" s="262" t="s">
        <v>113</v>
      </c>
      <c r="I2" s="249"/>
      <c r="J2" s="249"/>
      <c r="K2" s="249"/>
      <c r="L2" s="249"/>
    </row>
    <row r="3" spans="1:14" ht="10" customHeight="1" x14ac:dyDescent="0.2"/>
    <row r="4" spans="1:14" ht="16" customHeight="1" x14ac:dyDescent="0.2">
      <c r="A4" s="86"/>
      <c r="B4" s="60"/>
      <c r="C4" s="258" t="s">
        <v>193</v>
      </c>
      <c r="D4" s="258"/>
      <c r="E4" s="258"/>
      <c r="F4" s="258"/>
      <c r="G4" s="258"/>
      <c r="H4" s="258"/>
      <c r="I4" s="258"/>
      <c r="J4" s="258"/>
      <c r="K4" s="258"/>
      <c r="L4" s="258"/>
    </row>
    <row r="5" spans="1:14" x14ac:dyDescent="0.2">
      <c r="B5" s="16" t="s">
        <v>116</v>
      </c>
      <c r="C5" s="12">
        <f>Revenue!C5</f>
        <v>2022</v>
      </c>
      <c r="D5" s="12">
        <f>Revenue!D5</f>
        <v>2023</v>
      </c>
      <c r="E5" s="12">
        <f>Revenue!E5</f>
        <v>2024</v>
      </c>
      <c r="F5" s="12">
        <f>Revenue!F5</f>
        <v>2025</v>
      </c>
      <c r="G5" s="12">
        <f>Revenue!G5</f>
        <v>2026</v>
      </c>
      <c r="H5" s="12">
        <f>Revenue!H5</f>
        <v>2027</v>
      </c>
      <c r="I5" s="12">
        <f>Revenue!I5</f>
        <v>2028</v>
      </c>
      <c r="J5" s="12">
        <f>Revenue!J5</f>
        <v>2029</v>
      </c>
      <c r="K5" s="12">
        <f>Revenue!K5</f>
        <v>2030</v>
      </c>
      <c r="L5" s="12">
        <f>Revenue!L5</f>
        <v>2031</v>
      </c>
    </row>
    <row r="6" spans="1:14" x14ac:dyDescent="0.2">
      <c r="B6" s="16" t="s">
        <v>19</v>
      </c>
      <c r="C6" s="92">
        <f>Revenue!C8</f>
        <v>11661</v>
      </c>
      <c r="D6" s="92">
        <f>Revenue!D8</f>
        <v>7384</v>
      </c>
      <c r="E6" s="92">
        <f>Revenue!E8</f>
        <v>6551</v>
      </c>
      <c r="F6" s="92">
        <f>Revenue!F8</f>
        <v>9097</v>
      </c>
      <c r="G6" s="93">
        <f>Revenue!G8</f>
        <v>12195</v>
      </c>
      <c r="H6" s="92">
        <f>Revenue!H8</f>
        <v>16155.478000000001</v>
      </c>
      <c r="I6" s="92">
        <f>Revenue!I8</f>
        <v>20890.330500000004</v>
      </c>
      <c r="J6" s="92">
        <f>Revenue!J8</f>
        <v>22014.452872500002</v>
      </c>
      <c r="K6" s="92">
        <f>Revenue!K8</f>
        <v>21281.845228875001</v>
      </c>
      <c r="L6" s="92">
        <f>Revenue!L8</f>
        <v>18369.912008188126</v>
      </c>
      <c r="N6" s="91"/>
    </row>
    <row r="7" spans="1:14" x14ac:dyDescent="0.2">
      <c r="B7" s="16" t="s">
        <v>156</v>
      </c>
      <c r="C7" s="92">
        <f>'FCF &amp; Other'!C10</f>
        <v>1955</v>
      </c>
      <c r="D7" s="92">
        <f>'FCF &amp; Other'!D10</f>
        <v>-342</v>
      </c>
      <c r="E7" s="92">
        <f>'FCF &amp; Other'!E10</f>
        <v>452</v>
      </c>
      <c r="F7" s="92">
        <f>'FCF &amp; Other'!F10</f>
        <v>1890</v>
      </c>
      <c r="G7" s="93">
        <f>'FCF &amp; Other'!G10</f>
        <v>4094</v>
      </c>
      <c r="H7" s="92">
        <f>'FCF &amp; Other'!H10</f>
        <v>5412.0851299999995</v>
      </c>
      <c r="I7" s="92">
        <f>'FCF &amp; Other'!I10</f>
        <v>8147.2288950000011</v>
      </c>
      <c r="J7" s="92">
        <f>'FCF &amp; Other'!J10</f>
        <v>8365.4920915500006</v>
      </c>
      <c r="K7" s="92">
        <f>'FCF &amp; Other'!K10</f>
        <v>7235.8273778174998</v>
      </c>
      <c r="L7" s="92">
        <f>'FCF &amp; Other'!L10</f>
        <v>4408.7788819651487</v>
      </c>
      <c r="N7" s="91"/>
    </row>
    <row r="8" spans="1:14" x14ac:dyDescent="0.2">
      <c r="B8" s="16" t="s">
        <v>261</v>
      </c>
      <c r="C8" s="92">
        <f>'FCF &amp; Other'!C28</f>
        <v>1347.0684931506848</v>
      </c>
      <c r="D8" s="92">
        <f>'FCF &amp; Other'!D28</f>
        <v>1017</v>
      </c>
      <c r="E8" s="92">
        <f>'FCF &amp; Other'!E28</f>
        <v>736.2696629213483</v>
      </c>
      <c r="F8" s="92">
        <f>'FCF &amp; Other'!F28</f>
        <v>856.03635161929924</v>
      </c>
      <c r="G8" s="93">
        <f>'FCF &amp; Other'!G28</f>
        <v>3080.6005420054198</v>
      </c>
      <c r="H8" s="92">
        <f>'FCF &amp; Other'!H28</f>
        <v>4332.3632355767131</v>
      </c>
      <c r="I8" s="92">
        <f>'FCF &amp; Other'!I28</f>
        <v>6071.9280462349325</v>
      </c>
      <c r="J8" s="92">
        <f>'FCF &amp; Other'!J28</f>
        <v>6609.6221193204256</v>
      </c>
      <c r="K8" s="92">
        <f>'FCF &amp; Other'!K28</f>
        <v>5906.5629552727496</v>
      </c>
      <c r="L8" s="92">
        <f>'FCF &amp; Other'!L28</f>
        <v>3879.6695011910815</v>
      </c>
      <c r="N8" s="91"/>
    </row>
    <row r="9" spans="1:14" x14ac:dyDescent="0.2">
      <c r="B9" s="16" t="s">
        <v>319</v>
      </c>
      <c r="C9" s="137"/>
      <c r="D9" s="137"/>
      <c r="E9" s="137"/>
      <c r="F9" s="137"/>
      <c r="G9" s="138"/>
      <c r="H9" s="92">
        <f ca="1">DCF!H10</f>
        <v>3785.9545930208269</v>
      </c>
      <c r="I9" s="92">
        <f ca="1">DCF!I10</f>
        <v>4636.8996245625694</v>
      </c>
      <c r="J9" s="92">
        <f ca="1">DCF!J10</f>
        <v>4410.9105281584762</v>
      </c>
      <c r="K9" s="92">
        <f ca="1">DCF!K10</f>
        <v>3444.5856973499631</v>
      </c>
      <c r="L9" s="92">
        <f ca="1">DCF!L10</f>
        <v>1977.1855447059222</v>
      </c>
      <c r="N9" s="91"/>
    </row>
    <row r="10" spans="1:14" x14ac:dyDescent="0.2">
      <c r="N10" s="91"/>
    </row>
    <row r="11" spans="1:14" x14ac:dyDescent="0.2">
      <c r="C11" s="258" t="s">
        <v>121</v>
      </c>
      <c r="D11" s="258"/>
      <c r="E11" s="258"/>
      <c r="F11" s="258"/>
      <c r="G11" s="258"/>
      <c r="H11" s="258"/>
      <c r="I11" s="258"/>
      <c r="J11" s="258"/>
      <c r="K11" s="258"/>
      <c r="L11" s="258"/>
      <c r="N11" s="91"/>
    </row>
    <row r="12" spans="1:14" x14ac:dyDescent="0.2">
      <c r="B12" s="16" t="s">
        <v>194</v>
      </c>
      <c r="C12" s="12">
        <f>C5</f>
        <v>2022</v>
      </c>
      <c r="D12" s="12">
        <f t="shared" ref="D12:L12" si="0">D5</f>
        <v>2023</v>
      </c>
      <c r="E12" s="12">
        <f t="shared" si="0"/>
        <v>2024</v>
      </c>
      <c r="F12" s="12">
        <f t="shared" si="0"/>
        <v>2025</v>
      </c>
      <c r="G12" s="12">
        <f t="shared" si="0"/>
        <v>2026</v>
      </c>
      <c r="H12" s="12">
        <f t="shared" si="0"/>
        <v>2027</v>
      </c>
      <c r="I12" s="12">
        <f t="shared" si="0"/>
        <v>2028</v>
      </c>
      <c r="J12" s="12">
        <f t="shared" si="0"/>
        <v>2029</v>
      </c>
      <c r="K12" s="12">
        <f t="shared" si="0"/>
        <v>2030</v>
      </c>
      <c r="L12" s="12">
        <f t="shared" si="0"/>
        <v>2031</v>
      </c>
      <c r="N12" s="91"/>
    </row>
    <row r="13" spans="1:14" x14ac:dyDescent="0.2">
      <c r="B13" s="1" t="s">
        <v>19</v>
      </c>
      <c r="C13" s="137"/>
      <c r="D13" s="95">
        <f>(D6-C6)/C6</f>
        <v>-0.36677814938684505</v>
      </c>
      <c r="E13" s="95">
        <f t="shared" ref="E13:L13" si="1">(E6-D6)/D6</f>
        <v>-0.11281148429035753</v>
      </c>
      <c r="F13" s="95">
        <f t="shared" si="1"/>
        <v>0.38864295527400394</v>
      </c>
      <c r="G13" s="96">
        <f t="shared" si="1"/>
        <v>0.3405518302737166</v>
      </c>
      <c r="H13" s="95">
        <f t="shared" si="1"/>
        <v>0.32476244362443635</v>
      </c>
      <c r="I13" s="95">
        <f t="shared" si="1"/>
        <v>0.29308030997287748</v>
      </c>
      <c r="J13" s="95">
        <f t="shared" si="1"/>
        <v>5.3810655245497337E-2</v>
      </c>
      <c r="K13" s="95">
        <f t="shared" si="1"/>
        <v>-3.3278485178260271E-2</v>
      </c>
      <c r="L13" s="95">
        <f t="shared" si="1"/>
        <v>-0.13682710260179845</v>
      </c>
      <c r="N13" s="91"/>
    </row>
    <row r="14" spans="1:14" x14ac:dyDescent="0.2">
      <c r="B14" s="1" t="s">
        <v>156</v>
      </c>
      <c r="C14" s="137"/>
      <c r="D14" s="95">
        <f>IF(C7=0,
IF(D7=0,0,IF(D7&gt;0,1,-1)),
(D7-C7)/ABS(C7)
)</f>
        <v>-1.1749360613810742</v>
      </c>
      <c r="E14" s="95">
        <f t="shared" ref="E14:L14" si="2">IF(D7=0,
IF(E7=0,0,IF(E7&gt;0,1,-1)),
(E7-D7)/ABS(D7)
)</f>
        <v>2.3216374269005846</v>
      </c>
      <c r="F14" s="95">
        <f t="shared" si="2"/>
        <v>3.1814159292035398</v>
      </c>
      <c r="G14" s="96">
        <f t="shared" si="2"/>
        <v>1.1661375661375661</v>
      </c>
      <c r="H14" s="95">
        <f t="shared" si="2"/>
        <v>0.32195533219345368</v>
      </c>
      <c r="I14" s="95">
        <f t="shared" si="2"/>
        <v>0.50537707728185755</v>
      </c>
      <c r="J14" s="95">
        <f t="shared" si="2"/>
        <v>2.6789869213561537E-2</v>
      </c>
      <c r="K14" s="95">
        <f t="shared" si="2"/>
        <v>-0.1350386446331803</v>
      </c>
      <c r="L14" s="95">
        <f t="shared" si="2"/>
        <v>-0.39070148418950496</v>
      </c>
      <c r="N14" s="91"/>
    </row>
    <row r="15" spans="1:14" x14ac:dyDescent="0.2">
      <c r="B15" s="1" t="s">
        <v>261</v>
      </c>
      <c r="C15" s="137"/>
      <c r="D15" s="95">
        <f>IF(C8=0,
IF(D8=0,0,IF(D8&gt;0,1,-1)),
(D8-C8)/ABS(C8)
)</f>
        <v>-0.24502725349821017</v>
      </c>
      <c r="E15" s="95">
        <f t="shared" ref="E15:L15" si="3">IF(D8=0,
IF(E8=0,0,IF(E8&gt;0,1,-1)),
(E8-D8)/ABS(D8)
)</f>
        <v>-0.27603769624252872</v>
      </c>
      <c r="F15" s="95">
        <f t="shared" si="3"/>
        <v>0.16266687971733662</v>
      </c>
      <c r="G15" s="96">
        <f t="shared" si="3"/>
        <v>2.5986795843168116</v>
      </c>
      <c r="H15" s="95">
        <f t="shared" si="3"/>
        <v>0.40633723084279422</v>
      </c>
      <c r="I15" s="95">
        <f t="shared" si="3"/>
        <v>0.40152792276815008</v>
      </c>
      <c r="J15" s="95">
        <f t="shared" si="3"/>
        <v>8.8554091713735836E-2</v>
      </c>
      <c r="K15" s="95">
        <f t="shared" si="3"/>
        <v>-0.10636904067368402</v>
      </c>
      <c r="L15" s="95">
        <f t="shared" si="3"/>
        <v>-0.3431595446336983</v>
      </c>
      <c r="N15" s="91"/>
    </row>
    <row r="16" spans="1:14" x14ac:dyDescent="0.2">
      <c r="N16" s="91"/>
    </row>
    <row r="17" spans="2:14" x14ac:dyDescent="0.2">
      <c r="C17" s="258" t="s">
        <v>195</v>
      </c>
      <c r="D17" s="258"/>
      <c r="E17" s="258"/>
      <c r="F17" s="258"/>
      <c r="G17" s="258"/>
      <c r="H17" s="258"/>
      <c r="I17" s="258"/>
      <c r="J17" s="258"/>
      <c r="K17" s="258"/>
      <c r="L17" s="258"/>
      <c r="N17" s="91"/>
    </row>
    <row r="18" spans="2:14" x14ac:dyDescent="0.2">
      <c r="C18" s="12">
        <f t="shared" ref="C18:L18" si="4">C5</f>
        <v>2022</v>
      </c>
      <c r="D18" s="12">
        <f t="shared" si="4"/>
        <v>2023</v>
      </c>
      <c r="E18" s="12">
        <f t="shared" si="4"/>
        <v>2024</v>
      </c>
      <c r="F18" s="12">
        <f t="shared" si="4"/>
        <v>2025</v>
      </c>
      <c r="G18" s="12">
        <f t="shared" si="4"/>
        <v>2026</v>
      </c>
      <c r="H18" s="12">
        <f t="shared" si="4"/>
        <v>2027</v>
      </c>
      <c r="I18" s="12">
        <f t="shared" si="4"/>
        <v>2028</v>
      </c>
      <c r="J18" s="12">
        <f t="shared" si="4"/>
        <v>2029</v>
      </c>
      <c r="K18" s="12">
        <f t="shared" si="4"/>
        <v>2030</v>
      </c>
      <c r="L18" s="12">
        <f t="shared" si="4"/>
        <v>2031</v>
      </c>
      <c r="N18" s="91"/>
    </row>
    <row r="19" spans="2:14" x14ac:dyDescent="0.2">
      <c r="B19" s="1" t="s">
        <v>196</v>
      </c>
      <c r="C19" s="100">
        <f>Statement!M21</f>
        <v>224</v>
      </c>
      <c r="D19" s="100">
        <f>Statement!N21</f>
        <v>207</v>
      </c>
      <c r="E19" s="100">
        <f>Statement!O21</f>
        <v>212</v>
      </c>
      <c r="F19" s="100">
        <f>Statement!P21</f>
        <v>217</v>
      </c>
      <c r="G19" s="101">
        <f>Statement!Q21</f>
        <v>229</v>
      </c>
      <c r="H19" s="141">
        <f>G19*(1+H20)</f>
        <v>233.58</v>
      </c>
      <c r="I19" s="141">
        <f t="shared" ref="I19:L19" si="5">H19*(1+I20)</f>
        <v>238.25160000000002</v>
      </c>
      <c r="J19" s="141">
        <f t="shared" si="5"/>
        <v>245.39914800000003</v>
      </c>
      <c r="K19" s="141">
        <f t="shared" si="5"/>
        <v>250.30713096000002</v>
      </c>
      <c r="L19" s="141">
        <f t="shared" si="5"/>
        <v>252.81020226960001</v>
      </c>
      <c r="N19" s="91"/>
    </row>
    <row r="20" spans="2:14" x14ac:dyDescent="0.2">
      <c r="B20" s="1" t="s">
        <v>197</v>
      </c>
      <c r="C20" s="137"/>
      <c r="D20" s="142">
        <f>D19/C19-1</f>
        <v>-7.5892857142857095E-2</v>
      </c>
      <c r="E20" s="142">
        <f t="shared" ref="E20:G20" si="6">E19/D19-1</f>
        <v>2.4154589371980784E-2</v>
      </c>
      <c r="F20" s="142">
        <f t="shared" si="6"/>
        <v>2.3584905660377409E-2</v>
      </c>
      <c r="G20" s="143">
        <f t="shared" si="6"/>
        <v>5.5299539170506895E-2</v>
      </c>
      <c r="H20" s="144">
        <v>0.02</v>
      </c>
      <c r="I20" s="97">
        <v>0.02</v>
      </c>
      <c r="J20" s="97">
        <v>0.03</v>
      </c>
      <c r="K20" s="97">
        <v>0.02</v>
      </c>
      <c r="L20" s="97">
        <v>0.01</v>
      </c>
      <c r="N20" s="91"/>
    </row>
    <row r="21" spans="2:14" x14ac:dyDescent="0.2">
      <c r="N21" s="91"/>
    </row>
    <row r="22" spans="2:14" x14ac:dyDescent="0.2">
      <c r="C22" s="258" t="s">
        <v>198</v>
      </c>
      <c r="D22" s="258"/>
      <c r="E22" s="258"/>
      <c r="F22" s="258"/>
      <c r="G22" s="258"/>
      <c r="H22" s="258"/>
      <c r="I22" s="258"/>
      <c r="J22" s="258"/>
      <c r="K22" s="258"/>
      <c r="L22" s="258"/>
      <c r="N22" s="91"/>
    </row>
    <row r="23" spans="2:14" x14ac:dyDescent="0.2">
      <c r="C23" s="12">
        <f>C5</f>
        <v>2022</v>
      </c>
      <c r="D23" s="12">
        <f t="shared" ref="D23:L23" si="7">D5</f>
        <v>2023</v>
      </c>
      <c r="E23" s="12">
        <f t="shared" si="7"/>
        <v>2024</v>
      </c>
      <c r="F23" s="12">
        <f t="shared" si="7"/>
        <v>2025</v>
      </c>
      <c r="G23" s="12">
        <f t="shared" si="7"/>
        <v>2026</v>
      </c>
      <c r="H23" s="12">
        <f t="shared" si="7"/>
        <v>2027</v>
      </c>
      <c r="I23" s="12">
        <f t="shared" si="7"/>
        <v>2028</v>
      </c>
      <c r="J23" s="12">
        <f t="shared" si="7"/>
        <v>2029</v>
      </c>
      <c r="K23" s="12">
        <f t="shared" si="7"/>
        <v>2030</v>
      </c>
      <c r="L23" s="12">
        <f t="shared" si="7"/>
        <v>2031</v>
      </c>
      <c r="N23" s="91"/>
    </row>
    <row r="24" spans="2:14" x14ac:dyDescent="0.2">
      <c r="B24" s="1" t="s">
        <v>1</v>
      </c>
      <c r="C24" s="145">
        <f>Statement!M114</f>
        <v>69.09</v>
      </c>
      <c r="D24" s="145">
        <f>Statement!N114</f>
        <v>61.87</v>
      </c>
      <c r="E24" s="145">
        <f>Statement!O114</f>
        <v>103.27</v>
      </c>
      <c r="F24" s="145">
        <f>Statement!P114</f>
        <v>141.44</v>
      </c>
      <c r="G24" s="146">
        <f>Statement!Q114</f>
        <v>820.16</v>
      </c>
      <c r="H24" s="137"/>
      <c r="I24" s="137"/>
      <c r="J24" s="137"/>
      <c r="K24" s="137"/>
      <c r="L24" s="137"/>
      <c r="N24" s="91"/>
    </row>
    <row r="25" spans="2:14" x14ac:dyDescent="0.2">
      <c r="N25" s="91"/>
    </row>
    <row r="26" spans="2:14" x14ac:dyDescent="0.2">
      <c r="N26" s="91"/>
    </row>
    <row r="27" spans="2:14" x14ac:dyDescent="0.2">
      <c r="C27" s="258" t="s">
        <v>199</v>
      </c>
      <c r="D27" s="258"/>
      <c r="E27" s="258"/>
      <c r="F27" s="258"/>
      <c r="G27" s="258"/>
      <c r="H27" s="258"/>
      <c r="I27" s="258"/>
      <c r="J27" s="258"/>
      <c r="K27" s="258"/>
      <c r="L27" s="258"/>
      <c r="N27" s="91"/>
    </row>
    <row r="28" spans="2:14" x14ac:dyDescent="0.2">
      <c r="C28" s="12">
        <f>C5</f>
        <v>2022</v>
      </c>
      <c r="D28" s="12">
        <f t="shared" ref="D28:L28" si="8">D5</f>
        <v>2023</v>
      </c>
      <c r="E28" s="12">
        <f t="shared" si="8"/>
        <v>2024</v>
      </c>
      <c r="F28" s="12">
        <f t="shared" si="8"/>
        <v>2025</v>
      </c>
      <c r="G28" s="12">
        <f t="shared" si="8"/>
        <v>2026</v>
      </c>
      <c r="H28" s="12">
        <f t="shared" si="8"/>
        <v>2027</v>
      </c>
      <c r="I28" s="12">
        <f t="shared" si="8"/>
        <v>2028</v>
      </c>
      <c r="J28" s="12">
        <f t="shared" si="8"/>
        <v>2029</v>
      </c>
      <c r="K28" s="12">
        <f t="shared" si="8"/>
        <v>2030</v>
      </c>
      <c r="L28" s="12">
        <f t="shared" si="8"/>
        <v>2031</v>
      </c>
      <c r="N28" s="91"/>
    </row>
    <row r="29" spans="2:14" x14ac:dyDescent="0.2">
      <c r="B29" s="16" t="s">
        <v>200</v>
      </c>
      <c r="C29" s="147">
        <f>C24/(C6/C19)</f>
        <v>1.3271726267043993</v>
      </c>
      <c r="D29" s="147">
        <f t="shared" ref="D29:G29" si="9">D24/(D6/D19)</f>
        <v>1.7344379739978331</v>
      </c>
      <c r="E29" s="147">
        <f t="shared" si="9"/>
        <v>3.3419691650129746</v>
      </c>
      <c r="F29" s="147">
        <f t="shared" si="9"/>
        <v>3.3739122787732216</v>
      </c>
      <c r="G29" s="148">
        <f t="shared" si="9"/>
        <v>15.401118491184912</v>
      </c>
      <c r="H29" s="137"/>
      <c r="I29" s="137"/>
      <c r="J29" s="137"/>
      <c r="K29" s="137"/>
      <c r="L29" s="137"/>
      <c r="N29" s="91"/>
    </row>
    <row r="30" spans="2:14" x14ac:dyDescent="0.2">
      <c r="B30" s="1" t="s">
        <v>201</v>
      </c>
      <c r="C30" s="141">
        <f>C24*C19</f>
        <v>15476.16</v>
      </c>
      <c r="D30" s="141">
        <f t="shared" ref="D30:G30" si="10">D24*D19</f>
        <v>12807.09</v>
      </c>
      <c r="E30" s="141">
        <f t="shared" si="10"/>
        <v>21893.239999999998</v>
      </c>
      <c r="F30" s="141">
        <f t="shared" si="10"/>
        <v>30692.48</v>
      </c>
      <c r="G30" s="149">
        <f t="shared" si="10"/>
        <v>187816.63999999998</v>
      </c>
      <c r="H30" s="137"/>
      <c r="I30" s="137"/>
      <c r="J30" s="137"/>
      <c r="K30" s="137"/>
      <c r="L30" s="137"/>
      <c r="N30" s="91"/>
    </row>
    <row r="31" spans="2:14" x14ac:dyDescent="0.2">
      <c r="B31" s="1" t="s">
        <v>168</v>
      </c>
      <c r="C31" s="88">
        <f>Statement!M106</f>
        <v>5646</v>
      </c>
      <c r="D31" s="150">
        <f>Statement!N106</f>
        <v>5451</v>
      </c>
      <c r="E31" s="150">
        <f>Statement!O106</f>
        <v>5674</v>
      </c>
      <c r="F31" s="150">
        <f>Statement!P106</f>
        <v>4995</v>
      </c>
      <c r="G31" s="151">
        <f>Statement!Q106</f>
        <v>3565</v>
      </c>
      <c r="H31" s="137"/>
      <c r="I31" s="137"/>
      <c r="J31" s="137"/>
      <c r="K31" s="137"/>
      <c r="L31" s="137"/>
      <c r="N31" s="91"/>
    </row>
    <row r="32" spans="2:14" x14ac:dyDescent="0.2">
      <c r="B32" s="1" t="s">
        <v>177</v>
      </c>
      <c r="C32" s="150">
        <f>Statement!M105</f>
        <v>615</v>
      </c>
      <c r="D32" s="150">
        <f>Statement!N105</f>
        <v>786</v>
      </c>
      <c r="E32" s="150">
        <f>Statement!O105</f>
        <v>1358</v>
      </c>
      <c r="F32" s="150">
        <f>Statement!P105</f>
        <v>891</v>
      </c>
      <c r="G32" s="151">
        <f>Statement!Q105</f>
        <v>1704</v>
      </c>
      <c r="H32" s="137"/>
      <c r="I32" s="137"/>
      <c r="J32" s="137"/>
      <c r="K32" s="137"/>
      <c r="L32" s="137"/>
      <c r="N32" s="91"/>
    </row>
    <row r="33" spans="2:14" x14ac:dyDescent="0.2">
      <c r="B33" s="1" t="s">
        <v>202</v>
      </c>
      <c r="C33" s="141">
        <f>C30+C31-C32</f>
        <v>20507.16</v>
      </c>
      <c r="D33" s="141">
        <f t="shared" ref="D33:G33" si="11">D30+D31-D32</f>
        <v>17472.09</v>
      </c>
      <c r="E33" s="141">
        <f t="shared" si="11"/>
        <v>26209.239999999998</v>
      </c>
      <c r="F33" s="141">
        <f t="shared" si="11"/>
        <v>34796.479999999996</v>
      </c>
      <c r="G33" s="149">
        <f t="shared" si="11"/>
        <v>189677.63999999998</v>
      </c>
      <c r="H33" s="137"/>
      <c r="I33" s="137"/>
      <c r="J33" s="137"/>
      <c r="K33" s="137"/>
      <c r="L33" s="137"/>
      <c r="N33" s="91"/>
    </row>
    <row r="34" spans="2:14" x14ac:dyDescent="0.2">
      <c r="B34" s="16" t="s">
        <v>203</v>
      </c>
      <c r="C34" s="147">
        <f>C33/C7</f>
        <v>10.489595907928388</v>
      </c>
      <c r="D34" s="147">
        <f t="shared" ref="D34:G34" si="12">D33/D7</f>
        <v>-51.087982456140352</v>
      </c>
      <c r="E34" s="147">
        <f t="shared" si="12"/>
        <v>57.985044247787606</v>
      </c>
      <c r="F34" s="147">
        <f t="shared" si="12"/>
        <v>18.410835978835976</v>
      </c>
      <c r="G34" s="148">
        <f t="shared" si="12"/>
        <v>46.330639960918411</v>
      </c>
      <c r="H34" s="137"/>
      <c r="I34" s="137"/>
      <c r="J34" s="137"/>
      <c r="K34" s="137"/>
      <c r="L34" s="137"/>
      <c r="N34" s="91"/>
    </row>
    <row r="35" spans="2:14" x14ac:dyDescent="0.2">
      <c r="B35" s="16" t="s">
        <v>320</v>
      </c>
      <c r="C35" s="147">
        <f>C33/C8</f>
        <v>15.223546615684999</v>
      </c>
      <c r="D35" s="147">
        <f t="shared" ref="D35:G35" si="13">D33/D8</f>
        <v>17.180029498525073</v>
      </c>
      <c r="E35" s="147">
        <f t="shared" si="13"/>
        <v>35.597337931876446</v>
      </c>
      <c r="F35" s="147">
        <f t="shared" si="13"/>
        <v>40.648367250033395</v>
      </c>
      <c r="G35" s="148">
        <f t="shared" si="13"/>
        <v>61.57164403941934</v>
      </c>
      <c r="H35" s="137"/>
      <c r="I35" s="137"/>
      <c r="J35" s="137"/>
      <c r="K35" s="137"/>
      <c r="L35" s="137"/>
      <c r="N35" s="91"/>
    </row>
    <row r="36" spans="2:14" x14ac:dyDescent="0.2">
      <c r="B36" s="16" t="s">
        <v>427</v>
      </c>
      <c r="C36" s="147">
        <f>C33/C6</f>
        <v>1.7586107537947002</v>
      </c>
      <c r="D36" s="147">
        <f t="shared" ref="D36:G36" si="14">D33/D6</f>
        <v>2.3662093716143011</v>
      </c>
      <c r="E36" s="147">
        <f t="shared" si="14"/>
        <v>4.0007998778812395</v>
      </c>
      <c r="F36" s="147">
        <f t="shared" si="14"/>
        <v>3.825050016488952</v>
      </c>
      <c r="G36" s="148">
        <f t="shared" si="14"/>
        <v>15.553722017220171</v>
      </c>
      <c r="H36" s="137"/>
      <c r="I36" s="137"/>
      <c r="J36" s="137"/>
      <c r="K36" s="137"/>
      <c r="L36" s="137"/>
      <c r="N36" s="91"/>
    </row>
    <row r="37" spans="2:14" x14ac:dyDescent="0.2">
      <c r="N37" s="91"/>
    </row>
    <row r="38" spans="2:14" x14ac:dyDescent="0.2">
      <c r="N38" s="91"/>
    </row>
    <row r="39" spans="2:14" x14ac:dyDescent="0.2">
      <c r="B39" s="249" t="s">
        <v>204</v>
      </c>
      <c r="C39" s="249"/>
      <c r="N39" s="91"/>
    </row>
    <row r="40" spans="2:14" x14ac:dyDescent="0.2">
      <c r="B40" s="1" t="s">
        <v>205</v>
      </c>
      <c r="C40" s="64">
        <f>L7</f>
        <v>4408.7788819651487</v>
      </c>
    </row>
    <row r="41" spans="2:14" x14ac:dyDescent="0.2">
      <c r="B41" s="1" t="s">
        <v>164</v>
      </c>
      <c r="C41" s="135">
        <f ca="1">IF(Overview!C28&gt;0,Overview!C28,WACC!C20)</f>
        <v>0.14432519702247792</v>
      </c>
    </row>
    <row r="42" spans="2:14" x14ac:dyDescent="0.2">
      <c r="B42" s="39" t="s">
        <v>206</v>
      </c>
      <c r="C42" s="105">
        <v>16</v>
      </c>
    </row>
    <row r="43" spans="2:14" x14ac:dyDescent="0.2">
      <c r="B43" s="1" t="s">
        <v>423</v>
      </c>
      <c r="C43" s="24">
        <f>(C40*C42)</f>
        <v>70540.462111442379</v>
      </c>
    </row>
    <row r="44" spans="2:14" x14ac:dyDescent="0.2">
      <c r="B44" s="1" t="s">
        <v>424</v>
      </c>
      <c r="C44" s="24">
        <f ca="1">C43/(1+C41)^5</f>
        <v>35949.346190648728</v>
      </c>
    </row>
    <row r="45" spans="2:14" x14ac:dyDescent="0.2">
      <c r="B45" s="16" t="s">
        <v>425</v>
      </c>
      <c r="C45" s="108">
        <f ca="1">SUM(H9:K9)+C44</f>
        <v>52227.696633740561</v>
      </c>
    </row>
    <row r="46" spans="2:14" x14ac:dyDescent="0.2">
      <c r="B46" s="1" t="s">
        <v>188</v>
      </c>
      <c r="C46" s="88">
        <f>Statement!AC105</f>
        <v>1704</v>
      </c>
    </row>
    <row r="47" spans="2:14" x14ac:dyDescent="0.2">
      <c r="B47" s="1" t="s">
        <v>189</v>
      </c>
      <c r="C47" s="88">
        <f>Statement!AC106</f>
        <v>3565</v>
      </c>
    </row>
    <row r="48" spans="2:14" x14ac:dyDescent="0.2">
      <c r="B48" s="16" t="s">
        <v>190</v>
      </c>
      <c r="C48" s="108">
        <f ca="1">C45+C46-C47</f>
        <v>50366.696633740561</v>
      </c>
    </row>
    <row r="49" spans="2:3" x14ac:dyDescent="0.2">
      <c r="B49" s="1" t="s">
        <v>68</v>
      </c>
      <c r="C49" s="88">
        <f>Statement!AC77</f>
        <v>237</v>
      </c>
    </row>
    <row r="50" spans="2:3" x14ac:dyDescent="0.2">
      <c r="B50" s="240" t="s">
        <v>208</v>
      </c>
      <c r="C50" s="241">
        <f ca="1">C48/C49</f>
        <v>212.51770731536101</v>
      </c>
    </row>
    <row r="52" spans="2:3" x14ac:dyDescent="0.2">
      <c r="B52" s="249" t="s">
        <v>209</v>
      </c>
      <c r="C52" s="249"/>
    </row>
    <row r="53" spans="2:3" x14ac:dyDescent="0.2">
      <c r="B53" s="1" t="s">
        <v>210</v>
      </c>
      <c r="C53" s="64">
        <f>L6</f>
        <v>18369.912008188126</v>
      </c>
    </row>
    <row r="54" spans="2:3" x14ac:dyDescent="0.2">
      <c r="B54" s="1" t="s">
        <v>343</v>
      </c>
      <c r="C54" s="135">
        <f ca="1">IF(Overview!C29&gt;0,Overview!C29,WACC!C19)</f>
        <v>0.14647949999999998</v>
      </c>
    </row>
    <row r="55" spans="2:3" x14ac:dyDescent="0.2">
      <c r="B55" s="39" t="s">
        <v>211</v>
      </c>
      <c r="C55" s="105">
        <v>4</v>
      </c>
    </row>
    <row r="56" spans="2:3" x14ac:dyDescent="0.2">
      <c r="B56" s="1" t="s">
        <v>207</v>
      </c>
      <c r="C56" s="24">
        <f>L19</f>
        <v>252.81020226960001</v>
      </c>
    </row>
    <row r="57" spans="2:3" x14ac:dyDescent="0.2">
      <c r="B57" s="1" t="s">
        <v>191</v>
      </c>
      <c r="C57" s="24">
        <f>(C53*C55)/C56</f>
        <v>290.65143484357043</v>
      </c>
    </row>
    <row r="58" spans="2:3" x14ac:dyDescent="0.2">
      <c r="B58" s="240" t="s">
        <v>208</v>
      </c>
      <c r="C58" s="241">
        <f ca="1">C57/(1+C54)^5</f>
        <v>146.73746204659241</v>
      </c>
    </row>
    <row r="60" spans="2:3" x14ac:dyDescent="0.2">
      <c r="B60" s="249" t="s">
        <v>321</v>
      </c>
      <c r="C60" s="249"/>
    </row>
    <row r="61" spans="2:3" x14ac:dyDescent="0.2">
      <c r="B61" s="1" t="s">
        <v>426</v>
      </c>
      <c r="C61" s="64">
        <f>L8</f>
        <v>3879.6695011910815</v>
      </c>
    </row>
    <row r="62" spans="2:3" x14ac:dyDescent="0.2">
      <c r="B62" s="1" t="s">
        <v>164</v>
      </c>
      <c r="C62" s="135">
        <f ca="1">IF(Overview!C28&gt;0,Overview!C28,WACC!C20)</f>
        <v>0.14432519702247792</v>
      </c>
    </row>
    <row r="63" spans="2:3" x14ac:dyDescent="0.2">
      <c r="B63" s="39" t="s">
        <v>344</v>
      </c>
      <c r="C63" s="105">
        <v>20</v>
      </c>
    </row>
    <row r="64" spans="2:3" x14ac:dyDescent="0.2">
      <c r="B64" s="1" t="s">
        <v>423</v>
      </c>
      <c r="C64" s="24">
        <f>(C61*C63)</f>
        <v>77593.39002382163</v>
      </c>
    </row>
    <row r="65" spans="2:3" x14ac:dyDescent="0.2">
      <c r="B65" s="1" t="s">
        <v>424</v>
      </c>
      <c r="C65" s="24">
        <f ca="1">C64/(1+C62)^5</f>
        <v>39543.710894118449</v>
      </c>
    </row>
    <row r="66" spans="2:3" x14ac:dyDescent="0.2">
      <c r="B66" s="16" t="s">
        <v>425</v>
      </c>
      <c r="C66" s="108">
        <f ca="1">SUM(H9:K9)+C65</f>
        <v>55822.061337210282</v>
      </c>
    </row>
    <row r="67" spans="2:3" x14ac:dyDescent="0.2">
      <c r="B67" s="1" t="s">
        <v>188</v>
      </c>
      <c r="C67" s="88">
        <f>Statement!AC105</f>
        <v>1704</v>
      </c>
    </row>
    <row r="68" spans="2:3" x14ac:dyDescent="0.2">
      <c r="B68" s="1" t="s">
        <v>189</v>
      </c>
      <c r="C68" s="88">
        <f>Statement!AC106</f>
        <v>3565</v>
      </c>
    </row>
    <row r="69" spans="2:3" x14ac:dyDescent="0.2">
      <c r="B69" s="16" t="s">
        <v>190</v>
      </c>
      <c r="C69" s="108">
        <f ca="1">C66+C67-C68</f>
        <v>53961.061337210282</v>
      </c>
    </row>
    <row r="70" spans="2:3" x14ac:dyDescent="0.2">
      <c r="B70" s="1" t="s">
        <v>68</v>
      </c>
      <c r="C70" s="88">
        <f>Statement!AC77</f>
        <v>237</v>
      </c>
    </row>
    <row r="71" spans="2:3" x14ac:dyDescent="0.2">
      <c r="B71" s="240" t="s">
        <v>208</v>
      </c>
      <c r="C71" s="241">
        <f ca="1">C69/C70</f>
        <v>227.6838031105919</v>
      </c>
    </row>
    <row r="73" spans="2:3" x14ac:dyDescent="0.2">
      <c r="B73" s="249" t="s">
        <v>428</v>
      </c>
      <c r="C73" s="249"/>
    </row>
    <row r="74" spans="2:3" x14ac:dyDescent="0.2">
      <c r="B74" s="1" t="s">
        <v>429</v>
      </c>
      <c r="C74" s="64">
        <f>L6</f>
        <v>18369.912008188126</v>
      </c>
    </row>
    <row r="75" spans="2:3" x14ac:dyDescent="0.2">
      <c r="B75" s="1" t="s">
        <v>164</v>
      </c>
      <c r="C75" s="135">
        <f ca="1">IF(Overview!C28&gt;0,Overview!C28,WACC!C20)</f>
        <v>0.14432519702247792</v>
      </c>
    </row>
    <row r="76" spans="2:3" x14ac:dyDescent="0.2">
      <c r="B76" s="39" t="s">
        <v>430</v>
      </c>
      <c r="C76" s="105">
        <v>4</v>
      </c>
    </row>
    <row r="77" spans="2:3" x14ac:dyDescent="0.2">
      <c r="B77" s="1" t="s">
        <v>423</v>
      </c>
      <c r="C77" s="24">
        <f>(C74*C76)</f>
        <v>73479.648032752506</v>
      </c>
    </row>
    <row r="78" spans="2:3" x14ac:dyDescent="0.2">
      <c r="B78" s="1" t="s">
        <v>424</v>
      </c>
      <c r="C78" s="24">
        <f ca="1">C77/(1+C75)^5</f>
        <v>37447.235615259109</v>
      </c>
    </row>
    <row r="79" spans="2:3" x14ac:dyDescent="0.2">
      <c r="B79" s="16" t="s">
        <v>425</v>
      </c>
      <c r="C79" s="108">
        <f ca="1">SUM(H9:K9)+C78</f>
        <v>53725.586058350949</v>
      </c>
    </row>
    <row r="80" spans="2:3" x14ac:dyDescent="0.2">
      <c r="B80" s="1" t="s">
        <v>188</v>
      </c>
      <c r="C80" s="88">
        <f>Statement!AC105</f>
        <v>1704</v>
      </c>
    </row>
    <row r="81" spans="2:3" x14ac:dyDescent="0.2">
      <c r="B81" s="1" t="s">
        <v>189</v>
      </c>
      <c r="C81" s="88">
        <f>Statement!AC106</f>
        <v>3565</v>
      </c>
    </row>
    <row r="82" spans="2:3" x14ac:dyDescent="0.2">
      <c r="B82" s="16" t="s">
        <v>190</v>
      </c>
      <c r="C82" s="108">
        <f ca="1">C79+C80-C81</f>
        <v>51864.586058350949</v>
      </c>
    </row>
    <row r="83" spans="2:3" x14ac:dyDescent="0.2">
      <c r="B83" s="1" t="s">
        <v>68</v>
      </c>
      <c r="C83" s="88">
        <f>Statement!AC77</f>
        <v>237</v>
      </c>
    </row>
    <row r="84" spans="2:3" x14ac:dyDescent="0.2">
      <c r="B84" s="240" t="s">
        <v>208</v>
      </c>
      <c r="C84" s="241">
        <f ca="1">C82/C83</f>
        <v>218.83791585802089</v>
      </c>
    </row>
  </sheetData>
  <mergeCells count="11">
    <mergeCell ref="B73:C73"/>
    <mergeCell ref="C27:L27"/>
    <mergeCell ref="B39:C39"/>
    <mergeCell ref="B52:C52"/>
    <mergeCell ref="B60:C60"/>
    <mergeCell ref="C22:L22"/>
    <mergeCell ref="C2:G2"/>
    <mergeCell ref="H2:L2"/>
    <mergeCell ref="C4:L4"/>
    <mergeCell ref="C11:L11"/>
    <mergeCell ref="C17:L17"/>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sheetPr codeName="Sheet19"/>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212</v>
      </c>
    </row>
    <row r="2" spans="1:14" x14ac:dyDescent="0.2">
      <c r="N2" s="91"/>
    </row>
    <row r="3" spans="1:14" x14ac:dyDescent="0.2">
      <c r="N3" s="91"/>
    </row>
    <row r="4" spans="1:14" x14ac:dyDescent="0.2">
      <c r="B4" s="249" t="s">
        <v>213</v>
      </c>
      <c r="C4" s="249"/>
      <c r="N4" s="91"/>
    </row>
    <row r="5" spans="1:14" x14ac:dyDescent="0.2">
      <c r="B5" s="1" t="s">
        <v>214</v>
      </c>
      <c r="C5" s="133">
        <f ca="1">DCF!C26</f>
        <v>134.6512323282559</v>
      </c>
    </row>
    <row r="6" spans="1:14" x14ac:dyDescent="0.2">
      <c r="B6" s="1" t="s">
        <v>215</v>
      </c>
      <c r="C6" s="133">
        <f ca="1">Multiples!C50</f>
        <v>212.51770731536101</v>
      </c>
    </row>
    <row r="7" spans="1:14" x14ac:dyDescent="0.2">
      <c r="B7" s="1" t="s">
        <v>216</v>
      </c>
      <c r="C7" s="133">
        <f ca="1">Multiples!C58</f>
        <v>146.73746204659241</v>
      </c>
    </row>
    <row r="8" spans="1:14" x14ac:dyDescent="0.2">
      <c r="B8" s="1" t="s">
        <v>322</v>
      </c>
      <c r="C8" s="133">
        <f ca="1">Multiples!C71</f>
        <v>227.6838031105919</v>
      </c>
    </row>
    <row r="9" spans="1:14" x14ac:dyDescent="0.2">
      <c r="B9" s="1" t="s">
        <v>427</v>
      </c>
      <c r="C9" s="133">
        <f ca="1">Multiples!C84</f>
        <v>218.83791585802089</v>
      </c>
    </row>
    <row r="10" spans="1:14" x14ac:dyDescent="0.2">
      <c r="B10" s="240" t="s">
        <v>217</v>
      </c>
      <c r="C10" s="241">
        <f ca="1">AVERAGE(C5:C9)</f>
        <v>188.08562413176443</v>
      </c>
    </row>
    <row r="11" spans="1:14" x14ac:dyDescent="0.2">
      <c r="B11" s="1" t="s">
        <v>218</v>
      </c>
      <c r="C11" s="133">
        <f ca="1">Overview!C5</f>
        <v>676.77</v>
      </c>
    </row>
    <row r="12" spans="1:14" x14ac:dyDescent="0.2">
      <c r="B12" s="1" t="s">
        <v>219</v>
      </c>
      <c r="C12" s="152">
        <f ca="1">(C10-C11)/C11</f>
        <v>-0.72208339002650168</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A1-F7CC-5043-8E79-210959816CC1}">
  <sheetPr codeName="Sheet20"/>
  <dimension ref="A1:N26"/>
  <sheetViews>
    <sheetView topLeftCell="A20" zoomScale="192" zoomScaleNormal="100" workbookViewId="0">
      <selection activeCell="B28" sqref="B28"/>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363</v>
      </c>
    </row>
    <row r="2" spans="1:14" x14ac:dyDescent="0.2">
      <c r="A2" s="4"/>
      <c r="C2" s="249" t="s">
        <v>112</v>
      </c>
      <c r="D2" s="249"/>
      <c r="E2" s="249"/>
      <c r="F2" s="249"/>
      <c r="G2" s="261"/>
      <c r="H2" s="262" t="s">
        <v>113</v>
      </c>
      <c r="I2" s="249"/>
      <c r="J2" s="249"/>
      <c r="K2" s="249"/>
      <c r="L2" s="249"/>
    </row>
    <row r="3" spans="1:14" ht="10" customHeight="1" x14ac:dyDescent="0.2"/>
    <row r="4" spans="1:14" ht="16" customHeight="1" x14ac:dyDescent="0.2">
      <c r="A4" s="86"/>
      <c r="B4" s="60"/>
      <c r="C4" s="258" t="s">
        <v>193</v>
      </c>
      <c r="D4" s="258"/>
      <c r="E4" s="258"/>
      <c r="F4" s="258"/>
      <c r="G4" s="258"/>
      <c r="H4" s="258"/>
      <c r="I4" s="258"/>
      <c r="J4" s="258"/>
      <c r="K4" s="258"/>
      <c r="L4" s="258"/>
    </row>
    <row r="5" spans="1:14" x14ac:dyDescent="0.2">
      <c r="B5" s="16" t="s">
        <v>116</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242</v>
      </c>
      <c r="C6" s="226">
        <f>Statement!M25</f>
        <v>7.36</v>
      </c>
      <c r="D6" s="226">
        <f>Statement!N25</f>
        <v>-2.56</v>
      </c>
      <c r="E6" s="226">
        <f>Statement!O25</f>
        <v>1.58</v>
      </c>
      <c r="F6" s="226">
        <f>Statement!P25</f>
        <v>6.77</v>
      </c>
      <c r="G6" s="227">
        <f>Statement!Q25</f>
        <v>13.9</v>
      </c>
      <c r="H6" s="137"/>
      <c r="I6" s="137"/>
      <c r="J6" s="137"/>
      <c r="K6" s="137"/>
      <c r="L6" s="137"/>
      <c r="N6" s="91"/>
    </row>
    <row r="7" spans="1:14" x14ac:dyDescent="0.2">
      <c r="B7" s="16" t="s">
        <v>364</v>
      </c>
      <c r="C7" s="226">
        <f>Statement!M81</f>
        <v>2.77</v>
      </c>
      <c r="D7" s="226">
        <f>Statement!N81</f>
        <v>2.8</v>
      </c>
      <c r="E7" s="226">
        <f>Statement!O81</f>
        <v>2.8</v>
      </c>
      <c r="F7" s="226">
        <f>Statement!P81</f>
        <v>2.86</v>
      </c>
      <c r="G7" s="227">
        <f>Statement!Q81</f>
        <v>2.92</v>
      </c>
      <c r="H7" s="137"/>
      <c r="I7" s="137"/>
      <c r="J7" s="137"/>
      <c r="K7" s="137"/>
      <c r="L7" s="137"/>
      <c r="N7" s="91"/>
    </row>
    <row r="8" spans="1:14" x14ac:dyDescent="0.2">
      <c r="N8" s="91"/>
    </row>
    <row r="9" spans="1:14" x14ac:dyDescent="0.2">
      <c r="C9" s="258" t="s">
        <v>121</v>
      </c>
      <c r="D9" s="258"/>
      <c r="E9" s="258"/>
      <c r="F9" s="258"/>
      <c r="G9" s="258"/>
      <c r="H9" s="258"/>
      <c r="I9" s="258"/>
      <c r="J9" s="258"/>
      <c r="K9" s="258"/>
      <c r="L9" s="258"/>
      <c r="N9" s="91"/>
    </row>
    <row r="10" spans="1:14" x14ac:dyDescent="0.2">
      <c r="B10" s="16" t="s">
        <v>194</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242</v>
      </c>
      <c r="C11" s="137"/>
      <c r="D11" s="95">
        <f>(D6-C6)/C6</f>
        <v>-1.3478260869565217</v>
      </c>
      <c r="E11" s="95">
        <f>(E6-D6)/D6</f>
        <v>-1.6171875000000002</v>
      </c>
      <c r="F11" s="95">
        <f>(F6-E6)/E6</f>
        <v>3.2848101265822782</v>
      </c>
      <c r="G11" s="96">
        <f>(G6-F6)/F6</f>
        <v>1.0531757754800593</v>
      </c>
      <c r="H11" s="137"/>
      <c r="I11" s="137"/>
      <c r="J11" s="137"/>
      <c r="K11" s="137"/>
      <c r="L11" s="137"/>
      <c r="N11" s="91"/>
    </row>
    <row r="12" spans="1:14" x14ac:dyDescent="0.2">
      <c r="B12" s="1" t="s">
        <v>243</v>
      </c>
      <c r="C12" s="137"/>
      <c r="D12" s="95">
        <f>IF(C7=0,
IF(D7=0,0,IF(D7&gt;0,1,-1)),
(D7-C7)/ABS(C7)
)</f>
        <v>1.0830324909747223E-2</v>
      </c>
      <c r="E12" s="95">
        <f>IF(D7=0,
IF(E7=0,0,IF(E7&gt;0,1,-1)),
(E7-D7)/ABS(D7)
)</f>
        <v>0</v>
      </c>
      <c r="F12" s="95">
        <f>IF(E7=0,
IF(F7=0,0,IF(F7&gt;0,1,-1)),
(F7-E7)/ABS(E7)
)</f>
        <v>2.142857142857145E-2</v>
      </c>
      <c r="G12" s="96">
        <f>IF(F7=0,
IF(G7=0,0,IF(G7&gt;0,1,-1)),
(G7-F7)/ABS(F7)
)</f>
        <v>2.0979020979020997E-2</v>
      </c>
      <c r="H12" s="137"/>
      <c r="I12" s="137"/>
      <c r="J12" s="137"/>
      <c r="K12" s="137"/>
      <c r="L12" s="137"/>
      <c r="N12" s="91"/>
    </row>
    <row r="13" spans="1:14" x14ac:dyDescent="0.2">
      <c r="N13" s="91"/>
    </row>
    <row r="14" spans="1:14" x14ac:dyDescent="0.2">
      <c r="C14" s="258" t="s">
        <v>365</v>
      </c>
      <c r="D14" s="258"/>
      <c r="E14" s="258"/>
      <c r="F14" s="258"/>
      <c r="G14" s="258"/>
      <c r="H14" s="258"/>
      <c r="I14" s="258"/>
      <c r="J14" s="258"/>
      <c r="K14" s="258"/>
      <c r="L14" s="258"/>
      <c r="N14" s="91"/>
    </row>
    <row r="15" spans="1:14" x14ac:dyDescent="0.2">
      <c r="B15" s="16" t="s">
        <v>331</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366</v>
      </c>
      <c r="C16" s="95">
        <f>C7/C6</f>
        <v>0.37635869565217389</v>
      </c>
      <c r="D16" s="95">
        <f t="shared" ref="D16:G16" si="2">D7/D6</f>
        <v>-1.09375</v>
      </c>
      <c r="E16" s="95">
        <f t="shared" si="2"/>
        <v>1.7721518987341771</v>
      </c>
      <c r="F16" s="95">
        <f t="shared" si="2"/>
        <v>0.42245199409158052</v>
      </c>
      <c r="G16" s="96">
        <f t="shared" si="2"/>
        <v>0.21007194244604316</v>
      </c>
      <c r="H16" s="137"/>
      <c r="I16" s="137"/>
      <c r="J16" s="137"/>
      <c r="K16" s="137"/>
      <c r="L16" s="137"/>
      <c r="N16" s="91"/>
    </row>
    <row r="17" spans="2:14" x14ac:dyDescent="0.2">
      <c r="N17" s="91"/>
    </row>
    <row r="18" spans="2:14" x14ac:dyDescent="0.2">
      <c r="N18" s="91"/>
    </row>
    <row r="19" spans="2:14" x14ac:dyDescent="0.2">
      <c r="N19" s="91"/>
    </row>
    <row r="20" spans="2:14" x14ac:dyDescent="0.2">
      <c r="B20" s="249" t="s">
        <v>367</v>
      </c>
      <c r="C20" s="249"/>
      <c r="N20" s="91"/>
    </row>
    <row r="21" spans="2:14" x14ac:dyDescent="0.2">
      <c r="B21" s="1" t="s">
        <v>368</v>
      </c>
      <c r="C21" s="228">
        <f>G7</f>
        <v>2.92</v>
      </c>
    </row>
    <row r="22" spans="2:14" x14ac:dyDescent="0.2">
      <c r="B22" s="1" t="s">
        <v>369</v>
      </c>
      <c r="C22" s="229">
        <v>0.03</v>
      </c>
    </row>
    <row r="23" spans="2:14" x14ac:dyDescent="0.2">
      <c r="B23" s="39" t="s">
        <v>370</v>
      </c>
      <c r="C23" s="230">
        <f>C21*(1+C22)</f>
        <v>3.0076000000000001</v>
      </c>
    </row>
    <row r="24" spans="2:14" x14ac:dyDescent="0.2">
      <c r="B24" s="1" t="s">
        <v>343</v>
      </c>
      <c r="C24" s="135">
        <f ca="1">IF(Overview!C29&gt;0,Overview!C29,WACC!C19)</f>
        <v>0.14647949999999998</v>
      </c>
    </row>
    <row r="25" spans="2:14" x14ac:dyDescent="0.2">
      <c r="B25" s="39" t="s">
        <v>371</v>
      </c>
      <c r="C25" s="229">
        <v>0.02</v>
      </c>
    </row>
    <row r="26" spans="2:14" x14ac:dyDescent="0.2">
      <c r="B26" s="240" t="s">
        <v>208</v>
      </c>
      <c r="C26" s="241">
        <f ca="1">C23/(C24-C25)</f>
        <v>23.779347641317369</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sheetPr codeName="Sheet21"/>
  <dimension ref="A1:AB36"/>
  <sheetViews>
    <sheetView topLeftCell="A10" zoomScale="209"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220</v>
      </c>
    </row>
    <row r="2" spans="1:28" s="83" customFormat="1" ht="18" customHeight="1" x14ac:dyDescent="0.2">
      <c r="A2" s="4"/>
      <c r="B2" s="82"/>
    </row>
    <row r="3" spans="1:28" x14ac:dyDescent="0.2">
      <c r="A3" s="4"/>
      <c r="C3" s="249" t="s">
        <v>112</v>
      </c>
      <c r="D3" s="249"/>
      <c r="E3" s="249"/>
      <c r="F3" s="249"/>
      <c r="G3" s="261"/>
      <c r="H3" s="262" t="s">
        <v>113</v>
      </c>
      <c r="I3" s="249"/>
      <c r="J3" s="249"/>
      <c r="K3" s="249"/>
      <c r="L3" s="249"/>
      <c r="P3" s="263"/>
      <c r="Q3" s="263"/>
      <c r="R3" s="263"/>
      <c r="S3" s="263"/>
      <c r="T3" s="263"/>
      <c r="U3" s="263"/>
      <c r="V3" s="263"/>
      <c r="W3" s="263"/>
      <c r="X3" s="263"/>
      <c r="Y3" s="263"/>
      <c r="Z3" s="263"/>
      <c r="AB3" s="109"/>
    </row>
    <row r="4" spans="1:28" ht="10" customHeight="1" x14ac:dyDescent="0.2"/>
    <row r="5" spans="1:28" ht="16" customHeight="1" x14ac:dyDescent="0.2">
      <c r="A5" s="86"/>
      <c r="B5" s="60"/>
      <c r="C5" s="258" t="s">
        <v>179</v>
      </c>
      <c r="D5" s="258"/>
      <c r="E5" s="258"/>
      <c r="F5" s="258"/>
      <c r="G5" s="258"/>
      <c r="H5" s="258"/>
      <c r="I5" s="258"/>
      <c r="J5" s="258"/>
      <c r="K5" s="258"/>
      <c r="L5" s="258"/>
      <c r="P5" s="263"/>
      <c r="Q5" s="263"/>
      <c r="R5" s="263"/>
      <c r="S5" s="263"/>
      <c r="T5" s="263"/>
      <c r="U5" s="263"/>
      <c r="V5" s="263"/>
      <c r="W5" s="263"/>
      <c r="X5" s="263"/>
      <c r="Y5" s="263"/>
      <c r="Z5" s="263"/>
      <c r="AB5" s="110"/>
    </row>
    <row r="6" spans="1:28" x14ac:dyDescent="0.2">
      <c r="B6" s="16" t="s">
        <v>132</v>
      </c>
      <c r="C6" s="12">
        <f>Revenue!C5</f>
        <v>2022</v>
      </c>
      <c r="D6" s="12">
        <f>Revenue!D5</f>
        <v>2023</v>
      </c>
      <c r="E6" s="12">
        <f>Revenue!E5</f>
        <v>2024</v>
      </c>
      <c r="F6" s="12">
        <f>Revenue!F5</f>
        <v>2025</v>
      </c>
      <c r="G6" s="12">
        <f>Revenue!G5</f>
        <v>2026</v>
      </c>
      <c r="H6" s="12">
        <f>Revenue!H5</f>
        <v>2027</v>
      </c>
      <c r="I6" s="12">
        <f>Revenue!I5</f>
        <v>2028</v>
      </c>
      <c r="J6" s="12">
        <f>Revenue!J5</f>
        <v>2029</v>
      </c>
      <c r="K6" s="12">
        <f>Revenue!K5</f>
        <v>2030</v>
      </c>
      <c r="L6" s="12">
        <f>Revenue!L5</f>
        <v>2031</v>
      </c>
      <c r="O6" s="16"/>
      <c r="P6" s="111"/>
      <c r="Q6" s="111"/>
      <c r="R6" s="111"/>
      <c r="S6" s="111"/>
      <c r="T6" s="111"/>
      <c r="U6" s="111"/>
      <c r="V6" s="111"/>
      <c r="W6" s="111"/>
      <c r="X6" s="111"/>
      <c r="Y6" s="111"/>
      <c r="Z6" s="111"/>
      <c r="AB6" s="110"/>
    </row>
    <row r="7" spans="1:28" x14ac:dyDescent="0.2">
      <c r="B7" s="39" t="s">
        <v>261</v>
      </c>
      <c r="C7" s="112">
        <f>'FCF &amp; Other'!C28</f>
        <v>1347.0684931506848</v>
      </c>
      <c r="D7" s="112">
        <f>'FCF &amp; Other'!D28</f>
        <v>1017</v>
      </c>
      <c r="E7" s="112">
        <f>'FCF &amp; Other'!E28</f>
        <v>736.2696629213483</v>
      </c>
      <c r="F7" s="112">
        <f>'FCF &amp; Other'!F28</f>
        <v>856.03635161929924</v>
      </c>
      <c r="G7" s="113">
        <f>'FCF &amp; Other'!G28</f>
        <v>3080.6005420054198</v>
      </c>
      <c r="H7" s="126">
        <f>G7*(1+$C$17)</f>
        <v>4805.736845528455</v>
      </c>
      <c r="I7" s="126">
        <f t="shared" ref="I7:L7" si="0">H7*(1+$C$17)</f>
        <v>7496.9494790243898</v>
      </c>
      <c r="J7" s="126">
        <f t="shared" si="0"/>
        <v>11695.241187278049</v>
      </c>
      <c r="K7" s="126">
        <f t="shared" si="0"/>
        <v>18244.576252153758</v>
      </c>
      <c r="L7" s="126">
        <f t="shared" si="0"/>
        <v>28461.538953359865</v>
      </c>
      <c r="N7" s="91"/>
      <c r="O7" s="16"/>
      <c r="P7" s="92"/>
      <c r="Q7" s="92"/>
      <c r="R7" s="92"/>
      <c r="S7" s="92"/>
      <c r="T7" s="92"/>
      <c r="U7" s="92"/>
      <c r="V7" s="92"/>
      <c r="W7" s="92"/>
      <c r="X7" s="94"/>
      <c r="Y7" s="94"/>
      <c r="Z7" s="94"/>
      <c r="AB7" s="94"/>
    </row>
    <row r="8" spans="1:28" x14ac:dyDescent="0.2">
      <c r="B8" s="39" t="s">
        <v>180</v>
      </c>
      <c r="C8" s="137"/>
      <c r="D8" s="137"/>
      <c r="E8" s="137"/>
      <c r="F8" s="137"/>
      <c r="G8" s="138"/>
      <c r="H8" s="137"/>
      <c r="I8" s="137"/>
      <c r="J8" s="137"/>
      <c r="K8" s="137"/>
      <c r="L8" s="126">
        <f ca="1">L7*(1+C20)/(C21-C20)</f>
        <v>223378.44985180403</v>
      </c>
      <c r="N8" s="91"/>
      <c r="O8" s="16"/>
      <c r="P8" s="92"/>
      <c r="Q8" s="92"/>
      <c r="R8" s="92"/>
      <c r="S8" s="92"/>
      <c r="T8" s="92"/>
      <c r="U8" s="92"/>
      <c r="V8" s="92"/>
      <c r="W8" s="92"/>
      <c r="X8" s="94"/>
      <c r="Y8" s="94"/>
      <c r="Z8" s="94"/>
      <c r="AB8" s="94"/>
    </row>
    <row r="9" spans="1:28" x14ac:dyDescent="0.2">
      <c r="B9" s="1" t="s">
        <v>181</v>
      </c>
      <c r="C9" s="137"/>
      <c r="D9" s="137"/>
      <c r="E9" s="137"/>
      <c r="F9" s="137"/>
      <c r="G9" s="138"/>
      <c r="H9" s="139">
        <v>1</v>
      </c>
      <c r="I9" s="139">
        <v>2</v>
      </c>
      <c r="J9" s="139">
        <v>3</v>
      </c>
      <c r="K9" s="139">
        <v>4</v>
      </c>
      <c r="L9" s="139">
        <v>5</v>
      </c>
      <c r="N9" s="91"/>
    </row>
    <row r="10" spans="1:28" x14ac:dyDescent="0.2">
      <c r="B10" s="1" t="s">
        <v>319</v>
      </c>
      <c r="C10" s="137"/>
      <c r="D10" s="137"/>
      <c r="E10" s="137"/>
      <c r="F10" s="137"/>
      <c r="G10" s="138"/>
      <c r="H10" s="126">
        <f ca="1">H7/(1+$C$21)^H9</f>
        <v>4199.6251223279287</v>
      </c>
      <c r="I10" s="126">
        <f t="shared" ref="I10:L10" ca="1" si="1">I7/(1+$C$21)^I9</f>
        <v>5725.134085903449</v>
      </c>
      <c r="J10" s="126">
        <f t="shared" ca="1" si="1"/>
        <v>7804.782414341913</v>
      </c>
      <c r="K10" s="126">
        <f t="shared" ca="1" si="1"/>
        <v>10639.860590375712</v>
      </c>
      <c r="L10" s="126">
        <f t="shared" ca="1" si="1"/>
        <v>14504.777631546005</v>
      </c>
      <c r="N10" s="91"/>
    </row>
    <row r="11" spans="1:28" x14ac:dyDescent="0.2">
      <c r="B11" s="1" t="s">
        <v>182</v>
      </c>
      <c r="C11" s="137"/>
      <c r="D11" s="137"/>
      <c r="E11" s="137"/>
      <c r="F11" s="137"/>
      <c r="G11" s="138"/>
      <c r="H11" s="137"/>
      <c r="I11" s="137"/>
      <c r="J11" s="137"/>
      <c r="K11" s="137"/>
      <c r="L11" s="126">
        <f ca="1">L8/(1+C21)^L9</f>
        <v>113839.75926563107</v>
      </c>
    </row>
    <row r="13" spans="1:28" ht="17" thickBot="1" x14ac:dyDescent="0.25"/>
    <row r="14" spans="1:28" x14ac:dyDescent="0.2">
      <c r="B14" s="265" t="s">
        <v>221</v>
      </c>
      <c r="C14" s="266"/>
    </row>
    <row r="15" spans="1:28" x14ac:dyDescent="0.2">
      <c r="B15" s="153" t="s">
        <v>222</v>
      </c>
      <c r="C15" s="154">
        <f ca="1">Overview!C5</f>
        <v>676.77</v>
      </c>
    </row>
    <row r="16" spans="1:28" x14ac:dyDescent="0.2">
      <c r="B16" s="153" t="s">
        <v>223</v>
      </c>
      <c r="C16" s="154">
        <f ca="1">C36</f>
        <v>682.17153793007083</v>
      </c>
    </row>
    <row r="17" spans="2:9" ht="17" thickBot="1" x14ac:dyDescent="0.25">
      <c r="B17" s="155" t="s">
        <v>323</v>
      </c>
      <c r="C17" s="156">
        <v>0.56000000000000005</v>
      </c>
      <c r="E17" s="264" t="s">
        <v>224</v>
      </c>
      <c r="F17" s="264"/>
      <c r="G17" s="264"/>
      <c r="H17" s="264"/>
      <c r="I17" s="264"/>
    </row>
    <row r="18" spans="2:9" ht="17" thickBot="1" x14ac:dyDescent="0.25"/>
    <row r="19" spans="2:9" x14ac:dyDescent="0.2">
      <c r="B19" s="265" t="s">
        <v>183</v>
      </c>
      <c r="C19" s="266"/>
    </row>
    <row r="20" spans="2:9" x14ac:dyDescent="0.2">
      <c r="B20" s="157" t="s">
        <v>184</v>
      </c>
      <c r="C20" s="158">
        <v>1.4999999999999999E-2</v>
      </c>
    </row>
    <row r="21" spans="2:9" x14ac:dyDescent="0.2">
      <c r="B21" s="157" t="s">
        <v>164</v>
      </c>
      <c r="C21" s="218">
        <f ca="1">IF(Overview!C28&gt;0,Overview!C28,WACC!C20)</f>
        <v>0.14432519702247792</v>
      </c>
    </row>
    <row r="22" spans="2:9" x14ac:dyDescent="0.2">
      <c r="B22" s="157" t="s">
        <v>68</v>
      </c>
      <c r="C22" s="219">
        <f>Statement!AC74</f>
        <v>227</v>
      </c>
    </row>
    <row r="23" spans="2:9" x14ac:dyDescent="0.2">
      <c r="B23" s="157" t="s">
        <v>225</v>
      </c>
      <c r="C23" s="159">
        <f ca="1">C15*C22</f>
        <v>153626.79</v>
      </c>
    </row>
    <row r="24" spans="2:9" x14ac:dyDescent="0.2">
      <c r="B24" s="157" t="s">
        <v>177</v>
      </c>
      <c r="C24" s="219">
        <f>Statement!AC105</f>
        <v>1704</v>
      </c>
    </row>
    <row r="25" spans="2:9" x14ac:dyDescent="0.2">
      <c r="B25" s="157" t="s">
        <v>168</v>
      </c>
      <c r="C25" s="219">
        <f>Statement!AC106</f>
        <v>3565</v>
      </c>
    </row>
    <row r="26" spans="2:9" ht="17" thickBot="1" x14ac:dyDescent="0.25">
      <c r="B26" s="155" t="s">
        <v>226</v>
      </c>
      <c r="C26" s="160">
        <f ca="1">C23+C25-C24</f>
        <v>155487.79</v>
      </c>
    </row>
    <row r="27" spans="2:9" ht="17" thickBot="1" x14ac:dyDescent="0.25"/>
    <row r="28" spans="2:9" x14ac:dyDescent="0.2">
      <c r="B28" s="265" t="s">
        <v>185</v>
      </c>
      <c r="C28" s="266"/>
    </row>
    <row r="29" spans="2:9" x14ac:dyDescent="0.2">
      <c r="B29" s="157" t="s">
        <v>186</v>
      </c>
      <c r="C29" s="159">
        <f ca="1">SUM(H10:L10)</f>
        <v>42874.179844495011</v>
      </c>
    </row>
    <row r="30" spans="2:9" x14ac:dyDescent="0.2">
      <c r="B30" s="157" t="s">
        <v>182</v>
      </c>
      <c r="C30" s="159">
        <f ca="1">L11</f>
        <v>113839.75926563107</v>
      </c>
    </row>
    <row r="31" spans="2:9" x14ac:dyDescent="0.2">
      <c r="B31" s="161" t="s">
        <v>187</v>
      </c>
      <c r="C31" s="162">
        <f ca="1">C29+C30</f>
        <v>156713.93911012608</v>
      </c>
    </row>
    <row r="32" spans="2:9" x14ac:dyDescent="0.2">
      <c r="B32" s="157" t="s">
        <v>188</v>
      </c>
      <c r="C32" s="163">
        <f>C24</f>
        <v>1704</v>
      </c>
    </row>
    <row r="33" spans="2:3" x14ac:dyDescent="0.2">
      <c r="B33" s="157" t="s">
        <v>189</v>
      </c>
      <c r="C33" s="163">
        <f>C25</f>
        <v>3565</v>
      </c>
    </row>
    <row r="34" spans="2:3" x14ac:dyDescent="0.2">
      <c r="B34" s="161" t="s">
        <v>190</v>
      </c>
      <c r="C34" s="162">
        <f ca="1">C31+C32-C33</f>
        <v>154852.93911012608</v>
      </c>
    </row>
    <row r="35" spans="2:3" x14ac:dyDescent="0.2">
      <c r="B35" s="157" t="s">
        <v>68</v>
      </c>
      <c r="C35" s="159">
        <f>C22</f>
        <v>227</v>
      </c>
    </row>
    <row r="36" spans="2:3" ht="17" thickBot="1" x14ac:dyDescent="0.25">
      <c r="B36" s="164" t="s">
        <v>191</v>
      </c>
      <c r="C36" s="165">
        <f ca="1">C34/C35</f>
        <v>682.17153793007083</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2026-10-27T16:47:21Z</dcterms:modified>
</cp:coreProperties>
</file>