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020F86A-FA10-8942-B689-E9A1C9EDD4F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<sst xmlns="http://schemas.openxmlformats.org/spreadsheetml/2006/main" count="809" uniqueCount="440">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</sst>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209</v>
    <v>2.1414</v>
    <v>15.955</v>
    <v>2.4145E-2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679.8</v>
    <v>Computers, Phones &amp; Household Electronics</v>
    <v>Stock</v>
    <v>46315.694664108596</v>
    <v>0</v>
    <v>642.41999999999996</v>
    <v>155006864688</v>
    <v>SEAGATE TECHNOLOGY HOLDINGS PUBLIC LIMITED COMPANY</v>
    <v>SEAGATE TECHNOLOGY HOLDINGS PUBLIC LIMITED COMPANY</v>
    <v>657.17</v>
    <v>48.674500000000002</v>
    <v>660.81</v>
    <v>676.76499999999999</v>
    <v>229040900</v>
    <v>STX</v>
    <v>SEAGATE TECHNOLOGY HOLDINGS PUBLIC LIMITED COMPANY (XNAS:STX)</v>
    <v>2232223</v>
    <v>4841084</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286</v>
      </c>
      <c r="F2" s="247"/>
      <c r="H2" s="246" t="s">
        <v>324</v>
      </c>
      <c r="I2" s="247"/>
      <c r="K2" s="132" t="s">
        <v>434</v>
      </c>
    </row>
    <row r="3" spans="2:11" x14ac:dyDescent="0.2">
      <c r="B3" s="181" t="s">
        <v>11</v>
      </c>
      <c r="C3" s="213" t="e" vm="1">
        <v>#VALUE!</v>
      </c>
      <c r="D3" s="2"/>
      <c r="E3" s="181" t="s">
        <v>238</v>
      </c>
      <c r="F3" s="183">
        <f ca="1">Statement!AC151</f>
        <v>160393.30499999999</v>
      </c>
      <c r="H3" s="181" t="str">
        <f>'AVG target price'!B5</f>
        <v>DCF price</v>
      </c>
      <c r="I3" s="207">
        <f ca="1">'AVG target price'!C5</f>
        <v>133.47386617275473</v>
      </c>
      <c r="K3" s="244" t="s">
        <v>435</v>
      </c>
    </row>
    <row r="4" spans="2:11" x14ac:dyDescent="0.2">
      <c r="B4" s="181" t="s">
        <v>0</v>
      </c>
      <c r="C4" s="185" t="str" cm="1">
        <f t="array" aca="1" ref="C4" ca="1">_FV(C3,"Ticker symbol",TRUE)</f>
        <v>STX</v>
      </c>
      <c r="E4" s="182" t="s">
        <v>187</v>
      </c>
      <c r="F4" s="184">
        <f ca="1">Statement!AC152</f>
        <v>162254.30499999999</v>
      </c>
      <c r="H4" s="181" t="str">
        <f>'AVG target price'!B6</f>
        <v>EV/EBIT price</v>
      </c>
      <c r="I4" s="207">
        <f ca="1">'AVG target price'!C6</f>
        <v>211.53468998587189</v>
      </c>
      <c r="K4" s="244" t="s">
        <v>436</v>
      </c>
    </row>
    <row r="5" spans="2:11" x14ac:dyDescent="0.2">
      <c r="B5" s="181" t="s">
        <v>1</v>
      </c>
      <c r="C5" s="204" cm="1">
        <f t="array" aca="1" ref="C5" ca="1">_FV(C3,"Price",TRUE)</f>
        <v>676.76499999999999</v>
      </c>
      <c r="E5" s="181" t="s">
        <v>242</v>
      </c>
      <c r="F5" s="185">
        <f>Statement!AC25</f>
        <v>13.88</v>
      </c>
      <c r="H5" s="181" t="str">
        <f>'AVG target price'!B7</f>
        <v>PS price</v>
      </c>
      <c r="I5" s="207">
        <f ca="1">'AVG target price'!C7</f>
        <v>145.94426947147235</v>
      </c>
      <c r="K5" s="244" t="s">
        <v>437</v>
      </c>
    </row>
    <row r="6" spans="2:11" x14ac:dyDescent="0.2">
      <c r="B6" s="181" t="s">
        <v>2</v>
      </c>
      <c r="C6" s="204" t="e" cm="1" vm="2">
        <f t="array" ref="C6">_FV(C3,"Price (Extended hours)",TRUE)</f>
        <v>#VALUE!</v>
      </c>
      <c r="E6" s="181" t="s">
        <v>236</v>
      </c>
      <c r="F6" s="186">
        <f ca="1">Statement!AC148</f>
        <v>48.758285302593656</v>
      </c>
      <c r="H6" s="181" t="str">
        <f>'AVG target price'!B8</f>
        <v>EV/FCFF price</v>
      </c>
      <c r="I6" s="207">
        <f ca="1">'AVG target price'!C8</f>
        <v>226.62043250032397</v>
      </c>
      <c r="K6" s="245" t="s">
        <v>438</v>
      </c>
    </row>
    <row r="7" spans="2:11" x14ac:dyDescent="0.2">
      <c r="B7" s="181" t="s">
        <v>3</v>
      </c>
      <c r="C7" s="6" cm="1">
        <f t="array" aca="1" ref="C7" ca="1">_FV(C3,"Change")</f>
        <v>15.955</v>
      </c>
      <c r="E7" s="182" t="s">
        <v>200</v>
      </c>
      <c r="F7" s="187">
        <f ca="1">Statement!AC149</f>
        <v>12.69454643296433</v>
      </c>
      <c r="H7" s="181" t="str">
        <f>'AVG target price'!B9</f>
        <v>EV/Sales</v>
      </c>
      <c r="I7" s="207">
        <f ca="1">'AVG target price'!C9</f>
        <v>217.82141268626447</v>
      </c>
    </row>
    <row r="8" spans="2:11" x14ac:dyDescent="0.2">
      <c r="B8" s="181" t="s">
        <v>4</v>
      </c>
      <c r="C8" s="6" t="e" cm="1" vm="3">
        <f t="array" ref="C8">_FV(C3,"Change (extended hours)",TRUE)</f>
        <v>#VALUE!</v>
      </c>
      <c r="E8" s="181" t="s">
        <v>264</v>
      </c>
      <c r="F8" s="188">
        <f ca="1">Statement!AC159</f>
        <v>1.8030677776731393E-2</v>
      </c>
      <c r="H8" s="180" t="str">
        <f>'AVG target price'!B10</f>
        <v>AVG price</v>
      </c>
      <c r="I8" s="208">
        <f ca="1">'AVG target price'!C10</f>
        <v>187.07893416333746</v>
      </c>
    </row>
    <row r="9" spans="2:11" x14ac:dyDescent="0.2">
      <c r="B9" s="181" t="s">
        <v>5</v>
      </c>
      <c r="C9" s="73" cm="1">
        <f t="array" aca="1" ref="C9" ca="1">_FV(C3,"Change (%)",TRUE)</f>
        <v>2.4145E-2</v>
      </c>
      <c r="E9" s="181" t="s">
        <v>287</v>
      </c>
      <c r="F9" s="188">
        <f ca="1">Statement!AC160</f>
        <v>2.050933485035426E-2</v>
      </c>
      <c r="H9" s="180" t="str">
        <f>'AVG target price'!B12</f>
        <v>Upside/Downside</v>
      </c>
      <c r="I9" s="209">
        <f ca="1">'AVG target price'!C12</f>
        <v>-0.72356883975480779</v>
      </c>
    </row>
    <row r="10" spans="2:11" x14ac:dyDescent="0.2">
      <c r="B10" s="181" t="s">
        <v>6</v>
      </c>
      <c r="C10" s="73" t="e" cm="1" vm="4">
        <f t="array" ref="C10">_FV(C3,"Change % (extended hours)",TRUE)</f>
        <v>#VALUE!</v>
      </c>
      <c r="E10" s="181" t="s">
        <v>292</v>
      </c>
      <c r="F10" s="188">
        <f ca="1">Statement!AC162</f>
        <v>1.0973026586115924E-3</v>
      </c>
    </row>
    <row r="11" spans="2:11" x14ac:dyDescent="0.2">
      <c r="B11" s="181" t="s">
        <v>7</v>
      </c>
      <c r="C11" s="205" cm="1">
        <f t="array" aca="1" ref="C11" ca="1">_FV(C3,"52 week high",TRUE)</f>
        <v>1145</v>
      </c>
      <c r="E11" s="182" t="s">
        <v>288</v>
      </c>
      <c r="F11" s="189">
        <f ca="1">Statement!AC161</f>
        <v>4.3146439310543542E-3</v>
      </c>
      <c r="H11" s="180" t="s">
        <v>362</v>
      </c>
      <c r="I11" s="208">
        <f ca="1">DDM!C26</f>
        <v>23.547833984482043</v>
      </c>
    </row>
    <row r="12" spans="2:11" x14ac:dyDescent="0.2">
      <c r="B12" s="181" t="s">
        <v>8</v>
      </c>
      <c r="C12" s="205" cm="1">
        <f t="array" aca="1" ref="C12" ca="1">_FV(C3,"52 week low",TRUE)</f>
        <v>209</v>
      </c>
      <c r="E12" s="181" t="s">
        <v>101</v>
      </c>
      <c r="F12" s="188">
        <f>Statement!AC121</f>
        <v>0.31929402326514245</v>
      </c>
    </row>
    <row r="13" spans="2:11" x14ac:dyDescent="0.2">
      <c r="B13" s="181" t="s">
        <v>9</v>
      </c>
      <c r="C13" s="205" cm="1">
        <f t="array" aca="1" ref="C13" ca="1">_FV(C3,"Beta")</f>
        <v>2.1414</v>
      </c>
      <c r="E13" s="181" t="s">
        <v>103</v>
      </c>
      <c r="F13" s="188">
        <f>Statement!AC123</f>
        <v>1.4693124134748501</v>
      </c>
      <c r="H13" s="180" t="s">
        <v>431</v>
      </c>
      <c r="I13" s="209">
        <f>'Reverse DCF'!C17</f>
        <v>0.61</v>
      </c>
    </row>
    <row r="14" spans="2:11" x14ac:dyDescent="0.2">
      <c r="B14" s="182" t="s">
        <v>10</v>
      </c>
      <c r="C14" s="206" cm="1">
        <f t="array" aca="1" ref="C14" ca="1">_FV(C3,"Volume average",TRUE)</f>
        <v>4841084</v>
      </c>
      <c r="E14" s="182" t="s">
        <v>104</v>
      </c>
      <c r="F14" s="189">
        <f>Statement!AC138</f>
        <v>0.87701105809469215</v>
      </c>
    </row>
    <row r="15" spans="2:11" x14ac:dyDescent="0.2">
      <c r="E15" s="181" t="s">
        <v>289</v>
      </c>
      <c r="F15" s="188">
        <f ca="1">Statement!AC174</f>
        <v>-1.1602728679978257E-2</v>
      </c>
    </row>
    <row r="16" spans="2:11" x14ac:dyDescent="0.2">
      <c r="E16" s="182" t="s">
        <v>294</v>
      </c>
      <c r="F16" s="187">
        <f>Statement!AC173</f>
        <v>-8.1982378854625555</v>
      </c>
      <c r="H16" s="246" t="s">
        <v>432</v>
      </c>
      <c r="I16" s="247"/>
    </row>
    <row r="17" spans="2:9" x14ac:dyDescent="0.2">
      <c r="B17" s="248" t="s">
        <v>89</v>
      </c>
      <c r="C17" s="248"/>
      <c r="E17" s="180" t="s">
        <v>295</v>
      </c>
      <c r="F17" s="190">
        <f>Statement!AC169</f>
        <v>8.4388185654008432E-3</v>
      </c>
      <c r="H17" s="181" t="s">
        <v>164</v>
      </c>
      <c r="I17" s="242">
        <f ca="1">DCF!C15</f>
        <v>0.14554164361796129</v>
      </c>
    </row>
    <row r="18" spans="2:9" x14ac:dyDescent="0.2">
      <c r="B18" s="180" t="s">
        <v>12</v>
      </c>
      <c r="C18" s="69" t="s">
        <v>354</v>
      </c>
      <c r="E18" s="181" t="s">
        <v>296</v>
      </c>
      <c r="F18" s="186">
        <f>Statement!AC142</f>
        <v>36.179012534437547</v>
      </c>
      <c r="H18" s="182" t="s">
        <v>433</v>
      </c>
      <c r="I18" s="243">
        <f ca="1">Multiples!C54</f>
        <v>0.14772299999999999</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5">
        <v>#VALUE!</v>
      </c>
      <c r="F26" s="215" cm="1">
        <f t="array" aca="1" ref="F26" ca="1">_FV(E26,"Price")</f>
        <v>51.36</v>
      </c>
    </row>
    <row r="27" spans="2:9" x14ac:dyDescent="0.2">
      <c r="B27" s="180" t="s">
        <v>171</v>
      </c>
      <c r="C27" s="217">
        <v>0.06</v>
      </c>
      <c r="E27" s="182" t="s">
        <v>338</v>
      </c>
      <c r="F27" s="216">
        <f ca="1">F26/1000</f>
        <v>5.1360000000000003E-2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676.76499999999999</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676.76499999999999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48.758285302593656</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12.69454643296433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70.893241808952467</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160393.30499999999</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162254.30499999999</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13.304986059860598</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39.632219101123596</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55.46103215767635</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52.669699556170023</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1.8030677776731393E-2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2.050933485035426E-2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4.3146439310543542E-3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1.0973026586115924E-3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5.0500860992919875E-3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-1.1602728679978257E-2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9" t="s">
        <v>232</v>
      </c>
      <c r="C4" s="249"/>
      <c r="E4" s="249" t="s">
        <v>239</v>
      </c>
      <c r="F4" s="249"/>
      <c r="G4" s="249"/>
    </row>
    <row r="5" spans="2:7" x14ac:dyDescent="0.2">
      <c r="B5" s="20" t="s">
        <v>1</v>
      </c>
      <c r="C5" s="168">
        <f ca="1">Overview!C5</f>
        <v>676.76499999999999</v>
      </c>
      <c r="E5" s="12"/>
      <c r="F5" s="132" t="s">
        <v>240</v>
      </c>
      <c r="G5" s="132" t="s">
        <v>241</v>
      </c>
    </row>
    <row r="6" spans="2:7" x14ac:dyDescent="0.2">
      <c r="B6" s="20" t="s">
        <v>238</v>
      </c>
      <c r="C6" s="169">
        <f ca="1">Statement!AC151</f>
        <v>160393.30499999999</v>
      </c>
      <c r="E6" s="20" t="s">
        <v>19</v>
      </c>
      <c r="F6" s="174">
        <f>IF(Statement!M5&lt;=0,"N/A",_xlfn.RRI(4,Statement!M5,Statement!Q5))</f>
        <v>1.125691029112641E-2</v>
      </c>
      <c r="G6" s="174" t="str">
        <f>IF(Statement!H5&lt;=0,"N/A",_xlfn.RRI(9,Statement!H5,Statement!Q5))</f>
        <v>N/A</v>
      </c>
    </row>
    <row r="7" spans="2:7" x14ac:dyDescent="0.2">
      <c r="B7" s="20" t="s">
        <v>187</v>
      </c>
      <c r="C7" s="169">
        <f ca="1">Statement!AC152</f>
        <v>162254.30499999999</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48.758285302593656</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12.69454643296433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70.893241808952467</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13.304986059860598</v>
      </c>
    </row>
    <row r="12" spans="2:7" x14ac:dyDescent="0.2">
      <c r="B12" s="20" t="s">
        <v>203</v>
      </c>
      <c r="C12" s="170">
        <f ca="1">Statement!AC154</f>
        <v>39.632219101123596</v>
      </c>
    </row>
    <row r="15" spans="2:7" x14ac:dyDescent="0.2">
      <c r="B15" s="249" t="s">
        <v>76</v>
      </c>
      <c r="C15" s="249"/>
      <c r="E15" s="249" t="s">
        <v>245</v>
      </c>
      <c r="F15" s="249"/>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9" t="s">
        <v>244</v>
      </c>
      <c r="C21" s="249"/>
      <c r="E21" s="249" t="s">
        <v>248</v>
      </c>
      <c r="F21" s="249"/>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9" t="s">
        <v>249</v>
      </c>
      <c r="C29" s="249"/>
      <c r="E29" s="249" t="s">
        <v>255</v>
      </c>
      <c r="F29" s="249"/>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9" t="s">
        <v>267</v>
      </c>
      <c r="C37" s="249"/>
      <c r="E37" s="249" t="s">
        <v>270</v>
      </c>
      <c r="F37" s="249"/>
    </row>
    <row r="38" spans="2:6" x14ac:dyDescent="0.2">
      <c r="B38" s="20" t="s">
        <v>265</v>
      </c>
      <c r="C38" s="171">
        <f ca="1">Statement!AC160</f>
        <v>2.050933485035426E-2</v>
      </c>
      <c r="E38" s="20" t="s">
        <v>269</v>
      </c>
      <c r="F38" s="171">
        <f>Statement!AC166</f>
        <v>0.21922544951590595</v>
      </c>
    </row>
    <row r="39" spans="2:6" x14ac:dyDescent="0.2">
      <c r="B39" s="54" t="s">
        <v>268</v>
      </c>
      <c r="C39" s="211">
        <f ca="1">Statement!AC159</f>
        <v>1.8030677776731393E-2</v>
      </c>
      <c r="E39" s="20" t="s">
        <v>271</v>
      </c>
      <c r="F39" s="171">
        <f>Statement!AC167</f>
        <v>6.0857538035961271E-2</v>
      </c>
    </row>
    <row r="40" spans="2:6" x14ac:dyDescent="0.2">
      <c r="B40" s="20" t="s">
        <v>266</v>
      </c>
      <c r="C40" s="171">
        <f ca="1">Statement!AC161</f>
        <v>4.3146439310543542E-3</v>
      </c>
      <c r="E40" s="20" t="s">
        <v>272</v>
      </c>
      <c r="F40" s="171">
        <f>Statement!AC168</f>
        <v>0.28008298755186722</v>
      </c>
    </row>
    <row r="41" spans="2:6" x14ac:dyDescent="0.2">
      <c r="B41" s="20" t="s">
        <v>291</v>
      </c>
      <c r="C41" s="171">
        <f ca="1">Statement!AC162</f>
        <v>1.0973026586115924E-3</v>
      </c>
    </row>
    <row r="42" spans="2:6" x14ac:dyDescent="0.2">
      <c r="B42" s="20" t="s">
        <v>293</v>
      </c>
      <c r="C42" s="171">
        <f ca="1">Statement!AC163</f>
        <v>5.0500860992919875E-3</v>
      </c>
    </row>
    <row r="45" spans="2:6" x14ac:dyDescent="0.2">
      <c r="B45" s="249" t="s">
        <v>278</v>
      </c>
      <c r="C45" s="249"/>
      <c r="E45" s="249" t="s">
        <v>284</v>
      </c>
      <c r="F45" s="249"/>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-1.1602728679978257E-2</v>
      </c>
    </row>
    <row r="51" spans="2:6" x14ac:dyDescent="0.2">
      <c r="B51" s="249" t="s">
        <v>281</v>
      </c>
      <c r="C51" s="249"/>
      <c r="E51" s="249" t="s">
        <v>302</v>
      </c>
      <c r="F51" s="249"/>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676.76499999999999</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160393.30499999999</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162254.30499999999</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48.758285302593656</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12.69454643296433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70.893241808952467</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13.304986059860598</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39.632219101123596</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2.050933485035426E-2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1.8030677776731393E-2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4.3146439310543542E-3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1.0973026586115924E-3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5.0500860992919875E-3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-1.1602728679978257E-2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312</v>
      </c>
      <c r="D3" s="253"/>
      <c r="F3" s="254" t="s">
        <v>313</v>
      </c>
      <c r="G3" s="253"/>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0">
        <f>Statement!AA88</f>
        <v>0.16613110539845757</v>
      </c>
      <c r="D7" s="251"/>
      <c r="F7" s="250">
        <f>IF(F6=0,
IF(G6=0,0,IF(G6&gt;0,1,-1)),
(G6-F6)/ABS(F6)
)</f>
        <v>0.484860883797054</v>
      </c>
      <c r="G7" s="251"/>
    </row>
    <row r="8" spans="2:7" x14ac:dyDescent="0.2">
      <c r="B8" s="203" t="s">
        <v>20</v>
      </c>
      <c r="C8" s="196">
        <f>Statement!Z6</f>
        <v>1665</v>
      </c>
      <c r="D8" s="194">
        <f>Statement!AA6</f>
        <v>1731</v>
      </c>
      <c r="F8" s="196">
        <f>Statement!W6</f>
        <v>1530</v>
      </c>
      <c r="G8" s="194">
        <f>Statement!AA6</f>
        <v>1731</v>
      </c>
    </row>
    <row r="9" spans="2:7" x14ac:dyDescent="0.2">
      <c r="B9" s="202" t="s">
        <v>314</v>
      </c>
      <c r="C9" s="250">
        <f>Statement!AA89</f>
        <v>3.9639639639639637E-2</v>
      </c>
      <c r="D9" s="251"/>
      <c r="F9" s="250">
        <f>IF(F8=0,
IF(G8=0,0,IF(G8&gt;0,1,-1)),
(G8-F8)/ABS(F8)
)</f>
        <v>0.13137254901960785</v>
      </c>
      <c r="G9" s="251"/>
    </row>
    <row r="10" spans="2:7" x14ac:dyDescent="0.2">
      <c r="B10" s="203" t="s">
        <v>21</v>
      </c>
      <c r="C10" s="196">
        <f>Statement!Z7</f>
        <v>1447</v>
      </c>
      <c r="D10" s="194">
        <f>Statement!AA7</f>
        <v>1898</v>
      </c>
      <c r="F10" s="196">
        <f>Statement!W7</f>
        <v>914</v>
      </c>
      <c r="G10" s="194">
        <f>Statement!AA7</f>
        <v>1898</v>
      </c>
    </row>
    <row r="11" spans="2:7" x14ac:dyDescent="0.2">
      <c r="B11" s="202" t="s">
        <v>314</v>
      </c>
      <c r="C11" s="250">
        <f>Statement!AA90</f>
        <v>0.31167933655839669</v>
      </c>
      <c r="D11" s="251"/>
      <c r="F11" s="250">
        <f>IF(F10=0,
IF(G10=0,0,IF(G10&gt;0,1,-1)),
(G10-F10)/ABS(F10)
)</f>
        <v>1.0765864332603938</v>
      </c>
      <c r="G11" s="251"/>
    </row>
    <row r="12" spans="2:7" x14ac:dyDescent="0.2">
      <c r="B12" s="203" t="s">
        <v>24</v>
      </c>
      <c r="C12" s="196">
        <f>Statement!Z10</f>
        <v>449</v>
      </c>
      <c r="D12" s="196">
        <f>Statement!AA10</f>
        <v>339</v>
      </c>
      <c r="F12" s="196">
        <f>Statement!W10</f>
        <v>346</v>
      </c>
      <c r="G12" s="194">
        <f>Statement!AA10</f>
        <v>339</v>
      </c>
    </row>
    <row r="13" spans="2:7" x14ac:dyDescent="0.2">
      <c r="B13" s="202" t="s">
        <v>314</v>
      </c>
      <c r="C13" s="250">
        <f>Statement!AA93</f>
        <v>-0.24498886414253898</v>
      </c>
      <c r="D13" s="251"/>
      <c r="F13" s="250">
        <f>IF(F12=0,
IF(G12=0,0,IF(G12&gt;0,1,-1)),
(G12-F12)/ABS(F12)
)</f>
        <v>-2.023121387283237E-2</v>
      </c>
      <c r="G13" s="251"/>
    </row>
    <row r="14" spans="2:7" x14ac:dyDescent="0.2">
      <c r="B14" s="203" t="s">
        <v>315</v>
      </c>
      <c r="C14" s="196">
        <f>Statement!Z11</f>
        <v>998</v>
      </c>
      <c r="D14" s="194">
        <f>Statement!AA11</f>
        <v>1559</v>
      </c>
      <c r="F14" s="196">
        <f>Statement!W11</f>
        <v>568</v>
      </c>
      <c r="G14" s="194">
        <f>Statement!AA11</f>
        <v>1559</v>
      </c>
    </row>
    <row r="15" spans="2:7" x14ac:dyDescent="0.2">
      <c r="B15" s="202" t="s">
        <v>314</v>
      </c>
      <c r="C15" s="250">
        <f>Statement!AA94</f>
        <v>0.56212424849699394</v>
      </c>
      <c r="D15" s="251"/>
      <c r="F15" s="250">
        <f>IF(F14=0,
IF(G14=0,0,IF(G14&gt;0,1,-1)),
(G14-F14)/ABS(F14)
)</f>
        <v>1.744718309859155</v>
      </c>
      <c r="G15" s="251"/>
    </row>
    <row r="16" spans="2:7" x14ac:dyDescent="0.2">
      <c r="B16" s="203" t="s">
        <v>30</v>
      </c>
      <c r="C16" s="196">
        <f>Statement!Z17</f>
        <v>748</v>
      </c>
      <c r="D16" s="194">
        <f>Statement!AA17</f>
        <v>1294</v>
      </c>
      <c r="F16" s="196">
        <f>Statement!W17</f>
        <v>488</v>
      </c>
      <c r="G16" s="194">
        <f>Statement!AA17</f>
        <v>1294</v>
      </c>
    </row>
    <row r="17" spans="2:7" x14ac:dyDescent="0.2">
      <c r="B17" s="202" t="s">
        <v>314</v>
      </c>
      <c r="C17" s="250">
        <f>Statement!AA96</f>
        <v>0.72994652406417115</v>
      </c>
      <c r="D17" s="251"/>
      <c r="F17" s="250">
        <f>IF(F16=0,
IF(G16=0,0,IF(G16&gt;0,1,-1)),
(G16-F16)/ABS(F16)
)</f>
        <v>1.651639344262295</v>
      </c>
      <c r="G17" s="251"/>
    </row>
    <row r="18" spans="2:7" x14ac:dyDescent="0.2">
      <c r="B18" s="203" t="s">
        <v>316</v>
      </c>
      <c r="C18" s="196">
        <f>Statement!Z21</f>
        <v>229</v>
      </c>
      <c r="D18" s="194">
        <f>Statement!AA21</f>
        <v>232</v>
      </c>
      <c r="F18" s="196">
        <f>Statement!W21</f>
        <v>218</v>
      </c>
      <c r="G18" s="194">
        <f>Statement!AA21</f>
        <v>232</v>
      </c>
    </row>
    <row r="19" spans="2:7" x14ac:dyDescent="0.2">
      <c r="B19" s="202" t="s">
        <v>314</v>
      </c>
      <c r="C19" s="250">
        <f>IF(C18=0,
IF(D18=0,0,IF(D18&gt;0,1,-1)),
(D18-C18)/ABS(C18)
)</f>
        <v>1.3100436681222707E-2</v>
      </c>
      <c r="D19" s="251"/>
      <c r="F19" s="250">
        <f>IF(F18=0,
IF(G18=0,0,IF(G18&gt;0,1,-1)),
(G18-F18)/ABS(F18)
)</f>
        <v>6.4220183486238536E-2</v>
      </c>
      <c r="G19" s="251"/>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0">
        <f>IF(C20=0,
IF(D20=0,0,IF(D20&gt;0,1,-1)),
(D20-C20)/ABS(C20)
)</f>
        <v>0.70642201834862384</v>
      </c>
      <c r="D21" s="251"/>
      <c r="F21" s="250">
        <f>IF(F20=0,
IF(G20=0,0,IF(G20&gt;0,1,-1)),
(G20-F20)/ABS(F20)
)</f>
        <v>1.4910714285714284</v>
      </c>
      <c r="G21" s="251"/>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0">
        <f>IF(C24=0,
IF(D24=0,0,IF(D24&gt;0,1,-1)),
(D24-C24)/ABS(C24)
)</f>
        <v>0.17319999999999999</v>
      </c>
      <c r="D25" s="251"/>
      <c r="F25" s="250">
        <f>IF(F24=0,
IF(G24=0,0,IF(G24&gt;0,1,-1)),
(G24-F24)/ABS(F24)
)</f>
        <v>0.57434245840042941</v>
      </c>
      <c r="G25" s="251"/>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0">
        <f>IF(C26=0,
IF(D26=0,0,IF(D26&gt;0,1,-1)),
(D26-C26)/ABS(C26)
)</f>
        <v>0.1388888888888889</v>
      </c>
      <c r="D27" s="251"/>
      <c r="F27" s="250">
        <f>IF(F26=0,
IF(G26=0,0,IF(G26&gt;0,1,-1)),
(G26-F26)/ABS(F26)
)</f>
        <v>0.19965576592082615</v>
      </c>
      <c r="G27" s="251"/>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9" t="s">
        <v>112</v>
      </c>
      <c r="D2" s="249"/>
      <c r="E2" s="249"/>
      <c r="F2" s="249"/>
      <c r="G2" s="258"/>
      <c r="H2" s="259" t="s">
        <v>113</v>
      </c>
      <c r="I2" s="249"/>
      <c r="J2" s="249"/>
      <c r="K2" s="249"/>
      <c r="L2" s="249"/>
      <c r="O2" s="5"/>
      <c r="S2" s="249" t="s">
        <v>112</v>
      </c>
      <c r="T2" s="249"/>
      <c r="U2" s="249"/>
      <c r="V2" s="249"/>
      <c r="W2" s="249"/>
      <c r="X2" s="249"/>
      <c r="Y2" s="249"/>
      <c r="Z2" s="249"/>
      <c r="AA2" s="249" t="s">
        <v>113</v>
      </c>
      <c r="AB2" s="249"/>
      <c r="AC2" s="249"/>
      <c r="AE2" s="85" t="s">
        <v>114</v>
      </c>
    </row>
    <row r="3" spans="1:31" ht="10" customHeight="1" x14ac:dyDescent="0.2">
      <c r="O3" s="5"/>
    </row>
    <row r="4" spans="1:31" ht="16" customHeight="1" x14ac:dyDescent="0.2">
      <c r="A4" s="86"/>
      <c r="B4" s="60"/>
      <c r="C4" s="255" t="s">
        <v>115</v>
      </c>
      <c r="D4" s="255"/>
      <c r="E4" s="255"/>
      <c r="F4" s="255"/>
      <c r="G4" s="255"/>
      <c r="H4" s="255"/>
      <c r="I4" s="255"/>
      <c r="J4" s="255"/>
      <c r="K4" s="255"/>
      <c r="L4" s="255"/>
      <c r="O4" s="5"/>
      <c r="S4" s="256" t="s">
        <v>115</v>
      </c>
      <c r="T4" s="257"/>
      <c r="U4" s="257"/>
      <c r="V4" s="257"/>
      <c r="W4" s="257"/>
      <c r="X4" s="257"/>
      <c r="Y4" s="257"/>
      <c r="Z4" s="257"/>
      <c r="AA4" s="257"/>
      <c r="AB4" s="257"/>
      <c r="AC4" s="257"/>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5" t="s">
        <v>121</v>
      </c>
      <c r="D10" s="255"/>
      <c r="E10" s="255"/>
      <c r="F10" s="255"/>
      <c r="G10" s="255"/>
      <c r="H10" s="255"/>
      <c r="I10" s="255"/>
      <c r="J10" s="255"/>
      <c r="K10" s="255"/>
      <c r="L10" s="255"/>
      <c r="O10" s="5"/>
      <c r="Q10" s="91"/>
      <c r="S10" s="256" t="s">
        <v>121</v>
      </c>
      <c r="T10" s="257"/>
      <c r="U10" s="257"/>
      <c r="V10" s="257"/>
      <c r="W10" s="257"/>
      <c r="X10" s="257"/>
      <c r="Y10" s="257"/>
      <c r="Z10" s="257"/>
      <c r="AA10" s="257"/>
      <c r="AB10" s="257"/>
      <c r="AC10" s="257"/>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5" t="s">
        <v>395</v>
      </c>
      <c r="D17" s="255"/>
      <c r="E17" s="255"/>
      <c r="F17" s="255"/>
      <c r="G17" s="255"/>
      <c r="H17" s="255"/>
      <c r="I17" s="255"/>
      <c r="J17" s="255"/>
      <c r="K17" s="255"/>
      <c r="L17" s="255"/>
      <c r="O17" s="5"/>
      <c r="S17" s="256" t="s">
        <v>115</v>
      </c>
      <c r="T17" s="257"/>
      <c r="U17" s="257"/>
      <c r="V17" s="257"/>
      <c r="W17" s="257"/>
      <c r="X17" s="257"/>
      <c r="Y17" s="257"/>
      <c r="Z17" s="257"/>
      <c r="AA17" s="257"/>
      <c r="AB17" s="257"/>
      <c r="AC17" s="257"/>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9" t="s">
        <v>112</v>
      </c>
      <c r="D2" s="249"/>
      <c r="E2" s="249"/>
      <c r="F2" s="249"/>
      <c r="G2" s="258"/>
      <c r="H2" s="259" t="s">
        <v>113</v>
      </c>
      <c r="I2" s="249"/>
      <c r="J2" s="249"/>
      <c r="K2" s="249"/>
      <c r="L2" s="249"/>
      <c r="P2" s="249" t="s">
        <v>112</v>
      </c>
      <c r="Q2" s="249"/>
      <c r="R2" s="249"/>
      <c r="S2" s="249"/>
      <c r="T2" s="249"/>
      <c r="U2" s="249"/>
      <c r="V2" s="249"/>
      <c r="W2" s="249"/>
      <c r="X2" s="249" t="s">
        <v>113</v>
      </c>
      <c r="Y2" s="249"/>
      <c r="Z2" s="249"/>
      <c r="AB2" s="85" t="s">
        <v>114</v>
      </c>
    </row>
    <row r="3" spans="1:30" ht="10" customHeight="1" x14ac:dyDescent="0.2"/>
    <row r="4" spans="1:30" ht="16" customHeight="1" x14ac:dyDescent="0.2">
      <c r="A4" s="86"/>
      <c r="B4" s="60"/>
      <c r="C4" s="255" t="s">
        <v>115</v>
      </c>
      <c r="D4" s="255"/>
      <c r="E4" s="255"/>
      <c r="F4" s="255"/>
      <c r="G4" s="255"/>
      <c r="H4" s="255"/>
      <c r="I4" s="255"/>
      <c r="J4" s="255"/>
      <c r="K4" s="255"/>
      <c r="L4" s="255"/>
      <c r="P4" s="257" t="s">
        <v>115</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5" t="s">
        <v>124</v>
      </c>
      <c r="D9" s="255"/>
      <c r="E9" s="255"/>
      <c r="F9" s="255"/>
      <c r="G9" s="255"/>
      <c r="H9" s="255"/>
      <c r="I9" s="255"/>
      <c r="J9" s="255"/>
      <c r="K9" s="255"/>
      <c r="L9" s="255"/>
      <c r="N9" s="91"/>
      <c r="P9" s="257" t="s">
        <v>125</v>
      </c>
      <c r="Q9" s="257"/>
      <c r="R9" s="257"/>
      <c r="S9" s="257"/>
      <c r="T9" s="257"/>
      <c r="U9" s="257"/>
      <c r="V9" s="257"/>
      <c r="W9" s="257"/>
      <c r="X9" s="257"/>
      <c r="Y9" s="257"/>
      <c r="Z9" s="257"/>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5" t="s">
        <v>127</v>
      </c>
      <c r="D17" s="255"/>
      <c r="E17" s="255"/>
      <c r="F17" s="255"/>
      <c r="G17" s="255"/>
      <c r="H17" s="255"/>
      <c r="I17" s="255"/>
      <c r="J17" s="255"/>
      <c r="K17" s="255"/>
      <c r="L17" s="255"/>
      <c r="P17" s="257" t="s">
        <v>127</v>
      </c>
      <c r="Q17" s="257"/>
      <c r="R17" s="257"/>
      <c r="S17" s="257"/>
      <c r="T17" s="257"/>
      <c r="U17" s="257"/>
      <c r="V17" s="257"/>
      <c r="W17" s="257"/>
      <c r="X17" s="257"/>
      <c r="Y17" s="257"/>
      <c r="Z17" s="257"/>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115</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131</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5" t="s">
        <v>136</v>
      </c>
      <c r="D18" s="255"/>
      <c r="E18" s="255"/>
      <c r="F18" s="255"/>
      <c r="G18" s="255"/>
      <c r="H18" s="255"/>
      <c r="I18" s="255"/>
      <c r="J18" s="255"/>
      <c r="K18" s="255"/>
      <c r="L18" s="255"/>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0"/>
      <c r="C25" s="260"/>
    </row>
    <row r="26" spans="2:12" x14ac:dyDescent="0.2">
      <c r="B26" s="109"/>
      <c r="C26" s="255" t="s">
        <v>142</v>
      </c>
      <c r="D26" s="255"/>
      <c r="E26" s="255"/>
      <c r="F26" s="255"/>
      <c r="G26" s="255"/>
      <c r="H26" s="255"/>
      <c r="I26" s="255"/>
      <c r="J26" s="255"/>
      <c r="K26" s="255"/>
      <c r="L26" s="255"/>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5" t="s">
        <v>146</v>
      </c>
      <c r="D33" s="255"/>
      <c r="E33" s="255"/>
      <c r="F33" s="255"/>
      <c r="G33" s="255"/>
      <c r="H33" s="255"/>
      <c r="I33" s="255"/>
      <c r="J33" s="255"/>
      <c r="K33" s="255"/>
      <c r="L33" s="255"/>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5" t="s">
        <v>149</v>
      </c>
      <c r="D40" s="255"/>
      <c r="E40" s="255"/>
      <c r="F40" s="255"/>
      <c r="G40" s="255"/>
      <c r="H40" s="255"/>
      <c r="I40" s="255"/>
      <c r="J40" s="255"/>
      <c r="K40" s="255"/>
      <c r="L40" s="255"/>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9" t="s">
        <v>112</v>
      </c>
      <c r="D2" s="249"/>
      <c r="E2" s="249"/>
      <c r="F2" s="249"/>
      <c r="G2" s="258"/>
      <c r="H2" s="259" t="s">
        <v>113</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5" t="s">
        <v>157</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5" t="s">
        <v>158</v>
      </c>
      <c r="D18" s="255"/>
      <c r="E18" s="255"/>
      <c r="F18" s="255"/>
      <c r="G18" s="255"/>
      <c r="H18" s="255"/>
      <c r="I18" s="255"/>
      <c r="J18" s="255"/>
      <c r="K18" s="255"/>
      <c r="L18" s="255"/>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5" t="s">
        <v>261</v>
      </c>
      <c r="D25" s="255"/>
      <c r="E25" s="255"/>
      <c r="F25" s="255"/>
      <c r="G25" s="255"/>
      <c r="H25" s="255"/>
      <c r="I25" s="255"/>
      <c r="J25" s="255"/>
      <c r="K25" s="255"/>
      <c r="L25" s="255"/>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5" t="s">
        <v>76</v>
      </c>
      <c r="D31" s="255"/>
      <c r="E31" s="255"/>
      <c r="F31" s="255"/>
      <c r="G31" s="255"/>
      <c r="H31" s="255"/>
      <c r="I31" s="255"/>
      <c r="J31" s="255"/>
      <c r="K31" s="255"/>
      <c r="L31" s="255"/>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9" t="s">
        <v>165</v>
      </c>
      <c r="C4" s="249"/>
    </row>
    <row r="5" spans="1:3" ht="17" customHeight="1" x14ac:dyDescent="0.2">
      <c r="B5" s="1" t="s">
        <v>166</v>
      </c>
      <c r="C5" s="136">
        <f>Statement!AC77</f>
        <v>237</v>
      </c>
    </row>
    <row r="6" spans="1:3" ht="17" customHeight="1" x14ac:dyDescent="0.2">
      <c r="B6" s="1" t="s">
        <v>1</v>
      </c>
      <c r="C6" s="133">
        <f ca="1">Overview!C5</f>
        <v>676.76499999999999</v>
      </c>
    </row>
    <row r="7" spans="1:3" ht="17" customHeight="1" x14ac:dyDescent="0.2">
      <c r="B7" s="1" t="s">
        <v>167</v>
      </c>
      <c r="C7" s="134">
        <f ca="1">C5*C6</f>
        <v>160393.30499999999</v>
      </c>
    </row>
    <row r="8" spans="1:3" ht="17" customHeight="1" x14ac:dyDescent="0.2">
      <c r="B8" s="1" t="s">
        <v>168</v>
      </c>
      <c r="C8" s="112">
        <f>Statement!AC106</f>
        <v>3565</v>
      </c>
    </row>
    <row r="9" spans="1:3" ht="17" customHeight="1" x14ac:dyDescent="0.2">
      <c r="B9" s="1" t="s">
        <v>169</v>
      </c>
      <c r="C9" s="135">
        <f ca="1">Overview!F27</f>
        <v>5.1360000000000003E-2</v>
      </c>
    </row>
    <row r="10" spans="1:3" ht="17" customHeight="1" x14ac:dyDescent="0.2">
      <c r="B10" s="1" t="s">
        <v>9</v>
      </c>
      <c r="C10" s="133">
        <f ca="1">Overview!C13</f>
        <v>2.1414</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9" t="s">
        <v>172</v>
      </c>
      <c r="C15" s="249"/>
    </row>
    <row r="16" spans="1:3" ht="17" customHeight="1" x14ac:dyDescent="0.2">
      <c r="B16" s="1" t="s">
        <v>173</v>
      </c>
      <c r="C16" s="46">
        <f ca="1">C8/(C8+C7)</f>
        <v>2.1743332855264638E-2</v>
      </c>
    </row>
    <row r="17" spans="2:3" ht="17" customHeight="1" x14ac:dyDescent="0.2">
      <c r="B17" s="1" t="s">
        <v>174</v>
      </c>
      <c r="C17" s="46">
        <f ca="1">C7/(C8+C7)</f>
        <v>0.97825666714473536</v>
      </c>
    </row>
    <row r="18" spans="2:3" ht="17" customHeight="1" x14ac:dyDescent="0.2">
      <c r="B18" s="1" t="s">
        <v>175</v>
      </c>
      <c r="C18" s="46">
        <f>C13*(1-C12)</f>
        <v>4.7399999999999998E-2</v>
      </c>
    </row>
    <row r="19" spans="2:3" ht="17" customHeight="1" x14ac:dyDescent="0.2">
      <c r="B19" s="1" t="s">
        <v>176</v>
      </c>
      <c r="C19" s="46">
        <f ca="1">C9+C10*C11</f>
        <v>0.14772299999999999</v>
      </c>
    </row>
    <row r="20" spans="2:3" ht="17" customHeight="1" x14ac:dyDescent="0.2">
      <c r="B20" s="1" t="s">
        <v>164</v>
      </c>
      <c r="C20" s="46">
        <f ca="1">(C17*C19)+(C16*C18)</f>
        <v>0.14554164361796129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30165.581147678571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3781.9343013090484</v>
      </c>
      <c r="I10" s="126">
        <f t="shared" ref="I10:L10" ca="1" si="0">I7/(1+$C$15)^I9</f>
        <v>4627.057038815954</v>
      </c>
      <c r="J10" s="126">
        <f t="shared" ca="1" si="0"/>
        <v>4396.8736538361281</v>
      </c>
      <c r="K10" s="126">
        <f t="shared" ca="1" si="0"/>
        <v>3429.9778128577291</v>
      </c>
      <c r="L10" s="126">
        <f t="shared" ca="1" si="0"/>
        <v>1966.7099847878962</v>
      </c>
      <c r="N10" s="91"/>
    </row>
    <row r="11" spans="1:28" x14ac:dyDescent="0.2">
      <c r="B11" s="1" t="s">
        <v>182</v>
      </c>
      <c r="C11" s="137"/>
      <c r="D11" s="137"/>
      <c r="E11" s="137"/>
      <c r="F11" s="137"/>
      <c r="G11" s="138"/>
      <c r="H11" s="137"/>
      <c r="I11" s="137"/>
      <c r="J11" s="137"/>
      <c r="K11" s="137"/>
      <c r="L11" s="126">
        <f ca="1">L8/(1+C15)^L9</f>
        <v>15291.753491336116</v>
      </c>
    </row>
    <row r="13" spans="1:28" x14ac:dyDescent="0.2">
      <c r="B13" s="249" t="s">
        <v>183</v>
      </c>
      <c r="C13" s="249"/>
    </row>
    <row r="14" spans="1:28" x14ac:dyDescent="0.2">
      <c r="B14" s="1" t="s">
        <v>184</v>
      </c>
      <c r="C14" s="140">
        <v>1.4999999999999999E-2</v>
      </c>
    </row>
    <row r="15" spans="1:28" x14ac:dyDescent="0.2">
      <c r="B15" s="1" t="s">
        <v>164</v>
      </c>
      <c r="C15" s="135">
        <f ca="1">IF(Overview!C28&gt;0,Overview!C28,WACC!C20)</f>
        <v>0.14554164361796129</v>
      </c>
    </row>
    <row r="18" spans="2:3" x14ac:dyDescent="0.2">
      <c r="B18" s="249" t="s">
        <v>185</v>
      </c>
      <c r="C18" s="249"/>
    </row>
    <row r="19" spans="2:3" x14ac:dyDescent="0.2">
      <c r="B19" s="1" t="s">
        <v>186</v>
      </c>
      <c r="C19" s="64">
        <f ca="1">SUM(H10:L10)</f>
        <v>18202.552791606755</v>
      </c>
    </row>
    <row r="20" spans="2:3" x14ac:dyDescent="0.2">
      <c r="B20" s="1" t="s">
        <v>182</v>
      </c>
      <c r="C20" s="64">
        <f ca="1">L11</f>
        <v>15291.753491336116</v>
      </c>
    </row>
    <row r="21" spans="2:3" x14ac:dyDescent="0.2">
      <c r="B21" s="16" t="s">
        <v>187</v>
      </c>
      <c r="C21" s="94">
        <f ca="1">C19+C20</f>
        <v>33494.306282942867</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31633.306282942867</v>
      </c>
    </row>
    <row r="25" spans="2:3" x14ac:dyDescent="0.2">
      <c r="B25" s="1" t="s">
        <v>68</v>
      </c>
      <c r="C25" s="88">
        <f>Statement!AC77</f>
        <v>237</v>
      </c>
    </row>
    <row r="26" spans="2:3" x14ac:dyDescent="0.2">
      <c r="B26" s="240" t="s">
        <v>191</v>
      </c>
      <c r="C26" s="241">
        <f ca="1">C24/C25</f>
        <v>133.47386617275473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3781.9343013090484</v>
      </c>
      <c r="I9" s="92">
        <f ca="1">DCF!I10</f>
        <v>4627.057038815954</v>
      </c>
      <c r="J9" s="92">
        <f ca="1">DCF!J10</f>
        <v>4396.8736538361281</v>
      </c>
      <c r="K9" s="92">
        <f ca="1">DCF!K10</f>
        <v>3429.9778128577291</v>
      </c>
      <c r="L9" s="92">
        <f ca="1">DCF!L10</f>
        <v>1966.7099847878962</v>
      </c>
      <c r="N9" s="91"/>
    </row>
    <row r="10" spans="1:14" x14ac:dyDescent="0.2">
      <c r="N10" s="91"/>
    </row>
    <row r="11" spans="1:14" x14ac:dyDescent="0.2">
      <c r="C11" s="255" t="s">
        <v>121</v>
      </c>
      <c r="D11" s="255"/>
      <c r="E11" s="255"/>
      <c r="F11" s="255"/>
      <c r="G11" s="255"/>
      <c r="H11" s="255"/>
      <c r="I11" s="255"/>
      <c r="J11" s="255"/>
      <c r="K11" s="255"/>
      <c r="L11" s="255"/>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5" t="s">
        <v>195</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5" t="s">
        <v>198</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5" t="s">
        <v>199</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9" t="s">
        <v>204</v>
      </c>
      <c r="C39" s="249"/>
      <c r="N39" s="91"/>
    </row>
    <row r="40" spans="2:14" x14ac:dyDescent="0.2">
      <c r="B40" s="1" t="s">
        <v>205</v>
      </c>
      <c r="C40" s="64">
        <f>L7</f>
        <v>4408.7788819651487</v>
      </c>
    </row>
    <row r="41" spans="2:14" x14ac:dyDescent="0.2">
      <c r="B41" s="1" t="s">
        <v>164</v>
      </c>
      <c r="C41" s="135">
        <f ca="1">IF(Overview!C28&gt;0,Overview!C28,WACC!C20)</f>
        <v>0.14554164361796129</v>
      </c>
    </row>
    <row r="42" spans="2:14" x14ac:dyDescent="0.2">
      <c r="B42" s="39" t="s">
        <v>206</v>
      </c>
      <c r="C42" s="105">
        <v>16</v>
      </c>
    </row>
    <row r="43" spans="2:14" x14ac:dyDescent="0.2">
      <c r="B43" s="1" t="s">
        <v>423</v>
      </c>
      <c r="C43" s="24">
        <f>(C40*C42)</f>
        <v>70540.462111442379</v>
      </c>
    </row>
    <row r="44" spans="2:14" x14ac:dyDescent="0.2">
      <c r="B44" s="1" t="s">
        <v>424</v>
      </c>
      <c r="C44" s="24">
        <f ca="1">C43/(1+C41)^5</f>
        <v>35758.878719832777</v>
      </c>
    </row>
    <row r="45" spans="2:14" x14ac:dyDescent="0.2">
      <c r="B45" s="16" t="s">
        <v>425</v>
      </c>
      <c r="C45" s="108">
        <f ca="1">SUM(H9:K9)+C44</f>
        <v>51994.721526651636</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50133.721526651636</v>
      </c>
    </row>
    <row r="49" spans="2:3" x14ac:dyDescent="0.2">
      <c r="B49" s="1" t="s">
        <v>68</v>
      </c>
      <c r="C49" s="88">
        <f>Statement!AC77</f>
        <v>237</v>
      </c>
    </row>
    <row r="50" spans="2:3" x14ac:dyDescent="0.2">
      <c r="B50" s="240" t="s">
        <v>208</v>
      </c>
      <c r="C50" s="241">
        <f ca="1">C48/C49</f>
        <v>211.53468998587189</v>
      </c>
    </row>
    <row r="52" spans="2:3" x14ac:dyDescent="0.2">
      <c r="B52" s="249" t="s">
        <v>209</v>
      </c>
      <c r="C52" s="249"/>
    </row>
    <row r="53" spans="2:3" x14ac:dyDescent="0.2">
      <c r="B53" s="1" t="s">
        <v>210</v>
      </c>
      <c r="C53" s="64">
        <f>L6</f>
        <v>18369.912008188126</v>
      </c>
    </row>
    <row r="54" spans="2:3" x14ac:dyDescent="0.2">
      <c r="B54" s="1" t="s">
        <v>343</v>
      </c>
      <c r="C54" s="135">
        <f ca="1">IF(Overview!C29&gt;0,Overview!C29,WACC!C19)</f>
        <v>0.14772299999999999</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145.94426947147235</v>
      </c>
    </row>
    <row r="60" spans="2:3" x14ac:dyDescent="0.2">
      <c r="B60" s="249" t="s">
        <v>321</v>
      </c>
      <c r="C60" s="249"/>
    </row>
    <row r="61" spans="2:3" x14ac:dyDescent="0.2">
      <c r="B61" s="1" t="s">
        <v>426</v>
      </c>
      <c r="C61" s="64">
        <f>L8</f>
        <v>3879.6695011910815</v>
      </c>
    </row>
    <row r="62" spans="2:3" x14ac:dyDescent="0.2">
      <c r="B62" s="1" t="s">
        <v>164</v>
      </c>
      <c r="C62" s="135">
        <f ca="1">IF(Overview!C28&gt;0,Overview!C28,WACC!C20)</f>
        <v>0.14554164361796129</v>
      </c>
    </row>
    <row r="63" spans="2:3" x14ac:dyDescent="0.2">
      <c r="B63" s="39" t="s">
        <v>344</v>
      </c>
      <c r="C63" s="105">
        <v>20</v>
      </c>
    </row>
    <row r="64" spans="2:3" x14ac:dyDescent="0.2">
      <c r="B64" s="1" t="s">
        <v>423</v>
      </c>
      <c r="C64" s="24">
        <f>(C61*C63)</f>
        <v>77593.39002382163</v>
      </c>
    </row>
    <row r="65" spans="2:3" x14ac:dyDescent="0.2">
      <c r="B65" s="1" t="s">
        <v>424</v>
      </c>
      <c r="C65" s="24">
        <f ca="1">C64/(1+C62)^5</f>
        <v>39334.199695757925</v>
      </c>
    </row>
    <row r="66" spans="2:3" x14ac:dyDescent="0.2">
      <c r="B66" s="16" t="s">
        <v>425</v>
      </c>
      <c r="C66" s="108">
        <f ca="1">SUM(H9:K9)+C65</f>
        <v>55570.042502576784</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53709.042502576784</v>
      </c>
    </row>
    <row r="70" spans="2:3" x14ac:dyDescent="0.2">
      <c r="B70" s="1" t="s">
        <v>68</v>
      </c>
      <c r="C70" s="88">
        <f>Statement!AC77</f>
        <v>237</v>
      </c>
    </row>
    <row r="71" spans="2:3" x14ac:dyDescent="0.2">
      <c r="B71" s="240" t="s">
        <v>208</v>
      </c>
      <c r="C71" s="241">
        <f ca="1">C69/C70</f>
        <v>226.62043250032397</v>
      </c>
    </row>
    <row r="73" spans="2:3" x14ac:dyDescent="0.2">
      <c r="B73" s="249" t="s">
        <v>428</v>
      </c>
      <c r="C73" s="249"/>
    </row>
    <row r="74" spans="2:3" x14ac:dyDescent="0.2">
      <c r="B74" s="1" t="s">
        <v>429</v>
      </c>
      <c r="C74" s="64">
        <f>L6</f>
        <v>18369.912008188126</v>
      </c>
    </row>
    <row r="75" spans="2:3" x14ac:dyDescent="0.2">
      <c r="B75" s="1" t="s">
        <v>164</v>
      </c>
      <c r="C75" s="135">
        <f ca="1">IF(Overview!C28&gt;0,Overview!C28,WACC!C20)</f>
        <v>0.14554164361796129</v>
      </c>
    </row>
    <row r="76" spans="2:3" x14ac:dyDescent="0.2">
      <c r="B76" s="39" t="s">
        <v>430</v>
      </c>
      <c r="C76" s="105">
        <v>4</v>
      </c>
    </row>
    <row r="77" spans="2:3" x14ac:dyDescent="0.2">
      <c r="B77" s="1" t="s">
        <v>423</v>
      </c>
      <c r="C77" s="24">
        <f>(C74*C76)</f>
        <v>73479.648032752506</v>
      </c>
    </row>
    <row r="78" spans="2:3" x14ac:dyDescent="0.2">
      <c r="B78" s="1" t="s">
        <v>424</v>
      </c>
      <c r="C78" s="24">
        <f ca="1">C77/(1+C75)^5</f>
        <v>37248.831999825823</v>
      </c>
    </row>
    <row r="79" spans="2:3" x14ac:dyDescent="0.2">
      <c r="B79" s="16" t="s">
        <v>425</v>
      </c>
      <c r="C79" s="108">
        <f ca="1">SUM(H9:K9)+C78</f>
        <v>53484.674806644682</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51623.674806644682</v>
      </c>
    </row>
    <row r="83" spans="2:3" x14ac:dyDescent="0.2">
      <c r="B83" s="1" t="s">
        <v>68</v>
      </c>
      <c r="C83" s="88">
        <f>Statement!AC77</f>
        <v>237</v>
      </c>
    </row>
    <row r="84" spans="2:3" x14ac:dyDescent="0.2">
      <c r="B84" s="240" t="s">
        <v>208</v>
      </c>
      <c r="C84" s="241">
        <f ca="1">C82/C83</f>
        <v>217.82141268626447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9" t="s">
        <v>213</v>
      </c>
      <c r="C4" s="249"/>
      <c r="N4" s="91"/>
    </row>
    <row r="5" spans="1:14" x14ac:dyDescent="0.2">
      <c r="B5" s="1" t="s">
        <v>214</v>
      </c>
      <c r="C5" s="133">
        <f ca="1">DCF!C26</f>
        <v>133.47386617275473</v>
      </c>
    </row>
    <row r="6" spans="1:14" x14ac:dyDescent="0.2">
      <c r="B6" s="1" t="s">
        <v>215</v>
      </c>
      <c r="C6" s="133">
        <f ca="1">Multiples!C50</f>
        <v>211.53468998587189</v>
      </c>
    </row>
    <row r="7" spans="1:14" x14ac:dyDescent="0.2">
      <c r="B7" s="1" t="s">
        <v>216</v>
      </c>
      <c r="C7" s="133">
        <f ca="1">Multiples!C58</f>
        <v>145.94426947147235</v>
      </c>
    </row>
    <row r="8" spans="1:14" x14ac:dyDescent="0.2">
      <c r="B8" s="1" t="s">
        <v>322</v>
      </c>
      <c r="C8" s="133">
        <f ca="1">Multiples!C71</f>
        <v>226.62043250032397</v>
      </c>
    </row>
    <row r="9" spans="1:14" x14ac:dyDescent="0.2">
      <c r="B9" s="1" t="s">
        <v>427</v>
      </c>
      <c r="C9" s="133">
        <f ca="1">Multiples!C84</f>
        <v>217.82141268626447</v>
      </c>
    </row>
    <row r="10" spans="1:14" x14ac:dyDescent="0.2">
      <c r="B10" s="240" t="s">
        <v>217</v>
      </c>
      <c r="C10" s="241">
        <f ca="1">AVERAGE(C5:C9)</f>
        <v>187.07893416333746</v>
      </c>
    </row>
    <row r="11" spans="1:14" x14ac:dyDescent="0.2">
      <c r="B11" s="1" t="s">
        <v>218</v>
      </c>
      <c r="C11" s="133">
        <f ca="1">Overview!C5</f>
        <v>676.76499999999999</v>
      </c>
    </row>
    <row r="12" spans="1:14" x14ac:dyDescent="0.2">
      <c r="B12" s="1" t="s">
        <v>219</v>
      </c>
      <c r="C12" s="152">
        <f ca="1">(C10-C11)/C11</f>
        <v>-0.72356883975480779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5" t="s">
        <v>121</v>
      </c>
      <c r="D9" s="255"/>
      <c r="E9" s="255"/>
      <c r="F9" s="255"/>
      <c r="G9" s="255"/>
      <c r="H9" s="255"/>
      <c r="I9" s="255"/>
      <c r="J9" s="255"/>
      <c r="K9" s="255"/>
      <c r="L9" s="255"/>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5" t="s">
        <v>365</v>
      </c>
      <c r="D14" s="255"/>
      <c r="E14" s="255"/>
      <c r="F14" s="255"/>
      <c r="G14" s="255"/>
      <c r="H14" s="255"/>
      <c r="I14" s="255"/>
      <c r="J14" s="255"/>
      <c r="K14" s="255"/>
      <c r="L14" s="255"/>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9" t="s">
        <v>367</v>
      </c>
      <c r="C20" s="249"/>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0.14772299999999999</v>
      </c>
    </row>
    <row r="25" spans="2:14" x14ac:dyDescent="0.2">
      <c r="B25" s="39" t="s">
        <v>371</v>
      </c>
      <c r="C25" s="229">
        <v>0.02</v>
      </c>
    </row>
    <row r="26" spans="2:14" x14ac:dyDescent="0.2">
      <c r="B26" s="240" t="s">
        <v>208</v>
      </c>
      <c r="C26" s="241">
        <f ca="1">C23/(C24-C25)</f>
        <v>23.547833984482043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4959.7668726287257</v>
      </c>
      <c r="I7" s="126">
        <f t="shared" ref="I7:L7" si="0">H7*(1+$C$17)</f>
        <v>7985.2246649322478</v>
      </c>
      <c r="J7" s="126">
        <f t="shared" si="0"/>
        <v>12856.211710540918</v>
      </c>
      <c r="K7" s="126">
        <f t="shared" si="0"/>
        <v>20698.500853970876</v>
      </c>
      <c r="L7" s="126">
        <f t="shared" si="0"/>
        <v>33324.586374893108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259108.54370354029</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4329.6259898193721</v>
      </c>
      <c r="I10" s="126">
        <f t="shared" ref="I10:L10" ca="1" si="1">I7/(1+$C$21)^I9</f>
        <v>6085.0671666493508</v>
      </c>
      <c r="J10" s="126">
        <f t="shared" ca="1" si="1"/>
        <v>8552.249665375537</v>
      </c>
      <c r="K10" s="126">
        <f t="shared" ca="1" si="1"/>
        <v>12019.748071111262</v>
      </c>
      <c r="L10" s="126">
        <f t="shared" ca="1" si="1"/>
        <v>16893.139155875997</v>
      </c>
      <c r="N10" s="91"/>
    </row>
    <row r="11" spans="1:28" x14ac:dyDescent="0.2">
      <c r="B11" s="1" t="s">
        <v>182</v>
      </c>
      <c r="C11" s="137"/>
      <c r="D11" s="137"/>
      <c r="E11" s="137"/>
      <c r="F11" s="137"/>
      <c r="G11" s="138"/>
      <c r="H11" s="137"/>
      <c r="I11" s="137"/>
      <c r="J11" s="137"/>
      <c r="K11" s="137"/>
      <c r="L11" s="126">
        <f ca="1">L8/(1+C21)^L9</f>
        <v>131349.16772914704</v>
      </c>
    </row>
    <row r="13" spans="1:28" ht="17" thickBot="1" x14ac:dyDescent="0.25"/>
    <row r="14" spans="1:28" x14ac:dyDescent="0.2">
      <c r="B14" s="262" t="s">
        <v>221</v>
      </c>
      <c r="C14" s="263"/>
    </row>
    <row r="15" spans="1:28" x14ac:dyDescent="0.2">
      <c r="B15" s="153" t="s">
        <v>222</v>
      </c>
      <c r="C15" s="154">
        <f ca="1">Overview!C5</f>
        <v>676.76499999999999</v>
      </c>
    </row>
    <row r="16" spans="1:28" x14ac:dyDescent="0.2">
      <c r="B16" s="153" t="s">
        <v>223</v>
      </c>
      <c r="C16" s="154">
        <f ca="1">C36</f>
        <v>781.3568184051918</v>
      </c>
    </row>
    <row r="17" spans="2:9" ht="17" thickBot="1" x14ac:dyDescent="0.25">
      <c r="B17" s="155" t="s">
        <v>323</v>
      </c>
      <c r="C17" s="156">
        <v>0.61</v>
      </c>
      <c r="E17" s="261" t="s">
        <v>224</v>
      </c>
      <c r="F17" s="261"/>
      <c r="G17" s="261"/>
      <c r="H17" s="261"/>
      <c r="I17" s="261"/>
    </row>
    <row r="18" spans="2:9" ht="17" thickBot="1" x14ac:dyDescent="0.25"/>
    <row r="19" spans="2:9" x14ac:dyDescent="0.2">
      <c r="B19" s="262" t="s">
        <v>183</v>
      </c>
      <c r="C19" s="263"/>
    </row>
    <row r="20" spans="2:9" x14ac:dyDescent="0.2">
      <c r="B20" s="157" t="s">
        <v>184</v>
      </c>
      <c r="C20" s="158">
        <v>1.4999999999999999E-2</v>
      </c>
    </row>
    <row r="21" spans="2:9" x14ac:dyDescent="0.2">
      <c r="B21" s="157" t="s">
        <v>164</v>
      </c>
      <c r="C21" s="218">
        <f ca="1">IF(Overview!C28&gt;0,Overview!C28,WACC!C20)</f>
        <v>0.14554164361796129</v>
      </c>
    </row>
    <row r="22" spans="2:9" x14ac:dyDescent="0.2">
      <c r="B22" s="157" t="s">
        <v>68</v>
      </c>
      <c r="C22" s="219">
        <f>Statement!AC74</f>
        <v>227</v>
      </c>
    </row>
    <row r="23" spans="2:9" x14ac:dyDescent="0.2">
      <c r="B23" s="157" t="s">
        <v>225</v>
      </c>
      <c r="C23" s="159">
        <f ca="1">C15*C22</f>
        <v>153625.655</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155486.655</v>
      </c>
    </row>
    <row r="27" spans="2:9" ht="17" thickBot="1" x14ac:dyDescent="0.25"/>
    <row r="28" spans="2:9" x14ac:dyDescent="0.2">
      <c r="B28" s="262" t="s">
        <v>185</v>
      </c>
      <c r="C28" s="263"/>
    </row>
    <row r="29" spans="2:9" x14ac:dyDescent="0.2">
      <c r="B29" s="157" t="s">
        <v>186</v>
      </c>
      <c r="C29" s="159">
        <f ca="1">SUM(H10:L10)</f>
        <v>47879.830048831514</v>
      </c>
    </row>
    <row r="30" spans="2:9" x14ac:dyDescent="0.2">
      <c r="B30" s="157" t="s">
        <v>182</v>
      </c>
      <c r="C30" s="159">
        <f ca="1">L11</f>
        <v>131349.16772914704</v>
      </c>
    </row>
    <row r="31" spans="2:9" x14ac:dyDescent="0.2">
      <c r="B31" s="161" t="s">
        <v>187</v>
      </c>
      <c r="C31" s="162">
        <f ca="1">C29+C30</f>
        <v>179228.99777797854</v>
      </c>
    </row>
    <row r="32" spans="2:9" x14ac:dyDescent="0.2">
      <c r="B32" s="157" t="s">
        <v>188</v>
      </c>
      <c r="C32" s="163">
        <f>C24</f>
        <v>1704</v>
      </c>
    </row>
    <row r="33" spans="2:3" x14ac:dyDescent="0.2">
      <c r="B33" s="157" t="s">
        <v>189</v>
      </c>
      <c r="C33" s="163">
        <f>C25</f>
        <v>3565</v>
      </c>
    </row>
    <row r="34" spans="2:3" x14ac:dyDescent="0.2">
      <c r="B34" s="161" t="s">
        <v>190</v>
      </c>
      <c r="C34" s="162">
        <f ca="1">C31+C32-C33</f>
        <v>177367.99777797854</v>
      </c>
    </row>
    <row r="35" spans="2:3" x14ac:dyDescent="0.2">
      <c r="B35" s="157" t="s">
        <v>68</v>
      </c>
      <c r="C35" s="159">
        <f>C22</f>
        <v>227</v>
      </c>
    </row>
    <row r="36" spans="2:3" ht="17" thickBot="1" x14ac:dyDescent="0.25">
      <c r="B36" s="164" t="s">
        <v>191</v>
      </c>
      <c r="C36" s="165">
        <f ca="1">C34/C35</f>
        <v>781.3568184051918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2026-10-20T16:40:23Z</dcterms:modified>
</cp:coreProperties>
</file>