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E5CBA74-5CA8-3247-87D9-581912DCB61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57" i="3" l="1"/>
  <c r="AA13" i="3"/>
  <c r="AA12" i="3"/>
  <c r="Z209" i="3"/>
  <c r="Y209" i="3"/>
  <c r="X209" i="3"/>
  <c r="W209" i="3"/>
  <c r="V209" i="3"/>
  <c r="U209" i="3"/>
  <c r="T209" i="3"/>
  <c r="Z191" i="3"/>
  <c r="Y191" i="3"/>
  <c r="X191" i="3"/>
  <c r="W191" i="3"/>
  <c r="V191" i="3"/>
  <c r="U191" i="3"/>
  <c r="T191" i="3"/>
  <c r="Z190" i="3"/>
  <c r="Y190" i="3"/>
  <c r="X190" i="3"/>
  <c r="W190" i="3"/>
  <c r="V190" i="3"/>
  <c r="U190" i="3"/>
  <c r="T190" i="3"/>
  <c r="Z177" i="3"/>
  <c r="W177" i="3"/>
  <c r="V177" i="3"/>
  <c r="Z176" i="3"/>
  <c r="W176" i="3"/>
  <c r="V176" i="3"/>
  <c r="Z175" i="3"/>
  <c r="W175" i="3"/>
  <c r="V175" i="3"/>
  <c r="Z172" i="3"/>
  <c r="W172" i="3"/>
  <c r="V172" i="3"/>
  <c r="Z171" i="3"/>
  <c r="W171" i="3"/>
  <c r="V171" i="3"/>
  <c r="Z155" i="3"/>
  <c r="W155" i="3"/>
  <c r="V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1" i="3"/>
  <c r="Z142" i="3" s="1"/>
  <c r="Y141" i="3"/>
  <c r="Y142" i="3" s="1"/>
  <c r="X141" i="3"/>
  <c r="X142" i="3" s="1"/>
  <c r="W141" i="3"/>
  <c r="W142" i="3" s="1"/>
  <c r="V141" i="3"/>
  <c r="V142" i="3" s="1"/>
  <c r="U141" i="3"/>
  <c r="U142" i="3" s="1"/>
  <c r="T141" i="3"/>
  <c r="T142" i="3" s="1"/>
  <c r="Z140" i="3"/>
  <c r="Y140" i="3"/>
  <c r="X140" i="3"/>
  <c r="W140" i="3"/>
  <c r="V140" i="3"/>
  <c r="U140" i="3"/>
  <c r="T140" i="3"/>
  <c r="Z139" i="3"/>
  <c r="Y139" i="3"/>
  <c r="X139" i="3"/>
  <c r="W139" i="3"/>
  <c r="V139" i="3"/>
  <c r="U139" i="3"/>
  <c r="T139" i="3"/>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W108" i="3"/>
  <c r="V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Y65" i="3"/>
  <c r="X65" i="3"/>
  <c r="U65" i="3"/>
  <c r="T65" i="3"/>
  <c r="Y63" i="3"/>
  <c r="X63" i="3"/>
  <c r="U63" i="3"/>
  <c r="T63" i="3"/>
  <c r="Y62" i="3"/>
  <c r="Y61" i="3"/>
  <c r="X61" i="3"/>
  <c r="U61" i="3"/>
  <c r="T61" i="3"/>
  <c r="Y59" i="3"/>
  <c r="Y108" i="3" s="1"/>
  <c r="X59" i="3"/>
  <c r="X108" i="3" s="1"/>
  <c r="U59" i="3"/>
  <c r="U108" i="3" s="1"/>
  <c r="T59" i="3"/>
  <c r="T108" i="3" s="1"/>
  <c r="Y58" i="3"/>
  <c r="Y155" i="3" s="1"/>
  <c r="X58" i="3"/>
  <c r="X155" i="3" s="1"/>
  <c r="U58" i="3"/>
  <c r="U155" i="3" s="1"/>
  <c r="T58" i="3"/>
  <c r="T155" i="3" s="1"/>
  <c r="Y57" i="3"/>
  <c r="X57" i="3"/>
  <c r="W57" i="3"/>
  <c r="U57" i="3"/>
  <c r="T57" i="3"/>
  <c r="Y56" i="3"/>
  <c r="X56" i="3"/>
  <c r="Y55" i="3"/>
  <c r="X55" i="3"/>
  <c r="U55" i="3"/>
  <c r="T55" i="3"/>
  <c r="Y54" i="3"/>
  <c r="X54" i="3"/>
  <c r="T54" i="3"/>
  <c r="Y53" i="3"/>
  <c r="X53" i="3"/>
  <c r="U53" i="3"/>
  <c r="T53" i="3"/>
  <c r="Y52" i="3"/>
  <c r="X52" i="3"/>
  <c r="U52" i="3"/>
  <c r="T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X10" i="3"/>
  <c r="W10" i="3"/>
  <c r="V10" i="3"/>
  <c r="U10" i="3"/>
  <c r="T10" i="3"/>
  <c r="Z7" i="3"/>
  <c r="Z99" i="3" s="1"/>
  <c r="Y7" i="3"/>
  <c r="X7" i="3"/>
  <c r="W7" i="3"/>
  <c r="V7" i="3"/>
  <c r="U7" i="3"/>
  <c r="T7" i="3"/>
  <c r="G94" i="17"/>
  <c r="F94" i="17"/>
  <c r="E94" i="17"/>
  <c r="D94" i="17"/>
  <c r="C94" i="17"/>
  <c r="G91" i="17"/>
  <c r="F91" i="17"/>
  <c r="E91" i="17"/>
  <c r="D91" i="17"/>
  <c r="G90" i="17"/>
  <c r="F90" i="17"/>
  <c r="E90" i="17"/>
  <c r="D90" i="17"/>
  <c r="C91" i="17"/>
  <c r="C90" i="17"/>
  <c r="G89" i="17"/>
  <c r="F89" i="17"/>
  <c r="E89" i="17"/>
  <c r="D89" i="17"/>
  <c r="C89" i="17"/>
  <c r="G88" i="17"/>
  <c r="F88" i="17"/>
  <c r="E88" i="17"/>
  <c r="D88" i="17"/>
  <c r="C88" i="17"/>
  <c r="I13" i="1"/>
  <c r="H7" i="1"/>
  <c r="H6" i="1"/>
  <c r="C83" i="12"/>
  <c r="G36" i="12"/>
  <c r="F36" i="12"/>
  <c r="E36" i="12"/>
  <c r="D36" i="12"/>
  <c r="C36" i="12"/>
  <c r="G15" i="8"/>
  <c r="F15" i="8"/>
  <c r="E15" i="8"/>
  <c r="D15" i="8"/>
  <c r="C15" i="8"/>
  <c r="C46" i="1"/>
  <c r="AC64" i="3"/>
  <c r="AC60" i="3"/>
  <c r="AA108" i="3"/>
  <c r="AA41" i="3"/>
  <c r="AA35" i="3"/>
  <c r="AA19"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9" i="17" s="1"/>
  <c r="B190" i="3"/>
  <c r="B98" i="17" s="1"/>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AA68" i="3" l="1"/>
  <c r="AC13" i="3"/>
  <c r="Z173" i="3"/>
  <c r="Z150" i="3"/>
  <c r="Z77" i="3"/>
  <c r="Z151" i="3" s="1"/>
  <c r="Z152" i="3" s="1"/>
  <c r="Z170" i="3"/>
  <c r="Y150" i="3"/>
  <c r="Y77" i="3"/>
  <c r="Y151" i="3" s="1"/>
  <c r="Y152" i="3" s="1"/>
  <c r="Y173" i="3"/>
  <c r="Y170" i="3"/>
  <c r="X150" i="3"/>
  <c r="X77" i="3"/>
  <c r="X151" i="3" s="1"/>
  <c r="X152" i="3" s="1"/>
  <c r="X173" i="3"/>
  <c r="X170" i="3"/>
  <c r="W150" i="3"/>
  <c r="W77" i="3"/>
  <c r="W151" i="3" s="1"/>
  <c r="W152" i="3" s="1"/>
  <c r="W173" i="3"/>
  <c r="W170" i="3"/>
  <c r="V150" i="3"/>
  <c r="V77" i="3"/>
  <c r="V151" i="3" s="1"/>
  <c r="V152" i="3" s="1"/>
  <c r="V173" i="3"/>
  <c r="V170" i="3"/>
  <c r="U150" i="3"/>
  <c r="U77" i="3"/>
  <c r="U151" i="3" s="1"/>
  <c r="U152" i="3" s="1"/>
  <c r="U173" i="3"/>
  <c r="U170" i="3"/>
  <c r="T173" i="3"/>
  <c r="T150" i="3"/>
  <c r="T77" i="3"/>
  <c r="T151" i="3" s="1"/>
  <c r="T152" i="3" s="1"/>
  <c r="T170" i="3"/>
  <c r="Y175" i="3"/>
  <c r="Y176" i="3"/>
  <c r="Y177" i="3"/>
  <c r="X175" i="3"/>
  <c r="X176" i="3"/>
  <c r="X177" i="3"/>
  <c r="U175" i="3"/>
  <c r="U176" i="3"/>
  <c r="U177" i="3"/>
  <c r="T175" i="3"/>
  <c r="T176" i="3"/>
  <c r="T177" i="3"/>
  <c r="Y172" i="3"/>
  <c r="Y171" i="3"/>
  <c r="X172" i="3"/>
  <c r="X171" i="3"/>
  <c r="U172" i="3"/>
  <c r="U171" i="3"/>
  <c r="T171" i="3"/>
  <c r="T172" i="3"/>
  <c r="Y68" i="3"/>
  <c r="Y69" i="3" s="1"/>
  <c r="Z93" i="3"/>
  <c r="X68" i="3"/>
  <c r="X69" i="3" s="1"/>
  <c r="Y93" i="3"/>
  <c r="W68" i="3"/>
  <c r="W69" i="3" s="1"/>
  <c r="X93" i="3"/>
  <c r="V68" i="3"/>
  <c r="V69" i="3" s="1"/>
  <c r="W93" i="3"/>
  <c r="U68" i="3"/>
  <c r="U69" i="3" s="1"/>
  <c r="V93" i="3"/>
  <c r="T68" i="3"/>
  <c r="T69" i="3" s="1"/>
  <c r="T93" i="3"/>
  <c r="U93" i="3"/>
  <c r="Z90" i="3"/>
  <c r="Y99" i="3"/>
  <c r="Y90" i="3"/>
  <c r="X99" i="3"/>
  <c r="W99" i="3"/>
  <c r="X90" i="3"/>
  <c r="V99" i="3"/>
  <c r="W90" i="3"/>
  <c r="U99" i="3"/>
  <c r="V90" i="3"/>
  <c r="U90" i="3"/>
  <c r="T90" i="3"/>
  <c r="T99" i="3"/>
  <c r="J64" i="20"/>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C68" i="12" s="1"/>
  <c r="H65" i="20"/>
  <c r="AC58" i="3"/>
  <c r="V14" i="6"/>
  <c r="U14" i="6"/>
  <c r="AC10" i="3"/>
  <c r="AC68" i="3" s="1"/>
  <c r="T14" i="6"/>
  <c r="S14" i="6"/>
  <c r="R14" i="6"/>
  <c r="Q14" i="6"/>
  <c r="P14" i="6"/>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9" i="17" s="1"/>
  <c r="G7" i="5"/>
  <c r="L66" i="19"/>
  <c r="L65" i="19"/>
  <c r="Q190" i="3"/>
  <c r="G98"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9" i="17"/>
  <c r="C99" i="17"/>
  <c r="F20" i="18"/>
  <c r="C20" i="18"/>
  <c r="F18" i="18"/>
  <c r="C18" i="18"/>
  <c r="F10" i="18"/>
  <c r="C10" i="18"/>
  <c r="F99" i="17"/>
  <c r="E99" i="17"/>
  <c r="F98" i="17"/>
  <c r="E98" i="17"/>
  <c r="D98" i="17"/>
  <c r="C98"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A139" i="3"/>
  <c r="AC141" i="3"/>
  <c r="AC139" i="3"/>
  <c r="Q139" i="3"/>
  <c r="F9"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F17" i="16" l="1"/>
  <c r="I22" i="17"/>
  <c r="I23" i="17" s="1"/>
  <c r="AC143" i="3"/>
  <c r="C8" i="10"/>
  <c r="C81" i="12"/>
  <c r="AA7" i="5"/>
  <c r="Z13" i="5"/>
  <c r="Z22" i="5"/>
  <c r="AA20" i="5"/>
  <c r="AA6" i="5" s="1"/>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AC172" i="3"/>
  <c r="C53" i="16" s="1"/>
  <c r="F18" i="16"/>
  <c r="AE19" i="5"/>
  <c r="J19" i="5"/>
  <c r="D5" i="12"/>
  <c r="D6" i="11"/>
  <c r="Q181" i="3"/>
  <c r="Q180" i="3"/>
  <c r="E3" i="17"/>
  <c r="J56" i="19"/>
  <c r="E5" i="5"/>
  <c r="E18" i="5" s="1"/>
  <c r="D6" i="14"/>
  <c r="D6" i="7"/>
  <c r="D5" i="6"/>
  <c r="D5" i="8"/>
  <c r="D11" i="5"/>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G22" i="7"/>
  <c r="D22" i="7"/>
  <c r="E21" i="7"/>
  <c r="C21" i="7"/>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C80" i="12" s="1"/>
  <c r="AA145" i="3"/>
  <c r="G32" i="12"/>
  <c r="Q145" i="3"/>
  <c r="G46" i="17" s="1"/>
  <c r="F32" i="12"/>
  <c r="F46" i="17"/>
  <c r="E32" i="12"/>
  <c r="E46" i="17"/>
  <c r="D32" i="12"/>
  <c r="D46" i="17"/>
  <c r="C32" i="12"/>
  <c r="C46" i="17"/>
  <c r="AC107" i="3"/>
  <c r="AC156" i="3" s="1"/>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I71" i="17" l="1"/>
  <c r="C52" i="16"/>
  <c r="AC77" i="3"/>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I91" i="17" l="1"/>
  <c r="C61" i="16"/>
  <c r="K20" i="5"/>
  <c r="J6" i="5"/>
  <c r="P154" i="3"/>
  <c r="P153" i="3"/>
  <c r="P158" i="3"/>
  <c r="O153" i="3"/>
  <c r="O154" i="3"/>
  <c r="O158" i="3"/>
  <c r="N154" i="3"/>
  <c r="N153" i="3"/>
  <c r="N158" i="3"/>
  <c r="M154" i="3"/>
  <c r="M158" i="3"/>
  <c r="M153" i="3"/>
  <c r="L154" i="3"/>
  <c r="L158" i="3"/>
  <c r="L153" i="3"/>
  <c r="L19" i="5"/>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I90" i="17" l="1"/>
  <c r="C60" i="16"/>
  <c r="L20" i="5"/>
  <c r="L6" i="5" s="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C74" i="12" s="1"/>
  <c r="C77" i="12" s="1"/>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17" i="10"/>
  <c r="C16" i="10"/>
  <c r="AC115" i="3"/>
  <c r="I6" i="17"/>
  <c r="C58" i="12" l="1"/>
  <c r="C7" i="13" s="1"/>
  <c r="I5" i="1" s="1"/>
  <c r="I18" i="1"/>
  <c r="C20" i="10"/>
  <c r="AC151" i="3"/>
  <c r="AC149" i="3"/>
  <c r="AC148" i="3"/>
  <c r="AC161" i="3"/>
  <c r="AC150" i="3"/>
  <c r="AC160" i="3"/>
  <c r="C21" i="14" l="1"/>
  <c r="C75" i="12"/>
  <c r="C78" i="12" s="1"/>
  <c r="C62" i="12"/>
  <c r="C65" i="12" s="1"/>
  <c r="C41" i="12"/>
  <c r="C44" i="12" s="1"/>
  <c r="C15" i="11"/>
  <c r="I17" i="1" s="1"/>
  <c r="C38" i="16"/>
  <c r="F9" i="1"/>
  <c r="I51" i="17"/>
  <c r="I11" i="17"/>
  <c r="C10" i="16"/>
  <c r="C40" i="16"/>
  <c r="I53" i="17"/>
  <c r="F11" i="1"/>
  <c r="I10" i="17"/>
  <c r="C9" i="16"/>
  <c r="F7" i="1"/>
  <c r="F3" i="1"/>
  <c r="AC162" i="3"/>
  <c r="AC157" i="3"/>
  <c r="AC174" i="3"/>
  <c r="I7" i="17"/>
  <c r="C6" i="16"/>
  <c r="AC152" i="3"/>
  <c r="AC163" i="3"/>
  <c r="AC159" i="3"/>
  <c r="C8" i="16"/>
  <c r="I9" i="17"/>
  <c r="F6" i="1"/>
  <c r="C58" i="16" l="1"/>
  <c r="I88" i="17"/>
  <c r="H10" i="14"/>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59" i="16" l="1"/>
  <c r="I89" i="17"/>
  <c r="C29" i="14"/>
  <c r="C31" i="14" s="1"/>
  <c r="C34" i="14" s="1"/>
  <c r="C36" i="14" s="1"/>
  <c r="C16" i="14" s="1"/>
  <c r="I14" i="1"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<sst xmlns="http://schemas.openxmlformats.org/spreadsheetml/2006/main" count="831" uniqueCount="450">
  <si>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</si>
  <si>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</si>
  <si>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</si>
  <si>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</si>
  <si>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</si>
  <si>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</si>
  <si>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</si>
  <si>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</si>
  <si>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</si>
  <si>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</si>
  <si>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</si>
  <si>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</si>
  <si>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</si>
  <si>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</si>
  <si>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</si>
  <si>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</si>
  <si>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</si>
  <si>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</si>
  <si>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</si>
  <si>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</si>
  <si>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</si>
  <si>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</si>
  <si>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</si>
  <si>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</si>
  <si>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</si>
  <si>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</si>
  <si>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</si>
  <si>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</si>
  <si>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</si>
  <si>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</si>
  <si>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</si>
  <si>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</si>
  <si>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</si>
  <si>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</si>
  <si>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</si>
  <si>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</si>
  <si>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</si>
  <si>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</si>
  <si>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</si>
  <si>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</si>
  <si>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</si>
  <si>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</si>
  <si>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</si>
  <si>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</si>
  <si>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</si>
  <si>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</si>
  <si>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</si>
  <si>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</si>
  <si>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</si>
  <si>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</si>
  <si>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</si>
  <si>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</si>
  <si>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</si>
  <si>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</si>
  <si>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</si>
  <si>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</si>
  <si>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</si>
  <si>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</si>
  <si>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</si>
  <si>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</si>
  <si>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</si>
  <si>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</si>
  <si>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</si>
  <si>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</si>
  <si>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</si>
  <si>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</si>
  <si>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</si>
  <si>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</si>
  <si>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</si>
  <si>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</si>
  <si>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</si>
  <si>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</si>
  <si>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</si>
  <si>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</si>
  <si>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</si>
  <si>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</si>
  <si>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</si>
  <si>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</si>
  <si>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</si>
  <si>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</si>
  <si>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</si>
  <si>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</si>
  <si>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</si>
  <si>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</si>
  <si>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</si>
  <si>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</si>
  <si>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</si>
  <si>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</si>
  <si>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</si>
  <si>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</si>
  <si>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</si>
  <si>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</si>
  <si>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</si>
  <si>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</si>
  <si>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</si>
  <si>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</si>
  <si>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</si>
  <si>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</si>
  <si>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</si>
  <si>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</si>
  <si>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</si>
  <si>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</si>
  <si>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</si>
  <si>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</si>
  <si>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</si>
  <si>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</si>
  <si>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</si>
  <si>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</si>
  <si>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</si>
  <si>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</si>
  <si>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</si>
  <si>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</si>
  <si>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</si>
  <si>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</si>
  <si>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</si>
  <si>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</si>
  <si>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</si>
  <si>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</si>
  <si>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</si>
  <si>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</si>
  <si>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</si>
  <si>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</si>
  <si>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</si>
  <si>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</si>
  <si>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</si>
  <si>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</si>
  <si>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</si>
  <si>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</si>
  <si>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</si>
  <si>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</si>
  <si>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</si>
  <si>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</si>
  <si>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</si>
  <si>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</si>
  <si>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</si>
  <si>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</si>
  <si>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</si>
  <si>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</si>
  <si>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</si>
  <si>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</si>
  <si>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</si>
  <si>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</si>
  <si>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</si>
  <si>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</si>
  <si>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</si>
  <si>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</si>
  <si>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</si>
  <si>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</si>
  <si>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</si>
  <si>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</si>
  <si>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</si>
  <si>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</si>
  <si>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</si>
  <si>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</si>
  <si>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</si>
  <si>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</si>
  <si>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</si>
  <si>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</si>
  <si>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</si>
  <si>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</si>
  <si>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</si>
  <si>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</si>
  <si>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</si>
  <si>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</si>
  <si>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</si>
  <si>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</si>
  <si>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</si>
  <si>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</si>
  <si>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</si>
  <si>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</si>
  <si>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</si>
  <si>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</si>
  <si>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</si>
  <si>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</si>
  <si>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</si>
  <si>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</si>
  <si>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</si>
  <si>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</si>
  <si>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</si>
  <si>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</si>
  <si>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</si>
  <si>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</si>
  <si>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</si>
  <si>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</si>
  <si>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</si>
  <si>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</si>
  <si>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</si>
  <si>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</si>
  <si>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</si>
  <si>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</si>
  <si>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</si>
  <si>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</si>
  <si>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</si>
  <si>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</si>
  <si>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</si>
  <si>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</si>
  <si>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</si>
  <si>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</si>
  <si>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</si>
  <si>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</si>
  <si>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</si>
  <si>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</si>
  <si>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</si>
  <si>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</si>
  <si>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</si>
  <si>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</si>
  <si>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</si>
  <si>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</si>
  <si>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</si>
  <si>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</si>
  <si>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</si>
  <si>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</si>
  <si>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</si>
  <si>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</si>
  <si>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</si>
  <si>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</si>
  <si>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</si>
  <si>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</si>
  <si>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</si>
  <si>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</si>
  <si>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</si>
  <si>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</si>
  <si>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</si>
  <si>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</si>
  <si>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</si>
  <si>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</si>
  <si>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</si>
  <si>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</si>
  <si>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</si>
  <si>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</si>
  <si>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</si>
  <si>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</si>
  <si>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</si>
  <si>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</si>
  <si>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</si>
  <si>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</si>
  <si>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</si>
  <si>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</si>
  <si>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</si>
  <si>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</si>
  <si>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</si>
  <si>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</si>
  <si>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</si>
  <si>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</si>
  <si>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</si>
  <si>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</si>
  <si>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</si>
  <si>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</si>
  <si>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</si>
  <si>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</si>
  <si>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</si>
  <si>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</si>
  <si>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</si>
  <si>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</si>
  <si>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</si>
  <si>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</si>
  <si>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</si>
  <si>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</si>
  <si>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</si>
  <si>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</si>
  <si>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</si>
  <si>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</si>
  <si>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</si>
  <si>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</si>
  <si>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</si>
  <si>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</si>
  <si>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</si>
  <si>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</si>
  <si>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</si>
  <si>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</si>
  <si>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</si>
  <si>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</si>
  <si>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</si>
  <si>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</si>
  <si>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</si>
  <si>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</si>
  <si>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</si>
  <si>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</si>
  <si>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</si>
  <si>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</si>
  <si>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</si>
  <si>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</si>
  <si>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</si>
  <si>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</si>
  <si>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</si>
  <si>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</si>
  <si>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</si>
  <si>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</si>
  <si>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</si>
  <si>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</si>
  <si>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</si>
  <si>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</si>
  <si>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</si>
  <si>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</si>
  <si>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</si>
  <si>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</si>
  <si>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</si>
  <si>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</si>
  <si>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</si>
  <si>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</si>
  <si>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</si>
  <si>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</si>
  <si>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</si>
  <si>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</si>
  <si>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</si>
  <si>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</si>
  <si>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</si>
  <si>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</si>
  <si>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</si>
  <si>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</si>
  <si>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</si>
  <si>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</si>
  <si>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</si>
  <si>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</si>
  <si>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</si>
  <si>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</si>
  <si>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</si>
  <si>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</si>
  <si>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</si>
  <si>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</si>
  <si>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</si>
  <si>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</si>
  <si>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</si>
  <si>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</si>
  <si>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</si>
  <si>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</si>
  <si>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</si>
  <si>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</si>
  <si>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</si>
  <si>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</si>
  <si>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</si>
  <si>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</si>
  <si>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</si>
  <si>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</si>
  <si>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</si>
  <si>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</si>
  <si>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</si>
  <si>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</si>
  <si>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</si>
  <si>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</si>
  <si>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</si>
  <si>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</si>
  <si>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</si>
  <si>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</si>
  <si>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</si>
  <si>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</si>
  <si>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</si>
  <si>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</si>
  <si>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</si>
  <si>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</si>
  <si>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</si>
  <si>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</si>
  <si>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</si>
  <si>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</si>
  <si>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</si>
  <si>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</si>
  <si>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</si>
  <si>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</si>
  <si>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</si>
  <si>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</si>
  <si>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</si>
  <si>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</si>
  <si>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</si>
  <si>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</si>
  <si>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</si>
  <si>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</si>
  <si>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</si>
  <si>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</si>
  <si>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</si>
  <si>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</si>
  <si>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</si>
  <si>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</si>
  <si>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</si>
  <si>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</si>
  <si>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</si>
  <si>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</si>
  <si>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</si>
  <si>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</si>
  <si>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</si>
  <si>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</si>
  <si>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</si>
  <si>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</si>
  <si>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</si>
  <si>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</si>
  <si>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</si>
  <si>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</si>
  <si>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</si>
  <si>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</si>
  <si>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</si>
  <si>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</si>
  <si>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</si>
  <si>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</si>
  <si>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</si>
  <si>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</si>
  <si>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</si>
  <si>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</si>
  <si>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</si>
  <si>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</si>
  <si>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</si>
  <si>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</si>
  <si>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</si>
  <si>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</si>
  <si>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</si>
  <si>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</si>
  <si>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</si>
  <si>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</si>
  <si>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</si>
  <si>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</si>
  <si>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</si>
  <si>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</si>
  <si>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</si>
  <si>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</si>
  <si>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</si>
  <si>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</si>
  <si>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</si>
  <si>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</si>
  <si>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</si>
  <si>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</si>
  <si>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</si>
  <si>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</si>
  <si>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</si>
  <si>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</si>
  <si>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</si>
  <si>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</si>
  <si>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</si>
  <si>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</si>
  <si>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</si>
  <si>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</si>
  <si>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</si>
  <si>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</si>
  <si>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</si>
  <si>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</si>
  <si>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</si>
  <si>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</si>
  <si>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</si>
  <si>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</si>
  <si>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</si>
  <si>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</si>
  <si>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</si>
  <si>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</si>
  <si>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</si>
  <si>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</si>
  <si>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</si>
  <si>
    <t>Q1 2027</t>
  </si>
  <si>
    <t>02.10.2026</t>
  </si>
  <si>
    <t>28.10.2026</t>
  </si>
  <si>
    <t>Nearline exabyte supply largely allocated into CY28 and some customers expand planning horizons into CY30 and beyond</t>
  </si>
  <si>
    <t>Q2 OpEx expected at about 300M</t>
  </si>
  <si>
    <t>Q2 Operating margin at about 50%</t>
  </si>
  <si>
    <t>Q2 diluted avg shares will be 233M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</si>
</sst>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1">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37" fontId="9" fillId="20" borderId="0" xfId="0" applyNumberFormat="1" applyFont="1" applyFill="1"/>
    <xf numFmtId="38" fontId="9" fillId="20"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2325</c:v>
                </c:pt>
                <c:pt idx="1">
                  <c:v>2160</c:v>
                </c:pt>
                <c:pt idx="2">
                  <c:v>2444</c:v>
                </c:pt>
                <c:pt idx="3">
                  <c:v>2629</c:v>
                </c:pt>
                <c:pt idx="4">
                  <c:v>2825</c:v>
                </c:pt>
                <c:pt idx="5">
                  <c:v>3112</c:v>
                </c:pt>
                <c:pt idx="6">
                  <c:v>3629</c:v>
                </c:pt>
                <c:pt idx="7">
                  <c:v>4233</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488</c:v>
                </c:pt>
                <c:pt idx="1">
                  <c:v>431</c:v>
                </c:pt>
                <c:pt idx="2">
                  <c:v>568</c:v>
                </c:pt>
                <c:pt idx="3">
                  <c:v>694</c:v>
                </c:pt>
                <c:pt idx="4">
                  <c:v>843</c:v>
                </c:pt>
                <c:pt idx="5">
                  <c:v>998</c:v>
                </c:pt>
                <c:pt idx="6">
                  <c:v>1559</c:v>
                </c:pt>
                <c:pt idx="7">
                  <c:v>2064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336</c:v>
                </c:pt>
                <c:pt idx="1">
                  <c:v>340</c:v>
                </c:pt>
                <c:pt idx="2">
                  <c:v>488</c:v>
                </c:pt>
                <c:pt idx="3">
                  <c:v>549</c:v>
                </c:pt>
                <c:pt idx="4">
                  <c:v>593</c:v>
                </c:pt>
                <c:pt idx="5">
                  <c:v>748</c:v>
                </c:pt>
                <c:pt idx="6">
                  <c:v>1294</c:v>
                </c:pt>
                <c:pt idx="7">
                  <c:v>1761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0.34924731182795699</c:v>
                </c:pt>
                <c:pt idx="1">
                  <c:v>0.35185185185185186</c:v>
                </c:pt>
                <c:pt idx="2">
                  <c:v>0.3739770867430442</c:v>
                </c:pt>
                <c:pt idx="3">
                  <c:v>0.39444655762647396</c:v>
                </c:pt>
                <c:pt idx="4">
                  <c:v>0.41628318584070795</c:v>
                </c:pt>
                <c:pt idx="5">
                  <c:v>0.46497429305912596</c:v>
                </c:pt>
                <c:pt idx="6">
                  <c:v>0.52300909341416368</c:v>
                </c:pt>
                <c:pt idx="7">
                  <c:v>0.57335223245924871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0.20989247311827958</c:v>
                </c:pt>
                <c:pt idx="1">
                  <c:v>0.19953703703703704</c:v>
                </c:pt>
                <c:pt idx="2">
                  <c:v>0.23240589198036007</c:v>
                </c:pt>
                <c:pt idx="3">
                  <c:v>0.26397869912514266</c:v>
                </c:pt>
                <c:pt idx="4">
                  <c:v>0.2984070796460177</c:v>
                </c:pt>
                <c:pt idx="5">
                  <c:v>0.32069408740359895</c:v>
                </c:pt>
                <c:pt idx="6">
                  <c:v>0.42959492973270874</c:v>
                </c:pt>
                <c:pt idx="7">
                  <c:v>0.48759744861800142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0.14451612903225808</c:v>
                </c:pt>
                <c:pt idx="1">
                  <c:v>0.15740740740740741</c:v>
                </c:pt>
                <c:pt idx="2">
                  <c:v>0.19967266775777415</c:v>
                </c:pt>
                <c:pt idx="3">
                  <c:v>0.20882464815519208</c:v>
                </c:pt>
                <c:pt idx="4">
                  <c:v>0.20991150442477877</c:v>
                </c:pt>
                <c:pt idx="5">
                  <c:v>0.24035989717223649</c:v>
                </c:pt>
                <c:pt idx="6">
                  <c:v>0.35657205841829703</c:v>
                </c:pt>
                <c:pt idx="7">
                  <c:v>0.41601700921332391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1736</c:v>
                </c:pt>
                <c:pt idx="1">
                  <c:v>1615</c:v>
                </c:pt>
                <c:pt idx="2">
                  <c:v>1863</c:v>
                </c:pt>
                <c:pt idx="3">
                  <c:v>2114</c:v>
                </c:pt>
                <c:pt idx="4">
                  <c:v>2224</c:v>
                </c:pt>
                <c:pt idx="5">
                  <c:v>2500</c:v>
                </c:pt>
                <c:pt idx="6">
                  <c:v>2933</c:v>
                </c:pt>
                <c:pt idx="7">
                  <c:v>3449</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589</c:v>
                </c:pt>
                <c:pt idx="1">
                  <c:v>545</c:v>
                </c:pt>
                <c:pt idx="2">
                  <c:v>581</c:v>
                </c:pt>
                <c:pt idx="3">
                  <c:v>515</c:v>
                </c:pt>
                <c:pt idx="4">
                  <c:v>601</c:v>
                </c:pt>
                <c:pt idx="5">
                  <c:v>612</c:v>
                </c:pt>
                <c:pt idx="6">
                  <c:v>697</c:v>
                </c:pt>
                <c:pt idx="7">
                  <c:v>784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101</c:v>
                </c:pt>
                <c:pt idx="1">
                  <c:v>162</c:v>
                </c:pt>
                <c:pt idx="2">
                  <c:v>366</c:v>
                </c:pt>
                <c:pt idx="3">
                  <c:v>375</c:v>
                </c:pt>
                <c:pt idx="4">
                  <c:v>554</c:v>
                </c:pt>
                <c:pt idx="5">
                  <c:v>899</c:v>
                </c:pt>
                <c:pt idx="6">
                  <c:v>1064</c:v>
                </c:pt>
                <c:pt idx="7">
                  <c:v>1416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228.61</v>
    <v>2.1227999999999998</v>
    <v>2.5</v>
    <v>3.5820000000000001E-3</v>
    <v>-22.47</v>
    <v>-3.2078000000000002E-2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718.65</v>
    <v>Computers, Phones &amp; Household Electronics</v>
    <v>Stock</v>
    <v>46324.904922892965</v>
    <v>0</v>
    <v>675.41</v>
    <v>160436279223</v>
    <v>SEAGATE TECHNOLOGY HOLDINGS PUBLIC LIMITED COMPANY</v>
    <v>SEAGATE TECHNOLOGY HOLDINGS PUBLIC LIMITED COMPANY</v>
    <v>687.27</v>
    <v>36.798299999999998</v>
    <v>697.97</v>
    <v>700.47</v>
    <v>678</v>
    <v>229040900</v>
    <v>STX</v>
    <v>SEAGATE TECHNOLOGY HOLDINGS PUBLIC LIMITED COMPANY (XNAS:STX)</v>
    <v>5318878</v>
    <v>5301942</v>
    <v>2017</v>
  </rv>
  <rv s="2">
    <v>1</v>
  </rv>
  <rv s="0">
    <v>https://www.bing.com/financeapi/forcetrigger?t=a33knm&amp;q=10+Y+TSY+YLD+NDX&amp;form=skydnc</v>
    <v>Learn more on Bing</v>
  </rv>
  <rv s="3">
    <v>5</v>
    <v>10 Y TSY YLD NDX</v>
    <v>6</v>
    <v>7</v>
    <v>Finance</v>
    <v>8</v>
    <v>en-US</v>
    <v>a33knm</v>
    <v>268435456</v>
    <v>1</v>
    <v>Powered by Refinitiv</v>
    <v>53.64</v>
    <v>39.56</v>
    <v>0.52</v>
    <v>1.0415000000000001E-2</v>
    <v>US</v>
    <v>50.49</v>
    <v>Index</v>
    <v>3</v>
    <v>49.91</v>
    <v>10 Y TSY YLD NDX</v>
    <v>49.99</v>
    <v>49.93</v>
    <v>50.45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81"/>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1" t="s">
        <v>17</v>
      </c>
      <c r="C2" s="252"/>
      <c r="E2" s="251" t="s">
        <v>286</v>
      </c>
      <c r="F2" s="252"/>
      <c r="H2" s="251" t="s">
        <v>324</v>
      </c>
      <c r="I2" s="252"/>
      <c r="K2" s="132" t="s">
        <v>432</v>
      </c>
    </row>
    <row r="3" spans="2:11" x14ac:dyDescent="0.2">
      <c r="B3" s="181" t="s">
        <v>11</v>
      </c>
      <c r="C3" s="213" t="e" vm="1">
        <v>#VALUE!</v>
      </c>
      <c r="D3" s="2"/>
      <c r="E3" s="181" t="s">
        <v>238</v>
      </c>
      <c r="F3" s="183">
        <f ca="1">Statement!AC151</f>
        <v>166011.39000000001</v>
      </c>
      <c r="H3" s="181" t="str">
        <f>'AVG target price'!B5</f>
        <v>DCF price</v>
      </c>
      <c r="I3" s="207">
        <f ca="1">'AVG target price'!C5</f>
        <v>163.20468609971843</v>
      </c>
      <c r="K3" s="244" t="s">
        <v>433</v>
      </c>
    </row>
    <row r="4" spans="2:11" x14ac:dyDescent="0.2">
      <c r="B4" s="181" t="s">
        <v>0</v>
      </c>
      <c r="C4" s="185" t="str" cm="1">
        <f t="array" aca="1" ref="C4" ca="1">_FV(C3,"Ticker symbol",TRUE)</f>
        <v>STX</v>
      </c>
      <c r="E4" s="182" t="s">
        <v>187</v>
      </c>
      <c r="F4" s="184">
        <f ca="1">Statement!AC152</f>
        <v>167104.39000000001</v>
      </c>
      <c r="H4" s="181" t="str">
        <f>'AVG target price'!B6</f>
        <v>EV/EBIT price</v>
      </c>
      <c r="I4" s="207">
        <f ca="1">'AVG target price'!C6</f>
        <v>252.67105031739115</v>
      </c>
      <c r="K4" s="244" t="s">
        <v>434</v>
      </c>
    </row>
    <row r="5" spans="2:11" x14ac:dyDescent="0.2">
      <c r="B5" s="181" t="s">
        <v>1</v>
      </c>
      <c r="C5" s="204" cm="1">
        <f t="array" aca="1" ref="C5" ca="1">_FV(C3,"Price",TRUE)</f>
        <v>700.47</v>
      </c>
      <c r="E5" s="181" t="s">
        <v>242</v>
      </c>
      <c r="F5" s="185">
        <f>Statement!AC25</f>
        <v>19.04</v>
      </c>
      <c r="H5" s="181" t="str">
        <f>'AVG target price'!B7</f>
        <v>PS price</v>
      </c>
      <c r="I5" s="207">
        <f ca="1">'AVG target price'!C7</f>
        <v>169.72180525769809</v>
      </c>
      <c r="K5" s="244" t="s">
        <v>435</v>
      </c>
    </row>
    <row r="6" spans="2:11" x14ac:dyDescent="0.2">
      <c r="B6" s="181" t="s">
        <v>2</v>
      </c>
      <c r="C6" s="204" cm="1">
        <f t="array" aca="1" ref="C6" ca="1">_FV(C3,"Price (Extended hours)",TRUE)</f>
        <v>678</v>
      </c>
      <c r="E6" s="181" t="s">
        <v>236</v>
      </c>
      <c r="F6" s="186">
        <f ca="1">Statement!AC148</f>
        <v>36.789390756302524</v>
      </c>
      <c r="H6" s="181" t="str">
        <f>'AVG target price'!B8</f>
        <v>EV/FCFF price</v>
      </c>
      <c r="I6" s="207">
        <f ca="1">'AVG target price'!C8</f>
        <v>271.17526997650612</v>
      </c>
      <c r="K6" s="245" t="s">
        <v>436</v>
      </c>
    </row>
    <row r="7" spans="2:11" x14ac:dyDescent="0.2">
      <c r="B7" s="181" t="s">
        <v>3</v>
      </c>
      <c r="C7" s="6" cm="1">
        <f t="array" aca="1" ref="C7" ca="1">_FV(C3,"Change")</f>
        <v>2.5</v>
      </c>
      <c r="E7" s="182" t="s">
        <v>200</v>
      </c>
      <c r="F7" s="187">
        <f ca="1">Statement!AC149</f>
        <v>11.688036633089355</v>
      </c>
      <c r="H7" s="181" t="str">
        <f>'AVG target price'!B9</f>
        <v>EV/Sales</v>
      </c>
      <c r="I7" s="207">
        <f ca="1">'AVG target price'!C9</f>
        <v>259.95645619283232</v>
      </c>
    </row>
    <row r="8" spans="2:11" x14ac:dyDescent="0.2">
      <c r="B8" s="181" t="s">
        <v>4</v>
      </c>
      <c r="C8" s="6" cm="1">
        <f t="array" aca="1" ref="C8" ca="1">_FV(C3,"Change (extended hours)",TRUE)</f>
        <v>-22.47</v>
      </c>
      <c r="E8" s="181" t="s">
        <v>264</v>
      </c>
      <c r="F8" s="188">
        <f ca="1">Statement!AC159</f>
        <v>2.3691145529231458E-2</v>
      </c>
      <c r="H8" s="180" t="str">
        <f>'AVG target price'!B10</f>
        <v>AVG price</v>
      </c>
      <c r="I8" s="208">
        <f ca="1">'AVG target price'!C10</f>
        <v>223.34585356882923</v>
      </c>
    </row>
    <row r="9" spans="2:11" x14ac:dyDescent="0.2">
      <c r="B9" s="181" t="s">
        <v>5</v>
      </c>
      <c r="C9" s="73" cm="1">
        <f t="array" aca="1" ref="C9" ca="1">_FV(C3,"Change (%)",TRUE)</f>
        <v>3.5820000000000001E-3</v>
      </c>
      <c r="E9" s="181" t="s">
        <v>287</v>
      </c>
      <c r="F9" s="188">
        <f ca="1">Statement!AC160</f>
        <v>2.7181749396833554E-2</v>
      </c>
      <c r="H9" s="180" t="str">
        <f>'AVG target price'!B12</f>
        <v>Upside/Downside</v>
      </c>
      <c r="I9" s="209">
        <f ca="1">'AVG target price'!C12</f>
        <v>-0.68114858085452734</v>
      </c>
    </row>
    <row r="10" spans="2:11" x14ac:dyDescent="0.2">
      <c r="B10" s="181" t="s">
        <v>6</v>
      </c>
      <c r="C10" s="73" cm="1">
        <f t="array" aca="1" ref="C10" ca="1">_FV(C3,"Change % (extended hours)",TRUE)</f>
        <v>-3.2078000000000002E-2</v>
      </c>
      <c r="E10" s="181" t="s">
        <v>292</v>
      </c>
      <c r="F10" s="188">
        <f ca="1">Statement!AC162</f>
        <v>3.29495464136527E-3</v>
      </c>
    </row>
    <row r="11" spans="2:11" x14ac:dyDescent="0.2">
      <c r="B11" s="181" t="s">
        <v>7</v>
      </c>
      <c r="C11" s="205" cm="1">
        <f t="array" aca="1" ref="C11" ca="1">_FV(C3,"52 week high",TRUE)</f>
        <v>1145</v>
      </c>
      <c r="E11" s="182" t="s">
        <v>288</v>
      </c>
      <c r="F11" s="189">
        <f ca="1">Statement!AC161</f>
        <v>4.1971818921581229E-3</v>
      </c>
      <c r="H11" s="180" t="s">
        <v>361</v>
      </c>
      <c r="I11" s="208">
        <f ca="1">DDM!C26</f>
        <v>23.874388772464595</v>
      </c>
    </row>
    <row r="12" spans="2:11" x14ac:dyDescent="0.2">
      <c r="B12" s="181" t="s">
        <v>8</v>
      </c>
      <c r="C12" s="205" cm="1">
        <f t="array" aca="1" ref="C12" ca="1">_FV(C3,"52 week low",TRUE)</f>
        <v>228.61</v>
      </c>
      <c r="E12" s="181" t="s">
        <v>101</v>
      </c>
      <c r="F12" s="188">
        <f>Statement!AC121</f>
        <v>0.42572147975982955</v>
      </c>
    </row>
    <row r="13" spans="2:11" x14ac:dyDescent="0.2">
      <c r="B13" s="181" t="s">
        <v>9</v>
      </c>
      <c r="C13" s="205" cm="1">
        <f t="array" aca="1" ref="C13" ca="1">_FV(C3,"Beta")</f>
        <v>2.1227999999999998</v>
      </c>
      <c r="E13" s="181" t="s">
        <v>103</v>
      </c>
      <c r="F13" s="188">
        <f>Statement!AC123</f>
        <v>1.2730958586736172</v>
      </c>
      <c r="H13" s="248" t="s">
        <v>429</v>
      </c>
      <c r="I13" s="246">
        <f>'Reverse DCF'!C17</f>
        <v>0.56000000000000005</v>
      </c>
    </row>
    <row r="14" spans="2:11" x14ac:dyDescent="0.2">
      <c r="B14" s="182" t="s">
        <v>10</v>
      </c>
      <c r="C14" s="206" cm="1">
        <f t="array" aca="1" ref="C14" ca="1">_FV(C3,"Volume average",TRUE)</f>
        <v>5301942</v>
      </c>
      <c r="E14" s="182" t="s">
        <v>104</v>
      </c>
      <c r="F14" s="189">
        <f>Statement!AC138</f>
        <v>1.0446242852597505</v>
      </c>
      <c r="H14" s="182" t="s">
        <v>438</v>
      </c>
      <c r="I14" s="247">
        <f ca="1">'Reverse DCF'!C16</f>
        <v>683.73137526123378</v>
      </c>
    </row>
    <row r="15" spans="2:11" x14ac:dyDescent="0.2">
      <c r="E15" s="181" t="s">
        <v>289</v>
      </c>
      <c r="F15" s="188">
        <f ca="1">Statement!AC174</f>
        <v>-6.5838855996567455E-3</v>
      </c>
    </row>
    <row r="16" spans="2:11" x14ac:dyDescent="0.2">
      <c r="E16" s="182" t="s">
        <v>294</v>
      </c>
      <c r="F16" s="187">
        <f>Statement!AC173</f>
        <v>-4.8149779735682818</v>
      </c>
      <c r="H16" s="251" t="s">
        <v>430</v>
      </c>
      <c r="I16" s="252"/>
    </row>
    <row r="17" spans="2:9" x14ac:dyDescent="0.2">
      <c r="B17" s="253" t="s">
        <v>89</v>
      </c>
      <c r="C17" s="253"/>
      <c r="E17" s="180" t="s">
        <v>295</v>
      </c>
      <c r="F17" s="190">
        <f>Statement!AC169</f>
        <v>8.4388185654008432E-3</v>
      </c>
      <c r="H17" s="181" t="s">
        <v>164</v>
      </c>
      <c r="I17" s="242">
        <f ca="1">DCF!C15</f>
        <v>0.14459949200436034</v>
      </c>
    </row>
    <row r="18" spans="2:9" x14ac:dyDescent="0.2">
      <c r="B18" s="180" t="s">
        <v>12</v>
      </c>
      <c r="C18" s="69" t="s">
        <v>354</v>
      </c>
      <c r="E18" s="181" t="s">
        <v>296</v>
      </c>
      <c r="F18" s="186">
        <f>Statement!AC142</f>
        <v>38.844913431678478</v>
      </c>
      <c r="H18" s="182" t="s">
        <v>431</v>
      </c>
      <c r="I18" s="243">
        <f ca="1">Multiples!C54</f>
        <v>0.14597599999999999</v>
      </c>
    </row>
    <row r="19" spans="2:9" x14ac:dyDescent="0.2">
      <c r="B19" s="180" t="s">
        <v>13</v>
      </c>
      <c r="C19" s="70">
        <v>1000000</v>
      </c>
      <c r="E19" s="181" t="s">
        <v>257</v>
      </c>
      <c r="F19" s="186">
        <f>Statement!AC144</f>
        <v>0.31653634520706631</v>
      </c>
    </row>
    <row r="20" spans="2:9" x14ac:dyDescent="0.2">
      <c r="B20" s="180" t="s">
        <v>90</v>
      </c>
      <c r="C20" s="69" t="s">
        <v>93</v>
      </c>
      <c r="E20" s="182" t="s">
        <v>297</v>
      </c>
      <c r="F20" s="187">
        <f>Statement!AC145</f>
        <v>3.1766528925619837</v>
      </c>
    </row>
    <row r="21" spans="2:9" x14ac:dyDescent="0.2">
      <c r="B21" s="180" t="s">
        <v>92</v>
      </c>
      <c r="C21" s="69" t="s">
        <v>93</v>
      </c>
      <c r="I21" s="50"/>
    </row>
    <row r="22" spans="2:9" x14ac:dyDescent="0.2">
      <c r="B22" s="180" t="s">
        <v>94</v>
      </c>
      <c r="C22" s="69" t="s">
        <v>91</v>
      </c>
    </row>
    <row r="25" spans="2:9" x14ac:dyDescent="0.2">
      <c r="B25" s="253" t="s">
        <v>106</v>
      </c>
      <c r="C25" s="253"/>
      <c r="E25" s="251" t="s">
        <v>337</v>
      </c>
      <c r="F25" s="252"/>
    </row>
    <row r="26" spans="2:9" x14ac:dyDescent="0.2">
      <c r="B26" s="180" t="s">
        <v>107</v>
      </c>
      <c r="C26" s="166">
        <v>0.21</v>
      </c>
      <c r="E26" s="181" t="e" vm="2">
        <v>#VALUE!</v>
      </c>
      <c r="F26" s="215" cm="1">
        <f t="array" aca="1" ref="F26" ca="1">_FV(E26,"Price")</f>
        <v>50.45</v>
      </c>
    </row>
    <row r="27" spans="2:9" x14ac:dyDescent="0.2">
      <c r="B27" s="180" t="s">
        <v>171</v>
      </c>
      <c r="C27" s="217">
        <v>0.06</v>
      </c>
      <c r="E27" s="182" t="s">
        <v>338</v>
      </c>
      <c r="F27" s="216">
        <f ca="1">F26/1000</f>
        <v>5.0450000000000002E-2</v>
      </c>
    </row>
    <row r="28" spans="2:9" x14ac:dyDescent="0.2">
      <c r="B28" s="180" t="s">
        <v>342</v>
      </c>
      <c r="C28" s="217">
        <v>0</v>
      </c>
    </row>
    <row r="29" spans="2:9" x14ac:dyDescent="0.2">
      <c r="B29" s="180" t="s">
        <v>360</v>
      </c>
      <c r="C29" s="217">
        <v>0</v>
      </c>
    </row>
    <row r="33" spans="2:8" x14ac:dyDescent="0.2">
      <c r="B33" s="132" t="s">
        <v>332</v>
      </c>
      <c r="C33" s="132"/>
      <c r="D33" s="132"/>
      <c r="E33" s="132"/>
      <c r="F33" s="132"/>
      <c r="G33" s="132"/>
      <c r="H33" s="132"/>
    </row>
    <row r="35" spans="2:8" x14ac:dyDescent="0.2">
      <c r="B35" s="16" t="s">
        <v>333</v>
      </c>
      <c r="C35" s="1" t="s">
        <v>408</v>
      </c>
    </row>
    <row r="36" spans="2:8" x14ac:dyDescent="0.2">
      <c r="B36" s="16" t="s">
        <v>334</v>
      </c>
      <c r="C36" s="1" t="s">
        <v>407</v>
      </c>
    </row>
    <row r="37" spans="2:8" x14ac:dyDescent="0.2">
      <c r="B37" s="16" t="s">
        <v>389</v>
      </c>
      <c r="C37" s="1" t="s">
        <v>405</v>
      </c>
    </row>
    <row r="38" spans="2:8" x14ac:dyDescent="0.2">
      <c r="B38" s="16"/>
      <c r="C38" s="1" t="s">
        <v>406</v>
      </c>
    </row>
    <row r="39" spans="2:8" x14ac:dyDescent="0.2">
      <c r="B39" s="16" t="s">
        <v>390</v>
      </c>
      <c r="C39" s="1" t="s">
        <v>398</v>
      </c>
    </row>
    <row r="40" spans="2:8" x14ac:dyDescent="0.2">
      <c r="B40" s="16"/>
      <c r="C40" s="1" t="s">
        <v>399</v>
      </c>
    </row>
    <row r="41" spans="2:8" x14ac:dyDescent="0.2">
      <c r="B41" s="16"/>
      <c r="C41" s="1" t="s">
        <v>400</v>
      </c>
    </row>
    <row r="42" spans="2:8" x14ac:dyDescent="0.2">
      <c r="B42" s="16"/>
      <c r="C42" s="1" t="s">
        <v>401</v>
      </c>
    </row>
    <row r="43" spans="2:8" x14ac:dyDescent="0.2">
      <c r="B43" s="16"/>
      <c r="C43" s="1" t="s">
        <v>402</v>
      </c>
    </row>
    <row r="44" spans="2:8" x14ac:dyDescent="0.2">
      <c r="B44" s="16"/>
      <c r="C44" s="1" t="s">
        <v>403</v>
      </c>
    </row>
    <row r="45" spans="2:8" x14ac:dyDescent="0.2">
      <c r="B45" s="16"/>
      <c r="C45" s="1" t="s">
        <v>404</v>
      </c>
    </row>
    <row r="46" spans="2:8" x14ac:dyDescent="0.2">
      <c r="B46" s="16" t="s">
        <v>391</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445</v>
      </c>
      <c r="D54" s="41"/>
      <c r="E54" s="41" t="s">
        <v>443</v>
      </c>
    </row>
    <row r="55" spans="2:8" x14ac:dyDescent="0.2">
      <c r="B55" s="1" t="s">
        <v>384</v>
      </c>
      <c r="C55" s="1" t="s">
        <v>446</v>
      </c>
    </row>
    <row r="56" spans="2:8" x14ac:dyDescent="0.2">
      <c r="B56" s="1" t="s">
        <v>384</v>
      </c>
      <c r="C56" s="1" t="s">
        <v>447</v>
      </c>
    </row>
    <row r="57" spans="2:8" x14ac:dyDescent="0.2">
      <c r="B57" s="1" t="s">
        <v>384</v>
      </c>
      <c r="C57" s="1" t="s">
        <v>448</v>
      </c>
    </row>
    <row r="58" spans="2:8" x14ac:dyDescent="0.2">
      <c r="B58" s="1" t="s">
        <v>384</v>
      </c>
      <c r="C58" s="1" t="s">
        <v>449</v>
      </c>
    </row>
    <row r="60" spans="2:8" x14ac:dyDescent="0.2">
      <c r="B60" s="41" t="s">
        <v>336</v>
      </c>
      <c r="C60" s="41" t="s">
        <v>416</v>
      </c>
      <c r="D60" s="41"/>
      <c r="E60" s="41" t="s">
        <v>415</v>
      </c>
    </row>
    <row r="61" spans="2:8" x14ac:dyDescent="0.2">
      <c r="B61" s="1" t="s">
        <v>384</v>
      </c>
      <c r="C61" s="1" t="s">
        <v>417</v>
      </c>
    </row>
    <row r="62" spans="2:8" x14ac:dyDescent="0.2">
      <c r="B62" s="1" t="s">
        <v>384</v>
      </c>
      <c r="C62" s="1" t="s">
        <v>418</v>
      </c>
    </row>
    <row r="63" spans="2:8" x14ac:dyDescent="0.2">
      <c r="B63" s="1" t="s">
        <v>384</v>
      </c>
      <c r="C63" s="1" t="s">
        <v>419</v>
      </c>
    </row>
    <row r="64" spans="2:8" x14ac:dyDescent="0.2">
      <c r="B64" s="1" t="s">
        <v>384</v>
      </c>
      <c r="C64" s="1" t="s">
        <v>420</v>
      </c>
    </row>
    <row r="66" spans="2:8" x14ac:dyDescent="0.2">
      <c r="B66" s="41" t="s">
        <v>336</v>
      </c>
      <c r="C66" s="41" t="s">
        <v>412</v>
      </c>
      <c r="D66" s="41"/>
      <c r="E66" s="41" t="s">
        <v>377</v>
      </c>
    </row>
    <row r="67" spans="2:8" x14ac:dyDescent="0.2">
      <c r="B67" s="1" t="s">
        <v>384</v>
      </c>
      <c r="C67" s="1" t="s">
        <v>409</v>
      </c>
    </row>
    <row r="68" spans="2:8" x14ac:dyDescent="0.2">
      <c r="B68" s="1" t="s">
        <v>384</v>
      </c>
      <c r="C68" s="1" t="s">
        <v>410</v>
      </c>
    </row>
    <row r="69" spans="2:8" x14ac:dyDescent="0.2">
      <c r="B69" s="1" t="s">
        <v>384</v>
      </c>
      <c r="C69" s="1" t="s">
        <v>411</v>
      </c>
    </row>
    <row r="71" spans="2:8" ht="5" customHeight="1" x14ac:dyDescent="0.2">
      <c r="B71" s="132"/>
      <c r="C71" s="132"/>
      <c r="D71" s="132"/>
      <c r="E71" s="132"/>
      <c r="F71" s="132"/>
      <c r="G71" s="132"/>
      <c r="H71" s="132"/>
    </row>
    <row r="74" spans="2:8" x14ac:dyDescent="0.2">
      <c r="B74" s="132" t="s">
        <v>108</v>
      </c>
      <c r="C74" s="132"/>
      <c r="D74" s="132"/>
      <c r="E74" s="132"/>
      <c r="F74" s="132"/>
      <c r="G74" s="132"/>
      <c r="H74" s="132"/>
    </row>
    <row r="76" spans="2:8" x14ac:dyDescent="0.2">
      <c r="B76" s="41" t="s">
        <v>336</v>
      </c>
      <c r="C76" s="41" t="s">
        <v>355</v>
      </c>
      <c r="D76" s="41"/>
      <c r="E76" s="41" t="s">
        <v>359</v>
      </c>
    </row>
    <row r="81" spans="2:8" ht="5" customHeight="1" x14ac:dyDescent="0.2">
      <c r="B81" s="132"/>
      <c r="C81" s="132"/>
      <c r="D81" s="132"/>
      <c r="E81" s="132"/>
      <c r="F81" s="132"/>
      <c r="G81" s="132"/>
      <c r="H81"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C9A0330F-AEB1-8041-B346-9F46F64AF0AE}"/>
    <hyperlink ref="K4" location="'Analysis -&gt;'!B13" display="'Analysis -&gt;'!B13" xr:uid="{8DA827DE-CD1B-C34D-9ED3-B447BC124A4C}"/>
    <hyperlink ref="K5" location="'Forecast -&gt;'!B13" display="'Forecast -&gt;'!B13" xr:uid="{EC678545-5E05-A343-9D81-8A31E6DBE3A9}"/>
    <hyperlink ref="K6" location="'Valuation -&gt;'!B13" display="'Valuation -&gt;'!B13" xr:uid="{827FA968-8C22-8945-B26F-5E75F8B24E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432</v>
      </c>
    </row>
    <row r="6" spans="2:8" x14ac:dyDescent="0.2">
      <c r="H6" s="244" t="s">
        <v>437</v>
      </c>
    </row>
    <row r="7" spans="2:8" x14ac:dyDescent="0.2">
      <c r="H7" s="244" t="s">
        <v>433</v>
      </c>
    </row>
    <row r="8" spans="2:8" x14ac:dyDescent="0.2">
      <c r="H8" s="244" t="s">
        <v>434</v>
      </c>
    </row>
    <row r="9" spans="2:8" x14ac:dyDescent="0.2">
      <c r="H9" s="244" t="s">
        <v>435</v>
      </c>
    </row>
    <row r="10" spans="2:8" x14ac:dyDescent="0.2">
      <c r="H10" s="245" t="s">
        <v>436</v>
      </c>
    </row>
    <row r="13" spans="2:8" s="4" customFormat="1" ht="49" x14ac:dyDescent="0.2">
      <c r="B13" s="3" t="s">
        <v>14</v>
      </c>
    </row>
  </sheetData>
  <hyperlinks>
    <hyperlink ref="H6" location="Overview!B3" display="Overview'!B3" xr:uid="{78DA7ED1-F921-F44A-A294-208CD2D1C067}"/>
    <hyperlink ref="H8" location="'Analysis -&gt;'!B13" display="'Analysis -&gt;'!B13" xr:uid="{26CDD6BA-06DF-6F4B-ADA9-87A8D1C58344}"/>
    <hyperlink ref="H9" location="'Forecast -&gt;'!B13" display="'Forecast -&gt;'!B13" xr:uid="{865A684D-6882-9E40-B817-6A42BD68F9AE}"/>
    <hyperlink ref="H10" location="'Valuation -&gt;'!B13" display="'Valuation -&gt;'!B13" xr:uid="{72181239-CE13-8344-B650-FFA87C48B2DC}"/>
    <hyperlink ref="H7" location="'Financials -&gt;'!B13" display="'Financials -&gt;'!B13" xr:uid="{0A7A90C0-CC97-1C4E-BBA7-7C308D1A3CE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1"/>
  <sheetViews>
    <sheetView zoomScale="210" zoomScaleNormal="150" workbookViewId="0">
      <pane xSplit="2" ySplit="3" topLeftCell="AA142" activePane="bottomRight" state="frozen"/>
      <selection pane="topRight" activeCell="C1" sqref="C1"/>
      <selection pane="bottomLeft" activeCell="A4" sqref="A4"/>
      <selection pane="bottomRight" activeCell="AC145" sqref="AC145"/>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376</v>
      </c>
      <c r="M2" s="9" t="s">
        <v>375</v>
      </c>
      <c r="N2" s="10" t="s">
        <v>373</v>
      </c>
      <c r="O2" s="10" t="s">
        <v>372</v>
      </c>
      <c r="P2" s="10" t="s">
        <v>371</v>
      </c>
      <c r="Q2" s="10" t="s">
        <v>414</v>
      </c>
      <c r="R2" s="7"/>
      <c r="S2" s="7"/>
      <c r="T2" s="10" t="s">
        <v>381</v>
      </c>
      <c r="U2" s="10" t="s">
        <v>379</v>
      </c>
      <c r="V2" s="10" t="s">
        <v>371</v>
      </c>
      <c r="W2" s="199" t="s">
        <v>382</v>
      </c>
      <c r="X2" s="199" t="s">
        <v>380</v>
      </c>
      <c r="Y2" s="199" t="s">
        <v>378</v>
      </c>
      <c r="Z2" s="199" t="s">
        <v>414</v>
      </c>
      <c r="AA2" s="199" t="s">
        <v>444</v>
      </c>
      <c r="AB2" s="7"/>
      <c r="AD2" s="7"/>
      <c r="AE2" s="7"/>
    </row>
    <row r="3" spans="1:31" s="13" customFormat="1" x14ac:dyDescent="0.2">
      <c r="A3" s="11"/>
      <c r="B3" s="12" t="s">
        <v>16</v>
      </c>
      <c r="L3" s="13">
        <v>2021</v>
      </c>
      <c r="M3" s="13">
        <v>2022</v>
      </c>
      <c r="N3" s="13">
        <v>2023</v>
      </c>
      <c r="O3" s="13">
        <v>2024</v>
      </c>
      <c r="P3" s="13">
        <v>2025</v>
      </c>
      <c r="Q3" s="13">
        <v>2026</v>
      </c>
      <c r="R3" s="11"/>
      <c r="S3" s="11"/>
      <c r="T3" s="10" t="s">
        <v>87</v>
      </c>
      <c r="U3" s="10" t="s">
        <v>85</v>
      </c>
      <c r="V3" s="10" t="s">
        <v>84</v>
      </c>
      <c r="W3" s="199" t="s">
        <v>88</v>
      </c>
      <c r="X3" s="199" t="s">
        <v>86</v>
      </c>
      <c r="Y3" s="199" t="s">
        <v>377</v>
      </c>
      <c r="Z3" s="199" t="s">
        <v>415</v>
      </c>
      <c r="AA3" s="199" t="s">
        <v>443</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2325</v>
      </c>
      <c r="U5" s="18">
        <v>2160</v>
      </c>
      <c r="V5" s="18">
        <v>2444</v>
      </c>
      <c r="W5" s="18">
        <v>2629</v>
      </c>
      <c r="X5" s="18">
        <v>2825</v>
      </c>
      <c r="Y5" s="18">
        <v>3112</v>
      </c>
      <c r="Z5" s="18">
        <v>3629</v>
      </c>
      <c r="AA5" s="18">
        <v>4233</v>
      </c>
      <c r="AB5" s="16"/>
      <c r="AC5" s="18">
        <f>SUM(X5:AA5)</f>
        <v>13799</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1513</v>
      </c>
      <c r="U6" s="21">
        <v>1400</v>
      </c>
      <c r="V6" s="21">
        <v>1530</v>
      </c>
      <c r="W6" s="21">
        <v>1592</v>
      </c>
      <c r="X6" s="21">
        <v>1649</v>
      </c>
      <c r="Y6" s="21">
        <v>1665</v>
      </c>
      <c r="Z6" s="21">
        <v>1731</v>
      </c>
      <c r="AA6" s="21">
        <v>1806</v>
      </c>
      <c r="AC6" s="21">
        <f t="shared" ref="AC6:AC17" si="0">SUM(X6:AA6)</f>
        <v>6851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Z7" si="3">T5-T6</f>
        <v>812</v>
      </c>
      <c r="U7" s="22">
        <f t="shared" si="3"/>
        <v>760</v>
      </c>
      <c r="V7" s="22">
        <f t="shared" si="3"/>
        <v>914</v>
      </c>
      <c r="W7" s="22">
        <f t="shared" si="3"/>
        <v>1037</v>
      </c>
      <c r="X7" s="22">
        <f t="shared" si="3"/>
        <v>1176</v>
      </c>
      <c r="Y7" s="22">
        <f t="shared" si="3"/>
        <v>1447</v>
      </c>
      <c r="Z7" s="22">
        <f t="shared" si="3"/>
        <v>1898</v>
      </c>
      <c r="AA7" s="22">
        <f t="shared" ref="AA7" si="4">AA5-AA6</f>
        <v>2427</v>
      </c>
      <c r="AB7" s="16"/>
      <c r="AC7" s="22">
        <f t="shared" si="0"/>
        <v>6948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184</v>
      </c>
      <c r="U8" s="21">
        <v>180</v>
      </c>
      <c r="V8" s="21">
        <v>179</v>
      </c>
      <c r="W8" s="21">
        <v>186</v>
      </c>
      <c r="X8" s="21">
        <v>187</v>
      </c>
      <c r="Y8" s="21">
        <v>194</v>
      </c>
      <c r="Z8" s="21">
        <v>188</v>
      </c>
      <c r="AA8" s="21">
        <v>200</v>
      </c>
      <c r="AC8" s="21">
        <f t="shared" si="0"/>
        <v>769</v>
      </c>
    </row>
    <row r="9" spans="1:31" x14ac:dyDescent="0.2">
      <c r="B9" s="20" t="s">
        <v>374</v>
      </c>
      <c r="C9" s="21"/>
      <c r="D9" s="21"/>
      <c r="E9" s="21"/>
      <c r="F9" s="21"/>
      <c r="G9" s="21"/>
      <c r="H9" s="21"/>
      <c r="I9" s="21"/>
      <c r="J9" s="21"/>
      <c r="K9" s="21"/>
      <c r="L9" s="21">
        <v>502</v>
      </c>
      <c r="M9" s="21">
        <v>559</v>
      </c>
      <c r="N9" s="21">
        <v>491</v>
      </c>
      <c r="O9" s="21">
        <v>460</v>
      </c>
      <c r="P9" s="21">
        <v>561</v>
      </c>
      <c r="Q9" s="21">
        <v>577</v>
      </c>
      <c r="T9" s="21">
        <v>139</v>
      </c>
      <c r="U9" s="21">
        <v>139</v>
      </c>
      <c r="V9" s="21">
        <v>154</v>
      </c>
      <c r="W9" s="21">
        <v>144</v>
      </c>
      <c r="X9" s="21">
        <v>143</v>
      </c>
      <c r="Y9" s="21">
        <v>143</v>
      </c>
      <c r="Z9" s="21">
        <v>147</v>
      </c>
      <c r="AA9" s="21">
        <v>159</v>
      </c>
      <c r="AC9" s="21">
        <f t="shared" si="0"/>
        <v>592</v>
      </c>
    </row>
    <row r="10" spans="1:31" x14ac:dyDescent="0.2">
      <c r="B10" s="20" t="s">
        <v>383</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184+140</f>
        <v>324</v>
      </c>
      <c r="U10" s="21">
        <f>180+139+10</f>
        <v>329</v>
      </c>
      <c r="V10" s="21">
        <f>179+154+13</f>
        <v>346</v>
      </c>
      <c r="W10" s="21">
        <f>186+144+13</f>
        <v>343</v>
      </c>
      <c r="X10" s="21">
        <f>187+146</f>
        <v>333</v>
      </c>
      <c r="Y10" s="21">
        <f>194+143+112</f>
        <v>449</v>
      </c>
      <c r="Z10" s="21">
        <f>188+147+4</f>
        <v>339</v>
      </c>
      <c r="AA10" s="21">
        <v>363</v>
      </c>
      <c r="AC10" s="21">
        <f t="shared" si="0"/>
        <v>1484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488</v>
      </c>
      <c r="U11" s="18">
        <v>431</v>
      </c>
      <c r="V11" s="18">
        <v>568</v>
      </c>
      <c r="W11" s="18">
        <v>694</v>
      </c>
      <c r="X11" s="18">
        <v>843</v>
      </c>
      <c r="Y11" s="18">
        <v>998</v>
      </c>
      <c r="Z11" s="18">
        <v>1559</v>
      </c>
      <c r="AA11" s="18">
        <v>2064</v>
      </c>
      <c r="AB11" s="1"/>
      <c r="AC11" s="18">
        <f t="shared" si="0"/>
        <v>5464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-76</v>
      </c>
      <c r="U12" s="62">
        <v>-73</v>
      </c>
      <c r="V12" s="62">
        <v>-69</v>
      </c>
      <c r="W12" s="62">
        <v>-73</v>
      </c>
      <c r="X12" s="62">
        <v>-65</v>
      </c>
      <c r="Y12" s="62">
        <v>-62</v>
      </c>
      <c r="Z12" s="62">
        <v>-54</v>
      </c>
      <c r="AA12" s="62">
        <f>7-41</f>
        <v>-34</v>
      </c>
      <c r="AC12" s="62">
        <f t="shared" si="0"/>
        <v>-215</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-62</v>
      </c>
      <c r="U13" s="62">
        <v>-3</v>
      </c>
      <c r="V13" s="62">
        <v>-7</v>
      </c>
      <c r="W13" s="62">
        <v>-7</v>
      </c>
      <c r="X13" s="62">
        <v>-71</v>
      </c>
      <c r="Y13" s="62">
        <v>-72</v>
      </c>
      <c r="Z13" s="62">
        <v>0</v>
      </c>
      <c r="AA13" s="62">
        <f>-44-4</f>
        <v>-48</v>
      </c>
      <c r="AC13" s="62">
        <f t="shared" si="0"/>
        <v>-191</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350</v>
      </c>
      <c r="U14" s="18">
        <v>355</v>
      </c>
      <c r="V14" s="18">
        <v>492</v>
      </c>
      <c r="W14" s="18">
        <v>614</v>
      </c>
      <c r="X14" s="18">
        <v>707</v>
      </c>
      <c r="Y14" s="18">
        <v>864</v>
      </c>
      <c r="Z14" s="18">
        <v>1505</v>
      </c>
      <c r="AA14" s="18">
        <v>1982</v>
      </c>
      <c r="AB14" s="1"/>
      <c r="AC14" s="18">
        <f t="shared" si="0"/>
        <v>5058</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-14</v>
      </c>
      <c r="U15" s="62">
        <v>-15</v>
      </c>
      <c r="V15" s="62">
        <v>-4</v>
      </c>
      <c r="W15" s="62">
        <v>-65</v>
      </c>
      <c r="X15" s="62">
        <v>-114</v>
      </c>
      <c r="Y15" s="62">
        <v>-116</v>
      </c>
      <c r="Z15" s="62">
        <v>-211</v>
      </c>
      <c r="AA15" s="62">
        <v>-221</v>
      </c>
      <c r="AC15" s="62">
        <f t="shared" si="0"/>
        <v>-662</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336</v>
      </c>
      <c r="U17" s="18">
        <v>340</v>
      </c>
      <c r="V17" s="18">
        <v>488</v>
      </c>
      <c r="W17" s="18">
        <v>549</v>
      </c>
      <c r="X17" s="18">
        <v>593</v>
      </c>
      <c r="Y17" s="18">
        <v>748</v>
      </c>
      <c r="Z17" s="18">
        <v>1294</v>
      </c>
      <c r="AA17" s="18">
        <v>1761</v>
      </c>
      <c r="AB17" s="1"/>
      <c r="AC17" s="61">
        <f t="shared" si="0"/>
        <v>4396</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212</v>
      </c>
      <c r="U18" s="21">
        <v>212</v>
      </c>
      <c r="V18" s="21">
        <v>212</v>
      </c>
      <c r="W18" s="21">
        <v>213</v>
      </c>
      <c r="X18" s="21">
        <v>216</v>
      </c>
      <c r="Y18" s="21">
        <v>221</v>
      </c>
      <c r="Z18" s="21">
        <v>225</v>
      </c>
      <c r="AA18" s="21">
        <v>228</v>
      </c>
      <c r="AC18" s="62">
        <f>AVERAGE(X18:AA18)</f>
        <v>222.5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Y19" si="7">T18*T$84</f>
        <v>212</v>
      </c>
      <c r="U19" s="25">
        <f t="shared" si="7"/>
        <v>212</v>
      </c>
      <c r="V19" s="25">
        <f t="shared" si="7"/>
        <v>212</v>
      </c>
      <c r="W19" s="25">
        <f t="shared" si="7"/>
        <v>213</v>
      </c>
      <c r="X19" s="25">
        <f t="shared" si="7"/>
        <v>216</v>
      </c>
      <c r="Y19" s="25">
        <f t="shared" si="7"/>
        <v>221</v>
      </c>
      <c r="Z19" s="25">
        <f t="shared" ref="Z19:AA19" si="8">Z18*Z$84</f>
        <v>225</v>
      </c>
      <c r="AA19" s="25">
        <f t="shared" si="8"/>
        <v>228</v>
      </c>
      <c r="AC19" s="25">
        <f>AC18*AC$84</f>
        <v>222.5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217</v>
      </c>
      <c r="U20" s="21">
        <v>216</v>
      </c>
      <c r="V20" s="21">
        <v>218</v>
      </c>
      <c r="W20" s="21">
        <v>226</v>
      </c>
      <c r="X20" s="21">
        <v>228</v>
      </c>
      <c r="Y20" s="21">
        <v>229</v>
      </c>
      <c r="Z20" s="21">
        <v>232</v>
      </c>
      <c r="AA20" s="21">
        <v>232</v>
      </c>
      <c r="AC20" s="62">
        <f>AVERAGE(X20:AA20)</f>
        <v>230.25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Y21" si="11">T20*T$84</f>
        <v>217</v>
      </c>
      <c r="U21" s="25">
        <f t="shared" si="11"/>
        <v>216</v>
      </c>
      <c r="V21" s="25">
        <f t="shared" si="11"/>
        <v>218</v>
      </c>
      <c r="W21" s="25">
        <f t="shared" si="11"/>
        <v>226</v>
      </c>
      <c r="X21" s="25">
        <f t="shared" si="11"/>
        <v>228</v>
      </c>
      <c r="Y21" s="25">
        <f t="shared" si="11"/>
        <v>229</v>
      </c>
      <c r="Z21" s="25">
        <f t="shared" ref="Z21:AA21" si="12">Z20*Z$84</f>
        <v>232</v>
      </c>
      <c r="AA21" s="25">
        <f t="shared" si="12"/>
        <v>232</v>
      </c>
      <c r="AC21" s="25">
        <f>AC20*AC$84</f>
        <v>230.25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1.58</v>
      </c>
      <c r="U22" s="26">
        <v>1.6</v>
      </c>
      <c r="V22" s="26">
        <v>2.2999999999999998</v>
      </c>
      <c r="W22" s="26">
        <v>2.58</v>
      </c>
      <c r="X22" s="26">
        <v>2.75</v>
      </c>
      <c r="Y22" s="26">
        <v>3.38</v>
      </c>
      <c r="Z22" s="26">
        <v>5.75</v>
      </c>
      <c r="AA22" s="26">
        <v>7.72</v>
      </c>
      <c r="AC22" s="26">
        <f>SUM(X22:AA22)</f>
        <v>19.599999999999998</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Y23" si="14">T22/T$84</f>
        <v>1.58</v>
      </c>
      <c r="U23" s="65">
        <f t="shared" si="14"/>
        <v>1.6</v>
      </c>
      <c r="V23" s="65">
        <f t="shared" si="14"/>
        <v>2.2999999999999998</v>
      </c>
      <c r="W23" s="65">
        <f t="shared" si="14"/>
        <v>2.58</v>
      </c>
      <c r="X23" s="65">
        <f t="shared" si="14"/>
        <v>2.75</v>
      </c>
      <c r="Y23" s="65">
        <f t="shared" si="14"/>
        <v>3.38</v>
      </c>
      <c r="Z23" s="65">
        <f t="shared" ref="Z23:AA23" si="15">Z22/Z$84</f>
        <v>5.75</v>
      </c>
      <c r="AA23" s="65">
        <f t="shared" si="15"/>
        <v>7.72</v>
      </c>
      <c r="AC23" s="65">
        <f>AC22/AC$84</f>
        <v>19.599999999999998</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26">
        <v>1.55</v>
      </c>
      <c r="U24" s="63">
        <v>1.57</v>
      </c>
      <c r="V24" s="26">
        <v>2.2400000000000002</v>
      </c>
      <c r="W24" s="26">
        <v>2.4300000000000002</v>
      </c>
      <c r="X24" s="26">
        <v>2.6</v>
      </c>
      <c r="Y24" s="26">
        <v>3.27</v>
      </c>
      <c r="Z24" s="26">
        <v>5.58</v>
      </c>
      <c r="AA24" s="26">
        <v>7.59</v>
      </c>
      <c r="AC24" s="26">
        <f>SUM(X24:AA24)</f>
        <v>19.04</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Y25" si="17">T24/T$84</f>
        <v>1.55</v>
      </c>
      <c r="U25" s="66">
        <f t="shared" si="17"/>
        <v>1.57</v>
      </c>
      <c r="V25" s="66">
        <f t="shared" si="17"/>
        <v>2.2400000000000002</v>
      </c>
      <c r="W25" s="66">
        <f t="shared" si="17"/>
        <v>2.4300000000000002</v>
      </c>
      <c r="X25" s="66">
        <f t="shared" si="17"/>
        <v>2.6</v>
      </c>
      <c r="Y25" s="66">
        <f t="shared" si="17"/>
        <v>3.27</v>
      </c>
      <c r="Z25" s="66">
        <f t="shared" ref="Z25:AA25" si="18">Z24/Z$84</f>
        <v>5.58</v>
      </c>
      <c r="AA25" s="66">
        <f t="shared" si="18"/>
        <v>7.59</v>
      </c>
      <c r="AB25" s="1"/>
      <c r="AC25" s="66">
        <f>AC24/AC$84</f>
        <v>19.04</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1238</v>
      </c>
      <c r="U28" s="21">
        <v>814</v>
      </c>
      <c r="V28" s="21">
        <v>891</v>
      </c>
      <c r="W28" s="21">
        <v>1112</v>
      </c>
      <c r="X28" s="21">
        <v>1046</v>
      </c>
      <c r="Y28" s="21">
        <v>1146</v>
      </c>
      <c r="Z28" s="21">
        <v>1704</v>
      </c>
      <c r="AA28" s="21">
        <v>1258</v>
      </c>
      <c r="AC28" s="21">
        <f>AA28</f>
        <v>1258</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587</v>
      </c>
      <c r="U29" s="21">
        <v>622</v>
      </c>
      <c r="V29" s="21">
        <v>959</v>
      </c>
      <c r="W29" s="21">
        <v>1073</v>
      </c>
      <c r="X29" s="21">
        <v>1246</v>
      </c>
      <c r="Y29" s="21">
        <v>1197</v>
      </c>
      <c r="Z29" s="21">
        <v>1534</v>
      </c>
      <c r="AA29" s="21">
        <v>1817</v>
      </c>
      <c r="AC29" s="21">
        <f t="shared" ref="AC29:AC49" si="19">AA29</f>
        <v>1817</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1473</v>
      </c>
      <c r="U30" s="21">
        <v>1472</v>
      </c>
      <c r="V30" s="21">
        <v>1440</v>
      </c>
      <c r="W30" s="21">
        <v>1496</v>
      </c>
      <c r="X30" s="21">
        <v>1498</v>
      </c>
      <c r="Y30" s="21">
        <v>1530</v>
      </c>
      <c r="Z30" s="21">
        <v>1571</v>
      </c>
      <c r="AA30" s="21">
        <v>1700</v>
      </c>
      <c r="AC30" s="21">
        <f>AA30</f>
        <v>1700</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3662</v>
      </c>
      <c r="U31" s="33">
        <v>3282</v>
      </c>
      <c r="V31" s="33">
        <v>3653</v>
      </c>
      <c r="W31" s="33">
        <v>4032</v>
      </c>
      <c r="X31" s="33">
        <v>4209</v>
      </c>
      <c r="Y31" s="33">
        <v>4299</v>
      </c>
      <c r="Z31" s="33">
        <v>5221</v>
      </c>
      <c r="AA31" s="33">
        <v>5396</v>
      </c>
      <c r="AB31" s="1"/>
      <c r="AC31" s="33">
        <f t="shared" si="19"/>
        <v>5396</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1595</v>
      </c>
      <c r="U32" s="21">
        <v>1613</v>
      </c>
      <c r="V32" s="21">
        <v>1657</v>
      </c>
      <c r="W32" s="21">
        <v>1688</v>
      </c>
      <c r="X32" s="21">
        <v>1771</v>
      </c>
      <c r="Y32" s="21">
        <v>1852</v>
      </c>
      <c r="Z32" s="21">
        <v>2034</v>
      </c>
      <c r="AA32" s="21">
        <v>2165</v>
      </c>
      <c r="AC32" s="21">
        <f t="shared" si="19"/>
        <v>2165</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1221</v>
      </c>
      <c r="W34" s="224">
        <v>1221</v>
      </c>
      <c r="X34" s="224">
        <v>1221</v>
      </c>
      <c r="Y34" s="21">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X35" si="21">T36-T31</f>
        <v>4297</v>
      </c>
      <c r="U35" s="35">
        <f t="shared" si="21"/>
        <v>4282</v>
      </c>
      <c r="V35" s="35">
        <f t="shared" si="21"/>
        <v>4370</v>
      </c>
      <c r="W35" s="35">
        <f t="shared" si="21"/>
        <v>4410</v>
      </c>
      <c r="X35" s="35">
        <f t="shared" si="21"/>
        <v>4499</v>
      </c>
      <c r="Y35" s="35">
        <f t="shared" ref="Y35" si="22">Y36-Y31</f>
        <v>4593</v>
      </c>
      <c r="Z35" s="35">
        <f>Z36-Z31</f>
        <v>4751</v>
      </c>
      <c r="AA35" s="35">
        <f>AA36-AA31</f>
        <v>4930</v>
      </c>
      <c r="AB35" s="1"/>
      <c r="AC35" s="35">
        <f t="shared" si="19"/>
        <v>4930</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7959</v>
      </c>
      <c r="U36" s="18">
        <v>7564</v>
      </c>
      <c r="V36" s="18">
        <v>8023</v>
      </c>
      <c r="W36" s="18">
        <v>8442</v>
      </c>
      <c r="X36" s="18">
        <v>8708</v>
      </c>
      <c r="Y36" s="18">
        <v>8892</v>
      </c>
      <c r="Z36" s="18">
        <v>9972</v>
      </c>
      <c r="AA36" s="18">
        <v>10326</v>
      </c>
      <c r="AB36" s="1"/>
      <c r="AC36" s="18">
        <f t="shared" si="19"/>
        <v>10326</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1567</v>
      </c>
      <c r="U37" s="21">
        <v>1467</v>
      </c>
      <c r="V37" s="21">
        <v>1604</v>
      </c>
      <c r="W37" s="21">
        <v>1673</v>
      </c>
      <c r="X37" s="21">
        <v>1771</v>
      </c>
      <c r="Y37" s="21">
        <v>1694</v>
      </c>
      <c r="Z37" s="21">
        <v>1748</v>
      </c>
      <c r="AA37" s="21">
        <v>1873</v>
      </c>
      <c r="AC37" s="21">
        <f t="shared" si="19"/>
        <v>1873</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0</v>
      </c>
      <c r="V38" s="21">
        <v>0</v>
      </c>
      <c r="W38" s="21">
        <v>1496</v>
      </c>
      <c r="X38" s="21">
        <v>998</v>
      </c>
      <c r="Y38" s="21">
        <v>398</v>
      </c>
      <c r="Z38" s="21">
        <v>185</v>
      </c>
      <c r="AA38" s="21">
        <v>0</v>
      </c>
      <c r="AC38" s="21">
        <f t="shared" si="19"/>
        <v>0</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2969</v>
      </c>
      <c r="U39" s="33">
        <v>2412</v>
      </c>
      <c r="V39" s="33">
        <v>2648</v>
      </c>
      <c r="W39" s="33">
        <v>4117</v>
      </c>
      <c r="X39" s="33">
        <v>3761</v>
      </c>
      <c r="Y39" s="33">
        <v>3241</v>
      </c>
      <c r="Z39" s="33">
        <v>3127</v>
      </c>
      <c r="AA39" s="33">
        <v>968</v>
      </c>
      <c r="AB39" s="1"/>
      <c r="AC39" s="33">
        <f t="shared" si="19"/>
        <v>968</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5200</v>
      </c>
      <c r="U40" s="21">
        <v>5146</v>
      </c>
      <c r="V40" s="21">
        <v>4995</v>
      </c>
      <c r="W40" s="21">
        <v>3498</v>
      </c>
      <c r="X40" s="21">
        <v>3501</v>
      </c>
      <c r="Y40" s="21">
        <v>3465</v>
      </c>
      <c r="Z40" s="21">
        <v>3380</v>
      </c>
      <c r="AA40" s="21">
        <v>2351</v>
      </c>
      <c r="AC40" s="21">
        <f t="shared" si="19"/>
        <v>2351</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X41" si="24">T42-T39</f>
        <v>6069</v>
      </c>
      <c r="U41" s="35">
        <f t="shared" si="24"/>
        <v>5981</v>
      </c>
      <c r="V41" s="35">
        <f t="shared" si="24"/>
        <v>5828</v>
      </c>
      <c r="W41" s="35">
        <f t="shared" si="24"/>
        <v>4388</v>
      </c>
      <c r="X41" s="35">
        <f t="shared" si="24"/>
        <v>4488</v>
      </c>
      <c r="Y41" s="35">
        <f t="shared" ref="Y41" si="25">Y42-Y39</f>
        <v>4556</v>
      </c>
      <c r="Z41" s="35">
        <f>Z42-Z39</f>
        <v>4678</v>
      </c>
      <c r="AA41" s="35">
        <f>AA42-AA39</f>
        <v>5905</v>
      </c>
      <c r="AB41" s="1"/>
      <c r="AC41" s="35">
        <f t="shared" si="19"/>
        <v>5905</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9038</v>
      </c>
      <c r="U42" s="18">
        <v>8393</v>
      </c>
      <c r="V42" s="18">
        <v>8476</v>
      </c>
      <c r="W42" s="18">
        <v>8505</v>
      </c>
      <c r="X42" s="18">
        <v>8249</v>
      </c>
      <c r="Y42" s="18">
        <v>7797</v>
      </c>
      <c r="Z42" s="18">
        <v>7805</v>
      </c>
      <c r="AA42" s="18">
        <v>6873</v>
      </c>
      <c r="AB42" s="1"/>
      <c r="AC42" s="18">
        <f t="shared" si="19"/>
        <v>6873</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249">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249">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62">
        <v>7577</v>
      </c>
      <c r="U45" s="62">
        <v>7648</v>
      </c>
      <c r="V45" s="21">
        <v>7706</v>
      </c>
      <c r="W45" s="21">
        <v>7780</v>
      </c>
      <c r="X45" s="21">
        <v>7890</v>
      </c>
      <c r="Y45" s="21">
        <v>8021</v>
      </c>
      <c r="Z45" s="21">
        <v>8078</v>
      </c>
      <c r="AA45" s="250">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-8654</v>
      </c>
      <c r="U46" s="62">
        <v>-8376</v>
      </c>
      <c r="V46" s="62">
        <v>-8151</v>
      </c>
      <c r="W46" s="62">
        <v>-7835</v>
      </c>
      <c r="X46" s="62">
        <v>-7423</v>
      </c>
      <c r="Y46" s="62">
        <v>-6918</v>
      </c>
      <c r="Z46" s="62">
        <v>-5911</v>
      </c>
      <c r="AA46" s="249">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249">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-1079</v>
      </c>
      <c r="U48" s="238">
        <v>-829</v>
      </c>
      <c r="V48" s="238">
        <v>-453</v>
      </c>
      <c r="W48" s="238">
        <v>-63</v>
      </c>
      <c r="X48" s="238">
        <v>459</v>
      </c>
      <c r="Y48" s="238">
        <v>1095</v>
      </c>
      <c r="Z48" s="238">
        <v>2167</v>
      </c>
      <c r="AA48" s="238">
        <v>3453</v>
      </c>
      <c r="AB48" s="1"/>
      <c r="AC48" s="33">
        <f t="shared" si="19"/>
        <v>3453</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7959</v>
      </c>
      <c r="U49" s="37">
        <v>7564</v>
      </c>
      <c r="V49" s="37">
        <v>8023</v>
      </c>
      <c r="W49" s="37">
        <v>8442</v>
      </c>
      <c r="X49" s="37">
        <v>8708</v>
      </c>
      <c r="Y49" s="37">
        <v>8892</v>
      </c>
      <c r="Z49" s="37">
        <v>9972</v>
      </c>
      <c r="AA49" s="37">
        <v>10326</v>
      </c>
      <c r="AB49" s="1"/>
      <c r="AC49" s="37">
        <f t="shared" si="19"/>
        <v>10326</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21">
        <f>127-64</f>
        <v>63</v>
      </c>
      <c r="U52" s="21">
        <f>190-64-63</f>
        <v>63</v>
      </c>
      <c r="V52" s="21">
        <v>61</v>
      </c>
      <c r="W52" s="21">
        <v>72</v>
      </c>
      <c r="X52" s="21">
        <f>140-72</f>
        <v>68</v>
      </c>
      <c r="Y52" s="21">
        <f>206-72-68</f>
        <v>66</v>
      </c>
      <c r="Z52" s="21">
        <v>70</v>
      </c>
      <c r="AA52" s="21">
        <v>76</v>
      </c>
      <c r="AC52" s="62">
        <f>SUM(X52:AA52)</f>
        <v>280</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21">
        <f>87-38</f>
        <v>49</v>
      </c>
      <c r="U53" s="21">
        <f>141-38-49</f>
        <v>54</v>
      </c>
      <c r="V53" s="21">
        <v>59</v>
      </c>
      <c r="W53" s="21">
        <v>52</v>
      </c>
      <c r="X53" s="21">
        <f>105-52</f>
        <v>53</v>
      </c>
      <c r="Y53" s="21">
        <f>159-52-53</f>
        <v>54</v>
      </c>
      <c r="Z53" s="21">
        <v>54</v>
      </c>
      <c r="AA53" s="21">
        <v>63</v>
      </c>
      <c r="AC53" s="62">
        <f t="shared" ref="AC53:AC57" si="26">SUM(X53:AA53)</f>
        <v>224</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f>-158+199</f>
        <v>41</v>
      </c>
      <c r="U54" s="62">
        <v>-35</v>
      </c>
      <c r="V54" s="62">
        <v>-320</v>
      </c>
      <c r="W54" s="62">
        <v>-114</v>
      </c>
      <c r="X54" s="62">
        <f>-287+114</f>
        <v>-173</v>
      </c>
      <c r="Y54" s="62">
        <f>-238+114+173</f>
        <v>49</v>
      </c>
      <c r="Z54" s="62">
        <v>-337</v>
      </c>
      <c r="AA54" s="62">
        <v>-283</v>
      </c>
      <c r="AC54" s="62">
        <f t="shared" si="26"/>
        <v>-744</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f>-234+144</f>
        <v>-90</v>
      </c>
      <c r="U55" s="62">
        <f>-233+144+90</f>
        <v>1</v>
      </c>
      <c r="V55" s="62">
        <v>32</v>
      </c>
      <c r="W55" s="62">
        <v>-56</v>
      </c>
      <c r="X55" s="62">
        <f>-58+56</f>
        <v>-2</v>
      </c>
      <c r="Y55" s="62">
        <f>-90+56+2</f>
        <v>-32</v>
      </c>
      <c r="Z55" s="62">
        <v>-41</v>
      </c>
      <c r="AA55" s="62">
        <v>-129</v>
      </c>
      <c r="AC55" s="62">
        <f>SUM(X55:AA55)</f>
        <v>-204</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-180</v>
      </c>
      <c r="U56" s="62">
        <v>-161</v>
      </c>
      <c r="V56" s="62">
        <v>89</v>
      </c>
      <c r="W56" s="21">
        <v>84</v>
      </c>
      <c r="X56" s="21">
        <f>162-84</f>
        <v>78</v>
      </c>
      <c r="Y56" s="62">
        <f>89-84-78</f>
        <v>-73</v>
      </c>
      <c r="Z56" s="62">
        <v>-23</v>
      </c>
      <c r="AA56" s="62">
        <v>101</v>
      </c>
      <c r="AC56" s="62">
        <f t="shared" si="26"/>
        <v>83</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85-30-42-71-1</f>
        <v>-59</v>
      </c>
      <c r="U57" s="62">
        <f>-102+59</f>
        <v>-43</v>
      </c>
      <c r="V57" s="62">
        <v>92</v>
      </c>
      <c r="W57" s="62">
        <f>-140-15+119-9</f>
        <v>-45</v>
      </c>
      <c r="X57" s="62">
        <f>-108-30+197-87+45</f>
        <v>17</v>
      </c>
      <c r="Y57" s="62">
        <f>-62+346-83+45-17</f>
        <v>229</v>
      </c>
      <c r="Z57" s="62">
        <v>280</v>
      </c>
      <c r="AA57" s="62">
        <f>-129+272-32</f>
        <v>111</v>
      </c>
      <c r="AC57" s="62">
        <f t="shared" si="26"/>
        <v>637</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18">
        <f>316-95</f>
        <v>221</v>
      </c>
      <c r="U58" s="18">
        <f>575-95-221</f>
        <v>259</v>
      </c>
      <c r="V58" s="18">
        <v>508</v>
      </c>
      <c r="W58" s="18">
        <v>532</v>
      </c>
      <c r="X58" s="18">
        <f>1255-532</f>
        <v>723</v>
      </c>
      <c r="Y58" s="18">
        <f>2369-532-723</f>
        <v>1114</v>
      </c>
      <c r="Z58" s="18">
        <v>1305</v>
      </c>
      <c r="AA58" s="18">
        <v>1690</v>
      </c>
      <c r="AB58" s="1"/>
      <c r="AC58" s="61">
        <f>SUM(X58:AA58)</f>
        <v>4832</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f>-139+68</f>
        <v>-71</v>
      </c>
      <c r="U59" s="62">
        <f>-182+68+71</f>
        <v>-43</v>
      </c>
      <c r="V59" s="62">
        <v>-83</v>
      </c>
      <c r="W59" s="62">
        <v>-105</v>
      </c>
      <c r="X59" s="62">
        <f>-221+105</f>
        <v>-116</v>
      </c>
      <c r="Y59" s="62">
        <f>-382+105+116</f>
        <v>-161</v>
      </c>
      <c r="Z59" s="62">
        <v>-187</v>
      </c>
      <c r="AA59" s="62">
        <v>-211</v>
      </c>
      <c r="AC59" s="62">
        <f>SUM(X59:AA59)</f>
        <v>-675</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f>-138+68</f>
        <v>-70</v>
      </c>
      <c r="U61" s="61">
        <f>-146+68+70</f>
        <v>-8</v>
      </c>
      <c r="V61" s="61">
        <v>-130</v>
      </c>
      <c r="W61" s="61">
        <v>-90</v>
      </c>
      <c r="X61" s="61">
        <f>-206+90</f>
        <v>-116</v>
      </c>
      <c r="Y61" s="61">
        <f>-369+90+116</f>
        <v>-163</v>
      </c>
      <c r="Z61" s="61">
        <v>-156</v>
      </c>
      <c r="AA61" s="61">
        <v>-211</v>
      </c>
      <c r="AB61" s="1"/>
      <c r="AC61" s="61">
        <f t="shared" si="27"/>
        <v>-646</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-29</v>
      </c>
      <c r="X62" s="62">
        <v>0</v>
      </c>
      <c r="Y62" s="62">
        <f>-59+29</f>
        <v>-30</v>
      </c>
      <c r="Z62" s="62">
        <v>-117</v>
      </c>
      <c r="AA62" s="62">
        <v>-400</v>
      </c>
      <c r="AC62" s="62">
        <f t="shared" si="27"/>
        <v>-547</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f>-295+147</f>
        <v>-148</v>
      </c>
      <c r="U63" s="62">
        <f>-447+147+148</f>
        <v>-152</v>
      </c>
      <c r="V63" s="62">
        <v>-153</v>
      </c>
      <c r="W63" s="62">
        <v>-153</v>
      </c>
      <c r="X63" s="62">
        <f>-307+153</f>
        <v>-154</v>
      </c>
      <c r="Y63" s="62">
        <f>-468+153+154</f>
        <v>-161</v>
      </c>
      <c r="Z63" s="62">
        <v>-166</v>
      </c>
      <c r="AA63" s="62">
        <v>-168</v>
      </c>
      <c r="AC63" s="62">
        <f>SUM(X63:AA63)</f>
        <v>-649</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f>-298+146</f>
        <v>-152</v>
      </c>
      <c r="U65" s="71">
        <f>-973+146+152</f>
        <v>-675</v>
      </c>
      <c r="V65" s="71">
        <v>-301</v>
      </c>
      <c r="W65" s="71">
        <v>-221</v>
      </c>
      <c r="X65" s="71">
        <f>-894+221</f>
        <v>-673</v>
      </c>
      <c r="Y65" s="71">
        <f>-1746+221+673</f>
        <v>-852</v>
      </c>
      <c r="Z65" s="71">
        <v>-591</v>
      </c>
      <c r="AA65" s="71">
        <v>-1814</v>
      </c>
      <c r="AB65" s="1"/>
      <c r="AC65" s="71">
        <f t="shared" si="27"/>
        <v>-3930</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336</v>
      </c>
      <c r="U68" s="64">
        <f t="shared" si="31"/>
        <v>340</v>
      </c>
      <c r="V68" s="64">
        <f t="shared" si="31"/>
        <v>488</v>
      </c>
      <c r="W68" s="64">
        <f t="shared" si="31"/>
        <v>549</v>
      </c>
      <c r="X68" s="64">
        <f t="shared" si="31"/>
        <v>593</v>
      </c>
      <c r="Y68" s="64">
        <f t="shared" si="31"/>
        <v>748</v>
      </c>
      <c r="Z68" s="64">
        <f t="shared" si="31"/>
        <v>1294</v>
      </c>
      <c r="AA68" s="64">
        <f t="shared" ref="AA68:AC68" si="32">AA5-AA6-AA10+AA12+AA13+AA15-AA16</f>
        <v>1761</v>
      </c>
      <c r="AC68" s="64">
        <f t="shared" si="32"/>
        <v>4396</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Z69" si="35">T17-T68</f>
        <v>0</v>
      </c>
      <c r="U69" s="40">
        <f t="shared" si="35"/>
        <v>0</v>
      </c>
      <c r="V69" s="40">
        <f t="shared" si="35"/>
        <v>0</v>
      </c>
      <c r="W69" s="40">
        <f t="shared" si="35"/>
        <v>0</v>
      </c>
      <c r="X69" s="40">
        <f t="shared" si="35"/>
        <v>0</v>
      </c>
      <c r="Y69" s="40">
        <f t="shared" si="35"/>
        <v>0</v>
      </c>
      <c r="Z69" s="40">
        <f t="shared" si="35"/>
        <v>0</v>
      </c>
      <c r="AA69" s="40">
        <f t="shared" ref="AA69" si="36">AA17-AA68</f>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Y70" si="39">T36-(T42+T110)</f>
        <v>0</v>
      </c>
      <c r="U70" s="42">
        <f t="shared" si="39"/>
        <v>0</v>
      </c>
      <c r="V70" s="42">
        <f t="shared" si="39"/>
        <v>0</v>
      </c>
      <c r="W70" s="42">
        <f t="shared" si="39"/>
        <v>0</v>
      </c>
      <c r="X70" s="42">
        <f t="shared" si="39"/>
        <v>0</v>
      </c>
      <c r="Y70" s="42">
        <f t="shared" si="39"/>
        <v>0</v>
      </c>
      <c r="Z70" s="42">
        <f t="shared" ref="Z70:AA70" si="40">Z36-(Z42+Z110)</f>
        <v>0</v>
      </c>
      <c r="AA70" s="42">
        <f t="shared" si="40"/>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213</v>
      </c>
      <c r="W73" s="21">
        <v>214</v>
      </c>
      <c r="X73" s="21">
        <v>218</v>
      </c>
      <c r="Y73" s="21">
        <v>224</v>
      </c>
      <c r="Z73" s="21">
        <v>227</v>
      </c>
      <c r="AA73" s="250">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Y74" si="45">V73*V84</f>
        <v>213</v>
      </c>
      <c r="W74" s="25">
        <f t="shared" si="45"/>
        <v>214</v>
      </c>
      <c r="X74" s="25">
        <f t="shared" si="45"/>
        <v>218</v>
      </c>
      <c r="Y74" s="25">
        <f t="shared" si="45"/>
        <v>224</v>
      </c>
      <c r="Z74" s="25">
        <f t="shared" ref="Z74:AA74" si="46">Z73*Z84</f>
        <v>227</v>
      </c>
      <c r="AA74" s="25">
        <f t="shared" si="46"/>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4</v>
      </c>
      <c r="V75" s="21">
        <v>5</v>
      </c>
      <c r="W75" s="21">
        <v>13</v>
      </c>
      <c r="X75" s="21">
        <v>12</v>
      </c>
      <c r="Y75" s="21">
        <v>8</v>
      </c>
      <c r="Z75" s="21">
        <v>10</v>
      </c>
      <c r="AA75" s="250">
        <v>10</v>
      </c>
      <c r="AC75" s="21">
        <f>AA75</f>
        <v>10</v>
      </c>
    </row>
    <row r="76" spans="1:31" x14ac:dyDescent="0.2">
      <c r="B76" s="20" t="s">
        <v>234</v>
      </c>
      <c r="C76" s="25"/>
      <c r="D76" s="25"/>
      <c r="E76" s="25"/>
      <c r="F76" s="25"/>
      <c r="G76" s="25"/>
      <c r="H76" s="25"/>
      <c r="I76" s="25"/>
      <c r="J76" s="25"/>
      <c r="K76" s="25"/>
      <c r="L76" s="25">
        <f t="shared" ref="L76:O76" si="47">L75*L84</f>
        <v>3</v>
      </c>
      <c r="M76" s="25">
        <f t="shared" si="47"/>
        <v>4</v>
      </c>
      <c r="N76" s="25">
        <f t="shared" si="47"/>
        <v>0</v>
      </c>
      <c r="O76" s="25">
        <f t="shared" si="47"/>
        <v>3</v>
      </c>
      <c r="P76" s="25">
        <f>P75*P84</f>
        <v>5</v>
      </c>
      <c r="Q76" s="25">
        <f>Q75*Q84</f>
        <v>10</v>
      </c>
      <c r="T76" s="25">
        <f t="shared" ref="T76:Z76" si="48">T75*T84</f>
        <v>5</v>
      </c>
      <c r="U76" s="25">
        <f t="shared" si="48"/>
        <v>4</v>
      </c>
      <c r="V76" s="25">
        <f t="shared" si="48"/>
        <v>5</v>
      </c>
      <c r="W76" s="25">
        <f t="shared" si="48"/>
        <v>13</v>
      </c>
      <c r="X76" s="25">
        <f t="shared" si="48"/>
        <v>12</v>
      </c>
      <c r="Y76" s="25">
        <f t="shared" si="48"/>
        <v>8</v>
      </c>
      <c r="Z76" s="25">
        <f t="shared" si="48"/>
        <v>10</v>
      </c>
      <c r="AA76" s="25">
        <f t="shared" ref="AA76" si="49">AA75*AA84</f>
        <v>10</v>
      </c>
      <c r="AC76" s="24">
        <f>AA76</f>
        <v>10</v>
      </c>
    </row>
    <row r="77" spans="1:31" x14ac:dyDescent="0.2">
      <c r="B77" s="20" t="s">
        <v>235</v>
      </c>
      <c r="C77" s="25"/>
      <c r="D77" s="25"/>
      <c r="E77" s="25"/>
      <c r="F77" s="25"/>
      <c r="G77" s="25"/>
      <c r="H77" s="25"/>
      <c r="I77" s="25"/>
      <c r="J77" s="25"/>
      <c r="K77" s="25"/>
      <c r="L77" s="25">
        <f t="shared" ref="L77:O77" si="50">L74+L76</f>
        <v>230</v>
      </c>
      <c r="M77" s="25">
        <f t="shared" si="50"/>
        <v>213</v>
      </c>
      <c r="N77" s="25">
        <f t="shared" si="50"/>
        <v>207</v>
      </c>
      <c r="O77" s="25">
        <f t="shared" si="50"/>
        <v>213</v>
      </c>
      <c r="P77" s="25">
        <f>P74+P76</f>
        <v>218</v>
      </c>
      <c r="Q77" s="25">
        <f>Q74+Q76</f>
        <v>237</v>
      </c>
      <c r="T77" s="25">
        <f t="shared" ref="T77:Z77" si="51">T74+T76</f>
        <v>217</v>
      </c>
      <c r="U77" s="25">
        <f t="shared" si="51"/>
        <v>216</v>
      </c>
      <c r="V77" s="25">
        <f t="shared" si="51"/>
        <v>218</v>
      </c>
      <c r="W77" s="25">
        <f t="shared" si="51"/>
        <v>227</v>
      </c>
      <c r="X77" s="25">
        <f t="shared" si="51"/>
        <v>230</v>
      </c>
      <c r="Y77" s="25">
        <f t="shared" si="51"/>
        <v>232</v>
      </c>
      <c r="Z77" s="25">
        <f t="shared" si="51"/>
        <v>237</v>
      </c>
      <c r="AA77" s="25">
        <f t="shared" ref="AA77" si="52">AA74+AA76</f>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3">L78*L84</f>
        <v>2</v>
      </c>
      <c r="M79" s="25">
        <f t="shared" si="53"/>
        <v>2</v>
      </c>
      <c r="N79" s="25">
        <f t="shared" si="53"/>
        <v>2</v>
      </c>
      <c r="O79" s="25">
        <f t="shared" si="53"/>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0.72</v>
      </c>
      <c r="U80" s="44">
        <v>0.72</v>
      </c>
      <c r="V80" s="44">
        <v>0.72</v>
      </c>
      <c r="W80" s="44">
        <v>0.72</v>
      </c>
      <c r="X80" s="44">
        <v>0.72</v>
      </c>
      <c r="Y80" s="44">
        <v>0.74</v>
      </c>
      <c r="Z80" s="44">
        <v>0.74</v>
      </c>
      <c r="AA80" s="44">
        <v>0.74</v>
      </c>
      <c r="AC80" s="72">
        <f>SUM(X80:AA80)</f>
        <v>2.9400000000000004</v>
      </c>
    </row>
    <row r="81" spans="1:31" x14ac:dyDescent="0.2">
      <c r="B81" s="23" t="s">
        <v>71</v>
      </c>
      <c r="C81" s="39"/>
      <c r="D81" s="45"/>
      <c r="E81" s="45"/>
      <c r="F81" s="45"/>
      <c r="G81" s="45"/>
      <c r="H81" s="45"/>
      <c r="I81" s="45"/>
      <c r="J81" s="45"/>
      <c r="K81" s="45"/>
      <c r="L81" s="45">
        <f t="shared" ref="L81:P81" si="54">L80/L84</f>
        <v>2.66</v>
      </c>
      <c r="M81" s="45">
        <f t="shared" si="54"/>
        <v>2.77</v>
      </c>
      <c r="N81" s="45">
        <f t="shared" si="54"/>
        <v>2.8</v>
      </c>
      <c r="O81" s="45">
        <f t="shared" si="54"/>
        <v>2.8</v>
      </c>
      <c r="P81" s="45">
        <f t="shared" si="54"/>
        <v>2.86</v>
      </c>
      <c r="Q81" s="45">
        <f t="shared" ref="Q81" si="55">Q80/Q84</f>
        <v>2.92</v>
      </c>
      <c r="T81" s="45">
        <f t="shared" ref="T81" si="56">T80/T84</f>
        <v>0.72</v>
      </c>
      <c r="U81" s="45">
        <f t="shared" ref="U81" si="57">U80/U84</f>
        <v>0.72</v>
      </c>
      <c r="V81" s="45">
        <f t="shared" ref="V81:Y81" si="58">V80/V84</f>
        <v>0.72</v>
      </c>
      <c r="W81" s="45">
        <f t="shared" si="58"/>
        <v>0.72</v>
      </c>
      <c r="X81" s="45">
        <f t="shared" si="58"/>
        <v>0.72</v>
      </c>
      <c r="Y81" s="45">
        <f t="shared" si="58"/>
        <v>0.74</v>
      </c>
      <c r="Z81" s="45">
        <f t="shared" ref="Z81:AA81" si="59">Z80/Z84</f>
        <v>0.74</v>
      </c>
      <c r="AA81" s="45">
        <f t="shared" si="59"/>
        <v>0.74</v>
      </c>
      <c r="AC81" s="72">
        <f>SUM(X81:AA81)</f>
        <v>2.9400000000000004</v>
      </c>
    </row>
    <row r="82" spans="1:31" x14ac:dyDescent="0.2">
      <c r="B82" s="20" t="s">
        <v>72</v>
      </c>
      <c r="C82" s="46">
        <f t="shared" ref="C82:Q82" si="60">IF(AND(C14&gt;0,C15&lt;0),-(C15)/C14,0)</f>
        <v>0</v>
      </c>
      <c r="D82" s="46">
        <f t="shared" si="60"/>
        <v>0</v>
      </c>
      <c r="E82" s="46">
        <f t="shared" si="60"/>
        <v>0</v>
      </c>
      <c r="F82" s="46">
        <f t="shared" si="60"/>
        <v>0</v>
      </c>
      <c r="G82" s="46">
        <f t="shared" si="60"/>
        <v>0</v>
      </c>
      <c r="H82" s="46">
        <f t="shared" si="60"/>
        <v>0</v>
      </c>
      <c r="I82" s="46">
        <f t="shared" si="60"/>
        <v>0</v>
      </c>
      <c r="J82" s="46">
        <f t="shared" si="60"/>
        <v>0</v>
      </c>
      <c r="K82" s="46">
        <f t="shared" si="60"/>
        <v>0</v>
      </c>
      <c r="L82" s="46">
        <f t="shared" ref="L82:P82" si="61">IF(AND(L14&gt;0,L15&lt;0),-(L15)/L14,0)</f>
        <v>2.5222551928783383E-2</v>
      </c>
      <c r="M82" s="46">
        <f t="shared" si="61"/>
        <v>1.7867778439547351E-2</v>
      </c>
      <c r="N82" s="46">
        <f t="shared" si="61"/>
        <v>0</v>
      </c>
      <c r="O82" s="46">
        <f t="shared" si="61"/>
        <v>0.24719101123595505</v>
      </c>
      <c r="P82" s="46">
        <f t="shared" si="61"/>
        <v>2.9081295439524125E-2</v>
      </c>
      <c r="Q82" s="46">
        <f t="shared" si="60"/>
        <v>0.13712737127371274</v>
      </c>
      <c r="T82" s="46">
        <f t="shared" ref="T82:Y82" si="62">IF(AND(T14&gt;0,T15&lt;0),-(T15)/T14,0)</f>
        <v>0.04</v>
      </c>
      <c r="U82" s="46">
        <f t="shared" si="62"/>
        <v>4.2253521126760563E-2</v>
      </c>
      <c r="V82" s="46">
        <f t="shared" si="62"/>
        <v>8.130081300813009E-3</v>
      </c>
      <c r="W82" s="46">
        <f t="shared" si="62"/>
        <v>0.10586319218241043</v>
      </c>
      <c r="X82" s="46">
        <f t="shared" si="62"/>
        <v>0.16124469589816123</v>
      </c>
      <c r="Y82" s="46">
        <f t="shared" si="62"/>
        <v>0.13425925925925927</v>
      </c>
      <c r="Z82" s="46">
        <f t="shared" ref="Z82:AA82" si="63">IF(AND(Z14&gt;0,Z15&lt;0),-(Z15)/Z14,0)</f>
        <v>0.14019933554817277</v>
      </c>
      <c r="AA82" s="46">
        <f t="shared" si="63"/>
        <v>0.11150353178607467</v>
      </c>
      <c r="AC82" s="46">
        <f>IF(AND(AC14&gt;0,AC15&lt;0),-(AC15)/AC14,0)</f>
        <v>0.13088177145116647</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4">IF(K5=0,
IF(L5=0,0,IF(L5&gt;0,1,-1)),
(L5-K5)/ABS(K5)
)</f>
        <v>1</v>
      </c>
      <c r="M88" s="48">
        <f t="shared" ref="M88:M93" si="65">IF(L5=0,
IF(M5=0,0,IF(M5&gt;0,1,-1)),
(M5-L5)/ABS(L5)
)</f>
        <v>9.1751708641512969E-2</v>
      </c>
      <c r="N88" s="48">
        <f t="shared" ref="N88:N93" si="66">IF(M5=0,
IF(N5=0,0,IF(N5&gt;0,1,-1)),
(N5-M5)/ABS(M5)
)</f>
        <v>-0.36677814938684505</v>
      </c>
      <c r="O88" s="48">
        <f t="shared" ref="O88:O93" si="67">IF(N5=0,
IF(O5=0,0,IF(O5&gt;0,1,-1)),
(O5-N5)/ABS(N5)
)</f>
        <v>-0.11281148429035753</v>
      </c>
      <c r="P88" s="48">
        <f t="shared" ref="P88:P93" si="68">IF(O5=0,
IF(P5=0,0,IF(P5&gt;0,1,-1)),
(P5-O5)/ABS(O5)
)</f>
        <v>0.38864295527400394</v>
      </c>
      <c r="Q88" s="48">
        <f t="shared" ref="Q88:Q92" si="69">IF(P5=0,
IF(Q5=0,0,IF(Q5&gt;0,1,-1)),
(Q5-P5)/ABS(P5)
)</f>
        <v>0.3405518302737166</v>
      </c>
      <c r="R88" s="1"/>
      <c r="S88" s="1"/>
      <c r="T88" s="48">
        <f t="shared" ref="T88:T94" si="70">IF(S5=0,
IF(T5=0,0,IF(T5&gt;0,1,-1)),
(T5-S5)/ABS(S5)
)</f>
        <v>1</v>
      </c>
      <c r="U88" s="48">
        <f t="shared" ref="U88:U94" si="71">IF(T5=0,
IF(U5=0,0,IF(U5&gt;0,1,-1)),
(U5-T5)/ABS(T5)
)</f>
        <v>-7.0967741935483872E-2</v>
      </c>
      <c r="V88" s="48">
        <f t="shared" ref="V88:V94" si="72">IF(U5=0,
IF(V5=0,0,IF(V5&gt;0,1,-1)),
(V5-U5)/ABS(U5)
)</f>
        <v>0.13148148148148148</v>
      </c>
      <c r="W88" s="48">
        <f t="shared" ref="W88:W94" si="73">IF(V5=0,
IF(W5=0,0,IF(W5&gt;0,1,-1)),
(W5-V5)/ABS(V5)
)</f>
        <v>7.5695581014729951E-2</v>
      </c>
      <c r="X88" s="48">
        <f t="shared" ref="X88:X94" si="74">IF(W5=0,
IF(X5=0,0,IF(X5&gt;0,1,-1)),
(X5-W5)/ABS(W5)
)</f>
        <v>7.4553062000760742E-2</v>
      </c>
      <c r="Y88" s="48">
        <f t="shared" ref="Y88:Y94" si="75">IF(X5=0,
IF(Y5=0,0,IF(Y5&gt;0,1,-1)),
(Y5-X5)/ABS(X5)
)</f>
        <v>0.10159292035398231</v>
      </c>
      <c r="Z88" s="48">
        <f t="shared" ref="Z88:Z94" si="76">IF(Y5=0,
IF(Z5=0,0,IF(Z5&gt;0,1,-1)),
(Z5-Y5)/ABS(Y5)
)</f>
        <v>0.16613110539845757</v>
      </c>
      <c r="AA88" s="48">
        <f t="shared" ref="AA88:AA92" si="77">IF(Z5=0,
IF(AA5=0,0,IF(AA5&gt;0,1,-1)),
(AA5-Z5)/ABS(Z5)
)</f>
        <v>0.16643703499586662</v>
      </c>
      <c r="AB88" s="1"/>
      <c r="AC88" s="67"/>
      <c r="AD88" s="1"/>
      <c r="AE88" s="1"/>
    </row>
    <row r="89" spans="1:31" x14ac:dyDescent="0.2">
      <c r="B89" s="20" t="s">
        <v>20</v>
      </c>
      <c r="C89" s="49"/>
      <c r="D89" s="50"/>
      <c r="E89" s="50"/>
      <c r="F89" s="50"/>
      <c r="G89" s="50"/>
      <c r="H89" s="50"/>
      <c r="I89" s="50"/>
      <c r="J89" s="50"/>
      <c r="K89" s="50"/>
      <c r="L89" s="50">
        <f t="shared" si="64"/>
        <v>1</v>
      </c>
      <c r="M89" s="50">
        <f t="shared" si="65"/>
        <v>5.5126223596084489E-2</v>
      </c>
      <c r="N89" s="50">
        <f t="shared" si="66"/>
        <v>-0.2635498046875</v>
      </c>
      <c r="O89" s="50">
        <f t="shared" si="67"/>
        <v>-0.16873860434278137</v>
      </c>
      <c r="P89" s="50">
        <f t="shared" si="68"/>
        <v>0.17587238285144566</v>
      </c>
      <c r="Q89" s="50">
        <f t="shared" si="69"/>
        <v>0.12548753603527218</v>
      </c>
      <c r="T89" s="50">
        <f t="shared" si="70"/>
        <v>1</v>
      </c>
      <c r="U89" s="50">
        <f t="shared" si="71"/>
        <v>-7.4686054196959686E-2</v>
      </c>
      <c r="V89" s="50">
        <f t="shared" si="72"/>
        <v>9.285714285714286E-2</v>
      </c>
      <c r="W89" s="50">
        <f t="shared" si="73"/>
        <v>4.0522875816993466E-2</v>
      </c>
      <c r="X89" s="50">
        <f t="shared" si="74"/>
        <v>3.5804020100502515E-2</v>
      </c>
      <c r="Y89" s="50">
        <f t="shared" si="75"/>
        <v>9.7028502122498486E-3</v>
      </c>
      <c r="Z89" s="50">
        <f t="shared" si="76"/>
        <v>3.9639639639639637E-2</v>
      </c>
      <c r="AA89" s="50">
        <f t="shared" si="77"/>
        <v>4.3327556325823226E-2</v>
      </c>
      <c r="AC89" s="68"/>
    </row>
    <row r="90" spans="1:31" s="41" customFormat="1" x14ac:dyDescent="0.2">
      <c r="A90" s="16"/>
      <c r="B90" s="17" t="s">
        <v>21</v>
      </c>
      <c r="C90" s="47"/>
      <c r="D90" s="48"/>
      <c r="E90" s="48"/>
      <c r="F90" s="48"/>
      <c r="G90" s="48"/>
      <c r="H90" s="48"/>
      <c r="I90" s="48"/>
      <c r="J90" s="48"/>
      <c r="K90" s="48"/>
      <c r="L90" s="48">
        <f t="shared" si="64"/>
        <v>1</v>
      </c>
      <c r="M90" s="48">
        <f t="shared" si="65"/>
        <v>0.1892355159410353</v>
      </c>
      <c r="N90" s="48">
        <f t="shared" si="66"/>
        <v>-0.61055059094840014</v>
      </c>
      <c r="O90" s="48">
        <f t="shared" si="67"/>
        <v>0.13693560325684678</v>
      </c>
      <c r="P90" s="48">
        <f t="shared" si="68"/>
        <v>1.0833333333333333</v>
      </c>
      <c r="Q90" s="48">
        <f t="shared" si="69"/>
        <v>0.73687499999999995</v>
      </c>
      <c r="R90" s="1"/>
      <c r="S90" s="1"/>
      <c r="T90" s="48">
        <f t="shared" si="70"/>
        <v>1</v>
      </c>
      <c r="U90" s="48">
        <f t="shared" si="71"/>
        <v>-6.4039408866995079E-2</v>
      </c>
      <c r="V90" s="48">
        <f t="shared" si="72"/>
        <v>0.20263157894736841</v>
      </c>
      <c r="W90" s="48">
        <f t="shared" si="73"/>
        <v>0.13457330415754923</v>
      </c>
      <c r="X90" s="48">
        <f t="shared" si="74"/>
        <v>0.13404050144648022</v>
      </c>
      <c r="Y90" s="48">
        <f t="shared" si="75"/>
        <v>0.23044217687074831</v>
      </c>
      <c r="Z90" s="48">
        <f t="shared" si="76"/>
        <v>0.31167933655839669</v>
      </c>
      <c r="AA90" s="48">
        <f t="shared" si="77"/>
        <v>0.27871443624868281</v>
      </c>
      <c r="AB90" s="1"/>
      <c r="AC90" s="67"/>
      <c r="AD90" s="1"/>
      <c r="AE90" s="1"/>
    </row>
    <row r="91" spans="1:31" x14ac:dyDescent="0.2">
      <c r="B91" s="20" t="s">
        <v>23</v>
      </c>
      <c r="C91" s="49"/>
      <c r="D91" s="50"/>
      <c r="E91" s="50"/>
      <c r="F91" s="50"/>
      <c r="G91" s="50"/>
      <c r="H91" s="50"/>
      <c r="I91" s="50"/>
      <c r="J91" s="50"/>
      <c r="K91" s="50"/>
      <c r="L91" s="50">
        <f t="shared" si="64"/>
        <v>1</v>
      </c>
      <c r="M91" s="50">
        <f t="shared" si="65"/>
        <v>4.2081949058693245E-2</v>
      </c>
      <c r="N91" s="50">
        <f t="shared" si="66"/>
        <v>-0.153028692879915</v>
      </c>
      <c r="O91" s="50">
        <f t="shared" si="67"/>
        <v>-0.1794228356336261</v>
      </c>
      <c r="P91" s="50">
        <f t="shared" si="68"/>
        <v>0.10703363914373089</v>
      </c>
      <c r="Q91" s="50">
        <f t="shared" si="69"/>
        <v>4.2817679558011051E-2</v>
      </c>
      <c r="T91" s="50">
        <f t="shared" si="70"/>
        <v>1</v>
      </c>
      <c r="U91" s="50">
        <f t="shared" si="71"/>
        <v>-2.1739130434782608E-2</v>
      </c>
      <c r="V91" s="50">
        <f t="shared" si="72"/>
        <v>-5.5555555555555558E-3</v>
      </c>
      <c r="W91" s="50">
        <f t="shared" si="73"/>
        <v>3.9106145251396648E-2</v>
      </c>
      <c r="X91" s="50">
        <f t="shared" si="74"/>
        <v>5.3763440860215058E-3</v>
      </c>
      <c r="Y91" s="50">
        <f t="shared" si="75"/>
        <v>3.7433155080213901E-2</v>
      </c>
      <c r="Z91" s="50">
        <f t="shared" si="76"/>
        <v>-3.0927835051546393E-2</v>
      </c>
      <c r="AA91" s="50">
        <f t="shared" si="77"/>
        <v>6.3829787234042548E-2</v>
      </c>
      <c r="AC91" s="68"/>
    </row>
    <row r="92" spans="1:31" x14ac:dyDescent="0.2">
      <c r="B92" s="20" t="s">
        <v>22</v>
      </c>
      <c r="C92" s="49"/>
      <c r="D92" s="50"/>
      <c r="E92" s="50"/>
      <c r="F92" s="50"/>
      <c r="G92" s="50"/>
      <c r="H92" s="50"/>
      <c r="I92" s="50"/>
      <c r="J92" s="50"/>
      <c r="K92" s="50"/>
      <c r="L92" s="50">
        <f t="shared" si="64"/>
        <v>1</v>
      </c>
      <c r="M92" s="50">
        <f t="shared" si="65"/>
        <v>0.11354581673306773</v>
      </c>
      <c r="N92" s="50">
        <f t="shared" si="66"/>
        <v>-0.12164579606440072</v>
      </c>
      <c r="O92" s="50">
        <f t="shared" si="67"/>
        <v>-6.313645621181263E-2</v>
      </c>
      <c r="P92" s="50">
        <f t="shared" si="68"/>
        <v>0.21956521739130436</v>
      </c>
      <c r="Q92" s="50">
        <f t="shared" si="69"/>
        <v>2.8520499108734401E-2</v>
      </c>
      <c r="T92" s="50">
        <f t="shared" si="70"/>
        <v>1</v>
      </c>
      <c r="U92" s="50">
        <f t="shared" si="71"/>
        <v>0</v>
      </c>
      <c r="V92" s="50">
        <f t="shared" si="72"/>
        <v>0.1079136690647482</v>
      </c>
      <c r="W92" s="50">
        <f t="shared" si="73"/>
        <v>-6.4935064935064929E-2</v>
      </c>
      <c r="X92" s="50">
        <f t="shared" si="74"/>
        <v>-6.9444444444444441E-3</v>
      </c>
      <c r="Y92" s="50">
        <f t="shared" si="75"/>
        <v>0</v>
      </c>
      <c r="Z92" s="50">
        <f t="shared" si="76"/>
        <v>2.7972027972027972E-2</v>
      </c>
      <c r="AA92" s="50">
        <f t="shared" si="77"/>
        <v>8.1632653061224483E-2</v>
      </c>
      <c r="AC92" s="68"/>
    </row>
    <row r="93" spans="1:31" x14ac:dyDescent="0.2">
      <c r="B93" s="23" t="s">
        <v>24</v>
      </c>
      <c r="C93" s="49"/>
      <c r="D93" s="50"/>
      <c r="E93" s="50"/>
      <c r="F93" s="50"/>
      <c r="G93" s="50"/>
      <c r="H93" s="50"/>
      <c r="I93" s="50"/>
      <c r="J93" s="50"/>
      <c r="K93" s="50"/>
      <c r="L93" s="50">
        <f>IF(K10=0,
IF(L10=0,0,IF(L10&gt;0,1,-1)),
(L10-K10)/ABS(K10)
)</f>
        <v>1</v>
      </c>
      <c r="M93" s="50">
        <f t="shared" si="65"/>
        <v>6.2456140350877196E-2</v>
      </c>
      <c r="N93" s="50">
        <f t="shared" si="66"/>
        <v>0.11822985468956407</v>
      </c>
      <c r="O93" s="50">
        <f t="shared" si="67"/>
        <v>-0.35971647962197284</v>
      </c>
      <c r="P93" s="50">
        <f t="shared" si="68"/>
        <v>0.20848708487084872</v>
      </c>
      <c r="Q93" s="50">
        <f t="shared" ref="Q93" si="78">IF(P10=0,
IF(Q10=0,0,IF(Q10&gt;0,1,-1)),
(Q10-P10)/ABS(P10)
)</f>
        <v>0.11755725190839694</v>
      </c>
      <c r="T93" s="50">
        <f t="shared" si="70"/>
        <v>1</v>
      </c>
      <c r="U93" s="50">
        <f t="shared" si="71"/>
        <v>1.5432098765432098E-2</v>
      </c>
      <c r="V93" s="50">
        <f t="shared" si="72"/>
        <v>5.1671732522796353E-2</v>
      </c>
      <c r="W93" s="50">
        <f t="shared" si="73"/>
        <v>-8.670520231213872E-3</v>
      </c>
      <c r="X93" s="50">
        <f t="shared" si="74"/>
        <v>-2.9154518950437316E-2</v>
      </c>
      <c r="Y93" s="50">
        <f t="shared" si="75"/>
        <v>0.34834834834834832</v>
      </c>
      <c r="Z93" s="50">
        <f t="shared" si="76"/>
        <v>-0.24498886414253898</v>
      </c>
      <c r="AA93" s="50">
        <f t="shared" ref="AA93" si="79">IF(Z10=0,
IF(AA10=0,0,IF(AA10&gt;0,1,-1)),
(AA10-Z10)/ABS(Z10)
)</f>
        <v>7.0796460176991149E-2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0"/>
        <v>1</v>
      </c>
      <c r="U94" s="48">
        <f t="shared" si="71"/>
        <v>-0.11680327868852459</v>
      </c>
      <c r="V94" s="48">
        <f t="shared" si="72"/>
        <v>0.31786542923433875</v>
      </c>
      <c r="W94" s="48">
        <f t="shared" si="73"/>
        <v>0.22183098591549297</v>
      </c>
      <c r="X94" s="48">
        <f t="shared" si="74"/>
        <v>0.21469740634005763</v>
      </c>
      <c r="Y94" s="48">
        <f t="shared" si="75"/>
        <v>0.18386714116251482</v>
      </c>
      <c r="Z94" s="48">
        <f t="shared" si="76"/>
        <v>0.56212424849699394</v>
      </c>
      <c r="AA94" s="48">
        <f t="shared" ref="AA94" si="80">IF(Z11=0,
IF(AA11=0,0,IF(AA11&gt;0,1,-1)),
(AA11-Z11)/ABS(Z11)
)</f>
        <v>0.32392559332905707</v>
      </c>
      <c r="AB94" s="1"/>
      <c r="AC94" s="67"/>
      <c r="AD94" s="1"/>
      <c r="AE94" s="1"/>
    </row>
    <row r="95" spans="1:31" s="53" customFormat="1" x14ac:dyDescent="0.2">
      <c r="A95" s="16"/>
      <c r="B95" s="51" t="s">
        <v>28</v>
      </c>
      <c r="C95" s="47"/>
      <c r="D95" s="52"/>
      <c r="E95" s="52"/>
      <c r="F95" s="52"/>
      <c r="G95" s="52"/>
      <c r="H95" s="52"/>
      <c r="I95" s="52"/>
      <c r="J95" s="52"/>
      <c r="K95" s="52"/>
      <c r="L95" s="52">
        <f t="shared" ref="L95:Q95" si="81">IF(K14=0,
IF(L14=0,0,IF(L14&gt;0,1,-1)),
(L14-K14)/ABS(K14)
)</f>
        <v>1</v>
      </c>
      <c r="M95" s="52">
        <f t="shared" si="81"/>
        <v>0.24554896142433236</v>
      </c>
      <c r="N95" s="52">
        <f t="shared" si="81"/>
        <v>-1.2954139368671829</v>
      </c>
      <c r="O95" s="52">
        <f t="shared" si="81"/>
        <v>1.8971774193548387</v>
      </c>
      <c r="P95" s="52">
        <f t="shared" si="81"/>
        <v>2.4</v>
      </c>
      <c r="Q95" s="52">
        <f t="shared" si="81"/>
        <v>1.4388631857237277</v>
      </c>
      <c r="R95" s="1"/>
      <c r="S95" s="1"/>
      <c r="T95" s="52">
        <f t="shared" ref="T95" si="82">IF(S14=0,
IF(T14=0,0,IF(T14&gt;0,1,-1)),
(T14-S14)/ABS(S14)
)</f>
        <v>1</v>
      </c>
      <c r="U95" s="52">
        <f t="shared" ref="U95" si="83">IF(T14=0,
IF(U14=0,0,IF(U14&gt;0,1,-1)),
(U14-T14)/ABS(T14)
)</f>
        <v>1.4285714285714285E-2</v>
      </c>
      <c r="V95" s="52">
        <f t="shared" ref="V95" si="84">IF(U14=0,
IF(V14=0,0,IF(V14&gt;0,1,-1)),
(V14-U14)/ABS(U14)
)</f>
        <v>0.38591549295774646</v>
      </c>
      <c r="W95" s="52">
        <f t="shared" ref="W95" si="85">IF(V14=0,
IF(W14=0,0,IF(W14&gt;0,1,-1)),
(W14-V14)/ABS(V14)
)</f>
        <v>0.24796747967479674</v>
      </c>
      <c r="X95" s="52">
        <f t="shared" ref="X95" si="86">IF(W14=0,
IF(X14=0,0,IF(X14&gt;0,1,-1)),
(X14-W14)/ABS(W14)
)</f>
        <v>0.15146579804560262</v>
      </c>
      <c r="Y95" s="52">
        <f t="shared" ref="Y95" si="87">IF(X14=0,
IF(Y14=0,0,IF(Y14&gt;0,1,-1)),
(Y14-X14)/ABS(X14)
)</f>
        <v>0.22206506364922207</v>
      </c>
      <c r="Z95" s="52">
        <f t="shared" ref="Z95" si="88">IF(Y14=0,
IF(Z14=0,0,IF(Z14&gt;0,1,-1)),
(Z14-Y14)/ABS(Y14)
)</f>
        <v>0.74189814814814814</v>
      </c>
      <c r="AA95" s="52">
        <f t="shared" ref="AA95" si="89">IF(Z14=0,
IF(AA14=0,0,IF(AA14&gt;0,1,-1)),
(AA14-Z14)/ABS(Z14)
)</f>
        <v>0.31694352159468436</v>
      </c>
      <c r="AB95" s="1"/>
      <c r="AC95" s="67"/>
      <c r="AD95" s="1"/>
      <c r="AE95" s="1"/>
    </row>
    <row r="96" spans="1:31" s="53" customFormat="1" x14ac:dyDescent="0.2">
      <c r="A96" s="16"/>
      <c r="B96" s="51" t="s">
        <v>30</v>
      </c>
      <c r="C96" s="47"/>
      <c r="D96" s="52"/>
      <c r="E96" s="52"/>
      <c r="F96" s="52"/>
      <c r="G96" s="52"/>
      <c r="H96" s="52"/>
      <c r="I96" s="52"/>
      <c r="J96" s="52"/>
      <c r="K96" s="52"/>
      <c r="L96" s="52">
        <f t="shared" ref="L96:Q96" si="90">IF(K17=0,
IF(L17=0,0,IF(L17&gt;0,1,-1)),
(L17-K17)/ABS(K17)
)</f>
        <v>1</v>
      </c>
      <c r="M96" s="52">
        <f t="shared" si="90"/>
        <v>0.25494672754946729</v>
      </c>
      <c r="N96" s="52">
        <f t="shared" si="90"/>
        <v>-1.3208004851425106</v>
      </c>
      <c r="O96" s="52">
        <f t="shared" si="90"/>
        <v>1.6332703213610587</v>
      </c>
      <c r="P96" s="52">
        <f t="shared" si="90"/>
        <v>3.3850746268656717</v>
      </c>
      <c r="Q96" s="52">
        <f t="shared" si="90"/>
        <v>1.1674608577263446</v>
      </c>
      <c r="R96" s="1"/>
      <c r="S96" s="1"/>
      <c r="T96" s="52">
        <f t="shared" ref="T96" si="91">IF(S17=0,
IF(T17=0,0,IF(T17&gt;0,1,-1)),
(T17-S17)/ABS(S17)
)</f>
        <v>1</v>
      </c>
      <c r="U96" s="52">
        <f t="shared" ref="U96" si="92">IF(T17=0,
IF(U17=0,0,IF(U17&gt;0,1,-1)),
(U17-T17)/ABS(T17)
)</f>
        <v>1.1904761904761904E-2</v>
      </c>
      <c r="V96" s="52">
        <f t="shared" ref="V96" si="93">IF(U17=0,
IF(V17=0,0,IF(V17&gt;0,1,-1)),
(V17-U17)/ABS(U17)
)</f>
        <v>0.43529411764705883</v>
      </c>
      <c r="W96" s="52">
        <f t="shared" ref="W96" si="94">IF(V17=0,
IF(W17=0,0,IF(W17&gt;0,1,-1)),
(W17-V17)/ABS(V17)
)</f>
        <v>0.125</v>
      </c>
      <c r="X96" s="52">
        <f t="shared" ref="X96" si="95">IF(W17=0,
IF(X17=0,0,IF(X17&gt;0,1,-1)),
(X17-W17)/ABS(W17)
)</f>
        <v>8.0145719489981782E-2</v>
      </c>
      <c r="Y96" s="52">
        <f t="shared" ref="Y96" si="96">IF(X17=0,
IF(Y17=0,0,IF(Y17&gt;0,1,-1)),
(Y17-X17)/ABS(X17)
)</f>
        <v>0.26138279932546377</v>
      </c>
      <c r="Z96" s="52">
        <f t="shared" ref="Z96" si="97">IF(Y17=0,
IF(Z17=0,0,IF(Z17&gt;0,1,-1)),
(Z17-Y17)/ABS(Y17)
)</f>
        <v>0.72994652406417115</v>
      </c>
      <c r="AA96" s="52">
        <f t="shared" ref="AA96" si="98">IF(Z17=0,
IF(AA17=0,0,IF(AA17&gt;0,1,-1)),
(AA17-Z17)/ABS(Z17)
)</f>
        <v>0.36089644513137559</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99">L7/L5</f>
        <v>0.27310176949723808</v>
      </c>
      <c r="M99" s="50">
        <f t="shared" si="99"/>
        <v>0.29748735099905671</v>
      </c>
      <c r="N99" s="50">
        <f t="shared" si="99"/>
        <v>0.1829631635969664</v>
      </c>
      <c r="O99" s="50">
        <f t="shared" si="99"/>
        <v>0.23446802014959547</v>
      </c>
      <c r="P99" s="50">
        <f t="shared" si="99"/>
        <v>0.3517643179070023</v>
      </c>
      <c r="Q99" s="50">
        <f t="shared" si="99"/>
        <v>0.45576055760557604</v>
      </c>
      <c r="T99" s="50">
        <f t="shared" ref="T99:Y99" si="100">T7/T5</f>
        <v>0.34924731182795699</v>
      </c>
      <c r="U99" s="50">
        <f t="shared" si="100"/>
        <v>0.35185185185185186</v>
      </c>
      <c r="V99" s="50">
        <f t="shared" si="100"/>
        <v>0.3739770867430442</v>
      </c>
      <c r="W99" s="50">
        <f t="shared" si="100"/>
        <v>0.39444655762647396</v>
      </c>
      <c r="X99" s="50">
        <f t="shared" si="100"/>
        <v>0.41628318584070795</v>
      </c>
      <c r="Y99" s="50">
        <f t="shared" si="100"/>
        <v>0.46497429305912596</v>
      </c>
      <c r="Z99" s="50">
        <f t="shared" ref="Z99:AA99" si="101">Z7/Z5</f>
        <v>0.52300909341416368</v>
      </c>
      <c r="AA99" s="50">
        <f t="shared" si="101"/>
        <v>0.57335223245924871</v>
      </c>
      <c r="AC99" s="50">
        <f>AC7/AC5</f>
        <v>0.50351474744546709</v>
      </c>
    </row>
    <row r="100" spans="1:31" x14ac:dyDescent="0.2">
      <c r="B100" s="20" t="s">
        <v>78</v>
      </c>
      <c r="C100" s="50"/>
      <c r="D100" s="50"/>
      <c r="E100" s="50"/>
      <c r="F100" s="50"/>
      <c r="G100" s="50"/>
      <c r="H100" s="50"/>
      <c r="I100" s="50"/>
      <c r="J100" s="50"/>
      <c r="K100" s="50"/>
      <c r="L100" s="50">
        <f t="shared" ref="L100:Q100" si="102">L11/L5</f>
        <v>0.13968729519707893</v>
      </c>
      <c r="M100" s="50">
        <f t="shared" si="102"/>
        <v>0.16765285996055226</v>
      </c>
      <c r="N100" s="50">
        <f t="shared" si="102"/>
        <v>-4.6316359696641385E-2</v>
      </c>
      <c r="O100" s="50">
        <f t="shared" si="102"/>
        <v>6.8997099679438248E-2</v>
      </c>
      <c r="P100" s="50">
        <f t="shared" si="102"/>
        <v>0.20776080026382324</v>
      </c>
      <c r="Q100" s="50">
        <f t="shared" si="102"/>
        <v>0.33571135711357114</v>
      </c>
      <c r="T100" s="50">
        <f t="shared" ref="T100:Y100" si="103">T11/T5</f>
        <v>0.20989247311827958</v>
      </c>
      <c r="U100" s="50">
        <f t="shared" si="103"/>
        <v>0.19953703703703704</v>
      </c>
      <c r="V100" s="50">
        <f t="shared" si="103"/>
        <v>0.23240589198036007</v>
      </c>
      <c r="W100" s="50">
        <f t="shared" si="103"/>
        <v>0.26397869912514266</v>
      </c>
      <c r="X100" s="50">
        <f t="shared" si="103"/>
        <v>0.2984070796460177</v>
      </c>
      <c r="Y100" s="50">
        <f t="shared" si="103"/>
        <v>0.32069408740359895</v>
      </c>
      <c r="Z100" s="50">
        <f t="shared" ref="Z100:AA100" si="104">Z11/Z5</f>
        <v>0.42959492973270874</v>
      </c>
      <c r="AA100" s="50">
        <f t="shared" si="104"/>
        <v>0.48759744861800142</v>
      </c>
      <c r="AC100" s="50">
        <f>AC11/AC5</f>
        <v>0.39597072251612436</v>
      </c>
    </row>
    <row r="101" spans="1:31" s="56" customFormat="1" x14ac:dyDescent="0.2">
      <c r="A101" s="1"/>
      <c r="B101" s="54" t="s">
        <v>79</v>
      </c>
      <c r="C101" s="55"/>
      <c r="D101" s="55"/>
      <c r="E101" s="55"/>
      <c r="F101" s="55"/>
      <c r="G101" s="55"/>
      <c r="H101" s="55"/>
      <c r="I101" s="55"/>
      <c r="J101" s="55"/>
      <c r="K101" s="55"/>
      <c r="L101" s="55">
        <f t="shared" ref="L101:Q101" si="105">L109/L5</f>
        <v>0.12302218893362045</v>
      </c>
      <c r="M101" s="55">
        <f t="shared" si="105"/>
        <v>0.1414115427493354</v>
      </c>
      <c r="N101" s="55">
        <f t="shared" si="105"/>
        <v>-7.164138678223185E-2</v>
      </c>
      <c r="O101" s="55">
        <f t="shared" si="105"/>
        <v>5.1137230957105782E-2</v>
      </c>
      <c r="P101" s="55">
        <f t="shared" si="105"/>
        <v>0.16148180718918326</v>
      </c>
      <c r="Q101" s="55">
        <f t="shared" si="105"/>
        <v>0.26109061090610908</v>
      </c>
      <c r="R101" s="1"/>
      <c r="S101" s="1"/>
      <c r="T101" s="55">
        <f t="shared" ref="T101:Y101" si="106">T109/T5</f>
        <v>0.14451612903225808</v>
      </c>
      <c r="U101" s="55">
        <f t="shared" si="106"/>
        <v>0.15740740740740741</v>
      </c>
      <c r="V101" s="55">
        <f t="shared" si="106"/>
        <v>0.19967266775777415</v>
      </c>
      <c r="W101" s="55">
        <f t="shared" si="106"/>
        <v>0.20882464815519208</v>
      </c>
      <c r="X101" s="55">
        <f t="shared" si="106"/>
        <v>0.20991150442477877</v>
      </c>
      <c r="Y101" s="55">
        <f t="shared" si="106"/>
        <v>0.24035989717223649</v>
      </c>
      <c r="Z101" s="55">
        <f t="shared" ref="Z101:AA101" si="107">Z109/Z5</f>
        <v>0.35657205841829703</v>
      </c>
      <c r="AA101" s="55">
        <f t="shared" si="107"/>
        <v>0.41601700921332391</v>
      </c>
      <c r="AB101" s="1"/>
      <c r="AC101" s="55">
        <f>AC109/AC5</f>
        <v>0.31857380969635479</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08">IF(AND(C82&gt;=0,C11&gt;=0),C82,0)</f>
        <v>0</v>
      </c>
      <c r="D104" s="81">
        <f t="shared" si="108"/>
        <v>0</v>
      </c>
      <c r="E104" s="81">
        <f t="shared" si="108"/>
        <v>0</v>
      </c>
      <c r="F104" s="81">
        <f t="shared" si="108"/>
        <v>0</v>
      </c>
      <c r="G104" s="81">
        <f t="shared" si="108"/>
        <v>0</v>
      </c>
      <c r="H104" s="81">
        <f t="shared" si="108"/>
        <v>0</v>
      </c>
      <c r="I104" s="81">
        <f t="shared" si="108"/>
        <v>0</v>
      </c>
      <c r="J104" s="81">
        <f t="shared" si="108"/>
        <v>0</v>
      </c>
      <c r="K104" s="81">
        <f t="shared" si="108"/>
        <v>0</v>
      </c>
      <c r="L104" s="81">
        <f t="shared" ref="L104:P104" si="109">IF(AND(L82&gt;=0,L11&gt;=0),L82,0)</f>
        <v>2.5222551928783383E-2</v>
      </c>
      <c r="M104" s="81">
        <f t="shared" si="109"/>
        <v>1.7867778439547351E-2</v>
      </c>
      <c r="N104" s="81">
        <f t="shared" si="109"/>
        <v>0</v>
      </c>
      <c r="O104" s="81">
        <f t="shared" si="109"/>
        <v>0.24719101123595505</v>
      </c>
      <c r="P104" s="81">
        <f t="shared" si="109"/>
        <v>2.9081295439524125E-2</v>
      </c>
      <c r="Q104" s="81">
        <f t="shared" si="108"/>
        <v>0.13712737127371274</v>
      </c>
      <c r="T104" s="81">
        <f t="shared" ref="T104:Y104" si="110">IF(AND(T82&gt;=0,T11&gt;=0),T82,0)</f>
        <v>0.04</v>
      </c>
      <c r="U104" s="81">
        <f t="shared" si="110"/>
        <v>4.2253521126760563E-2</v>
      </c>
      <c r="V104" s="81">
        <f t="shared" si="110"/>
        <v>8.130081300813009E-3</v>
      </c>
      <c r="W104" s="81">
        <f t="shared" si="110"/>
        <v>0.10586319218241043</v>
      </c>
      <c r="X104" s="81">
        <f t="shared" si="110"/>
        <v>0.16124469589816123</v>
      </c>
      <c r="Y104" s="81">
        <f t="shared" si="110"/>
        <v>0.13425925925925927</v>
      </c>
      <c r="Z104" s="81">
        <f t="shared" ref="Z104:AA104" si="111">IF(AND(Z82&gt;=0,Z11&gt;=0),Z82,0)</f>
        <v>0.14019933554817277</v>
      </c>
      <c r="AA104" s="81">
        <f t="shared" si="111"/>
        <v>0.11150353178607467</v>
      </c>
      <c r="AC104" s="81">
        <f>IF(AND(AC82&gt;=0,AC11&gt;=0),AC82,0)</f>
        <v>0.13088177145116647</v>
      </c>
    </row>
    <row r="105" spans="1:31" x14ac:dyDescent="0.2">
      <c r="B105" s="20" t="s">
        <v>177</v>
      </c>
      <c r="C105" s="25"/>
      <c r="D105" s="25"/>
      <c r="E105" s="25"/>
      <c r="F105" s="25"/>
      <c r="G105" s="25"/>
      <c r="H105" s="25"/>
      <c r="I105" s="25"/>
      <c r="J105" s="25"/>
      <c r="K105" s="25"/>
      <c r="L105" s="25">
        <f t="shared" ref="L105:Q105" si="112">L28+L33</f>
        <v>1209</v>
      </c>
      <c r="M105" s="25">
        <f t="shared" si="112"/>
        <v>615</v>
      </c>
      <c r="N105" s="25">
        <f t="shared" si="112"/>
        <v>786</v>
      </c>
      <c r="O105" s="25">
        <f t="shared" si="112"/>
        <v>1358</v>
      </c>
      <c r="P105" s="25">
        <f t="shared" si="112"/>
        <v>891</v>
      </c>
      <c r="Q105" s="25">
        <f t="shared" si="112"/>
        <v>1704</v>
      </c>
      <c r="T105" s="25">
        <f t="shared" ref="T105:Y105" si="113">T28+T33</f>
        <v>1238</v>
      </c>
      <c r="U105" s="25">
        <f t="shared" si="113"/>
        <v>814</v>
      </c>
      <c r="V105" s="25">
        <f t="shared" si="113"/>
        <v>891</v>
      </c>
      <c r="W105" s="25">
        <f t="shared" si="113"/>
        <v>1112</v>
      </c>
      <c r="X105" s="25">
        <f t="shared" si="113"/>
        <v>1046</v>
      </c>
      <c r="Y105" s="25">
        <f t="shared" si="113"/>
        <v>1146</v>
      </c>
      <c r="Z105" s="25">
        <f t="shared" ref="Z105:AA105" si="114">Z28+Z33</f>
        <v>1704</v>
      </c>
      <c r="AA105" s="25">
        <f t="shared" si="114"/>
        <v>1258</v>
      </c>
      <c r="AC105" s="25">
        <f>AA105</f>
        <v>1258</v>
      </c>
    </row>
    <row r="106" spans="1:31" x14ac:dyDescent="0.2">
      <c r="B106" s="20" t="s">
        <v>168</v>
      </c>
      <c r="C106" s="25">
        <v>0</v>
      </c>
      <c r="D106" s="25">
        <v>0</v>
      </c>
      <c r="E106" s="25">
        <v>0</v>
      </c>
      <c r="F106" s="25">
        <v>0</v>
      </c>
      <c r="G106" s="25">
        <v>0</v>
      </c>
      <c r="H106" s="25">
        <v>0</v>
      </c>
      <c r="I106" s="25">
        <v>0</v>
      </c>
      <c r="J106" s="25">
        <v>0</v>
      </c>
      <c r="K106" s="25">
        <v>0</v>
      </c>
      <c r="L106" s="25">
        <f t="shared" ref="L106:Q106" si="115">L38+L40</f>
        <v>5139</v>
      </c>
      <c r="M106" s="25">
        <f t="shared" si="115"/>
        <v>5646</v>
      </c>
      <c r="N106" s="25">
        <f t="shared" si="115"/>
        <v>5451</v>
      </c>
      <c r="O106" s="25">
        <f t="shared" si="115"/>
        <v>5674</v>
      </c>
      <c r="P106" s="25">
        <f t="shared" si="115"/>
        <v>4995</v>
      </c>
      <c r="Q106" s="25">
        <f t="shared" si="115"/>
        <v>3565</v>
      </c>
      <c r="T106" s="25">
        <f t="shared" ref="T106:Y106" si="116">T38+T40</f>
        <v>5679</v>
      </c>
      <c r="U106" s="25">
        <f t="shared" si="116"/>
        <v>5146</v>
      </c>
      <c r="V106" s="25">
        <f t="shared" si="116"/>
        <v>4995</v>
      </c>
      <c r="W106" s="25">
        <f t="shared" si="116"/>
        <v>4994</v>
      </c>
      <c r="X106" s="25">
        <f t="shared" si="116"/>
        <v>4499</v>
      </c>
      <c r="Y106" s="25">
        <f t="shared" si="116"/>
        <v>3863</v>
      </c>
      <c r="Z106" s="25">
        <f t="shared" ref="Z106:AA106" si="117">Z38+Z40</f>
        <v>3565</v>
      </c>
      <c r="AA106" s="25">
        <f t="shared" si="117"/>
        <v>2351</v>
      </c>
      <c r="AC106" s="25">
        <f>AA106</f>
        <v>2351</v>
      </c>
    </row>
    <row r="107" spans="1:31" x14ac:dyDescent="0.2">
      <c r="B107" s="20" t="s">
        <v>161</v>
      </c>
      <c r="C107" s="25"/>
      <c r="D107" s="25"/>
      <c r="E107" s="25"/>
      <c r="F107" s="25"/>
      <c r="G107" s="25"/>
      <c r="H107" s="25"/>
      <c r="I107" s="25"/>
      <c r="J107" s="25"/>
      <c r="K107" s="25"/>
      <c r="L107" s="126">
        <f t="shared" ref="L107:Q107" si="118">L11*(1-L104)</f>
        <v>1454.3679525222551</v>
      </c>
      <c r="M107" s="126">
        <f t="shared" si="118"/>
        <v>1920.0684931506848</v>
      </c>
      <c r="N107" s="126">
        <f t="shared" si="118"/>
        <v>-342</v>
      </c>
      <c r="O107" s="126">
        <f t="shared" si="118"/>
        <v>340.26966292134836</v>
      </c>
      <c r="P107" s="25">
        <f t="shared" si="118"/>
        <v>1835.0363516192995</v>
      </c>
      <c r="Q107" s="25">
        <f t="shared" si="118"/>
        <v>3532.6005420054198</v>
      </c>
      <c r="T107" s="67"/>
      <c r="U107" s="67"/>
      <c r="V107" s="67"/>
      <c r="W107" s="67"/>
      <c r="X107" s="67"/>
      <c r="Y107" s="67"/>
      <c r="Z107" s="67"/>
      <c r="AA107" s="67"/>
      <c r="AC107" s="25">
        <f>AC11*(1-AC104)</f>
        <v>4748.8620007908257</v>
      </c>
    </row>
    <row r="108" spans="1:31" x14ac:dyDescent="0.2">
      <c r="B108" s="20" t="s">
        <v>298</v>
      </c>
      <c r="C108" s="25"/>
      <c r="D108" s="25"/>
      <c r="E108" s="25"/>
      <c r="F108" s="25"/>
      <c r="G108" s="25"/>
      <c r="H108" s="25"/>
      <c r="I108" s="25"/>
      <c r="J108" s="25"/>
      <c r="K108" s="25"/>
      <c r="L108" s="126">
        <f t="shared" ref="L108:Q108" si="119">L59+L60</f>
        <v>-498</v>
      </c>
      <c r="M108" s="126">
        <f t="shared" si="119"/>
        <v>-381</v>
      </c>
      <c r="N108" s="126">
        <f t="shared" si="119"/>
        <v>-316</v>
      </c>
      <c r="O108" s="126">
        <f t="shared" si="119"/>
        <v>-254</v>
      </c>
      <c r="P108" s="126">
        <f t="shared" si="119"/>
        <v>-265</v>
      </c>
      <c r="Q108" s="126">
        <f t="shared" si="119"/>
        <v>-569</v>
      </c>
      <c r="T108" s="126">
        <f t="shared" ref="T108:Y108" si="120">T59+T60</f>
        <v>-71</v>
      </c>
      <c r="U108" s="126">
        <f t="shared" si="120"/>
        <v>-43</v>
      </c>
      <c r="V108" s="126">
        <f t="shared" si="120"/>
        <v>-83</v>
      </c>
      <c r="W108" s="126">
        <f t="shared" si="120"/>
        <v>-105</v>
      </c>
      <c r="X108" s="126">
        <f t="shared" si="120"/>
        <v>-116</v>
      </c>
      <c r="Y108" s="126">
        <f t="shared" si="120"/>
        <v>-161</v>
      </c>
      <c r="Z108" s="126">
        <f t="shared" ref="Z108:AA108" si="121">Z59+Z60</f>
        <v>-187</v>
      </c>
      <c r="AA108" s="126">
        <f t="shared" si="121"/>
        <v>-211</v>
      </c>
      <c r="AC108" s="126">
        <f>AC59+AC60</f>
        <v>-675</v>
      </c>
    </row>
    <row r="109" spans="1:31" x14ac:dyDescent="0.2">
      <c r="B109" s="20" t="s">
        <v>326</v>
      </c>
      <c r="C109" s="25"/>
      <c r="D109" s="25"/>
      <c r="E109" s="25"/>
      <c r="F109" s="25"/>
      <c r="G109" s="25"/>
      <c r="H109" s="25"/>
      <c r="I109" s="25"/>
      <c r="J109" s="25"/>
      <c r="K109" s="25"/>
      <c r="L109" s="126">
        <f t="shared" ref="L109:Q109" si="122">L16+L17</f>
        <v>1314</v>
      </c>
      <c r="M109" s="126">
        <f t="shared" si="122"/>
        <v>1649</v>
      </c>
      <c r="N109" s="126">
        <f t="shared" si="122"/>
        <v>-529</v>
      </c>
      <c r="O109" s="126">
        <f t="shared" si="122"/>
        <v>335</v>
      </c>
      <c r="P109" s="126">
        <f t="shared" si="122"/>
        <v>1469</v>
      </c>
      <c r="Q109" s="126">
        <f t="shared" si="122"/>
        <v>3184</v>
      </c>
      <c r="T109" s="126">
        <f t="shared" ref="T109:Y109" si="123">T16+T17</f>
        <v>336</v>
      </c>
      <c r="U109" s="126">
        <f t="shared" si="123"/>
        <v>340</v>
      </c>
      <c r="V109" s="126">
        <f t="shared" si="123"/>
        <v>488</v>
      </c>
      <c r="W109" s="126">
        <f t="shared" si="123"/>
        <v>549</v>
      </c>
      <c r="X109" s="126">
        <f t="shared" si="123"/>
        <v>593</v>
      </c>
      <c r="Y109" s="126">
        <f t="shared" si="123"/>
        <v>748</v>
      </c>
      <c r="Z109" s="126">
        <f t="shared" ref="Z109:AA109" si="124">Z16+Z17</f>
        <v>1294</v>
      </c>
      <c r="AA109" s="126">
        <f t="shared" si="124"/>
        <v>1761</v>
      </c>
      <c r="AC109" s="126">
        <f>AC16+AC17</f>
        <v>4396</v>
      </c>
    </row>
    <row r="110" spans="1:31" x14ac:dyDescent="0.2">
      <c r="B110" s="20" t="s">
        <v>327</v>
      </c>
      <c r="C110" s="25"/>
      <c r="D110" s="25"/>
      <c r="E110" s="25"/>
      <c r="F110" s="25"/>
      <c r="G110" s="25"/>
      <c r="H110" s="25"/>
      <c r="I110" s="25"/>
      <c r="J110" s="25"/>
      <c r="K110" s="25"/>
      <c r="L110" s="126">
        <f t="shared" ref="L110:Q110" si="125">L48+L47</f>
        <v>631</v>
      </c>
      <c r="M110" s="126">
        <f t="shared" si="125"/>
        <v>109</v>
      </c>
      <c r="N110" s="126">
        <f t="shared" si="125"/>
        <v>-1199</v>
      </c>
      <c r="O110" s="126">
        <f t="shared" si="125"/>
        <v>-1491</v>
      </c>
      <c r="P110" s="126">
        <f t="shared" si="125"/>
        <v>-453</v>
      </c>
      <c r="Q110" s="126">
        <f t="shared" si="125"/>
        <v>2167</v>
      </c>
      <c r="T110" s="126">
        <f t="shared" ref="T110:Y110" si="126">T48+T47</f>
        <v>-1079</v>
      </c>
      <c r="U110" s="126">
        <f t="shared" si="126"/>
        <v>-829</v>
      </c>
      <c r="V110" s="126">
        <f t="shared" si="126"/>
        <v>-453</v>
      </c>
      <c r="W110" s="126">
        <f t="shared" si="126"/>
        <v>-63</v>
      </c>
      <c r="X110" s="126">
        <f t="shared" si="126"/>
        <v>459</v>
      </c>
      <c r="Y110" s="126">
        <f t="shared" si="126"/>
        <v>1095</v>
      </c>
      <c r="Z110" s="126">
        <f t="shared" ref="Z110:AA110" si="127">Z48+Z47</f>
        <v>2167</v>
      </c>
      <c r="AA110" s="126">
        <f t="shared" si="127"/>
        <v>3453</v>
      </c>
      <c r="AC110" s="126">
        <f>AC48+AC47</f>
        <v>3453</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87.39</v>
      </c>
      <c r="U114" s="26">
        <v>84.92</v>
      </c>
      <c r="V114" s="26">
        <v>141.44</v>
      </c>
      <c r="W114" s="26">
        <v>252.79</v>
      </c>
      <c r="X114" s="26">
        <v>286.83999999999997</v>
      </c>
      <c r="Y114" s="26">
        <v>375.01</v>
      </c>
      <c r="Z114" s="26">
        <v>820.16</v>
      </c>
      <c r="AA114" s="26">
        <v>848.99</v>
      </c>
      <c r="AC114" s="63">
        <f ca="1">Overview!C5</f>
        <v>700.47</v>
      </c>
    </row>
    <row r="115" spans="1:31" x14ac:dyDescent="0.2">
      <c r="B115" s="20" t="s">
        <v>339</v>
      </c>
      <c r="C115" s="26"/>
      <c r="D115" s="26"/>
      <c r="E115" s="26"/>
      <c r="F115" s="26"/>
      <c r="G115" s="26"/>
      <c r="H115" s="26"/>
      <c r="I115" s="26"/>
      <c r="J115" s="26"/>
      <c r="K115" s="26"/>
      <c r="L115" s="65">
        <f t="shared" ref="L115:Q115" si="128">L114/L84</f>
        <v>87.03</v>
      </c>
      <c r="M115" s="65">
        <f t="shared" si="128"/>
        <v>69.09</v>
      </c>
      <c r="N115" s="65">
        <f t="shared" si="128"/>
        <v>61.87</v>
      </c>
      <c r="O115" s="65">
        <f t="shared" si="128"/>
        <v>103.27</v>
      </c>
      <c r="P115" s="65">
        <f t="shared" si="128"/>
        <v>141.44</v>
      </c>
      <c r="Q115" s="65">
        <f t="shared" si="128"/>
        <v>820.16</v>
      </c>
      <c r="T115" s="65">
        <f t="shared" ref="T115:Y115" si="129">T114/T84</f>
        <v>87.39</v>
      </c>
      <c r="U115" s="65">
        <f t="shared" si="129"/>
        <v>84.92</v>
      </c>
      <c r="V115" s="65">
        <f t="shared" si="129"/>
        <v>141.44</v>
      </c>
      <c r="W115" s="65">
        <f t="shared" si="129"/>
        <v>252.79</v>
      </c>
      <c r="X115" s="65">
        <f t="shared" si="129"/>
        <v>286.83999999999997</v>
      </c>
      <c r="Y115" s="65">
        <f t="shared" si="129"/>
        <v>375.01</v>
      </c>
      <c r="Z115" s="65">
        <f t="shared" ref="Z115:AA115" si="130">Z114/Z84</f>
        <v>820.16</v>
      </c>
      <c r="AA115" s="65">
        <f t="shared" si="130"/>
        <v>848.99</v>
      </c>
      <c r="AC115" s="65">
        <f ca="1">AC114/AC84</f>
        <v>700.47</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1">L109/L5</f>
        <v>0.12302218893362045</v>
      </c>
      <c r="M119" s="74">
        <f t="shared" si="131"/>
        <v>0.1414115427493354</v>
      </c>
      <c r="N119" s="74">
        <f t="shared" si="131"/>
        <v>-7.164138678223185E-2</v>
      </c>
      <c r="O119" s="74">
        <f t="shared" si="131"/>
        <v>5.1137230957105782E-2</v>
      </c>
      <c r="P119" s="74">
        <f t="shared" si="131"/>
        <v>0.16148180718918326</v>
      </c>
      <c r="Q119" s="74">
        <f t="shared" si="131"/>
        <v>0.26109061090610908</v>
      </c>
      <c r="T119" s="77"/>
      <c r="U119" s="77"/>
      <c r="V119" s="77"/>
      <c r="W119" s="77"/>
      <c r="X119" s="77"/>
      <c r="Y119" s="77"/>
      <c r="Z119" s="77"/>
      <c r="AA119" s="77"/>
      <c r="AC119" s="74">
        <f>AC109/AC5</f>
        <v>0.31857380969635479</v>
      </c>
    </row>
    <row r="120" spans="1:31" x14ac:dyDescent="0.2">
      <c r="B120" s="20" t="s">
        <v>100</v>
      </c>
      <c r="L120" s="75">
        <f t="shared" ref="L120:Q120" si="132">L5/L36</f>
        <v>1.2312391930835735</v>
      </c>
      <c r="M120" s="75">
        <f t="shared" si="132"/>
        <v>1.3037790697674418</v>
      </c>
      <c r="N120" s="75">
        <f t="shared" si="132"/>
        <v>0.97723663313922715</v>
      </c>
      <c r="O120" s="75">
        <f t="shared" si="132"/>
        <v>0.84649179480553038</v>
      </c>
      <c r="P120" s="75">
        <f t="shared" si="132"/>
        <v>1.133865137729029</v>
      </c>
      <c r="Q120" s="75">
        <f t="shared" si="132"/>
        <v>1.2229241877256318</v>
      </c>
      <c r="T120" s="78"/>
      <c r="U120" s="78"/>
      <c r="V120" s="78"/>
      <c r="W120" s="78"/>
      <c r="X120" s="78"/>
      <c r="Y120" s="78"/>
      <c r="Z120" s="78"/>
      <c r="AA120" s="78"/>
      <c r="AC120" s="75">
        <f>AC5/AC36</f>
        <v>1.3363354638775906</v>
      </c>
    </row>
    <row r="121" spans="1:31" x14ac:dyDescent="0.2">
      <c r="B121" s="32" t="s">
        <v>101</v>
      </c>
      <c r="L121" s="76">
        <f t="shared" ref="L121:O121" si="133">L119*L120</f>
        <v>0.15146974063400578</v>
      </c>
      <c r="M121" s="76">
        <f t="shared" si="133"/>
        <v>0.18436940966010734</v>
      </c>
      <c r="N121" s="76">
        <f t="shared" si="133"/>
        <v>-7.0010587612493388E-2</v>
      </c>
      <c r="O121" s="76">
        <f t="shared" si="133"/>
        <v>4.3287246414265401E-2</v>
      </c>
      <c r="P121" s="76">
        <f>P119*P120</f>
        <v>0.18309859154929578</v>
      </c>
      <c r="Q121" s="76">
        <f>Q119*Q120</f>
        <v>0.31929402326514245</v>
      </c>
      <c r="T121" s="79"/>
      <c r="U121" s="79"/>
      <c r="V121" s="79"/>
      <c r="W121" s="79"/>
      <c r="X121" s="79"/>
      <c r="Y121" s="79"/>
      <c r="Z121" s="79"/>
      <c r="AA121" s="79"/>
      <c r="AC121" s="76">
        <f>AC119*AC120</f>
        <v>0.42572147975982955</v>
      </c>
    </row>
    <row r="122" spans="1:31" x14ac:dyDescent="0.2">
      <c r="B122" s="20" t="s">
        <v>102</v>
      </c>
      <c r="L122" s="75">
        <f t="shared" ref="L122:Q122" si="134">L36/L48</f>
        <v>13.748019017432647</v>
      </c>
      <c r="M122" s="75">
        <f t="shared" si="134"/>
        <v>82.055045871559628</v>
      </c>
      <c r="N122" s="75">
        <f t="shared" si="134"/>
        <v>-6.3019182652210173</v>
      </c>
      <c r="O122" s="75">
        <f t="shared" si="134"/>
        <v>-5.1904761904761907</v>
      </c>
      <c r="P122" s="75">
        <f t="shared" si="134"/>
        <v>-17.710816777041941</v>
      </c>
      <c r="Q122" s="75">
        <f t="shared" si="134"/>
        <v>4.6017535763728654</v>
      </c>
      <c r="T122" s="80"/>
      <c r="U122" s="80"/>
      <c r="V122" s="80"/>
      <c r="W122" s="80"/>
      <c r="X122" s="80"/>
      <c r="Y122" s="80"/>
      <c r="Z122" s="80"/>
      <c r="AA122" s="80"/>
      <c r="AC122" s="75">
        <f>AC36/AC48</f>
        <v>2.9904430929626411</v>
      </c>
    </row>
    <row r="123" spans="1:31" x14ac:dyDescent="0.2">
      <c r="B123" s="32" t="s">
        <v>103</v>
      </c>
      <c r="L123" s="76">
        <f t="shared" ref="L123:O123" si="135">L121*L122</f>
        <v>2.0824088748019021</v>
      </c>
      <c r="M123" s="76">
        <f t="shared" si="135"/>
        <v>15.128440366972477</v>
      </c>
      <c r="N123" s="76">
        <f t="shared" si="135"/>
        <v>0.44120100083402836</v>
      </c>
      <c r="O123" s="76">
        <f t="shared" si="135"/>
        <v>-0.22468142186452042</v>
      </c>
      <c r="P123" s="76">
        <f>P121*P122</f>
        <v>-3.2428256070640176</v>
      </c>
      <c r="Q123" s="76">
        <f>Q121*Q122</f>
        <v>1.4693124134748501</v>
      </c>
      <c r="T123" s="79"/>
      <c r="U123" s="79"/>
      <c r="V123" s="79"/>
      <c r="W123" s="79"/>
      <c r="X123" s="79"/>
      <c r="Y123" s="79"/>
      <c r="Z123" s="79"/>
      <c r="AA123" s="79"/>
      <c r="AC123" s="76">
        <f>AC121*AC122</f>
        <v>1.2730958586736172</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1995</v>
      </c>
      <c r="U127" s="21">
        <v>2250</v>
      </c>
      <c r="V127" s="21">
        <v>2350</v>
      </c>
      <c r="W127" s="21">
        <v>2600</v>
      </c>
      <c r="X127" s="21">
        <v>2800</v>
      </c>
      <c r="Y127" s="21">
        <v>3350</v>
      </c>
      <c r="Z127" s="21">
        <v>4000</v>
      </c>
      <c r="AA127" s="21">
        <v>4700</v>
      </c>
      <c r="AC127" s="49"/>
    </row>
    <row r="128" spans="1:31" x14ac:dyDescent="0.2">
      <c r="B128" s="20" t="s">
        <v>229</v>
      </c>
      <c r="C128" s="49"/>
      <c r="D128" s="49"/>
      <c r="E128" s="49"/>
      <c r="F128" s="49"/>
      <c r="G128" s="49"/>
      <c r="H128" s="49"/>
      <c r="I128" s="49"/>
      <c r="J128" s="49"/>
      <c r="K128" s="49"/>
      <c r="L128" s="49"/>
      <c r="M128" s="49"/>
      <c r="N128" s="49"/>
      <c r="O128" s="49"/>
      <c r="P128" s="49"/>
      <c r="Q128" s="49"/>
      <c r="T128" s="21">
        <v>2950</v>
      </c>
      <c r="U128" s="21">
        <v>2550</v>
      </c>
      <c r="V128" s="21">
        <v>2650</v>
      </c>
      <c r="W128" s="21">
        <v>2800</v>
      </c>
      <c r="X128" s="21">
        <v>3000</v>
      </c>
      <c r="Y128" s="21">
        <v>3550</v>
      </c>
      <c r="Z128" s="21">
        <v>4200</v>
      </c>
      <c r="AA128" s="21">
        <v>4900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36">U5</f>
        <v>2160</v>
      </c>
      <c r="U129" s="25">
        <f t="shared" ref="U129" si="137">V5</f>
        <v>2444</v>
      </c>
      <c r="V129" s="25">
        <f t="shared" ref="V129" si="138">W5</f>
        <v>2629</v>
      </c>
      <c r="W129" s="25">
        <f t="shared" ref="W129" si="139">X5</f>
        <v>2825</v>
      </c>
      <c r="X129" s="25">
        <f t="shared" ref="X129" si="140">Y5</f>
        <v>3112</v>
      </c>
      <c r="Y129" s="25">
        <f t="shared" ref="Y129" si="141">Z5</f>
        <v>3629</v>
      </c>
      <c r="Z129" s="25">
        <f t="shared" ref="Z129" si="142">AA5</f>
        <v>4233</v>
      </c>
      <c r="AA129" s="25">
        <f t="shared" ref="AA129" si="143">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X130" si="144">IF(T129&gt;T128, "BEAT", IF(T129&lt;T127, "MISSED", "MET"))</f>
        <v>MET</v>
      </c>
      <c r="U130" s="221" t="str">
        <f t="shared" si="144"/>
        <v>MET</v>
      </c>
      <c r="V130" s="221" t="str">
        <f t="shared" si="144"/>
        <v>MET</v>
      </c>
      <c r="W130" s="221" t="str">
        <f t="shared" si="144"/>
        <v>BEAT</v>
      </c>
      <c r="X130" s="221" t="str">
        <f t="shared" si="144"/>
        <v>BEAT</v>
      </c>
      <c r="Y130" s="221" t="str">
        <f>IF(Y129&gt;Y128, "BEAT", IF(Y129&lt;Y127, "MISSED", "MET"))</f>
        <v>BEAT</v>
      </c>
      <c r="Z130" s="221" t="str">
        <f>IF(Z129&gt;Z128, "BEAT", IF(Z129&lt;Z127, "MISSED", "MET"))</f>
        <v>BEAT</v>
      </c>
      <c r="AA130" s="221" t="str">
        <f>IF(AA129&gt;AA128, "BEAT", IF(AA129&lt;AA127, "MISSED", "MET"))</f>
        <v>MISSED</v>
      </c>
      <c r="AC130" s="49"/>
    </row>
    <row r="131" spans="2:29" x14ac:dyDescent="0.2">
      <c r="B131" s="20" t="s">
        <v>356</v>
      </c>
      <c r="C131" s="49"/>
      <c r="D131" s="49"/>
      <c r="E131" s="49"/>
      <c r="F131" s="49"/>
      <c r="G131" s="49"/>
      <c r="H131" s="49"/>
      <c r="I131" s="49"/>
      <c r="J131" s="49"/>
      <c r="K131" s="49"/>
      <c r="L131" s="49"/>
      <c r="M131" s="49"/>
      <c r="N131" s="49"/>
      <c r="O131" s="49"/>
      <c r="P131" s="49"/>
      <c r="Q131" s="49"/>
      <c r="T131" s="26">
        <v>1.27</v>
      </c>
      <c r="U131" s="26">
        <v>1.98</v>
      </c>
      <c r="V131" s="26">
        <v>1.87</v>
      </c>
      <c r="W131" s="26">
        <v>2.31</v>
      </c>
      <c r="X131" s="26">
        <v>2.97</v>
      </c>
      <c r="Y131" s="26">
        <v>4.57</v>
      </c>
      <c r="Z131" s="26">
        <v>7.1</v>
      </c>
      <c r="AA131" s="26">
        <v>8.6999999999999993</v>
      </c>
      <c r="AC131" s="49"/>
    </row>
    <row r="132" spans="2:29" x14ac:dyDescent="0.2">
      <c r="B132" s="20" t="s">
        <v>357</v>
      </c>
      <c r="C132" s="49"/>
      <c r="D132" s="49"/>
      <c r="E132" s="49"/>
      <c r="F132" s="49"/>
      <c r="G132" s="49"/>
      <c r="H132" s="49"/>
      <c r="I132" s="49"/>
      <c r="J132" s="49"/>
      <c r="K132" s="49"/>
      <c r="L132" s="49"/>
      <c r="M132" s="49"/>
      <c r="N132" s="49"/>
      <c r="O132" s="49"/>
      <c r="P132" s="49"/>
      <c r="Q132" s="49"/>
      <c r="T132" s="26">
        <v>1.67</v>
      </c>
      <c r="U132" s="26">
        <v>2.38</v>
      </c>
      <c r="V132" s="26">
        <v>2.27</v>
      </c>
      <c r="W132" s="26">
        <v>2.71</v>
      </c>
      <c r="X132" s="26">
        <v>3.37</v>
      </c>
      <c r="Y132" s="26">
        <v>4.97</v>
      </c>
      <c r="Z132" s="26">
        <v>7.5</v>
      </c>
      <c r="AA132" s="26">
        <v>9.1</v>
      </c>
      <c r="AC132" s="49"/>
    </row>
    <row r="133" spans="2:29" x14ac:dyDescent="0.2">
      <c r="B133" s="20" t="s">
        <v>358</v>
      </c>
      <c r="C133" s="49"/>
      <c r="D133" s="49"/>
      <c r="E133" s="49"/>
      <c r="F133" s="49"/>
      <c r="G133" s="49"/>
      <c r="H133" s="49"/>
      <c r="I133" s="49"/>
      <c r="J133" s="49"/>
      <c r="K133" s="49"/>
      <c r="L133" s="49"/>
      <c r="M133" s="49"/>
      <c r="N133" s="49"/>
      <c r="O133" s="49"/>
      <c r="P133" s="49"/>
      <c r="Q133" s="49"/>
      <c r="T133" s="225">
        <f t="shared" ref="T133" si="145">U24</f>
        <v>1.57</v>
      </c>
      <c r="U133" s="225">
        <f t="shared" ref="U133" si="146">V24</f>
        <v>2.2400000000000002</v>
      </c>
      <c r="V133" s="225">
        <f t="shared" ref="V133" si="147">W24</f>
        <v>2.4300000000000002</v>
      </c>
      <c r="W133" s="225">
        <f t="shared" ref="W133" si="148">X24</f>
        <v>2.6</v>
      </c>
      <c r="X133" s="225">
        <f t="shared" ref="X133" si="149">Y24</f>
        <v>3.27</v>
      </c>
      <c r="Y133" s="225">
        <f t="shared" ref="Y133" si="150">Z24</f>
        <v>5.58</v>
      </c>
      <c r="Z133" s="225">
        <f t="shared" ref="Z133" si="151">AA24</f>
        <v>7.59</v>
      </c>
      <c r="AA133" s="225">
        <f t="shared" ref="AA133" si="152">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X134" si="153">IF(T133&gt;T132, "BEAT", IF(T133&lt;T131, "MISSED", "MET"))</f>
        <v>MET</v>
      </c>
      <c r="U134" s="221" t="str">
        <f t="shared" si="153"/>
        <v>MET</v>
      </c>
      <c r="V134" s="221" t="str">
        <f t="shared" si="153"/>
        <v>BEAT</v>
      </c>
      <c r="W134" s="221" t="str">
        <f t="shared" si="153"/>
        <v>MET</v>
      </c>
      <c r="X134" s="221" t="str">
        <f t="shared" si="153"/>
        <v>MET</v>
      </c>
      <c r="Y134" s="221" t="str">
        <f>IF(Y133&gt;Y132, "BEAT", IF(Y133&lt;Y131, "MISSED", "MET"))</f>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4">L107/(L106+L110-L105)</f>
        <v>0.31887041274331401</v>
      </c>
      <c r="M138" s="81">
        <f t="shared" si="154"/>
        <v>0.37355418154682585</v>
      </c>
      <c r="N138" s="81">
        <f t="shared" si="154"/>
        <v>-9.867282169648009E-2</v>
      </c>
      <c r="O138" s="81">
        <f t="shared" si="154"/>
        <v>0.12044943820224721</v>
      </c>
      <c r="P138" s="81">
        <f t="shared" si="154"/>
        <v>0.5026119834618733</v>
      </c>
      <c r="Q138" s="81">
        <f t="shared" si="154"/>
        <v>0.87701105809469215</v>
      </c>
      <c r="T138" s="49"/>
      <c r="U138" s="49"/>
      <c r="V138" s="49"/>
      <c r="W138" s="49"/>
      <c r="X138" s="49"/>
      <c r="Y138" s="49"/>
      <c r="Z138" s="49"/>
      <c r="AA138" s="49"/>
      <c r="AC138" s="81">
        <f>AC107/(AC106+AC110-AC105)</f>
        <v>1.0446242852597505</v>
      </c>
    </row>
    <row r="139" spans="2:29" x14ac:dyDescent="0.2">
      <c r="B139" s="20" t="s">
        <v>138</v>
      </c>
      <c r="L139" s="118">
        <f t="shared" ref="L139:P139" si="155">L29/L5*365</f>
        <v>39.572137440314577</v>
      </c>
      <c r="M139" s="118">
        <f t="shared" si="155"/>
        <v>47.953005745647879</v>
      </c>
      <c r="N139" s="118">
        <f t="shared" si="155"/>
        <v>30.696776814734559</v>
      </c>
      <c r="O139" s="118">
        <f t="shared" si="155"/>
        <v>23.902457640054951</v>
      </c>
      <c r="P139" s="118">
        <f t="shared" si="155"/>
        <v>38.478069693305486</v>
      </c>
      <c r="Q139" s="118">
        <f t="shared" ref="Q139:Q140" si="156">Q29/Q5*365</f>
        <v>45.913079130791303</v>
      </c>
      <c r="T139" s="118">
        <f t="shared" ref="T139:Y139" si="157">T29/T5*90</f>
        <v>22.722580645161294</v>
      </c>
      <c r="U139" s="118">
        <f t="shared" si="157"/>
        <v>25.916666666666668</v>
      </c>
      <c r="V139" s="118">
        <f t="shared" si="157"/>
        <v>35.315057283142387</v>
      </c>
      <c r="W139" s="118">
        <f t="shared" si="157"/>
        <v>36.732597945987067</v>
      </c>
      <c r="X139" s="118">
        <f t="shared" si="157"/>
        <v>39.69557522123894</v>
      </c>
      <c r="Y139" s="118">
        <f t="shared" si="157"/>
        <v>34.617609254498717</v>
      </c>
      <c r="Z139" s="118">
        <f t="shared" ref="Z139:AA139" si="158">Z29/Z5*90</f>
        <v>38.043538164783691</v>
      </c>
      <c r="AA139" s="118">
        <f t="shared" si="158"/>
        <v>38.632175761871011</v>
      </c>
      <c r="AC139" s="118">
        <f>AC29/AC5*365</f>
        <v>48.06181607362852</v>
      </c>
    </row>
    <row r="140" spans="2:29" x14ac:dyDescent="0.2">
      <c r="B140" s="20" t="s">
        <v>139</v>
      </c>
      <c r="L140" s="118">
        <f t="shared" ref="L140:P140" si="159">L30/L6*365</f>
        <v>56.602266872746</v>
      </c>
      <c r="M140" s="118">
        <f t="shared" si="159"/>
        <v>69.7296142578125</v>
      </c>
      <c r="N140" s="118">
        <f t="shared" si="159"/>
        <v>68.97066136250622</v>
      </c>
      <c r="O140" s="118">
        <f t="shared" si="159"/>
        <v>90.176470588235304</v>
      </c>
      <c r="P140" s="118">
        <f t="shared" si="159"/>
        <v>89.130066135323048</v>
      </c>
      <c r="Q140" s="118">
        <f t="shared" si="156"/>
        <v>86.396715383456382</v>
      </c>
      <c r="T140" s="118">
        <f t="shared" ref="T140:Y140" si="160">T30/T6*365</f>
        <v>355.35029742233974</v>
      </c>
      <c r="U140" s="118">
        <f t="shared" si="160"/>
        <v>383.77142857142854</v>
      </c>
      <c r="V140" s="118">
        <f t="shared" si="160"/>
        <v>343.52941176470586</v>
      </c>
      <c r="W140" s="118">
        <f t="shared" si="160"/>
        <v>342.9899497487437</v>
      </c>
      <c r="X140" s="118">
        <f t="shared" si="160"/>
        <v>331.57671315949062</v>
      </c>
      <c r="Y140" s="118">
        <f t="shared" si="160"/>
        <v>335.40540540540542</v>
      </c>
      <c r="Z140" s="118">
        <f t="shared" ref="Z140:AA140" si="161">Z30/Z6*365</f>
        <v>331.26227614095899</v>
      </c>
      <c r="AA140" s="118">
        <f t="shared" si="161"/>
        <v>343.57696566998891</v>
      </c>
      <c r="AC140" s="118">
        <f>AC30/AC6*365</f>
        <v>90.570719602977675</v>
      </c>
    </row>
    <row r="141" spans="2:29" x14ac:dyDescent="0.2">
      <c r="B141" s="20" t="s">
        <v>140</v>
      </c>
      <c r="L141" s="118">
        <f t="shared" ref="L141:Q141" si="162">L37/L6*365</f>
        <v>81.09544049459042</v>
      </c>
      <c r="M141" s="118">
        <f t="shared" si="162"/>
        <v>91.695556640625</v>
      </c>
      <c r="N141" s="118">
        <f t="shared" si="162"/>
        <v>96.982429968506537</v>
      </c>
      <c r="O141" s="118">
        <f t="shared" si="162"/>
        <v>129.98803589232301</v>
      </c>
      <c r="P141" s="118">
        <f t="shared" si="162"/>
        <v>99.280990334068164</v>
      </c>
      <c r="Q141" s="118">
        <f t="shared" si="162"/>
        <v>96.130781979810152</v>
      </c>
      <c r="T141" s="118">
        <f t="shared" ref="T141:Y141" si="163">T37/T6*90</f>
        <v>93.212161269001996</v>
      </c>
      <c r="U141" s="118">
        <f t="shared" si="163"/>
        <v>94.30714285714285</v>
      </c>
      <c r="V141" s="118">
        <f t="shared" si="163"/>
        <v>94.352941176470594</v>
      </c>
      <c r="W141" s="118">
        <f t="shared" si="163"/>
        <v>94.579145728643212</v>
      </c>
      <c r="X141" s="118">
        <f t="shared" si="163"/>
        <v>96.658580958156449</v>
      </c>
      <c r="Y141" s="118">
        <f t="shared" si="163"/>
        <v>91.567567567567565</v>
      </c>
      <c r="Z141" s="118">
        <f t="shared" ref="Z141:AA141" si="164">Z37/Z6*90</f>
        <v>90.883882149046798</v>
      </c>
      <c r="AA141" s="118">
        <f t="shared" si="164"/>
        <v>93.338870431893682</v>
      </c>
      <c r="AC141" s="118">
        <f>AC37/AC6*365</f>
        <v>99.787622244927732</v>
      </c>
    </row>
    <row r="142" spans="2:29" x14ac:dyDescent="0.2">
      <c r="B142" s="20" t="s">
        <v>141</v>
      </c>
      <c r="L142" s="118">
        <f>L139+L140-L141</f>
        <v>15.078963818470157</v>
      </c>
      <c r="M142" s="118">
        <f t="shared" ref="M142:P142" si="165">M139+M140-M141</f>
        <v>25.987063362835386</v>
      </c>
      <c r="N142" s="118">
        <f t="shared" si="165"/>
        <v>2.6850082087342457</v>
      </c>
      <c r="O142" s="118">
        <f t="shared" si="165"/>
        <v>-15.90910766403276</v>
      </c>
      <c r="P142" s="118">
        <f t="shared" si="165"/>
        <v>28.327145494560369</v>
      </c>
      <c r="Q142" s="118">
        <f t="shared" ref="Q142" si="166">Q139+Q140-Q141</f>
        <v>36.179012534437547</v>
      </c>
      <c r="T142" s="118">
        <f t="shared" ref="T142" si="167">T139+T140-T141</f>
        <v>284.86071679849908</v>
      </c>
      <c r="U142" s="118">
        <f t="shared" ref="U142" si="168">U139+U140-U141</f>
        <v>315.38095238095241</v>
      </c>
      <c r="V142" s="118">
        <f t="shared" ref="V142:Y142" si="169">V139+V140-V141</f>
        <v>284.49152787137763</v>
      </c>
      <c r="W142" s="118">
        <f t="shared" si="169"/>
        <v>285.14340196608759</v>
      </c>
      <c r="X142" s="118">
        <f t="shared" si="169"/>
        <v>274.6137074225731</v>
      </c>
      <c r="Y142" s="118">
        <f t="shared" si="169"/>
        <v>278.45544709233656</v>
      </c>
      <c r="Z142" s="118">
        <f t="shared" ref="Z142:AA142" si="170">Z139+Z140-Z141</f>
        <v>278.4219321566959</v>
      </c>
      <c r="AA142" s="118">
        <f t="shared" si="170"/>
        <v>288.87027099996624</v>
      </c>
      <c r="AC142" s="118">
        <f t="shared" ref="AC142" si="171">AC139+AC140-AC141</f>
        <v>38.844913431678478</v>
      </c>
    </row>
    <row r="143" spans="2:29" x14ac:dyDescent="0.2">
      <c r="B143" s="20" t="s">
        <v>250</v>
      </c>
      <c r="L143" s="118">
        <f t="shared" ref="L143:Q143" si="172">L106/L48</f>
        <v>8.1442155309033275</v>
      </c>
      <c r="M143" s="118">
        <f t="shared" si="172"/>
        <v>51.798165137614681</v>
      </c>
      <c r="N143" s="118">
        <f t="shared" si="172"/>
        <v>-4.54628857381151</v>
      </c>
      <c r="O143" s="118">
        <f t="shared" si="172"/>
        <v>-3.8054996646545942</v>
      </c>
      <c r="P143" s="118">
        <f t="shared" si="172"/>
        <v>-11.026490066225165</v>
      </c>
      <c r="Q143" s="118">
        <f t="shared" si="172"/>
        <v>1.6451315182279649</v>
      </c>
      <c r="T143" s="118">
        <f t="shared" ref="T143:Y143" si="173">T106/T48</f>
        <v>-5.2632066728452269</v>
      </c>
      <c r="U143" s="118">
        <f t="shared" si="173"/>
        <v>-6.2074788902291917</v>
      </c>
      <c r="V143" s="118">
        <f t="shared" si="173"/>
        <v>-11.026490066225165</v>
      </c>
      <c r="W143" s="118">
        <f t="shared" si="173"/>
        <v>-79.269841269841265</v>
      </c>
      <c r="X143" s="118">
        <f t="shared" si="173"/>
        <v>9.8017429193899783</v>
      </c>
      <c r="Y143" s="118">
        <f t="shared" si="173"/>
        <v>3.5278538812785389</v>
      </c>
      <c r="Z143" s="118">
        <f t="shared" ref="Z143:AA143" si="174">Z106/Z48</f>
        <v>1.6451315182279649</v>
      </c>
      <c r="AA143" s="118">
        <f t="shared" si="174"/>
        <v>0.68085722560092676</v>
      </c>
      <c r="AC143" s="118">
        <f>AC106/AC48</f>
        <v>0.68085722560092676</v>
      </c>
    </row>
    <row r="144" spans="2:29" x14ac:dyDescent="0.2">
      <c r="B144" s="20" t="s">
        <v>254</v>
      </c>
      <c r="L144" s="175">
        <f t="shared" ref="L144:Q144" si="175">(L106-L105)/L48</f>
        <v>6.2282091917591123</v>
      </c>
      <c r="M144" s="175">
        <f t="shared" si="175"/>
        <v>46.155963302752291</v>
      </c>
      <c r="N144" s="175">
        <f t="shared" si="175"/>
        <v>-3.8907422852376983</v>
      </c>
      <c r="O144" s="175">
        <f t="shared" si="175"/>
        <v>-2.8947015425888667</v>
      </c>
      <c r="P144" s="175">
        <f t="shared" si="175"/>
        <v>-9.0596026490066226</v>
      </c>
      <c r="Q144" s="175">
        <f t="shared" si="175"/>
        <v>0.8587909552376557</v>
      </c>
      <c r="T144" s="175">
        <f t="shared" ref="T144:Y144" si="176">(T106-T105)/T48</f>
        <v>-4.1158480074142725</v>
      </c>
      <c r="U144" s="175">
        <f t="shared" si="176"/>
        <v>-5.2255729794933652</v>
      </c>
      <c r="V144" s="175">
        <f t="shared" si="176"/>
        <v>-9.0596026490066226</v>
      </c>
      <c r="W144" s="175">
        <f t="shared" si="176"/>
        <v>-61.61904761904762</v>
      </c>
      <c r="X144" s="175">
        <f t="shared" si="176"/>
        <v>7.522875816993464</v>
      </c>
      <c r="Y144" s="175">
        <f t="shared" si="176"/>
        <v>2.4812785388127856</v>
      </c>
      <c r="Z144" s="175">
        <f t="shared" ref="Z144:AA144" si="177">(Z106-Z105)/Z48</f>
        <v>0.8587909552376557</v>
      </c>
      <c r="AA144" s="175">
        <f t="shared" si="177"/>
        <v>0.31653634520706631</v>
      </c>
      <c r="AC144" s="175">
        <f>(AC106-AC105)/AC48</f>
        <v>0.31653634520706631</v>
      </c>
    </row>
    <row r="145" spans="2:29" x14ac:dyDescent="0.2">
      <c r="B145" s="20" t="s">
        <v>251</v>
      </c>
      <c r="L145" s="118">
        <f t="shared" ref="L145:Q145" si="178">(L105+L29)/L39</f>
        <v>0.81033892502567617</v>
      </c>
      <c r="M145" s="118">
        <f t="shared" si="178"/>
        <v>0.60393811533052044</v>
      </c>
      <c r="N145" s="118">
        <f t="shared" si="178"/>
        <v>0.54282407407407407</v>
      </c>
      <c r="O145" s="118">
        <f t="shared" si="178"/>
        <v>0.57663762504033556</v>
      </c>
      <c r="P145" s="118">
        <f t="shared" si="178"/>
        <v>0.69864048338368578</v>
      </c>
      <c r="Q145" s="118">
        <f t="shared" si="178"/>
        <v>1.0354972817396866</v>
      </c>
      <c r="T145" s="118">
        <f t="shared" ref="T145:Y145" si="179">(T105+T29)/T39</f>
        <v>0.61468507915122939</v>
      </c>
      <c r="U145" s="118">
        <f t="shared" si="179"/>
        <v>0.59535655058043113</v>
      </c>
      <c r="V145" s="118">
        <f t="shared" si="179"/>
        <v>0.69864048338368578</v>
      </c>
      <c r="W145" s="118">
        <f t="shared" si="179"/>
        <v>0.53072625698324027</v>
      </c>
      <c r="X145" s="118">
        <f t="shared" si="179"/>
        <v>0.6094123903217229</v>
      </c>
      <c r="Y145" s="118">
        <f t="shared" si="179"/>
        <v>0.72292502314100582</v>
      </c>
      <c r="Z145" s="118">
        <f t="shared" ref="Z145:AA145" si="180">(Z105+Z29)/Z39</f>
        <v>1.0354972817396866</v>
      </c>
      <c r="AA145" s="118">
        <f t="shared" si="180"/>
        <v>3.1766528925619837</v>
      </c>
      <c r="AC145" s="118">
        <f>(AC105+AC29)/AC39</f>
        <v>3.1766528925619837</v>
      </c>
    </row>
    <row r="146" spans="2:29" x14ac:dyDescent="0.2">
      <c r="B146" s="20" t="s">
        <v>252</v>
      </c>
      <c r="L146" s="118">
        <f t="shared" ref="L146:Q146" si="181">L31/L39</f>
        <v>1.2937350222526531</v>
      </c>
      <c r="M146" s="118">
        <f t="shared" si="181"/>
        <v>1.1344585091420534</v>
      </c>
      <c r="N146" s="118">
        <f t="shared" si="181"/>
        <v>1.1207561728395061</v>
      </c>
      <c r="O146" s="118">
        <f t="shared" si="181"/>
        <v>1.0751855437237818</v>
      </c>
      <c r="P146" s="118">
        <f t="shared" si="181"/>
        <v>1.3795317220543806</v>
      </c>
      <c r="Q146" s="118">
        <f t="shared" si="181"/>
        <v>1.669651423089223</v>
      </c>
      <c r="T146" s="118">
        <f t="shared" ref="T146:Y146" si="182">T31/T39</f>
        <v>1.2334119232064669</v>
      </c>
      <c r="U146" s="118">
        <f t="shared" si="182"/>
        <v>1.3606965174129353</v>
      </c>
      <c r="V146" s="118">
        <f t="shared" si="182"/>
        <v>1.3795317220543806</v>
      </c>
      <c r="W146" s="118">
        <f t="shared" si="182"/>
        <v>0.97935389846975951</v>
      </c>
      <c r="X146" s="118">
        <f t="shared" si="182"/>
        <v>1.1191172560489231</v>
      </c>
      <c r="Y146" s="118">
        <f t="shared" si="182"/>
        <v>1.3264424560320889</v>
      </c>
      <c r="Z146" s="118">
        <f t="shared" ref="Z146:AA146" si="183">Z31/Z39</f>
        <v>1.669651423089223</v>
      </c>
      <c r="AA146" s="118">
        <f t="shared" si="183"/>
        <v>5.5743801652892566</v>
      </c>
      <c r="AC146" s="118">
        <f>AC31/AC39</f>
        <v>5.5743801652892566</v>
      </c>
    </row>
    <row r="147" spans="2:29" x14ac:dyDescent="0.2">
      <c r="B147" s="20" t="s">
        <v>258</v>
      </c>
      <c r="L147" s="177">
        <f t="shared" ref="L147:Q147" si="184">IF(L12&gt;=0,"N/A",IF(L11&lt;=0,"N/A",L11/-L12))</f>
        <v>6.8440366972477067</v>
      </c>
      <c r="M147" s="177">
        <f t="shared" si="184"/>
        <v>7.9149797570850202</v>
      </c>
      <c r="N147" s="177" t="str">
        <f t="shared" si="184"/>
        <v>N/A</v>
      </c>
      <c r="O147" s="177">
        <f t="shared" si="184"/>
        <v>1.4258675078864353</v>
      </c>
      <c r="P147" s="177">
        <f t="shared" si="184"/>
        <v>6.3851351351351351</v>
      </c>
      <c r="Q147" s="177">
        <f t="shared" si="184"/>
        <v>16.118110236220474</v>
      </c>
      <c r="T147" s="177">
        <f t="shared" ref="T147:Y147" si="185">IF(T12&gt;=0,"N/A",IF(T11&lt;=0,"N/A",T11/-T12))</f>
        <v>6.4210526315789478</v>
      </c>
      <c r="U147" s="177">
        <f t="shared" si="185"/>
        <v>5.904109589041096</v>
      </c>
      <c r="V147" s="177">
        <f t="shared" si="185"/>
        <v>8.2318840579710137</v>
      </c>
      <c r="W147" s="177">
        <f t="shared" si="185"/>
        <v>9.506849315068493</v>
      </c>
      <c r="X147" s="177">
        <f t="shared" si="185"/>
        <v>12.969230769230769</v>
      </c>
      <c r="Y147" s="177">
        <f t="shared" si="185"/>
        <v>16.096774193548388</v>
      </c>
      <c r="Z147" s="177">
        <f t="shared" ref="Z147:AA147" si="186">IF(Z12&gt;=0,"N/A",IF(Z11&lt;=0,"N/A",Z11/-Z12))</f>
        <v>28.87037037037037</v>
      </c>
      <c r="AA147" s="177">
        <f t="shared" si="186"/>
        <v>60.705882352941174</v>
      </c>
      <c r="AC147" s="177">
        <f>IF(AC12&gt;=0,"N/A",IF(AC11&lt;=0,"N/A",AC11/-AC12))</f>
        <v>25.413953488372094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36.789390756302524</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11.688036633089355</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-17.170231696014827</v>
      </c>
      <c r="U150" s="72">
        <f>U115/(Statement!U48/Statement!U74)</f>
        <v>-21.716574185765982</v>
      </c>
      <c r="V150" s="72">
        <f>V115/(Statement!V48/Statement!V74)</f>
        <v>-66.504900662251657</v>
      </c>
      <c r="W150" s="72">
        <f>W115/(Statement!W48/Statement!W74)</f>
        <v>-858.68349206349205</v>
      </c>
      <c r="X150" s="72">
        <f>X115/(Statement!X48/Statement!X74)</f>
        <v>136.23337690631809</v>
      </c>
      <c r="Y150" s="72">
        <f>Y115/(Statement!Y48/Statement!Y74)</f>
        <v>76.714374429223753</v>
      </c>
      <c r="Z150" s="72">
        <f>Z115/(Statement!Z48/Statement!Z74)</f>
        <v>85.914314720812186</v>
      </c>
      <c r="AA150" s="72">
        <f>AA115/(Statement!AA48/Statement!AA74)</f>
        <v>55.812548508543294</v>
      </c>
      <c r="AC150" s="72">
        <f ca="1">AC115/(Statement!AC48/Statement!AC74)</f>
        <v>46.048853171155521</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18963.63</v>
      </c>
      <c r="U151" s="141">
        <f>Statement!U115*Statement!U77</f>
        <v>18342.72</v>
      </c>
      <c r="V151" s="141">
        <f>Statement!V115*Statement!V77</f>
        <v>30833.919999999998</v>
      </c>
      <c r="W151" s="141">
        <f>Statement!W115*Statement!W77</f>
        <v>57383.33</v>
      </c>
      <c r="X151" s="141">
        <f>Statement!X115*Statement!X77</f>
        <v>65973.2</v>
      </c>
      <c r="Y151" s="141">
        <f>Statement!Y115*Statement!Y77</f>
        <v>87002.319999999992</v>
      </c>
      <c r="Z151" s="141">
        <f>Statement!Z115*Statement!Z77</f>
        <v>194377.91999999998</v>
      </c>
      <c r="AA151" s="141">
        <f>Statement!AA115*Statement!AA77</f>
        <v>201210.63</v>
      </c>
      <c r="AC151" s="141">
        <f ca="1">Statement!AC115*Statement!AC77</f>
        <v>166011.39000000001</v>
      </c>
    </row>
    <row r="152" spans="2:29" x14ac:dyDescent="0.2">
      <c r="B152" s="20" t="s">
        <v>187</v>
      </c>
      <c r="L152" s="141">
        <f t="shared" ref="L152:Q152" si="187">L151+L106-L105+L47+L44</f>
        <v>23946.9</v>
      </c>
      <c r="M152" s="141">
        <f t="shared" si="187"/>
        <v>19747.169999999998</v>
      </c>
      <c r="N152" s="141">
        <f t="shared" si="187"/>
        <v>17472.09</v>
      </c>
      <c r="O152" s="141">
        <f t="shared" si="187"/>
        <v>26312.51</v>
      </c>
      <c r="P152" s="141">
        <f t="shared" si="187"/>
        <v>34937.919999999998</v>
      </c>
      <c r="Q152" s="141">
        <f t="shared" si="187"/>
        <v>196238.91999999998</v>
      </c>
      <c r="T152" s="141">
        <f t="shared" ref="T152:Y152" si="188">T151+T106-T105+T47+T44</f>
        <v>23404.63</v>
      </c>
      <c r="U152" s="141">
        <f t="shared" si="188"/>
        <v>22674.720000000001</v>
      </c>
      <c r="V152" s="141">
        <f t="shared" si="188"/>
        <v>34937.919999999998</v>
      </c>
      <c r="W152" s="141">
        <f t="shared" si="188"/>
        <v>61265.33</v>
      </c>
      <c r="X152" s="141">
        <f t="shared" si="188"/>
        <v>69426.2</v>
      </c>
      <c r="Y152" s="141">
        <f t="shared" si="188"/>
        <v>89719.319999999992</v>
      </c>
      <c r="Z152" s="141">
        <f t="shared" ref="Z152:AA152" si="189">Z151+Z106-Z105+Z47+Z44</f>
        <v>196238.91999999998</v>
      </c>
      <c r="AA152" s="141">
        <f t="shared" si="189"/>
        <v>202303.63</v>
      </c>
      <c r="AC152" s="141">
        <f ca="1">AC151+AC106-AC105+AC47+AC44</f>
        <v>167104.39000000001</v>
      </c>
    </row>
    <row r="153" spans="2:29" x14ac:dyDescent="0.2">
      <c r="B153" s="20" t="s">
        <v>259</v>
      </c>
      <c r="L153" s="179">
        <f t="shared" ref="L153:Q153" si="190">L152/L5</f>
        <v>2.2420091751708644</v>
      </c>
      <c r="M153" s="179">
        <f t="shared" si="190"/>
        <v>1.6934370980190376</v>
      </c>
      <c r="N153" s="179">
        <f t="shared" si="190"/>
        <v>2.3662093716143011</v>
      </c>
      <c r="O153" s="179">
        <f t="shared" si="190"/>
        <v>4.0165638833765831</v>
      </c>
      <c r="P153" s="179">
        <f t="shared" si="190"/>
        <v>3.8405979993404418</v>
      </c>
      <c r="Q153" s="179">
        <f t="shared" si="190"/>
        <v>16.091752357523575</v>
      </c>
      <c r="T153" s="49"/>
      <c r="U153" s="49"/>
      <c r="V153" s="49"/>
      <c r="W153" s="49"/>
      <c r="X153" s="49"/>
      <c r="Y153" s="49"/>
      <c r="Z153" s="49"/>
      <c r="AA153" s="49"/>
      <c r="AC153" s="179">
        <f ca="1">AC152/AC5</f>
        <v>12.10989129647076</v>
      </c>
    </row>
    <row r="154" spans="2:29" x14ac:dyDescent="0.2">
      <c r="B154" s="20" t="s">
        <v>203</v>
      </c>
      <c r="L154" s="179">
        <f t="shared" ref="L154:Q154" si="191">L152/L11</f>
        <v>16.050201072386059</v>
      </c>
      <c r="M154" s="179">
        <f t="shared" si="191"/>
        <v>10.100854219948848</v>
      </c>
      <c r="N154" s="179">
        <f t="shared" si="191"/>
        <v>-51.087982456140352</v>
      </c>
      <c r="O154" s="179">
        <f t="shared" si="191"/>
        <v>58.213517699115037</v>
      </c>
      <c r="P154" s="179">
        <f t="shared" si="191"/>
        <v>18.485671957671958</v>
      </c>
      <c r="Q154" s="179">
        <f t="shared" si="191"/>
        <v>47.933297508549096</v>
      </c>
      <c r="T154" s="49"/>
      <c r="U154" s="49"/>
      <c r="V154" s="49"/>
      <c r="W154" s="49"/>
      <c r="X154" s="49"/>
      <c r="Y154" s="49"/>
      <c r="Z154" s="49"/>
      <c r="AA154" s="49"/>
      <c r="AC154" s="179">
        <f ca="1">AC152/AC11</f>
        <v>30.582794655929725</v>
      </c>
    </row>
    <row r="155" spans="2:29" x14ac:dyDescent="0.2">
      <c r="B155" s="20" t="s">
        <v>260</v>
      </c>
      <c r="L155" s="64">
        <f t="shared" ref="L155:Q155" si="192">L58-L53+L108+L64</f>
        <v>1016</v>
      </c>
      <c r="M155" s="64">
        <f t="shared" si="192"/>
        <v>1131</v>
      </c>
      <c r="N155" s="64">
        <f t="shared" si="192"/>
        <v>511</v>
      </c>
      <c r="O155" s="64">
        <f t="shared" si="192"/>
        <v>537</v>
      </c>
      <c r="P155" s="64">
        <f t="shared" si="192"/>
        <v>618</v>
      </c>
      <c r="Q155" s="64">
        <f t="shared" si="192"/>
        <v>2892</v>
      </c>
      <c r="T155" s="64">
        <f t="shared" ref="T155:Y155" si="193">T58-T53+T108+T64</f>
        <v>101</v>
      </c>
      <c r="U155" s="64">
        <f t="shared" si="193"/>
        <v>162</v>
      </c>
      <c r="V155" s="64">
        <f t="shared" si="193"/>
        <v>366</v>
      </c>
      <c r="W155" s="64">
        <f t="shared" si="193"/>
        <v>375</v>
      </c>
      <c r="X155" s="64">
        <f t="shared" si="193"/>
        <v>554</v>
      </c>
      <c r="Y155" s="64">
        <f t="shared" si="193"/>
        <v>899</v>
      </c>
      <c r="Z155" s="64">
        <f t="shared" ref="Z155:AA155" si="194">Z58-Z53+Z108+Z64</f>
        <v>1064</v>
      </c>
      <c r="AA155" s="64">
        <f t="shared" si="194"/>
        <v>1416</v>
      </c>
      <c r="AC155" s="64">
        <f>AC58-AC53+AC108+AC64</f>
        <v>3933</v>
      </c>
    </row>
    <row r="156" spans="2:29" x14ac:dyDescent="0.2">
      <c r="B156" s="20" t="s">
        <v>261</v>
      </c>
      <c r="L156" s="64">
        <f t="shared" ref="L156:Q156" si="195">L107+L52+L108+L54+L56+L57+L55</f>
        <v>1209.3679525222551</v>
      </c>
      <c r="M156" s="64">
        <f t="shared" si="195"/>
        <v>1347.0684931506848</v>
      </c>
      <c r="N156" s="64">
        <f t="shared" si="195"/>
        <v>1017</v>
      </c>
      <c r="O156" s="64">
        <f t="shared" si="195"/>
        <v>736.2696629213483</v>
      </c>
      <c r="P156" s="64">
        <f t="shared" si="195"/>
        <v>856.03635161929924</v>
      </c>
      <c r="Q156" s="64">
        <f t="shared" si="195"/>
        <v>3080.6005420054198</v>
      </c>
      <c r="T156" s="49"/>
      <c r="U156" s="49"/>
      <c r="V156" s="49"/>
      <c r="W156" s="49"/>
      <c r="X156" s="49"/>
      <c r="Y156" s="49"/>
      <c r="Z156" s="49"/>
      <c r="AA156" s="49"/>
      <c r="AC156" s="64">
        <f t="shared" ref="AC156" si="196">AC107+AC52+AC108+AC54+AC56+AC57+AC55</f>
        <v>4125.8620007908257</v>
      </c>
    </row>
    <row r="157" spans="2:29" x14ac:dyDescent="0.2">
      <c r="B157" s="20" t="s">
        <v>262</v>
      </c>
      <c r="L157" s="72">
        <f>L151/L155</f>
        <v>19.701673228346458</v>
      </c>
      <c r="M157" s="72">
        <f t="shared" ref="M157:P157" si="197">M151/M155</f>
        <v>13.011644562334217</v>
      </c>
      <c r="N157" s="72">
        <f t="shared" si="197"/>
        <v>25.062798434442271</v>
      </c>
      <c r="O157" s="72">
        <f t="shared" si="197"/>
        <v>40.961843575418989</v>
      </c>
      <c r="P157" s="72">
        <f t="shared" si="197"/>
        <v>49.893074433656956</v>
      </c>
      <c r="Q157" s="72">
        <f t="shared" ref="Q157" si="198">Q151/Q155</f>
        <v>67.212282157676341</v>
      </c>
      <c r="T157" s="49"/>
      <c r="U157" s="49"/>
      <c r="V157" s="49"/>
      <c r="W157" s="49"/>
      <c r="X157" s="49"/>
      <c r="Y157" s="49"/>
      <c r="Z157" s="49"/>
      <c r="AA157" s="49"/>
      <c r="AC157" s="72">
        <f t="shared" ref="AC157:AC158" ca="1" si="199">AC151/AC155</f>
        <v>42.20986270022884</v>
      </c>
    </row>
    <row r="158" spans="2:29" x14ac:dyDescent="0.2">
      <c r="B158" s="20" t="s">
        <v>263</v>
      </c>
      <c r="L158" s="72">
        <f>L152/L156</f>
        <v>19.801169652343109</v>
      </c>
      <c r="M158" s="72">
        <f t="shared" ref="M158:P158" si="200">M152/M156</f>
        <v>14.659365949397982</v>
      </c>
      <c r="N158" s="72">
        <f t="shared" si="200"/>
        <v>17.180029498525073</v>
      </c>
      <c r="O158" s="72">
        <f t="shared" si="200"/>
        <v>35.737599041631057</v>
      </c>
      <c r="P158" s="72">
        <f t="shared" si="200"/>
        <v>40.813593878239608</v>
      </c>
      <c r="Q158" s="72">
        <f t="shared" ref="Q158" si="201">Q152/Q156</f>
        <v>63.70151446907547</v>
      </c>
      <c r="T158" s="49"/>
      <c r="U158" s="49"/>
      <c r="V158" s="49"/>
      <c r="W158" s="49"/>
      <c r="X158" s="49"/>
      <c r="Y158" s="49"/>
      <c r="Z158" s="49"/>
      <c r="AA158" s="49"/>
      <c r="AC158" s="72">
        <f t="shared" ca="1" si="199"/>
        <v>40.501691517547179</v>
      </c>
    </row>
    <row r="159" spans="2:29" x14ac:dyDescent="0.2">
      <c r="B159" s="20" t="s">
        <v>264</v>
      </c>
      <c r="L159" s="74">
        <f>L155/L151</f>
        <v>5.0757110241845635E-2</v>
      </c>
      <c r="M159" s="74">
        <f t="shared" ref="M159:P159" si="202">M155/M151</f>
        <v>7.685423585076824E-2</v>
      </c>
      <c r="N159" s="74">
        <f t="shared" si="202"/>
        <v>3.9899774265660659E-2</v>
      </c>
      <c r="O159" s="74">
        <f t="shared" si="202"/>
        <v>2.4412963692876734E-2</v>
      </c>
      <c r="P159" s="74">
        <f t="shared" si="202"/>
        <v>2.0042861887168417E-2</v>
      </c>
      <c r="Q159" s="74">
        <f t="shared" ref="Q159" si="203">Q155/Q151</f>
        <v>1.4878233083263779E-2</v>
      </c>
      <c r="T159" s="49"/>
      <c r="U159" s="49"/>
      <c r="V159" s="49"/>
      <c r="W159" s="49"/>
      <c r="X159" s="49"/>
      <c r="Y159" s="49"/>
      <c r="Z159" s="49"/>
      <c r="AA159" s="49"/>
      <c r="AC159" s="74">
        <f t="shared" ref="AC159" ca="1" si="204">AC155/AC151</f>
        <v>2.3691145529231458E-2</v>
      </c>
    </row>
    <row r="160" spans="2:29" x14ac:dyDescent="0.2">
      <c r="B160" s="20" t="s">
        <v>265</v>
      </c>
      <c r="L160" s="74">
        <f t="shared" ref="L160:Q160" si="205">L25/L115</f>
        <v>6.1587958175341836E-2</v>
      </c>
      <c r="M160" s="74">
        <f t="shared" si="205"/>
        <v>0.10652771746996671</v>
      </c>
      <c r="N160" s="74">
        <f t="shared" si="205"/>
        <v>-4.1377080976240509E-2</v>
      </c>
      <c r="O160" s="74">
        <f t="shared" si="205"/>
        <v>1.529969981601627E-2</v>
      </c>
      <c r="P160" s="74">
        <f t="shared" si="205"/>
        <v>4.7864819004524883E-2</v>
      </c>
      <c r="Q160" s="74">
        <f t="shared" si="205"/>
        <v>1.6947912602419041E-2</v>
      </c>
      <c r="T160" s="49"/>
      <c r="U160" s="49"/>
      <c r="V160" s="49"/>
      <c r="W160" s="49"/>
      <c r="X160" s="49"/>
      <c r="Y160" s="49"/>
      <c r="Z160" s="49"/>
      <c r="AA160" s="49"/>
      <c r="AC160" s="74">
        <f ca="1">AC25/AC115</f>
        <v>2.7181749396833554E-2</v>
      </c>
    </row>
    <row r="161" spans="2:29" x14ac:dyDescent="0.2">
      <c r="B161" s="20" t="s">
        <v>266</v>
      </c>
      <c r="L161" s="152">
        <f t="shared" ref="L161:Q161" si="206">L81/L115</f>
        <v>3.0564173273583822E-2</v>
      </c>
      <c r="M161" s="152">
        <f t="shared" si="206"/>
        <v>4.0092632797799968E-2</v>
      </c>
      <c r="N161" s="152">
        <f t="shared" si="206"/>
        <v>4.5256182317763051E-2</v>
      </c>
      <c r="O161" s="152">
        <f t="shared" si="206"/>
        <v>2.7113392079016172E-2</v>
      </c>
      <c r="P161" s="152">
        <f t="shared" si="206"/>
        <v>2.0220588235294119E-2</v>
      </c>
      <c r="Q161" s="152">
        <f t="shared" si="206"/>
        <v>3.5602809207959424E-3</v>
      </c>
      <c r="T161" s="49"/>
      <c r="U161" s="49"/>
      <c r="V161" s="49"/>
      <c r="W161" s="49"/>
      <c r="X161" s="49"/>
      <c r="Y161" s="49"/>
      <c r="Z161" s="49"/>
      <c r="AA161" s="49"/>
      <c r="AC161" s="152">
        <f ca="1">AC81/AC115</f>
        <v>4.1971818921581229E-3</v>
      </c>
    </row>
    <row r="162" spans="2:29" x14ac:dyDescent="0.2">
      <c r="B162" s="20" t="s">
        <v>291</v>
      </c>
      <c r="L162" s="152">
        <f t="shared" ref="L162:Q162" si="207">-L62/L151</f>
        <v>0.10226358726875789</v>
      </c>
      <c r="M162" s="152">
        <f t="shared" si="207"/>
        <v>0.12224648125157565</v>
      </c>
      <c r="N162" s="152">
        <f t="shared" si="207"/>
        <v>3.1857354012504009E-2</v>
      </c>
      <c r="O162" s="152">
        <f t="shared" si="207"/>
        <v>0</v>
      </c>
      <c r="P162" s="152">
        <f t="shared" si="207"/>
        <v>0</v>
      </c>
      <c r="Q162" s="152">
        <f t="shared" si="207"/>
        <v>9.0545263577262276E-4</v>
      </c>
      <c r="T162" s="49"/>
      <c r="U162" s="49"/>
      <c r="V162" s="49"/>
      <c r="W162" s="49"/>
      <c r="X162" s="49"/>
      <c r="Y162" s="49"/>
      <c r="Z162" s="49"/>
      <c r="AA162" s="49"/>
      <c r="AC162" s="152">
        <f ca="1">-AC62/AC151</f>
        <v>3.29495464136527E-3</v>
      </c>
    </row>
    <row r="163" spans="2:29" x14ac:dyDescent="0.2">
      <c r="B163" s="20" t="s">
        <v>293</v>
      </c>
      <c r="L163" s="152">
        <f t="shared" ref="L163:Q163" si="208">-(L62+L63)/L151</f>
        <v>0.13468619016930691</v>
      </c>
      <c r="M163" s="152">
        <f t="shared" si="208"/>
        <v>0.16369748378824109</v>
      </c>
      <c r="N163" s="152">
        <f t="shared" si="208"/>
        <v>7.7300932530340621E-2</v>
      </c>
      <c r="O163" s="152">
        <f t="shared" si="208"/>
        <v>2.6595128045312645E-2</v>
      </c>
      <c r="P163" s="152">
        <f t="shared" si="208"/>
        <v>1.9459089210843123E-2</v>
      </c>
      <c r="Q163" s="152">
        <f t="shared" si="208"/>
        <v>4.1671399714535481E-3</v>
      </c>
      <c r="T163" s="49"/>
      <c r="U163" s="49"/>
      <c r="V163" s="49"/>
      <c r="W163" s="49"/>
      <c r="X163" s="49"/>
      <c r="Y163" s="49"/>
      <c r="Z163" s="49"/>
      <c r="AA163" s="49"/>
      <c r="AC163" s="152">
        <f ca="1">-(AC62+AC63)/AC151</f>
        <v>7.2043249562575191E-3</v>
      </c>
    </row>
    <row r="164" spans="2:29" x14ac:dyDescent="0.2">
      <c r="B164" s="20" t="s">
        <v>340</v>
      </c>
      <c r="L164" s="152">
        <f t="shared" ref="L164:Q164" si="209">L156/L5</f>
        <v>0.11322609797980106</v>
      </c>
      <c r="M164" s="152">
        <f t="shared" si="209"/>
        <v>0.11551912298693807</v>
      </c>
      <c r="N164" s="152">
        <f t="shared" si="209"/>
        <v>0.13773022751895991</v>
      </c>
      <c r="O164" s="152">
        <f t="shared" si="209"/>
        <v>0.1123904232821475</v>
      </c>
      <c r="P164" s="152">
        <f t="shared" si="209"/>
        <v>9.4100951040925501E-2</v>
      </c>
      <c r="Q164" s="152">
        <f t="shared" si="209"/>
        <v>0.25261177056215006</v>
      </c>
      <c r="T164" s="49"/>
      <c r="U164" s="49"/>
      <c r="V164" s="49"/>
      <c r="W164" s="49"/>
      <c r="X164" s="49"/>
      <c r="Y164" s="49"/>
      <c r="Z164" s="49"/>
      <c r="AA164" s="49"/>
      <c r="AC164" s="152">
        <f>AC156/AC5</f>
        <v>0.29899717376555007</v>
      </c>
    </row>
    <row r="165" spans="2:29" x14ac:dyDescent="0.2">
      <c r="B165" s="20" t="s">
        <v>341</v>
      </c>
      <c r="L165" s="152">
        <f t="shared" ref="L165:Q165" si="210">L155/L5</f>
        <v>9.5122179571201199E-2</v>
      </c>
      <c r="M165" s="152">
        <f t="shared" si="210"/>
        <v>9.6989966555183951E-2</v>
      </c>
      <c r="N165" s="152">
        <f t="shared" si="210"/>
        <v>6.9203683640303354E-2</v>
      </c>
      <c r="O165" s="152">
        <f t="shared" si="210"/>
        <v>8.1972217981987477E-2</v>
      </c>
      <c r="P165" s="152">
        <f t="shared" si="210"/>
        <v>6.7934483895789821E-2</v>
      </c>
      <c r="Q165" s="152">
        <f t="shared" si="210"/>
        <v>0.23714637146371464</v>
      </c>
      <c r="T165" s="49"/>
      <c r="U165" s="49"/>
      <c r="V165" s="49"/>
      <c r="W165" s="49"/>
      <c r="X165" s="49"/>
      <c r="Y165" s="49"/>
      <c r="Z165" s="49"/>
      <c r="AA165" s="49"/>
      <c r="AC165" s="152">
        <f>AC155/AC5</f>
        <v>0.28502065367055585</v>
      </c>
    </row>
    <row r="166" spans="2:29" x14ac:dyDescent="0.2">
      <c r="B166" s="20" t="s">
        <v>269</v>
      </c>
      <c r="L166" s="152">
        <f t="shared" ref="L166:Q166" si="211">-L63/L155</f>
        <v>0.63877952755905509</v>
      </c>
      <c r="M166" s="152">
        <f t="shared" si="211"/>
        <v>0.53934571175950485</v>
      </c>
      <c r="N166" s="152">
        <f t="shared" si="211"/>
        <v>1.1389432485322897</v>
      </c>
      <c r="O166" s="152">
        <f t="shared" si="211"/>
        <v>1.0893854748603351</v>
      </c>
      <c r="P166" s="152">
        <f t="shared" si="211"/>
        <v>0.970873786407767</v>
      </c>
      <c r="Q166" s="152">
        <f t="shared" si="211"/>
        <v>0.21922544951590595</v>
      </c>
      <c r="T166" s="49"/>
      <c r="U166" s="49"/>
      <c r="V166" s="49"/>
      <c r="W166" s="49"/>
      <c r="X166" s="49"/>
      <c r="Y166" s="49"/>
      <c r="Z166" s="49"/>
      <c r="AA166" s="49"/>
      <c r="AC166" s="152">
        <f>-AC63/AC155</f>
        <v>0.1650139842359522</v>
      </c>
    </row>
    <row r="167" spans="2:29" x14ac:dyDescent="0.2">
      <c r="B167" s="20" t="s">
        <v>271</v>
      </c>
      <c r="L167" s="152">
        <f t="shared" ref="L167:Q167" si="212">-L62/L155</f>
        <v>2.0147637795275593</v>
      </c>
      <c r="M167" s="152">
        <f t="shared" si="212"/>
        <v>1.5906277630415562</v>
      </c>
      <c r="N167" s="152">
        <f t="shared" si="212"/>
        <v>0.79843444227005866</v>
      </c>
      <c r="O167" s="152">
        <f t="shared" si="212"/>
        <v>0</v>
      </c>
      <c r="P167" s="152">
        <f t="shared" si="212"/>
        <v>0</v>
      </c>
      <c r="Q167" s="152">
        <f t="shared" si="212"/>
        <v>6.0857538035961271E-2</v>
      </c>
      <c r="T167" s="49"/>
      <c r="U167" s="49"/>
      <c r="V167" s="49"/>
      <c r="W167" s="49"/>
      <c r="X167" s="49"/>
      <c r="Y167" s="49"/>
      <c r="Z167" s="49"/>
      <c r="AA167" s="49"/>
      <c r="AC167" s="152">
        <f>-AC62/AC155</f>
        <v>0.13907958301550979</v>
      </c>
    </row>
    <row r="168" spans="2:29" x14ac:dyDescent="0.2">
      <c r="B168" s="20" t="s">
        <v>282</v>
      </c>
      <c r="L168" s="152">
        <f t="shared" ref="L168:Q168" si="213">(-L63-L62)/L155</f>
        <v>2.6535433070866143</v>
      </c>
      <c r="M168" s="152">
        <f t="shared" si="213"/>
        <v>2.1299734748010608</v>
      </c>
      <c r="N168" s="152">
        <f t="shared" si="213"/>
        <v>1.9373776908023483</v>
      </c>
      <c r="O168" s="152">
        <f t="shared" si="213"/>
        <v>1.0893854748603351</v>
      </c>
      <c r="P168" s="152">
        <f t="shared" si="213"/>
        <v>0.970873786407767</v>
      </c>
      <c r="Q168" s="152">
        <f t="shared" si="213"/>
        <v>0.28008298755186722</v>
      </c>
      <c r="T168" s="49"/>
      <c r="U168" s="49"/>
      <c r="V168" s="49"/>
      <c r="W168" s="49"/>
      <c r="X168" s="49"/>
      <c r="Y168" s="49"/>
      <c r="Z168" s="49"/>
      <c r="AA168" s="49"/>
      <c r="AC168" s="152">
        <f>(-AC63-AC62)/AC155</f>
        <v>0.30409356725146197</v>
      </c>
    </row>
    <row r="169" spans="2:29" x14ac:dyDescent="0.2">
      <c r="B169" s="20" t="s">
        <v>276</v>
      </c>
      <c r="L169" s="152">
        <f t="shared" ref="L169:Q169" si="214">L79/L77</f>
        <v>8.6956521739130436E-3</v>
      </c>
      <c r="M169" s="152">
        <f t="shared" si="214"/>
        <v>9.3896713615023476E-3</v>
      </c>
      <c r="N169" s="152">
        <f t="shared" si="214"/>
        <v>9.6618357487922701E-3</v>
      </c>
      <c r="O169" s="152">
        <f t="shared" si="214"/>
        <v>9.3896713615023476E-3</v>
      </c>
      <c r="P169" s="152">
        <f t="shared" si="214"/>
        <v>9.1743119266055051E-3</v>
      </c>
      <c r="Q169" s="152">
        <f t="shared" si="214"/>
        <v>8.4388185654008432E-3</v>
      </c>
      <c r="T169" s="49"/>
      <c r="U169" s="49"/>
      <c r="V169" s="49"/>
      <c r="W169" s="49"/>
      <c r="X169" s="49"/>
      <c r="Y169" s="49"/>
      <c r="Z169" s="49"/>
      <c r="AA169" s="49"/>
      <c r="AC169" s="152">
        <f>AC79/AC77</f>
        <v>8.4388185654008432E-3</v>
      </c>
    </row>
    <row r="170" spans="2:29" x14ac:dyDescent="0.2">
      <c r="B170" s="20" t="s">
        <v>277</v>
      </c>
      <c r="L170" s="72">
        <f t="shared" ref="L170:Q170" si="215">L105/L74</f>
        <v>5.3259911894273131</v>
      </c>
      <c r="M170" s="72">
        <f t="shared" si="215"/>
        <v>2.9425837320574164</v>
      </c>
      <c r="N170" s="72">
        <f t="shared" si="215"/>
        <v>3.7971014492753623</v>
      </c>
      <c r="O170" s="72">
        <f t="shared" si="215"/>
        <v>6.4666666666666668</v>
      </c>
      <c r="P170" s="72">
        <f t="shared" si="215"/>
        <v>4.183098591549296</v>
      </c>
      <c r="Q170" s="72">
        <f t="shared" si="215"/>
        <v>7.5066079295154182</v>
      </c>
      <c r="T170" s="72">
        <f t="shared" ref="T170:Y170" si="216">T105/T74</f>
        <v>5.8396226415094343</v>
      </c>
      <c r="U170" s="72">
        <f t="shared" si="216"/>
        <v>3.8396226415094339</v>
      </c>
      <c r="V170" s="72">
        <f t="shared" si="216"/>
        <v>4.183098591549296</v>
      </c>
      <c r="W170" s="72">
        <f t="shared" si="216"/>
        <v>5.1962616822429908</v>
      </c>
      <c r="X170" s="72">
        <f t="shared" si="216"/>
        <v>4.7981651376146788</v>
      </c>
      <c r="Y170" s="72">
        <f t="shared" si="216"/>
        <v>5.1160714285714288</v>
      </c>
      <c r="Z170" s="72">
        <f t="shared" ref="Z170:AA170" si="217">Z105/Z74</f>
        <v>7.5066079295154182</v>
      </c>
      <c r="AA170" s="72">
        <f t="shared" si="217"/>
        <v>5.5418502202643172</v>
      </c>
      <c r="AC170" s="72">
        <f>AC105/AC74</f>
        <v>5.5418502202643172</v>
      </c>
    </row>
    <row r="171" spans="2:29" x14ac:dyDescent="0.2">
      <c r="B171" s="20" t="s">
        <v>279</v>
      </c>
      <c r="L171" s="152">
        <f t="shared" ref="L171:Q171" si="218">L53/L58</f>
        <v>6.8880688806888066E-2</v>
      </c>
      <c r="M171" s="152">
        <f t="shared" si="218"/>
        <v>8.7507543753771871E-2</v>
      </c>
      <c r="N171" s="152">
        <f t="shared" si="218"/>
        <v>0.12208067940552017</v>
      </c>
      <c r="O171" s="152">
        <f t="shared" si="218"/>
        <v>0.1383442265795207</v>
      </c>
      <c r="P171" s="152">
        <f t="shared" si="218"/>
        <v>0.18467220683287167</v>
      </c>
      <c r="Q171" s="152">
        <f t="shared" si="218"/>
        <v>5.7974959172563963E-2</v>
      </c>
      <c r="T171" s="152">
        <f t="shared" ref="T171:Y171" si="219">T53/T58</f>
        <v>0.22171945701357465</v>
      </c>
      <c r="U171" s="152">
        <f t="shared" si="219"/>
        <v>0.20849420849420849</v>
      </c>
      <c r="V171" s="152">
        <f t="shared" si="219"/>
        <v>0.11614173228346457</v>
      </c>
      <c r="W171" s="152">
        <f t="shared" si="219"/>
        <v>9.7744360902255634E-2</v>
      </c>
      <c r="X171" s="152">
        <f t="shared" si="219"/>
        <v>7.3305670816044263E-2</v>
      </c>
      <c r="Y171" s="152">
        <f t="shared" si="219"/>
        <v>4.8473967684021541E-2</v>
      </c>
      <c r="Z171" s="152">
        <f t="shared" ref="Z171:AA171" si="220">Z53/Z58</f>
        <v>4.1379310344827586E-2</v>
      </c>
      <c r="AA171" s="152">
        <f t="shared" si="220"/>
        <v>3.7278106508875739E-2</v>
      </c>
      <c r="AC171" s="152">
        <f>AC53/AC58</f>
        <v>4.6357615894039736E-2</v>
      </c>
    </row>
    <row r="172" spans="2:29" x14ac:dyDescent="0.2">
      <c r="B172" s="20" t="s">
        <v>280</v>
      </c>
      <c r="L172" s="152">
        <f t="shared" ref="L172:Q172" si="221">L53/L5</f>
        <v>1.0485909559030053E-2</v>
      </c>
      <c r="M172" s="152">
        <f t="shared" si="221"/>
        <v>1.2434611096818454E-2</v>
      </c>
      <c r="N172" s="152">
        <f t="shared" si="221"/>
        <v>1.5574214517876489E-2</v>
      </c>
      <c r="O172" s="152">
        <f t="shared" si="221"/>
        <v>1.938635322851473E-2</v>
      </c>
      <c r="P172" s="152">
        <f t="shared" si="221"/>
        <v>2.1985269869187644E-2</v>
      </c>
      <c r="Q172" s="152">
        <f t="shared" si="221"/>
        <v>1.7466174661746617E-2</v>
      </c>
      <c r="T172" s="152">
        <f t="shared" ref="T172:Y172" si="222">T53/T5</f>
        <v>2.1075268817204302E-2</v>
      </c>
      <c r="U172" s="152">
        <f t="shared" si="222"/>
        <v>2.5000000000000001E-2</v>
      </c>
      <c r="V172" s="152">
        <f t="shared" si="222"/>
        <v>2.4140752864157119E-2</v>
      </c>
      <c r="W172" s="152">
        <f t="shared" si="222"/>
        <v>1.9779383796120199E-2</v>
      </c>
      <c r="X172" s="152">
        <f t="shared" si="222"/>
        <v>1.8761061946902656E-2</v>
      </c>
      <c r="Y172" s="152">
        <f t="shared" si="222"/>
        <v>1.7352185089974295E-2</v>
      </c>
      <c r="Z172" s="152">
        <f t="shared" ref="Z172:AA172" si="223">Z53/Z5</f>
        <v>1.4880132267842381E-2</v>
      </c>
      <c r="AA172" s="152">
        <f t="shared" si="223"/>
        <v>1.4883061658398299E-2</v>
      </c>
      <c r="AC172" s="152">
        <f>AC53/AC5</f>
        <v>1.6233060366693239E-2</v>
      </c>
    </row>
    <row r="173" spans="2:29" x14ac:dyDescent="0.2">
      <c r="B173" s="20" t="s">
        <v>285</v>
      </c>
      <c r="L173" s="72">
        <f t="shared" ref="L173:Q173" si="224">(L105-L106)/L74</f>
        <v>-17.312775330396477</v>
      </c>
      <c r="M173" s="72">
        <f t="shared" si="224"/>
        <v>-24.071770334928228</v>
      </c>
      <c r="N173" s="72">
        <f t="shared" si="224"/>
        <v>-22.536231884057973</v>
      </c>
      <c r="O173" s="72">
        <f t="shared" si="224"/>
        <v>-20.552380952380954</v>
      </c>
      <c r="P173" s="72">
        <f t="shared" si="224"/>
        <v>-19.267605633802816</v>
      </c>
      <c r="Q173" s="72">
        <f t="shared" si="224"/>
        <v>-8.1982378854625555</v>
      </c>
      <c r="T173" s="72">
        <f t="shared" ref="T173:Y173" si="225">(T105-T106)/T74</f>
        <v>-20.94811320754717</v>
      </c>
      <c r="U173" s="72">
        <f t="shared" si="225"/>
        <v>-20.433962264150942</v>
      </c>
      <c r="V173" s="72">
        <f t="shared" si="225"/>
        <v>-19.267605633802816</v>
      </c>
      <c r="W173" s="72">
        <f t="shared" si="225"/>
        <v>-18.140186915887849</v>
      </c>
      <c r="X173" s="72">
        <f t="shared" si="225"/>
        <v>-15.839449541284404</v>
      </c>
      <c r="Y173" s="72">
        <f t="shared" si="225"/>
        <v>-12.129464285714286</v>
      </c>
      <c r="Z173" s="72">
        <f t="shared" ref="Z173:AA173" si="226">(Z105-Z106)/Z74</f>
        <v>-8.1982378854625555</v>
      </c>
      <c r="AA173" s="72">
        <f t="shared" si="226"/>
        <v>-4.8149779735682818</v>
      </c>
      <c r="AC173" s="72">
        <f>(AC105-AC106)/AC74</f>
        <v>-4.8149779735682818</v>
      </c>
    </row>
    <row r="174" spans="2:29" x14ac:dyDescent="0.2">
      <c r="B174" s="20" t="s">
        <v>290</v>
      </c>
      <c r="L174" s="152">
        <f t="shared" ref="L174:Q174" si="227">(L105-L106)/L151</f>
        <v>-0.19633409768745408</v>
      </c>
      <c r="M174" s="152">
        <f t="shared" si="227"/>
        <v>-0.34186884223272768</v>
      </c>
      <c r="N174" s="152">
        <f t="shared" si="227"/>
        <v>-0.36425136389296864</v>
      </c>
      <c r="O174" s="152">
        <f t="shared" si="227"/>
        <v>-0.19621294468986217</v>
      </c>
      <c r="P174" s="152">
        <f t="shared" si="227"/>
        <v>-0.13310017020216697</v>
      </c>
      <c r="Q174" s="152">
        <f t="shared" si="227"/>
        <v>-9.5741326998457447E-3</v>
      </c>
      <c r="T174" s="49"/>
      <c r="U174" s="49"/>
      <c r="V174" s="49"/>
      <c r="W174" s="49"/>
      <c r="X174" s="49"/>
      <c r="Y174" s="49"/>
      <c r="Z174" s="49"/>
      <c r="AA174" s="49"/>
      <c r="AC174" s="152">
        <f ca="1">(AC105-AC106)/AC151</f>
        <v>-6.5838855996567455E-3</v>
      </c>
    </row>
    <row r="175" spans="2:29" x14ac:dyDescent="0.2">
      <c r="B175" s="20" t="s">
        <v>299</v>
      </c>
      <c r="L175" s="152">
        <f t="shared" ref="L175:Q175" si="228">-L108/L5</f>
        <v>4.6624847860687199E-2</v>
      </c>
      <c r="M175" s="152">
        <f t="shared" si="228"/>
        <v>3.2673012606122973E-2</v>
      </c>
      <c r="N175" s="152">
        <f t="shared" si="228"/>
        <v>4.2795232936078009E-2</v>
      </c>
      <c r="O175" s="152">
        <f t="shared" si="228"/>
        <v>3.877270645702946E-2</v>
      </c>
      <c r="P175" s="152">
        <f t="shared" si="228"/>
        <v>2.9130482576673628E-2</v>
      </c>
      <c r="Q175" s="152">
        <f t="shared" si="228"/>
        <v>4.6658466584665846E-2</v>
      </c>
      <c r="T175" s="152">
        <f t="shared" ref="T175:Y175" si="229">-T108/T5</f>
        <v>3.053763440860215E-2</v>
      </c>
      <c r="U175" s="152">
        <f t="shared" si="229"/>
        <v>1.9907407407407408E-2</v>
      </c>
      <c r="V175" s="152">
        <f t="shared" si="229"/>
        <v>3.3960720130932896E-2</v>
      </c>
      <c r="W175" s="152">
        <f t="shared" si="229"/>
        <v>3.9939140357550397E-2</v>
      </c>
      <c r="X175" s="152">
        <f t="shared" si="229"/>
        <v>4.1061946902654869E-2</v>
      </c>
      <c r="Y175" s="152">
        <f t="shared" si="229"/>
        <v>5.1735218508997427E-2</v>
      </c>
      <c r="Z175" s="152">
        <f t="shared" ref="Z175:AA175" si="230">-Z108/Z5</f>
        <v>5.1529346927528245E-2</v>
      </c>
      <c r="AA175" s="152">
        <f t="shared" si="230"/>
        <v>4.9846444601937163E-2</v>
      </c>
      <c r="AC175" s="152">
        <f>-AC108/AC5</f>
        <v>4.8916588158562216E-2</v>
      </c>
    </row>
    <row r="176" spans="2:29" x14ac:dyDescent="0.2">
      <c r="B176" s="20" t="s">
        <v>300</v>
      </c>
      <c r="L176" s="152">
        <f t="shared" ref="L176:Q176" si="231">-(L108/L58)</f>
        <v>0.30627306273062732</v>
      </c>
      <c r="M176" s="152">
        <f t="shared" si="231"/>
        <v>0.22993361496680748</v>
      </c>
      <c r="N176" s="152">
        <f t="shared" si="231"/>
        <v>0.3354564755838641</v>
      </c>
      <c r="O176" s="152">
        <f t="shared" si="231"/>
        <v>0.27668845315904139</v>
      </c>
      <c r="P176" s="152">
        <f t="shared" si="231"/>
        <v>0.24469067405355494</v>
      </c>
      <c r="Q176" s="152">
        <f t="shared" si="231"/>
        <v>0.15487207403375067</v>
      </c>
      <c r="T176" s="152">
        <f t="shared" ref="T176:Y176" si="232">-(T108/T58)</f>
        <v>0.32126696832579188</v>
      </c>
      <c r="U176" s="152">
        <f t="shared" si="232"/>
        <v>0.16602316602316602</v>
      </c>
      <c r="V176" s="152">
        <f t="shared" si="232"/>
        <v>0.16338582677165353</v>
      </c>
      <c r="W176" s="152">
        <f t="shared" si="232"/>
        <v>0.19736842105263158</v>
      </c>
      <c r="X176" s="152">
        <f t="shared" si="232"/>
        <v>0.16044260027662519</v>
      </c>
      <c r="Y176" s="152">
        <f t="shared" si="232"/>
        <v>0.14452423698384201</v>
      </c>
      <c r="Z176" s="152">
        <f t="shared" ref="Z176:AA176" si="233">-(Z108/Z58)</f>
        <v>0.14329501915708812</v>
      </c>
      <c r="AA176" s="152">
        <f t="shared" si="233"/>
        <v>0.12485207100591716</v>
      </c>
      <c r="AC176" s="152">
        <f>-(AC108/AC58)</f>
        <v>0.13969370860927152</v>
      </c>
    </row>
    <row r="177" spans="1:31" x14ac:dyDescent="0.2">
      <c r="B177" s="20" t="s">
        <v>301</v>
      </c>
      <c r="L177" s="152">
        <f t="shared" ref="L177:Q177" si="234">-L108/L52</f>
        <v>1.2544080604534005</v>
      </c>
      <c r="M177" s="152">
        <f t="shared" si="234"/>
        <v>0.84478935698447899</v>
      </c>
      <c r="N177" s="152">
        <f t="shared" si="234"/>
        <v>0.61598440545808963</v>
      </c>
      <c r="O177" s="152">
        <f t="shared" si="234"/>
        <v>0.96212121212121215</v>
      </c>
      <c r="P177" s="152">
        <f t="shared" si="234"/>
        <v>1.0557768924302788</v>
      </c>
      <c r="Q177" s="152">
        <f t="shared" si="234"/>
        <v>2.0615942028985508</v>
      </c>
      <c r="T177" s="152">
        <f t="shared" ref="T177:Y177" si="235">-T108/T52</f>
        <v>1.126984126984127</v>
      </c>
      <c r="U177" s="152">
        <f t="shared" si="235"/>
        <v>0.68253968253968256</v>
      </c>
      <c r="V177" s="152">
        <f t="shared" si="235"/>
        <v>1.360655737704918</v>
      </c>
      <c r="W177" s="152">
        <f t="shared" si="235"/>
        <v>1.4583333333333333</v>
      </c>
      <c r="X177" s="152">
        <f t="shared" si="235"/>
        <v>1.7058823529411764</v>
      </c>
      <c r="Y177" s="152">
        <f t="shared" si="235"/>
        <v>2.4393939393939394</v>
      </c>
      <c r="Z177" s="152">
        <f t="shared" ref="Z177:AA177" si="236">-Z108/Z52</f>
        <v>2.6714285714285713</v>
      </c>
      <c r="AA177" s="152">
        <f t="shared" si="236"/>
        <v>2.7763157894736841</v>
      </c>
      <c r="AC177" s="152">
        <f>-AC108/AC52</f>
        <v>2.4107142857142856</v>
      </c>
    </row>
    <row r="178" spans="1:31" x14ac:dyDescent="0.2">
      <c r="B178" s="20" t="s">
        <v>353</v>
      </c>
      <c r="L178" s="220">
        <f t="shared" ref="L178:Q178" si="237">L5/L36</f>
        <v>1.2312391930835735</v>
      </c>
      <c r="M178" s="220">
        <f t="shared" si="237"/>
        <v>1.3037790697674418</v>
      </c>
      <c r="N178" s="220">
        <f t="shared" si="237"/>
        <v>0.97723663313922715</v>
      </c>
      <c r="O178" s="220">
        <f t="shared" si="237"/>
        <v>0.84649179480553038</v>
      </c>
      <c r="P178" s="220">
        <f t="shared" si="237"/>
        <v>1.133865137729029</v>
      </c>
      <c r="Q178" s="220">
        <f t="shared" si="237"/>
        <v>1.2229241877256318</v>
      </c>
      <c r="T178" s="49"/>
      <c r="U178" s="49"/>
      <c r="V178" s="49"/>
      <c r="W178" s="49"/>
      <c r="X178" s="49"/>
      <c r="Y178" s="49"/>
      <c r="Z178" s="49"/>
      <c r="AA178" s="49"/>
      <c r="AC178" s="220">
        <f>AC5/AC36</f>
        <v>1.3363354638775906</v>
      </c>
    </row>
    <row r="179" spans="1:31" x14ac:dyDescent="0.2">
      <c r="B179" s="20" t="s">
        <v>350</v>
      </c>
      <c r="L179" s="222">
        <f t="shared" ref="L179:Q179" si="238">IF(AND(L11&gt;0,L106&gt;0),L106/L11,"N/A")</f>
        <v>3.4443699731903483</v>
      </c>
      <c r="M179" s="222">
        <f t="shared" si="238"/>
        <v>2.8879795396419436</v>
      </c>
      <c r="N179" s="222" t="str">
        <f t="shared" si="238"/>
        <v>N/A</v>
      </c>
      <c r="O179" s="222">
        <f t="shared" si="238"/>
        <v>12.553097345132743</v>
      </c>
      <c r="P179" s="222">
        <f t="shared" si="238"/>
        <v>2.6428571428571428</v>
      </c>
      <c r="Q179" s="222">
        <f t="shared" si="238"/>
        <v>0.8707865168539326</v>
      </c>
      <c r="T179" s="49"/>
      <c r="U179" s="49"/>
      <c r="V179" s="49"/>
      <c r="W179" s="49"/>
      <c r="X179" s="49"/>
      <c r="Y179" s="49"/>
      <c r="Z179" s="49"/>
      <c r="AA179" s="49"/>
      <c r="AC179" s="222">
        <f>IF(AND(AC11&gt;0,AC106&gt;0),AC106/AC11,"N/A")</f>
        <v>0.43027086383601759</v>
      </c>
    </row>
    <row r="180" spans="1:31" x14ac:dyDescent="0.2">
      <c r="B180" s="20" t="s">
        <v>351</v>
      </c>
      <c r="L180" s="222">
        <f t="shared" ref="L180:Q180" si="239">IF(AND(L11&gt;0,L106&gt;0),(L106-L105)/L11,"N/A")</f>
        <v>2.6340482573726542</v>
      </c>
      <c r="M180" s="222">
        <f t="shared" si="239"/>
        <v>2.5734015345268544</v>
      </c>
      <c r="N180" s="222" t="str">
        <f t="shared" si="239"/>
        <v>N/A</v>
      </c>
      <c r="O180" s="222">
        <f t="shared" si="239"/>
        <v>9.5486725663716818</v>
      </c>
      <c r="P180" s="222">
        <f t="shared" si="239"/>
        <v>2.1714285714285713</v>
      </c>
      <c r="Q180" s="222">
        <f t="shared" si="239"/>
        <v>0.45456765999022958</v>
      </c>
      <c r="T180" s="49"/>
      <c r="U180" s="49"/>
      <c r="V180" s="49"/>
      <c r="W180" s="49"/>
      <c r="X180" s="49"/>
      <c r="Y180" s="49"/>
      <c r="Z180" s="49"/>
      <c r="AA180" s="49"/>
      <c r="AC180" s="222">
        <f>IF(AND(AC11&gt;0,AC106&gt;0),(AC106-AC105)/AC11,"N/A")</f>
        <v>0.20003660322108346</v>
      </c>
    </row>
    <row r="181" spans="1:31" x14ac:dyDescent="0.2">
      <c r="B181" s="20" t="s">
        <v>352</v>
      </c>
      <c r="L181" s="222">
        <f t="shared" ref="L181:Q181" si="240">L5/(L106+L110-L105)</f>
        <v>2.3418110063582547</v>
      </c>
      <c r="M181" s="222">
        <f t="shared" si="240"/>
        <v>2.2686770428015564</v>
      </c>
      <c r="N181" s="222">
        <f t="shared" si="240"/>
        <v>2.1304096941719561</v>
      </c>
      <c r="O181" s="222">
        <f t="shared" si="240"/>
        <v>2.3189380530973454</v>
      </c>
      <c r="P181" s="222">
        <f t="shared" si="240"/>
        <v>2.4916461243494932</v>
      </c>
      <c r="Q181" s="222">
        <f t="shared" si="240"/>
        <v>3.0275571002979147</v>
      </c>
      <c r="T181" s="49"/>
      <c r="U181" s="49"/>
      <c r="V181" s="49"/>
      <c r="W181" s="49"/>
      <c r="X181" s="49"/>
      <c r="Y181" s="49"/>
      <c r="Z181" s="49"/>
      <c r="AA181" s="49"/>
      <c r="AC181" s="222">
        <f>AC5/(AC106+AC110-AC105)</f>
        <v>3.035415750109987</v>
      </c>
    </row>
    <row r="183" spans="1:31" x14ac:dyDescent="0.2">
      <c r="B183" s="1"/>
    </row>
    <row r="184" spans="1:31" s="15" customFormat="1" ht="17" thickBot="1" x14ac:dyDescent="0.25">
      <c r="A184" s="11"/>
      <c r="B184" s="14" t="s">
        <v>80</v>
      </c>
      <c r="R184" s="1"/>
      <c r="S184" s="1"/>
      <c r="AB184" s="1"/>
      <c r="AD184" s="1"/>
      <c r="AE184" s="1"/>
    </row>
    <row r="185" spans="1:31" x14ac:dyDescent="0.2">
      <c r="B185" s="20" t="s">
        <v>396</v>
      </c>
      <c r="C185" s="62"/>
      <c r="D185" s="62"/>
      <c r="E185" s="62"/>
      <c r="F185" s="62"/>
      <c r="G185" s="62"/>
      <c r="H185" s="62"/>
      <c r="I185" s="62"/>
      <c r="J185" s="62"/>
      <c r="K185" s="62"/>
      <c r="L185" s="21">
        <v>0</v>
      </c>
      <c r="M185" s="21">
        <v>0</v>
      </c>
      <c r="N185" s="21">
        <v>0</v>
      </c>
      <c r="O185" s="21">
        <v>0</v>
      </c>
      <c r="P185" s="21">
        <v>6796</v>
      </c>
      <c r="Q185" s="21">
        <v>9771</v>
      </c>
      <c r="T185" s="21">
        <v>1736</v>
      </c>
      <c r="U185" s="21">
        <v>1615</v>
      </c>
      <c r="V185" s="21">
        <v>1863</v>
      </c>
      <c r="W185" s="21">
        <v>2114</v>
      </c>
      <c r="X185" s="21">
        <v>2224</v>
      </c>
      <c r="Y185" s="21">
        <v>2500</v>
      </c>
      <c r="Z185" s="21">
        <v>2933</v>
      </c>
      <c r="AA185" s="21">
        <v>3449</v>
      </c>
      <c r="AC185" s="62">
        <f>SUM(X185:AA185)</f>
        <v>11106</v>
      </c>
    </row>
    <row r="186" spans="1:31" x14ac:dyDescent="0.2">
      <c r="B186" s="20" t="s">
        <v>397</v>
      </c>
      <c r="C186" s="62"/>
      <c r="D186" s="62"/>
      <c r="E186" s="62"/>
      <c r="F186" s="62"/>
      <c r="G186" s="62"/>
      <c r="H186" s="62"/>
      <c r="I186" s="62"/>
      <c r="J186" s="62"/>
      <c r="K186" s="62"/>
      <c r="L186" s="21">
        <v>0</v>
      </c>
      <c r="M186" s="21">
        <v>0</v>
      </c>
      <c r="N186" s="21">
        <v>0</v>
      </c>
      <c r="O186" s="21">
        <v>0</v>
      </c>
      <c r="P186" s="21">
        <v>2300</v>
      </c>
      <c r="Q186" s="21">
        <v>2425</v>
      </c>
      <c r="T186" s="21">
        <v>589</v>
      </c>
      <c r="U186" s="21">
        <v>545</v>
      </c>
      <c r="V186" s="21">
        <v>581</v>
      </c>
      <c r="W186" s="21">
        <v>515</v>
      </c>
      <c r="X186" s="21">
        <v>601</v>
      </c>
      <c r="Y186" s="21">
        <v>612</v>
      </c>
      <c r="Z186" s="21">
        <v>697</v>
      </c>
      <c r="AA186" s="21">
        <v>784</v>
      </c>
      <c r="AC186" s="62">
        <f t="shared" ref="AC186" si="241">SUM(X186:AA186)</f>
        <v>2694</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2">IF(K185=0,
IF(L185=0,0,IF(L185&gt;0,1,-1)),
(L185-K185)/ABS(K185)
)</f>
        <v>0</v>
      </c>
      <c r="M190" s="81">
        <f t="shared" ref="M190:M191" si="243">IF(L185=0,
IF(M185=0,0,IF(M185&gt;0,1,-1)),
(M185-L185)/ABS(L185)
)</f>
        <v>0</v>
      </c>
      <c r="N190" s="81">
        <f t="shared" ref="N190:N191" si="244">IF(M185=0,
IF(N185=0,0,IF(N185&gt;0,1,-1)),
(N185-M185)/ABS(M185)
)</f>
        <v>0</v>
      </c>
      <c r="O190" s="81">
        <f t="shared" ref="O190:O191" si="245">IF(N185=0,
IF(O185=0,0,IF(O185&gt;0,1,-1)),
(O185-N185)/ABS(N185)
)</f>
        <v>0</v>
      </c>
      <c r="P190" s="81">
        <f t="shared" ref="P190:P191" si="246">IF(O185=0,
IF(P185=0,0,IF(P185&gt;0,1,-1)),
(P185-O185)/ABS(O185)
)</f>
        <v>1</v>
      </c>
      <c r="Q190" s="81">
        <f t="shared" ref="Q190:Q191" si="247">IF(P185=0,
IF(Q185=0,0,IF(Q185&gt;0,1,-1)),
(Q185-P185)/ABS(P185)
)</f>
        <v>0.4377575044143614</v>
      </c>
      <c r="T190" s="81">
        <f t="shared" ref="T190:T191" si="248">IF(S185=0,
IF(T185=0,0,IF(T185&gt;0,1,-1)),
(T185-S185)/ABS(S185)
)</f>
        <v>1</v>
      </c>
      <c r="U190" s="81">
        <f t="shared" ref="U190:U191" si="249">IF(T185=0,
IF(U185=0,0,IF(U185&gt;0,1,-1)),
(U185-T185)/ABS(T185)
)</f>
        <v>-6.9700460829493091E-2</v>
      </c>
      <c r="V190" s="81">
        <f t="shared" ref="V190:V191" si="250">IF(U185=0,
IF(V185=0,0,IF(V185&gt;0,1,-1)),
(V185-U185)/ABS(U185)
)</f>
        <v>0.15356037151702787</v>
      </c>
      <c r="W190" s="81">
        <f t="shared" ref="W190:W191" si="251">IF(V185=0,
IF(W185=0,0,IF(W185&gt;0,1,-1)),
(W185-V185)/ABS(V185)
)</f>
        <v>0.13472893183038109</v>
      </c>
      <c r="X190" s="81">
        <f t="shared" ref="X190:X191" si="252">IF(W185=0,
IF(X185=0,0,IF(X185&gt;0,1,-1)),
(X185-W185)/ABS(W185)
)</f>
        <v>5.2034058656575212E-2</v>
      </c>
      <c r="Y190" s="81">
        <f t="shared" ref="Y190:Y191" si="253">IF(X185=0,
IF(Y185=0,0,IF(Y185&gt;0,1,-1)),
(Y185-X185)/ABS(X185)
)</f>
        <v>0.12410071942446044</v>
      </c>
      <c r="Z190" s="81">
        <f t="shared" ref="Z190:Z191" si="254">IF(Y185=0,
IF(Z185=0,0,IF(Z185&gt;0,1,-1)),
(Z185-Y185)/ABS(Y185)
)</f>
        <v>0.17319999999999999</v>
      </c>
      <c r="AA190" s="81">
        <f t="shared" ref="AA190:AA191" si="255">IF(Z185=0,
IF(AA185=0,0,IF(AA185&gt;0,1,-1)),
(AA185-Z185)/ABS(Z185)
)</f>
        <v>0.17592908285032391</v>
      </c>
      <c r="AC190" s="49"/>
    </row>
    <row r="191" spans="1:31" x14ac:dyDescent="0.2">
      <c r="B191" s="20" t="str">
        <f>B186</f>
        <v>Edge &amp; IoT</v>
      </c>
      <c r="L191" s="81">
        <f t="shared" si="242"/>
        <v>0</v>
      </c>
      <c r="M191" s="81">
        <f t="shared" si="243"/>
        <v>0</v>
      </c>
      <c r="N191" s="81">
        <f t="shared" si="244"/>
        <v>0</v>
      </c>
      <c r="O191" s="81">
        <f t="shared" si="245"/>
        <v>0</v>
      </c>
      <c r="P191" s="81">
        <f t="shared" si="246"/>
        <v>1</v>
      </c>
      <c r="Q191" s="81">
        <f t="shared" si="247"/>
        <v>5.434782608695652E-2</v>
      </c>
      <c r="T191" s="81">
        <f t="shared" si="248"/>
        <v>1</v>
      </c>
      <c r="U191" s="81">
        <f t="shared" si="249"/>
        <v>-7.4702886247877756E-2</v>
      </c>
      <c r="V191" s="81">
        <f t="shared" si="250"/>
        <v>6.6055045871559637E-2</v>
      </c>
      <c r="W191" s="81">
        <f t="shared" si="251"/>
        <v>-0.11359724612736662</v>
      </c>
      <c r="X191" s="81">
        <f t="shared" si="252"/>
        <v>0.16699029126213591</v>
      </c>
      <c r="Y191" s="81">
        <f t="shared" si="253"/>
        <v>1.8302828618968387E-2</v>
      </c>
      <c r="Z191" s="81">
        <f t="shared" si="254"/>
        <v>0.1388888888888889</v>
      </c>
      <c r="AA191" s="81">
        <f t="shared" si="255"/>
        <v>0.12482065997130559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56">IF(K63=0,
IF(L63=0,0,IF(L63&gt;0,1,-1)),
(L63-K63)/K63
)</f>
        <v>-1</v>
      </c>
      <c r="M195" s="81">
        <f t="shared" si="256"/>
        <v>-6.0092449922958396E-2</v>
      </c>
      <c r="N195" s="81">
        <f t="shared" si="256"/>
        <v>-4.5901639344262293E-2</v>
      </c>
      <c r="O195" s="81">
        <f t="shared" si="256"/>
        <v>5.1546391752577319E-3</v>
      </c>
      <c r="P195" s="81">
        <f t="shared" si="256"/>
        <v>2.564102564102564E-2</v>
      </c>
      <c r="Q195" s="81">
        <f t="shared" si="256"/>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385</v>
      </c>
      <c r="C205" s="62"/>
      <c r="D205" s="62"/>
      <c r="E205" s="62"/>
      <c r="F205" s="62"/>
      <c r="G205" s="62"/>
      <c r="H205" s="62"/>
      <c r="I205" s="62"/>
      <c r="J205" s="62"/>
      <c r="K205" s="62"/>
      <c r="L205" s="62">
        <v>0</v>
      </c>
      <c r="M205" s="62">
        <v>0</v>
      </c>
      <c r="N205" s="62">
        <v>0</v>
      </c>
      <c r="O205" s="62">
        <v>0</v>
      </c>
      <c r="P205" s="62">
        <v>594.6</v>
      </c>
      <c r="Q205" s="62">
        <v>789</v>
      </c>
      <c r="T205" s="62">
        <v>151</v>
      </c>
      <c r="U205" s="62">
        <v>143.6</v>
      </c>
      <c r="V205" s="62">
        <v>162</v>
      </c>
      <c r="W205" s="62">
        <v>182</v>
      </c>
      <c r="X205" s="62">
        <v>190</v>
      </c>
      <c r="Y205" s="62">
        <v>199.4</v>
      </c>
      <c r="Z205" s="62">
        <v>218</v>
      </c>
      <c r="AA205" s="62">
        <v>220</v>
      </c>
      <c r="AC205" s="62">
        <f>SUM(X205:AA205)</f>
        <v>827.4</v>
      </c>
    </row>
    <row r="206" spans="1:31" x14ac:dyDescent="0.2">
      <c r="B206" s="231" t="s">
        <v>386</v>
      </c>
      <c r="C206" s="62"/>
      <c r="D206" s="62"/>
      <c r="E206" s="62"/>
      <c r="F206" s="62"/>
      <c r="G206" s="62"/>
      <c r="H206" s="62"/>
      <c r="I206" s="62"/>
      <c r="J206" s="62"/>
      <c r="K206" s="62"/>
      <c r="L206" s="62">
        <v>0</v>
      </c>
      <c r="M206" s="62">
        <v>0</v>
      </c>
      <c r="N206" s="62">
        <v>0</v>
      </c>
      <c r="O206" s="62">
        <v>0</v>
      </c>
      <c r="P206" s="62">
        <v>496.6</v>
      </c>
      <c r="Q206" s="62">
        <v>695</v>
      </c>
      <c r="T206" s="62">
        <v>126</v>
      </c>
      <c r="U206" s="62">
        <v>119.6</v>
      </c>
      <c r="V206" s="62">
        <v>137</v>
      </c>
      <c r="W206" s="62">
        <v>159</v>
      </c>
      <c r="X206" s="62">
        <v>165</v>
      </c>
      <c r="Y206" s="62">
        <v>175.4</v>
      </c>
      <c r="Z206" s="62">
        <v>195</v>
      </c>
      <c r="AA206" s="62">
        <v>198</v>
      </c>
      <c r="AC206" s="62">
        <f t="shared" ref="AC206:AC207" si="257">SUM(X206:AA206)</f>
        <v>733.4</v>
      </c>
    </row>
    <row r="207" spans="1:31" x14ac:dyDescent="0.2">
      <c r="B207" s="231" t="s">
        <v>387</v>
      </c>
      <c r="C207" s="62"/>
      <c r="D207" s="62"/>
      <c r="E207" s="62"/>
      <c r="F207" s="62"/>
      <c r="G207" s="62"/>
      <c r="H207" s="62"/>
      <c r="I207" s="62"/>
      <c r="J207" s="62"/>
      <c r="K207" s="62"/>
      <c r="L207" s="62">
        <v>0</v>
      </c>
      <c r="M207" s="62">
        <v>0</v>
      </c>
      <c r="N207" s="62">
        <v>0</v>
      </c>
      <c r="O207" s="62">
        <v>0</v>
      </c>
      <c r="P207" s="62">
        <v>98</v>
      </c>
      <c r="Q207" s="62">
        <v>94</v>
      </c>
      <c r="T207" s="62">
        <v>25</v>
      </c>
      <c r="U207" s="62">
        <v>24</v>
      </c>
      <c r="V207" s="62">
        <v>26</v>
      </c>
      <c r="W207" s="62">
        <v>22</v>
      </c>
      <c r="X207" s="62">
        <v>25</v>
      </c>
      <c r="Y207" s="62">
        <v>24</v>
      </c>
      <c r="Z207" s="62">
        <v>23</v>
      </c>
      <c r="AA207" s="62">
        <v>22</v>
      </c>
      <c r="AC207" s="62">
        <f t="shared" si="257"/>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388</v>
      </c>
      <c r="C209" s="62"/>
      <c r="D209" s="62"/>
      <c r="E209" s="62"/>
      <c r="F209" s="62"/>
      <c r="G209" s="62"/>
      <c r="H209" s="62"/>
      <c r="I209" s="62"/>
      <c r="J209" s="62"/>
      <c r="K209" s="62"/>
      <c r="L209" s="63" t="e">
        <f t="shared" ref="L209:O209" si="258">L185/L206</f>
        <v>#DIV/0!</v>
      </c>
      <c r="M209" s="63" t="e">
        <f t="shared" si="258"/>
        <v>#DIV/0!</v>
      </c>
      <c r="N209" s="63" t="e">
        <f t="shared" si="258"/>
        <v>#DIV/0!</v>
      </c>
      <c r="O209" s="63" t="e">
        <f t="shared" si="258"/>
        <v>#DIV/0!</v>
      </c>
      <c r="P209" s="63">
        <f>P185/P206</f>
        <v>13.685058397100281</v>
      </c>
      <c r="Q209" s="63">
        <f>Q185/Q206</f>
        <v>14.058992805755397</v>
      </c>
      <c r="T209" s="63">
        <f t="shared" ref="T209:Z209" si="259">T185/T206</f>
        <v>13.777777777777779</v>
      </c>
      <c r="U209" s="63">
        <f t="shared" si="259"/>
        <v>13.503344481605351</v>
      </c>
      <c r="V209" s="63">
        <f t="shared" si="259"/>
        <v>13.598540145985401</v>
      </c>
      <c r="W209" s="63">
        <f t="shared" si="259"/>
        <v>13.29559748427673</v>
      </c>
      <c r="X209" s="63">
        <f t="shared" si="259"/>
        <v>13.478787878787879</v>
      </c>
      <c r="Y209" s="63">
        <f t="shared" si="259"/>
        <v>14.253135689851767</v>
      </c>
      <c r="Z209" s="63">
        <f t="shared" si="259"/>
        <v>15.041025641025641</v>
      </c>
      <c r="AA209" s="63">
        <f t="shared" ref="AA209:AC209" si="260">AA185/AA206</f>
        <v>17.41919191919192</v>
      </c>
      <c r="AC209" s="63">
        <f t="shared" si="260"/>
        <v>15.143168802836106</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6640625" style="1" customWidth="1"/>
    <col min="9" max="16384" width="10.83203125" style="1"/>
  </cols>
  <sheetData>
    <row r="5" spans="2:8" x14ac:dyDescent="0.2">
      <c r="H5" s="132" t="s">
        <v>432</v>
      </c>
    </row>
    <row r="6" spans="2:8" x14ac:dyDescent="0.2">
      <c r="H6" s="244" t="s">
        <v>437</v>
      </c>
    </row>
    <row r="7" spans="2:8" x14ac:dyDescent="0.2">
      <c r="H7" s="244" t="s">
        <v>433</v>
      </c>
    </row>
    <row r="8" spans="2:8" x14ac:dyDescent="0.2">
      <c r="H8" s="244" t="s">
        <v>434</v>
      </c>
    </row>
    <row r="9" spans="2:8" x14ac:dyDescent="0.2">
      <c r="H9" s="244" t="s">
        <v>435</v>
      </c>
    </row>
    <row r="10" spans="2:8" x14ac:dyDescent="0.2">
      <c r="H10" s="245" t="s">
        <v>436</v>
      </c>
    </row>
    <row r="13" spans="2:8" s="4" customFormat="1" ht="49" x14ac:dyDescent="0.2">
      <c r="B13" s="3" t="s">
        <v>231</v>
      </c>
    </row>
  </sheetData>
  <hyperlinks>
    <hyperlink ref="H6" location="Overview!B3" display="Overview'!B3" xr:uid="{251D58DD-32C8-2140-B84C-BE7C425C40AF}"/>
    <hyperlink ref="H8" location="'Analysis -&gt;'!B13" display="'Analysis -&gt;'!B13" xr:uid="{14CFDF64-2EA4-0442-8B8D-E537BF6B2D37}"/>
    <hyperlink ref="H9" location="'Forecast -&gt;'!B13" display="'Forecast -&gt;'!B13" xr:uid="{66302CD3-F76E-4D41-8C04-2D48B6B76C30}"/>
    <hyperlink ref="H10" location="'Valuation -&gt;'!B13" display="'Valuation -&gt;'!B13" xr:uid="{167D24A7-9C93-B24B-92B1-A504314798FB}"/>
    <hyperlink ref="H7" location="'Financials -&gt;'!B13" display="'Financials -&gt;'!B13" xr:uid="{8CE0858A-BEBE-6746-81D0-913C93F9219D}"/>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61"/>
  <sheetViews>
    <sheetView topLeftCell="A17" zoomScale="173" workbookViewId="0">
      <selection activeCell="F6" sqref="F6"/>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4" t="s">
        <v>232</v>
      </c>
      <c r="C4" s="254"/>
      <c r="E4" s="254" t="s">
        <v>239</v>
      </c>
      <c r="F4" s="254"/>
      <c r="G4" s="254"/>
    </row>
    <row r="5" spans="2:7" x14ac:dyDescent="0.2">
      <c r="B5" s="20" t="s">
        <v>1</v>
      </c>
      <c r="C5" s="168">
        <f ca="1">Overview!C5</f>
        <v>700.47</v>
      </c>
      <c r="E5" s="12"/>
      <c r="F5" s="132" t="s">
        <v>240</v>
      </c>
      <c r="G5" s="132" t="s">
        <v>241</v>
      </c>
    </row>
    <row r="6" spans="2:7" x14ac:dyDescent="0.2">
      <c r="B6" s="20" t="s">
        <v>238</v>
      </c>
      <c r="C6" s="169">
        <f ca="1">Statement!AC151</f>
        <v>166011.39000000001</v>
      </c>
      <c r="E6" s="20" t="s">
        <v>19</v>
      </c>
      <c r="F6" s="174">
        <f>IF(Statement!M5&lt;=0,"N/A",_xlfn.RRI(4,Statement!M5,Statement!Q5))</f>
        <v>1.125691029112641E-2</v>
      </c>
      <c r="G6" s="174" t="str">
        <f>IF(Statement!H5&lt;=0,"N/A",_xlfn.RRI(9,Statement!H5,Statement!Q5))</f>
        <v>N/A</v>
      </c>
    </row>
    <row r="7" spans="2:7" x14ac:dyDescent="0.2">
      <c r="B7" s="20" t="s">
        <v>187</v>
      </c>
      <c r="C7" s="169">
        <f ca="1">Statement!AC152</f>
        <v>167104.39000000001</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36.789390756302524</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11.688036633089355</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46.048853171155521</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12.10989129647076</v>
      </c>
    </row>
    <row r="12" spans="2:7" x14ac:dyDescent="0.2">
      <c r="B12" s="20" t="s">
        <v>203</v>
      </c>
      <c r="C12" s="170">
        <f ca="1">Statement!AC154</f>
        <v>30.582794655929725</v>
      </c>
    </row>
    <row r="15" spans="2:7" x14ac:dyDescent="0.2">
      <c r="B15" s="254" t="s">
        <v>76</v>
      </c>
      <c r="C15" s="254"/>
      <c r="E15" s="254" t="s">
        <v>245</v>
      </c>
      <c r="F15" s="254"/>
    </row>
    <row r="16" spans="2:7" x14ac:dyDescent="0.2">
      <c r="B16" s="20" t="s">
        <v>77</v>
      </c>
      <c r="C16" s="171">
        <f>Statement!AC99</f>
        <v>0.50351474744546709</v>
      </c>
      <c r="E16" s="20" t="s">
        <v>30</v>
      </c>
      <c r="F16" s="169">
        <f>Statement!AC17</f>
        <v>4396</v>
      </c>
    </row>
    <row r="17" spans="2:6" x14ac:dyDescent="0.2">
      <c r="B17" s="20" t="s">
        <v>78</v>
      </c>
      <c r="C17" s="171">
        <f>Statement!AC100</f>
        <v>0.39597072251612436</v>
      </c>
      <c r="E17" s="20" t="s">
        <v>246</v>
      </c>
      <c r="F17" s="169">
        <f>Statement!AC58</f>
        <v>4832</v>
      </c>
    </row>
    <row r="18" spans="2:6" x14ac:dyDescent="0.2">
      <c r="B18" s="20" t="s">
        <v>79</v>
      </c>
      <c r="C18" s="171">
        <f>Statement!AC101</f>
        <v>0.31857380969635479</v>
      </c>
      <c r="E18" s="20" t="s">
        <v>253</v>
      </c>
      <c r="F18" s="173">
        <f>IF(OR(F16&lt;=0, F17&lt;=0),"N/A",F16-F17)</f>
        <v>-436</v>
      </c>
    </row>
    <row r="21" spans="2:6" x14ac:dyDescent="0.2">
      <c r="B21" s="254" t="s">
        <v>244</v>
      </c>
      <c r="C21" s="254"/>
      <c r="E21" s="254" t="s">
        <v>248</v>
      </c>
      <c r="F21" s="254"/>
    </row>
    <row r="22" spans="2:6" x14ac:dyDescent="0.2">
      <c r="B22" s="20" t="s">
        <v>99</v>
      </c>
      <c r="C22" s="171">
        <f>Statement!AC119</f>
        <v>0.31857380969635479</v>
      </c>
      <c r="E22" s="20" t="s">
        <v>101</v>
      </c>
      <c r="F22" s="171">
        <f>C24</f>
        <v>0.42572147975982955</v>
      </c>
    </row>
    <row r="23" spans="2:6" x14ac:dyDescent="0.2">
      <c r="B23" s="20" t="s">
        <v>100</v>
      </c>
      <c r="C23" s="170">
        <f>Statement!AC120</f>
        <v>1.3363354638775906</v>
      </c>
      <c r="E23" s="20" t="s">
        <v>103</v>
      </c>
      <c r="F23" s="171">
        <f>C26</f>
        <v>1.2730958586736172</v>
      </c>
    </row>
    <row r="24" spans="2:6" x14ac:dyDescent="0.2">
      <c r="B24" s="32" t="s">
        <v>101</v>
      </c>
      <c r="C24" s="172">
        <f>Statement!AC121</f>
        <v>0.42572147975982955</v>
      </c>
      <c r="E24" s="20" t="s">
        <v>104</v>
      </c>
      <c r="F24" s="171">
        <f>Statement!AC138</f>
        <v>1.0446242852597505</v>
      </c>
    </row>
    <row r="25" spans="2:6" x14ac:dyDescent="0.2">
      <c r="B25" s="20" t="s">
        <v>102</v>
      </c>
      <c r="C25" s="170">
        <f>Statement!AC122</f>
        <v>2.9904430929626411</v>
      </c>
    </row>
    <row r="26" spans="2:6" x14ac:dyDescent="0.2">
      <c r="B26" s="32" t="s">
        <v>103</v>
      </c>
      <c r="C26" s="172">
        <f>Statement!AC123</f>
        <v>1.2730958586736172</v>
      </c>
    </row>
    <row r="29" spans="2:6" x14ac:dyDescent="0.2">
      <c r="B29" s="254" t="s">
        <v>249</v>
      </c>
      <c r="C29" s="254"/>
      <c r="E29" s="254" t="s">
        <v>255</v>
      </c>
      <c r="F29" s="254"/>
    </row>
    <row r="30" spans="2:6" x14ac:dyDescent="0.2">
      <c r="B30" s="20" t="s">
        <v>138</v>
      </c>
      <c r="C30" s="170">
        <f>Statement!AC139</f>
        <v>48.06181607362852</v>
      </c>
      <c r="E30" s="20" t="s">
        <v>256</v>
      </c>
      <c r="F30" s="176">
        <f>Statement!AC143</f>
        <v>0.68085722560092676</v>
      </c>
    </row>
    <row r="31" spans="2:6" x14ac:dyDescent="0.2">
      <c r="B31" s="20" t="s">
        <v>139</v>
      </c>
      <c r="C31" s="170">
        <f>Statement!AC140</f>
        <v>90.570719602977675</v>
      </c>
      <c r="E31" s="20" t="s">
        <v>257</v>
      </c>
      <c r="F31" s="176">
        <f>Statement!AC144</f>
        <v>0.31653634520706631</v>
      </c>
    </row>
    <row r="32" spans="2:6" x14ac:dyDescent="0.2">
      <c r="B32" s="20" t="s">
        <v>140</v>
      </c>
      <c r="C32" s="170">
        <f>Statement!AC141</f>
        <v>99.787622244927732</v>
      </c>
      <c r="E32" s="20" t="s">
        <v>252</v>
      </c>
      <c r="F32" s="176">
        <f>Statement!AC146</f>
        <v>5.5743801652892566</v>
      </c>
    </row>
    <row r="33" spans="2:6" x14ac:dyDescent="0.2">
      <c r="B33" s="20" t="s">
        <v>141</v>
      </c>
      <c r="C33" s="170">
        <f>Statement!AC142</f>
        <v>38.844913431678478</v>
      </c>
      <c r="E33" s="20" t="s">
        <v>251</v>
      </c>
      <c r="F33" s="176">
        <f>Statement!AC145</f>
        <v>3.1766528925619837</v>
      </c>
    </row>
    <row r="34" spans="2:6" x14ac:dyDescent="0.2">
      <c r="E34" s="20" t="s">
        <v>258</v>
      </c>
      <c r="F34" s="178">
        <f>Statement!AC147</f>
        <v>25.413953488372094</v>
      </c>
    </row>
    <row r="37" spans="2:6" x14ac:dyDescent="0.2">
      <c r="B37" s="254" t="s">
        <v>267</v>
      </c>
      <c r="C37" s="254"/>
      <c r="E37" s="254" t="s">
        <v>270</v>
      </c>
      <c r="F37" s="254"/>
    </row>
    <row r="38" spans="2:6" x14ac:dyDescent="0.2">
      <c r="B38" s="20" t="s">
        <v>265</v>
      </c>
      <c r="C38" s="171">
        <f ca="1">Statement!AC160</f>
        <v>2.7181749396833554E-2</v>
      </c>
      <c r="E38" s="20" t="s">
        <v>269</v>
      </c>
      <c r="F38" s="171">
        <f>Statement!AC166</f>
        <v>0.1650139842359522</v>
      </c>
    </row>
    <row r="39" spans="2:6" x14ac:dyDescent="0.2">
      <c r="B39" s="54" t="s">
        <v>268</v>
      </c>
      <c r="C39" s="211">
        <f ca="1">Statement!AC159</f>
        <v>2.3691145529231458E-2</v>
      </c>
      <c r="E39" s="20" t="s">
        <v>271</v>
      </c>
      <c r="F39" s="171">
        <f>Statement!AC167</f>
        <v>0.13907958301550979</v>
      </c>
    </row>
    <row r="40" spans="2:6" x14ac:dyDescent="0.2">
      <c r="B40" s="20" t="s">
        <v>266</v>
      </c>
      <c r="C40" s="171">
        <f ca="1">Statement!AC161</f>
        <v>4.1971818921581229E-3</v>
      </c>
      <c r="E40" s="20" t="s">
        <v>272</v>
      </c>
      <c r="F40" s="171">
        <f>Statement!AC168</f>
        <v>0.30409356725146197</v>
      </c>
    </row>
    <row r="41" spans="2:6" x14ac:dyDescent="0.2">
      <c r="B41" s="20" t="s">
        <v>291</v>
      </c>
      <c r="C41" s="171">
        <f ca="1">Statement!AC162</f>
        <v>3.29495464136527E-3</v>
      </c>
    </row>
    <row r="42" spans="2:6" x14ac:dyDescent="0.2">
      <c r="B42" s="20" t="s">
        <v>293</v>
      </c>
      <c r="C42" s="171">
        <f ca="1">Statement!AC163</f>
        <v>7.2043249562575191E-3</v>
      </c>
    </row>
    <row r="45" spans="2:6" x14ac:dyDescent="0.2">
      <c r="B45" s="254" t="s">
        <v>278</v>
      </c>
      <c r="C45" s="254"/>
      <c r="E45" s="254" t="s">
        <v>284</v>
      </c>
      <c r="F45" s="254"/>
    </row>
    <row r="46" spans="2:6" x14ac:dyDescent="0.2">
      <c r="B46" s="20" t="s">
        <v>276</v>
      </c>
      <c r="C46" s="171">
        <f>Statement!AC169</f>
        <v>8.4388185654008432E-3</v>
      </c>
      <c r="E46" s="20" t="s">
        <v>277</v>
      </c>
      <c r="F46" s="170">
        <f>Statement!AC170</f>
        <v>5.5418502202643172</v>
      </c>
    </row>
    <row r="47" spans="2:6" x14ac:dyDescent="0.2">
      <c r="E47" s="20" t="s">
        <v>285</v>
      </c>
      <c r="F47" s="170">
        <f>Statement!AC173</f>
        <v>-4.8149779735682818</v>
      </c>
    </row>
    <row r="48" spans="2:6" x14ac:dyDescent="0.2">
      <c r="E48" s="20" t="s">
        <v>290</v>
      </c>
      <c r="F48" s="171">
        <f ca="1">Statement!AC174</f>
        <v>-6.5838855996567455E-3</v>
      </c>
    </row>
    <row r="51" spans="2:6" x14ac:dyDescent="0.2">
      <c r="B51" s="254" t="s">
        <v>281</v>
      </c>
      <c r="C51" s="254"/>
      <c r="E51" s="254" t="s">
        <v>302</v>
      </c>
      <c r="F51" s="254"/>
    </row>
    <row r="52" spans="2:6" x14ac:dyDescent="0.2">
      <c r="B52" s="20" t="s">
        <v>279</v>
      </c>
      <c r="C52" s="171">
        <f>Statement!AC171</f>
        <v>4.6357615894039736E-2</v>
      </c>
      <c r="E52" s="20" t="s">
        <v>303</v>
      </c>
      <c r="F52" s="171">
        <f>Statement!AC175</f>
        <v>4.8916588158562216E-2</v>
      </c>
    </row>
    <row r="53" spans="2:6" x14ac:dyDescent="0.2">
      <c r="B53" s="20" t="s">
        <v>280</v>
      </c>
      <c r="C53" s="171">
        <f>Statement!AC172</f>
        <v>1.6233060366693239E-2</v>
      </c>
      <c r="E53" s="20" t="s">
        <v>300</v>
      </c>
      <c r="F53" s="171">
        <f>Statement!AC176</f>
        <v>0.13969370860927152</v>
      </c>
    </row>
    <row r="54" spans="2:6" x14ac:dyDescent="0.2">
      <c r="E54" s="20" t="s">
        <v>301</v>
      </c>
      <c r="F54" s="171">
        <f>Statement!AC177</f>
        <v>2.4107142857142856</v>
      </c>
    </row>
    <row r="57" spans="2:6" x14ac:dyDescent="0.2">
      <c r="B57" s="254" t="s">
        <v>439</v>
      </c>
      <c r="C57" s="254"/>
    </row>
    <row r="58" spans="2:6" x14ac:dyDescent="0.2">
      <c r="B58" s="20" t="s">
        <v>262</v>
      </c>
      <c r="C58" s="170">
        <f ca="1">Statement!AC157</f>
        <v>42.20986270022884</v>
      </c>
    </row>
    <row r="59" spans="2:6" x14ac:dyDescent="0.2">
      <c r="B59" s="20" t="s">
        <v>263</v>
      </c>
      <c r="C59" s="170">
        <f ca="1">Statement!AC158</f>
        <v>40.501691517547179</v>
      </c>
    </row>
    <row r="60" spans="2:6" x14ac:dyDescent="0.2">
      <c r="B60" s="20" t="s">
        <v>440</v>
      </c>
      <c r="C60" s="171">
        <f>Statement!AC164</f>
        <v>0.29899717376555007</v>
      </c>
    </row>
    <row r="61" spans="2:6" x14ac:dyDescent="0.2">
      <c r="B61" s="20" t="s">
        <v>441</v>
      </c>
      <c r="C61" s="171">
        <f>Statement!AC165</f>
        <v>0.28502065367055585</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9"/>
  <sheetViews>
    <sheetView zoomScale="159" zoomScaleNormal="230" workbookViewId="0">
      <pane xSplit="2" ySplit="3" topLeftCell="F33" activePane="bottomRight" state="frozen"/>
      <selection pane="topRight" activeCell="C1" sqref="C1"/>
      <selection pane="bottomLeft" activeCell="A4" sqref="A4"/>
      <selection pane="bottomRight" activeCell="B100" sqref="B10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700.47</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166011.39000000001</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167104.39000000001</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36.789390756302524</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11.688036633089355</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46.048853171155521</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12.10989129647076</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30.582794655929725</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0.50351474744546709</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0.39597072251612436</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0.31857380969635479</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4396</v>
      </c>
    </row>
    <row r="22" spans="2:9" x14ac:dyDescent="0.2">
      <c r="B22" s="20" t="s">
        <v>246</v>
      </c>
      <c r="C22" s="173">
        <f>Statement!M58</f>
        <v>1657</v>
      </c>
      <c r="D22" s="173">
        <f>Statement!N58</f>
        <v>942</v>
      </c>
      <c r="E22" s="173">
        <f>Statement!O58</f>
        <v>918</v>
      </c>
      <c r="F22" s="173">
        <f>Statement!P58</f>
        <v>1083</v>
      </c>
      <c r="G22" s="173">
        <f>Statement!Q58</f>
        <v>3674</v>
      </c>
      <c r="I22" s="173">
        <f>Statement!AC58</f>
        <v>4832</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-436</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0.31857380969635479</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1.3363354638775906</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0.42572147975982955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2.9904430929626411</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1.2730958586736172</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0.42572147975982955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1.2730958586736172</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1.0446242852597505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48.06181607362852</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90.570719602977675</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99.787622244927732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38.844913431678478</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0.68085722560092676</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0.31653634520706631</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3.1766528925619837</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5.5743801652892566</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25.413953488372094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2.7181749396833554E-2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2.3691145529231458E-2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4.1971818921581229E-3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3.29495464136527E-3</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7.2043249562575191E-3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0.1650139842359522</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0.13907958301550979</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0.30409356725146197</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5.5418502202643172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-4.8149779735682818</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-6.5838855996567455E-3</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4.6357615894039736E-2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1.6233060366693239E-2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4.8916588158562216E-2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0.13969370860927152</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2.4107142857142856</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7" spans="2:9" ht="17" thickBot="1" x14ac:dyDescent="0.25">
      <c r="B87" s="14" t="s">
        <v>439</v>
      </c>
      <c r="C87" s="14"/>
      <c r="D87" s="14"/>
      <c r="E87" s="14"/>
      <c r="F87" s="14"/>
      <c r="G87" s="14"/>
      <c r="I87" s="14"/>
    </row>
    <row r="88" spans="2:9" x14ac:dyDescent="0.2">
      <c r="B88" s="20" t="s">
        <v>262</v>
      </c>
      <c r="C88" s="170">
        <f>Statement!M157</f>
        <v>13.011644562334217</v>
      </c>
      <c r="D88" s="170">
        <f>Statement!N157</f>
        <v>25.062798434442271</v>
      </c>
      <c r="E88" s="170">
        <f>Statement!O157</f>
        <v>40.961843575418989</v>
      </c>
      <c r="F88" s="170">
        <f>Statement!P157</f>
        <v>49.893074433656956</v>
      </c>
      <c r="G88" s="170">
        <f>Statement!Q157</f>
        <v>67.212282157676341</v>
      </c>
      <c r="I88" s="170">
        <f ca="1">Statement!AC157</f>
        <v>42.20986270022884</v>
      </c>
    </row>
    <row r="89" spans="2:9" x14ac:dyDescent="0.2">
      <c r="B89" s="20" t="s">
        <v>263</v>
      </c>
      <c r="C89" s="170">
        <f>Statement!M158</f>
        <v>14.659365949397982</v>
      </c>
      <c r="D89" s="170">
        <f>Statement!N158</f>
        <v>17.180029498525073</v>
      </c>
      <c r="E89" s="170">
        <f>Statement!O158</f>
        <v>35.737599041631057</v>
      </c>
      <c r="F89" s="170">
        <f>Statement!P158</f>
        <v>40.813593878239608</v>
      </c>
      <c r="G89" s="170">
        <f>Statement!Q158</f>
        <v>63.70151446907547</v>
      </c>
      <c r="I89" s="170">
        <f ca="1">Statement!AC158</f>
        <v>40.501691517547179</v>
      </c>
    </row>
    <row r="90" spans="2:9" x14ac:dyDescent="0.2">
      <c r="B90" s="20" t="s">
        <v>440</v>
      </c>
      <c r="C90" s="171">
        <f>Statement!M164</f>
        <v>0.11551912298693807</v>
      </c>
      <c r="D90" s="171">
        <f>Statement!N164</f>
        <v>0.13773022751895991</v>
      </c>
      <c r="E90" s="171">
        <f>Statement!O164</f>
        <v>0.1123904232821475</v>
      </c>
      <c r="F90" s="171">
        <f>Statement!P164</f>
        <v>9.4100951040925501E-2</v>
      </c>
      <c r="G90" s="171">
        <f>Statement!Q164</f>
        <v>0.25261177056215006</v>
      </c>
      <c r="I90" s="171">
        <f>Statement!AC164</f>
        <v>0.29899717376555007</v>
      </c>
    </row>
    <row r="91" spans="2:9" x14ac:dyDescent="0.2">
      <c r="B91" s="20" t="s">
        <v>441</v>
      </c>
      <c r="C91" s="171">
        <f>Statement!M165</f>
        <v>9.6989966555183951E-2</v>
      </c>
      <c r="D91" s="171">
        <f>Statement!N165</f>
        <v>6.9203683640303354E-2</v>
      </c>
      <c r="E91" s="171">
        <f>Statement!O165</f>
        <v>8.1972217981987477E-2</v>
      </c>
      <c r="F91" s="171">
        <f>Statement!P165</f>
        <v>6.7934483895789821E-2</v>
      </c>
      <c r="G91" s="171">
        <f>Statement!Q165</f>
        <v>0.23714637146371464</v>
      </c>
      <c r="I91" s="171">
        <f>Statement!AC165</f>
        <v>0.28502065367055585</v>
      </c>
    </row>
    <row r="93" spans="2:9" ht="17" thickBot="1" x14ac:dyDescent="0.25">
      <c r="B93" s="14" t="s">
        <v>442</v>
      </c>
      <c r="C93" s="14"/>
      <c r="D93" s="14"/>
      <c r="E93" s="14"/>
      <c r="F93" s="14"/>
      <c r="G93" s="14"/>
      <c r="I93" s="14"/>
    </row>
    <row r="94" spans="2:9" x14ac:dyDescent="0.2">
      <c r="B94" s="20" t="s">
        <v>283</v>
      </c>
      <c r="C94" s="171">
        <f>Statement!M195</f>
        <v>-6.0092449922958396E-2</v>
      </c>
      <c r="D94" s="171">
        <f>Statement!N195</f>
        <v>-4.5901639344262293E-2</v>
      </c>
      <c r="E94" s="171">
        <f>Statement!O195</f>
        <v>5.1546391752577319E-3</v>
      </c>
      <c r="F94" s="171">
        <f>Statement!P195</f>
        <v>2.564102564102564E-2</v>
      </c>
      <c r="G94" s="171">
        <f>Statement!Q195</f>
        <v>5.6666666666666664E-2</v>
      </c>
      <c r="I94" s="193"/>
    </row>
    <row r="97" spans="2:9" ht="17" thickBot="1" x14ac:dyDescent="0.25">
      <c r="B97" s="14" t="s">
        <v>309</v>
      </c>
      <c r="C97" s="14"/>
      <c r="D97" s="14"/>
      <c r="E97" s="14"/>
      <c r="F97" s="14"/>
      <c r="G97" s="14"/>
      <c r="I97" s="14"/>
    </row>
    <row r="98" spans="2:9" x14ac:dyDescent="0.2">
      <c r="B98" s="20" t="str">
        <f>Statement!B190</f>
        <v>Datacenter</v>
      </c>
      <c r="C98" s="171">
        <f>Statement!M190</f>
        <v>0</v>
      </c>
      <c r="D98" s="171">
        <f>Statement!N190</f>
        <v>0</v>
      </c>
      <c r="E98" s="171">
        <f>Statement!O190</f>
        <v>0</v>
      </c>
      <c r="F98" s="171">
        <f>Statement!P190</f>
        <v>1</v>
      </c>
      <c r="G98" s="171">
        <f>Statement!Q190</f>
        <v>0.4377575044143614</v>
      </c>
      <c r="I98" s="193"/>
    </row>
    <row r="99" spans="2:9" x14ac:dyDescent="0.2">
      <c r="B99" s="20" t="str">
        <f>Statement!B191</f>
        <v>Edge &amp; IoT</v>
      </c>
      <c r="C99" s="171">
        <f>Statement!M191</f>
        <v>0</v>
      </c>
      <c r="D99" s="171">
        <f>Statement!N191</f>
        <v>0</v>
      </c>
      <c r="E99" s="171">
        <f>Statement!O191</f>
        <v>0</v>
      </c>
      <c r="F99" s="171">
        <f>Statement!P191</f>
        <v>1</v>
      </c>
      <c r="G99" s="171">
        <f>Statement!Q191</f>
        <v>5.434782608695652E-2</v>
      </c>
      <c r="I99"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7"/>
  <sheetViews>
    <sheetView topLeftCell="A18"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312</v>
      </c>
      <c r="D3" s="258"/>
      <c r="F3" s="259" t="s">
        <v>313</v>
      </c>
      <c r="G3" s="258"/>
    </row>
    <row r="4" spans="2:7" x14ac:dyDescent="0.2">
      <c r="B4" s="8"/>
      <c r="C4" s="10" t="str">
        <f>Statement!Z2</f>
        <v>03.07.2026</v>
      </c>
      <c r="D4" s="199" t="str">
        <f>Statement!AA2</f>
        <v>02.10.2026</v>
      </c>
      <c r="F4" s="200" t="str">
        <f>Statement!W2</f>
        <v>03.10.2025</v>
      </c>
      <c r="G4" s="199" t="str">
        <f>Statement!AA2</f>
        <v>02.10.2026</v>
      </c>
    </row>
    <row r="5" spans="2:7" x14ac:dyDescent="0.2">
      <c r="B5" s="8" t="s">
        <v>318</v>
      </c>
      <c r="C5" s="10" t="str">
        <f>Statement!Z3</f>
        <v>Q4 2026</v>
      </c>
      <c r="D5" s="199" t="str">
        <f>Statement!AA3</f>
        <v>Q1 2027</v>
      </c>
      <c r="F5" s="200" t="str">
        <f>Statement!W3</f>
        <v>Q1 2026</v>
      </c>
      <c r="G5" s="199" t="str">
        <f>Statement!AA3</f>
        <v>Q1 2027</v>
      </c>
    </row>
    <row r="6" spans="2:7" x14ac:dyDescent="0.2">
      <c r="B6" s="201" t="s">
        <v>19</v>
      </c>
      <c r="C6" s="195">
        <f>Statement!Z5</f>
        <v>3629</v>
      </c>
      <c r="D6" s="194">
        <f>Statement!AA5</f>
        <v>4233</v>
      </c>
      <c r="F6" s="195">
        <f>Statement!W5</f>
        <v>2629</v>
      </c>
      <c r="G6" s="194">
        <f>Statement!AA5</f>
        <v>4233</v>
      </c>
    </row>
    <row r="7" spans="2:7" x14ac:dyDescent="0.2">
      <c r="B7" s="202" t="s">
        <v>314</v>
      </c>
      <c r="C7" s="255">
        <f>Statement!AA88</f>
        <v>0.16643703499586662</v>
      </c>
      <c r="D7" s="256"/>
      <c r="F7" s="255">
        <f>IF(F6=0,
IF(G6=0,0,IF(G6&gt;0,1,-1)),
(G6-F6)/ABS(F6)
)</f>
        <v>0.61011791555724615</v>
      </c>
      <c r="G7" s="256"/>
    </row>
    <row r="8" spans="2:7" x14ac:dyDescent="0.2">
      <c r="B8" s="203" t="s">
        <v>20</v>
      </c>
      <c r="C8" s="196">
        <f>Statement!Z6</f>
        <v>1731</v>
      </c>
      <c r="D8" s="194">
        <f>Statement!AA6</f>
        <v>1806</v>
      </c>
      <c r="F8" s="196">
        <f>Statement!W6</f>
        <v>1592</v>
      </c>
      <c r="G8" s="194">
        <f>Statement!AA6</f>
        <v>1806</v>
      </c>
    </row>
    <row r="9" spans="2:7" x14ac:dyDescent="0.2">
      <c r="B9" s="202" t="s">
        <v>314</v>
      </c>
      <c r="C9" s="255">
        <f>Statement!AA89</f>
        <v>4.3327556325823226E-2</v>
      </c>
      <c r="D9" s="256"/>
      <c r="F9" s="255">
        <f>IF(F8=0,
IF(G8=0,0,IF(G8&gt;0,1,-1)),
(G8-F8)/ABS(F8)
)</f>
        <v>0.13442211055276382</v>
      </c>
      <c r="G9" s="256"/>
    </row>
    <row r="10" spans="2:7" x14ac:dyDescent="0.2">
      <c r="B10" s="203" t="s">
        <v>21</v>
      </c>
      <c r="C10" s="196">
        <f>Statement!Z7</f>
        <v>1898</v>
      </c>
      <c r="D10" s="194">
        <f>Statement!AA7</f>
        <v>2427</v>
      </c>
      <c r="F10" s="196">
        <f>Statement!W7</f>
        <v>1037</v>
      </c>
      <c r="G10" s="194">
        <f>Statement!AA7</f>
        <v>2427</v>
      </c>
    </row>
    <row r="11" spans="2:7" x14ac:dyDescent="0.2">
      <c r="B11" s="202" t="s">
        <v>314</v>
      </c>
      <c r="C11" s="255">
        <f>Statement!AA90</f>
        <v>0.27871443624868281</v>
      </c>
      <c r="D11" s="256"/>
      <c r="F11" s="255">
        <f>IF(F10=0,
IF(G10=0,0,IF(G10&gt;0,1,-1)),
(G10-F10)/ABS(F10)
)</f>
        <v>1.3404050144648023</v>
      </c>
      <c r="G11" s="256"/>
    </row>
    <row r="12" spans="2:7" x14ac:dyDescent="0.2">
      <c r="B12" s="203" t="s">
        <v>24</v>
      </c>
      <c r="C12" s="196">
        <f>Statement!Z10</f>
        <v>339</v>
      </c>
      <c r="D12" s="196">
        <f>Statement!AA10</f>
        <v>363</v>
      </c>
      <c r="F12" s="196">
        <f>Statement!W10</f>
        <v>343</v>
      </c>
      <c r="G12" s="194">
        <f>Statement!AA10</f>
        <v>363</v>
      </c>
    </row>
    <row r="13" spans="2:7" x14ac:dyDescent="0.2">
      <c r="B13" s="202" t="s">
        <v>314</v>
      </c>
      <c r="C13" s="255">
        <f>Statement!AA93</f>
        <v>7.0796460176991149E-2</v>
      </c>
      <c r="D13" s="256"/>
      <c r="F13" s="255">
        <f>IF(F12=0,
IF(G12=0,0,IF(G12&gt;0,1,-1)),
(G12-F12)/ABS(F12)
)</f>
        <v>5.8309037900874633E-2</v>
      </c>
      <c r="G13" s="256"/>
    </row>
    <row r="14" spans="2:7" x14ac:dyDescent="0.2">
      <c r="B14" s="203" t="s">
        <v>315</v>
      </c>
      <c r="C14" s="196">
        <f>Statement!Z11</f>
        <v>1559</v>
      </c>
      <c r="D14" s="194">
        <f>Statement!AA11</f>
        <v>2064</v>
      </c>
      <c r="F14" s="196">
        <f>Statement!W11</f>
        <v>694</v>
      </c>
      <c r="G14" s="194">
        <f>Statement!AA11</f>
        <v>2064</v>
      </c>
    </row>
    <row r="15" spans="2:7" x14ac:dyDescent="0.2">
      <c r="B15" s="202" t="s">
        <v>314</v>
      </c>
      <c r="C15" s="255">
        <f>Statement!AA94</f>
        <v>0.32392559332905707</v>
      </c>
      <c r="D15" s="256"/>
      <c r="F15" s="255">
        <f>IF(F14=0,
IF(G14=0,0,IF(G14&gt;0,1,-1)),
(G14-F14)/ABS(F14)
)</f>
        <v>1.9740634005763689</v>
      </c>
      <c r="G15" s="256"/>
    </row>
    <row r="16" spans="2:7" x14ac:dyDescent="0.2">
      <c r="B16" s="203" t="s">
        <v>30</v>
      </c>
      <c r="C16" s="196">
        <f>Statement!Z17</f>
        <v>1294</v>
      </c>
      <c r="D16" s="194">
        <f>Statement!AA17</f>
        <v>1761</v>
      </c>
      <c r="F16" s="196">
        <f>Statement!W17</f>
        <v>549</v>
      </c>
      <c r="G16" s="194">
        <f>Statement!AA17</f>
        <v>1761</v>
      </c>
    </row>
    <row r="17" spans="2:7" x14ac:dyDescent="0.2">
      <c r="B17" s="202" t="s">
        <v>314</v>
      </c>
      <c r="C17" s="255">
        <f>Statement!AA96</f>
        <v>0.36089644513137559</v>
      </c>
      <c r="D17" s="256"/>
      <c r="F17" s="255">
        <f>IF(F16=0,
IF(G16=0,0,IF(G16&gt;0,1,-1)),
(G16-F16)/ABS(F16)
)</f>
        <v>2.2076502732240435</v>
      </c>
      <c r="G17" s="256"/>
    </row>
    <row r="18" spans="2:7" x14ac:dyDescent="0.2">
      <c r="B18" s="203" t="s">
        <v>316</v>
      </c>
      <c r="C18" s="196">
        <f>Statement!Z21</f>
        <v>232</v>
      </c>
      <c r="D18" s="194">
        <f>Statement!AA21</f>
        <v>232</v>
      </c>
      <c r="F18" s="196">
        <f>Statement!W21</f>
        <v>226</v>
      </c>
      <c r="G18" s="194">
        <f>Statement!AA21</f>
        <v>232</v>
      </c>
    </row>
    <row r="19" spans="2:7" x14ac:dyDescent="0.2">
      <c r="B19" s="202" t="s">
        <v>314</v>
      </c>
      <c r="C19" s="255">
        <f>IF(C18=0,
IF(D18=0,0,IF(D18&gt;0,1,-1)),
(D18-C18)/ABS(C18)
)</f>
        <v>0</v>
      </c>
      <c r="D19" s="256"/>
      <c r="F19" s="255">
        <f>IF(F18=0,
IF(G18=0,0,IF(G18&gt;0,1,-1)),
(G18-F18)/ABS(F18)
)</f>
        <v>2.6548672566371681E-2</v>
      </c>
      <c r="G19" s="256"/>
    </row>
    <row r="20" spans="2:7" x14ac:dyDescent="0.2">
      <c r="B20" s="203" t="s">
        <v>37</v>
      </c>
      <c r="C20" s="197">
        <f>Statement!Z25</f>
        <v>5.58</v>
      </c>
      <c r="D20" s="198">
        <f>Statement!AA25</f>
        <v>7.59</v>
      </c>
      <c r="F20" s="197">
        <f>Statement!W25</f>
        <v>2.4300000000000002</v>
      </c>
      <c r="G20" s="198">
        <f>Statement!AA25</f>
        <v>7.59</v>
      </c>
    </row>
    <row r="21" spans="2:7" x14ac:dyDescent="0.2">
      <c r="B21" s="202" t="s">
        <v>314</v>
      </c>
      <c r="C21" s="255">
        <f>IF(C20=0,
IF(D20=0,0,IF(D20&gt;0,1,-1)),
(D20-C20)/ABS(C20)
)</f>
        <v>0.36021505376344082</v>
      </c>
      <c r="D21" s="256"/>
      <c r="F21" s="255">
        <f>IF(F20=0,
IF(G20=0,0,IF(G20&gt;0,1,-1)),
(G20-F20)/ABS(F20)
)</f>
        <v>2.1234567901234569</v>
      </c>
      <c r="G21" s="256"/>
    </row>
    <row r="23" spans="2:7" x14ac:dyDescent="0.2">
      <c r="B23" s="8" t="s">
        <v>317</v>
      </c>
      <c r="C23" s="10" t="str">
        <f>C5</f>
        <v>Q4 2026</v>
      </c>
      <c r="D23" s="199" t="str">
        <f>D5</f>
        <v>Q1 2027</v>
      </c>
      <c r="F23" s="200" t="str">
        <f>F5</f>
        <v>Q1 2026</v>
      </c>
      <c r="G23" s="199" t="str">
        <f>G5</f>
        <v>Q1 2027</v>
      </c>
    </row>
    <row r="24" spans="2:7" x14ac:dyDescent="0.2">
      <c r="B24" s="20" t="str">
        <f>Statement!B185</f>
        <v>Datacenter</v>
      </c>
      <c r="C24" s="196">
        <f>Statement!Z185</f>
        <v>2933</v>
      </c>
      <c r="D24" s="194">
        <f>Statement!AA185</f>
        <v>3449</v>
      </c>
      <c r="F24" s="196">
        <f>Statement!W185</f>
        <v>2114</v>
      </c>
      <c r="G24" s="194">
        <f>Statement!AA185</f>
        <v>3449</v>
      </c>
    </row>
    <row r="25" spans="2:7" x14ac:dyDescent="0.2">
      <c r="B25" s="202" t="s">
        <v>314</v>
      </c>
      <c r="C25" s="255">
        <f>IF(C24=0,
IF(D24=0,0,IF(D24&gt;0,1,-1)),
(D24-C24)/ABS(C24)
)</f>
        <v>0.17592908285032391</v>
      </c>
      <c r="D25" s="256"/>
      <c r="F25" s="255">
        <f>IF(F24=0,
IF(G24=0,0,IF(G24&gt;0,1,-1)),
(G24-F24)/ABS(F24)
)</f>
        <v>0.63150425733207194</v>
      </c>
      <c r="G25" s="256"/>
    </row>
    <row r="26" spans="2:7" x14ac:dyDescent="0.2">
      <c r="B26" s="20" t="str">
        <f>Statement!B186</f>
        <v>Edge &amp; IoT</v>
      </c>
      <c r="C26" s="196">
        <f>Statement!Z186</f>
        <v>697</v>
      </c>
      <c r="D26" s="194">
        <f>Statement!AA186</f>
        <v>784</v>
      </c>
      <c r="F26" s="196">
        <f>Statement!W186</f>
        <v>515</v>
      </c>
      <c r="G26" s="194">
        <f>Statement!AA186</f>
        <v>784</v>
      </c>
    </row>
    <row r="27" spans="2:7" x14ac:dyDescent="0.2">
      <c r="B27" s="202" t="s">
        <v>314</v>
      </c>
      <c r="C27" s="255">
        <f>IF(C26=0,
IF(D26=0,0,IF(D26&gt;0,1,-1)),
(D26-C26)/ABS(C26)
)</f>
        <v>0.12482065997130559</v>
      </c>
      <c r="D27" s="256"/>
      <c r="F27" s="255">
        <f>IF(F26=0,
IF(G26=0,0,IF(G26&gt;0,1,-1)),
(G26-F26)/ABS(F26)
)</f>
        <v>0.52233009708737865</v>
      </c>
      <c r="G27" s="256"/>
    </row>
  </sheetData>
  <mergeCells count="22">
    <mergeCell ref="C3:D3"/>
    <mergeCell ref="F3:G3"/>
    <mergeCell ref="C7:D7"/>
    <mergeCell ref="F7:G7"/>
    <mergeCell ref="C9:D9"/>
    <mergeCell ref="F9:G9"/>
    <mergeCell ref="C11:D11"/>
    <mergeCell ref="F11:G11"/>
    <mergeCell ref="C13:D13"/>
    <mergeCell ref="F13:G13"/>
    <mergeCell ref="C15:D15"/>
    <mergeCell ref="F15:G15"/>
    <mergeCell ref="C25:D25"/>
    <mergeCell ref="F25:G25"/>
    <mergeCell ref="C27:D27"/>
    <mergeCell ref="F27:G27"/>
    <mergeCell ref="C17:D17"/>
    <mergeCell ref="F17:G17"/>
    <mergeCell ref="F19:G19"/>
    <mergeCell ref="C19:D19"/>
    <mergeCell ref="C21:D21"/>
    <mergeCell ref="F21:G21"/>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5"/>
  <sheetViews>
    <sheetView topLeftCell="B1"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27.12.2024</v>
      </c>
      <c r="D55" s="10" t="str">
        <f>Statement!U2</f>
        <v>28.03.2025</v>
      </c>
      <c r="E55" s="10" t="str">
        <f>Statement!V2</f>
        <v>27.06.2025</v>
      </c>
      <c r="F55" s="10" t="str">
        <f>Statement!W2</f>
        <v>03.10.2025</v>
      </c>
      <c r="G55" s="10" t="str">
        <f>Statement!X2</f>
        <v>02.01.2026</v>
      </c>
      <c r="H55" s="10" t="str">
        <f>Statement!Y2</f>
        <v>03.04.2026</v>
      </c>
      <c r="I55" s="10" t="str">
        <f>Statement!Z2</f>
        <v>03.07.2026</v>
      </c>
      <c r="J55" s="10" t="str">
        <f>Statement!AA2</f>
        <v>02.10.2026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2325</v>
      </c>
      <c r="D57" s="64">
        <f>Statement!U5</f>
        <v>2160</v>
      </c>
      <c r="E57" s="64">
        <f>Statement!V5</f>
        <v>2444</v>
      </c>
      <c r="F57" s="64">
        <f>Statement!W5</f>
        <v>2629</v>
      </c>
      <c r="G57" s="64">
        <f>Statement!X5</f>
        <v>2825</v>
      </c>
      <c r="H57" s="64">
        <f>Statement!Y5</f>
        <v>3112</v>
      </c>
      <c r="I57" s="64">
        <f>Statement!Z5</f>
        <v>3629</v>
      </c>
      <c r="J57" s="64">
        <f>Statement!AA5</f>
        <v>4233</v>
      </c>
    </row>
    <row r="58" spans="2:10" x14ac:dyDescent="0.2">
      <c r="B58" s="20" t="s">
        <v>25</v>
      </c>
      <c r="C58" s="64">
        <f>Statement!T11</f>
        <v>488</v>
      </c>
      <c r="D58" s="64">
        <f>Statement!U11</f>
        <v>431</v>
      </c>
      <c r="E58" s="64">
        <f>Statement!V11</f>
        <v>568</v>
      </c>
      <c r="F58" s="64">
        <f>Statement!W11</f>
        <v>694</v>
      </c>
      <c r="G58" s="64">
        <f>Statement!X11</f>
        <v>843</v>
      </c>
      <c r="H58" s="64">
        <f>Statement!Y11</f>
        <v>998</v>
      </c>
      <c r="I58" s="64">
        <f>Statement!Z11</f>
        <v>1559</v>
      </c>
      <c r="J58" s="64">
        <f>Statement!AA11</f>
        <v>2064</v>
      </c>
    </row>
    <row r="59" spans="2:10" x14ac:dyDescent="0.2">
      <c r="B59" s="20" t="s">
        <v>30</v>
      </c>
      <c r="C59" s="64">
        <f>Statement!T17</f>
        <v>336</v>
      </c>
      <c r="D59" s="64">
        <f>Statement!U17</f>
        <v>340</v>
      </c>
      <c r="E59" s="64">
        <f>Statement!V17</f>
        <v>488</v>
      </c>
      <c r="F59" s="64">
        <f>Statement!W17</f>
        <v>549</v>
      </c>
      <c r="G59" s="64">
        <f>Statement!X17</f>
        <v>593</v>
      </c>
      <c r="H59" s="64">
        <f>Statement!Y17</f>
        <v>748</v>
      </c>
      <c r="I59" s="64">
        <f>Statement!Z17</f>
        <v>1294</v>
      </c>
      <c r="J59" s="64">
        <f>Statement!AA17</f>
        <v>1761</v>
      </c>
    </row>
    <row r="60" spans="2:10" x14ac:dyDescent="0.2">
      <c r="B60" s="20" t="s">
        <v>77</v>
      </c>
      <c r="C60" s="58">
        <f>Statement!T99</f>
        <v>0.34924731182795699</v>
      </c>
      <c r="D60" s="58">
        <f>Statement!U99</f>
        <v>0.35185185185185186</v>
      </c>
      <c r="E60" s="58">
        <f>Statement!V99</f>
        <v>0.3739770867430442</v>
      </c>
      <c r="F60" s="58">
        <f>Statement!W99</f>
        <v>0.39444655762647396</v>
      </c>
      <c r="G60" s="58">
        <f>Statement!X99</f>
        <v>0.41628318584070795</v>
      </c>
      <c r="H60" s="58">
        <f>Statement!Y99</f>
        <v>0.46497429305912596</v>
      </c>
      <c r="I60" s="58">
        <f>Statement!Z99</f>
        <v>0.52300909341416368</v>
      </c>
      <c r="J60" s="58">
        <f>Statement!AA99</f>
        <v>0.57335223245924871</v>
      </c>
    </row>
    <row r="61" spans="2:10" x14ac:dyDescent="0.2">
      <c r="B61" s="20" t="s">
        <v>78</v>
      </c>
      <c r="C61" s="58">
        <f>Statement!T100</f>
        <v>0.20989247311827958</v>
      </c>
      <c r="D61" s="58">
        <f>Statement!U100</f>
        <v>0.19953703703703704</v>
      </c>
      <c r="E61" s="58">
        <f>Statement!V100</f>
        <v>0.23240589198036007</v>
      </c>
      <c r="F61" s="58">
        <f>Statement!W100</f>
        <v>0.26397869912514266</v>
      </c>
      <c r="G61" s="58">
        <f>Statement!X100</f>
        <v>0.2984070796460177</v>
      </c>
      <c r="H61" s="58">
        <f>Statement!Y100</f>
        <v>0.32069408740359895</v>
      </c>
      <c r="I61" s="58">
        <f>Statement!Z100</f>
        <v>0.42959492973270874</v>
      </c>
      <c r="J61" s="58">
        <f>Statement!AA100</f>
        <v>0.48759744861800142</v>
      </c>
    </row>
    <row r="62" spans="2:10" x14ac:dyDescent="0.2">
      <c r="B62" s="20" t="s">
        <v>79</v>
      </c>
      <c r="C62" s="58">
        <f>Statement!T101</f>
        <v>0.14451612903225808</v>
      </c>
      <c r="D62" s="58">
        <f>Statement!U101</f>
        <v>0.15740740740740741</v>
      </c>
      <c r="E62" s="58">
        <f>Statement!V101</f>
        <v>0.19967266775777415</v>
      </c>
      <c r="F62" s="58">
        <f>Statement!W101</f>
        <v>0.20882464815519208</v>
      </c>
      <c r="G62" s="58">
        <f>Statement!X101</f>
        <v>0.20991150442477877</v>
      </c>
      <c r="H62" s="58">
        <f>Statement!Y101</f>
        <v>0.24035989717223649</v>
      </c>
      <c r="I62" s="58">
        <f>Statement!Z101</f>
        <v>0.35657205841829703</v>
      </c>
      <c r="J62" s="58">
        <f>Statement!AA101</f>
        <v>0.41601700921332391</v>
      </c>
    </row>
    <row r="63" spans="2:10" x14ac:dyDescent="0.2">
      <c r="B63" s="20" t="str">
        <f>"Revenue "&amp;Statement!B185</f>
        <v>Revenue Datacenter</v>
      </c>
      <c r="C63" s="64">
        <f>Statement!T185</f>
        <v>1736</v>
      </c>
      <c r="D63" s="64">
        <f>Statement!U185</f>
        <v>1615</v>
      </c>
      <c r="E63" s="64">
        <f>Statement!V185</f>
        <v>1863</v>
      </c>
      <c r="F63" s="64">
        <f>Statement!W185</f>
        <v>2114</v>
      </c>
      <c r="G63" s="64">
        <f>Statement!X185</f>
        <v>2224</v>
      </c>
      <c r="H63" s="64">
        <f>Statement!Y185</f>
        <v>2500</v>
      </c>
      <c r="I63" s="64">
        <f>Statement!Z185</f>
        <v>2933</v>
      </c>
      <c r="J63" s="64">
        <f>Statement!AA185</f>
        <v>3449</v>
      </c>
    </row>
    <row r="64" spans="2:10" x14ac:dyDescent="0.2">
      <c r="B64" s="20" t="str">
        <f>"Revenue "&amp;Statement!B186</f>
        <v>Revenue Edge &amp; IoT</v>
      </c>
      <c r="C64" s="64">
        <f>Statement!T186</f>
        <v>589</v>
      </c>
      <c r="D64" s="64">
        <f>Statement!U186</f>
        <v>545</v>
      </c>
      <c r="E64" s="64">
        <f>Statement!V186</f>
        <v>581</v>
      </c>
      <c r="F64" s="64">
        <f>Statement!W186</f>
        <v>515</v>
      </c>
      <c r="G64" s="64">
        <f>Statement!X186</f>
        <v>601</v>
      </c>
      <c r="H64" s="64">
        <f>Statement!Y186</f>
        <v>612</v>
      </c>
      <c r="I64" s="64">
        <f>Statement!Z186</f>
        <v>697</v>
      </c>
      <c r="J64" s="64">
        <f>Statement!AA186</f>
        <v>784</v>
      </c>
    </row>
    <row r="65" spans="2:10" x14ac:dyDescent="0.2">
      <c r="B65" s="20" t="s">
        <v>260</v>
      </c>
      <c r="C65" s="64">
        <f>Statement!T155</f>
        <v>101</v>
      </c>
      <c r="D65" s="64">
        <f>Statement!U155</f>
        <v>162</v>
      </c>
      <c r="E65" s="64">
        <f>Statement!V155</f>
        <v>366</v>
      </c>
      <c r="F65" s="64">
        <f>Statement!W155</f>
        <v>375</v>
      </c>
      <c r="G65" s="64">
        <f>Statement!X155</f>
        <v>554</v>
      </c>
      <c r="H65" s="64">
        <f>Statement!Y155</f>
        <v>899</v>
      </c>
      <c r="I65" s="64">
        <f>Statement!Z155</f>
        <v>1064</v>
      </c>
      <c r="J65" s="64">
        <f>Statement!AA155</f>
        <v>1416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432</v>
      </c>
    </row>
    <row r="6" spans="2:8" x14ac:dyDescent="0.2">
      <c r="H6" s="244" t="s">
        <v>437</v>
      </c>
    </row>
    <row r="7" spans="2:8" x14ac:dyDescent="0.2">
      <c r="H7" s="244" t="s">
        <v>433</v>
      </c>
    </row>
    <row r="8" spans="2:8" x14ac:dyDescent="0.2">
      <c r="H8" s="244" t="s">
        <v>434</v>
      </c>
    </row>
    <row r="9" spans="2:8" x14ac:dyDescent="0.2">
      <c r="H9" s="244" t="s">
        <v>435</v>
      </c>
    </row>
    <row r="10" spans="2:8" x14ac:dyDescent="0.2">
      <c r="H10" s="245" t="s">
        <v>436</v>
      </c>
    </row>
    <row r="13" spans="2:8" s="4" customFormat="1" ht="49" x14ac:dyDescent="0.2">
      <c r="B13" s="3" t="s">
        <v>110</v>
      </c>
    </row>
  </sheetData>
  <hyperlinks>
    <hyperlink ref="H6" location="Overview!B3" display="Overview'!B3" xr:uid="{7E2A1D8D-1CDD-1E4F-B51B-E3B8BA9957A6}"/>
    <hyperlink ref="H8" location="'Analysis -&gt;'!B13" display="'Analysis -&gt;'!B13" xr:uid="{C625FB63-EE93-664B-BF74-E83DD6A6F311}"/>
    <hyperlink ref="H9" location="'Forecast -&gt;'!B13" display="'Forecast -&gt;'!B13" xr:uid="{69DF3F5D-47B5-5B40-AEE2-A99380EE7ACD}"/>
    <hyperlink ref="H10" location="'Valuation -&gt;'!B13" display="'Valuation -&gt;'!B13" xr:uid="{3EEDFC26-E5BA-7840-B6FE-F1C7AA1A05B2}"/>
    <hyperlink ref="H7" location="'Financials -&gt;'!B13" display="'Financials -&gt;'!B13" xr:uid="{0F4F0629-A024-8043-AE13-C454702686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3"/>
  <sheetViews>
    <sheetView topLeftCell="B2" zoomScale="184" zoomScaleNormal="75" workbookViewId="0">
      <selection activeCell="H21" sqref="H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4" t="s">
        <v>112</v>
      </c>
      <c r="D2" s="254"/>
      <c r="E2" s="254"/>
      <c r="F2" s="254"/>
      <c r="G2" s="263"/>
      <c r="H2" s="264" t="s">
        <v>113</v>
      </c>
      <c r="I2" s="254"/>
      <c r="J2" s="254"/>
      <c r="K2" s="254"/>
      <c r="L2" s="254"/>
      <c r="O2" s="5"/>
      <c r="S2" s="254" t="s">
        <v>112</v>
      </c>
      <c r="T2" s="254"/>
      <c r="U2" s="254"/>
      <c r="V2" s="254"/>
      <c r="W2" s="254"/>
      <c r="X2" s="254"/>
      <c r="Y2" s="254"/>
      <c r="Z2" s="254"/>
      <c r="AA2" s="254" t="s">
        <v>113</v>
      </c>
      <c r="AB2" s="254"/>
      <c r="AC2" s="254"/>
      <c r="AE2" s="85" t="s">
        <v>114</v>
      </c>
    </row>
    <row r="3" spans="1:31" ht="10" customHeight="1" x14ac:dyDescent="0.2">
      <c r="O3" s="5"/>
    </row>
    <row r="4" spans="1:31" ht="16" customHeight="1" x14ac:dyDescent="0.2">
      <c r="A4" s="86"/>
      <c r="B4" s="60"/>
      <c r="C4" s="260" t="s">
        <v>115</v>
      </c>
      <c r="D4" s="260"/>
      <c r="E4" s="260"/>
      <c r="F4" s="260"/>
      <c r="G4" s="260"/>
      <c r="H4" s="260"/>
      <c r="I4" s="260"/>
      <c r="J4" s="260"/>
      <c r="K4" s="260"/>
      <c r="L4" s="260"/>
      <c r="O4" s="5"/>
      <c r="S4" s="261" t="s">
        <v>115</v>
      </c>
      <c r="T4" s="262"/>
      <c r="U4" s="262"/>
      <c r="V4" s="262"/>
      <c r="W4" s="262"/>
      <c r="X4" s="262"/>
      <c r="Y4" s="262"/>
      <c r="Z4" s="262"/>
      <c r="AA4" s="262"/>
      <c r="AB4" s="262"/>
      <c r="AC4" s="262"/>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15623.829000000003</v>
      </c>
      <c r="I6" s="64">
        <f t="shared" ref="I6:L6" si="1">I19*I20</f>
        <v>20506.275562500003</v>
      </c>
      <c r="J6" s="64">
        <f t="shared" si="1"/>
        <v>21429.057962812502</v>
      </c>
      <c r="K6" s="64">
        <f t="shared" si="1"/>
        <v>20357.605064671876</v>
      </c>
      <c r="L6" s="64">
        <f t="shared" si="1"/>
        <v>17405.752330294454</v>
      </c>
      <c r="N6" s="90" t="s">
        <v>392</v>
      </c>
      <c r="O6" s="5"/>
      <c r="Q6" s="90" t="s">
        <v>392</v>
      </c>
      <c r="R6" s="1" t="str">
        <f>B6</f>
        <v>Datacenter</v>
      </c>
      <c r="S6" s="88">
        <f>Statement!T185</f>
        <v>1736</v>
      </c>
      <c r="T6" s="88">
        <f>Statement!U185</f>
        <v>1615</v>
      </c>
      <c r="U6" s="88">
        <f>Statement!V185</f>
        <v>1863</v>
      </c>
      <c r="V6" s="88">
        <f>Statement!W185</f>
        <v>2114</v>
      </c>
      <c r="W6" s="88">
        <f>Statement!X185</f>
        <v>2224</v>
      </c>
      <c r="X6" s="88">
        <f>Statement!Y185</f>
        <v>2500</v>
      </c>
      <c r="Y6" s="88">
        <f>Statement!Z185</f>
        <v>2933</v>
      </c>
      <c r="Z6" s="89">
        <f>Statement!AA185</f>
        <v>3449</v>
      </c>
      <c r="AA6" s="64">
        <f>AA19*AA20</f>
        <v>3911.1660000000006</v>
      </c>
      <c r="AB6" s="64"/>
      <c r="AC6" s="64"/>
      <c r="AE6" s="64">
        <f>SUM(X6:AA6)</f>
        <v>12793.166000000001</v>
      </c>
    </row>
    <row r="7" spans="1:31" x14ac:dyDescent="0.2">
      <c r="B7" s="1" t="str">
        <f>Statement!B186</f>
        <v>Edge &amp; IoT</v>
      </c>
      <c r="C7" s="88">
        <f>Statement!M186</f>
        <v>0</v>
      </c>
      <c r="D7" s="88">
        <f>Statement!N186</f>
        <v>0</v>
      </c>
      <c r="E7" s="88">
        <f>Statement!O186</f>
        <v>0</v>
      </c>
      <c r="F7" s="88">
        <f>Statement!P186</f>
        <v>2300</v>
      </c>
      <c r="G7" s="89">
        <f>Statement!Q186</f>
        <v>2425</v>
      </c>
      <c r="H7" s="64">
        <f>G7*(1+H13)</f>
        <v>2910</v>
      </c>
      <c r="I7" s="64">
        <f>H7*(1+I13)</f>
        <v>3492</v>
      </c>
      <c r="J7" s="64">
        <f>I7*(1+J13)</f>
        <v>4015.7999999999997</v>
      </c>
      <c r="K7" s="64">
        <f>J7*(1+K13)</f>
        <v>4216.59</v>
      </c>
      <c r="L7" s="64">
        <f>K7*(1+L13)</f>
        <v>3794.931</v>
      </c>
      <c r="N7" s="90" t="s">
        <v>413</v>
      </c>
      <c r="O7" s="5"/>
      <c r="Q7" s="90" t="s">
        <v>413</v>
      </c>
      <c r="R7" s="1" t="str">
        <f t="shared" ref="R7" si="2">B7</f>
        <v>Edge &amp; IoT</v>
      </c>
      <c r="S7" s="88">
        <f>Statement!T186</f>
        <v>589</v>
      </c>
      <c r="T7" s="88">
        <f>Statement!U186</f>
        <v>545</v>
      </c>
      <c r="U7" s="88">
        <f>Statement!V186</f>
        <v>581</v>
      </c>
      <c r="V7" s="88">
        <f>Statement!W186</f>
        <v>515</v>
      </c>
      <c r="W7" s="88">
        <f>Statement!X186</f>
        <v>601</v>
      </c>
      <c r="X7" s="88">
        <f>Statement!Y186</f>
        <v>612</v>
      </c>
      <c r="Y7" s="88">
        <f>Statement!Z186</f>
        <v>697</v>
      </c>
      <c r="Z7" s="89">
        <f>Statement!AA186</f>
        <v>784</v>
      </c>
      <c r="AA7" s="64">
        <f>Z7*(1+AA13)</f>
        <v>940.8</v>
      </c>
      <c r="AB7" s="64"/>
      <c r="AC7" s="64"/>
      <c r="AE7" s="64">
        <f t="shared" ref="AE7" si="3">SUM(X7:AA7)</f>
        <v>3033.8</v>
      </c>
    </row>
    <row r="8" spans="1:31" x14ac:dyDescent="0.2">
      <c r="B8" s="16" t="s">
        <v>120</v>
      </c>
      <c r="C8" s="92">
        <f>Statement!M5</f>
        <v>11661</v>
      </c>
      <c r="D8" s="92">
        <f>Statement!N5</f>
        <v>7384</v>
      </c>
      <c r="E8" s="92">
        <f>Statement!O5</f>
        <v>6551</v>
      </c>
      <c r="F8" s="92">
        <f>Statement!P5</f>
        <v>9097</v>
      </c>
      <c r="G8" s="93">
        <f>Statement!Q5</f>
        <v>12195</v>
      </c>
      <c r="H8" s="94">
        <f>SUM(H6:H7)</f>
        <v>18533.829000000005</v>
      </c>
      <c r="I8" s="94">
        <f>SUM(I6:I7)</f>
        <v>23998.275562500003</v>
      </c>
      <c r="J8" s="94">
        <f>SUM(J6:J7)</f>
        <v>25444.857962812501</v>
      </c>
      <c r="K8" s="94">
        <f>SUM(K6:K7)</f>
        <v>24574.195064671876</v>
      </c>
      <c r="L8" s="94">
        <f>SUM(L6:L7)</f>
        <v>21200.683330294454</v>
      </c>
      <c r="O8" s="5"/>
      <c r="R8" s="16" t="s">
        <v>120</v>
      </c>
      <c r="S8" s="92">
        <f>Statement!T5</f>
        <v>2325</v>
      </c>
      <c r="T8" s="92">
        <f>Statement!U5</f>
        <v>2160</v>
      </c>
      <c r="U8" s="92">
        <f>Statement!V5</f>
        <v>2444</v>
      </c>
      <c r="V8" s="92">
        <f>Statement!W5</f>
        <v>2629</v>
      </c>
      <c r="W8" s="92">
        <f>Statement!X5</f>
        <v>2825</v>
      </c>
      <c r="X8" s="92">
        <f>Statement!Y5</f>
        <v>3112</v>
      </c>
      <c r="Y8" s="92">
        <f>Statement!Z5</f>
        <v>3629</v>
      </c>
      <c r="Z8" s="93">
        <f>Statement!AA5</f>
        <v>4233</v>
      </c>
      <c r="AA8" s="94">
        <f>SUM(AA6:AA7)</f>
        <v>4851.9660000000003</v>
      </c>
      <c r="AB8" s="94"/>
      <c r="AC8" s="94"/>
      <c r="AE8" s="94">
        <f>SUM(X8:AA8)</f>
        <v>15825.966</v>
      </c>
    </row>
    <row r="9" spans="1:31" x14ac:dyDescent="0.2">
      <c r="O9" s="5"/>
      <c r="Q9" s="91"/>
    </row>
    <row r="10" spans="1:31" x14ac:dyDescent="0.2">
      <c r="C10" s="260" t="s">
        <v>121</v>
      </c>
      <c r="D10" s="260"/>
      <c r="E10" s="260"/>
      <c r="F10" s="260"/>
      <c r="G10" s="260"/>
      <c r="H10" s="260"/>
      <c r="I10" s="260"/>
      <c r="J10" s="260"/>
      <c r="K10" s="260"/>
      <c r="L10" s="260"/>
      <c r="O10" s="5"/>
      <c r="Q10" s="91"/>
      <c r="S10" s="261" t="s">
        <v>121</v>
      </c>
      <c r="T10" s="262"/>
      <c r="U10" s="262"/>
      <c r="V10" s="262"/>
      <c r="W10" s="262"/>
      <c r="X10" s="262"/>
      <c r="Y10" s="262"/>
      <c r="Z10" s="262"/>
      <c r="AA10" s="262"/>
      <c r="AB10" s="262"/>
      <c r="AC10" s="262"/>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Q2 2025</v>
      </c>
      <c r="T11" s="12" t="str">
        <f t="shared" si="5"/>
        <v>Q3 2025</v>
      </c>
      <c r="U11" s="12" t="str">
        <f t="shared" si="5"/>
        <v>Q4 2025</v>
      </c>
      <c r="V11" s="12" t="str">
        <f t="shared" si="5"/>
        <v>Q1 2026</v>
      </c>
      <c r="W11" s="12" t="str">
        <f t="shared" si="5"/>
        <v>Q2 2026</v>
      </c>
      <c r="X11" s="12" t="str">
        <f t="shared" si="5"/>
        <v>Q3 2026</v>
      </c>
      <c r="Y11" s="12" t="str">
        <f t="shared" si="5"/>
        <v>Q4 2026</v>
      </c>
      <c r="Z11" s="12" t="str">
        <f t="shared" si="5"/>
        <v>Q1 2027</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0.59900000000000042</v>
      </c>
      <c r="I12" s="95">
        <f t="shared" si="6"/>
        <v>0.3125</v>
      </c>
      <c r="J12" s="95">
        <f t="shared" si="6"/>
        <v>4.4999999999999929E-2</v>
      </c>
      <c r="K12" s="95">
        <f t="shared" si="6"/>
        <v>-5.0000000000000044E-2</v>
      </c>
      <c r="L12" s="95">
        <f t="shared" si="6"/>
        <v>-0.14500000000000002</v>
      </c>
      <c r="O12" s="5"/>
      <c r="Q12" s="91"/>
      <c r="R12" s="1" t="str">
        <f>R6</f>
        <v>Datacenter</v>
      </c>
      <c r="S12" s="47"/>
      <c r="T12" s="95">
        <f t="shared" ref="T12:AA12" si="7">T6/S6-1</f>
        <v>-6.9700460829493105E-2</v>
      </c>
      <c r="U12" s="95">
        <f t="shared" si="7"/>
        <v>0.15356037151702795</v>
      </c>
      <c r="V12" s="95">
        <f t="shared" si="7"/>
        <v>0.13472893183038104</v>
      </c>
      <c r="W12" s="95">
        <f t="shared" si="7"/>
        <v>5.2034058656575288E-2</v>
      </c>
      <c r="X12" s="95">
        <f t="shared" si="7"/>
        <v>0.12410071942446033</v>
      </c>
      <c r="Y12" s="95">
        <f t="shared" si="7"/>
        <v>0.17320000000000002</v>
      </c>
      <c r="Z12" s="96">
        <f t="shared" si="7"/>
        <v>0.17592908285032394</v>
      </c>
      <c r="AA12" s="95">
        <f t="shared" si="7"/>
        <v>0.13400000000000012</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0.2</v>
      </c>
      <c r="I13" s="97">
        <v>0.2</v>
      </c>
      <c r="J13" s="97">
        <v>0.15</v>
      </c>
      <c r="K13" s="97">
        <v>0.05</v>
      </c>
      <c r="L13" s="97">
        <v>-0.1</v>
      </c>
      <c r="O13" s="5"/>
      <c r="Q13" s="91"/>
      <c r="R13" s="1" t="str">
        <f>R7</f>
        <v>Edge &amp; IoT</v>
      </c>
      <c r="S13" s="47"/>
      <c r="T13" s="95">
        <f t="shared" ref="T13:Z14" si="9">T7/S7-1</f>
        <v>-7.4702886247877798E-2</v>
      </c>
      <c r="U13" s="95">
        <f t="shared" si="9"/>
        <v>6.6055045871559637E-2</v>
      </c>
      <c r="V13" s="95">
        <f t="shared" si="9"/>
        <v>-0.11359724612736666</v>
      </c>
      <c r="W13" s="95">
        <f t="shared" si="9"/>
        <v>0.16699029126213594</v>
      </c>
      <c r="X13" s="95">
        <f t="shared" si="9"/>
        <v>1.830282861896837E-2</v>
      </c>
      <c r="Y13" s="95">
        <f t="shared" si="9"/>
        <v>0.13888888888888884</v>
      </c>
      <c r="Z13" s="96">
        <f t="shared" si="9"/>
        <v>0.12482065997130554</v>
      </c>
      <c r="AA13" s="97">
        <v>0.2</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0.51978917589175944</v>
      </c>
      <c r="I14" s="103">
        <f>I8/H8-1</f>
        <v>0.29483635370219474</v>
      </c>
      <c r="J14" s="103">
        <f>J8/I8-1</f>
        <v>6.0278597791123989E-2</v>
      </c>
      <c r="K14" s="103">
        <f>K8/J8-1</f>
        <v>-3.4217636404694884E-2</v>
      </c>
      <c r="L14" s="103">
        <f>L8/K8-1</f>
        <v>-0.13727862603431584</v>
      </c>
      <c r="O14" s="5"/>
      <c r="Q14" s="91"/>
      <c r="R14" s="16" t="str">
        <f>R8</f>
        <v>Total</v>
      </c>
      <c r="S14" s="47"/>
      <c r="T14" s="103">
        <f t="shared" si="9"/>
        <v>-7.096774193548383E-2</v>
      </c>
      <c r="U14" s="103">
        <f t="shared" si="9"/>
        <v>0.13148148148148153</v>
      </c>
      <c r="V14" s="103">
        <f t="shared" si="9"/>
        <v>7.5695581014729951E-2</v>
      </c>
      <c r="W14" s="103">
        <f t="shared" si="9"/>
        <v>7.4553062000760839E-2</v>
      </c>
      <c r="X14" s="103">
        <f t="shared" si="9"/>
        <v>0.10159292035398226</v>
      </c>
      <c r="Y14" s="103">
        <f t="shared" si="9"/>
        <v>0.16613110539845755</v>
      </c>
      <c r="Z14" s="104">
        <f t="shared" si="9"/>
        <v>0.1664370349958666</v>
      </c>
      <c r="AA14" s="103">
        <f>AA8/Z8-1</f>
        <v>0.14622395464209781</v>
      </c>
      <c r="AB14" s="103"/>
      <c r="AC14" s="103"/>
    </row>
    <row r="15" spans="1:31" x14ac:dyDescent="0.2">
      <c r="O15" s="5"/>
      <c r="Q15" s="91"/>
    </row>
    <row r="16" spans="1:31" x14ac:dyDescent="0.2">
      <c r="O16" s="5"/>
      <c r="Q16" s="91"/>
    </row>
    <row r="17" spans="1:31" ht="16" customHeight="1" x14ac:dyDescent="0.2">
      <c r="A17" s="86"/>
      <c r="B17" s="60"/>
      <c r="C17" s="260" t="s">
        <v>393</v>
      </c>
      <c r="D17" s="260"/>
      <c r="E17" s="260"/>
      <c r="F17" s="260"/>
      <c r="G17" s="260"/>
      <c r="H17" s="260"/>
      <c r="I17" s="260"/>
      <c r="J17" s="260"/>
      <c r="K17" s="260"/>
      <c r="L17" s="260"/>
      <c r="O17" s="5"/>
      <c r="S17" s="261" t="s">
        <v>115</v>
      </c>
      <c r="T17" s="262"/>
      <c r="U17" s="262"/>
      <c r="V17" s="262"/>
      <c r="W17" s="262"/>
      <c r="X17" s="262"/>
      <c r="Y17" s="262"/>
      <c r="Z17" s="262"/>
      <c r="AA17" s="262"/>
      <c r="AB17" s="262"/>
      <c r="AC17" s="262"/>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Q2 2025</v>
      </c>
      <c r="T18" s="12" t="str">
        <f t="shared" si="11"/>
        <v>Q3 2025</v>
      </c>
      <c r="U18" s="12" t="str">
        <f t="shared" si="11"/>
        <v>Q4 2025</v>
      </c>
      <c r="V18" s="12" t="str">
        <f t="shared" si="11"/>
        <v>Q1 2026</v>
      </c>
      <c r="W18" s="12" t="str">
        <f t="shared" si="11"/>
        <v>Q2 2026</v>
      </c>
      <c r="X18" s="12" t="str">
        <f t="shared" si="11"/>
        <v>Q3 2026</v>
      </c>
      <c r="Y18" s="12" t="str">
        <f t="shared" si="11"/>
        <v>Q4 2026</v>
      </c>
      <c r="Z18" s="12" t="str">
        <f t="shared" si="11"/>
        <v>Q1 2027</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854.85</v>
      </c>
      <c r="I19" s="236">
        <f t="shared" ref="I19:L19" si="12">H19*(1+I21)</f>
        <v>1068.5625</v>
      </c>
      <c r="J19" s="236">
        <f t="shared" si="12"/>
        <v>1175.41875</v>
      </c>
      <c r="K19" s="236">
        <f t="shared" si="12"/>
        <v>1175.41875</v>
      </c>
      <c r="L19" s="236">
        <f t="shared" si="12"/>
        <v>1057.8768750000002</v>
      </c>
      <c r="N19" s="90" t="s">
        <v>394</v>
      </c>
      <c r="O19" s="5"/>
      <c r="Q19" s="90" t="s">
        <v>394</v>
      </c>
      <c r="R19" s="1" t="str">
        <f>B19</f>
        <v>Nearline exabytes</v>
      </c>
      <c r="S19" s="88">
        <f>Statement!T206</f>
        <v>126</v>
      </c>
      <c r="T19" s="88">
        <f>Statement!U206</f>
        <v>119.6</v>
      </c>
      <c r="U19" s="88">
        <f>Statement!V206</f>
        <v>137</v>
      </c>
      <c r="V19" s="88">
        <f>Statement!W206</f>
        <v>159</v>
      </c>
      <c r="W19" s="88">
        <f>Statement!X206</f>
        <v>165</v>
      </c>
      <c r="X19" s="88">
        <f>Statement!Y206</f>
        <v>175.4</v>
      </c>
      <c r="Y19" s="88">
        <f>Statement!Z206</f>
        <v>195</v>
      </c>
      <c r="Z19" s="89">
        <f>Statement!AA206</f>
        <v>198</v>
      </c>
      <c r="AA19" s="64">
        <f>Z19*(1+AA21)</f>
        <v>213.84</v>
      </c>
      <c r="AB19" s="64"/>
      <c r="AC19" s="64"/>
      <c r="AE19" s="64">
        <f>SUM(X19:AA19)</f>
        <v>782.24</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18.276690647482017</v>
      </c>
      <c r="I20" s="237">
        <f t="shared" ref="I20:L20" si="13">H20*(1+I22)</f>
        <v>19.190525179856117</v>
      </c>
      <c r="J20" s="237">
        <f t="shared" si="13"/>
        <v>18.230998920863311</v>
      </c>
      <c r="K20" s="237">
        <f t="shared" si="13"/>
        <v>17.319448974820144</v>
      </c>
      <c r="L20" s="237">
        <f t="shared" si="13"/>
        <v>16.453476526079136</v>
      </c>
      <c r="N20" s="90" t="s">
        <v>395</v>
      </c>
      <c r="O20" s="5"/>
      <c r="Q20" s="90" t="s">
        <v>395</v>
      </c>
      <c r="R20" s="1" t="str">
        <f t="shared" ref="R20" si="14">B20</f>
        <v>Price per Exabyte</v>
      </c>
      <c r="S20" s="233">
        <f>Statement!T209</f>
        <v>13.777777777777779</v>
      </c>
      <c r="T20" s="233">
        <f>Statement!U209</f>
        <v>13.503344481605351</v>
      </c>
      <c r="U20" s="233">
        <f>Statement!V209</f>
        <v>13.598540145985401</v>
      </c>
      <c r="V20" s="233">
        <f>Statement!W209</f>
        <v>13.29559748427673</v>
      </c>
      <c r="W20" s="233">
        <f>Statement!X209</f>
        <v>13.478787878787879</v>
      </c>
      <c r="X20" s="233">
        <f>Statement!Y209</f>
        <v>14.253135689851767</v>
      </c>
      <c r="Y20" s="233">
        <f>Statement!Z209</f>
        <v>15.041025641025641</v>
      </c>
      <c r="Z20" s="234">
        <f>Statement!AA209</f>
        <v>17.41919191919192</v>
      </c>
      <c r="AA20" s="235">
        <f>Z20*(1+AA22)</f>
        <v>18.290151515151518</v>
      </c>
      <c r="AB20" s="64"/>
      <c r="AC20" s="64"/>
      <c r="AE20" s="235">
        <f>AE6/AE19</f>
        <v>16.35452802209041</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0.23</v>
      </c>
      <c r="I21" s="97">
        <v>0.25</v>
      </c>
      <c r="J21" s="97">
        <v>0.1</v>
      </c>
      <c r="K21" s="97">
        <v>0</v>
      </c>
      <c r="L21" s="97">
        <v>-0.1</v>
      </c>
      <c r="O21" s="5"/>
      <c r="R21" s="122" t="str">
        <f>R19&amp;" growth"</f>
        <v>Nearline exabytes growth</v>
      </c>
      <c r="S21" s="47"/>
      <c r="T21" s="95">
        <f>T19/S19-1</f>
        <v>-5.0793650793650835E-2</v>
      </c>
      <c r="U21" s="95">
        <f t="shared" ref="U21:Y21" si="16">U19/T19-1</f>
        <v>0.14548494983277593</v>
      </c>
      <c r="V21" s="95">
        <f t="shared" si="16"/>
        <v>0.16058394160583944</v>
      </c>
      <c r="W21" s="95">
        <f t="shared" si="16"/>
        <v>3.7735849056603765E-2</v>
      </c>
      <c r="X21" s="95">
        <f t="shared" si="16"/>
        <v>6.3030303030302992E-2</v>
      </c>
      <c r="Y21" s="95">
        <f t="shared" si="16"/>
        <v>0.11174458380843788</v>
      </c>
      <c r="Z21" s="96">
        <f t="shared" ref="Z21" si="17">Z19/Y19-1</f>
        <v>1.538461538461533E-2</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0.3</v>
      </c>
      <c r="I22" s="97">
        <v>0.05</v>
      </c>
      <c r="J22" s="97">
        <v>-0.05</v>
      </c>
      <c r="K22" s="97">
        <v>-0.05</v>
      </c>
      <c r="L22" s="97">
        <v>-0.05</v>
      </c>
      <c r="O22" s="5"/>
      <c r="R22" s="122" t="str">
        <f>R20&amp;" growth"</f>
        <v>Price per Exabyte growth</v>
      </c>
      <c r="S22" s="47"/>
      <c r="T22" s="95">
        <f t="shared" ref="T22:Y22" si="19">T20/S20-1</f>
        <v>-1.9918545689934231E-2</v>
      </c>
      <c r="U22" s="95">
        <f t="shared" si="19"/>
        <v>7.0497841856680399E-3</v>
      </c>
      <c r="V22" s="95">
        <f t="shared" si="19"/>
        <v>-2.2277587039231328E-2</v>
      </c>
      <c r="W22" s="95">
        <f t="shared" si="19"/>
        <v>1.3778274705426918E-2</v>
      </c>
      <c r="X22" s="95">
        <f t="shared" si="19"/>
        <v>5.7449365479110392E-2</v>
      </c>
      <c r="Y22" s="95">
        <f t="shared" si="19"/>
        <v>5.5278358974359065E-2</v>
      </c>
      <c r="Z22" s="96">
        <f t="shared" ref="Z22" si="20">Z20/Y20-1</f>
        <v>0.15811197553441003</v>
      </c>
      <c r="AA22" s="97">
        <v>0.05</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R11"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4" t="s">
        <v>112</v>
      </c>
      <c r="D2" s="254"/>
      <c r="E2" s="254"/>
      <c r="F2" s="254"/>
      <c r="G2" s="263"/>
      <c r="H2" s="264" t="s">
        <v>113</v>
      </c>
      <c r="I2" s="254"/>
      <c r="J2" s="254"/>
      <c r="K2" s="254"/>
      <c r="L2" s="254"/>
      <c r="P2" s="254" t="s">
        <v>112</v>
      </c>
      <c r="Q2" s="254"/>
      <c r="R2" s="254"/>
      <c r="S2" s="254"/>
      <c r="T2" s="254"/>
      <c r="U2" s="254"/>
      <c r="V2" s="254"/>
      <c r="W2" s="254"/>
      <c r="X2" s="254" t="s">
        <v>113</v>
      </c>
      <c r="Y2" s="254"/>
      <c r="Z2" s="254"/>
      <c r="AB2" s="85" t="s">
        <v>114</v>
      </c>
    </row>
    <row r="3" spans="1:30" ht="10" customHeight="1" x14ac:dyDescent="0.2"/>
    <row r="4" spans="1:30" ht="16" customHeight="1" x14ac:dyDescent="0.2">
      <c r="A4" s="86"/>
      <c r="B4" s="60"/>
      <c r="C4" s="260" t="s">
        <v>115</v>
      </c>
      <c r="D4" s="260"/>
      <c r="E4" s="260"/>
      <c r="F4" s="260"/>
      <c r="G4" s="260"/>
      <c r="H4" s="260"/>
      <c r="I4" s="260"/>
      <c r="J4" s="260"/>
      <c r="K4" s="260"/>
      <c r="L4" s="260"/>
      <c r="P4" s="262" t="s">
        <v>115</v>
      </c>
      <c r="Q4" s="262"/>
      <c r="R4" s="262"/>
      <c r="S4" s="262"/>
      <c r="T4" s="262"/>
      <c r="U4" s="262"/>
      <c r="V4" s="262"/>
      <c r="W4" s="262"/>
      <c r="X4" s="262"/>
      <c r="Y4" s="262"/>
      <c r="Z4" s="262"/>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18533.829000000005</v>
      </c>
      <c r="I6" s="92">
        <f>Revenue!I8</f>
        <v>23998.275562500003</v>
      </c>
      <c r="J6" s="92">
        <f>Revenue!J8</f>
        <v>25444.857962812501</v>
      </c>
      <c r="K6" s="92">
        <f>Revenue!K8</f>
        <v>24574.195064671876</v>
      </c>
      <c r="L6" s="92">
        <f>Revenue!L8</f>
        <v>21200.683330294454</v>
      </c>
      <c r="N6" s="91"/>
      <c r="O6" s="16" t="s">
        <v>19</v>
      </c>
      <c r="P6" s="92">
        <f>Revenue!S8</f>
        <v>2325</v>
      </c>
      <c r="Q6" s="92">
        <f>Revenue!T8</f>
        <v>2160</v>
      </c>
      <c r="R6" s="92">
        <f>Revenue!U8</f>
        <v>2444</v>
      </c>
      <c r="S6" s="92">
        <f>Revenue!V8</f>
        <v>2629</v>
      </c>
      <c r="T6" s="92">
        <f>Revenue!W8</f>
        <v>2825</v>
      </c>
      <c r="U6" s="92">
        <f>Revenue!X8</f>
        <v>3112</v>
      </c>
      <c r="V6" s="92">
        <f>Revenue!Y8</f>
        <v>3629</v>
      </c>
      <c r="W6" s="93">
        <f>Revenue!Z8</f>
        <v>4233</v>
      </c>
      <c r="X6" s="92">
        <f>Revenue!AA8</f>
        <v>4851.9660000000003</v>
      </c>
      <c r="Y6" s="94"/>
      <c r="Z6" s="94"/>
      <c r="AB6" s="92">
        <f>Revenue!AE8</f>
        <v>15825.966</v>
      </c>
    </row>
    <row r="7" spans="1:30" x14ac:dyDescent="0.2">
      <c r="N7" s="91"/>
    </row>
    <row r="8" spans="1:30" x14ac:dyDescent="0.2">
      <c r="N8" s="91"/>
    </row>
    <row r="9" spans="1:30" x14ac:dyDescent="0.2">
      <c r="C9" s="260" t="s">
        <v>124</v>
      </c>
      <c r="D9" s="260"/>
      <c r="E9" s="260"/>
      <c r="F9" s="260"/>
      <c r="G9" s="260"/>
      <c r="H9" s="260"/>
      <c r="I9" s="260"/>
      <c r="J9" s="260"/>
      <c r="K9" s="260"/>
      <c r="L9" s="260"/>
      <c r="N9" s="91"/>
      <c r="P9" s="262" t="s">
        <v>125</v>
      </c>
      <c r="Q9" s="262"/>
      <c r="R9" s="262"/>
      <c r="S9" s="262"/>
      <c r="T9" s="262"/>
      <c r="U9" s="262"/>
      <c r="V9" s="262"/>
      <c r="W9" s="262"/>
      <c r="X9" s="262"/>
      <c r="Y9" s="262"/>
      <c r="Z9" s="262"/>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9822.9293700000035</v>
      </c>
      <c r="I11" s="108">
        <f t="shared" ref="I11:L11" si="3">I6*I19</f>
        <v>11519.172270000001</v>
      </c>
      <c r="J11" s="108">
        <f t="shared" si="3"/>
        <v>11959.083242521874</v>
      </c>
      <c r="K11" s="108">
        <f t="shared" si="3"/>
        <v>12041.355581689219</v>
      </c>
      <c r="L11" s="108">
        <f t="shared" si="3"/>
        <v>11660.375831661951</v>
      </c>
      <c r="N11" s="91"/>
      <c r="O11" s="16" t="str">
        <f t="shared" ref="O11:O14" si="4">B11</f>
        <v>COGS</v>
      </c>
      <c r="P11" s="106">
        <f>Statement!T6</f>
        <v>1513</v>
      </c>
      <c r="Q11" s="106">
        <f>Statement!U6</f>
        <v>1400</v>
      </c>
      <c r="R11" s="106">
        <f>Statement!V6</f>
        <v>1530</v>
      </c>
      <c r="S11" s="106">
        <f>Statement!W6</f>
        <v>1592</v>
      </c>
      <c r="T11" s="106">
        <f>Statement!X6</f>
        <v>1649</v>
      </c>
      <c r="U11" s="106">
        <f>Statement!Y6</f>
        <v>1665</v>
      </c>
      <c r="V11" s="106">
        <f>Statement!Z6</f>
        <v>1731</v>
      </c>
      <c r="W11" s="107">
        <f>Statement!AA6</f>
        <v>1806</v>
      </c>
      <c r="X11" s="108">
        <f>X6*X19</f>
        <v>1989.3060600000001</v>
      </c>
      <c r="Y11" s="108"/>
      <c r="Z11" s="108"/>
      <c r="AB11" s="108">
        <f>SUM(U11:X11)</f>
        <v>7191.3060599999999</v>
      </c>
    </row>
    <row r="12" spans="1:30" x14ac:dyDescent="0.2">
      <c r="B12" s="1" t="str">
        <f>Statement!B8</f>
        <v>R&amp;D</v>
      </c>
      <c r="C12" s="98">
        <f>Statement!M8</f>
        <v>941</v>
      </c>
      <c r="D12" s="98">
        <f>Statement!N8</f>
        <v>797</v>
      </c>
      <c r="E12" s="98">
        <f>Statement!O8</f>
        <v>654</v>
      </c>
      <c r="F12" s="98">
        <f>Statement!P8</f>
        <v>724</v>
      </c>
      <c r="G12" s="99">
        <f>Statement!Q8</f>
        <v>755</v>
      </c>
      <c r="H12" s="24">
        <f>H6*H20</f>
        <v>1112.0297400000002</v>
      </c>
      <c r="I12" s="24">
        <f>I6*I20</f>
        <v>1559.8879115625002</v>
      </c>
      <c r="J12" s="24">
        <f>J6*J20</f>
        <v>1781.1400573968751</v>
      </c>
      <c r="K12" s="24">
        <f>K6*K20</f>
        <v>1965.9356051737502</v>
      </c>
      <c r="L12" s="24">
        <f>L6*L20</f>
        <v>2120.0683330294455</v>
      </c>
      <c r="N12" s="91"/>
      <c r="O12" s="39" t="str">
        <f t="shared" si="4"/>
        <v>R&amp;D</v>
      </c>
      <c r="P12" s="98">
        <f>Statement!T8</f>
        <v>184</v>
      </c>
      <c r="Q12" s="98">
        <f>Statement!U8</f>
        <v>180</v>
      </c>
      <c r="R12" s="98">
        <f>Statement!V8</f>
        <v>179</v>
      </c>
      <c r="S12" s="98">
        <f>Statement!W8</f>
        <v>186</v>
      </c>
      <c r="T12" s="98">
        <f>Statement!X8</f>
        <v>187</v>
      </c>
      <c r="U12" s="98">
        <f>Statement!Y8</f>
        <v>194</v>
      </c>
      <c r="V12" s="98">
        <f>Statement!Z8</f>
        <v>188</v>
      </c>
      <c r="W12" s="99">
        <f>Statement!AA8</f>
        <v>200</v>
      </c>
      <c r="X12" s="25">
        <f>X20*X$6</f>
        <v>203.78257200000002</v>
      </c>
      <c r="Y12" s="24"/>
      <c r="Z12" s="24"/>
      <c r="AB12" s="24">
        <f t="shared" ref="AB12:AB14" si="5">SUM(U12:X12)</f>
        <v>785.78257200000007</v>
      </c>
    </row>
    <row r="13" spans="1:30" x14ac:dyDescent="0.2">
      <c r="B13" s="1" t="str">
        <f>Statement!B9</f>
        <v>SG&amp;A</v>
      </c>
      <c r="C13" s="98">
        <f>Statement!M9</f>
        <v>559</v>
      </c>
      <c r="D13" s="98">
        <f>Statement!N9</f>
        <v>491</v>
      </c>
      <c r="E13" s="98">
        <f>Statement!O9</f>
        <v>460</v>
      </c>
      <c r="F13" s="98">
        <f>Statement!P9</f>
        <v>561</v>
      </c>
      <c r="G13" s="99">
        <f>Statement!Q9</f>
        <v>577</v>
      </c>
      <c r="H13" s="24">
        <f>H6*H21</f>
        <v>741.35316000000023</v>
      </c>
      <c r="I13" s="24">
        <f>I6*I21</f>
        <v>1079.9224003125</v>
      </c>
      <c r="J13" s="24">
        <f>J6*J21</f>
        <v>1272.2428981406251</v>
      </c>
      <c r="K13" s="24">
        <f>K6*K21</f>
        <v>1720.1936545270314</v>
      </c>
      <c r="L13" s="24">
        <f>L6*L21</f>
        <v>2332.0751663323899</v>
      </c>
      <c r="M13" s="90"/>
      <c r="N13" s="90"/>
      <c r="O13" s="39" t="str">
        <f t="shared" si="4"/>
        <v>SG&amp;A</v>
      </c>
      <c r="P13" s="98">
        <f>Statement!T9</f>
        <v>139</v>
      </c>
      <c r="Q13" s="98">
        <f>Statement!U9</f>
        <v>139</v>
      </c>
      <c r="R13" s="98">
        <f>Statement!V9</f>
        <v>154</v>
      </c>
      <c r="S13" s="98">
        <f>Statement!W9</f>
        <v>144</v>
      </c>
      <c r="T13" s="98">
        <f>Statement!X9</f>
        <v>143</v>
      </c>
      <c r="U13" s="98">
        <f>Statement!Y9</f>
        <v>143</v>
      </c>
      <c r="V13" s="98">
        <f>Statement!Z9</f>
        <v>147</v>
      </c>
      <c r="W13" s="99">
        <f>Statement!AA9</f>
        <v>159</v>
      </c>
      <c r="X13" s="25">
        <f>X21*X$6</f>
        <v>169.81881000000004</v>
      </c>
      <c r="Y13" s="24"/>
      <c r="Z13" s="24"/>
      <c r="AB13" s="24">
        <f t="shared" si="5"/>
        <v>618.81880999999998</v>
      </c>
    </row>
    <row r="14" spans="1:30" x14ac:dyDescent="0.2">
      <c r="B14" s="16" t="s">
        <v>24</v>
      </c>
      <c r="C14" s="106">
        <f>Statement!M10</f>
        <v>1514</v>
      </c>
      <c r="D14" s="106">
        <f>Statement!N10</f>
        <v>1693</v>
      </c>
      <c r="E14" s="106">
        <f>Statement!O10</f>
        <v>1084</v>
      </c>
      <c r="F14" s="106">
        <f>Statement!P10</f>
        <v>1310</v>
      </c>
      <c r="G14" s="107">
        <f>Statement!Q10</f>
        <v>1464</v>
      </c>
      <c r="H14" s="108">
        <f>SUM(H12:H13)</f>
        <v>1853.3829000000005</v>
      </c>
      <c r="I14" s="108">
        <f>SUM(I12:I13)</f>
        <v>2639.8103118750005</v>
      </c>
      <c r="J14" s="108">
        <f>SUM(J12:J13)</f>
        <v>3053.3829555375005</v>
      </c>
      <c r="K14" s="108">
        <f>SUM(K12:K13)</f>
        <v>3686.1292597007814</v>
      </c>
      <c r="L14" s="108">
        <f>SUM(L12:L13)</f>
        <v>4452.143499361835</v>
      </c>
      <c r="M14" s="90"/>
      <c r="N14" s="90"/>
      <c r="O14" s="16" t="str">
        <f t="shared" si="4"/>
        <v>OpEx</v>
      </c>
      <c r="P14" s="106">
        <f>Statement!T10</f>
        <v>324</v>
      </c>
      <c r="Q14" s="106">
        <f>Statement!U10</f>
        <v>329</v>
      </c>
      <c r="R14" s="106">
        <f>Statement!V10</f>
        <v>346</v>
      </c>
      <c r="S14" s="106">
        <f>Statement!W10</f>
        <v>343</v>
      </c>
      <c r="T14" s="106">
        <f>Statement!X10</f>
        <v>333</v>
      </c>
      <c r="U14" s="106">
        <f>Statement!Y10</f>
        <v>449</v>
      </c>
      <c r="V14" s="106">
        <f>Statement!Z10</f>
        <v>339</v>
      </c>
      <c r="W14" s="107">
        <f>Statement!AA10</f>
        <v>363</v>
      </c>
      <c r="X14" s="108">
        <f>SUM(X12:X13)</f>
        <v>373.60138200000006</v>
      </c>
      <c r="Y14" s="108"/>
      <c r="Z14" s="108"/>
      <c r="AB14" s="108">
        <f t="shared" si="5"/>
        <v>1524.6013820000001</v>
      </c>
    </row>
    <row r="17" spans="2:26" x14ac:dyDescent="0.2">
      <c r="C17" s="260" t="s">
        <v>127</v>
      </c>
      <c r="D17" s="260"/>
      <c r="E17" s="260"/>
      <c r="F17" s="260"/>
      <c r="G17" s="260"/>
      <c r="H17" s="260"/>
      <c r="I17" s="260"/>
      <c r="J17" s="260"/>
      <c r="K17" s="260"/>
      <c r="L17" s="260"/>
      <c r="P17" s="262" t="s">
        <v>127</v>
      </c>
      <c r="Q17" s="262"/>
      <c r="R17" s="262"/>
      <c r="S17" s="262"/>
      <c r="T17" s="262"/>
      <c r="U17" s="262"/>
      <c r="V17" s="262"/>
      <c r="W17" s="262"/>
      <c r="X17" s="262"/>
      <c r="Y17" s="262"/>
      <c r="Z17" s="262"/>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0.53</v>
      </c>
      <c r="I19" s="97">
        <v>0.48</v>
      </c>
      <c r="J19" s="97">
        <v>0.47</v>
      </c>
      <c r="K19" s="97">
        <v>0.49</v>
      </c>
      <c r="L19" s="97">
        <v>0.55000000000000004</v>
      </c>
      <c r="O19" s="16" t="str">
        <f>O11</f>
        <v>COGS</v>
      </c>
      <c r="P19" s="103">
        <f t="shared" ref="P19:W21" si="9">P11/P$6</f>
        <v>0.65075268817204301</v>
      </c>
      <c r="Q19" s="103">
        <f t="shared" si="9"/>
        <v>0.64814814814814814</v>
      </c>
      <c r="R19" s="103">
        <f t="shared" si="9"/>
        <v>0.6260229132569558</v>
      </c>
      <c r="S19" s="103">
        <f t="shared" si="9"/>
        <v>0.60555344237352604</v>
      </c>
      <c r="T19" s="103">
        <f t="shared" si="9"/>
        <v>0.583716814159292</v>
      </c>
      <c r="U19" s="103">
        <f t="shared" si="9"/>
        <v>0.53502570694087404</v>
      </c>
      <c r="V19" s="103">
        <f t="shared" si="9"/>
        <v>0.47699090658583632</v>
      </c>
      <c r="W19" s="104">
        <f t="shared" si="9"/>
        <v>0.42664776754075123</v>
      </c>
      <c r="X19" s="97">
        <v>0.41</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0.06</v>
      </c>
      <c r="I20" s="97">
        <v>6.5000000000000002E-2</v>
      </c>
      <c r="J20" s="97">
        <v>7.0000000000000007E-2</v>
      </c>
      <c r="K20" s="97">
        <v>0.08</v>
      </c>
      <c r="L20" s="97">
        <v>0.1</v>
      </c>
      <c r="O20" s="1" t="str">
        <f>O12</f>
        <v>R&amp;D</v>
      </c>
      <c r="P20" s="95">
        <f t="shared" si="9"/>
        <v>7.9139784946236566E-2</v>
      </c>
      <c r="Q20" s="95">
        <f t="shared" si="9"/>
        <v>8.3333333333333329E-2</v>
      </c>
      <c r="R20" s="95">
        <f t="shared" si="9"/>
        <v>7.3240589198036013E-2</v>
      </c>
      <c r="S20" s="95">
        <f t="shared" si="9"/>
        <v>7.0749334347660703E-2</v>
      </c>
      <c r="T20" s="95">
        <f t="shared" si="9"/>
        <v>6.619469026548673E-2</v>
      </c>
      <c r="U20" s="95">
        <f t="shared" si="9"/>
        <v>6.2339331619537273E-2</v>
      </c>
      <c r="V20" s="95">
        <f t="shared" si="9"/>
        <v>5.1804904932488287E-2</v>
      </c>
      <c r="W20" s="96">
        <f t="shared" si="9"/>
        <v>4.7247814788566031E-2</v>
      </c>
      <c r="X20" s="97">
        <v>4.2000000000000003E-2</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0.04</v>
      </c>
      <c r="I21" s="97">
        <v>4.4999999999999998E-2</v>
      </c>
      <c r="J21" s="97">
        <v>0.05</v>
      </c>
      <c r="K21" s="97">
        <v>7.0000000000000007E-2</v>
      </c>
      <c r="L21" s="97">
        <v>0.11</v>
      </c>
      <c r="O21" s="1" t="str">
        <f>O13</f>
        <v>SG&amp;A</v>
      </c>
      <c r="P21" s="95">
        <f t="shared" si="9"/>
        <v>5.9784946236559139E-2</v>
      </c>
      <c r="Q21" s="95">
        <f t="shared" si="9"/>
        <v>6.4351851851851855E-2</v>
      </c>
      <c r="R21" s="95">
        <f t="shared" si="9"/>
        <v>6.3011456628477902E-2</v>
      </c>
      <c r="S21" s="95">
        <f t="shared" si="9"/>
        <v>5.4773678204640547E-2</v>
      </c>
      <c r="T21" s="95">
        <f t="shared" si="9"/>
        <v>5.0619469026548673E-2</v>
      </c>
      <c r="U21" s="95">
        <f t="shared" si="9"/>
        <v>4.5951156812339335E-2</v>
      </c>
      <c r="V21" s="95">
        <f t="shared" si="9"/>
        <v>4.0507026729126483E-2</v>
      </c>
      <c r="W21" s="96">
        <f t="shared" si="9"/>
        <v>3.7562012756909992E-2</v>
      </c>
      <c r="X21" s="97">
        <v>3.5000000000000003E-2</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v>
      </c>
      <c r="I22" s="103">
        <f t="shared" si="11"/>
        <v>0.11000000000000001</v>
      </c>
      <c r="J22" s="103">
        <f t="shared" si="11"/>
        <v>0.12000000000000001</v>
      </c>
      <c r="K22" s="103">
        <f t="shared" si="11"/>
        <v>0.15</v>
      </c>
      <c r="L22" s="103">
        <f t="shared" si="11"/>
        <v>0.21</v>
      </c>
      <c r="O22" s="16" t="str">
        <f t="shared" ref="O22" si="12">O14</f>
        <v>OpEx</v>
      </c>
      <c r="P22" s="103">
        <f t="shared" ref="P22:V22" si="13">P14/P$6</f>
        <v>0.13935483870967741</v>
      </c>
      <c r="Q22" s="103">
        <f t="shared" si="13"/>
        <v>0.15231481481481482</v>
      </c>
      <c r="R22" s="103">
        <f t="shared" si="13"/>
        <v>0.14157119476268412</v>
      </c>
      <c r="S22" s="103">
        <f t="shared" si="13"/>
        <v>0.1304678585013313</v>
      </c>
      <c r="T22" s="103">
        <f t="shared" si="13"/>
        <v>0.11787610619469027</v>
      </c>
      <c r="U22" s="103">
        <f t="shared" si="13"/>
        <v>0.14428020565552699</v>
      </c>
      <c r="V22" s="103">
        <f t="shared" si="13"/>
        <v>9.3414163681454943E-2</v>
      </c>
      <c r="W22" s="104">
        <f t="shared" ref="W22:X22" si="14">W14/W$6</f>
        <v>8.5754783841247337E-2</v>
      </c>
      <c r="X22" s="103">
        <f t="shared" si="14"/>
        <v>7.7000000000000013E-2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F39" zoomScale="206"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115</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18533.829000000005</v>
      </c>
      <c r="I7" s="92">
        <f>Revenue!I8</f>
        <v>23998.275562500003</v>
      </c>
      <c r="J7" s="92">
        <f>Revenue!J8</f>
        <v>25444.857962812501</v>
      </c>
      <c r="K7" s="92">
        <f>Revenue!K8</f>
        <v>24574.195064671876</v>
      </c>
      <c r="L7" s="92">
        <f>Revenue!L8</f>
        <v>21200.683330294454</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9822.9293700000035</v>
      </c>
      <c r="I8" s="112">
        <f>'COGS &amp; OpEx'!I11</f>
        <v>11519.172270000001</v>
      </c>
      <c r="J8" s="112">
        <f>'COGS &amp; OpEx'!J11</f>
        <v>11959.083242521874</v>
      </c>
      <c r="K8" s="112">
        <f>'COGS &amp; OpEx'!K11</f>
        <v>12041.355581689219</v>
      </c>
      <c r="L8" s="112">
        <f>'COGS &amp; OpEx'!L11</f>
        <v>11660.375831661951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60" t="s">
        <v>131</v>
      </c>
      <c r="D11" s="260"/>
      <c r="E11" s="260"/>
      <c r="F11" s="260"/>
      <c r="G11" s="260"/>
      <c r="H11" s="260"/>
      <c r="I11" s="260"/>
      <c r="J11" s="260"/>
      <c r="K11" s="260"/>
      <c r="L11" s="260"/>
      <c r="N11" s="91"/>
      <c r="P11" s="265"/>
      <c r="Q11" s="265"/>
      <c r="R11" s="265"/>
      <c r="S11" s="265"/>
      <c r="T11" s="265"/>
      <c r="U11" s="265"/>
      <c r="V11" s="265"/>
      <c r="W11" s="265"/>
      <c r="X11" s="265"/>
      <c r="Y11" s="265"/>
      <c r="Z11" s="265"/>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2132.6597753424662</v>
      </c>
      <c r="I13" s="25">
        <f>I20*I7/365</f>
        <v>2761.4454071917812</v>
      </c>
      <c r="J13" s="25">
        <f>J20*J7/365</f>
        <v>2927.9014642140414</v>
      </c>
      <c r="K13" s="25">
        <f>K20*K7/365</f>
        <v>2827.7155964827912</v>
      </c>
      <c r="L13" s="25">
        <f>L20*L7/365</f>
        <v>2439.5306845818277</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2287.5314971232888</v>
      </c>
      <c r="I14" s="126">
        <f t="shared" ref="I14:L14" si="2">I21*I8/365</f>
        <v>2682.5469669863019</v>
      </c>
      <c r="J14" s="126">
        <f t="shared" si="2"/>
        <v>2784.9919879845461</v>
      </c>
      <c r="K14" s="126">
        <f t="shared" si="2"/>
        <v>2804.1512998454341</v>
      </c>
      <c r="L14" s="126">
        <f t="shared" si="2"/>
        <v>2715.4299881952488</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2610.4771202465763</v>
      </c>
      <c r="I15" s="24">
        <f>I22*I8/365</f>
        <v>3061.2594799726025</v>
      </c>
      <c r="J15" s="24">
        <f>J22*J8/365</f>
        <v>3178.1673274647169</v>
      </c>
      <c r="K15" s="24">
        <f>K22*K8/365</f>
        <v>3200.0314833530251</v>
      </c>
      <c r="L15" s="24">
        <f>L22*L8/365</f>
        <v>3098.7848100581077</v>
      </c>
      <c r="N15" s="91"/>
      <c r="P15" s="117"/>
      <c r="Q15" s="117"/>
      <c r="R15" s="117"/>
      <c r="S15" s="117"/>
      <c r="T15" s="117"/>
      <c r="U15" s="117"/>
      <c r="V15" s="117"/>
      <c r="W15" s="117"/>
      <c r="X15" s="25"/>
      <c r="Y15" s="24"/>
      <c r="Z15" s="24"/>
      <c r="AB15" s="24"/>
    </row>
    <row r="16" spans="1:28" x14ac:dyDescent="0.2">
      <c r="D16" s="24"/>
    </row>
    <row r="18" spans="2:12" x14ac:dyDescent="0.2">
      <c r="C18" s="260" t="s">
        <v>136</v>
      </c>
      <c r="D18" s="260"/>
      <c r="E18" s="260"/>
      <c r="F18" s="260"/>
      <c r="G18" s="260"/>
      <c r="H18" s="260"/>
      <c r="I18" s="260"/>
      <c r="J18" s="260"/>
      <c r="K18" s="260"/>
      <c r="L18" s="260"/>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42</v>
      </c>
      <c r="I20" s="102">
        <v>42</v>
      </c>
      <c r="J20" s="102">
        <v>42</v>
      </c>
      <c r="K20" s="102">
        <v>42</v>
      </c>
      <c r="L20" s="102">
        <v>42</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85</v>
      </c>
      <c r="I21" s="102">
        <v>85</v>
      </c>
      <c r="J21" s="102">
        <v>85</v>
      </c>
      <c r="K21" s="102">
        <v>85</v>
      </c>
      <c r="L21" s="102">
        <v>85</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97</v>
      </c>
      <c r="I22" s="102">
        <v>97</v>
      </c>
      <c r="J22" s="102">
        <v>97</v>
      </c>
      <c r="K22" s="102">
        <v>97</v>
      </c>
      <c r="L22" s="102">
        <v>97</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30</v>
      </c>
      <c r="I23" s="118">
        <f t="shared" si="5"/>
        <v>30</v>
      </c>
      <c r="J23" s="118">
        <f t="shared" si="5"/>
        <v>30</v>
      </c>
      <c r="K23" s="118">
        <f t="shared" si="5"/>
        <v>30</v>
      </c>
      <c r="L23" s="118">
        <f t="shared" si="5"/>
        <v>30</v>
      </c>
    </row>
    <row r="25" spans="2:12" x14ac:dyDescent="0.2">
      <c r="B25" s="265"/>
      <c r="C25" s="265"/>
    </row>
    <row r="26" spans="2:12" x14ac:dyDescent="0.2">
      <c r="B26" s="109"/>
      <c r="C26" s="260" t="s">
        <v>142</v>
      </c>
      <c r="D26" s="260"/>
      <c r="E26" s="260"/>
      <c r="F26" s="260"/>
      <c r="G26" s="260"/>
      <c r="H26" s="260"/>
      <c r="I26" s="260"/>
      <c r="J26" s="260"/>
      <c r="K26" s="260"/>
      <c r="L26" s="260"/>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-598.65977534246622</v>
      </c>
      <c r="I28" s="126">
        <f t="shared" ref="I28:L29" si="7">-(I13-H13)</f>
        <v>-628.785631849315</v>
      </c>
      <c r="J28" s="126">
        <f t="shared" si="7"/>
        <v>-166.45605702226021</v>
      </c>
      <c r="K28" s="126">
        <f t="shared" si="7"/>
        <v>100.18586773125026</v>
      </c>
      <c r="L28" s="126">
        <f t="shared" si="7"/>
        <v>388.18491190096347</v>
      </c>
    </row>
    <row r="29" spans="2:12" x14ac:dyDescent="0.2">
      <c r="B29" s="1" t="s">
        <v>144</v>
      </c>
      <c r="C29" s="114">
        <f>Statement!M55</f>
        <v>-361</v>
      </c>
      <c r="D29" s="114">
        <f>Statement!N55</f>
        <v>425</v>
      </c>
      <c r="E29" s="114">
        <f>Statement!O55</f>
        <v>-99</v>
      </c>
      <c r="F29" s="114">
        <f>Statement!P55</f>
        <v>-201</v>
      </c>
      <c r="G29" s="115">
        <f>Statement!Q55</f>
        <v>-131</v>
      </c>
      <c r="H29" s="126">
        <f>-(H14-G14)</f>
        <v>-716.53149712328877</v>
      </c>
      <c r="I29" s="126">
        <f t="shared" si="7"/>
        <v>-395.0154698630131</v>
      </c>
      <c r="J29" s="126">
        <f t="shared" si="7"/>
        <v>-102.44502099824422</v>
      </c>
      <c r="K29" s="126">
        <f t="shared" si="7"/>
        <v>-19.15931186088801</v>
      </c>
      <c r="L29" s="126">
        <f t="shared" si="7"/>
        <v>88.721311650185271</v>
      </c>
    </row>
    <row r="30" spans="2:12" x14ac:dyDescent="0.2">
      <c r="B30" s="1" t="s">
        <v>145</v>
      </c>
      <c r="C30" s="114">
        <f>Statement!M56</f>
        <v>228</v>
      </c>
      <c r="D30" s="114">
        <f>Statement!N56</f>
        <v>-421</v>
      </c>
      <c r="E30" s="114">
        <f>Statement!O56</f>
        <v>227</v>
      </c>
      <c r="F30" s="114">
        <f>Statement!P56</f>
        <v>-242</v>
      </c>
      <c r="G30" s="115">
        <f>Statement!Q56</f>
        <v>66</v>
      </c>
      <c r="H30" s="64">
        <f>H15-G15</f>
        <v>862.47712024657631</v>
      </c>
      <c r="I30" s="64">
        <f t="shared" ref="I30:L30" si="8">I15-H15</f>
        <v>450.78235972602624</v>
      </c>
      <c r="J30" s="64">
        <f t="shared" si="8"/>
        <v>116.90784749211434</v>
      </c>
      <c r="K30" s="64">
        <f t="shared" si="8"/>
        <v>21.864155888308233</v>
      </c>
      <c r="L30" s="64">
        <f t="shared" si="8"/>
        <v>-101.2466732949174</v>
      </c>
    </row>
    <row r="31" spans="2:12" x14ac:dyDescent="0.2">
      <c r="B31" s="109"/>
      <c r="C31" s="109"/>
    </row>
    <row r="32" spans="2:12" x14ac:dyDescent="0.2">
      <c r="B32" s="109"/>
      <c r="C32" s="109"/>
    </row>
    <row r="33" spans="2:12" x14ac:dyDescent="0.2">
      <c r="B33" s="109"/>
      <c r="C33" s="260" t="s">
        <v>146</v>
      </c>
      <c r="D33" s="260"/>
      <c r="E33" s="260"/>
      <c r="F33" s="260"/>
      <c r="G33" s="260"/>
      <c r="H33" s="260"/>
      <c r="I33" s="260"/>
      <c r="J33" s="260"/>
      <c r="K33" s="260"/>
      <c r="L33" s="260"/>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-82.037572219178628</v>
      </c>
      <c r="I35" s="126">
        <f t="shared" ref="I35:L35" si="10">I36+I28+I29+I30</f>
        <v>-93.053230736301771</v>
      </c>
      <c r="J35" s="126">
        <f t="shared" si="10"/>
        <v>356.90392872785992</v>
      </c>
      <c r="K35" s="126">
        <f t="shared" si="10"/>
        <v>594.37461305210809</v>
      </c>
      <c r="L35" s="126">
        <f t="shared" si="10"/>
        <v>799.6732168621204</v>
      </c>
    </row>
    <row r="36" spans="2:12" x14ac:dyDescent="0.2">
      <c r="B36" s="1" t="s">
        <v>148</v>
      </c>
      <c r="C36" s="120">
        <f>C35-C28-C29-C30</f>
        <v>-136</v>
      </c>
      <c r="D36" s="120">
        <f t="shared" ref="D36:G36" si="11">D35-D28-D29-D30</f>
        <v>247</v>
      </c>
      <c r="E36" s="120">
        <f t="shared" si="11"/>
        <v>66</v>
      </c>
      <c r="F36" s="120">
        <f t="shared" si="11"/>
        <v>-9</v>
      </c>
      <c r="G36" s="121">
        <f t="shared" si="11"/>
        <v>481</v>
      </c>
      <c r="H36" s="64">
        <f>H7*H37</f>
        <v>370.67658000000011</v>
      </c>
      <c r="I36" s="64">
        <f>I7*I37</f>
        <v>479.96551125000008</v>
      </c>
      <c r="J36" s="64">
        <f>J7*J37</f>
        <v>508.89715925625001</v>
      </c>
      <c r="K36" s="64">
        <f>K7*K37</f>
        <v>491.48390129343755</v>
      </c>
      <c r="L36" s="64">
        <f>L7*L37</f>
        <v>424.01366660588911</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60" t="s">
        <v>149</v>
      </c>
      <c r="D40" s="260"/>
      <c r="E40" s="260"/>
      <c r="F40" s="260"/>
      <c r="G40" s="260"/>
      <c r="H40" s="260"/>
      <c r="I40" s="260"/>
      <c r="J40" s="260"/>
      <c r="K40" s="260"/>
      <c r="L40" s="260"/>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556.01487000000009</v>
      </c>
      <c r="I42" s="25">
        <f>I7*I43</f>
        <v>719.94826687500006</v>
      </c>
      <c r="J42" s="25">
        <f>J7*J43</f>
        <v>763.34573888437501</v>
      </c>
      <c r="K42" s="25">
        <f>K7*K43</f>
        <v>737.2258519401563</v>
      </c>
      <c r="L42" s="25">
        <f>L7*L43</f>
        <v>636.02049990883359</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0.58823529411764697</v>
      </c>
      <c r="I44" s="123">
        <f t="shared" si="13"/>
        <v>0.625</v>
      </c>
      <c r="J44" s="123">
        <f t="shared" si="13"/>
        <v>0.66666666666666663</v>
      </c>
      <c r="K44" s="123">
        <f t="shared" si="13"/>
        <v>0.66666666666666674</v>
      </c>
      <c r="L44" s="123">
        <f t="shared" si="13"/>
        <v>0.66666666666666663</v>
      </c>
    </row>
    <row r="45" spans="2:12" x14ac:dyDescent="0.2">
      <c r="B45" s="1" t="s">
        <v>59</v>
      </c>
      <c r="C45" s="114">
        <f>-Statement!M108</f>
        <v>381</v>
      </c>
      <c r="D45" s="114">
        <f>-Statement!N108</f>
        <v>316</v>
      </c>
      <c r="E45" s="114">
        <f>-Statement!O108</f>
        <v>254</v>
      </c>
      <c r="F45" s="114">
        <f>-Statement!P108</f>
        <v>265</v>
      </c>
      <c r="G45" s="115">
        <f>-Statement!Q108</f>
        <v>569</v>
      </c>
      <c r="H45" s="25">
        <f>H7*H46</f>
        <v>945.22527900000023</v>
      </c>
      <c r="I45" s="25">
        <f>I7*I46</f>
        <v>1151.9172270000001</v>
      </c>
      <c r="J45" s="25">
        <f>J7*J46</f>
        <v>1145.0186083265626</v>
      </c>
      <c r="K45" s="25">
        <f>K7*K46</f>
        <v>1105.8387779102343</v>
      </c>
      <c r="L45" s="25">
        <f>L7*L46</f>
        <v>954.03074986325043</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5.0999999999999997E-2</v>
      </c>
      <c r="I46" s="97">
        <v>4.8000000000000001E-2</v>
      </c>
      <c r="J46" s="97">
        <v>4.4999999999999998E-2</v>
      </c>
      <c r="K46" s="97">
        <v>4.4999999999999998E-2</v>
      </c>
      <c r="L46" s="97">
        <v>4.4999999999999998E-2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E24"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4" t="s">
        <v>112</v>
      </c>
      <c r="D2" s="254"/>
      <c r="E2" s="254"/>
      <c r="F2" s="254"/>
      <c r="G2" s="263"/>
      <c r="H2" s="264" t="s">
        <v>113</v>
      </c>
      <c r="I2" s="254"/>
      <c r="J2" s="254"/>
      <c r="K2" s="254"/>
      <c r="L2" s="254"/>
      <c r="S2" s="265"/>
      <c r="T2" s="265"/>
      <c r="U2" s="265"/>
      <c r="V2" s="265"/>
      <c r="W2" s="265"/>
      <c r="X2" s="265"/>
      <c r="Y2" s="265"/>
      <c r="Z2" s="265"/>
      <c r="AA2" s="265"/>
      <c r="AB2" s="265"/>
      <c r="AC2" s="265"/>
      <c r="AE2" s="109"/>
    </row>
    <row r="3" spans="1:31" ht="10" customHeight="1" x14ac:dyDescent="0.2"/>
    <row r="4" spans="1:31" ht="16" customHeight="1" x14ac:dyDescent="0.2">
      <c r="A4" s="86"/>
      <c r="B4" s="60"/>
      <c r="C4" s="260" t="s">
        <v>18</v>
      </c>
      <c r="D4" s="260"/>
      <c r="E4" s="260"/>
      <c r="F4" s="260"/>
      <c r="G4" s="260"/>
      <c r="H4" s="260"/>
      <c r="I4" s="260"/>
      <c r="J4" s="260"/>
      <c r="K4" s="260"/>
      <c r="L4" s="260"/>
      <c r="S4" s="265"/>
      <c r="T4" s="265"/>
      <c r="U4" s="265"/>
      <c r="V4" s="265"/>
      <c r="W4" s="265"/>
      <c r="X4" s="265"/>
      <c r="Y4" s="265"/>
      <c r="Z4" s="265"/>
      <c r="AA4" s="265"/>
      <c r="AB4" s="265"/>
      <c r="AC4" s="265"/>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18533.829000000005</v>
      </c>
      <c r="I6" s="92">
        <f>Revenue!I8</f>
        <v>23998.275562500003</v>
      </c>
      <c r="J6" s="92">
        <f>Revenue!J8</f>
        <v>25444.857962812501</v>
      </c>
      <c r="K6" s="92">
        <f>Revenue!K8</f>
        <v>24574.195064671876</v>
      </c>
      <c r="L6" s="92">
        <f>Revenue!L8</f>
        <v>21200.683330294454</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9822.9293700000035</v>
      </c>
      <c r="I7" s="112">
        <f>'COGS &amp; OpEx'!I11</f>
        <v>11519.172270000001</v>
      </c>
      <c r="J7" s="112">
        <f>'COGS &amp; OpEx'!J11</f>
        <v>11959.083242521874</v>
      </c>
      <c r="K7" s="112">
        <f>'COGS &amp; OpEx'!K11</f>
        <v>12041.355581689219</v>
      </c>
      <c r="L7" s="112">
        <f>'COGS &amp; OpEx'!L11</f>
        <v>11660.375831661951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8710.8996300000017</v>
      </c>
      <c r="I8" s="94">
        <f t="shared" si="1"/>
        <v>12479.103292500002</v>
      </c>
      <c r="J8" s="94">
        <f t="shared" si="1"/>
        <v>13485.774720290627</v>
      </c>
      <c r="K8" s="94">
        <f t="shared" si="1"/>
        <v>12532.839482982658</v>
      </c>
      <c r="L8" s="94">
        <f t="shared" si="1"/>
        <v>9540.3074986325028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1853.3829000000005</v>
      </c>
      <c r="I9" s="112">
        <f>'COGS &amp; OpEx'!I14</f>
        <v>2639.8103118750005</v>
      </c>
      <c r="J9" s="112">
        <f>'COGS &amp; OpEx'!J14</f>
        <v>3053.3829555375005</v>
      </c>
      <c r="K9" s="112">
        <f>'COGS &amp; OpEx'!K14</f>
        <v>3686.1292597007814</v>
      </c>
      <c r="L9" s="112">
        <f>'COGS &amp; OpEx'!L14</f>
        <v>4452.143499361835</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6857.5167300000012</v>
      </c>
      <c r="I10" s="94">
        <f t="shared" si="2"/>
        <v>9839.2929806250013</v>
      </c>
      <c r="J10" s="94">
        <f t="shared" si="2"/>
        <v>10432.391764753127</v>
      </c>
      <c r="K10" s="94">
        <f t="shared" si="2"/>
        <v>8846.7102232818761</v>
      </c>
      <c r="L10" s="94">
        <f t="shared" si="2"/>
        <v>5088.1639992706678</v>
      </c>
      <c r="N10" s="90"/>
      <c r="Q10" s="90"/>
      <c r="S10" s="88"/>
      <c r="T10" s="88"/>
      <c r="U10" s="88"/>
      <c r="V10" s="88"/>
      <c r="W10" s="88"/>
      <c r="X10" s="88"/>
      <c r="Y10" s="88"/>
      <c r="Z10" s="88"/>
      <c r="AA10" s="64"/>
      <c r="AB10" s="64"/>
      <c r="AC10" s="64"/>
      <c r="AE10" s="64"/>
    </row>
    <row r="13" spans="1:31" x14ac:dyDescent="0.2">
      <c r="C13" s="260" t="s">
        <v>157</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60" t="s">
        <v>158</v>
      </c>
      <c r="D18" s="260"/>
      <c r="E18" s="260"/>
      <c r="F18" s="260"/>
      <c r="G18" s="260"/>
      <c r="H18" s="260"/>
      <c r="I18" s="260"/>
      <c r="J18" s="260"/>
      <c r="K18" s="260"/>
      <c r="L18" s="260"/>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556.01487000000009</v>
      </c>
      <c r="I20" s="88">
        <f>'WC &amp; Investments'!I42</f>
        <v>719.94826687500006</v>
      </c>
      <c r="J20" s="88">
        <f>'WC &amp; Investments'!J42</f>
        <v>763.34573888437501</v>
      </c>
      <c r="K20" s="88">
        <f>'WC &amp; Investments'!K42</f>
        <v>737.2258519401563</v>
      </c>
      <c r="L20" s="88">
        <f>'WC &amp; Investments'!L42</f>
        <v>636.02049990883359</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945.22527900000023</v>
      </c>
      <c r="I21" s="88">
        <f>'WC &amp; Investments'!I45</f>
        <v>1151.9172270000001</v>
      </c>
      <c r="J21" s="88">
        <f>'WC &amp; Investments'!J45</f>
        <v>1145.0186083265626</v>
      </c>
      <c r="K21" s="88">
        <f>'WC &amp; Investments'!K45</f>
        <v>1105.8387779102343</v>
      </c>
      <c r="L21" s="88">
        <f>'WC &amp; Investments'!L45</f>
        <v>954.03074986325043</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-82.037572219178628</v>
      </c>
      <c r="I22" s="88">
        <f>'WC &amp; Investments'!I35</f>
        <v>-93.053230736301771</v>
      </c>
      <c r="J22" s="88">
        <f>'WC &amp; Investments'!J35</f>
        <v>356.90392872785992</v>
      </c>
      <c r="K22" s="88">
        <f>'WC &amp; Investments'!K35</f>
        <v>594.37461305210809</v>
      </c>
      <c r="L22" s="88">
        <f>'WC &amp; Investments'!L35</f>
        <v>799.6732168621204</v>
      </c>
      <c r="N22" s="1" t="s">
        <v>159</v>
      </c>
    </row>
    <row r="25" spans="2:14" x14ac:dyDescent="0.2">
      <c r="C25" s="260" t="s">
        <v>261</v>
      </c>
      <c r="D25" s="260"/>
      <c r="E25" s="260"/>
      <c r="F25" s="260"/>
      <c r="G25" s="260"/>
      <c r="H25" s="260"/>
      <c r="I25" s="260"/>
      <c r="J25" s="260"/>
      <c r="K25" s="260"/>
      <c r="L25" s="260"/>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5417.4382167000012</v>
      </c>
      <c r="I27" s="126">
        <f t="shared" si="6"/>
        <v>7773.0414546937518</v>
      </c>
      <c r="J27" s="126">
        <f t="shared" si="6"/>
        <v>8241.5894941549705</v>
      </c>
      <c r="K27" s="126">
        <f t="shared" si="6"/>
        <v>6988.9010763926826</v>
      </c>
      <c r="L27" s="126">
        <f t="shared" si="6"/>
        <v>4019.6495594238277</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4946.1902354808226</v>
      </c>
      <c r="I28" s="94">
        <f t="shared" si="7"/>
        <v>7248.0192638324506</v>
      </c>
      <c r="J28" s="94">
        <f t="shared" si="7"/>
        <v>8216.8205534406425</v>
      </c>
      <c r="K28" s="94">
        <f t="shared" si="7"/>
        <v>7214.6627634747128</v>
      </c>
      <c r="L28" s="94">
        <f t="shared" si="7"/>
        <v>4501.3125263315314</v>
      </c>
    </row>
    <row r="31" spans="2:14" x14ac:dyDescent="0.2">
      <c r="C31" s="260" t="s">
        <v>76</v>
      </c>
      <c r="D31" s="260"/>
      <c r="E31" s="260"/>
      <c r="F31" s="260"/>
      <c r="G31" s="260"/>
      <c r="H31" s="260"/>
      <c r="I31" s="260"/>
      <c r="J31" s="260"/>
      <c r="K31" s="260"/>
      <c r="L31" s="260"/>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0.47</v>
      </c>
      <c r="I33" s="212">
        <f t="shared" ref="I33:L33" si="9">I8/I6</f>
        <v>0.52</v>
      </c>
      <c r="J33" s="212">
        <f t="shared" si="9"/>
        <v>0.53</v>
      </c>
      <c r="K33" s="212">
        <f t="shared" si="9"/>
        <v>0.51</v>
      </c>
      <c r="L33" s="212">
        <f t="shared" si="9"/>
        <v>0.4499999999999999</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0.36999999999999994</v>
      </c>
      <c r="I34" s="212">
        <f t="shared" ref="I34:L34" si="10">I10/I6</f>
        <v>0.41000000000000003</v>
      </c>
      <c r="J34" s="212">
        <f t="shared" si="10"/>
        <v>0.41000000000000009</v>
      </c>
      <c r="K34" s="212">
        <f t="shared" si="10"/>
        <v>0.36000000000000004</v>
      </c>
      <c r="L34" s="212">
        <f t="shared" si="10"/>
        <v>0.23999999999999994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32" t="s">
        <v>432</v>
      </c>
    </row>
    <row r="6" spans="2:8" x14ac:dyDescent="0.2">
      <c r="H6" s="244" t="s">
        <v>437</v>
      </c>
    </row>
    <row r="7" spans="2:8" x14ac:dyDescent="0.2">
      <c r="H7" s="244" t="s">
        <v>433</v>
      </c>
    </row>
    <row r="8" spans="2:8" x14ac:dyDescent="0.2">
      <c r="H8" s="244" t="s">
        <v>434</v>
      </c>
    </row>
    <row r="9" spans="2:8" x14ac:dyDescent="0.2">
      <c r="H9" s="244" t="s">
        <v>435</v>
      </c>
    </row>
    <row r="10" spans="2:8" x14ac:dyDescent="0.2">
      <c r="H10" s="245" t="s">
        <v>436</v>
      </c>
    </row>
    <row r="13" spans="2:8" s="4" customFormat="1" ht="49" x14ac:dyDescent="0.2">
      <c r="B13" s="3" t="s">
        <v>163</v>
      </c>
    </row>
  </sheetData>
  <hyperlinks>
    <hyperlink ref="H6" location="Overview!B3" display="Overview'!B3" xr:uid="{49A696FB-E039-DA4B-881E-86EEEEE6C609}"/>
    <hyperlink ref="H8" location="'Analysis -&gt;'!B13" display="'Analysis -&gt;'!B13" xr:uid="{C3CCB56E-2AEE-8949-BD10-EF263C026A35}"/>
    <hyperlink ref="H9" location="'Forecast -&gt;'!B13" display="'Forecast -&gt;'!B13" xr:uid="{C8C05393-7849-D247-B056-022C9E876583}"/>
    <hyperlink ref="H10" location="'Valuation -&gt;'!B13" display="'Valuation -&gt;'!B13" xr:uid="{9BB8D394-56D3-A343-9E64-0ADE70E8655D}"/>
    <hyperlink ref="H7" location="'Financials -&gt;'!B13" display="'Financials -&gt;'!B13" xr:uid="{0B03BB47-2A50-8D4E-8BB1-0258E1F908F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4" t="s">
        <v>165</v>
      </c>
      <c r="C4" s="254"/>
    </row>
    <row r="5" spans="1:3" ht="17" customHeight="1" x14ac:dyDescent="0.2">
      <c r="B5" s="1" t="s">
        <v>166</v>
      </c>
      <c r="C5" s="136">
        <f>Statement!AC77</f>
        <v>237</v>
      </c>
    </row>
    <row r="6" spans="1:3" ht="17" customHeight="1" x14ac:dyDescent="0.2">
      <c r="B6" s="1" t="s">
        <v>1</v>
      </c>
      <c r="C6" s="133">
        <f ca="1">Overview!C5</f>
        <v>700.47</v>
      </c>
    </row>
    <row r="7" spans="1:3" ht="17" customHeight="1" x14ac:dyDescent="0.2">
      <c r="B7" s="1" t="s">
        <v>167</v>
      </c>
      <c r="C7" s="134">
        <f ca="1">C5*C6</f>
        <v>166011.39000000001</v>
      </c>
    </row>
    <row r="8" spans="1:3" ht="17" customHeight="1" x14ac:dyDescent="0.2">
      <c r="B8" s="1" t="s">
        <v>168</v>
      </c>
      <c r="C8" s="112">
        <f>Statement!AC106</f>
        <v>2351</v>
      </c>
    </row>
    <row r="9" spans="1:3" ht="17" customHeight="1" x14ac:dyDescent="0.2">
      <c r="B9" s="1" t="s">
        <v>169</v>
      </c>
      <c r="C9" s="135">
        <f ca="1">Overview!F27</f>
        <v>5.0450000000000002E-2</v>
      </c>
    </row>
    <row r="10" spans="1:3" ht="17" customHeight="1" x14ac:dyDescent="0.2">
      <c r="B10" s="1" t="s">
        <v>9</v>
      </c>
      <c r="C10" s="133">
        <f ca="1">Overview!C13</f>
        <v>2.1227999999999998</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54" t="s">
        <v>172</v>
      </c>
      <c r="C15" s="254"/>
    </row>
    <row r="16" spans="1:3" ht="17" customHeight="1" x14ac:dyDescent="0.2">
      <c r="B16" s="1" t="s">
        <v>173</v>
      </c>
      <c r="C16" s="46">
        <f ca="1">C8/(C8+C7)</f>
        <v>1.3963926266430405E-2</v>
      </c>
    </row>
    <row r="17" spans="2:3" ht="17" customHeight="1" x14ac:dyDescent="0.2">
      <c r="B17" s="1" t="s">
        <v>174</v>
      </c>
      <c r="C17" s="46">
        <f ca="1">C7/(C8+C7)</f>
        <v>0.98603607373356961</v>
      </c>
    </row>
    <row r="18" spans="2:3" ht="17" customHeight="1" x14ac:dyDescent="0.2">
      <c r="B18" s="1" t="s">
        <v>175</v>
      </c>
      <c r="C18" s="46">
        <f>C13*(1-C12)</f>
        <v>4.7399999999999998E-2</v>
      </c>
    </row>
    <row r="19" spans="2:3" ht="17" customHeight="1" x14ac:dyDescent="0.2">
      <c r="B19" s="1" t="s">
        <v>176</v>
      </c>
      <c r="C19" s="46">
        <f ca="1">C9+C10*C11</f>
        <v>0.14597599999999999</v>
      </c>
    </row>
    <row r="20" spans="2:3" ht="17" customHeight="1" x14ac:dyDescent="0.2">
      <c r="B20" s="1" t="s">
        <v>164</v>
      </c>
      <c r="C20" s="46">
        <f ca="1">(C17*C19)+(C16*C18)</f>
        <v>0.14459949200436034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4946.1902354808226</v>
      </c>
      <c r="I7" s="112">
        <f>'FCF &amp; Other'!I28</f>
        <v>7248.0192638324506</v>
      </c>
      <c r="J7" s="112">
        <f>'FCF &amp; Other'!J28</f>
        <v>8216.8205534406425</v>
      </c>
      <c r="K7" s="112">
        <f>'FCF &amp; Other'!K28</f>
        <v>7214.6627634747128</v>
      </c>
      <c r="L7" s="112">
        <f>'FCF &amp; Other'!L28</f>
        <v>4501.3125263315314</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35253.473170039797</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4321.3283511242207</v>
      </c>
      <c r="I10" s="126">
        <f t="shared" ref="I10:L10" ca="1" si="0">I7/(1+$C$15)^I9</f>
        <v>5532.3830400966581</v>
      </c>
      <c r="J10" s="126">
        <f t="shared" ca="1" si="0"/>
        <v>5479.5280705484656</v>
      </c>
      <c r="K10" s="126">
        <f t="shared" ca="1" si="0"/>
        <v>4203.4108439431766</v>
      </c>
      <c r="L10" s="126">
        <f t="shared" ca="1" si="0"/>
        <v>2291.2444339359713</v>
      </c>
      <c r="N10" s="91"/>
    </row>
    <row r="11" spans="1:28" x14ac:dyDescent="0.2">
      <c r="B11" s="1" t="s">
        <v>182</v>
      </c>
      <c r="C11" s="137"/>
      <c r="D11" s="137"/>
      <c r="E11" s="137"/>
      <c r="F11" s="137"/>
      <c r="G11" s="138"/>
      <c r="H11" s="137"/>
      <c r="I11" s="137"/>
      <c r="J11" s="137"/>
      <c r="K11" s="137"/>
      <c r="L11" s="126">
        <f ca="1">L8/(1+C15)^L9</f>
        <v>17944.615865984772</v>
      </c>
    </row>
    <row r="13" spans="1:28" x14ac:dyDescent="0.2">
      <c r="B13" s="254" t="s">
        <v>183</v>
      </c>
      <c r="C13" s="254"/>
    </row>
    <row r="14" spans="1:28" x14ac:dyDescent="0.2">
      <c r="B14" s="1" t="s">
        <v>184</v>
      </c>
      <c r="C14" s="140">
        <v>1.4999999999999999E-2</v>
      </c>
    </row>
    <row r="15" spans="1:28" x14ac:dyDescent="0.2">
      <c r="B15" s="1" t="s">
        <v>164</v>
      </c>
      <c r="C15" s="135">
        <f ca="1">IF(Overview!C28&gt;0,Overview!C28,WACC!C20)</f>
        <v>0.14459949200436034</v>
      </c>
    </row>
    <row r="18" spans="2:3" x14ac:dyDescent="0.2">
      <c r="B18" s="254" t="s">
        <v>185</v>
      </c>
      <c r="C18" s="254"/>
    </row>
    <row r="19" spans="2:3" x14ac:dyDescent="0.2">
      <c r="B19" s="1" t="s">
        <v>186</v>
      </c>
      <c r="C19" s="64">
        <f ca="1">SUM(H10:L10)</f>
        <v>21827.894739648495</v>
      </c>
    </row>
    <row r="20" spans="2:3" x14ac:dyDescent="0.2">
      <c r="B20" s="1" t="s">
        <v>182</v>
      </c>
      <c r="C20" s="64">
        <f ca="1">L11</f>
        <v>17944.615865984772</v>
      </c>
    </row>
    <row r="21" spans="2:3" x14ac:dyDescent="0.2">
      <c r="B21" s="16" t="s">
        <v>187</v>
      </c>
      <c r="C21" s="94">
        <f ca="1">C19+C20</f>
        <v>39772.510605633266</v>
      </c>
    </row>
    <row r="22" spans="2:3" x14ac:dyDescent="0.2">
      <c r="B22" s="1" t="s">
        <v>188</v>
      </c>
      <c r="C22" s="88">
        <f>Statement!AC105</f>
        <v>1258</v>
      </c>
    </row>
    <row r="23" spans="2:3" x14ac:dyDescent="0.2">
      <c r="B23" s="1" t="s">
        <v>189</v>
      </c>
      <c r="C23" s="88">
        <f>Statement!AC106</f>
        <v>2351</v>
      </c>
    </row>
    <row r="24" spans="2:3" x14ac:dyDescent="0.2">
      <c r="B24" s="16" t="s">
        <v>190</v>
      </c>
      <c r="C24" s="94">
        <f ca="1">C21+C22-C23</f>
        <v>38679.510605633266</v>
      </c>
    </row>
    <row r="25" spans="2:3" x14ac:dyDescent="0.2">
      <c r="B25" s="1" t="s">
        <v>68</v>
      </c>
      <c r="C25" s="88">
        <f>Statement!AC77</f>
        <v>237</v>
      </c>
    </row>
    <row r="26" spans="2:3" x14ac:dyDescent="0.2">
      <c r="B26" s="240" t="s">
        <v>191</v>
      </c>
      <c r="C26" s="241">
        <f ca="1">C24/C25</f>
        <v>163.20468609971843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18533.829000000005</v>
      </c>
      <c r="I6" s="92">
        <f>Revenue!I8</f>
        <v>23998.275562500003</v>
      </c>
      <c r="J6" s="92">
        <f>Revenue!J8</f>
        <v>25444.857962812501</v>
      </c>
      <c r="K6" s="92">
        <f>Revenue!K8</f>
        <v>24574.195064671876</v>
      </c>
      <c r="L6" s="92">
        <f>Revenue!L8</f>
        <v>21200.683330294454</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6857.5167300000012</v>
      </c>
      <c r="I7" s="92">
        <f>'FCF &amp; Other'!I10</f>
        <v>9839.2929806250013</v>
      </c>
      <c r="J7" s="92">
        <f>'FCF &amp; Other'!J10</f>
        <v>10432.391764753127</v>
      </c>
      <c r="K7" s="92">
        <f>'FCF &amp; Other'!K10</f>
        <v>8846.7102232818761</v>
      </c>
      <c r="L7" s="92">
        <f>'FCF &amp; Other'!L10</f>
        <v>5088.1639992706678</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4946.1902354808226</v>
      </c>
      <c r="I8" s="92">
        <f>'FCF &amp; Other'!I28</f>
        <v>7248.0192638324506</v>
      </c>
      <c r="J8" s="92">
        <f>'FCF &amp; Other'!J28</f>
        <v>8216.8205534406425</v>
      </c>
      <c r="K8" s="92">
        <f>'FCF &amp; Other'!K28</f>
        <v>7214.6627634747128</v>
      </c>
      <c r="L8" s="92">
        <f>'FCF &amp; Other'!L28</f>
        <v>4501.3125263315314</v>
      </c>
      <c r="N8" s="91"/>
    </row>
    <row r="9" spans="1:14" x14ac:dyDescent="0.2">
      <c r="B9" s="16" t="s">
        <v>319</v>
      </c>
      <c r="C9" s="137"/>
      <c r="D9" s="137"/>
      <c r="E9" s="137"/>
      <c r="F9" s="137"/>
      <c r="G9" s="138"/>
      <c r="H9" s="92">
        <f ca="1">DCF!H10</f>
        <v>4321.3283511242207</v>
      </c>
      <c r="I9" s="92">
        <f ca="1">DCF!I10</f>
        <v>5532.3830400966581</v>
      </c>
      <c r="J9" s="92">
        <f ca="1">DCF!J10</f>
        <v>5479.5280705484656</v>
      </c>
      <c r="K9" s="92">
        <f ca="1">DCF!K10</f>
        <v>4203.4108439431766</v>
      </c>
      <c r="L9" s="92">
        <f ca="1">DCF!L10</f>
        <v>2291.2444339359713</v>
      </c>
      <c r="N9" s="91"/>
    </row>
    <row r="10" spans="1:14" x14ac:dyDescent="0.2">
      <c r="N10" s="91"/>
    </row>
    <row r="11" spans="1:14" x14ac:dyDescent="0.2">
      <c r="C11" s="260" t="s">
        <v>121</v>
      </c>
      <c r="D11" s="260"/>
      <c r="E11" s="260"/>
      <c r="F11" s="260"/>
      <c r="G11" s="260"/>
      <c r="H11" s="260"/>
      <c r="I11" s="260"/>
      <c r="J11" s="260"/>
      <c r="K11" s="260"/>
      <c r="L11" s="260"/>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0.51978917589175933</v>
      </c>
      <c r="I13" s="95">
        <f t="shared" si="1"/>
        <v>0.29483635370219485</v>
      </c>
      <c r="J13" s="95">
        <f t="shared" si="1"/>
        <v>6.0278597791124017E-2</v>
      </c>
      <c r="K13" s="95">
        <f t="shared" si="1"/>
        <v>-3.4217636404694933E-2</v>
      </c>
      <c r="L13" s="95">
        <f t="shared" si="1"/>
        <v>-0.1372786260343159</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0.67501629946262853</v>
      </c>
      <c r="I14" s="95">
        <f t="shared" si="2"/>
        <v>0.43481866221054039</v>
      </c>
      <c r="J14" s="95">
        <f t="shared" si="2"/>
        <v>6.0278597791124169E-2</v>
      </c>
      <c r="K14" s="95">
        <f t="shared" si="2"/>
        <v>-0.1519959734285127</v>
      </c>
      <c r="L14" s="95">
        <f t="shared" si="2"/>
        <v>-0.42485241735621077</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0.6055928602352757</v>
      </c>
      <c r="I15" s="95">
        <f t="shared" si="3"/>
        <v>0.46537414025036294</v>
      </c>
      <c r="J15" s="95">
        <f t="shared" si="3"/>
        <v>0.13366428183248646</v>
      </c>
      <c r="K15" s="95">
        <f t="shared" si="3"/>
        <v>-0.12196418109025084</v>
      </c>
      <c r="L15" s="95">
        <f t="shared" si="3"/>
        <v>-0.37608829769284774</v>
      </c>
      <c r="N15" s="91"/>
    </row>
    <row r="16" spans="1:14" x14ac:dyDescent="0.2">
      <c r="N16" s="91"/>
    </row>
    <row r="17" spans="2:14" x14ac:dyDescent="0.2">
      <c r="C17" s="260" t="s">
        <v>195</v>
      </c>
      <c r="D17" s="260"/>
      <c r="E17" s="260"/>
      <c r="F17" s="260"/>
      <c r="G17" s="260"/>
      <c r="H17" s="260"/>
      <c r="I17" s="260"/>
      <c r="J17" s="260"/>
      <c r="K17" s="260"/>
      <c r="L17" s="260"/>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60" t="s">
        <v>198</v>
      </c>
      <c r="D22" s="260"/>
      <c r="E22" s="260"/>
      <c r="F22" s="260"/>
      <c r="G22" s="260"/>
      <c r="H22" s="260"/>
      <c r="I22" s="260"/>
      <c r="J22" s="260"/>
      <c r="K22" s="260"/>
      <c r="L22" s="260"/>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60" t="s">
        <v>199</v>
      </c>
      <c r="D27" s="260"/>
      <c r="E27" s="260"/>
      <c r="F27" s="260"/>
      <c r="G27" s="260"/>
      <c r="H27" s="260"/>
      <c r="I27" s="260"/>
      <c r="J27" s="260"/>
      <c r="K27" s="260"/>
      <c r="L27" s="260"/>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425</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54" t="s">
        <v>204</v>
      </c>
      <c r="C39" s="254"/>
      <c r="N39" s="91"/>
    </row>
    <row r="40" spans="2:14" x14ac:dyDescent="0.2">
      <c r="B40" s="1" t="s">
        <v>205</v>
      </c>
      <c r="C40" s="64">
        <f>L7</f>
        <v>5088.1639992706678</v>
      </c>
    </row>
    <row r="41" spans="2:14" x14ac:dyDescent="0.2">
      <c r="B41" s="1" t="s">
        <v>164</v>
      </c>
      <c r="C41" s="135">
        <f ca="1">IF(Overview!C28&gt;0,Overview!C28,WACC!C20)</f>
        <v>0.14459949200436034</v>
      </c>
    </row>
    <row r="42" spans="2:14" x14ac:dyDescent="0.2">
      <c r="B42" s="39" t="s">
        <v>206</v>
      </c>
      <c r="C42" s="105">
        <v>16</v>
      </c>
    </row>
    <row r="43" spans="2:14" x14ac:dyDescent="0.2">
      <c r="B43" s="1" t="s">
        <v>421</v>
      </c>
      <c r="C43" s="24">
        <f>(C40*C42)</f>
        <v>81410.623988330684</v>
      </c>
    </row>
    <row r="44" spans="2:14" x14ac:dyDescent="0.2">
      <c r="B44" s="1" t="s">
        <v>422</v>
      </c>
      <c r="C44" s="24">
        <f ca="1">C43/(1+C41)^5</f>
        <v>41439.388619509176</v>
      </c>
    </row>
    <row r="45" spans="2:14" x14ac:dyDescent="0.2">
      <c r="B45" s="16" t="s">
        <v>423</v>
      </c>
      <c r="C45" s="108">
        <f ca="1">SUM(H9:K9)+C44</f>
        <v>60976.038925221699</v>
      </c>
    </row>
    <row r="46" spans="2:14" x14ac:dyDescent="0.2">
      <c r="B46" s="1" t="s">
        <v>188</v>
      </c>
      <c r="C46" s="88">
        <f>Statement!AC105</f>
        <v>1258</v>
      </c>
    </row>
    <row r="47" spans="2:14" x14ac:dyDescent="0.2">
      <c r="B47" s="1" t="s">
        <v>189</v>
      </c>
      <c r="C47" s="88">
        <f>Statement!AC106</f>
        <v>2351</v>
      </c>
    </row>
    <row r="48" spans="2:14" x14ac:dyDescent="0.2">
      <c r="B48" s="16" t="s">
        <v>190</v>
      </c>
      <c r="C48" s="108">
        <f ca="1">C45+C46-C47</f>
        <v>59883.038925221699</v>
      </c>
    </row>
    <row r="49" spans="2:3" x14ac:dyDescent="0.2">
      <c r="B49" s="1" t="s">
        <v>68</v>
      </c>
      <c r="C49" s="88">
        <f>Statement!AC77</f>
        <v>237</v>
      </c>
    </row>
    <row r="50" spans="2:3" x14ac:dyDescent="0.2">
      <c r="B50" s="240" t="s">
        <v>208</v>
      </c>
      <c r="C50" s="241">
        <f ca="1">C48/C49</f>
        <v>252.67105031739115</v>
      </c>
    </row>
    <row r="52" spans="2:3" x14ac:dyDescent="0.2">
      <c r="B52" s="254" t="s">
        <v>209</v>
      </c>
      <c r="C52" s="254"/>
    </row>
    <row r="53" spans="2:3" x14ac:dyDescent="0.2">
      <c r="B53" s="1" t="s">
        <v>210</v>
      </c>
      <c r="C53" s="64">
        <f>L6</f>
        <v>21200.683330294454</v>
      </c>
    </row>
    <row r="54" spans="2:3" x14ac:dyDescent="0.2">
      <c r="B54" s="1" t="s">
        <v>343</v>
      </c>
      <c r="C54" s="135">
        <f ca="1">IF(Overview!C29&gt;0,Overview!C29,WACC!C19)</f>
        <v>0.14597599999999999</v>
      </c>
    </row>
    <row r="55" spans="2:3" x14ac:dyDescent="0.2">
      <c r="B55" s="39" t="s">
        <v>211</v>
      </c>
      <c r="C55" s="105">
        <v>4</v>
      </c>
    </row>
    <row r="56" spans="2:3" x14ac:dyDescent="0.2">
      <c r="B56" s="1" t="s">
        <v>207</v>
      </c>
      <c r="C56" s="24">
        <f>L19</f>
        <v>252.81020226960001</v>
      </c>
    </row>
    <row r="57" spans="2:3" x14ac:dyDescent="0.2">
      <c r="B57" s="1" t="s">
        <v>191</v>
      </c>
      <c r="C57" s="24">
        <f>(C53*C55)/C56</f>
        <v>335.4403127716464</v>
      </c>
    </row>
    <row r="58" spans="2:3" x14ac:dyDescent="0.2">
      <c r="B58" s="240" t="s">
        <v>208</v>
      </c>
      <c r="C58" s="241">
        <f ca="1">C57/(1+C54)^5</f>
        <v>169.72180525769809</v>
      </c>
    </row>
    <row r="60" spans="2:3" x14ac:dyDescent="0.2">
      <c r="B60" s="254" t="s">
        <v>321</v>
      </c>
      <c r="C60" s="254"/>
    </row>
    <row r="61" spans="2:3" x14ac:dyDescent="0.2">
      <c r="B61" s="1" t="s">
        <v>424</v>
      </c>
      <c r="C61" s="64">
        <f>L8</f>
        <v>4501.3125263315314</v>
      </c>
    </row>
    <row r="62" spans="2:3" x14ac:dyDescent="0.2">
      <c r="B62" s="1" t="s">
        <v>164</v>
      </c>
      <c r="C62" s="135">
        <f ca="1">IF(Overview!C28&gt;0,Overview!C28,WACC!C20)</f>
        <v>0.14459949200436034</v>
      </c>
    </row>
    <row r="63" spans="2:3" x14ac:dyDescent="0.2">
      <c r="B63" s="39" t="s">
        <v>344</v>
      </c>
      <c r="C63" s="105">
        <v>20</v>
      </c>
    </row>
    <row r="64" spans="2:3" x14ac:dyDescent="0.2">
      <c r="B64" s="1" t="s">
        <v>421</v>
      </c>
      <c r="C64" s="24">
        <f>(C61*C63)</f>
        <v>90026.250526630625</v>
      </c>
    </row>
    <row r="65" spans="2:3" x14ac:dyDescent="0.2">
      <c r="B65" s="1" t="s">
        <v>422</v>
      </c>
      <c r="C65" s="24">
        <f ca="1">C64/(1+C62)^5</f>
        <v>45824.888678719428</v>
      </c>
    </row>
    <row r="66" spans="2:3" x14ac:dyDescent="0.2">
      <c r="B66" s="16" t="s">
        <v>423</v>
      </c>
      <c r="C66" s="108">
        <f ca="1">SUM(H9:K9)+C65</f>
        <v>65361.538984431951</v>
      </c>
    </row>
    <row r="67" spans="2:3" x14ac:dyDescent="0.2">
      <c r="B67" s="1" t="s">
        <v>188</v>
      </c>
      <c r="C67" s="88">
        <f>Statement!AC105</f>
        <v>1258</v>
      </c>
    </row>
    <row r="68" spans="2:3" x14ac:dyDescent="0.2">
      <c r="B68" s="1" t="s">
        <v>189</v>
      </c>
      <c r="C68" s="88">
        <f>Statement!AC106</f>
        <v>2351</v>
      </c>
    </row>
    <row r="69" spans="2:3" x14ac:dyDescent="0.2">
      <c r="B69" s="16" t="s">
        <v>190</v>
      </c>
      <c r="C69" s="108">
        <f ca="1">C66+C67-C68</f>
        <v>64268.538984431943</v>
      </c>
    </row>
    <row r="70" spans="2:3" x14ac:dyDescent="0.2">
      <c r="B70" s="1" t="s">
        <v>68</v>
      </c>
      <c r="C70" s="88">
        <f>Statement!AC77</f>
        <v>237</v>
      </c>
    </row>
    <row r="71" spans="2:3" x14ac:dyDescent="0.2">
      <c r="B71" s="240" t="s">
        <v>208</v>
      </c>
      <c r="C71" s="241">
        <f ca="1">C69/C70</f>
        <v>271.17526997650612</v>
      </c>
    </row>
    <row r="73" spans="2:3" x14ac:dyDescent="0.2">
      <c r="B73" s="254" t="s">
        <v>426</v>
      </c>
      <c r="C73" s="254"/>
    </row>
    <row r="74" spans="2:3" x14ac:dyDescent="0.2">
      <c r="B74" s="1" t="s">
        <v>427</v>
      </c>
      <c r="C74" s="64">
        <f>L6</f>
        <v>21200.683330294454</v>
      </c>
    </row>
    <row r="75" spans="2:3" x14ac:dyDescent="0.2">
      <c r="B75" s="1" t="s">
        <v>164</v>
      </c>
      <c r="C75" s="135">
        <f ca="1">IF(Overview!C28&gt;0,Overview!C28,WACC!C20)</f>
        <v>0.14459949200436034</v>
      </c>
    </row>
    <row r="76" spans="2:3" x14ac:dyDescent="0.2">
      <c r="B76" s="39" t="s">
        <v>428</v>
      </c>
      <c r="C76" s="105">
        <v>4</v>
      </c>
    </row>
    <row r="77" spans="2:3" x14ac:dyDescent="0.2">
      <c r="B77" s="1" t="s">
        <v>421</v>
      </c>
      <c r="C77" s="24">
        <f>(C74*C76)</f>
        <v>84802.733321177817</v>
      </c>
    </row>
    <row r="78" spans="2:3" x14ac:dyDescent="0.2">
      <c r="B78" s="1" t="s">
        <v>422</v>
      </c>
      <c r="C78" s="24">
        <f ca="1">C77/(1+C75)^5</f>
        <v>43166.029811988737</v>
      </c>
    </row>
    <row r="79" spans="2:3" x14ac:dyDescent="0.2">
      <c r="B79" s="16" t="s">
        <v>423</v>
      </c>
      <c r="C79" s="108">
        <f ca="1">SUM(H9:K9)+C78</f>
        <v>62702.68011770126</v>
      </c>
    </row>
    <row r="80" spans="2:3" x14ac:dyDescent="0.2">
      <c r="B80" s="1" t="s">
        <v>188</v>
      </c>
      <c r="C80" s="88">
        <f>Statement!AC105</f>
        <v>1258</v>
      </c>
    </row>
    <row r="81" spans="2:3" x14ac:dyDescent="0.2">
      <c r="B81" s="1" t="s">
        <v>189</v>
      </c>
      <c r="C81" s="88">
        <f>Statement!AC106</f>
        <v>2351</v>
      </c>
    </row>
    <row r="82" spans="2:3" x14ac:dyDescent="0.2">
      <c r="B82" s="16" t="s">
        <v>190</v>
      </c>
      <c r="C82" s="108">
        <f ca="1">C79+C80-C81</f>
        <v>61609.68011770126</v>
      </c>
    </row>
    <row r="83" spans="2:3" x14ac:dyDescent="0.2">
      <c r="B83" s="1" t="s">
        <v>68</v>
      </c>
      <c r="C83" s="88">
        <f>Statement!AC77</f>
        <v>237</v>
      </c>
    </row>
    <row r="84" spans="2:3" x14ac:dyDescent="0.2">
      <c r="B84" s="240" t="s">
        <v>208</v>
      </c>
      <c r="C84" s="241">
        <f ca="1">C82/C83</f>
        <v>259.95645619283232</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4" t="s">
        <v>213</v>
      </c>
      <c r="C4" s="254"/>
      <c r="N4" s="91"/>
    </row>
    <row r="5" spans="1:14" x14ac:dyDescent="0.2">
      <c r="B5" s="1" t="s">
        <v>214</v>
      </c>
      <c r="C5" s="133">
        <f ca="1">DCF!C26</f>
        <v>163.20468609971843</v>
      </c>
    </row>
    <row r="6" spans="1:14" x14ac:dyDescent="0.2">
      <c r="B6" s="1" t="s">
        <v>215</v>
      </c>
      <c r="C6" s="133">
        <f ca="1">Multiples!C50</f>
        <v>252.67105031739115</v>
      </c>
    </row>
    <row r="7" spans="1:14" x14ac:dyDescent="0.2">
      <c r="B7" s="1" t="s">
        <v>216</v>
      </c>
      <c r="C7" s="133">
        <f ca="1">Multiples!C58</f>
        <v>169.72180525769809</v>
      </c>
    </row>
    <row r="8" spans="1:14" x14ac:dyDescent="0.2">
      <c r="B8" s="1" t="s">
        <v>322</v>
      </c>
      <c r="C8" s="133">
        <f ca="1">Multiples!C71</f>
        <v>271.17526997650612</v>
      </c>
    </row>
    <row r="9" spans="1:14" x14ac:dyDescent="0.2">
      <c r="B9" s="1" t="s">
        <v>425</v>
      </c>
      <c r="C9" s="133">
        <f ca="1">Multiples!C84</f>
        <v>259.95645619283232</v>
      </c>
    </row>
    <row r="10" spans="1:14" x14ac:dyDescent="0.2">
      <c r="B10" s="240" t="s">
        <v>217</v>
      </c>
      <c r="C10" s="241">
        <f ca="1">AVERAGE(C5:C9)</f>
        <v>223.34585356882923</v>
      </c>
    </row>
    <row r="11" spans="1:14" x14ac:dyDescent="0.2">
      <c r="B11" s="1" t="s">
        <v>218</v>
      </c>
      <c r="C11" s="133">
        <f ca="1">Overview!C5</f>
        <v>700.47</v>
      </c>
    </row>
    <row r="12" spans="1:14" x14ac:dyDescent="0.2">
      <c r="B12" s="1" t="s">
        <v>219</v>
      </c>
      <c r="C12" s="152">
        <f ca="1">(C10-C11)/C11</f>
        <v>-0.68114858085452734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8"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362</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363</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60" t="s">
        <v>121</v>
      </c>
      <c r="D9" s="260"/>
      <c r="E9" s="260"/>
      <c r="F9" s="260"/>
      <c r="G9" s="260"/>
      <c r="H9" s="260"/>
      <c r="I9" s="260"/>
      <c r="J9" s="260"/>
      <c r="K9" s="260"/>
      <c r="L9" s="260"/>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60" t="s">
        <v>364</v>
      </c>
      <c r="D14" s="260"/>
      <c r="E14" s="260"/>
      <c r="F14" s="260"/>
      <c r="G14" s="260"/>
      <c r="H14" s="260"/>
      <c r="I14" s="260"/>
      <c r="J14" s="260"/>
      <c r="K14" s="260"/>
      <c r="L14" s="260"/>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365</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54" t="s">
        <v>366</v>
      </c>
      <c r="C20" s="254"/>
      <c r="N20" s="91"/>
    </row>
    <row r="21" spans="2:14" x14ac:dyDescent="0.2">
      <c r="B21" s="1" t="s">
        <v>367</v>
      </c>
      <c r="C21" s="228">
        <f>G7</f>
        <v>2.92</v>
      </c>
    </row>
    <row r="22" spans="2:14" x14ac:dyDescent="0.2">
      <c r="B22" s="1" t="s">
        <v>368</v>
      </c>
      <c r="C22" s="229">
        <v>0.03</v>
      </c>
    </row>
    <row r="23" spans="2:14" x14ac:dyDescent="0.2">
      <c r="B23" s="39" t="s">
        <v>369</v>
      </c>
      <c r="C23" s="230">
        <f>C21*(1+C22)</f>
        <v>3.0076000000000001</v>
      </c>
    </row>
    <row r="24" spans="2:14" x14ac:dyDescent="0.2">
      <c r="B24" s="1" t="s">
        <v>343</v>
      </c>
      <c r="C24" s="135">
        <f ca="1">IF(Overview!C29&gt;0,Overview!C29,WACC!C19)</f>
        <v>0.14597599999999999</v>
      </c>
    </row>
    <row r="25" spans="2:14" x14ac:dyDescent="0.2">
      <c r="B25" s="39" t="s">
        <v>370</v>
      </c>
      <c r="C25" s="229">
        <v>0.02</v>
      </c>
    </row>
    <row r="26" spans="2:14" x14ac:dyDescent="0.2">
      <c r="B26" s="240" t="s">
        <v>208</v>
      </c>
      <c r="C26" s="241">
        <f ca="1">C23/(C24-C25)</f>
        <v>23.874388772464595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F4"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4805.736845528455</v>
      </c>
      <c r="I7" s="126">
        <f t="shared" ref="I7:L7" si="0">H7*(1+$C$17)</f>
        <v>7496.9494790243898</v>
      </c>
      <c r="J7" s="126">
        <f t="shared" si="0"/>
        <v>11695.241187278049</v>
      </c>
      <c r="K7" s="126">
        <f t="shared" si="0"/>
        <v>18244.576252153758</v>
      </c>
      <c r="L7" s="126">
        <f t="shared" si="0"/>
        <v>28461.538953359865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222905.67340100621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4198.6187125707265</v>
      </c>
      <c r="I10" s="126">
        <f t="shared" ref="I10:L10" ca="1" si="1">I7/(1+$C$21)^I9</f>
        <v>5722.390440817514</v>
      </c>
      <c r="J10" s="126">
        <f t="shared" ca="1" si="1"/>
        <v>7799.1726800812839</v>
      </c>
      <c r="K10" s="126">
        <f t="shared" ca="1" si="1"/>
        <v>10629.665193736129</v>
      </c>
      <c r="L10" s="126">
        <f t="shared" ca="1" si="1"/>
        <v>14487.406134691168</v>
      </c>
      <c r="N10" s="91"/>
    </row>
    <row r="11" spans="1:28" x14ac:dyDescent="0.2">
      <c r="B11" s="1" t="s">
        <v>182</v>
      </c>
      <c r="C11" s="137"/>
      <c r="D11" s="137"/>
      <c r="E11" s="137"/>
      <c r="F11" s="137"/>
      <c r="G11" s="138"/>
      <c r="H11" s="137"/>
      <c r="I11" s="137"/>
      <c r="J11" s="137"/>
      <c r="K11" s="137"/>
      <c r="L11" s="126">
        <f ca="1">L8/(1+C21)^L9</f>
        <v>113462.76902240326</v>
      </c>
    </row>
    <row r="13" spans="1:28" ht="17" thickBot="1" x14ac:dyDescent="0.25"/>
    <row r="14" spans="1:28" x14ac:dyDescent="0.2">
      <c r="B14" s="267" t="s">
        <v>221</v>
      </c>
      <c r="C14" s="268"/>
    </row>
    <row r="15" spans="1:28" x14ac:dyDescent="0.2">
      <c r="B15" s="153" t="s">
        <v>222</v>
      </c>
      <c r="C15" s="154">
        <f ca="1">Overview!C5</f>
        <v>700.47</v>
      </c>
    </row>
    <row r="16" spans="1:28" x14ac:dyDescent="0.2">
      <c r="B16" s="153" t="s">
        <v>223</v>
      </c>
      <c r="C16" s="154">
        <f ca="1">C36</f>
        <v>683.73137526123378</v>
      </c>
    </row>
    <row r="17" spans="2:9" ht="17" thickBot="1" x14ac:dyDescent="0.25">
      <c r="B17" s="155" t="s">
        <v>323</v>
      </c>
      <c r="C17" s="156">
        <v>0.56000000000000005</v>
      </c>
      <c r="E17" s="266" t="s">
        <v>224</v>
      </c>
      <c r="F17" s="266"/>
      <c r="G17" s="266"/>
      <c r="H17" s="266"/>
      <c r="I17" s="266"/>
    </row>
    <row r="18" spans="2:9" ht="17" thickBot="1" x14ac:dyDescent="0.25"/>
    <row r="19" spans="2:9" x14ac:dyDescent="0.2">
      <c r="B19" s="267" t="s">
        <v>183</v>
      </c>
      <c r="C19" s="268"/>
    </row>
    <row r="20" spans="2:9" x14ac:dyDescent="0.2">
      <c r="B20" s="157" t="s">
        <v>184</v>
      </c>
      <c r="C20" s="158">
        <v>1.4999999999999999E-2</v>
      </c>
    </row>
    <row r="21" spans="2:9" x14ac:dyDescent="0.2">
      <c r="B21" s="157" t="s">
        <v>164</v>
      </c>
      <c r="C21" s="218">
        <f ca="1">IF(Overview!C28&gt;0,Overview!C28,WACC!C20)</f>
        <v>0.14459949200436034</v>
      </c>
    </row>
    <row r="22" spans="2:9" x14ac:dyDescent="0.2">
      <c r="B22" s="157" t="s">
        <v>68</v>
      </c>
      <c r="C22" s="219">
        <f>Statement!AC74</f>
        <v>227</v>
      </c>
    </row>
    <row r="23" spans="2:9" x14ac:dyDescent="0.2">
      <c r="B23" s="157" t="s">
        <v>225</v>
      </c>
      <c r="C23" s="159">
        <f ca="1">C15*C22</f>
        <v>159006.69</v>
      </c>
    </row>
    <row r="24" spans="2:9" x14ac:dyDescent="0.2">
      <c r="B24" s="157" t="s">
        <v>177</v>
      </c>
      <c r="C24" s="219">
        <f>Statement!AC105</f>
        <v>1258</v>
      </c>
    </row>
    <row r="25" spans="2:9" x14ac:dyDescent="0.2">
      <c r="B25" s="157" t="s">
        <v>168</v>
      </c>
      <c r="C25" s="219">
        <f>Statement!AC106</f>
        <v>2351</v>
      </c>
    </row>
    <row r="26" spans="2:9" ht="17" thickBot="1" x14ac:dyDescent="0.25">
      <c r="B26" s="155" t="s">
        <v>226</v>
      </c>
      <c r="C26" s="160">
        <f ca="1">C23+C25-C24</f>
        <v>160099.69</v>
      </c>
    </row>
    <row r="27" spans="2:9" ht="17" thickBot="1" x14ac:dyDescent="0.25"/>
    <row r="28" spans="2:9" x14ac:dyDescent="0.2">
      <c r="B28" s="267" t="s">
        <v>185</v>
      </c>
      <c r="C28" s="268"/>
    </row>
    <row r="29" spans="2:9" x14ac:dyDescent="0.2">
      <c r="B29" s="157" t="s">
        <v>186</v>
      </c>
      <c r="C29" s="159">
        <f ca="1">SUM(H10:L10)</f>
        <v>42837.253161896821</v>
      </c>
    </row>
    <row r="30" spans="2:9" x14ac:dyDescent="0.2">
      <c r="B30" s="157" t="s">
        <v>182</v>
      </c>
      <c r="C30" s="159">
        <f ca="1">L11</f>
        <v>113462.76902240326</v>
      </c>
    </row>
    <row r="31" spans="2:9" x14ac:dyDescent="0.2">
      <c r="B31" s="161" t="s">
        <v>187</v>
      </c>
      <c r="C31" s="162">
        <f ca="1">C29+C30</f>
        <v>156300.02218430006</v>
      </c>
    </row>
    <row r="32" spans="2:9" x14ac:dyDescent="0.2">
      <c r="B32" s="157" t="s">
        <v>188</v>
      </c>
      <c r="C32" s="163">
        <f>C24</f>
        <v>1258</v>
      </c>
    </row>
    <row r="33" spans="2:3" x14ac:dyDescent="0.2">
      <c r="B33" s="157" t="s">
        <v>189</v>
      </c>
      <c r="C33" s="163">
        <f>C25</f>
        <v>2351</v>
      </c>
    </row>
    <row r="34" spans="2:3" x14ac:dyDescent="0.2">
      <c r="B34" s="161" t="s">
        <v>190</v>
      </c>
      <c r="C34" s="162">
        <f ca="1">C31+C32-C33</f>
        <v>155207.02218430006</v>
      </c>
    </row>
    <row r="35" spans="2:3" x14ac:dyDescent="0.2">
      <c r="B35" s="157" t="s">
        <v>68</v>
      </c>
      <c r="C35" s="159">
        <f>C22</f>
        <v>227</v>
      </c>
    </row>
    <row r="36" spans="2:3" ht="17" thickBot="1" x14ac:dyDescent="0.25">
      <c r="B36" s="164" t="s">
        <v>191</v>
      </c>
      <c r="C36" s="165">
        <f ca="1">C34/C35</f>
        <v>683.73137526123378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2026-10-29T21:46:10Z</dcterms:modified>
</cp:coreProperties>
</file>