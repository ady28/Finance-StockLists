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Volumes/KINGSTON/Stocks/Data/Stocks/"/>
    </mc:Choice>
  </mc:AlternateContent>
  <xr:revisionPtr revIDLastSave="0" documentId="13_ncr:1_{825DEB2B-EA80-F14A-BDF8-A3176817DC56}" xr6:coauthVersionLast="47" xr6:coauthVersionMax="47" xr10:uidLastSave="{00000000-0000-0000-0000-000000000000}"/>
  <bookViews>
    <workbookView xWindow="80" yWindow="100" windowWidth="25440" windowHeight="13540" xr2:uid="{AEC0C047-6E16-294C-82BD-58123BA913A1}"/>
  </bookViews>
  <sheets>
    <sheet name="Sheet1" sheetId="1" r:id="rId1"/>
  </sheets>
  <definedNames>
    <definedName name="_xlnm._FilterDatabase" localSheetId="0" hidden="1">Sheet1!$G$2:$H$9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a="1"/>
  <c r="I16" i="1" s="1"/>
  <c r="H16" i="1" a="1"/>
  <c r="H16" i="1" s="1"/>
  <c r="G16" i="1" a="1"/>
  <c r="G16" i="1" s="1"/>
  <c r="F16" i="1" a="1"/>
  <c r="F16" i="1" s="1"/>
  <c r="E16" i="1" a="1"/>
  <c r="E16" i="1" s="1"/>
  <c r="D16" i="1" a="1"/>
  <c r="D16" i="1" s="1"/>
  <c r="C16" i="1" a="1"/>
  <c r="C16" i="1" s="1"/>
  <c r="I15" i="1" a="1"/>
  <c r="I15" i="1" s="1"/>
  <c r="H15" i="1" a="1"/>
  <c r="H15" i="1" s="1"/>
  <c r="G15" i="1" a="1"/>
  <c r="G15" i="1" s="1"/>
  <c r="F15" i="1" a="1"/>
  <c r="F15" i="1" s="1"/>
  <c r="E15" i="1" a="1"/>
  <c r="E15" i="1" s="1"/>
  <c r="D15" i="1" a="1"/>
  <c r="D15" i="1" s="1"/>
  <c r="C15" i="1" a="1"/>
  <c r="C15" i="1" s="1"/>
  <c r="I14" i="1" a="1"/>
  <c r="I14" i="1" s="1"/>
  <c r="H14" i="1" a="1"/>
  <c r="H14" i="1" s="1"/>
  <c r="G14" i="1" a="1"/>
  <c r="G14" i="1" s="1"/>
  <c r="F14" i="1" a="1"/>
  <c r="F14" i="1" s="1"/>
  <c r="E14" i="1" a="1"/>
  <c r="E14" i="1" s="1"/>
  <c r="D14" i="1" a="1"/>
  <c r="D14" i="1" s="1"/>
  <c r="C14" i="1" a="1"/>
  <c r="C14" i="1" s="1"/>
  <c r="I13" i="1" a="1"/>
  <c r="I13" i="1" s="1"/>
  <c r="H13" i="1" a="1"/>
  <c r="H13" i="1" s="1"/>
  <c r="G13" i="1" a="1"/>
  <c r="G13" i="1" s="1"/>
  <c r="F13" i="1" a="1"/>
  <c r="F13" i="1" s="1"/>
  <c r="E13" i="1" a="1"/>
  <c r="E13" i="1" s="1"/>
  <c r="D13" i="1" a="1"/>
  <c r="D13" i="1" s="1"/>
  <c r="C13" i="1" a="1"/>
  <c r="C13" i="1" s="1"/>
  <c r="I12" i="1" a="1"/>
  <c r="I12" i="1" s="1"/>
  <c r="H12" i="1" a="1"/>
  <c r="H12" i="1" s="1"/>
  <c r="G12" i="1" a="1"/>
  <c r="G12" i="1" s="1"/>
  <c r="F12" i="1" a="1"/>
  <c r="F12" i="1" s="1"/>
  <c r="E12" i="1" a="1"/>
  <c r="E12" i="1" s="1"/>
  <c r="D12" i="1" a="1"/>
  <c r="D12" i="1" s="1"/>
  <c r="C12" i="1" a="1"/>
  <c r="C12" i="1" s="1"/>
  <c r="I11" i="1" a="1"/>
  <c r="I11" i="1" s="1"/>
  <c r="H11" i="1" a="1"/>
  <c r="H11" i="1" s="1"/>
  <c r="F11" i="1" a="1"/>
  <c r="F11" i="1" s="1"/>
  <c r="G11" i="1" a="1"/>
  <c r="G11" i="1" s="1"/>
  <c r="E11" i="1" a="1"/>
  <c r="E11" i="1" s="1"/>
  <c r="D11" i="1" a="1"/>
  <c r="D11" i="1" s="1"/>
  <c r="C11" i="1" a="1"/>
  <c r="C11" i="1" s="1"/>
  <c r="E10" i="1" a="1"/>
  <c r="E10" i="1" s="1"/>
  <c r="D10" i="1" a="1"/>
  <c r="D10" i="1" s="1"/>
  <c r="G10" i="1" a="1"/>
  <c r="G10" i="1" s="1"/>
  <c r="C10" i="1" a="1"/>
  <c r="C10" i="1" s="1"/>
  <c r="I4" i="1" a="1"/>
  <c r="I4" i="1" s="1"/>
  <c r="I5" i="1" a="1"/>
  <c r="I5" i="1" s="1"/>
  <c r="I6" i="1" a="1"/>
  <c r="I6" i="1" s="1"/>
  <c r="I7" i="1" a="1"/>
  <c r="I7" i="1" s="1"/>
  <c r="I8" i="1" a="1"/>
  <c r="I8" i="1" s="1"/>
  <c r="I9" i="1" a="1"/>
  <c r="I9" i="1" s="1"/>
  <c r="I3" i="1" a="1"/>
  <c r="I3" i="1" s="1"/>
  <c r="H3" i="1" a="1"/>
  <c r="H3" i="1" s="1"/>
  <c r="H4" i="1" a="1"/>
  <c r="H4" i="1" s="1"/>
  <c r="H5" i="1" a="1"/>
  <c r="H5" i="1" s="1"/>
  <c r="H6" i="1" a="1"/>
  <c r="H6" i="1" s="1"/>
  <c r="H7" i="1" a="1"/>
  <c r="H7" i="1" s="1"/>
  <c r="H8" i="1" a="1"/>
  <c r="H8" i="1" s="1"/>
  <c r="H9" i="1" a="1"/>
  <c r="H9" i="1" s="1"/>
  <c r="G3" i="1" a="1"/>
  <c r="G3" i="1" s="1"/>
  <c r="G4" i="1" a="1"/>
  <c r="G4" i="1" s="1"/>
  <c r="G5" i="1" a="1"/>
  <c r="G5" i="1" s="1"/>
  <c r="G6" i="1" a="1"/>
  <c r="G6" i="1" s="1"/>
  <c r="G7" i="1" a="1"/>
  <c r="G7" i="1" s="1"/>
  <c r="G8" i="1" a="1"/>
  <c r="G8" i="1" s="1"/>
  <c r="G9" i="1" a="1"/>
  <c r="G9" i="1" s="1"/>
  <c r="F3" i="1" a="1"/>
  <c r="F3" i="1" s="1"/>
  <c r="F4" i="1" a="1"/>
  <c r="F4" i="1" s="1"/>
  <c r="F5" i="1" a="1"/>
  <c r="F5" i="1" s="1"/>
  <c r="F6" i="1" a="1"/>
  <c r="F6" i="1" s="1"/>
  <c r="F7" i="1" a="1"/>
  <c r="F7" i="1" s="1"/>
  <c r="F8" i="1" a="1"/>
  <c r="F8" i="1" s="1"/>
  <c r="F9" i="1" a="1"/>
  <c r="F9" i="1" s="1"/>
  <c r="E3" i="1" a="1"/>
  <c r="E3" i="1" s="1"/>
  <c r="E4" i="1" a="1"/>
  <c r="E4" i="1" s="1"/>
  <c r="E5" i="1" a="1"/>
  <c r="E5" i="1" s="1"/>
  <c r="E6" i="1" a="1"/>
  <c r="E6" i="1" s="1"/>
  <c r="E7" i="1" a="1"/>
  <c r="E7" i="1" s="1"/>
  <c r="E8" i="1" a="1"/>
  <c r="E8" i="1" s="1"/>
  <c r="E9" i="1" a="1"/>
  <c r="E9" i="1" s="1"/>
  <c r="D3" i="1" a="1"/>
  <c r="D3" i="1" s="1"/>
  <c r="D4" i="1" a="1"/>
  <c r="D4" i="1" s="1"/>
  <c r="D5" i="1" a="1"/>
  <c r="D5" i="1" s="1"/>
  <c r="D6" i="1" a="1"/>
  <c r="D6" i="1" s="1"/>
  <c r="D7" i="1" a="1"/>
  <c r="D7" i="1" s="1"/>
  <c r="D8" i="1" a="1"/>
  <c r="D8" i="1" s="1"/>
  <c r="D9" i="1" a="1"/>
  <c r="D9" i="1" s="1"/>
  <c r="C3" i="1" a="1"/>
  <c r="C3" i="1" s="1"/>
  <c r="C4" i="1" a="1"/>
  <c r="C4" i="1" s="1"/>
  <c r="C5" i="1" a="1"/>
  <c r="C5" i="1" s="1"/>
  <c r="C6" i="1" a="1"/>
  <c r="C6" i="1" s="1"/>
  <c r="C7" i="1" a="1"/>
  <c r="C7" i="1" s="1"/>
  <c r="C8" i="1" a="1"/>
  <c r="C8" i="1" s="1"/>
  <c r="C9" i="1" a="1"/>
  <c r="C9"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<sst xmlns="http://schemas.openxmlformats.org/spreadsheetml/2006/main" count="9" uniqueCount="9">
  <si>
    <t>Ticker</t>
  </si>
  <si>
    <t>Price</t>
  </si>
  <si>
    <t>52 wk high</t>
  </si>
  <si>
    <t>52 wk low</t>
  </si>
  <si>
    <t>Beta</t>
  </si>
  <si>
    <t>Industry</t>
  </si>
  <si>
    <t>Symbol</t>
  </si>
  <si>
    <t>Volume avg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</si>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</sst>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 x14ac:knownFonts="1">
    <font>
      <sz val="12"/>
      <color theme="1"/>
      <name val="Aptos Narrow"/>
      <family val="2"/>
      <scheme val="minor"/>
    </font>
    <font>
      <b/>
      <sz val="12"/>
      <color theme="0"/>
      <name val="Aptos Narrow"/>
      <scheme val="minor"/>
    </font>
  </fonts>
  <fills count="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1" fillId="3" borderId="0" xfId="0" applyFont="1" applyFill="1"/>
    <xf numFmtId="0" fontId="0" fillId="4" borderId="0" xfId="0" applyFill="1"/>
    <xf numFmtId="164" fontId="0" fillId="5" borderId="0" xfId="0" applyNumberFormat="1" applyFill="1"/>
    <xf numFmtId="4" fontId="0" fillId="5" borderId="0" xfId="0" applyNumberFormat="1" applyFill="1"/>
    <xf numFmtId="0" fontId="0" fillId="5" borderId="0" xfId="0" applyFill="1"/>
    <xf numFmtId="3" fontId="0" fillId="5" borderId="0" xfId="0" applyNumberForma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5">
  <rv s="0">
    <v>https://www.bing.com/financeapi/forcetrigger?t=a1ndww&amp;q=XNAS%3aAMD&amp;form=skydnc</v>
    <v>Learn more on Bing</v>
  </rv>
  <rv s="1">
    <v>0</v>
    <v>ADVANCED MICRO DEVICES, INC. (XNAS:AMD)</v>
    <v>2</v>
    <v>3</v>
    <v>Finance</v>
    <v>4</v>
    <v>en-US</v>
    <v>a1ndww</v>
    <v>268435456</v>
    <v>1</v>
    <v>Powered by Refinitiv</v>
    <v>279.33999999999997</v>
    <v>83.75</v>
    <v>2.0524</v>
    <v>17.0425</v>
    <v>6.6025E-2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279.33999999999997</v>
    <v>Semiconductors &amp; Semiconductor Equipment</v>
    <v>Stock</v>
    <v>46128.812672071093</v>
    <v>0</v>
    <v>261.51</v>
    <v>448608155087</v>
    <v>ADVANCED MICRO DEVICES, INC.</v>
    <v>ADVANCED MICRO DEVICES, INC.</v>
    <v>265</v>
    <v>105.6529</v>
    <v>258.12</v>
    <v>275.16250000000002</v>
    <v>1630339000</v>
    <v>AMD</v>
    <v>ADVANCED MICRO DEVICES, INC. (XNAS:AMD)</v>
    <v>54368477</v>
    <v>32358991</v>
    <v>1969</v>
  </rv>
  <rv s="2">
    <v>1</v>
  </rv>
  <rv s="0">
    <v>https://www.bing.com/financeapi/forcetrigger?t=c2mtim&amp;q=XNAS%3aDUOL&amp;form=skydnc</v>
    <v>Learn more on Bing</v>
  </rv>
  <rv s="1">
    <v>0</v>
    <v>DUOLINGO, INC. (XNAS:DUOL)</v>
    <v>2</v>
    <v>3</v>
    <v>Finance</v>
    <v>4</v>
    <v>en-US</v>
    <v>c2mtim</v>
    <v>268435456</v>
    <v>1</v>
    <v>Powered by Refinitiv</v>
    <v>544.92999999999995</v>
    <v>87.89</v>
    <v>0.84350000000000003</v>
    <v>3.83</v>
    <v>3.8773000000000002E-2</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104.33</v>
    <v>Software &amp; IT Services</v>
    <v>Stock</v>
    <v>46128.812644003905</v>
    <v>3</v>
    <v>99.58</v>
    <v>4817569256</v>
    <v>DUOLINGO, INC.</v>
    <v>DUOLINGO, INC.</v>
    <v>101.02</v>
    <v>12.1031</v>
    <v>98.78</v>
    <v>102.61</v>
    <v>46950290</v>
    <v>DUOL</v>
    <v>DUOLINGO, INC. (XNAS:DUOL)</v>
    <v>1558689</v>
    <v>1774134</v>
    <v>2011</v>
  </rv>
  <rv s="2">
    <v>4</v>
  </rv>
  <rv s="0">
    <v>https://www.bing.com/financeapi/forcetrigger?t=a1vmf2&amp;q=XNAS%3aINTC&amp;form=skydnc</v>
    <v>Learn more on Bing</v>
  </rv>
  <rv s="1">
    <v>0</v>
    <v>INTEL CORPORATION (XNAS:INTC)</v>
    <v>2</v>
    <v>3</v>
    <v>Finance</v>
    <v>4</v>
    <v>en-US</v>
    <v>a1vmf2</v>
    <v>268435456</v>
    <v>1</v>
    <v>Powered by Refinitiv</v>
    <v>68.39</v>
    <v>18.25</v>
    <v>1.6232</v>
    <v>3.1800999999999999</v>
    <v>4.897E-2</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85100</v>
    <v>Nasdaq Stock Market</v>
    <v>XNAS</v>
    <v>XNAS</v>
    <v>2200 Mission College Blvd, Rnb-4-151, SANTA CLARA, CA, 95054 US</v>
    <v>68.39</v>
    <v>Semiconductors &amp; Semiconductor Equipment</v>
    <v>Stock</v>
    <v>46128.812693760934</v>
    <v>6</v>
    <v>64.272000000000006</v>
    <v>342031703300</v>
    <v>INTEL CORPORATION</v>
    <v>INTEL CORPORATION</v>
    <v>64.94</v>
    <v>0</v>
    <v>64.94</v>
    <v>68.120099999999994</v>
    <v>5021010000</v>
    <v>INTC</v>
    <v>INTEL CORPORATION (XNAS:INTC)</v>
    <v>87447607</v>
    <v>101300248</v>
    <v>1989</v>
  </rv>
  <rv s="2">
    <v>7</v>
  </rv>
  <rv s="0">
    <v>https://www.bing.com/financeapi/forcetrigger?t=a1yv52&amp;q=XNAS%3aNVDA&amp;form=skydnc</v>
    <v>Learn more on Bing</v>
  </rv>
  <rv s="1">
    <v>0</v>
    <v>NVIDIA CORPORATION (XNAS:NVDA)</v>
    <v>2</v>
    <v>3</v>
    <v>Finance</v>
    <v>4</v>
    <v>en-US</v>
    <v>a1yv52</v>
    <v>268435456</v>
    <v>1</v>
    <v>Powered by Refinitiv</v>
    <v>212.18989999999999</v>
    <v>95.04</v>
    <v>2.3068</v>
    <v>-0.75729999999999997</v>
    <v>-3.8080000000000002E-3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199.85</v>
    <v>Semiconductors &amp; Semiconductor Equipment</v>
    <v>Stock</v>
    <v>46128.812686411722</v>
    <v>9</v>
    <v>195.81</v>
    <v>4814138610000</v>
    <v>NVIDIA CORPORATION</v>
    <v>NVIDIA CORPORATION</v>
    <v>197.54</v>
    <v>40.4163</v>
    <v>198.87</v>
    <v>198.11269999999999</v>
    <v>24300000000</v>
    <v>NVDA</v>
    <v>NVIDIA CORPORATION (XNAS:NVDA)</v>
    <v>105644942</v>
    <v>166975194</v>
    <v>1998</v>
  </rv>
  <rv s="2">
    <v>10</v>
  </rv>
  <rv s="0">
    <v>https://www.bing.com/financeapi/forcetrigger?t=bqw82w&amp;q=XNYS%3aPHR&amp;form=skydnc</v>
    <v>Learn more on Bing</v>
  </rv>
  <rv s="1">
    <v>0</v>
    <v>PHREESIA, INC. (XNYS:PHR)</v>
    <v>2</v>
    <v>3</v>
    <v>Finance</v>
    <v>4</v>
    <v>en-US</v>
    <v>bqw82w</v>
    <v>268435456</v>
    <v>1</v>
    <v>Powered by Refinitiv</v>
    <v>32.76</v>
    <v>7.77</v>
    <v>0.88819999999999999</v>
    <v>5.5E-2</v>
    <v>6.071E-3</v>
    <v>USD</v>
    <v>Phreesia, Inc. is a provider of comprehensive software solutions that improve the operational and financial performance of healthcare organizations. The Company's solutions include software-as-a-service (SaaS)-based integrated tools that manage patient access, registration, and payments. In addition, its solutions include clinical assessments to screen patients for a variety of physical, behavioral and mental health conditions, helping providers to understand their patients and connect them to needed services, resulting in improved health outcomes. Its Technology solutions segment provides life sciences companies, health plans and other payer organizations (payers), patient advocacy, public interest and other not-for-profit organizations with a channel for direct communication with patients. The Company's solutions also include additional products and services, such as the MediFind provider directory, which helps patients find care based on providers' specific clinical expertise.</v>
    <v>1789</v>
    <v>New York Stock Exchange</v>
    <v>XNYS</v>
    <v>XNYS</v>
    <v>1521 Concord Pike, Suite 301 Pmb 221, WILMINGTON, DE, 19803 US</v>
    <v>9.3949999999999996</v>
    <v>Software &amp; IT Services</v>
    <v>Stock</v>
    <v>46128.812650115622</v>
    <v>12</v>
    <v>9.08</v>
    <v>553855291</v>
    <v>PHREESIA, INC.</v>
    <v>PHREESIA, INC.</v>
    <v>9.16</v>
    <v>0</v>
    <v>9.06</v>
    <v>9.1150000000000002</v>
    <v>60763060</v>
    <v>PHR</v>
    <v>PHREESIA, INC. (XNYS:PHR)</v>
    <v>1165766</v>
    <v>2688840</v>
    <v>2005</v>
  </rv>
  <rv s="2">
    <v>13</v>
  </rv>
  <rv s="0">
    <v>http://en.wikipedia.org/wiki/Public_domain</v>
    <v>Public domain</v>
  </rv>
  <rv s="0">
    <v>http://en.wikipedia.org/wiki/Qualcomm</v>
    <v>Wikipedia</v>
  </rv>
  <rv s="3">
    <v>15</v>
    <v>16</v>
  </rv>
  <rv s="4">
    <v>9</v>
    <v>https://www.bing.com/th?id=AMMS_2b1c176dae370ecc0d55a1517537f595&amp;qlt=95</v>
    <v>17</v>
    <v>0</v>
    <v>https://www.bing.com/images/search?form=xlimg&amp;q=qualcomm</v>
    <v>Image of QUALCOMM INCORPORATED</v>
  </rv>
  <rv s="0">
    <v>https://www.bing.com/financeapi/forcetrigger?t=a21k2w&amp;q=XNAS%3aQCOM&amp;form=skydnc</v>
    <v>Learn more on Bing</v>
  </rv>
  <rv s="5">
    <v>5</v>
    <v>QUALCOMM INCORPORATED (XNAS:QCOM)</v>
    <v>7</v>
    <v>8</v>
    <v>Finance</v>
    <v>4</v>
    <v>en-US</v>
    <v>a21k2w</v>
    <v>268435456</v>
    <v>1</v>
    <v>Powered by Refinitiv</v>
    <v>205.95</v>
    <v>121.99</v>
    <v>1.2523</v>
    <v>1.31</v>
    <v>9.8460000000000006E-3</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135.70140000000001</v>
    <v>18</v>
    <v>Semiconductors &amp; Semiconductor Equipment</v>
    <v>Stock</v>
    <v>46128.812682823438</v>
    <v>19</v>
    <v>131.84</v>
    <v>143362120000</v>
    <v>QUALCOMM INCORPORATED</v>
    <v>QUALCOMM INCORPORATED</v>
    <v>131.99</v>
    <v>27.757999999999999</v>
    <v>133.05000000000001</v>
    <v>134.36000000000001</v>
    <v>1067000000</v>
    <v>QCOM</v>
    <v>QUALCOMM INCORPORATED (XNAS:QCOM)</v>
    <v>5021840</v>
    <v>12273405</v>
    <v>1991</v>
  </rv>
  <rv s="2">
    <v>20</v>
  </rv>
  <rv s="6">
    <v>10</v>
    <v>SHARKNINJA, INC. (XNYS:SN)</v>
    <v>11</v>
    <v>3</v>
    <v>Finance</v>
    <v>4</v>
    <v>en-US</v>
    <v>cag2ar</v>
    <v>268435456</v>
    <v>1</v>
    <v>Powered by Refinitiv</v>
    <v>133.99</v>
    <v>69.19</v>
    <v>1.4079999999999999</v>
    <v>-0.74</v>
    <v>-6.4059999999999994E-3</v>
    <v>USD</v>
    <v>SharkNinja, Inc. is a global product design and technology company, which offers lifestyle solutions to consumers around the world. Its diverse product portfolio spans over 36 household sub-categories, across cleaning, cooking, food preparation, and others, which include home environment and beauty. Its brands include Shark and Ninja. The Shark brand offerings cover handheld and robotic vacuums, as well as other floorcare products, including steam mops, wet/dry cleaning floor products and carpet extraction, beauty appliance and home environmental products. Ninja brand offers small kitchen appliances in the United States and its diversified product offering spans across consumers’ kitchens, both indoors and outdoors, with leading products in air fryers, multi-cookers, outdoor and countertop grills and ovens, coffee systems, carbonation, cookware, cutlery, kettles, toasters, and others. Its products are sold at key retailers, online and offline, and through distributors around the world.</v>
    <v>4143</v>
    <v>New York Stock Exchange</v>
    <v>XNYS</v>
    <v>XNYS</v>
    <v>89 A Street, #100, NEEDHAM, MA, 02494 US</v>
    <v>116.4</v>
    <v>Household Goods</v>
    <v>Stock</v>
    <v>46128.812639293748</v>
    <v>113.21</v>
    <v>16210447633</v>
    <v>SHARKNINJA, INC.</v>
    <v>SHARKNINJA, INC.</v>
    <v>115.8</v>
    <v>23.207000000000001</v>
    <v>115.51</v>
    <v>114.77</v>
    <v>141242900</v>
    <v>SN</v>
    <v>SHARKNINJA, INC. (XNYS:SN)</v>
    <v>701886</v>
    <v>2057133</v>
    <v>2017</v>
  </rv>
  <rv s="2">
    <v>22</v>
  </rv>
  <rv s="0">
    <v>https://www.bing.com/financeapi/forcetrigger?t=a33knm&amp;q=10+Y+TSY+YLD+NDX&amp;form=skydnc</v>
    <v>Learn more on Bing</v>
  </rv>
  <rv s="7">
    <v>12</v>
    <v>10 Y TSY YLD NDX</v>
    <v>13</v>
    <v>14</v>
    <v>Finance</v>
    <v>15</v>
    <v>en-US</v>
    <v>a33knm</v>
    <v>268435456</v>
    <v>1</v>
    <v>Powered by Refinitiv</v>
    <v>46.29</v>
    <v>39.47</v>
    <v>0.26</v>
    <v>6.1089999999999998E-3</v>
    <v>US</v>
    <v>42.93</v>
    <v>Index</v>
    <v>24</v>
    <v>42.64</v>
    <v>10 Y TSY YLD NDX</v>
    <v>42.72</v>
    <v>42.56</v>
    <v>42.82</v>
    <v>TNX</v>
    <v>10 Y TSY YLD NDX</v>
  </rv>
  <rv s="2">
    <v>25</v>
  </rv>
  <rv s="0">
    <v>https://www.bing.com/financeapi/forcetrigger?t=a1mqec&amp;q=XNYS%3aABEV&amp;form=skydnc</v>
    <v>Learn more on Bing</v>
  </rv>
  <rv s="1">
    <v>0</v>
    <v>Ambev SA (XNYS:ABEV)</v>
    <v>2</v>
    <v>3</v>
    <v>Finance</v>
    <v>4</v>
    <v>en-US</v>
    <v>a1mqec</v>
    <v>268435456</v>
    <v>1</v>
    <v>Powered by Refinitiv</v>
    <v>3.24</v>
    <v>2.1</v>
    <v>0.69579999999999997</v>
    <v>-6.5000000000000002E-2</v>
    <v>-2.0767000000000001E-2</v>
    <v>USD</v>
    <v>Ambev SA, formerly Inbev Participacoes Societarias SA, is a Brazil-based company engaged in the brewing sector. The Company produces, distributes and sells beer, carbonated soft drinks (CSDs) and other non-alcoholic and non-carbonated (NANC) beverages across the Americas. The Company's activities are divided into three segments: Latin America North, including sell of beer, CSD and NANC drinks in Brazil, as well as operations in the Dominican Republic, Saint Vincent, Antigua, Dominica, Cuba, Guatemala, El Salvador, Honduras, Nicaragua, Barbados and Panama; Latin America South, distributing products in Argentina, Bolivia, Paraguay, Uruguay, Chile; and Canada, represented by Labatt’s operations, which comprises sales in Canada and some exports to the U.S. market. The Company markets products under various brand names, such as Adriatica, Brahma, Leffe, Budweiser, Corona, PepsiCo and Lipton. It is a subsidiary of Interbrew International BV.</v>
    <v>39000</v>
    <v>New York Stock Exchange</v>
    <v>XNYS</v>
    <v>XNYS</v>
    <v>Rua Dr. Renato Paes de Barros, 1.017, 4 andar, Itaim Bibi, SAO PAULO, SAO PAULO, 04.530-001 BR</v>
    <v>3.09</v>
    <v>Beverages</v>
    <v>Stock</v>
    <v>46128.812637360934</v>
    <v>27</v>
    <v>3.02</v>
    <v>48315648550</v>
    <v>Ambev SA</v>
    <v>Ambev SA</v>
    <v>3.08</v>
    <v>16.980599999999999</v>
    <v>3.13</v>
    <v>3.0649999999999999</v>
    <v>15763670000</v>
    <v>ABEV</v>
    <v>Ambev SA (XNYS:ABEV)</v>
    <v>21939708</v>
    <v>26833263</v>
    <v>2005</v>
  </rv>
  <rv s="2">
    <v>28</v>
  </rv>
  <rv s="0">
    <v>https://www.bing.com/financeapi/forcetrigger?t=a221mw&amp;q=XNYS%3aRIO&amp;form=skydnc</v>
    <v>Learn more on Bing</v>
  </rv>
  <rv s="1">
    <v>0</v>
    <v>RIO TINTO PLC (XNYS:RIO)</v>
    <v>2</v>
    <v>3</v>
    <v>Finance</v>
    <v>4</v>
    <v>en-US</v>
    <v>a221mw</v>
    <v>268435456</v>
    <v>1</v>
    <v>Powered by Refinitiv</v>
    <v>101.53</v>
    <v>55.64</v>
    <v>0.56659999999999999</v>
    <v>1.4450000000000001</v>
    <v>1.4661E-2</v>
    <v>USD</v>
    <v>Rio Tinto plc is a United Kingdom-based mining and materials company. It operates in over 35 countries, and its portfolio includes iron ore, copper, aluminum and a range of other minerals and materials. Its segments include Iron Ore, Aluminum, Copper, and Minerals. The Iron Ore segment includes iron ore mining and salt and gypsum production in Western Australia. Its iron ore operations in Pilbara comprise an integrated network of over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v>
    <v>61230</v>
    <v>New York Stock Exchange</v>
    <v>XNYS</v>
    <v>XNYS</v>
    <v>6 St James's Square, LONDON, SW1Y 4AD GB</v>
    <v>100.24</v>
    <v>Metals &amp; Mining</v>
    <v>Stock</v>
    <v>46128.81265895781</v>
    <v>30</v>
    <v>99.17</v>
    <v>162685933890</v>
    <v>RIO TINTO PLC</v>
    <v>RIO TINTO PLC</v>
    <v>99.8</v>
    <v>16.437100000000001</v>
    <v>98.56</v>
    <v>100.005</v>
    <v>1626778000</v>
    <v>RIO</v>
    <v>RIO TINTO PLC (XNYS:RIO)</v>
    <v>1810053</v>
    <v>3015354</v>
    <v>1962</v>
  </rv>
  <rv s="2">
    <v>31</v>
  </rv>
  <rv s="0">
    <v>https://www.bing.com/financeapi/forcetrigger?t=a24xlh&amp;q=XNYS%3aUNH&amp;form=skydnc</v>
    <v>Learn more on Bing</v>
  </rv>
  <rv s="1">
    <v>0</v>
    <v>UNITEDHEALTH GROUP INCORPORATED (XNYS:UNH)</v>
    <v>2</v>
    <v>3</v>
    <v>Finance</v>
    <v>4</v>
    <v>en-US</v>
    <v>a24xlh</v>
    <v>268435456</v>
    <v>1</v>
    <v>Powered by Refinitiv</v>
    <v>594.80999999999995</v>
    <v>234.6</v>
    <v>0.46450000000000002</v>
    <v>2.86</v>
    <v>9.1069999999999988E-3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318.61</v>
    <v>Healthcare Providers &amp; Services</v>
    <v>Stock</v>
    <v>46128.812670022657</v>
    <v>33</v>
    <v>313.11009999999999</v>
    <v>287651537778</v>
    <v>UNITEDHEALTH GROUP INCORPORATED</v>
    <v>UNITEDHEALTH GROUP INCORPORATED</v>
    <v>315</v>
    <v>24.019600000000001</v>
    <v>314.05</v>
    <v>316.91000000000003</v>
    <v>907675800</v>
    <v>UNH</v>
    <v>UNITEDHEALTH GROUP INCORPORATED (XNYS:UNH)</v>
    <v>3056447</v>
    <v>8825017</v>
    <v>2015</v>
  </rv>
  <rv s="2">
    <v>34</v>
  </rv>
  <rv s="0">
    <v>https://www.bing.com/financeapi/forcetrigger?t=a1nhlh&amp;q=XNAS%3aAMZN&amp;form=skydnc</v>
    <v>Learn more on Bing</v>
  </rv>
  <rv s="1">
    <v>0</v>
    <v>AMAZON.COM, INC. (XNAS:AMZN)</v>
    <v>2</v>
    <v>3</v>
    <v>Finance</v>
    <v>4</v>
    <v>en-US</v>
    <v>a1nhlh</v>
    <v>268435456</v>
    <v>1</v>
    <v>Powered by Refinitiv</v>
    <v>258.60000000000002</v>
    <v>165.285</v>
    <v>1.4165000000000001</v>
    <v>0.15</v>
    <v>6.0359999999999993E-4</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250</v>
    <v>Diversified Retail</v>
    <v>Stock</v>
    <v>46128.812680659372</v>
    <v>36</v>
    <v>244.2</v>
    <v>2674079073500</v>
    <v>AMAZON.COM, INC.</v>
    <v>AMAZON.COM, INC.</v>
    <v>249</v>
    <v>34.668599999999998</v>
    <v>248.5</v>
    <v>248.65</v>
    <v>10754390000</v>
    <v>AMZN</v>
    <v>AMAZON.COM, INC. (XNAS:AMZN)</v>
    <v>30641342</v>
    <v>45032152</v>
    <v>1996</v>
  </rv>
  <rv s="2">
    <v>37</v>
  </rv>
  <rv s="0">
    <v>https://www.bing.com/financeapi/forcetrigger?t=a1u3rw&amp;q=XNAS%3aGOOGL&amp;form=skydnc</v>
    <v>Learn more on Bing</v>
  </rv>
  <rv s="1">
    <v>0</v>
    <v>ALPHABET INC. (XNAS:GOOGL)</v>
    <v>2</v>
    <v>3</v>
    <v>Finance</v>
    <v>4</v>
    <v>en-US</v>
    <v>a1u3rw</v>
    <v>268435456</v>
    <v>1</v>
    <v>Powered by Refinitiv</v>
    <v>349</v>
    <v>146.1</v>
    <v>1.1456</v>
    <v>-1.89</v>
    <v>-5.6059999999999999E-3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339.88</v>
    <v>Software &amp; IT Services</v>
    <v>Stock</v>
    <v>46128.812682950782</v>
    <v>39</v>
    <v>334.52</v>
    <v>4055277310000</v>
    <v>ALPHABET INC.</v>
    <v>ALPHABET INC.</v>
    <v>338.43</v>
    <v>31.011099999999999</v>
    <v>337.12</v>
    <v>335.23</v>
    <v>12097000000</v>
    <v>GOOGL</v>
    <v>ALPHABET INC. (XNAS:GOOGL)</v>
    <v>12911879</v>
    <v>28190353</v>
    <v>2015</v>
  </rv>
  <rv s="2">
    <v>40</v>
  </rv>
  <rv s="0">
    <v>https://www.bing.com/financeapi/forcetrigger?t=a269ec&amp;q=XNYS%3aXOM&amp;form=skydnc</v>
    <v>Learn more on Bing</v>
  </rv>
  <rv s="1">
    <v>0</v>
    <v>EXXON MOBIL CORPORATION (XNYS:XOM)</v>
    <v>2</v>
    <v>3</v>
    <v>Finance</v>
    <v>4</v>
    <v>en-US</v>
    <v>a269ec</v>
    <v>268435456</v>
    <v>1</v>
    <v>Powered by Refinitiv</v>
    <v>176.41</v>
    <v>101.185</v>
    <v>0.19969999999999999</v>
    <v>3.01</v>
    <v>2.0199999999999999E-2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152.78</v>
    <v>Oil &amp; Gas</v>
    <v>Stock</v>
    <v>46128.812652279688</v>
    <v>42</v>
    <v>149.345</v>
    <v>631880251200</v>
    <v>EXXON MOBIL CORPORATION</v>
    <v>EXXON MOBIL CORPORATION</v>
    <v>149.63</v>
    <v>22.755800000000001</v>
    <v>149.01</v>
    <v>152.02000000000001</v>
    <v>4156560000</v>
    <v>XOM</v>
    <v>EXXON MOBIL CORPORATION (XNYS:XOM)</v>
    <v>9488909</v>
    <v>24930259</v>
    <v>1882</v>
  </rv>
  <rv s="2">
    <v>43</v>
  </rv>
</rvData>
</file>

<file path=xl/richData/rdrichvaluestructure.xml><?xml version="1.0" encoding="utf-8"?>
<rvStructures xmlns="http://schemas.microsoft.com/office/spreadsheetml/2017/richdata" count="8">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9">
      <v>2</v>
      <v>Name</v>
    </spb>
    <spb s="10">
      <v>1</v>
      <v>1</v>
      <v>1</v>
    </spb>
    <spb s="0">
      <v>3</v>
      <v>Name</v>
      <v>LearnMoreOnLink</v>
    </spb>
    <spb s="11">
      <v>1</v>
      <v>1</v>
      <v>1</v>
    </spb>
    <spb s="12">
      <v>1</v>
      <v>1</v>
      <v>3</v>
      <v>1</v>
      <v>1</v>
      <v>1</v>
      <v>5</v>
      <v>1</v>
      <v>1</v>
      <v>1</v>
      <v>9</v>
    </spb>
    <spb s="13">
      <v>from previous close</v>
      <v>from previous close</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Order" t="spba"/>
    <k n="TitleProperty" t="s"/>
  </s>
  <s>
    <k n="ExchangeID" t="spb"/>
    <k n="UniqueName" t="spb"/>
    <k n="`%ProviderInfo" t="spb"/>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1FAB9A-CCFE-C14D-87AF-0AF9FAF5812C}">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A1:I16"/>
  <sheetViews>
    <sheetView tabSelected="1" zoomScale="169" workbookViewId="0">
      <selection activeCell="C5" sqref="C5"/>
    </sheetView>
  </sheetViews>
  <sheetFormatPr baseColWidth="10" defaultRowHeight="16" x14ac:dyDescent="0.2"/>
  <cols>
    <col min="1" max="1" width="2.6640625" style="1" customWidth="1"/>
    <col min="2" max="2" width="24.33203125" style="1" customWidth="1"/>
    <col min="3" max="3" width="12.1640625" style="1" customWidth="1"/>
    <col min="4" max="4" width="11.83203125" style="1" customWidth="1"/>
    <col min="5" max="5" width="12.1640625" style="1" customWidth="1"/>
    <col min="6" max="6" width="7.83203125" style="1" customWidth="1"/>
    <col min="7" max="7" width="9.83203125" style="1" customWidth="1"/>
    <col min="8" max="8" width="41.5" style="1" customWidth="1"/>
    <col min="9" max="16384" width="10.83203125" style="1"/>
  </cols>
  <sheetData>
    <row r="1" spans="1:9" ht="11" customHeight="1" x14ac:dyDescent="0.2"/>
    <row r="2" spans="1:9" x14ac:dyDescent="0.2">
      <c r="B2" s="2" t="s">
        <v>0</v>
      </c>
      <c r="C2" s="2" t="s">
        <v>1</v>
      </c>
      <c r="D2" s="2" t="s">
        <v>2</v>
      </c>
      <c r="E2" s="2" t="s">
        <v>3</v>
      </c>
      <c r="F2" s="2" t="s">
        <v>4</v>
      </c>
      <c r="G2" s="2" t="s">
        <v>6</v>
      </c>
      <c r="H2" s="2" t="s">
        <v>5</v>
      </c>
      <c r="I2" s="2" t="s">
        <v>7</v>
      </c>
    </row>
    <row r="3" spans="1:9" x14ac:dyDescent="0.2">
      <c r="B3" s="3" t="e" vm="1">
        <v>#VALUE!</v>
      </c>
      <c r="C3" s="4" cm="1">
        <f t="array" aca="1" ref="C3" ca="1">_FV(B3,"Price")</f>
        <v>275.16250000000002</v>
      </c>
      <c r="D3" s="4" cm="1">
        <f t="array" aca="1" ref="D3" ca="1">_FV(B3,"52 week high",TRUE)</f>
        <v>279.33999999999997</v>
      </c>
      <c r="E3" s="4" cm="1">
        <f t="array" aca="1" ref="E3" ca="1">_FV(B3,"52 week low",TRUE)</f>
        <v>83.75</v>
      </c>
      <c r="F3" s="5" cm="1">
        <f t="array" aca="1" ref="F3" ca="1">_FV(B3,"Beta")</f>
        <v>2.0524</v>
      </c>
      <c r="G3" s="6" t="str" cm="1">
        <f t="array" aca="1" ref="G3" ca="1">_FV(B3,"Ticker symbol",TRUE)</f>
        <v>AMD</v>
      </c>
      <c r="H3" s="6" t="str" cm="1">
        <f t="array" aca="1" ref="H3" ca="1">_FV(B3,"Industry")</f>
        <v>Semiconductors &amp; Semiconductor Equipment</v>
      </c>
      <c r="I3" s="7" cm="1">
        <f t="array" aca="1" ref="I3" ca="1">_FV(B3,"Volume average",TRUE)</f>
        <v>32358991</v>
      </c>
    </row>
    <row r="4" spans="1:9" x14ac:dyDescent="0.2">
      <c r="B4" s="3" t="e" vm="2">
        <v>#VALUE!</v>
      </c>
      <c r="C4" s="4" cm="1">
        <f t="array" aca="1" ref="C4" ca="1">_FV(B4,"Price")</f>
        <v>102.61</v>
      </c>
      <c r="D4" s="4" cm="1">
        <f t="array" aca="1" ref="D4" ca="1">_FV(B4,"52 week high",TRUE)</f>
        <v>544.92999999999995</v>
      </c>
      <c r="E4" s="4" cm="1">
        <f t="array" aca="1" ref="E4" ca="1">_FV(B4,"52 week low",TRUE)</f>
        <v>87.89</v>
      </c>
      <c r="F4" s="5" cm="1">
        <f t="array" aca="1" ref="F4" ca="1">_FV(B4,"Beta")</f>
        <v>0.84350000000000003</v>
      </c>
      <c r="G4" s="6" t="str" cm="1">
        <f t="array" aca="1" ref="G4" ca="1">_FV(B4,"Ticker symbol",TRUE)</f>
        <v>DUOL</v>
      </c>
      <c r="H4" s="6" t="str" cm="1">
        <f t="array" aca="1" ref="H4" ca="1">_FV(B4,"Industry")</f>
        <v>Software &amp; IT Services</v>
      </c>
      <c r="I4" s="7" cm="1">
        <f t="array" aca="1" ref="I4" ca="1">_FV(B4,"Volume average",TRUE)</f>
        <v>1774134</v>
      </c>
    </row>
    <row r="5" spans="1:9" x14ac:dyDescent="0.2">
      <c r="B5" s="3" t="e" vm="3">
        <v>#VALUE!</v>
      </c>
      <c r="C5" s="4" cm="1">
        <f t="array" aca="1" ref="C5" ca="1">_FV(B5,"Price")</f>
        <v>68.120099999999994</v>
      </c>
      <c r="D5" s="4" cm="1">
        <f t="array" aca="1" ref="D5" ca="1">_FV(B5,"52 week high",TRUE)</f>
        <v>68.39</v>
      </c>
      <c r="E5" s="4" cm="1">
        <f t="array" aca="1" ref="E5" ca="1">_FV(B5,"52 week low",TRUE)</f>
        <v>18.25</v>
      </c>
      <c r="F5" s="5" cm="1">
        <f t="array" aca="1" ref="F5" ca="1">_FV(B5,"Beta")</f>
        <v>1.6232</v>
      </c>
      <c r="G5" s="6" t="str" cm="1">
        <f t="array" aca="1" ref="G5" ca="1">_FV(B5,"Ticker symbol",TRUE)</f>
        <v>INTC</v>
      </c>
      <c r="H5" s="6" t="str" cm="1">
        <f t="array" aca="1" ref="H5" ca="1">_FV(B5,"Industry")</f>
        <v>Semiconductors &amp; Semiconductor Equipment</v>
      </c>
      <c r="I5" s="7" cm="1">
        <f t="array" aca="1" ref="I5" ca="1">_FV(B5,"Volume average",TRUE)</f>
        <v>101300248</v>
      </c>
    </row>
    <row r="6" spans="1:9" x14ac:dyDescent="0.2">
      <c r="B6" s="3" t="e" vm="4">
        <v>#VALUE!</v>
      </c>
      <c r="C6" s="4" cm="1">
        <f t="array" aca="1" ref="C6" ca="1">_FV(B6,"Price")</f>
        <v>198.11269999999999</v>
      </c>
      <c r="D6" s="4" cm="1">
        <f t="array" aca="1" ref="D6" ca="1">_FV(B6,"52 week high",TRUE)</f>
        <v>212.18989999999999</v>
      </c>
      <c r="E6" s="4" cm="1">
        <f t="array" aca="1" ref="E6" ca="1">_FV(B6,"52 week low",TRUE)</f>
        <v>95.04</v>
      </c>
      <c r="F6" s="5" cm="1">
        <f t="array" aca="1" ref="F6" ca="1">_FV(B6,"Beta")</f>
        <v>2.3068</v>
      </c>
      <c r="G6" s="6" t="str" cm="1">
        <f t="array" aca="1" ref="G6" ca="1">_FV(B6,"Ticker symbol",TRUE)</f>
        <v>NVDA</v>
      </c>
      <c r="H6" s="6" t="str" cm="1">
        <f t="array" aca="1" ref="H6" ca="1">_FV(B6,"Industry")</f>
        <v>Semiconductors &amp; Semiconductor Equipment</v>
      </c>
      <c r="I6" s="7" cm="1">
        <f t="array" aca="1" ref="I6" ca="1">_FV(B6,"Volume average",TRUE)</f>
        <v>166975194</v>
      </c>
    </row>
    <row r="7" spans="1:9" x14ac:dyDescent="0.2">
      <c r="B7" s="3" t="e" vm="5">
        <v>#VALUE!</v>
      </c>
      <c r="C7" s="4" cm="1">
        <f t="array" aca="1" ref="C7" ca="1">_FV(B7,"Price")</f>
        <v>9.1150000000000002</v>
      </c>
      <c r="D7" s="4" cm="1">
        <f t="array" aca="1" ref="D7" ca="1">_FV(B7,"52 week high",TRUE)</f>
        <v>32.76</v>
      </c>
      <c r="E7" s="4" cm="1">
        <f t="array" aca="1" ref="E7" ca="1">_FV(B7,"52 week low",TRUE)</f>
        <v>7.77</v>
      </c>
      <c r="F7" s="5" cm="1">
        <f t="array" aca="1" ref="F7" ca="1">_FV(B7,"Beta")</f>
        <v>0.88819999999999999</v>
      </c>
      <c r="G7" s="6" t="str" cm="1">
        <f t="array" aca="1" ref="G7" ca="1">_FV(B7,"Ticker symbol",TRUE)</f>
        <v>PHR</v>
      </c>
      <c r="H7" s="6" t="str" cm="1">
        <f t="array" aca="1" ref="H7" ca="1">_FV(B7,"Industry")</f>
        <v>Software &amp; IT Services</v>
      </c>
      <c r="I7" s="7" cm="1">
        <f t="array" aca="1" ref="I7" ca="1">_FV(B7,"Volume average",TRUE)</f>
        <v>2688840</v>
      </c>
    </row>
    <row r="8" spans="1:9" x14ac:dyDescent="0.2">
      <c r="B8" s="3" t="e" vm="6">
        <v>#VALUE!</v>
      </c>
      <c r="C8" s="4" cm="1">
        <f t="array" aca="1" ref="C8" ca="1">_FV(B8,"Price")</f>
        <v>134.36000000000001</v>
      </c>
      <c r="D8" s="4" cm="1">
        <f t="array" aca="1" ref="D8" ca="1">_FV(B8,"52 week high",TRUE)</f>
        <v>205.95</v>
      </c>
      <c r="E8" s="4" cm="1">
        <f t="array" aca="1" ref="E8" ca="1">_FV(B8,"52 week low",TRUE)</f>
        <v>121.99</v>
      </c>
      <c r="F8" s="5" cm="1">
        <f t="array" aca="1" ref="F8" ca="1">_FV(B8,"Beta")</f>
        <v>1.2523</v>
      </c>
      <c r="G8" s="6" t="str" cm="1">
        <f t="array" aca="1" ref="G8" ca="1">_FV(B8,"Ticker symbol",TRUE)</f>
        <v>QCOM</v>
      </c>
      <c r="H8" s="6" t="str" cm="1">
        <f t="array" aca="1" ref="H8" ca="1">_FV(B8,"Industry")</f>
        <v>Semiconductors &amp; Semiconductor Equipment</v>
      </c>
      <c r="I8" s="7" cm="1">
        <f t="array" aca="1" ref="I8" ca="1">_FV(B8,"Volume average",TRUE)</f>
        <v>12273405</v>
      </c>
    </row>
    <row r="9" spans="1:9" x14ac:dyDescent="0.2">
      <c r="B9" s="3" t="e" vm="7">
        <v>#VALUE!</v>
      </c>
      <c r="C9" s="4" cm="1">
        <f t="array" aca="1" ref="C9" ca="1">_FV(B9,"Price")</f>
        <v>114.77</v>
      </c>
      <c r="D9" s="4" cm="1">
        <f t="array" aca="1" ref="D9" ca="1">_FV(B9,"52 week high",TRUE)</f>
        <v>133.99</v>
      </c>
      <c r="E9" s="4" cm="1">
        <f t="array" aca="1" ref="E9" ca="1">_FV(B9,"52 week low",TRUE)</f>
        <v>69.19</v>
      </c>
      <c r="F9" s="5" cm="1">
        <f t="array" aca="1" ref="F9" ca="1">_FV(B9,"Beta")</f>
        <v>1.4079999999999999</v>
      </c>
      <c r="G9" s="6" t="str" cm="1">
        <f t="array" aca="1" ref="G9" ca="1">_FV(B9,"Ticker symbol",TRUE)</f>
        <v>SN</v>
      </c>
      <c r="H9" s="6" t="str" cm="1">
        <f t="array" aca="1" ref="H9" ca="1">_FV(B9,"Industry")</f>
        <v>Household Goods</v>
      </c>
      <c r="I9" s="7" cm="1">
        <f t="array" aca="1" ref="I9" ca="1">_FV(B9,"Volume average",TRUE)</f>
        <v>2057133</v>
      </c>
    </row>
    <row r="10" spans="1:9" x14ac:dyDescent="0.2">
      <c r="A10" s="8" t="s">
        <v>8</v>
      </c>
      <c r="B10" s="3" t="e" vm="8">
        <v>#VALUE!</v>
      </c>
      <c r="C10" s="4" cm="1">
        <f t="array" aca="1" ref="C10" ca="1">_FV(B10,"Price")</f>
        <v>42.82</v>
      </c>
      <c r="D10" s="4" cm="1">
        <f t="array" aca="1" ref="D10" ca="1">_FV(B10,"52 week high",TRUE)</f>
        <v>46.29</v>
      </c>
      <c r="E10" s="4" cm="1">
        <f t="array" aca="1" ref="E10" ca="1">_FV(B10,"52 week low",TRUE)</f>
        <v>39.47</v>
      </c>
      <c r="F10" s="4"/>
      <c r="G10" s="6" t="str" cm="1">
        <f t="array" aca="1" ref="G10" ca="1">_FV(B10,"Ticker symbol",TRUE)</f>
        <v>TNX</v>
      </c>
      <c r="H10" s="6"/>
      <c r="I10" s="7"/>
    </row>
    <row r="11" spans="1:9" x14ac:dyDescent="0.2">
      <c r="B11" s="3" t="e" vm="9">
        <v>#VALUE!</v>
      </c>
      <c r="C11" s="4" cm="1">
        <f t="array" aca="1" ref="C11" ca="1">_FV(B11,"Price")</f>
        <v>3.0649999999999999</v>
      </c>
      <c r="D11" s="4" cm="1">
        <f t="array" aca="1" ref="D11" ca="1">_FV(B11,"52 week high",TRUE)</f>
        <v>3.24</v>
      </c>
      <c r="E11" s="4" cm="1">
        <f t="array" aca="1" ref="E11" ca="1">_FV(B11,"52 week low",TRUE)</f>
        <v>2.1</v>
      </c>
      <c r="F11" s="5" cm="1">
        <f t="array" aca="1" ref="F11" ca="1">_FV(B11,"Beta")</f>
        <v>0.69579999999999997</v>
      </c>
      <c r="G11" s="6" t="str" cm="1">
        <f t="array" aca="1" ref="G11" ca="1">_FV(B11,"Ticker symbol",TRUE)</f>
        <v>ABEV</v>
      </c>
      <c r="H11" s="6" t="str" cm="1">
        <f t="array" aca="1" ref="H11" ca="1">_FV(B11,"Industry")</f>
        <v>Beverages</v>
      </c>
      <c r="I11" s="7" cm="1">
        <f t="array" aca="1" ref="I11" ca="1">_FV(B11,"Volume average",TRUE)</f>
        <v>26833263</v>
      </c>
    </row>
    <row r="12" spans="1:9" x14ac:dyDescent="0.2">
      <c r="B12" s="3" t="e" vm="10">
        <v>#VALUE!</v>
      </c>
      <c r="C12" s="4" cm="1">
        <f t="array" aca="1" ref="C12" ca="1">_FV(B12,"Price")</f>
        <v>100.005</v>
      </c>
      <c r="D12" s="4" cm="1">
        <f t="array" aca="1" ref="D12" ca="1">_FV(B12,"52 week high",TRUE)</f>
        <v>101.53</v>
      </c>
      <c r="E12" s="4" cm="1">
        <f t="array" aca="1" ref="E12" ca="1">_FV(B12,"52 week low",TRUE)</f>
        <v>55.64</v>
      </c>
      <c r="F12" s="5" cm="1">
        <f t="array" aca="1" ref="F12" ca="1">_FV(B12,"Beta")</f>
        <v>0.56659999999999999</v>
      </c>
      <c r="G12" s="6" t="str" cm="1">
        <f t="array" aca="1" ref="G12" ca="1">_FV(B12,"Ticker symbol",TRUE)</f>
        <v>RIO</v>
      </c>
      <c r="H12" s="6" t="str" cm="1">
        <f t="array" aca="1" ref="H12" ca="1">_FV(B12,"Industry")</f>
        <v>Metals &amp; Mining</v>
      </c>
      <c r="I12" s="7" cm="1">
        <f t="array" aca="1" ref="I12" ca="1">_FV(B12,"Volume average",TRUE)</f>
        <v>3015354</v>
      </c>
    </row>
    <row r="13" spans="1:9" x14ac:dyDescent="0.2">
      <c r="B13" s="3" t="e" vm="11">
        <v>#VALUE!</v>
      </c>
      <c r="C13" s="4" cm="1">
        <f t="array" aca="1" ref="C13" ca="1">_FV(B13,"Price")</f>
        <v>316.91000000000003</v>
      </c>
      <c r="D13" s="4" cm="1">
        <f t="array" aca="1" ref="D13" ca="1">_FV(B13,"52 week high",TRUE)</f>
        <v>594.80999999999995</v>
      </c>
      <c r="E13" s="4" cm="1">
        <f t="array" aca="1" ref="E13" ca="1">_FV(B13,"52 week low",TRUE)</f>
        <v>234.6</v>
      </c>
      <c r="F13" s="5" cm="1">
        <f t="array" aca="1" ref="F13" ca="1">_FV(B13,"Beta")</f>
        <v>0.46450000000000002</v>
      </c>
      <c r="G13" s="6" t="str" cm="1">
        <f t="array" aca="1" ref="G13" ca="1">_FV(B13,"Ticker symbol",TRUE)</f>
        <v>UNH</v>
      </c>
      <c r="H13" s="6" t="str" cm="1">
        <f t="array" aca="1" ref="H13" ca="1">_FV(B13,"Industry")</f>
        <v>Healthcare Providers &amp; Services</v>
      </c>
      <c r="I13" s="7" cm="1">
        <f t="array" aca="1" ref="I13" ca="1">_FV(B13,"Volume average",TRUE)</f>
        <v>8825017</v>
      </c>
    </row>
    <row r="14" spans="1:9" x14ac:dyDescent="0.2">
      <c r="B14" s="3" t="e" vm="12">
        <v>#VALUE!</v>
      </c>
      <c r="C14" s="4" cm="1">
        <f t="array" aca="1" ref="C14" ca="1">_FV(B14,"Price")</f>
        <v>248.65</v>
      </c>
      <c r="D14" s="4" cm="1">
        <f t="array" aca="1" ref="D14" ca="1">_FV(B14,"52 week high",TRUE)</f>
        <v>258.60000000000002</v>
      </c>
      <c r="E14" s="4" cm="1">
        <f t="array" aca="1" ref="E14" ca="1">_FV(B14,"52 week low",TRUE)</f>
        <v>165.285</v>
      </c>
      <c r="F14" s="5" cm="1">
        <f t="array" aca="1" ref="F14" ca="1">_FV(B14,"Beta")</f>
        <v>1.4165000000000001</v>
      </c>
      <c r="G14" s="6" t="str" cm="1">
        <f t="array" aca="1" ref="G14" ca="1">_FV(B14,"Ticker symbol",TRUE)</f>
        <v>AMZN</v>
      </c>
      <c r="H14" s="6" t="str" cm="1">
        <f t="array" aca="1" ref="H14" ca="1">_FV(B14,"Industry")</f>
        <v>Diversified Retail</v>
      </c>
      <c r="I14" s="7" cm="1">
        <f t="array" aca="1" ref="I14" ca="1">_FV(B14,"Volume average",TRUE)</f>
        <v>45032152</v>
      </c>
    </row>
    <row r="15" spans="1:9" x14ac:dyDescent="0.2">
      <c r="B15" s="3" t="e" vm="13">
        <v>#VALUE!</v>
      </c>
      <c r="C15" s="4" cm="1">
        <f t="array" aca="1" ref="C15" ca="1">_FV(B15,"Price")</f>
        <v>335.23</v>
      </c>
      <c r="D15" s="4" cm="1">
        <f t="array" aca="1" ref="D15" ca="1">_FV(B15,"52 week high",TRUE)</f>
        <v>349</v>
      </c>
      <c r="E15" s="4" cm="1">
        <f t="array" aca="1" ref="E15" ca="1">_FV(B15,"52 week low",TRUE)</f>
        <v>146.1</v>
      </c>
      <c r="F15" s="5" cm="1">
        <f t="array" aca="1" ref="F15" ca="1">_FV(B15,"Beta")</f>
        <v>1.1456</v>
      </c>
      <c r="G15" s="6" t="str" cm="1">
        <f t="array" aca="1" ref="G15" ca="1">_FV(B15,"Ticker symbol",TRUE)</f>
        <v>GOOGL</v>
      </c>
      <c r="H15" s="6" t="str" cm="1">
        <f t="array" aca="1" ref="H15" ca="1">_FV(B15,"Industry")</f>
        <v>Software &amp; IT Services</v>
      </c>
      <c r="I15" s="7" cm="1">
        <f t="array" aca="1" ref="I15" ca="1">_FV(B15,"Volume average",TRUE)</f>
        <v>28190353</v>
      </c>
    </row>
    <row r="16" spans="1:9" x14ac:dyDescent="0.2">
      <c r="B16" s="3" t="e" vm="14">
        <v>#VALUE!</v>
      </c>
      <c r="C16" s="4" cm="1">
        <f t="array" aca="1" ref="C16" ca="1">_FV(B16,"Price")</f>
        <v>152.02000000000001</v>
      </c>
      <c r="D16" s="4" cm="1">
        <f t="array" aca="1" ref="D16" ca="1">_FV(B16,"52 week high",TRUE)</f>
        <v>176.41</v>
      </c>
      <c r="E16" s="4" cm="1">
        <f t="array" aca="1" ref="E16" ca="1">_FV(B16,"52 week low",TRUE)</f>
        <v>101.185</v>
      </c>
      <c r="F16" s="5" cm="1">
        <f t="array" aca="1" ref="F16" ca="1">_FV(B16,"Beta")</f>
        <v>0.19969999999999999</v>
      </c>
      <c r="G16" s="6" t="str" cm="1">
        <f t="array" aca="1" ref="G16" ca="1">_FV(B16,"Ticker symbol",TRUE)</f>
        <v>XOM</v>
      </c>
      <c r="H16" s="6" t="str" cm="1">
        <f t="array" aca="1" ref="H16" ca="1">_FV(B16,"Industry")</f>
        <v>Oil &amp; Gas</v>
      </c>
      <c r="I16" s="7" cm="1">
        <f t="array" aca="1" ref="I16" ca="1">_FV(B16,"Volume average",TRUE)</f>
        <v>24930259</v>
      </c>
    </row>
  </sheetData>
  <autoFilter ref="G2:H9" xr:uid="{825B172E-7ADE-4B4A-B533-F037BCFCDCB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2026-04-16T19:30:20Z</dcterms:modified>
</cp:coreProperties>
</file>