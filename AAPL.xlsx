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15C707B-16D4-BA43-B121-A09F2792B191}"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8" i="12" l="1"/>
  <c r="C65" i="12"/>
  <c r="L9" i="12"/>
  <c r="K9" i="12"/>
  <c r="J9" i="12"/>
  <c r="I9" i="12"/>
  <c r="H9"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7" i="12"/>
  <c r="C46"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0" i="1" s="1"/>
  <c r="C53" i="12"/>
  <c r="H45" i="7"/>
  <c r="H21" i="8" s="1"/>
  <c r="H36" i="7"/>
  <c r="AC77" i="3"/>
  <c r="AA143" i="3"/>
  <c r="AA144" i="3" s="1"/>
  <c r="C53" i="16"/>
  <c r="I72" i="17"/>
  <c r="C66" i="12"/>
  <c r="C45"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48" i="3"/>
  <c r="AC130" i="3"/>
  <c r="L68" i="19"/>
  <c r="Q130" i="3"/>
  <c r="L84" i="19" s="1"/>
  <c r="C18" i="16"/>
  <c r="I18" i="17"/>
  <c r="I6" i="6"/>
  <c r="I11" i="6" s="1"/>
  <c r="I6" i="8"/>
  <c r="I7" i="7"/>
  <c r="I6" i="12"/>
  <c r="I13" i="12" s="1"/>
  <c r="F52" i="16"/>
  <c r="I75" i="17"/>
  <c r="F53" i="16"/>
  <c r="I76" i="17"/>
  <c r="F54" i="16"/>
  <c r="I77" i="17"/>
  <c r="AC159" i="3"/>
  <c r="I6" i="17"/>
  <c r="C23" i="14"/>
  <c r="C55"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8" i="12"/>
  <c r="C69"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21" i="14" s="1"/>
  <c r="C7" i="12"/>
  <c r="C27" i="8"/>
  <c r="C28" i="8" s="1"/>
  <c r="F7" i="12"/>
  <c r="F27" i="8"/>
  <c r="F28" i="8" s="1"/>
  <c r="E7" i="12"/>
  <c r="E27" i="8"/>
  <c r="E28" i="8" s="1"/>
  <c r="AE6" i="5"/>
  <c r="H9" i="8" l="1"/>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1" i="12"/>
  <c r="C40" i="12"/>
  <c r="C15" i="1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2" i="12"/>
  <c r="C56" i="12" s="1"/>
  <c r="C57"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8" i="12"/>
  <c r="J15" i="12" s="1"/>
  <c r="C31" i="14"/>
  <c r="C34" i="14" s="1"/>
  <c r="C36" i="14" s="1"/>
  <c r="C16" i="14" s="1"/>
  <c r="K28" i="8"/>
  <c r="L34" i="8"/>
  <c r="L27" i="8"/>
  <c r="L7" i="12"/>
  <c r="L35" i="7"/>
  <c r="L22" i="8" s="1"/>
  <c r="K23" i="12"/>
  <c r="K18" i="12"/>
  <c r="K12" i="12"/>
  <c r="K28" i="12"/>
  <c r="L18" i="6"/>
  <c r="L10" i="6"/>
  <c r="L26" i="8"/>
  <c r="L19" i="8"/>
  <c r="L14" i="8"/>
  <c r="L32" i="8"/>
  <c r="L34" i="7"/>
  <c r="L41" i="7"/>
  <c r="L19" i="7"/>
  <c r="L27" i="7"/>
  <c r="L12" i="7"/>
  <c r="AC65" i="3"/>
  <c r="L28" i="8" l="1"/>
  <c r="K7" i="11"/>
  <c r="K10" i="11" s="1"/>
  <c r="K8" i="12"/>
  <c r="K15" i="12" s="1"/>
  <c r="L14" i="12"/>
  <c r="C39" i="12"/>
  <c r="C42" i="12" s="1"/>
  <c r="C43" i="12" s="1"/>
  <c r="C44" i="12" s="1"/>
  <c r="C47" i="12" s="1"/>
  <c r="L28" i="12"/>
  <c r="L23" i="12"/>
  <c r="L18" i="12"/>
  <c r="L12" i="12"/>
  <c r="C49" i="12" l="1"/>
  <c r="C6" i="13" s="1"/>
  <c r="I4" i="1" s="1"/>
  <c r="L7" i="11"/>
  <c r="L8" i="12"/>
  <c r="L8" i="11" l="1"/>
  <c r="L11" i="11" s="1"/>
  <c r="C20" i="11" s="1"/>
  <c r="L10" i="11"/>
  <c r="C19" i="11" s="1"/>
  <c r="C60" i="12"/>
  <c r="C63" i="12" s="1"/>
  <c r="C64" i="12" s="1"/>
  <c r="L15" i="12"/>
  <c r="C70" i="12" l="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<sst xmlns="http://schemas.openxmlformats.org/spreadsheetml/2006/main" count="786" uniqueCount="413">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</sst>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0" fontId="7" fillId="9" borderId="15" xfId="0" applyFont="1" applyFill="1" applyBorder="1"/>
    <xf numFmtId="167" fontId="7" fillId="9" borderId="16" xfId="0"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https://www.bing.com/financeapi/forcetrigger?t=a1mou2&amp;q=XNAS%3aAAPL&amp;form=skydnc</v>
    <v>Learn more on Bing</v>
  </rv>
  <rv s="1">
    <v>0</v>
    <v>APPLE INC. (XNAS:AAPL)</v>
    <v>2</v>
    <v>3</v>
    <v>Finance</v>
    <v>4</v>
    <v>en-US</v>
    <v>a1mou2</v>
    <v>268435456</v>
    <v>1</v>
    <v>Powered by Refinitiv</v>
    <v>345.34</v>
    <v>243.42</v>
    <v>1.0718000000000001</v>
    <v>4.3049999999999997</v>
    <v>1.2816000000000001E-2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340.48</v>
    <v>Computers, Phones &amp; Household Electronics</v>
    <v>Stock</v>
    <v>46290.815623495313</v>
    <v>0</v>
    <v>334.53</v>
    <v>4965304890500</v>
    <v>APPLE INC.</v>
    <v>APPLE INC.</v>
    <v>335.92</v>
    <v>39.148600000000002</v>
    <v>335.92</v>
    <v>340.22500000000002</v>
    <v>14594180000</v>
    <v>AAPL</v>
    <v>APPLE INC. (XNAS:AAPL)</v>
    <v>18921928</v>
    <v>41709089</v>
    <v>1977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51.81</v>
    <v>39.47</v>
    <v>0.48</v>
    <v>9.3860000000000002E-3</v>
    <v>US</v>
    <v>51.81</v>
    <v>Index</v>
    <v>6</v>
    <v>50.87</v>
    <v>10 Y TSY YLD NDX</v>
    <v>51.21</v>
    <v>51.14</v>
    <v>51.62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35" sqref="C3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281</v>
      </c>
      <c r="F2" s="240"/>
      <c r="H2" s="239" t="s">
        <v>319</v>
      </c>
      <c r="I2" s="240"/>
    </row>
    <row r="3" spans="2:9" x14ac:dyDescent="0.2">
      <c r="B3" s="179" t="s">
        <v>11</v>
      </c>
      <c r="C3" s="211" t="e" vm="1">
        <v>#VALUE!</v>
      </c>
      <c r="D3" s="2"/>
      <c r="E3" s="179" t="s">
        <v>233</v>
      </c>
      <c r="F3" s="181">
        <f ca="1">Statement!AC143</f>
        <v>4985316.9250000007</v>
      </c>
      <c r="H3" s="179" t="str">
        <f>'AVG target price'!B5</f>
        <v>DCF price</v>
      </c>
      <c r="I3" s="205">
        <f ca="1">'AVG target price'!C5</f>
        <v>114.58092461460862</v>
      </c>
    </row>
    <row r="4" spans="2:9" x14ac:dyDescent="0.2">
      <c r="B4" s="179" t="s">
        <v>0</v>
      </c>
      <c r="C4" s="183" t="str" cm="1">
        <f t="array" aca="1" ref="C4" ca="1">_FV(C3,"Ticker symbol",TRUE)</f>
        <v>AAPL</v>
      </c>
      <c r="E4" s="180" t="s">
        <v>185</v>
      </c>
      <c r="F4" s="182">
        <f ca="1">Statement!AC144</f>
        <v>4923143.9250000007</v>
      </c>
      <c r="H4" s="179" t="str">
        <f>'AVG target price'!B6</f>
        <v>EV/EBIT price</v>
      </c>
      <c r="I4" s="205">
        <f ca="1">'AVG target price'!C6</f>
        <v>231.99401211300611</v>
      </c>
    </row>
    <row r="5" spans="2:9" x14ac:dyDescent="0.2">
      <c r="B5" s="179" t="s">
        <v>1</v>
      </c>
      <c r="C5" s="202" cm="1">
        <f t="array" aca="1" ref="C5" ca="1">_FV(C3,"Price",TRUE)</f>
        <v>340.22500000000002</v>
      </c>
      <c r="E5" s="179" t="s">
        <v>237</v>
      </c>
      <c r="F5" s="183">
        <f>Statement!AC25</f>
        <v>8.7199999999999989</v>
      </c>
      <c r="H5" s="179" t="str">
        <f>'AVG target price'!B7</f>
        <v>PS price</v>
      </c>
      <c r="I5" s="205">
        <f ca="1">'AVG target price'!C7</f>
        <v>201.25463701394406</v>
      </c>
    </row>
    <row r="6" spans="2:9" x14ac:dyDescent="0.2">
      <c r="B6" s="179" t="s">
        <v>2</v>
      </c>
      <c r="C6" s="202" t="e" cm="1" vm="2">
        <f t="array" ref="C6">_FV(C3,"Price (Extended hours)",TRUE)</f>
        <v>#VALUE!</v>
      </c>
      <c r="E6" s="179" t="s">
        <v>231</v>
      </c>
      <c r="F6" s="184">
        <f ca="1">Statement!AC140</f>
        <v>39.016628440366979</v>
      </c>
      <c r="H6" s="179" t="str">
        <f>'AVG target price'!B8</f>
        <v>EV/FCFF price</v>
      </c>
      <c r="I6" s="205">
        <f ca="1">'AVG target price'!C8</f>
        <v>153.58097582972349</v>
      </c>
    </row>
    <row r="7" spans="2:9" x14ac:dyDescent="0.2">
      <c r="B7" s="179" t="s">
        <v>3</v>
      </c>
      <c r="C7" s="6" cm="1">
        <f t="array" aca="1" ref="C7" ca="1">_FV(C3,"Change")</f>
        <v>4.3049999999999997</v>
      </c>
      <c r="E7" s="180" t="s">
        <v>198</v>
      </c>
      <c r="F7" s="185">
        <f ca="1">Statement!AC141</f>
        <v>10.770892219856348</v>
      </c>
      <c r="H7" s="178" t="str">
        <f>'AVG target price'!B9</f>
        <v>AVG price</v>
      </c>
      <c r="I7" s="206">
        <f ca="1">'AVG target price'!C9</f>
        <v>175.35263739282055</v>
      </c>
    </row>
    <row r="8" spans="2:9" x14ac:dyDescent="0.2">
      <c r="B8" s="179" t="s">
        <v>4</v>
      </c>
      <c r="C8" s="6" t="e" cm="1" vm="3">
        <f t="array" ref="C8">_FV(C3,"Change (extended hours)",TRUE)</f>
        <v>#VALUE!</v>
      </c>
      <c r="E8" s="179" t="s">
        <v>259</v>
      </c>
      <c r="F8" s="186">
        <f ca="1">Statement!AC151</f>
        <v>2.4667839948811273E-2</v>
      </c>
      <c r="H8" s="178" t="str">
        <f>'AVG target price'!B11</f>
        <v>Upside/Downside</v>
      </c>
      <c r="I8" s="207">
        <f ca="1">'AVG target price'!C11</f>
        <v>-0.48459802368191479</v>
      </c>
    </row>
    <row r="9" spans="2:9" x14ac:dyDescent="0.2">
      <c r="B9" s="179" t="s">
        <v>5</v>
      </c>
      <c r="C9" s="73" cm="1">
        <f t="array" aca="1" ref="C9" ca="1">_FV(C3,"Change (%)",TRUE)</f>
        <v>1.2816000000000001E-2</v>
      </c>
      <c r="E9" s="179" t="s">
        <v>282</v>
      </c>
      <c r="F9" s="186">
        <f ca="1">Statement!AC152</f>
        <v>2.5630097729443746E-2</v>
      </c>
    </row>
    <row r="10" spans="2:9" x14ac:dyDescent="0.2">
      <c r="B10" s="179" t="s">
        <v>6</v>
      </c>
      <c r="C10" s="73" t="e" cm="1" vm="4">
        <f t="array" ref="C10">_FV(C3,"Change % (extended hours)",TRUE)</f>
        <v>#VALUE!</v>
      </c>
      <c r="E10" s="179" t="s">
        <v>287</v>
      </c>
      <c r="F10" s="186">
        <f ca="1">Statement!AC154</f>
        <v>1.6493635457288401E-2</v>
      </c>
      <c r="H10" s="178" t="s">
        <v>394</v>
      </c>
      <c r="I10" s="206">
        <f ca="1">DDM!C26</f>
        <v>13.284742833527446</v>
      </c>
    </row>
    <row r="11" spans="2:9" x14ac:dyDescent="0.2">
      <c r="B11" s="179" t="s">
        <v>7</v>
      </c>
      <c r="C11" s="203" cm="1">
        <f t="array" aca="1" ref="C11" ca="1">_FV(C3,"52 week high",TRUE)</f>
        <v>345.34</v>
      </c>
      <c r="E11" s="180" t="s">
        <v>283</v>
      </c>
      <c r="F11" s="187">
        <f ca="1">Statement!AC153</f>
        <v>3.0861929605408185E-3</v>
      </c>
    </row>
    <row r="12" spans="2:9" x14ac:dyDescent="0.2">
      <c r="B12" s="179" t="s">
        <v>8</v>
      </c>
      <c r="C12" s="203" cm="1">
        <f t="array" aca="1" ref="C12" ca="1">_FV(C3,"52 week low",TRUE)</f>
        <v>243.42</v>
      </c>
      <c r="E12" s="179" t="s">
        <v>99</v>
      </c>
      <c r="F12" s="186">
        <f>Statement!AC121</f>
        <v>0.33639821951334065</v>
      </c>
    </row>
    <row r="13" spans="2:9" x14ac:dyDescent="0.2">
      <c r="B13" s="179" t="s">
        <v>9</v>
      </c>
      <c r="C13" s="203" cm="1">
        <f t="array" aca="1" ref="C13" ca="1">_FV(C3,"Beta")</f>
        <v>1.0718000000000001</v>
      </c>
      <c r="E13" s="179" t="s">
        <v>101</v>
      </c>
      <c r="F13" s="186">
        <f>Statement!AC123</f>
        <v>1.1991257440476193</v>
      </c>
    </row>
    <row r="14" spans="2:9" x14ac:dyDescent="0.2">
      <c r="B14" s="180" t="s">
        <v>10</v>
      </c>
      <c r="C14" s="204" cm="1">
        <f t="array" aca="1" ref="C14" ca="1">_FV(C3,"Volume average",TRUE)</f>
        <v>41709089</v>
      </c>
      <c r="E14" s="180" t="s">
        <v>102</v>
      </c>
      <c r="F14" s="187">
        <f>Statement!AC130</f>
        <v>2.8240933164668753</v>
      </c>
    </row>
    <row r="15" spans="2:9" x14ac:dyDescent="0.2">
      <c r="E15" s="179" t="s">
        <v>284</v>
      </c>
      <c r="F15" s="186">
        <f ca="1">Statement!AC166</f>
        <v>1.2471223181061851E-2</v>
      </c>
    </row>
    <row r="16" spans="2:9" x14ac:dyDescent="0.2">
      <c r="E16" s="180" t="s">
        <v>289</v>
      </c>
      <c r="F16" s="185">
        <f>Statement!AC165</f>
        <v>4.2601754145539266</v>
      </c>
    </row>
    <row r="17" spans="2:9" x14ac:dyDescent="0.2">
      <c r="B17" s="241" t="s">
        <v>88</v>
      </c>
      <c r="C17" s="241"/>
      <c r="E17" s="178" t="s">
        <v>290</v>
      </c>
      <c r="F17" s="188">
        <f>Statement!AC161</f>
        <v>6.1420869446529721E-4</v>
      </c>
    </row>
    <row r="18" spans="2:9" x14ac:dyDescent="0.2">
      <c r="B18" s="178" t="s">
        <v>12</v>
      </c>
      <c r="C18" s="69" t="s">
        <v>349</v>
      </c>
      <c r="E18" s="179" t="s">
        <v>291</v>
      </c>
      <c r="F18" s="184">
        <f>Statement!AC134</f>
        <v>-56.814895644278849</v>
      </c>
      <c r="I18" s="50"/>
    </row>
    <row r="19" spans="2:9" x14ac:dyDescent="0.2">
      <c r="B19" s="178" t="s">
        <v>13</v>
      </c>
      <c r="C19" s="70">
        <v>1000000</v>
      </c>
      <c r="E19" s="179" t="s">
        <v>252</v>
      </c>
      <c r="F19" s="184">
        <f>Statement!AC136</f>
        <v>-0.57824590773809526</v>
      </c>
    </row>
    <row r="20" spans="2:9" x14ac:dyDescent="0.2">
      <c r="B20" s="178" t="s">
        <v>89</v>
      </c>
      <c r="C20" s="69" t="s">
        <v>91</v>
      </c>
      <c r="E20" s="180" t="s">
        <v>292</v>
      </c>
      <c r="F20" s="185">
        <f>Statement!AC137</f>
        <v>1.1914535981677672</v>
      </c>
    </row>
    <row r="21" spans="2:9" x14ac:dyDescent="0.2">
      <c r="B21" s="178" t="s">
        <v>90</v>
      </c>
      <c r="C21" s="69" t="s">
        <v>91</v>
      </c>
      <c r="I21" s="50"/>
    </row>
    <row r="22" spans="2:9" x14ac:dyDescent="0.2">
      <c r="B22" s="178" t="s">
        <v>92</v>
      </c>
      <c r="C22" s="69" t="s">
        <v>392</v>
      </c>
    </row>
    <row r="25" spans="2:9" x14ac:dyDescent="0.2">
      <c r="B25" s="241" t="s">
        <v>104</v>
      </c>
      <c r="C25" s="241"/>
      <c r="E25" s="239" t="s">
        <v>332</v>
      </c>
      <c r="F25" s="240"/>
    </row>
    <row r="26" spans="2:9" x14ac:dyDescent="0.2">
      <c r="B26" s="178" t="s">
        <v>105</v>
      </c>
      <c r="C26" s="164">
        <v>0.21</v>
      </c>
      <c r="E26" s="179" t="e" vm="5">
        <v>#VALUE!</v>
      </c>
      <c r="F26" s="213" cm="1">
        <f t="array" aca="1" ref="F26" ca="1">_FV(E26,"Price")</f>
        <v>51.62</v>
      </c>
    </row>
    <row r="27" spans="2:9" x14ac:dyDescent="0.2">
      <c r="B27" s="178" t="s">
        <v>169</v>
      </c>
      <c r="C27" s="215">
        <v>4.9000000000000002E-2</v>
      </c>
      <c r="E27" s="180" t="s">
        <v>333</v>
      </c>
      <c r="F27" s="214">
        <f ca="1">F26/1000</f>
        <v>5.1619999999999999E-2</v>
      </c>
    </row>
    <row r="28" spans="2:9" x14ac:dyDescent="0.2">
      <c r="B28" s="178" t="s">
        <v>337</v>
      </c>
      <c r="C28" s="215">
        <v>0</v>
      </c>
    </row>
    <row r="29" spans="2:9" x14ac:dyDescent="0.2">
      <c r="B29" s="178" t="s">
        <v>393</v>
      </c>
      <c r="C29" s="215">
        <v>0</v>
      </c>
    </row>
    <row r="33" spans="2:8" x14ac:dyDescent="0.2">
      <c r="B33" s="235" t="s">
        <v>327</v>
      </c>
      <c r="C33" s="235"/>
      <c r="D33" s="235"/>
      <c r="E33" s="235"/>
      <c r="F33" s="235"/>
      <c r="G33" s="235"/>
      <c r="H33" s="235"/>
    </row>
    <row r="35" spans="2:8" x14ac:dyDescent="0.2">
      <c r="B35" s="16" t="s">
        <v>328</v>
      </c>
      <c r="C35" s="1" t="s">
        <v>408</v>
      </c>
    </row>
    <row r="36" spans="2:8" x14ac:dyDescent="0.2">
      <c r="B36" s="16" t="s">
        <v>329</v>
      </c>
      <c r="C36" s="1" t="s">
        <v>407</v>
      </c>
    </row>
    <row r="39" spans="2:8" ht="6" customHeight="1" x14ac:dyDescent="0.2">
      <c r="B39" s="235"/>
      <c r="C39" s="235"/>
      <c r="D39" s="235"/>
      <c r="E39" s="235"/>
      <c r="F39" s="235"/>
      <c r="G39" s="235"/>
      <c r="H39" s="235"/>
    </row>
    <row r="42" spans="2:8" x14ac:dyDescent="0.2">
      <c r="B42" s="235" t="s">
        <v>330</v>
      </c>
      <c r="C42" s="235"/>
      <c r="D42" s="235"/>
      <c r="E42" s="235"/>
      <c r="F42" s="235"/>
      <c r="G42" s="235"/>
      <c r="H42" s="235"/>
    </row>
    <row r="44" spans="2:8" x14ac:dyDescent="0.2">
      <c r="B44" s="41" t="s">
        <v>331</v>
      </c>
      <c r="C44" s="41" t="s">
        <v>406</v>
      </c>
      <c r="D44" s="41"/>
      <c r="E44" s="41" t="s">
        <v>404</v>
      </c>
    </row>
    <row r="49" spans="2:8" ht="5" customHeight="1" x14ac:dyDescent="0.2">
      <c r="B49" s="235"/>
      <c r="C49" s="235"/>
      <c r="D49" s="235"/>
      <c r="E49" s="235"/>
      <c r="F49" s="235"/>
      <c r="G49" s="235"/>
      <c r="H49" s="235"/>
    </row>
    <row r="52" spans="2:8" x14ac:dyDescent="0.2">
      <c r="B52" s="235" t="s">
        <v>106</v>
      </c>
      <c r="C52" s="235"/>
      <c r="D52" s="235"/>
      <c r="E52" s="235"/>
      <c r="F52" s="235"/>
      <c r="G52" s="235"/>
      <c r="H52" s="235"/>
    </row>
    <row r="54" spans="2:8" x14ac:dyDescent="0.2">
      <c r="B54" s="41" t="s">
        <v>331</v>
      </c>
      <c r="C54" s="41" t="s">
        <v>350</v>
      </c>
      <c r="D54" s="41"/>
      <c r="E54" s="41" t="s">
        <v>354</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Y204" activePane="bottomRight" state="frozen"/>
      <selection pane="topRight" activeCell="C1" sqref="C1"/>
      <selection pane="bottomLeft" activeCell="A4" sqref="A4"/>
      <selection pane="bottomRight" activeCell="AA187" sqref="AA18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340.22500000000002</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340.22500000000002</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39.016628440366979</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10.770892219856348</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46.179721447172618</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4985316.9250000007</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4923143.9250000007</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10.546061194499844</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31.79113855184394</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127773.1596218234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40.538612301487277</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38.530345023722319</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2.4667839948811273E-2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2.5630097729443746E-2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3.0861929605408185E-3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1.6493635457288401E-2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1.963084824341433E-2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0.2737079356026233</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1.2471223181061851E-2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35" t="s">
        <v>227</v>
      </c>
      <c r="C4" s="235"/>
      <c r="E4" s="235" t="s">
        <v>234</v>
      </c>
      <c r="F4" s="235"/>
      <c r="G4" s="235"/>
    </row>
    <row r="5" spans="2:7" x14ac:dyDescent="0.2">
      <c r="B5" s="20" t="s">
        <v>1</v>
      </c>
      <c r="C5" s="166">
        <f ca="1">Overview!C5</f>
        <v>340.22500000000002</v>
      </c>
      <c r="E5" s="12"/>
      <c r="F5" s="132" t="s">
        <v>235</v>
      </c>
      <c r="G5" s="132" t="s">
        <v>236</v>
      </c>
    </row>
    <row r="6" spans="2:7" x14ac:dyDescent="0.2">
      <c r="B6" s="20" t="s">
        <v>233</v>
      </c>
      <c r="C6" s="167">
        <f ca="1">Statement!AC143</f>
        <v>4985316.9250000007</v>
      </c>
      <c r="E6" s="20" t="s">
        <v>19</v>
      </c>
      <c r="F6" s="172">
        <f>IF(Statement!M5&lt;=0,"N/A",_xlfn.RRI(4,Statement!M5,Statement!Q5))</f>
        <v>3.275991627577457E-2</v>
      </c>
      <c r="G6" s="172" t="str">
        <f>IF(Statement!H5&lt;=0,"N/A",_xlfn.RRI(9,Statement!H5,Statement!Q5))</f>
        <v>N/A</v>
      </c>
    </row>
    <row r="7" spans="2:7" x14ac:dyDescent="0.2">
      <c r="B7" s="20" t="s">
        <v>185</v>
      </c>
      <c r="C7" s="167">
        <f ca="1">Statement!AC144</f>
        <v>4923143.9250000007</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39.016628440366979</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10.770892219856348</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46.179721447172618</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10.546061194499844</v>
      </c>
    </row>
    <row r="12" spans="2:7" x14ac:dyDescent="0.2">
      <c r="B12" s="20" t="s">
        <v>201</v>
      </c>
      <c r="C12" s="168">
        <f ca="1">Statement!AC146</f>
        <v>31.79113855184394</v>
      </c>
    </row>
    <row r="15" spans="2:7" x14ac:dyDescent="0.2">
      <c r="B15" s="235" t="s">
        <v>75</v>
      </c>
      <c r="C15" s="235"/>
      <c r="E15" s="235" t="s">
        <v>240</v>
      </c>
      <c r="F15" s="235"/>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35" t="s">
        <v>239</v>
      </c>
      <c r="C21" s="235"/>
      <c r="E21" s="235" t="s">
        <v>243</v>
      </c>
      <c r="F21" s="235"/>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35" t="s">
        <v>244</v>
      </c>
      <c r="C29" s="235"/>
      <c r="E29" s="235" t="s">
        <v>250</v>
      </c>
      <c r="F29" s="235"/>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35" t="s">
        <v>262</v>
      </c>
      <c r="C37" s="235"/>
      <c r="E37" s="235" t="s">
        <v>265</v>
      </c>
      <c r="F37" s="235"/>
    </row>
    <row r="38" spans="2:6" x14ac:dyDescent="0.2">
      <c r="B38" s="20" t="s">
        <v>260</v>
      </c>
      <c r="C38" s="169">
        <f ca="1">Statement!AC152</f>
        <v>2.5630097729443746E-2</v>
      </c>
      <c r="E38" s="20" t="s">
        <v>264</v>
      </c>
      <c r="F38" s="169">
        <f>Statement!AC158</f>
        <v>0.12717825284402776</v>
      </c>
    </row>
    <row r="39" spans="2:6" x14ac:dyDescent="0.2">
      <c r="B39" s="54" t="s">
        <v>263</v>
      </c>
      <c r="C39" s="209">
        <f ca="1">Statement!AC151</f>
        <v>2.4667839948811273E-2</v>
      </c>
      <c r="E39" s="20" t="s">
        <v>266</v>
      </c>
      <c r="F39" s="169">
        <f>Statement!AC159</f>
        <v>0.66862909324507835</v>
      </c>
    </row>
    <row r="40" spans="2:6" x14ac:dyDescent="0.2">
      <c r="B40" s="20" t="s">
        <v>261</v>
      </c>
      <c r="C40" s="169">
        <f ca="1">Statement!AC153</f>
        <v>3.0861929605408185E-3</v>
      </c>
      <c r="E40" s="20" t="s">
        <v>267</v>
      </c>
      <c r="F40" s="169">
        <f>Statement!AC160</f>
        <v>0.79580734608910608</v>
      </c>
    </row>
    <row r="41" spans="2:6" x14ac:dyDescent="0.2">
      <c r="B41" s="20" t="s">
        <v>286</v>
      </c>
      <c r="C41" s="169">
        <f ca="1">Statement!AC154</f>
        <v>1.6493635457288401E-2</v>
      </c>
    </row>
    <row r="42" spans="2:6" x14ac:dyDescent="0.2">
      <c r="B42" s="20" t="s">
        <v>288</v>
      </c>
      <c r="C42" s="169">
        <f ca="1">Statement!AC155</f>
        <v>1.963084824341433E-2</v>
      </c>
    </row>
    <row r="45" spans="2:6" x14ac:dyDescent="0.2">
      <c r="B45" s="235" t="s">
        <v>273</v>
      </c>
      <c r="C45" s="235"/>
      <c r="E45" s="235" t="s">
        <v>279</v>
      </c>
      <c r="F45" s="235"/>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1.2471223181061851E-2</v>
      </c>
    </row>
    <row r="51" spans="2:6" x14ac:dyDescent="0.2">
      <c r="B51" s="235" t="s">
        <v>276</v>
      </c>
      <c r="C51" s="235"/>
      <c r="E51" s="235" t="s">
        <v>297</v>
      </c>
      <c r="F51" s="235"/>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340.22500000000002</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4985316.9250000007</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4923143.9250000007</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39.016628440366979</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10.770892219856348</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46.179721447172618</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10.546061194499844</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31.79113855184394</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2.5630097729443746E-2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2.4667839948811273E-2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3.0861929605408185E-3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1.6493635457288401E-2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1.963084824341433E-2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1.2471223181061851E-2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8" spans="2:9" ht="17" thickBot="1" x14ac:dyDescent="0.25">
      <c r="B88" s="14" t="s">
        <v>304</v>
      </c>
      <c r="C88" s="14"/>
      <c r="D88" s="14"/>
      <c r="E88" s="14"/>
      <c r="F88" s="14"/>
      <c r="G88" s="14"/>
      <c r="I88" s="14"/>
    </row>
    <row r="89" spans="2:9" x14ac:dyDescent="0.2">
      <c r="B89" s="20" t="s">
        <v>367</v>
      </c>
      <c r="C89" s="169">
        <f>Statement!M191</f>
        <v>1</v>
      </c>
      <c r="D89" s="169">
        <f>Statement!N191</f>
        <v>0.10666249200944516</v>
      </c>
      <c r="E89" s="169">
        <f>Statement!O191</f>
        <v>-4.1837107592922231E-2</v>
      </c>
      <c r="F89" s="169">
        <f>Statement!P191</f>
        <v>2.7589812992125984E-2</v>
      </c>
      <c r="G89" s="169">
        <f>Statement!Q191</f>
        <v>6.7694333862132958E-2</v>
      </c>
      <c r="I89" s="191"/>
    </row>
    <row r="90" spans="2:9" x14ac:dyDescent="0.2">
      <c r="B90" s="20" t="s">
        <v>368</v>
      </c>
      <c r="C90" s="169">
        <f>Statement!M192</f>
        <v>1</v>
      </c>
      <c r="D90" s="169">
        <f>Statement!N192</f>
        <v>6.5067687863213416E-2</v>
      </c>
      <c r="E90" s="169">
        <f>Statement!O192</f>
        <v>-8.6629239470972889E-3</v>
      </c>
      <c r="F90" s="169">
        <f>Statement!P192</f>
        <v>7.459647485524E-2</v>
      </c>
      <c r="G90" s="169">
        <f>Statement!Q192</f>
        <v>9.5768198326227696E-2</v>
      </c>
      <c r="I90" s="191"/>
    </row>
    <row r="91" spans="2:9" x14ac:dyDescent="0.2">
      <c r="B91" s="20" t="s">
        <v>369</v>
      </c>
      <c r="C91" s="169">
        <f>Statement!M193</f>
        <v>1</v>
      </c>
      <c r="D91" s="169">
        <f>Statement!N193</f>
        <v>8.5334815551589976E-2</v>
      </c>
      <c r="E91" s="169">
        <f>Statement!O193</f>
        <v>-2.211590296495957E-2</v>
      </c>
      <c r="F91" s="169">
        <f>Statement!P193</f>
        <v>-7.7275045135682688E-2</v>
      </c>
      <c r="G91" s="169">
        <f>Statement!Q193</f>
        <v>-3.8460389532799615E-2</v>
      </c>
      <c r="I91" s="191"/>
    </row>
    <row r="92" spans="2:9" x14ac:dyDescent="0.2">
      <c r="B92" s="20" t="s">
        <v>370</v>
      </c>
      <c r="C92" s="169">
        <f>Statement!M194</f>
        <v>1</v>
      </c>
      <c r="D92" s="169">
        <f>Statement!N194</f>
        <v>-8.7950284390141145E-2</v>
      </c>
      <c r="E92" s="169">
        <f>Statement!O194</f>
        <v>-6.6212418678061366E-2</v>
      </c>
      <c r="F92" s="169">
        <f>Statement!P194</f>
        <v>3.2774044605680834E-2</v>
      </c>
      <c r="G92" s="169">
        <f>Statement!Q194</f>
        <v>0.14573686731598276</v>
      </c>
      <c r="I92" s="191"/>
    </row>
    <row r="93" spans="2:9" x14ac:dyDescent="0.2">
      <c r="B93" s="20" t="s">
        <v>371</v>
      </c>
      <c r="C93" s="169">
        <f>Statement!M195</f>
        <v>1</v>
      </c>
      <c r="D93" s="169">
        <f>Statement!N195</f>
        <v>0.114546972226438</v>
      </c>
      <c r="E93" s="169">
        <f>Statement!O195</f>
        <v>8.1702127659574464E-3</v>
      </c>
      <c r="F93" s="169">
        <f>Statement!P195</f>
        <v>3.5218639203106535E-2</v>
      </c>
      <c r="G93" s="169">
        <f>Statement!Q195</f>
        <v>9.9093221997521033E-2</v>
      </c>
      <c r="I93" s="191"/>
    </row>
    <row r="94" spans="2:9" x14ac:dyDescent="0.2">
      <c r="B94" s="20"/>
      <c r="C94" s="169">
        <f>Statement!M196</f>
        <v>0</v>
      </c>
      <c r="D94" s="169">
        <f>Statement!N196</f>
        <v>0</v>
      </c>
      <c r="E94" s="169">
        <f>Statement!O196</f>
        <v>0</v>
      </c>
      <c r="F94" s="169">
        <f>Statement!P196</f>
        <v>0</v>
      </c>
      <c r="G94" s="169">
        <f>Statement!Q196</f>
        <v>0</v>
      </c>
      <c r="I94" s="191"/>
    </row>
    <row r="95" spans="2:9" x14ac:dyDescent="0.2">
      <c r="B95" s="20" t="s">
        <v>372</v>
      </c>
      <c r="C95" s="169">
        <f>Statement!M197</f>
        <v>1</v>
      </c>
      <c r="D95" s="169">
        <f>Statement!N197</f>
        <v>7.0405734139696724E-2</v>
      </c>
      <c r="E95" s="169">
        <f>Statement!O197</f>
        <v>-2.3874757286278098E-2</v>
      </c>
      <c r="F95" s="169">
        <f>Statement!P197</f>
        <v>2.9912804175827464E-3</v>
      </c>
      <c r="G95" s="169">
        <f>Statement!Q197</f>
        <v>4.1767942619406209E-2</v>
      </c>
      <c r="I95" s="191"/>
    </row>
    <row r="96" spans="2:9" x14ac:dyDescent="0.2">
      <c r="B96" s="20" t="s">
        <v>373</v>
      </c>
      <c r="C96" s="169">
        <f>Statement!M198</f>
        <v>1</v>
      </c>
      <c r="D96" s="169">
        <f>Statement!N198</f>
        <v>0.14171639670360897</v>
      </c>
      <c r="E96" s="169">
        <f>Statement!O198</f>
        <v>-0.26930831072504169</v>
      </c>
      <c r="F96" s="169">
        <f>Statement!P198</f>
        <v>2.1357768164321968E-2</v>
      </c>
      <c r="G96" s="169">
        <f>Statement!Q198</f>
        <v>0.12419957310565635</v>
      </c>
      <c r="I96" s="191"/>
    </row>
    <row r="97" spans="2:9" x14ac:dyDescent="0.2">
      <c r="B97" s="20" t="s">
        <v>374</v>
      </c>
      <c r="C97" s="169">
        <f>Statement!M199</f>
        <v>1</v>
      </c>
      <c r="D97" s="169">
        <f>Statement!N199</f>
        <v>-8.0660347749670458E-2</v>
      </c>
      <c r="E97" s="169">
        <f>Statement!O199</f>
        <v>-3.3865901952751604E-2</v>
      </c>
      <c r="F97" s="169">
        <f>Statement!P199</f>
        <v>-5.6749116607773854E-2</v>
      </c>
      <c r="G97" s="169">
        <f>Statement!Q199</f>
        <v>4.9786468869408858E-2</v>
      </c>
      <c r="I97" s="191"/>
    </row>
    <row r="98" spans="2:9" x14ac:dyDescent="0.2">
      <c r="B98" s="20" t="s">
        <v>375</v>
      </c>
      <c r="C98" s="169">
        <f>Statement!M200</f>
        <v>1</v>
      </c>
      <c r="D98" s="169">
        <f>Statement!N200</f>
        <v>7.4908124169207918E-2</v>
      </c>
      <c r="E98" s="169">
        <f>Statement!O200</f>
        <v>-3.3849809655439975E-2</v>
      </c>
      <c r="F98" s="169">
        <f>Statement!P200</f>
        <v>-7.1276195256619407E-2</v>
      </c>
      <c r="G98" s="169">
        <f>Statement!Q200</f>
        <v>-3.5643831914606135E-2</v>
      </c>
      <c r="I98" s="191"/>
    </row>
    <row r="99" spans="2:9" x14ac:dyDescent="0.2">
      <c r="B99" s="20" t="s">
        <v>353</v>
      </c>
      <c r="C99" s="169">
        <f>Statement!M201</f>
        <v>1</v>
      </c>
      <c r="D99" s="169">
        <f>Statement!N201</f>
        <v>0.14181951041286078</v>
      </c>
      <c r="E99" s="169">
        <f>Statement!O201</f>
        <v>7.7704821513138525E-2</v>
      </c>
      <c r="F99" s="169">
        <f>Statement!P201</f>
        <v>0.14214964370546318</v>
      </c>
      <c r="G99" s="169">
        <f>Statement!Q201</f>
        <v>0.135064313864135</v>
      </c>
      <c r="I99" s="191"/>
    </row>
    <row r="101" spans="2:9" ht="17" thickBot="1" x14ac:dyDescent="0.25">
      <c r="B101" s="14" t="s">
        <v>306</v>
      </c>
      <c r="C101" s="14"/>
      <c r="D101" s="14"/>
      <c r="E101" s="14"/>
      <c r="F101" s="14"/>
      <c r="G101" s="14"/>
      <c r="I101" s="14"/>
    </row>
    <row r="102" spans="2:9" x14ac:dyDescent="0.2">
      <c r="B102" s="20" t="s">
        <v>278</v>
      </c>
      <c r="C102" s="169">
        <f>Statement!M205</f>
        <v>-1</v>
      </c>
      <c r="D102" s="169">
        <f>Statement!N205</f>
        <v>2.5851938895417155E-2</v>
      </c>
      <c r="E102" s="169">
        <f>Statement!O205</f>
        <v>1.239808638231925E-2</v>
      </c>
      <c r="F102" s="169">
        <f>Statement!P205</f>
        <v>1.3910149750415973E-2</v>
      </c>
      <c r="G102" s="169">
        <f>Statement!Q205</f>
        <v>1.2275173952999869E-2</v>
      </c>
      <c r="I102"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307</v>
      </c>
      <c r="D3" s="245"/>
      <c r="F3" s="246" t="s">
        <v>308</v>
      </c>
      <c r="G3" s="245"/>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42">
        <f>Statement!AA88</f>
        <v>-1.5892574471146927E-2</v>
      </c>
      <c r="D7" s="243"/>
      <c r="F7" s="242">
        <f>IF(F6=0,
IF(G6=0,0,IF(G6&gt;0,1,-1)),
(G6-F6)/ABS(F6)
)</f>
        <v>0.16356501765281381</v>
      </c>
      <c r="G7" s="243"/>
    </row>
    <row r="8" spans="2:7" x14ac:dyDescent="0.2">
      <c r="B8" s="201" t="s">
        <v>20</v>
      </c>
      <c r="C8" s="194">
        <f>Statement!Z6</f>
        <v>56403</v>
      </c>
      <c r="D8" s="192">
        <f>Statement!AA6</f>
        <v>54647</v>
      </c>
      <c r="F8" s="194">
        <f>Statement!W6</f>
        <v>50318</v>
      </c>
      <c r="G8" s="192">
        <f>Statement!AA6</f>
        <v>54647</v>
      </c>
    </row>
    <row r="9" spans="2:7" x14ac:dyDescent="0.2">
      <c r="B9" s="200" t="s">
        <v>309</v>
      </c>
      <c r="C9" s="242">
        <f>Statement!AA89</f>
        <v>-3.1133095757317875E-2</v>
      </c>
      <c r="D9" s="243"/>
      <c r="F9" s="242">
        <f>IF(F8=0,
IF(G8=0,0,IF(G8&gt;0,1,-1)),
(G8-F8)/ABS(F8)
)</f>
        <v>8.6032831193608647E-2</v>
      </c>
      <c r="G9" s="243"/>
    </row>
    <row r="10" spans="2:7" x14ac:dyDescent="0.2">
      <c r="B10" s="201" t="s">
        <v>21</v>
      </c>
      <c r="C10" s="194">
        <f>Statement!Z7</f>
        <v>54781</v>
      </c>
      <c r="D10" s="192">
        <f>Statement!AA7</f>
        <v>54770</v>
      </c>
      <c r="F10" s="194">
        <f>Statement!W7</f>
        <v>43718</v>
      </c>
      <c r="G10" s="192">
        <f>Statement!AA7</f>
        <v>54770</v>
      </c>
    </row>
    <row r="11" spans="2:7" x14ac:dyDescent="0.2">
      <c r="B11" s="200" t="s">
        <v>309</v>
      </c>
      <c r="C11" s="242">
        <f>Statement!AA90</f>
        <v>-2.0079954728829339E-4</v>
      </c>
      <c r="D11" s="243"/>
      <c r="F11" s="242">
        <f>IF(F10=0,
IF(G10=0,0,IF(G10&gt;0,1,-1)),
(G10-F10)/ABS(F10)
)</f>
        <v>0.25280204949906215</v>
      </c>
      <c r="G11" s="243"/>
    </row>
    <row r="12" spans="2:7" x14ac:dyDescent="0.2">
      <c r="B12" s="201" t="s">
        <v>23</v>
      </c>
      <c r="C12" s="194">
        <f>Statement!Z10</f>
        <v>18896</v>
      </c>
      <c r="D12" s="192">
        <f>Statement!AA10</f>
        <v>19075</v>
      </c>
      <c r="F12" s="194">
        <f>Statement!W10</f>
        <v>15516</v>
      </c>
      <c r="G12" s="192">
        <f>Statement!AA10</f>
        <v>19075</v>
      </c>
    </row>
    <row r="13" spans="2:7" x14ac:dyDescent="0.2">
      <c r="B13" s="200" t="s">
        <v>309</v>
      </c>
      <c r="C13" s="242">
        <f>Statement!AA93</f>
        <v>9.4729043183742583E-3</v>
      </c>
      <c r="D13" s="243"/>
      <c r="F13" s="242">
        <f>IF(F12=0,
IF(G12=0,0,IF(G12&gt;0,1,-1)),
(G12-F12)/ABS(F12)
)</f>
        <v>0.22937612786800721</v>
      </c>
      <c r="G13" s="243"/>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42">
        <f>Statement!AA94</f>
        <v>-5.2946913752264175E-3</v>
      </c>
      <c r="D15" s="243"/>
      <c r="F15" s="242">
        <f>IF(F14=0,
IF(G14=0,0,IF(G14&gt;0,1,-1)),
(G14-F14)/ABS(F14)
)</f>
        <v>0.26569037656903766</v>
      </c>
      <c r="G15" s="243"/>
    </row>
    <row r="16" spans="2:7" x14ac:dyDescent="0.2">
      <c r="B16" s="201" t="s">
        <v>29</v>
      </c>
      <c r="C16" s="194">
        <f>Statement!Z17</f>
        <v>29578</v>
      </c>
      <c r="D16" s="192">
        <f>Statement!AA17</f>
        <v>29789</v>
      </c>
      <c r="F16" s="194">
        <f>Statement!W17</f>
        <v>23434</v>
      </c>
      <c r="G16" s="192">
        <f>Statement!AA17</f>
        <v>29789</v>
      </c>
    </row>
    <row r="17" spans="2:7" x14ac:dyDescent="0.2">
      <c r="B17" s="200" t="s">
        <v>309</v>
      </c>
      <c r="C17" s="242">
        <f>Statement!AA96</f>
        <v>7.1336804381635002E-3</v>
      </c>
      <c r="D17" s="243"/>
      <c r="F17" s="242">
        <f>IF(F16=0,
IF(G16=0,0,IF(G16&gt;0,1,-1)),
(G16-F16)/ABS(F16)
)</f>
        <v>0.27118716394981651</v>
      </c>
      <c r="G17" s="243"/>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42">
        <f>IF(C18=0,
IF(D18=0,0,IF(D18&gt;0,1,-1)),
(D18-C18)/ABS(C18)
)</f>
        <v>-7.4697813391280731E-4</v>
      </c>
      <c r="D19" s="243"/>
      <c r="F19" s="242">
        <f>IF(F18=0,
IF(G18=0,0,IF(G18&gt;0,1,-1)),
(G18-F18)/ABS(F18)
)</f>
        <v>-1.5587369547765587E-2</v>
      </c>
      <c r="G19" s="243"/>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42">
        <f>IF(C20=0,
IF(D20=0,0,IF(D20&gt;0,1,-1)),
(D20-C20)/ABS(C20)
)</f>
        <v>4.975124378109568E-3</v>
      </c>
      <c r="D21" s="243"/>
      <c r="F21" s="242">
        <f>IF(F20=0,
IF(G20=0,0,IF(G20&gt;0,1,-1)),
(G20-F20)/ABS(F20)
)</f>
        <v>0.28662420382165599</v>
      </c>
      <c r="G21" s="243"/>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42">
        <f>IF(C24=0,
IF(D24=0,0,IF(D24&gt;0,1,-1)),
(D24-C24)/ABS(C24)
)</f>
        <v>1.5257357017718937E-2</v>
      </c>
      <c r="D25" s="243"/>
      <c r="F25" s="242">
        <f>IF(F24=0,
IF(G24=0,0,IF(G24&gt;0,1,-1)),
(G24-F24)/ABS(F24)
)</f>
        <v>0.11124326423612797</v>
      </c>
      <c r="G25" s="243"/>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42">
        <f>IF(C26=0,
IF(D26=0,0,IF(D26&gt;0,1,-1)),
(D26-C26)/ABS(C26)
)</f>
        <v>4.7692033505613969E-2</v>
      </c>
      <c r="D27" s="243"/>
      <c r="F27" s="242">
        <f>IF(F26=0,
IF(G26=0,0,IF(G26&gt;0,1,-1)),
(G26-F26)/ABS(F26)
)</f>
        <v>0.22399433663696178</v>
      </c>
      <c r="G27" s="243"/>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42">
        <f>IF(C28=0,
IF(D28=0,0,IF(D28&gt;0,1,-1)),
(D28-C28)/ABS(C28)
)</f>
        <v>-8.2012001756354591E-2</v>
      </c>
      <c r="D29" s="243"/>
      <c r="F29" s="242">
        <f>IF(F28=0,
IF(G28=0,0,IF(G28&gt;0,1,-1)),
(G28-F28)/ABS(F28)
)</f>
        <v>0.22428264688658989</v>
      </c>
      <c r="G29" s="243"/>
    </row>
    <row r="30" spans="2:7" x14ac:dyDescent="0.2">
      <c r="B30" s="20" t="s">
        <v>370</v>
      </c>
      <c r="C30" s="194">
        <f>Statement!Z180</f>
        <v>8401</v>
      </c>
      <c r="D30" s="192">
        <f>Statement!AA180</f>
        <v>6554</v>
      </c>
      <c r="F30" s="194">
        <f>Statement!W180</f>
        <v>5782</v>
      </c>
      <c r="G30" s="192">
        <f>Statement!AA180</f>
        <v>6554</v>
      </c>
    </row>
    <row r="31" spans="2:7" x14ac:dyDescent="0.2">
      <c r="B31" s="200" t="s">
        <v>309</v>
      </c>
      <c r="C31" s="242">
        <f>IF(C30=0,
IF(D30=0,0,IF(D30&gt;0,1,-1)),
(D30-C30)/ABS(C30)
)</f>
        <v>-0.21985477919295321</v>
      </c>
      <c r="D31" s="243"/>
      <c r="F31" s="242">
        <f>IF(F30=0,
IF(G30=0,0,IF(G30&gt;0,1,-1)),
(G30-F30)/ABS(F30)
)</f>
        <v>0.1335178139052231</v>
      </c>
      <c r="G31" s="243"/>
    </row>
    <row r="32" spans="2:7" x14ac:dyDescent="0.2">
      <c r="B32" s="20" t="s">
        <v>371</v>
      </c>
      <c r="C32" s="194">
        <f>Statement!Z181</f>
        <v>9138</v>
      </c>
      <c r="D32" s="192">
        <f>Statement!AA181</f>
        <v>8871</v>
      </c>
      <c r="F32" s="194">
        <f>Statement!W181</f>
        <v>7673</v>
      </c>
      <c r="G32" s="192">
        <f>Statement!AA181</f>
        <v>8871</v>
      </c>
    </row>
    <row r="33" spans="2:7" x14ac:dyDescent="0.2">
      <c r="B33" s="200" t="s">
        <v>309</v>
      </c>
      <c r="C33" s="242">
        <f>IF(C32=0,
IF(D32=0,0,IF(D32&gt;0,1,-1)),
(D32-C32)/ABS(C32)
)</f>
        <v>-2.9218647406434668E-2</v>
      </c>
      <c r="D33" s="243"/>
      <c r="F33" s="242">
        <f>IF(F32=0,
IF(G32=0,0,IF(G32&gt;0,1,-1)),
(G32-F32)/ABS(F32)
)</f>
        <v>0.15613189104652678</v>
      </c>
      <c r="G33" s="243"/>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42">
        <f>IF(C35=0,
IF(D35=0,0,IF(D35&gt;0,1,-1)),
(D35-C35)/ABS(C35)
)</f>
        <v>-4.8110327402884512E-2</v>
      </c>
      <c r="D36" s="243"/>
      <c r="F36" s="242">
        <f>IF(F35=0,
IF(G35=0,0,IF(G35&gt;0,1,-1)),
(G35-F35)/ABS(F35)
)</f>
        <v>0.21690368310080302</v>
      </c>
      <c r="G36" s="243"/>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42">
        <f>IF(C37=0,
IF(D37=0,0,IF(D37&gt;0,1,-1)),
(D37-C37)/ABS(C37)
)</f>
        <v>0.23252768186688891</v>
      </c>
      <c r="D38" s="243"/>
      <c r="F38" s="242">
        <f>IF(F37=0,
IF(G37=0,0,IF(G37&gt;0,1,-1)),
(G37-F37)/ABS(F37)
)</f>
        <v>0.28660203827989061</v>
      </c>
      <c r="G38" s="243"/>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42">
        <f>IF(C39=0,
IF(D39=0,0,IF(D39&gt;0,1,-1)),
(D39-C39)/ABS(C39)
)</f>
        <v>-0.10457043679490888</v>
      </c>
      <c r="D40" s="243"/>
      <c r="F40" s="242">
        <f>IF(F39=0,
IF(G39=0,0,IF(G39&gt;0,1,-1)),
(G39-F39)/ABS(F39)
)</f>
        <v>-5.9261510408752466E-2</v>
      </c>
      <c r="G40" s="243"/>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42">
        <f>IF(C41=0,
IF(D41=0,0,IF(D41&gt;0,1,-1)),
(D41-C41)/ABS(C41)
)</f>
        <v>-2.2781926338438173E-3</v>
      </c>
      <c r="D42" s="243"/>
      <c r="F42" s="242">
        <f>IF(F41=0,
IF(G41=0,0,IF(G41&gt;0,1,-1)),
(G41-F41)/ABS(F41)
)</f>
        <v>6.4694759589411135E-2</v>
      </c>
      <c r="G42" s="243"/>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42">
        <f>IF(C43=0,
IF(D43=0,0,IF(D43&gt;0,1,-1)),
(D43-C43)/ABS(C43)
)</f>
        <v>-7.6510847107438013E-3</v>
      </c>
      <c r="D44" s="243"/>
      <c r="F44" s="242">
        <f>IF(F43=0,
IF(G43=0,0,IF(G43&gt;0,1,-1)),
(G43-F43)/ABS(F43)
)</f>
        <v>0.12092039528862633</v>
      </c>
      <c r="G44" s="243"/>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5" t="s">
        <v>110</v>
      </c>
      <c r="D2" s="235"/>
      <c r="E2" s="235"/>
      <c r="F2" s="235"/>
      <c r="G2" s="236"/>
      <c r="H2" s="237" t="s">
        <v>111</v>
      </c>
      <c r="I2" s="235"/>
      <c r="J2" s="235"/>
      <c r="K2" s="235"/>
      <c r="L2" s="235"/>
      <c r="O2" s="5"/>
      <c r="S2" s="235" t="s">
        <v>110</v>
      </c>
      <c r="T2" s="235"/>
      <c r="U2" s="235"/>
      <c r="V2" s="235"/>
      <c r="W2" s="235"/>
      <c r="X2" s="235"/>
      <c r="Y2" s="235"/>
      <c r="Z2" s="235"/>
      <c r="AA2" s="235" t="s">
        <v>111</v>
      </c>
      <c r="AB2" s="235"/>
      <c r="AC2" s="235"/>
      <c r="AE2" s="85" t="s">
        <v>112</v>
      </c>
    </row>
    <row r="3" spans="1:31" ht="10" customHeight="1" x14ac:dyDescent="0.2">
      <c r="O3" s="5"/>
    </row>
    <row r="4" spans="1:31" ht="16" customHeight="1" x14ac:dyDescent="0.2">
      <c r="A4" s="86"/>
      <c r="B4" s="60"/>
      <c r="C4" s="234" t="s">
        <v>113</v>
      </c>
      <c r="D4" s="234"/>
      <c r="E4" s="234"/>
      <c r="F4" s="234"/>
      <c r="G4" s="234"/>
      <c r="H4" s="234"/>
      <c r="I4" s="234"/>
      <c r="J4" s="234"/>
      <c r="K4" s="234"/>
      <c r="L4" s="234"/>
      <c r="O4" s="5"/>
      <c r="S4" s="247" t="s">
        <v>113</v>
      </c>
      <c r="T4" s="248"/>
      <c r="U4" s="248"/>
      <c r="V4" s="248"/>
      <c r="W4" s="248"/>
      <c r="X4" s="248"/>
      <c r="Y4" s="248"/>
      <c r="Z4" s="248"/>
      <c r="AA4" s="248"/>
      <c r="AB4" s="248"/>
      <c r="AC4" s="248"/>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34" t="s">
        <v>119</v>
      </c>
      <c r="D13" s="234"/>
      <c r="E13" s="234"/>
      <c r="F13" s="234"/>
      <c r="G13" s="234"/>
      <c r="H13" s="234"/>
      <c r="I13" s="234"/>
      <c r="J13" s="234"/>
      <c r="K13" s="234"/>
      <c r="L13" s="234"/>
      <c r="O13" s="5"/>
      <c r="Q13" s="91"/>
      <c r="S13" s="247" t="s">
        <v>119</v>
      </c>
      <c r="T13" s="248"/>
      <c r="U13" s="248"/>
      <c r="V13" s="248"/>
      <c r="W13" s="248"/>
      <c r="X13" s="248"/>
      <c r="Y13" s="248"/>
      <c r="Z13" s="248"/>
      <c r="AA13" s="248"/>
      <c r="AB13" s="248"/>
      <c r="AC13" s="248"/>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5" t="s">
        <v>110</v>
      </c>
      <c r="D2" s="235"/>
      <c r="E2" s="235"/>
      <c r="F2" s="235"/>
      <c r="G2" s="236"/>
      <c r="H2" s="237" t="s">
        <v>111</v>
      </c>
      <c r="I2" s="235"/>
      <c r="J2" s="235"/>
      <c r="K2" s="235"/>
      <c r="L2" s="235"/>
      <c r="P2" s="235" t="s">
        <v>110</v>
      </c>
      <c r="Q2" s="235"/>
      <c r="R2" s="235"/>
      <c r="S2" s="235"/>
      <c r="T2" s="235"/>
      <c r="U2" s="235"/>
      <c r="V2" s="235"/>
      <c r="W2" s="235"/>
      <c r="X2" s="235" t="s">
        <v>111</v>
      </c>
      <c r="Y2" s="235"/>
      <c r="Z2" s="235"/>
      <c r="AB2" s="85" t="s">
        <v>112</v>
      </c>
    </row>
    <row r="3" spans="1:28" ht="10" customHeight="1" x14ac:dyDescent="0.2"/>
    <row r="4" spans="1:28" ht="16" customHeight="1" x14ac:dyDescent="0.2">
      <c r="A4" s="86"/>
      <c r="B4" s="60"/>
      <c r="C4" s="234" t="s">
        <v>113</v>
      </c>
      <c r="D4" s="234"/>
      <c r="E4" s="234"/>
      <c r="F4" s="234"/>
      <c r="G4" s="234"/>
      <c r="H4" s="234"/>
      <c r="I4" s="234"/>
      <c r="J4" s="234"/>
      <c r="K4" s="234"/>
      <c r="L4" s="234"/>
      <c r="P4" s="248" t="s">
        <v>113</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34" t="s">
        <v>122</v>
      </c>
      <c r="D9" s="234"/>
      <c r="E9" s="234"/>
      <c r="F9" s="234"/>
      <c r="G9" s="234"/>
      <c r="H9" s="234"/>
      <c r="I9" s="234"/>
      <c r="J9" s="234"/>
      <c r="K9" s="234"/>
      <c r="L9" s="234"/>
      <c r="N9" s="91"/>
      <c r="P9" s="248" t="s">
        <v>123</v>
      </c>
      <c r="Q9" s="248"/>
      <c r="R9" s="248"/>
      <c r="S9" s="248"/>
      <c r="T9" s="248"/>
      <c r="U9" s="248"/>
      <c r="V9" s="248"/>
      <c r="W9" s="248"/>
      <c r="X9" s="248"/>
      <c r="Y9" s="248"/>
      <c r="Z9" s="248"/>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34" t="s">
        <v>125</v>
      </c>
      <c r="D17" s="234"/>
      <c r="E17" s="234"/>
      <c r="F17" s="234"/>
      <c r="G17" s="234"/>
      <c r="H17" s="234"/>
      <c r="I17" s="234"/>
      <c r="J17" s="234"/>
      <c r="K17" s="234"/>
      <c r="L17" s="234"/>
      <c r="P17" s="248" t="s">
        <v>125</v>
      </c>
      <c r="Q17" s="248"/>
      <c r="R17" s="248"/>
      <c r="S17" s="248"/>
      <c r="T17" s="248"/>
      <c r="U17" s="248"/>
      <c r="V17" s="248"/>
      <c r="W17" s="248"/>
      <c r="X17" s="248"/>
      <c r="Y17" s="248"/>
      <c r="Z17" s="248"/>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5" t="s">
        <v>110</v>
      </c>
      <c r="D3" s="235"/>
      <c r="E3" s="235"/>
      <c r="F3" s="235"/>
      <c r="G3" s="236"/>
      <c r="H3" s="237" t="s">
        <v>111</v>
      </c>
      <c r="I3" s="235"/>
      <c r="J3" s="235"/>
      <c r="K3" s="235"/>
      <c r="L3" s="235"/>
      <c r="P3" s="238"/>
      <c r="Q3" s="238"/>
      <c r="R3" s="238"/>
      <c r="S3" s="238"/>
      <c r="T3" s="238"/>
      <c r="U3" s="238"/>
      <c r="V3" s="238"/>
      <c r="W3" s="238"/>
      <c r="X3" s="238"/>
      <c r="Y3" s="238"/>
      <c r="Z3" s="238"/>
      <c r="AB3" s="109"/>
    </row>
    <row r="4" spans="1:28" ht="10" customHeight="1" x14ac:dyDescent="0.2"/>
    <row r="5" spans="1:28" ht="16" customHeight="1" x14ac:dyDescent="0.2">
      <c r="A5" s="86"/>
      <c r="B5" s="60"/>
      <c r="C5" s="234" t="s">
        <v>113</v>
      </c>
      <c r="D5" s="234"/>
      <c r="E5" s="234"/>
      <c r="F5" s="234"/>
      <c r="G5" s="234"/>
      <c r="H5" s="234"/>
      <c r="I5" s="234"/>
      <c r="J5" s="234"/>
      <c r="K5" s="234"/>
      <c r="L5" s="234"/>
      <c r="P5" s="238"/>
      <c r="Q5" s="238"/>
      <c r="R5" s="238"/>
      <c r="S5" s="238"/>
      <c r="T5" s="238"/>
      <c r="U5" s="238"/>
      <c r="V5" s="238"/>
      <c r="W5" s="238"/>
      <c r="X5" s="238"/>
      <c r="Y5" s="238"/>
      <c r="Z5" s="238"/>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4" t="s">
        <v>129</v>
      </c>
      <c r="D11" s="234"/>
      <c r="E11" s="234"/>
      <c r="F11" s="234"/>
      <c r="G11" s="234"/>
      <c r="H11" s="234"/>
      <c r="I11" s="234"/>
      <c r="J11" s="234"/>
      <c r="K11" s="234"/>
      <c r="L11" s="234"/>
      <c r="N11" s="91"/>
      <c r="P11" s="238"/>
      <c r="Q11" s="238"/>
      <c r="R11" s="238"/>
      <c r="S11" s="238"/>
      <c r="T11" s="238"/>
      <c r="U11" s="238"/>
      <c r="V11" s="238"/>
      <c r="W11" s="238"/>
      <c r="X11" s="238"/>
      <c r="Y11" s="238"/>
      <c r="Z11" s="238"/>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34" t="s">
        <v>134</v>
      </c>
      <c r="D18" s="234"/>
      <c r="E18" s="234"/>
      <c r="F18" s="234"/>
      <c r="G18" s="234"/>
      <c r="H18" s="234"/>
      <c r="I18" s="234"/>
      <c r="J18" s="234"/>
      <c r="K18" s="234"/>
      <c r="L18" s="234"/>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38"/>
      <c r="C25" s="238"/>
    </row>
    <row r="26" spans="2:12" x14ac:dyDescent="0.2">
      <c r="B26" s="109"/>
      <c r="C26" s="234" t="s">
        <v>140</v>
      </c>
      <c r="D26" s="234"/>
      <c r="E26" s="234"/>
      <c r="F26" s="234"/>
      <c r="G26" s="234"/>
      <c r="H26" s="234"/>
      <c r="I26" s="234"/>
      <c r="J26" s="234"/>
      <c r="K26" s="234"/>
      <c r="L26" s="234"/>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34" t="s">
        <v>144</v>
      </c>
      <c r="D33" s="234"/>
      <c r="E33" s="234"/>
      <c r="F33" s="234"/>
      <c r="G33" s="234"/>
      <c r="H33" s="234"/>
      <c r="I33" s="234"/>
      <c r="J33" s="234"/>
      <c r="K33" s="234"/>
      <c r="L33" s="234"/>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34" t="s">
        <v>147</v>
      </c>
      <c r="D40" s="234"/>
      <c r="E40" s="234"/>
      <c r="F40" s="234"/>
      <c r="G40" s="234"/>
      <c r="H40" s="234"/>
      <c r="I40" s="234"/>
      <c r="J40" s="234"/>
      <c r="K40" s="234"/>
      <c r="L40" s="234"/>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5" t="s">
        <v>110</v>
      </c>
      <c r="D2" s="235"/>
      <c r="E2" s="235"/>
      <c r="F2" s="235"/>
      <c r="G2" s="236"/>
      <c r="H2" s="237" t="s">
        <v>111</v>
      </c>
      <c r="I2" s="235"/>
      <c r="J2" s="235"/>
      <c r="K2" s="235"/>
      <c r="L2" s="235"/>
      <c r="S2" s="238"/>
      <c r="T2" s="238"/>
      <c r="U2" s="238"/>
      <c r="V2" s="238"/>
      <c r="W2" s="238"/>
      <c r="X2" s="238"/>
      <c r="Y2" s="238"/>
      <c r="Z2" s="238"/>
      <c r="AA2" s="238"/>
      <c r="AB2" s="238"/>
      <c r="AC2" s="238"/>
      <c r="AE2" s="109"/>
    </row>
    <row r="3" spans="1:31" ht="10" customHeight="1" x14ac:dyDescent="0.2"/>
    <row r="4" spans="1:31" ht="16" customHeight="1" x14ac:dyDescent="0.2">
      <c r="A4" s="86"/>
      <c r="B4" s="60"/>
      <c r="C4" s="234" t="s">
        <v>18</v>
      </c>
      <c r="D4" s="234"/>
      <c r="E4" s="234"/>
      <c r="F4" s="234"/>
      <c r="G4" s="234"/>
      <c r="H4" s="234"/>
      <c r="I4" s="234"/>
      <c r="J4" s="234"/>
      <c r="K4" s="234"/>
      <c r="L4" s="234"/>
      <c r="S4" s="238"/>
      <c r="T4" s="238"/>
      <c r="U4" s="238"/>
      <c r="V4" s="238"/>
      <c r="W4" s="238"/>
      <c r="X4" s="238"/>
      <c r="Y4" s="238"/>
      <c r="Z4" s="238"/>
      <c r="AA4" s="238"/>
      <c r="AB4" s="238"/>
      <c r="AC4" s="238"/>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34" t="s">
        <v>155</v>
      </c>
      <c r="D13" s="234"/>
      <c r="E13" s="234"/>
      <c r="F13" s="234"/>
      <c r="G13" s="234"/>
      <c r="H13" s="234"/>
      <c r="I13" s="234"/>
      <c r="J13" s="234"/>
      <c r="K13" s="234"/>
      <c r="L13" s="23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34" t="s">
        <v>156</v>
      </c>
      <c r="D18" s="234"/>
      <c r="E18" s="234"/>
      <c r="F18" s="234"/>
      <c r="G18" s="234"/>
      <c r="H18" s="234"/>
      <c r="I18" s="234"/>
      <c r="J18" s="234"/>
      <c r="K18" s="234"/>
      <c r="L18" s="234"/>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34" t="s">
        <v>256</v>
      </c>
      <c r="D25" s="234"/>
      <c r="E25" s="234"/>
      <c r="F25" s="234"/>
      <c r="G25" s="234"/>
      <c r="H25" s="234"/>
      <c r="I25" s="234"/>
      <c r="J25" s="234"/>
      <c r="K25" s="234"/>
      <c r="L25" s="234"/>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34" t="s">
        <v>75</v>
      </c>
      <c r="D31" s="234"/>
      <c r="E31" s="234"/>
      <c r="F31" s="234"/>
      <c r="G31" s="234"/>
      <c r="H31" s="234"/>
      <c r="I31" s="234"/>
      <c r="J31" s="234"/>
      <c r="K31" s="234"/>
      <c r="L31" s="234"/>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5" t="s">
        <v>163</v>
      </c>
      <c r="C4" s="235"/>
    </row>
    <row r="5" spans="1:3" ht="17" customHeight="1" x14ac:dyDescent="0.2">
      <c r="B5" s="1" t="s">
        <v>164</v>
      </c>
      <c r="C5" s="136">
        <f>Statement!AC77</f>
        <v>14653</v>
      </c>
    </row>
    <row r="6" spans="1:3" ht="17" customHeight="1" x14ac:dyDescent="0.2">
      <c r="B6" s="1" t="s">
        <v>1</v>
      </c>
      <c r="C6" s="133">
        <f ca="1">Overview!C5</f>
        <v>340.22500000000002</v>
      </c>
    </row>
    <row r="7" spans="1:3" ht="17" customHeight="1" x14ac:dyDescent="0.2">
      <c r="B7" s="1" t="s">
        <v>165</v>
      </c>
      <c r="C7" s="134">
        <f ca="1">C5*C6</f>
        <v>4985316.9250000007</v>
      </c>
    </row>
    <row r="8" spans="1:3" ht="17" customHeight="1" x14ac:dyDescent="0.2">
      <c r="B8" s="1" t="s">
        <v>166</v>
      </c>
      <c r="C8" s="112">
        <f>Statement!AC106</f>
        <v>84344</v>
      </c>
    </row>
    <row r="9" spans="1:3" ht="17" customHeight="1" x14ac:dyDescent="0.2">
      <c r="B9" s="1" t="s">
        <v>167</v>
      </c>
      <c r="C9" s="135">
        <f ca="1">Overview!F27</f>
        <v>5.1619999999999999E-2</v>
      </c>
    </row>
    <row r="10" spans="1:3" ht="17" customHeight="1" x14ac:dyDescent="0.2">
      <c r="B10" s="1" t="s">
        <v>9</v>
      </c>
      <c r="C10" s="133">
        <f ca="1">Overview!C13</f>
        <v>1.0718000000000001</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35" t="s">
        <v>170</v>
      </c>
      <c r="C15" s="235"/>
    </row>
    <row r="16" spans="1:3" ht="17" customHeight="1" x14ac:dyDescent="0.2">
      <c r="B16" s="1" t="s">
        <v>171</v>
      </c>
      <c r="C16" s="46">
        <f ca="1">C8/(C8+C7)</f>
        <v>1.6637010097475105E-2</v>
      </c>
    </row>
    <row r="17" spans="2:3" ht="17" customHeight="1" x14ac:dyDescent="0.2">
      <c r="B17" s="1" t="s">
        <v>172</v>
      </c>
      <c r="C17" s="46">
        <f ca="1">C7/(C8+C7)</f>
        <v>0.98336298990252491</v>
      </c>
    </row>
    <row r="18" spans="2:3" ht="17" customHeight="1" x14ac:dyDescent="0.2">
      <c r="B18" s="1" t="s">
        <v>173</v>
      </c>
      <c r="C18" s="46">
        <f>C13*(1-C12)</f>
        <v>3.8710000000000001E-2</v>
      </c>
    </row>
    <row r="19" spans="2:3" ht="17" customHeight="1" x14ac:dyDescent="0.2">
      <c r="B19" s="1" t="s">
        <v>174</v>
      </c>
      <c r="C19" s="46">
        <f ca="1">C9+C10*C11</f>
        <v>9.9850999999999995E-2</v>
      </c>
    </row>
    <row r="20" spans="2:3" ht="17" customHeight="1" x14ac:dyDescent="0.2">
      <c r="B20" s="1" t="s">
        <v>162</v>
      </c>
      <c r="C20" s="46">
        <f ca="1">(C17*C19)+(C16*C18)</f>
        <v>9.8833796565630266E-2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D1"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5" t="s">
        <v>110</v>
      </c>
      <c r="D3" s="235"/>
      <c r="E3" s="235"/>
      <c r="F3" s="235"/>
      <c r="G3" s="236"/>
      <c r="H3" s="237" t="s">
        <v>111</v>
      </c>
      <c r="I3" s="235"/>
      <c r="J3" s="235"/>
      <c r="K3" s="235"/>
      <c r="L3" s="235"/>
      <c r="P3" s="238"/>
      <c r="Q3" s="238"/>
      <c r="R3" s="238"/>
      <c r="S3" s="238"/>
      <c r="T3" s="238"/>
      <c r="U3" s="238"/>
      <c r="V3" s="238"/>
      <c r="W3" s="238"/>
      <c r="X3" s="238"/>
      <c r="Y3" s="238"/>
      <c r="Z3" s="238"/>
      <c r="AB3" s="109"/>
    </row>
    <row r="4" spans="1:28" ht="10" customHeight="1" x14ac:dyDescent="0.2"/>
    <row r="5" spans="1:28" ht="16" customHeight="1" x14ac:dyDescent="0.2">
      <c r="A5" s="86"/>
      <c r="B5" s="60"/>
      <c r="C5" s="234" t="s">
        <v>177</v>
      </c>
      <c r="D5" s="234"/>
      <c r="E5" s="234"/>
      <c r="F5" s="234"/>
      <c r="G5" s="234"/>
      <c r="H5" s="234"/>
      <c r="I5" s="234"/>
      <c r="J5" s="234"/>
      <c r="K5" s="234"/>
      <c r="L5" s="234"/>
      <c r="P5" s="238"/>
      <c r="Q5" s="238"/>
      <c r="R5" s="238"/>
      <c r="S5" s="238"/>
      <c r="T5" s="238"/>
      <c r="U5" s="238"/>
      <c r="V5" s="238"/>
      <c r="W5" s="238"/>
      <c r="X5" s="238"/>
      <c r="Y5" s="238"/>
      <c r="Z5" s="238"/>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1838737.1276046229</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100432.85543948702</v>
      </c>
      <c r="I10" s="126">
        <f t="shared" ref="I10:L10" ca="1" si="0">I7/(1+$C$15)^I9</f>
        <v>97108.00119072423</v>
      </c>
      <c r="J10" s="126">
        <f t="shared" ca="1" si="0"/>
        <v>93374.960808008371</v>
      </c>
      <c r="K10" s="126">
        <f t="shared" ca="1" si="0"/>
        <v>89373.103671124671</v>
      </c>
      <c r="L10" s="126">
        <f t="shared" ca="1" si="0"/>
        <v>88709.855886179692</v>
      </c>
      <c r="N10" s="91"/>
    </row>
    <row r="11" spans="1:28" x14ac:dyDescent="0.2">
      <c r="B11" s="1" t="s">
        <v>180</v>
      </c>
      <c r="C11" s="137"/>
      <c r="D11" s="137"/>
      <c r="E11" s="137"/>
      <c r="F11" s="137"/>
      <c r="G11" s="138"/>
      <c r="H11" s="137"/>
      <c r="I11" s="137"/>
      <c r="J11" s="137"/>
      <c r="K11" s="137"/>
      <c r="L11" s="126">
        <f ca="1">L8/(1+C15)^L9</f>
        <v>1147782.511382336</v>
      </c>
    </row>
    <row r="13" spans="1:28" x14ac:dyDescent="0.2">
      <c r="B13" s="235" t="s">
        <v>181</v>
      </c>
      <c r="C13" s="235"/>
    </row>
    <row r="14" spans="1:28" x14ac:dyDescent="0.2">
      <c r="B14" s="1" t="s">
        <v>182</v>
      </c>
      <c r="C14" s="140">
        <v>0.02</v>
      </c>
    </row>
    <row r="15" spans="1:28" x14ac:dyDescent="0.2">
      <c r="B15" s="1" t="s">
        <v>162</v>
      </c>
      <c r="C15" s="135">
        <f ca="1">IF(Overview!C28&gt;0,Overview!C28,WACC!C20)</f>
        <v>9.8833796565630266E-2</v>
      </c>
    </row>
    <row r="18" spans="2:3" x14ac:dyDescent="0.2">
      <c r="B18" s="235" t="s">
        <v>183</v>
      </c>
      <c r="C18" s="235"/>
    </row>
    <row r="19" spans="2:3" x14ac:dyDescent="0.2">
      <c r="B19" s="1" t="s">
        <v>184</v>
      </c>
      <c r="C19" s="64">
        <f ca="1">SUM(H10:L10)</f>
        <v>468998.77699552395</v>
      </c>
    </row>
    <row r="20" spans="2:3" x14ac:dyDescent="0.2">
      <c r="B20" s="1" t="s">
        <v>180</v>
      </c>
      <c r="C20" s="64">
        <f ca="1">L11</f>
        <v>1147782.511382336</v>
      </c>
    </row>
    <row r="21" spans="2:3" x14ac:dyDescent="0.2">
      <c r="B21" s="16" t="s">
        <v>185</v>
      </c>
      <c r="C21" s="94">
        <f ca="1">C19+C20</f>
        <v>1616781.2883778601</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1678954.2883778601</v>
      </c>
    </row>
    <row r="25" spans="2:3" x14ac:dyDescent="0.2">
      <c r="B25" s="1" t="s">
        <v>67</v>
      </c>
      <c r="C25" s="88">
        <f>Statement!AC77</f>
        <v>14653</v>
      </c>
    </row>
    <row r="26" spans="2:3" x14ac:dyDescent="0.2">
      <c r="B26" s="252" t="s">
        <v>189</v>
      </c>
      <c r="C26" s="253">
        <f ca="1">C24/C25</f>
        <v>114.58092461460862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opLeftCell="A60" zoomScale="192" zoomScaleNormal="100" workbookViewId="0">
      <selection activeCell="B73" sqref="B7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5" t="s">
        <v>110</v>
      </c>
      <c r="D2" s="235"/>
      <c r="E2" s="235"/>
      <c r="F2" s="235"/>
      <c r="G2" s="236"/>
      <c r="H2" s="237" t="s">
        <v>111</v>
      </c>
      <c r="I2" s="235"/>
      <c r="J2" s="235"/>
      <c r="K2" s="235"/>
      <c r="L2" s="235"/>
    </row>
    <row r="3" spans="1:14" ht="10" customHeight="1" x14ac:dyDescent="0.2"/>
    <row r="4" spans="1:14" ht="16" customHeight="1" x14ac:dyDescent="0.2">
      <c r="A4" s="86"/>
      <c r="B4" s="60"/>
      <c r="C4" s="234" t="s">
        <v>191</v>
      </c>
      <c r="D4" s="234"/>
      <c r="E4" s="234"/>
      <c r="F4" s="234"/>
      <c r="G4" s="234"/>
      <c r="H4" s="234"/>
      <c r="I4" s="234"/>
      <c r="J4" s="234"/>
      <c r="K4" s="234"/>
      <c r="L4" s="234"/>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100432.85543948702</v>
      </c>
      <c r="I9" s="92">
        <f ca="1">DCF!I10</f>
        <v>97108.00119072423</v>
      </c>
      <c r="J9" s="92">
        <f ca="1">DCF!J10</f>
        <v>93374.960808008371</v>
      </c>
      <c r="K9" s="92">
        <f ca="1">DCF!K10</f>
        <v>89373.103671124671</v>
      </c>
      <c r="L9" s="92">
        <f ca="1">DCF!L10</f>
        <v>88709.855886179692</v>
      </c>
      <c r="N9" s="91"/>
    </row>
    <row r="10" spans="1:14" x14ac:dyDescent="0.2">
      <c r="N10" s="91"/>
    </row>
    <row r="11" spans="1:14" x14ac:dyDescent="0.2">
      <c r="C11" s="234" t="s">
        <v>119</v>
      </c>
      <c r="D11" s="234"/>
      <c r="E11" s="234"/>
      <c r="F11" s="234"/>
      <c r="G11" s="234"/>
      <c r="H11" s="234"/>
      <c r="I11" s="234"/>
      <c r="J11" s="234"/>
      <c r="K11" s="234"/>
      <c r="L11" s="234"/>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34" t="s">
        <v>193</v>
      </c>
      <c r="D17" s="234"/>
      <c r="E17" s="234"/>
      <c r="F17" s="234"/>
      <c r="G17" s="234"/>
      <c r="H17" s="234"/>
      <c r="I17" s="234"/>
      <c r="J17" s="234"/>
      <c r="K17" s="234"/>
      <c r="L17" s="234"/>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34" t="s">
        <v>196</v>
      </c>
      <c r="D22" s="234"/>
      <c r="E22" s="234"/>
      <c r="F22" s="234"/>
      <c r="G22" s="234"/>
      <c r="H22" s="234"/>
      <c r="I22" s="234"/>
      <c r="J22" s="234"/>
      <c r="K22" s="234"/>
      <c r="L22" s="234"/>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34" t="s">
        <v>197</v>
      </c>
      <c r="D27" s="234"/>
      <c r="E27" s="234"/>
      <c r="F27" s="234"/>
      <c r="G27" s="234"/>
      <c r="H27" s="234"/>
      <c r="I27" s="234"/>
      <c r="J27" s="234"/>
      <c r="K27" s="234"/>
      <c r="L27" s="234"/>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N36" s="91"/>
    </row>
    <row r="37" spans="2:14" x14ac:dyDescent="0.2">
      <c r="N37" s="91"/>
    </row>
    <row r="38" spans="2:14" x14ac:dyDescent="0.2">
      <c r="B38" s="235" t="s">
        <v>202</v>
      </c>
      <c r="C38" s="235"/>
      <c r="N38" s="91"/>
    </row>
    <row r="39" spans="2:14" x14ac:dyDescent="0.2">
      <c r="B39" s="1" t="s">
        <v>203</v>
      </c>
      <c r="C39" s="64">
        <f>L7</f>
        <v>195121.37831632962</v>
      </c>
    </row>
    <row r="40" spans="2:14" x14ac:dyDescent="0.2">
      <c r="B40" s="1" t="s">
        <v>162</v>
      </c>
      <c r="C40" s="135">
        <f ca="1">IF(Overview!C28&gt;0,Overview!C28,WACC!C20)</f>
        <v>9.8833796565630266E-2</v>
      </c>
    </row>
    <row r="41" spans="2:14" x14ac:dyDescent="0.2">
      <c r="B41" s="39" t="s">
        <v>204</v>
      </c>
      <c r="C41" s="105">
        <v>24</v>
      </c>
    </row>
    <row r="42" spans="2:14" x14ac:dyDescent="0.2">
      <c r="B42" s="1" t="s">
        <v>409</v>
      </c>
      <c r="C42" s="24">
        <f>(C39*C41)</f>
        <v>4682913.0795919113</v>
      </c>
    </row>
    <row r="43" spans="2:14" x14ac:dyDescent="0.2">
      <c r="B43" s="1" t="s">
        <v>410</v>
      </c>
      <c r="C43" s="24">
        <f ca="1">C42/(1+C40)^5-G31+G32</f>
        <v>2956946.3383825342</v>
      </c>
    </row>
    <row r="44" spans="2:14" x14ac:dyDescent="0.2">
      <c r="B44" s="16" t="s">
        <v>411</v>
      </c>
      <c r="C44" s="108">
        <f ca="1">SUM(H9:K9)+C43</f>
        <v>3337235.2594918786</v>
      </c>
    </row>
    <row r="45" spans="2:14" x14ac:dyDescent="0.2">
      <c r="B45" s="1" t="s">
        <v>186</v>
      </c>
      <c r="C45" s="88">
        <f>Statement!AC105</f>
        <v>146517</v>
      </c>
    </row>
    <row r="46" spans="2:14" x14ac:dyDescent="0.2">
      <c r="B46" s="1" t="s">
        <v>187</v>
      </c>
      <c r="C46" s="88">
        <f>Statement!AC106</f>
        <v>84344</v>
      </c>
    </row>
    <row r="47" spans="2:14" x14ac:dyDescent="0.2">
      <c r="B47" s="16" t="s">
        <v>188</v>
      </c>
      <c r="C47" s="94">
        <f ca="1">C44+C45-C46</f>
        <v>3399408.2594918786</v>
      </c>
    </row>
    <row r="48" spans="2:14" x14ac:dyDescent="0.2">
      <c r="B48" s="1" t="s">
        <v>67</v>
      </c>
      <c r="C48" s="88">
        <f>Statement!AC77</f>
        <v>14653</v>
      </c>
    </row>
    <row r="49" spans="2:3" x14ac:dyDescent="0.2">
      <c r="B49" s="252" t="s">
        <v>206</v>
      </c>
      <c r="C49" s="253">
        <f ca="1">C47/C48</f>
        <v>231.99401211300611</v>
      </c>
    </row>
    <row r="51" spans="2:3" x14ac:dyDescent="0.2">
      <c r="B51" s="235" t="s">
        <v>207</v>
      </c>
      <c r="C51" s="235"/>
    </row>
    <row r="52" spans="2:3" x14ac:dyDescent="0.2">
      <c r="B52" s="1" t="s">
        <v>208</v>
      </c>
      <c r="C52" s="64">
        <f>L6</f>
        <v>615524.85273290111</v>
      </c>
    </row>
    <row r="53" spans="2:3" x14ac:dyDescent="0.2">
      <c r="B53" s="1" t="s">
        <v>338</v>
      </c>
      <c r="C53" s="135">
        <f ca="1">IF(Overview!C29&gt;0,Overview!C29,WACC!C19)</f>
        <v>9.9850999999999995E-2</v>
      </c>
    </row>
    <row r="54" spans="2:3" x14ac:dyDescent="0.2">
      <c r="B54" s="39" t="s">
        <v>209</v>
      </c>
      <c r="C54" s="105">
        <v>7</v>
      </c>
    </row>
    <row r="55" spans="2:3" x14ac:dyDescent="0.2">
      <c r="B55" s="1" t="s">
        <v>205</v>
      </c>
      <c r="C55" s="24">
        <f>L19</f>
        <v>13302.3529680093</v>
      </c>
    </row>
    <row r="56" spans="2:3" x14ac:dyDescent="0.2">
      <c r="B56" s="1" t="s">
        <v>189</v>
      </c>
      <c r="C56" s="24">
        <f>(C52*C54)/C55</f>
        <v>323.90314551810462</v>
      </c>
    </row>
    <row r="57" spans="2:3" x14ac:dyDescent="0.2">
      <c r="B57" s="252" t="s">
        <v>206</v>
      </c>
      <c r="C57" s="253">
        <f ca="1">C56/(1+C53)^5</f>
        <v>201.25463701394406</v>
      </c>
    </row>
    <row r="59" spans="2:3" x14ac:dyDescent="0.2">
      <c r="B59" s="235" t="s">
        <v>316</v>
      </c>
      <c r="C59" s="235"/>
    </row>
    <row r="60" spans="2:3" x14ac:dyDescent="0.2">
      <c r="B60" s="1" t="s">
        <v>412</v>
      </c>
      <c r="C60" s="64">
        <f>L8</f>
        <v>142112.38103456292</v>
      </c>
    </row>
    <row r="61" spans="2:3" x14ac:dyDescent="0.2">
      <c r="B61" s="1" t="s">
        <v>162</v>
      </c>
      <c r="C61" s="135">
        <f ca="1">IF(Overview!C28&gt;0,Overview!C28,WACC!C20)</f>
        <v>9.8833796565630266E-2</v>
      </c>
    </row>
    <row r="62" spans="2:3" x14ac:dyDescent="0.2">
      <c r="B62" s="39" t="s">
        <v>339</v>
      </c>
      <c r="C62" s="105">
        <v>20</v>
      </c>
    </row>
    <row r="63" spans="2:3" x14ac:dyDescent="0.2">
      <c r="B63" s="1" t="s">
        <v>409</v>
      </c>
      <c r="C63" s="24">
        <f>(C60*C62)</f>
        <v>2842247.6206912585</v>
      </c>
    </row>
    <row r="64" spans="2:3" x14ac:dyDescent="0.2">
      <c r="B64" s="1" t="s">
        <v>410</v>
      </c>
      <c r="C64" s="24">
        <f ca="1">C63/(1+C61)^5-G31+G32</f>
        <v>1807960.117723594</v>
      </c>
    </row>
    <row r="65" spans="2:3" x14ac:dyDescent="0.2">
      <c r="B65" s="16" t="s">
        <v>411</v>
      </c>
      <c r="C65" s="108">
        <f ca="1">SUM(H9:K9)+C64</f>
        <v>2188249.0388329383</v>
      </c>
    </row>
    <row r="66" spans="2:3" x14ac:dyDescent="0.2">
      <c r="B66" s="1" t="s">
        <v>186</v>
      </c>
      <c r="C66" s="88">
        <f>Statement!AC105</f>
        <v>146517</v>
      </c>
    </row>
    <row r="67" spans="2:3" x14ac:dyDescent="0.2">
      <c r="B67" s="1" t="s">
        <v>187</v>
      </c>
      <c r="C67" s="88">
        <f>Statement!AC106</f>
        <v>84344</v>
      </c>
    </row>
    <row r="68" spans="2:3" x14ac:dyDescent="0.2">
      <c r="B68" s="16" t="s">
        <v>188</v>
      </c>
      <c r="C68" s="94">
        <f ca="1">C65+C66-C67</f>
        <v>2250422.0388329383</v>
      </c>
    </row>
    <row r="69" spans="2:3" x14ac:dyDescent="0.2">
      <c r="B69" s="1" t="s">
        <v>67</v>
      </c>
      <c r="C69" s="88">
        <f>Statement!AC77</f>
        <v>14653</v>
      </c>
    </row>
    <row r="70" spans="2:3" x14ac:dyDescent="0.2">
      <c r="B70" s="252" t="s">
        <v>206</v>
      </c>
      <c r="C70" s="253">
        <f ca="1">C68/C69</f>
        <v>153.58097582972349</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8" sqref="E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35" t="s">
        <v>211</v>
      </c>
      <c r="C4" s="235"/>
      <c r="N4" s="91"/>
    </row>
    <row r="5" spans="1:14" x14ac:dyDescent="0.2">
      <c r="B5" s="1" t="s">
        <v>212</v>
      </c>
      <c r="C5" s="133">
        <f ca="1">DCF!C26</f>
        <v>114.58092461460862</v>
      </c>
    </row>
    <row r="6" spans="1:14" x14ac:dyDescent="0.2">
      <c r="B6" s="1" t="s">
        <v>213</v>
      </c>
      <c r="C6" s="133">
        <f ca="1">Multiples!C49</f>
        <v>231.99401211300611</v>
      </c>
    </row>
    <row r="7" spans="1:14" x14ac:dyDescent="0.2">
      <c r="B7" s="1" t="s">
        <v>214</v>
      </c>
      <c r="C7" s="133">
        <f ca="1">Multiples!C57</f>
        <v>201.25463701394406</v>
      </c>
    </row>
    <row r="8" spans="1:14" x14ac:dyDescent="0.2">
      <c r="B8" s="1" t="s">
        <v>317</v>
      </c>
      <c r="C8" s="133">
        <f ca="1">Multiples!C70</f>
        <v>153.58097582972349</v>
      </c>
    </row>
    <row r="9" spans="1:14" x14ac:dyDescent="0.2">
      <c r="B9" s="252" t="s">
        <v>215</v>
      </c>
      <c r="C9" s="253">
        <f ca="1">AVERAGE(C5:C8)</f>
        <v>175.35263739282055</v>
      </c>
    </row>
    <row r="10" spans="1:14" x14ac:dyDescent="0.2">
      <c r="B10" s="1" t="s">
        <v>216</v>
      </c>
      <c r="C10" s="133">
        <f ca="1">Overview!C5</f>
        <v>340.22500000000002</v>
      </c>
    </row>
    <row r="11" spans="1:14" x14ac:dyDescent="0.2">
      <c r="B11" s="1" t="s">
        <v>217</v>
      </c>
      <c r="C11" s="149">
        <f ca="1">(C9-C10)/C10</f>
        <v>-0.48459802368191479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5" t="s">
        <v>110</v>
      </c>
      <c r="D2" s="235"/>
      <c r="E2" s="235"/>
      <c r="F2" s="235"/>
      <c r="G2" s="236"/>
      <c r="H2" s="237" t="s">
        <v>111</v>
      </c>
      <c r="I2" s="235"/>
      <c r="J2" s="235"/>
      <c r="K2" s="235"/>
      <c r="L2" s="235"/>
    </row>
    <row r="3" spans="1:14" ht="10" customHeight="1" x14ac:dyDescent="0.2"/>
    <row r="4" spans="1:14" ht="16" customHeight="1" x14ac:dyDescent="0.2">
      <c r="A4" s="86"/>
      <c r="B4" s="60"/>
      <c r="C4" s="234" t="s">
        <v>191</v>
      </c>
      <c r="D4" s="234"/>
      <c r="E4" s="234"/>
      <c r="F4" s="234"/>
      <c r="G4" s="234"/>
      <c r="H4" s="234"/>
      <c r="I4" s="234"/>
      <c r="J4" s="234"/>
      <c r="K4" s="234"/>
      <c r="L4" s="234"/>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34" t="s">
        <v>119</v>
      </c>
      <c r="D9" s="234"/>
      <c r="E9" s="234"/>
      <c r="F9" s="234"/>
      <c r="G9" s="234"/>
      <c r="H9" s="234"/>
      <c r="I9" s="234"/>
      <c r="J9" s="234"/>
      <c r="K9" s="234"/>
      <c r="L9" s="234"/>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34" t="s">
        <v>397</v>
      </c>
      <c r="D14" s="234"/>
      <c r="E14" s="234"/>
      <c r="F14" s="234"/>
      <c r="G14" s="234"/>
      <c r="H14" s="234"/>
      <c r="I14" s="234"/>
      <c r="J14" s="234"/>
      <c r="K14" s="234"/>
      <c r="L14" s="234"/>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35" t="s">
        <v>399</v>
      </c>
      <c r="C20" s="235"/>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9.9850999999999995E-2</v>
      </c>
    </row>
    <row r="25" spans="2:14" x14ac:dyDescent="0.2">
      <c r="B25" s="39" t="s">
        <v>403</v>
      </c>
      <c r="C25" s="232">
        <v>0.02</v>
      </c>
    </row>
    <row r="26" spans="2:14" x14ac:dyDescent="0.2">
      <c r="B26" s="252" t="s">
        <v>206</v>
      </c>
      <c r="C26" s="253">
        <f ca="1">C23/(C24-C25)</f>
        <v>13.284742833527446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35" t="s">
        <v>110</v>
      </c>
      <c r="D3" s="235"/>
      <c r="E3" s="235"/>
      <c r="F3" s="235"/>
      <c r="G3" s="236"/>
      <c r="H3" s="237" t="s">
        <v>111</v>
      </c>
      <c r="I3" s="235"/>
      <c r="J3" s="235"/>
      <c r="K3" s="235"/>
      <c r="L3" s="235"/>
      <c r="P3" s="238"/>
      <c r="Q3" s="238"/>
      <c r="R3" s="238"/>
      <c r="S3" s="238"/>
      <c r="T3" s="238"/>
      <c r="U3" s="238"/>
      <c r="V3" s="238"/>
      <c r="W3" s="238"/>
      <c r="X3" s="238"/>
      <c r="Y3" s="238"/>
      <c r="Z3" s="238"/>
      <c r="AB3" s="109"/>
    </row>
    <row r="4" spans="1:28" ht="10" customHeight="1" x14ac:dyDescent="0.2"/>
    <row r="5" spans="1:28" ht="16" customHeight="1" x14ac:dyDescent="0.2">
      <c r="A5" s="86"/>
      <c r="B5" s="60"/>
      <c r="C5" s="234" t="s">
        <v>177</v>
      </c>
      <c r="D5" s="234"/>
      <c r="E5" s="234"/>
      <c r="F5" s="234"/>
      <c r="G5" s="234"/>
      <c r="H5" s="234"/>
      <c r="I5" s="234"/>
      <c r="J5" s="234"/>
      <c r="K5" s="234"/>
      <c r="L5" s="234"/>
      <c r="P5" s="238"/>
      <c r="Q5" s="238"/>
      <c r="R5" s="238"/>
      <c r="S5" s="238"/>
      <c r="T5" s="238"/>
      <c r="U5" s="238"/>
      <c r="V5" s="238"/>
      <c r="W5" s="238"/>
      <c r="X5" s="238"/>
      <c r="Y5" s="238"/>
      <c r="Z5" s="238"/>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6331388.698795232</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111084.50377973144</v>
      </c>
      <c r="I10" s="126">
        <f t="shared" ref="I10:L10" ca="1" si="1">I7/(1+$C$21)^I9</f>
        <v>143046.72220639311</v>
      </c>
      <c r="J10" s="126">
        <f t="shared" ca="1" si="1"/>
        <v>184205.39353146552</v>
      </c>
      <c r="K10" s="126">
        <f t="shared" ca="1" si="1"/>
        <v>237206.60272889215</v>
      </c>
      <c r="L10" s="126">
        <f t="shared" ca="1" si="1"/>
        <v>305457.78980446124</v>
      </c>
      <c r="N10" s="91"/>
    </row>
    <row r="11" spans="1:28" x14ac:dyDescent="0.2">
      <c r="B11" s="1" t="s">
        <v>180</v>
      </c>
      <c r="C11" s="137"/>
      <c r="D11" s="137"/>
      <c r="E11" s="137"/>
      <c r="F11" s="137"/>
      <c r="G11" s="138"/>
      <c r="H11" s="137"/>
      <c r="I11" s="137"/>
      <c r="J11" s="137"/>
      <c r="K11" s="137"/>
      <c r="L11" s="126">
        <f ca="1">L8/(1+C21)^L9</f>
        <v>3952200.1879126369</v>
      </c>
    </row>
    <row r="13" spans="1:28" ht="17" thickBot="1" x14ac:dyDescent="0.25"/>
    <row r="14" spans="1:28" x14ac:dyDescent="0.2">
      <c r="B14" s="249" t="s">
        <v>219</v>
      </c>
      <c r="C14" s="250"/>
    </row>
    <row r="15" spans="1:28" x14ac:dyDescent="0.2">
      <c r="B15" s="150" t="s">
        <v>220</v>
      </c>
      <c r="C15" s="151">
        <f ca="1">Overview!C5</f>
        <v>340.22500000000002</v>
      </c>
    </row>
    <row r="16" spans="1:28" x14ac:dyDescent="0.2">
      <c r="B16" s="150" t="s">
        <v>221</v>
      </c>
      <c r="C16" s="151">
        <f ca="1">C36</f>
        <v>342.28958475836515</v>
      </c>
    </row>
    <row r="17" spans="2:9" ht="17" thickBot="1" x14ac:dyDescent="0.25">
      <c r="B17" s="152" t="s">
        <v>318</v>
      </c>
      <c r="C17" s="153">
        <v>0.41499999999999998</v>
      </c>
      <c r="E17" s="251" t="s">
        <v>222</v>
      </c>
      <c r="F17" s="251"/>
      <c r="G17" s="251"/>
      <c r="H17" s="251"/>
      <c r="I17" s="251"/>
    </row>
    <row r="18" spans="2:9" ht="17" thickBot="1" x14ac:dyDescent="0.25"/>
    <row r="19" spans="2:9" x14ac:dyDescent="0.2">
      <c r="B19" s="249" t="s">
        <v>181</v>
      </c>
      <c r="C19" s="250"/>
    </row>
    <row r="20" spans="2:9" x14ac:dyDescent="0.2">
      <c r="B20" s="154" t="s">
        <v>182</v>
      </c>
      <c r="C20" s="155">
        <v>0.02</v>
      </c>
    </row>
    <row r="21" spans="2:9" x14ac:dyDescent="0.2">
      <c r="B21" s="154" t="s">
        <v>162</v>
      </c>
      <c r="C21" s="216">
        <f ca="1">IF(Overview!C28&gt;0,Overview!C28,WACC!C20)</f>
        <v>9.8833796565630266E-2</v>
      </c>
    </row>
    <row r="22" spans="2:9" x14ac:dyDescent="0.2">
      <c r="B22" s="154" t="s">
        <v>67</v>
      </c>
      <c r="C22" s="217">
        <f>Statement!AC74</f>
        <v>14594</v>
      </c>
    </row>
    <row r="23" spans="2:9" x14ac:dyDescent="0.2">
      <c r="B23" s="154" t="s">
        <v>223</v>
      </c>
      <c r="C23" s="156">
        <f ca="1">C15*C22</f>
        <v>4965243.6500000004</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4903070.6500000004</v>
      </c>
    </row>
    <row r="27" spans="2:9" ht="17" thickBot="1" x14ac:dyDescent="0.25"/>
    <row r="28" spans="2:9" x14ac:dyDescent="0.2">
      <c r="B28" s="249" t="s">
        <v>183</v>
      </c>
      <c r="C28" s="250"/>
    </row>
    <row r="29" spans="2:9" x14ac:dyDescent="0.2">
      <c r="B29" s="154" t="s">
        <v>184</v>
      </c>
      <c r="C29" s="156">
        <f ca="1">SUM(H10:L10)</f>
        <v>981001.01205094345</v>
      </c>
    </row>
    <row r="30" spans="2:9" x14ac:dyDescent="0.2">
      <c r="B30" s="154" t="s">
        <v>180</v>
      </c>
      <c r="C30" s="156">
        <f ca="1">L11</f>
        <v>3952200.1879126369</v>
      </c>
    </row>
    <row r="31" spans="2:9" x14ac:dyDescent="0.2">
      <c r="B31" s="158" t="s">
        <v>185</v>
      </c>
      <c r="C31" s="159">
        <f ca="1">C29+C30</f>
        <v>4933201.1999635808</v>
      </c>
    </row>
    <row r="32" spans="2:9" x14ac:dyDescent="0.2">
      <c r="B32" s="154" t="s">
        <v>186</v>
      </c>
      <c r="C32" s="160">
        <f>C24</f>
        <v>146517</v>
      </c>
    </row>
    <row r="33" spans="2:3" x14ac:dyDescent="0.2">
      <c r="B33" s="154" t="s">
        <v>187</v>
      </c>
      <c r="C33" s="160">
        <f>C25</f>
        <v>84344</v>
      </c>
    </row>
    <row r="34" spans="2:3" x14ac:dyDescent="0.2">
      <c r="B34" s="158" t="s">
        <v>188</v>
      </c>
      <c r="C34" s="159">
        <f ca="1">C31+C32-C33</f>
        <v>4995374.1999635808</v>
      </c>
    </row>
    <row r="35" spans="2:3" x14ac:dyDescent="0.2">
      <c r="B35" s="154" t="s">
        <v>67</v>
      </c>
      <c r="C35" s="156">
        <f>C22</f>
        <v>14594</v>
      </c>
    </row>
    <row r="36" spans="2:3" ht="17" thickBot="1" x14ac:dyDescent="0.25">
      <c r="B36" s="161" t="s">
        <v>189</v>
      </c>
      <c r="C36" s="162">
        <f ca="1">C34/C35</f>
        <v>342.28958475836515</v>
      </c>
    </row>
  </sheetData>
  <mergeCells count="10">
    <mergeCell ref="C3:G3"/>
    <mergeCell ref="H3:L3"/>
    <mergeCell ref="P3:W3"/>
    <mergeCell ref="X3:Z3"/>
    <mergeCell ref="C5:L5"/>
    <mergeCell ref="P5:Z5"/>
    <mergeCell ref="B14:C14"/>
    <mergeCell ref="E17:I17"/>
    <mergeCell ref="B19:C19"/>
    <mergeCell ref="B28:C28"/>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2026-09-25T19:39:09Z</dcterms:modified>
</cp:coreProperties>
</file>