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6326320-F300-6946-897C-CE5AA581779D}" xr6:coauthVersionLast="47" xr6:coauthVersionMax="47" xr10:uidLastSave="{00000000-0000-0000-0000-000000000000}"/>
  <bookViews>
    <workbookView xWindow="0" yWindow="0" windowWidth="25600" windowHeight="14400" firstSheet="3" activeTab="1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AB11" i="6"/>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49"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4" i="12"/>
  <c r="C61"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41" i="12"/>
  <c r="C51"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48" i="12"/>
  <c r="C52" i="12" s="1"/>
  <c r="C53"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2" i="12" s="1"/>
  <c r="C43" i="12" s="1"/>
  <c r="C45" i="12" s="1"/>
  <c r="C6" i="13" s="1"/>
  <c r="I4" i="1" s="1"/>
  <c r="L27" i="12"/>
  <c r="L22" i="12"/>
  <c r="L17" i="12"/>
  <c r="L11" i="12"/>
  <c r="L7" i="11" l="1"/>
  <c r="L8" i="12"/>
  <c r="L8" i="11" l="1"/>
  <c r="L11" i="11" s="1"/>
  <c r="C20" i="11" s="1"/>
  <c r="L10" i="11"/>
  <c r="C19" i="11" s="1"/>
  <c r="C56" i="12"/>
  <c r="C59" i="12" s="1"/>
  <c r="C60" i="12" s="1"/>
  <c r="C62" i="12" s="1"/>
  <c r="C8" i="13" s="1"/>
  <c r="I6" i="1" s="1"/>
  <c r="L14" i="12"/>
  <c r="C21" i="11" l="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<sst xmlns="http://schemas.openxmlformats.org/spreadsheetml/2006/main" count="764" uniqueCount="406">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</sst>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317.39999999999998</v>
    <v>201.5</v>
    <v>1.0868</v>
    <v>14.25</v>
    <v>4.8406999999999999E-2</v>
    <v>-0.1893</v>
    <v>-6.1339999999999995E-4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309.42</v>
    <v>Computers, Phones &amp; Household Electronics</v>
    <v>Stock</v>
    <v>46205.999965821095</v>
    <v>0</v>
    <v>293.68</v>
    <v>4532959916800</v>
    <v>APPLE INC.</v>
    <v>APPLE INC.</v>
    <v>294.12</v>
    <v>35.752499999999998</v>
    <v>294.38</v>
    <v>308.63</v>
    <v>308.44069999999999</v>
    <v>14687360000</v>
    <v>AAPL</v>
    <v>APPLE INC. (XNAS:AAPL)</v>
    <v>75400626</v>
    <v>64811799</v>
    <v>1977</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286</v>
      </c>
      <c r="F2" s="233"/>
      <c r="H2" s="232" t="s">
        <v>327</v>
      </c>
      <c r="I2" s="233"/>
    </row>
    <row r="3" spans="2:9" x14ac:dyDescent="0.2">
      <c r="B3" s="182" t="s">
        <v>11</v>
      </c>
      <c r="C3" s="214" t="e" vm="1">
        <v>#VALUE!</v>
      </c>
      <c r="D3" s="2"/>
      <c r="E3" s="182" t="s">
        <v>238</v>
      </c>
      <c r="F3" s="184">
        <f ca="1">Statement!AC143</f>
        <v>4549206.2</v>
      </c>
      <c r="H3" s="182" t="str">
        <f>'AVG target price'!B5</f>
        <v>DCF price</v>
      </c>
      <c r="I3" s="208">
        <f ca="1">'AVG target price'!C5</f>
        <v>119.09057177167055</v>
      </c>
    </row>
    <row r="4" spans="2:9" x14ac:dyDescent="0.2">
      <c r="B4" s="182" t="s">
        <v>0</v>
      </c>
      <c r="C4" s="186" t="str" cm="1">
        <f t="array" aca="1" ref="C4" ca="1">_FV(C3,"Ticker symbol",TRUE)</f>
        <v>AAPL</v>
      </c>
      <c r="E4" s="183" t="s">
        <v>185</v>
      </c>
      <c r="F4" s="185">
        <f ca="1">Statement!AC144</f>
        <v>4487322.2</v>
      </c>
      <c r="H4" s="182" t="str">
        <f>'AVG target price'!B6</f>
        <v>EV/EBIT price</v>
      </c>
      <c r="I4" s="208">
        <f ca="1">'AVG target price'!C6</f>
        <v>190.96664389474685</v>
      </c>
    </row>
    <row r="5" spans="2:9" x14ac:dyDescent="0.2">
      <c r="B5" s="182" t="s">
        <v>1</v>
      </c>
      <c r="C5" s="205" cm="1">
        <f t="array" aca="1" ref="C5" ca="1">_FV(C3,"Price",TRUE)</f>
        <v>308.63</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308.44069999999999</v>
      </c>
      <c r="E6" s="182" t="s">
        <v>236</v>
      </c>
      <c r="F6" s="187">
        <f ca="1">Statement!AC140</f>
        <v>37.319226118500609</v>
      </c>
      <c r="H6" s="182" t="str">
        <f>'AVG target price'!B8</f>
        <v>EV/FCFF price</v>
      </c>
      <c r="I6" s="208">
        <f ca="1">'AVG target price'!C8</f>
        <v>122.01885943396663</v>
      </c>
    </row>
    <row r="7" spans="2:9" x14ac:dyDescent="0.2">
      <c r="B7" s="182" t="s">
        <v>3</v>
      </c>
      <c r="C7" s="6" cm="1">
        <f t="array" aca="1" ref="C7" ca="1">_FV(C3,"Change")</f>
        <v>14.25</v>
      </c>
      <c r="E7" s="183" t="s">
        <v>198</v>
      </c>
      <c r="F7" s="188">
        <f ca="1">Statement!AC141</f>
        <v>10.143370156077635</v>
      </c>
      <c r="H7" s="181" t="str">
        <f>'AVG target price'!B9</f>
        <v>AVG price</v>
      </c>
      <c r="I7" s="209">
        <f ca="1">'AVG target price'!C9</f>
        <v>142.69087684668344</v>
      </c>
    </row>
    <row r="8" spans="2:9" x14ac:dyDescent="0.2">
      <c r="B8" s="182" t="s">
        <v>4</v>
      </c>
      <c r="C8" s="6" cm="1">
        <f t="array" aca="1" ref="C8" ca="1">_FV(C3,"Change (extended hours)",TRUE)</f>
        <v>-0.1893</v>
      </c>
      <c r="E8" s="182" t="s">
        <v>264</v>
      </c>
      <c r="F8" s="189">
        <f ca="1">Statement!AC151</f>
        <v>2.5433228328933518E-2</v>
      </c>
      <c r="H8" s="181" t="str">
        <f>'AVG target price'!B11</f>
        <v>Upside/Downside</v>
      </c>
      <c r="I8" s="210">
        <f ca="1">'AVG target price'!C11</f>
        <v>-0.53766362036521587</v>
      </c>
    </row>
    <row r="9" spans="2:9" x14ac:dyDescent="0.2">
      <c r="B9" s="182" t="s">
        <v>5</v>
      </c>
      <c r="C9" s="73" cm="1">
        <f t="array" aca="1" ref="C9" ca="1">_FV(C3,"Change (%)",TRUE)</f>
        <v>4.8406999999999999E-2</v>
      </c>
      <c r="E9" s="182" t="s">
        <v>287</v>
      </c>
      <c r="F9" s="189">
        <f ca="1">Statement!AC152</f>
        <v>2.6795839678579528E-2</v>
      </c>
    </row>
    <row r="10" spans="2:9" x14ac:dyDescent="0.2">
      <c r="B10" s="182" t="s">
        <v>6</v>
      </c>
      <c r="C10" s="73" cm="1">
        <f t="array" aca="1" ref="C10" ca="1">_FV(C3,"Change % (extended hours)",TRUE)</f>
        <v>-6.1339999999999995E-4</v>
      </c>
      <c r="E10" s="182" t="s">
        <v>292</v>
      </c>
      <c r="F10" s="189">
        <f ca="1">Statement!AC154</f>
        <v>1.7188932873607708E-2</v>
      </c>
    </row>
    <row r="11" spans="2:9" x14ac:dyDescent="0.2">
      <c r="B11" s="182" t="s">
        <v>7</v>
      </c>
      <c r="C11" s="206" cm="1">
        <f t="array" aca="1" ref="C11" ca="1">_FV(C3,"52 week high",TRUE)</f>
        <v>317.39999999999998</v>
      </c>
      <c r="E11" s="183" t="s">
        <v>288</v>
      </c>
      <c r="F11" s="190">
        <f ca="1">Statement!AC153</f>
        <v>3.3697307455529276E-3</v>
      </c>
    </row>
    <row r="12" spans="2:9" x14ac:dyDescent="0.2">
      <c r="B12" s="182" t="s">
        <v>8</v>
      </c>
      <c r="C12" s="206" cm="1">
        <f t="array" aca="1" ref="C12" ca="1">_FV(C3,"52 week low",TRUE)</f>
        <v>201.5</v>
      </c>
      <c r="E12" s="182" t="s">
        <v>99</v>
      </c>
      <c r="F12" s="189">
        <f>Statement!AC121</f>
        <v>0.33031782732657466</v>
      </c>
    </row>
    <row r="13" spans="2:9" x14ac:dyDescent="0.2">
      <c r="B13" s="182" t="s">
        <v>9</v>
      </c>
      <c r="C13" s="206" cm="1">
        <f t="array" aca="1" ref="C13" ca="1">_FV(C3,"Beta")</f>
        <v>1.0868</v>
      </c>
      <c r="E13" s="182" t="s">
        <v>101</v>
      </c>
      <c r="F13" s="189">
        <f>Statement!AC123</f>
        <v>1.1510362378041334</v>
      </c>
    </row>
    <row r="14" spans="2:9" x14ac:dyDescent="0.2">
      <c r="B14" s="183" t="s">
        <v>10</v>
      </c>
      <c r="C14" s="207" cm="1">
        <f t="array" aca="1" ref="C14" ca="1">_FV(C3,"Volume average",TRUE)</f>
        <v>64811799</v>
      </c>
      <c r="E14" s="183" t="s">
        <v>102</v>
      </c>
      <c r="F14" s="190">
        <f>Statement!AC130</f>
        <v>2.7422301808699525</v>
      </c>
    </row>
    <row r="15" spans="2:9" x14ac:dyDescent="0.2">
      <c r="E15" s="182" t="s">
        <v>289</v>
      </c>
      <c r="F15" s="189">
        <f ca="1">Statement!AC166</f>
        <v>1.3603252365214836E-2</v>
      </c>
    </row>
    <row r="16" spans="2:9" x14ac:dyDescent="0.2">
      <c r="E16" s="183" t="s">
        <v>294</v>
      </c>
      <c r="F16" s="188">
        <f>Statement!AC165</f>
        <v>4.2135221624565942</v>
      </c>
    </row>
    <row r="17" spans="2:9" x14ac:dyDescent="0.2">
      <c r="B17" s="234" t="s">
        <v>88</v>
      </c>
      <c r="C17" s="234"/>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4" t="s">
        <v>104</v>
      </c>
      <c r="C25" s="234"/>
      <c r="E25" s="232" t="s">
        <v>342</v>
      </c>
      <c r="F25" s="233"/>
    </row>
    <row r="26" spans="2:9" x14ac:dyDescent="0.2">
      <c r="B26" s="181" t="s">
        <v>105</v>
      </c>
      <c r="C26" s="167">
        <v>0.21</v>
      </c>
      <c r="E26" s="182" t="e" vm="2">
        <v>#VALUE!</v>
      </c>
      <c r="F26" s="216" cm="1">
        <f t="array" aca="1" ref="F26" ca="1">_FV(E26,"Price")</f>
        <v>44.85</v>
      </c>
    </row>
    <row r="27" spans="2:9" x14ac:dyDescent="0.2">
      <c r="B27" s="181" t="s">
        <v>169</v>
      </c>
      <c r="C27" s="218">
        <v>4.65E-2</v>
      </c>
      <c r="E27" s="183" t="s">
        <v>343</v>
      </c>
      <c r="F27" s="217">
        <f ca="1">F26/1000</f>
        <v>4.4850000000000001E-2</v>
      </c>
    </row>
    <row r="28" spans="2:9" x14ac:dyDescent="0.2">
      <c r="B28" s="181" t="s">
        <v>347</v>
      </c>
      <c r="C28" s="218">
        <v>0</v>
      </c>
    </row>
    <row r="29" spans="2:9" x14ac:dyDescent="0.2">
      <c r="B29" s="181" t="s">
        <v>348</v>
      </c>
      <c r="C29" s="218">
        <v>0.1</v>
      </c>
    </row>
    <row r="33" spans="2:8" x14ac:dyDescent="0.2">
      <c r="B33" s="235" t="s">
        <v>337</v>
      </c>
      <c r="C33" s="235"/>
      <c r="D33" s="235"/>
      <c r="E33" s="235"/>
      <c r="F33" s="235"/>
      <c r="G33" s="235"/>
      <c r="H33" s="235"/>
    </row>
    <row r="35" spans="2:8" x14ac:dyDescent="0.2">
      <c r="B35" s="16" t="s">
        <v>338</v>
      </c>
    </row>
    <row r="36" spans="2:8" x14ac:dyDescent="0.2">
      <c r="B36" s="16" t="s">
        <v>339</v>
      </c>
    </row>
    <row r="39" spans="2:8" ht="6" customHeight="1" x14ac:dyDescent="0.2">
      <c r="B39" s="235"/>
      <c r="C39" s="235"/>
      <c r="D39" s="235"/>
      <c r="E39" s="235"/>
      <c r="F39" s="235"/>
      <c r="G39" s="235"/>
      <c r="H39" s="235"/>
    </row>
    <row r="42" spans="2:8" x14ac:dyDescent="0.2">
      <c r="B42" s="235" t="s">
        <v>340</v>
      </c>
      <c r="C42" s="235"/>
      <c r="D42" s="235"/>
      <c r="E42" s="235"/>
      <c r="F42" s="235"/>
      <c r="G42" s="235"/>
      <c r="H42" s="235"/>
    </row>
    <row r="44" spans="2:8" x14ac:dyDescent="0.2">
      <c r="B44" s="41" t="s">
        <v>341</v>
      </c>
      <c r="C44" s="41" t="s">
        <v>328</v>
      </c>
      <c r="D44" s="41"/>
      <c r="E44" s="41" t="s">
        <v>329</v>
      </c>
    </row>
    <row r="49" spans="2:8" ht="5" customHeight="1" x14ac:dyDescent="0.2">
      <c r="B49" s="235"/>
      <c r="C49" s="235"/>
      <c r="D49" s="235"/>
      <c r="E49" s="235"/>
      <c r="F49" s="235"/>
      <c r="G49" s="235"/>
      <c r="H49" s="235"/>
    </row>
    <row r="52" spans="2:8" x14ac:dyDescent="0.2">
      <c r="B52" s="235" t="s">
        <v>106</v>
      </c>
      <c r="C52" s="235"/>
      <c r="D52" s="235"/>
      <c r="E52" s="235"/>
      <c r="F52" s="235"/>
      <c r="G52" s="235"/>
      <c r="H52" s="235"/>
    </row>
    <row r="54" spans="2:8" x14ac:dyDescent="0.2">
      <c r="B54" s="41" t="s">
        <v>341</v>
      </c>
      <c r="C54" s="41" t="s">
        <v>361</v>
      </c>
      <c r="D54" s="41"/>
      <c r="E54" s="41" t="s">
        <v>366</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J101"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308.63</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308.63</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37.319226118500609</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10.143370156077635</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42.565557746664034</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4549206.2</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4487322.2</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9.9399750134015008</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30.450186610208597</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39.318642016922929</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38.824496757041281</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2.5433228328933518E-2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2.6795839678579528E-2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3.3697307455529276E-3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1.7188932873607708E-2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2.0607111631915035E-2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1.3603252365214836E-2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5" t="s">
        <v>232</v>
      </c>
      <c r="C4" s="235"/>
      <c r="E4" s="235" t="s">
        <v>239</v>
      </c>
      <c r="F4" s="235"/>
      <c r="G4" s="235"/>
    </row>
    <row r="5" spans="2:7" x14ac:dyDescent="0.2">
      <c r="B5" s="20" t="s">
        <v>1</v>
      </c>
      <c r="C5" s="169">
        <f ca="1">Overview!C5</f>
        <v>308.63</v>
      </c>
      <c r="E5" s="12"/>
      <c r="F5" s="132" t="s">
        <v>240</v>
      </c>
      <c r="G5" s="132" t="s">
        <v>241</v>
      </c>
    </row>
    <row r="6" spans="2:7" x14ac:dyDescent="0.2">
      <c r="B6" s="20" t="s">
        <v>238</v>
      </c>
      <c r="C6" s="170">
        <f ca="1">Statement!AC143</f>
        <v>4549206.2</v>
      </c>
      <c r="E6" s="20" t="s">
        <v>19</v>
      </c>
      <c r="F6" s="175">
        <f>IF(Statement!M5&lt;=0,"N/A",_xlfn.RRI(4,Statement!M5,Statement!Q5))</f>
        <v>3.275991627577457E-2</v>
      </c>
      <c r="G6" s="175" t="str">
        <f>IF(Statement!H5&lt;=0,"N/A",_xlfn.RRI(9,Statement!H5,Statement!Q5))</f>
        <v>N/A</v>
      </c>
    </row>
    <row r="7" spans="2:7" x14ac:dyDescent="0.2">
      <c r="B7" s="20" t="s">
        <v>185</v>
      </c>
      <c r="C7" s="170">
        <f ca="1">Statement!AC144</f>
        <v>4487322.2</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37.319226118500609</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10.143370156077635</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42.565557746664034</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9.9399750134015008</v>
      </c>
    </row>
    <row r="12" spans="2:7" x14ac:dyDescent="0.2">
      <c r="B12" s="20" t="s">
        <v>201</v>
      </c>
      <c r="C12" s="171">
        <f ca="1">Statement!AC146</f>
        <v>30.450186610208597</v>
      </c>
    </row>
    <row r="15" spans="2:7" x14ac:dyDescent="0.2">
      <c r="B15" s="235" t="s">
        <v>75</v>
      </c>
      <c r="C15" s="235"/>
      <c r="E15" s="235" t="s">
        <v>245</v>
      </c>
      <c r="F15" s="235"/>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5" t="s">
        <v>244</v>
      </c>
      <c r="C21" s="235"/>
      <c r="E21" s="235" t="s">
        <v>248</v>
      </c>
      <c r="F21" s="235"/>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5" t="s">
        <v>249</v>
      </c>
      <c r="C29" s="235"/>
      <c r="E29" s="235" t="s">
        <v>255</v>
      </c>
      <c r="F29" s="235"/>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5" t="s">
        <v>267</v>
      </c>
      <c r="C37" s="235"/>
      <c r="E37" s="235" t="s">
        <v>270</v>
      </c>
      <c r="F37" s="235"/>
    </row>
    <row r="38" spans="2:6" x14ac:dyDescent="0.2">
      <c r="B38" s="20" t="s">
        <v>265</v>
      </c>
      <c r="C38" s="172">
        <f ca="1">Statement!AC152</f>
        <v>2.6795839678579528E-2</v>
      </c>
      <c r="E38" s="20" t="s">
        <v>269</v>
      </c>
      <c r="F38" s="172">
        <f>Statement!AC158</f>
        <v>0.13439814694773597</v>
      </c>
    </row>
    <row r="39" spans="2:6" x14ac:dyDescent="0.2">
      <c r="B39" s="54" t="s">
        <v>268</v>
      </c>
      <c r="C39" s="212">
        <f ca="1">Statement!AC151</f>
        <v>2.5433228328933518E-2</v>
      </c>
      <c r="E39" s="20" t="s">
        <v>271</v>
      </c>
      <c r="F39" s="172">
        <f>Statement!AC159</f>
        <v>0.67584549831029983</v>
      </c>
    </row>
    <row r="40" spans="2:6" x14ac:dyDescent="0.2">
      <c r="B40" s="20" t="s">
        <v>266</v>
      </c>
      <c r="C40" s="172">
        <f ca="1">Statement!AC153</f>
        <v>3.3697307455529276E-3</v>
      </c>
      <c r="E40" s="20" t="s">
        <v>272</v>
      </c>
      <c r="F40" s="172">
        <f>Statement!AC160</f>
        <v>0.81024364525803583</v>
      </c>
    </row>
    <row r="41" spans="2:6" x14ac:dyDescent="0.2">
      <c r="B41" s="20" t="s">
        <v>291</v>
      </c>
      <c r="C41" s="172">
        <f ca="1">Statement!AC154</f>
        <v>1.7188932873607708E-2</v>
      </c>
    </row>
    <row r="42" spans="2:6" x14ac:dyDescent="0.2">
      <c r="B42" s="20" t="s">
        <v>293</v>
      </c>
      <c r="C42" s="172">
        <f ca="1">Statement!AC155</f>
        <v>2.0607111631915035E-2</v>
      </c>
    </row>
    <row r="45" spans="2:6" x14ac:dyDescent="0.2">
      <c r="B45" s="235" t="s">
        <v>278</v>
      </c>
      <c r="C45" s="235"/>
      <c r="E45" s="235" t="s">
        <v>284</v>
      </c>
      <c r="F45" s="235"/>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1.3603252365214836E-2</v>
      </c>
    </row>
    <row r="51" spans="2:6" x14ac:dyDescent="0.2">
      <c r="B51" s="235" t="s">
        <v>281</v>
      </c>
      <c r="C51" s="235"/>
      <c r="E51" s="235" t="s">
        <v>302</v>
      </c>
      <c r="F51" s="235"/>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308.63</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4549206.2</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4487322.2</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37.319226118500609</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10.143370156077635</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42.565557746664034</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9.9399750134015008</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30.450186610208597</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2.6795839678579528E-2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2.5433228328933518E-2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3.3697307455529276E-3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1.7188932873607708E-2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2.0607111631915035E-2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1.3603252365214836E-2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312</v>
      </c>
      <c r="D3" s="239"/>
      <c r="F3" s="240" t="s">
        <v>313</v>
      </c>
      <c r="G3" s="239"/>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6">
        <f>Statement!AA88</f>
        <v>-0.22657836890286318</v>
      </c>
      <c r="D7" s="237"/>
      <c r="F7" s="236">
        <f>IF(F6=0,
IF(G6=0,0,IF(G6&gt;0,1,-1)),
(G6-F6)/ABS(F6)
)</f>
        <v>0.16595182415922985</v>
      </c>
      <c r="G7" s="237"/>
    </row>
    <row r="8" spans="2:7" x14ac:dyDescent="0.2">
      <c r="B8" s="204" t="s">
        <v>20</v>
      </c>
      <c r="C8" s="197">
        <f>Statement!Z6</f>
        <v>74525</v>
      </c>
      <c r="D8" s="195">
        <f>Statement!AA6</f>
        <v>56403</v>
      </c>
      <c r="F8" s="197">
        <f>Statement!W6</f>
        <v>50492</v>
      </c>
      <c r="G8" s="195">
        <f>Statement!AA6</f>
        <v>56403</v>
      </c>
    </row>
    <row r="9" spans="2:7" x14ac:dyDescent="0.2">
      <c r="B9" s="203" t="s">
        <v>314</v>
      </c>
      <c r="C9" s="236">
        <f>Statement!AA89</f>
        <v>-0.24316672257631666</v>
      </c>
      <c r="D9" s="237"/>
      <c r="F9" s="236">
        <f>IF(F8=0,
IF(G8=0,0,IF(G8&gt;0,1,-1)),
(G8-F8)/ABS(F8)
)</f>
        <v>0.11706805038421929</v>
      </c>
      <c r="G9" s="237"/>
    </row>
    <row r="10" spans="2:7" x14ac:dyDescent="0.2">
      <c r="B10" s="204" t="s">
        <v>21</v>
      </c>
      <c r="C10" s="197">
        <f>Statement!Z7</f>
        <v>69231</v>
      </c>
      <c r="D10" s="195">
        <f>Statement!AA7</f>
        <v>54781</v>
      </c>
      <c r="F10" s="197">
        <f>Statement!W7</f>
        <v>44867</v>
      </c>
      <c r="G10" s="195">
        <f>Statement!AA7</f>
        <v>54781</v>
      </c>
    </row>
    <row r="11" spans="2:7" x14ac:dyDescent="0.2">
      <c r="B11" s="203" t="s">
        <v>314</v>
      </c>
      <c r="C11" s="236">
        <f>Statement!AA90</f>
        <v>-0.2087215264838006</v>
      </c>
      <c r="D11" s="237"/>
      <c r="F11" s="236">
        <f>IF(F10=0,
IF(G10=0,0,IF(G10&gt;0,1,-1)),
(G10-F10)/ABS(F10)
)</f>
        <v>0.22096418302984375</v>
      </c>
      <c r="G11" s="237"/>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6">
        <f>Statement!AA93</f>
        <v>2.8129930899396048E-2</v>
      </c>
      <c r="D13" s="237"/>
      <c r="F13" s="236">
        <f>IF(F12=0,
IF(G12=0,0,IF(G12&gt;0,1,-1)),
(G12-F12)/ABS(F12)
)</f>
        <v>0.23681110092944102</v>
      </c>
      <c r="G13" s="237"/>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6">
        <f>Statement!AA94</f>
        <v>-0.29432470699284197</v>
      </c>
      <c r="D15" s="237"/>
      <c r="F15" s="236">
        <f>IF(F14=0,
IF(G14=0,0,IF(G14&gt;0,1,-1)),
(G14-F14)/ABS(F14)
)</f>
        <v>0.21278177701172732</v>
      </c>
      <c r="G15" s="237"/>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6">
        <f>Statement!AA96</f>
        <v>-0.29738461173005204</v>
      </c>
      <c r="D17" s="237"/>
      <c r="F17" s="236">
        <f>IF(F16=0,
IF(G16=0,0,IF(G16&gt;0,1,-1)),
(G16-F16)/ABS(F16)
)</f>
        <v>0.19362389023405974</v>
      </c>
      <c r="G17" s="237"/>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6">
        <f>IF(C18=0,
IF(D18=0,0,IF(D18&gt;0,1,-1)),
(D18-C18)/ABS(C18)
)</f>
        <v>-5.6718433490884537E-3</v>
      </c>
      <c r="D19" s="237"/>
      <c r="F19" s="236">
        <f>IF(F18=0,
IF(G18=0,0,IF(G18&gt;0,1,-1)),
(G18-F18)/ABS(F18)
)</f>
        <v>-2.1918172157279491E-2</v>
      </c>
      <c r="G19" s="237"/>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6">
        <f>IF(C20=0,
IF(D20=0,0,IF(D20&gt;0,1,-1)),
(D20-C20)/ABS(C20)
)</f>
        <v>-0.29225352112676062</v>
      </c>
      <c r="D21" s="237"/>
      <c r="F21" s="236">
        <f>IF(F20=0,
IF(G20=0,0,IF(G20&gt;0,1,-1)),
(G20-F20)/ABS(F20)
)</f>
        <v>0.21818181818181812</v>
      </c>
      <c r="G21" s="237"/>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6">
        <f>IF(C24=0,
IF(D24=0,0,IF(D24&gt;0,1,-1)),
(D24-C24)/ABS(C24)
)</f>
        <v>-0.22956141399989749</v>
      </c>
      <c r="D25" s="237"/>
      <c r="F25" s="236">
        <f>IF(F24=0,
IF(G24=0,0,IF(G24&gt;0,1,-1)),
(G24-F24)/ABS(F24)
)</f>
        <v>0.11851668113605358</v>
      </c>
      <c r="G25" s="237"/>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6">
        <f>IF(C26=0,
IF(D26=0,0,IF(D26&gt;0,1,-1)),
(D26-C26)/ABS(C26)
)</f>
        <v>-0.26453625543962672</v>
      </c>
      <c r="D27" s="237"/>
      <c r="F27" s="236">
        <f>IF(F26=0,
IF(G26=0,0,IF(G26&gt;0,1,-1)),
(G26-F26)/ABS(F26)
)</f>
        <v>0.14725607262615523</v>
      </c>
      <c r="G27" s="237"/>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6">
        <f>IF(C28=0,
IF(D28=0,0,IF(D28&gt;0,1,-1)),
(D28-C28)/ABS(C28)
)</f>
        <v>-0.19701480843061975</v>
      </c>
      <c r="D29" s="237"/>
      <c r="F29" s="236">
        <f>IF(F28=0,
IF(G28=0,0,IF(G28&gt;0,1,-1)),
(G28-F28)/ABS(F28)
)</f>
        <v>0.28090238720159982</v>
      </c>
      <c r="G29" s="237"/>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6">
        <f>IF(C30=0,
IF(D30=0,0,IF(D30&gt;0,1,-1)),
(D30-C30)/ABS(C30)
)</f>
        <v>-0.10751088919579305</v>
      </c>
      <c r="D31" s="237"/>
      <c r="F31" s="236">
        <f>IF(F30=0,
IF(G30=0,0,IF(G30&gt;0,1,-1)),
(G30-F30)/ABS(F30)
)</f>
        <v>0.15113729788983282</v>
      </c>
      <c r="G31" s="237"/>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6">
        <f>IF(C32=0,
IF(D32=0,0,IF(D32&gt;0,1,-1)),
(D32-C32)/ABS(C32)
)</f>
        <v>-0.2474056992258277</v>
      </c>
      <c r="D33" s="237"/>
      <c r="F33" s="236">
        <f>IF(F32=0,
IF(G32=0,0,IF(G32&gt;0,1,-1)),
(G32-F32)/ABS(F32)
)</f>
        <v>0.25349794238683127</v>
      </c>
      <c r="G33" s="237"/>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6">
        <f>IF(C35=0,
IF(D35=0,0,IF(D35&gt;0,1,-1)),
(D35-C35)/ABS(C35)
)</f>
        <v>-0.33159764979066247</v>
      </c>
      <c r="D36" s="237"/>
      <c r="F36" s="236">
        <f>IF(F35=0,
IF(G35=0,0,IF(G35&gt;0,1,-1)),
(G35-F35)/ABS(F35)
)</f>
        <v>0.21675455263551163</v>
      </c>
      <c r="G36" s="237"/>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6">
        <f>IF(C37=0,
IF(D37=0,0,IF(D37&gt;0,1,-1)),
(D37-C37)/ABS(C37)
)</f>
        <v>1.550202718817076E-3</v>
      </c>
      <c r="D38" s="237"/>
      <c r="F38" s="236">
        <f>IF(F37=0,
IF(G37=0,0,IF(G37&gt;0,1,-1)),
(G37-F37)/ABS(F37)
)</f>
        <v>5.661089445213234E-2</v>
      </c>
      <c r="G38" s="237"/>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6">
        <f>IF(C39=0,
IF(D39=0,0,IF(D39&gt;0,1,-1)),
(D39-C39)/ABS(C39)
)</f>
        <v>-0.19557882489819661</v>
      </c>
      <c r="D40" s="237"/>
      <c r="F40" s="236">
        <f>IF(F39=0,
IF(G39=0,0,IF(G39&gt;0,1,-1)),
(G39-F39)/ABS(F39)
)</f>
        <v>7.9975007810059354E-2</v>
      </c>
      <c r="G40" s="237"/>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6">
        <f>IF(C41=0,
IF(D41=0,0,IF(D41&gt;0,1,-1)),
(D41-C41)/ABS(C41)
)</f>
        <v>-0.31253806664926476</v>
      </c>
      <c r="D42" s="237"/>
      <c r="F42" s="236">
        <f>IF(F41=0,
IF(G41=0,0,IF(G41&gt;0,1,-1)),
(G41-F41)/ABS(F41)
)</f>
        <v>5.0385535761765486E-2</v>
      </c>
      <c r="G42" s="237"/>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6">
        <f>IF(C43=0,
IF(D43=0,0,IF(D43&gt;0,1,-1)),
(D43-C43)/ABS(C43)
)</f>
        <v>3.2086096025055806E-2</v>
      </c>
      <c r="D44" s="237"/>
      <c r="F44" s="236">
        <f>IF(F43=0,
IF(G43=0,0,IF(G43&gt;0,1,-1)),
(G43-F43)/ABS(F43)
)</f>
        <v>0.16254456746106211</v>
      </c>
      <c r="G44" s="237"/>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5" t="s">
        <v>110</v>
      </c>
      <c r="D2" s="235"/>
      <c r="E2" s="235"/>
      <c r="F2" s="235"/>
      <c r="G2" s="244"/>
      <c r="H2" s="245" t="s">
        <v>111</v>
      </c>
      <c r="I2" s="235"/>
      <c r="J2" s="235"/>
      <c r="K2" s="235"/>
      <c r="L2" s="235"/>
      <c r="O2" s="5"/>
      <c r="S2" s="235" t="s">
        <v>110</v>
      </c>
      <c r="T2" s="235"/>
      <c r="U2" s="235"/>
      <c r="V2" s="235"/>
      <c r="W2" s="235"/>
      <c r="X2" s="235"/>
      <c r="Y2" s="235"/>
      <c r="Z2" s="235"/>
      <c r="AA2" s="235" t="s">
        <v>111</v>
      </c>
      <c r="AB2" s="235"/>
      <c r="AC2" s="235"/>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5" t="s">
        <v>110</v>
      </c>
      <c r="D2" s="235"/>
      <c r="E2" s="235"/>
      <c r="F2" s="235"/>
      <c r="G2" s="244"/>
      <c r="H2" s="245" t="s">
        <v>111</v>
      </c>
      <c r="I2" s="235"/>
      <c r="J2" s="235"/>
      <c r="K2" s="235"/>
      <c r="L2" s="235"/>
      <c r="P2" s="235" t="s">
        <v>110</v>
      </c>
      <c r="Q2" s="235"/>
      <c r="R2" s="235"/>
      <c r="S2" s="235"/>
      <c r="T2" s="235"/>
      <c r="U2" s="235"/>
      <c r="V2" s="235"/>
      <c r="W2" s="235"/>
      <c r="X2" s="235" t="s">
        <v>111</v>
      </c>
      <c r="Y2" s="235"/>
      <c r="Z2" s="235"/>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abSelected="1"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-Statement!M108</f>
        <v>11085</v>
      </c>
      <c r="D45" s="114">
        <f>-Statement!N108</f>
        <v>10708</v>
      </c>
      <c r="E45" s="114">
        <f>-Statement!O108</f>
        <v>10959</v>
      </c>
      <c r="F45" s="114">
        <f>-Statement!P108</f>
        <v>9447</v>
      </c>
      <c r="G45" s="115">
        <f>-Statement!Q108</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5" t="s">
        <v>110</v>
      </c>
      <c r="D2" s="235"/>
      <c r="E2" s="235"/>
      <c r="F2" s="235"/>
      <c r="G2" s="244"/>
      <c r="H2" s="245" t="s">
        <v>111</v>
      </c>
      <c r="I2" s="235"/>
      <c r="J2" s="235"/>
      <c r="K2" s="235"/>
      <c r="L2" s="235"/>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5" t="s">
        <v>163</v>
      </c>
      <c r="C4" s="235"/>
    </row>
    <row r="5" spans="1:3" ht="17" customHeight="1" x14ac:dyDescent="0.2">
      <c r="B5" s="1" t="s">
        <v>164</v>
      </c>
      <c r="C5" s="136">
        <f>Statement!AC77</f>
        <v>14740</v>
      </c>
    </row>
    <row r="6" spans="1:3" ht="17" customHeight="1" x14ac:dyDescent="0.2">
      <c r="B6" s="1" t="s">
        <v>1</v>
      </c>
      <c r="C6" s="133">
        <f ca="1">Overview!C5</f>
        <v>308.63</v>
      </c>
    </row>
    <row r="7" spans="1:3" ht="17" customHeight="1" x14ac:dyDescent="0.2">
      <c r="B7" s="1" t="s">
        <v>165</v>
      </c>
      <c r="C7" s="134">
        <f ca="1">C5*C6</f>
        <v>4549206.2</v>
      </c>
    </row>
    <row r="8" spans="1:3" ht="17" customHeight="1" x14ac:dyDescent="0.2">
      <c r="B8" s="1" t="s">
        <v>166</v>
      </c>
      <c r="C8" s="112">
        <f>Statement!AC106</f>
        <v>84711</v>
      </c>
    </row>
    <row r="9" spans="1:3" ht="17" customHeight="1" x14ac:dyDescent="0.2">
      <c r="B9" s="1" t="s">
        <v>167</v>
      </c>
      <c r="C9" s="135">
        <f ca="1">Overview!F27</f>
        <v>4.4850000000000001E-2</v>
      </c>
    </row>
    <row r="10" spans="1:3" ht="17" customHeight="1" x14ac:dyDescent="0.2">
      <c r="B10" s="1" t="s">
        <v>9</v>
      </c>
      <c r="C10" s="133">
        <f ca="1">Overview!C13</f>
        <v>1.0868</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5" t="s">
        <v>170</v>
      </c>
      <c r="C15" s="235"/>
    </row>
    <row r="16" spans="1:3" ht="17" customHeight="1" x14ac:dyDescent="0.2">
      <c r="B16" s="1" t="s">
        <v>171</v>
      </c>
      <c r="C16" s="46">
        <f ca="1">C8/(C8+C7)</f>
        <v>1.8280646015858892E-2</v>
      </c>
    </row>
    <row r="17" spans="2:3" ht="17" customHeight="1" x14ac:dyDescent="0.2">
      <c r="B17" s="1" t="s">
        <v>172</v>
      </c>
      <c r="C17" s="46">
        <f ca="1">C7/(C8+C7)</f>
        <v>0.98171935398414112</v>
      </c>
    </row>
    <row r="18" spans="2:3" ht="17" customHeight="1" x14ac:dyDescent="0.2">
      <c r="B18" s="1" t="s">
        <v>173</v>
      </c>
      <c r="C18" s="46">
        <f>C13*(1-C12)</f>
        <v>3.6735000000000004E-2</v>
      </c>
    </row>
    <row r="19" spans="2:3" ht="17" customHeight="1" x14ac:dyDescent="0.2">
      <c r="B19" s="1" t="s">
        <v>174</v>
      </c>
      <c r="C19" s="46">
        <f ca="1">C9+C10*C11</f>
        <v>9.3756000000000006E-2</v>
      </c>
    </row>
    <row r="20" spans="2:3" ht="17" customHeight="1" x14ac:dyDescent="0.2">
      <c r="B20" s="1" t="s">
        <v>162</v>
      </c>
      <c r="C20" s="46">
        <f ca="1">(C17*C19)+(C16*C18)</f>
        <v>9.2713619283529725E-2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1928325.9958641303</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96413.15957738203</v>
      </c>
      <c r="I10" s="126">
        <f t="shared" ref="I10:L10" ca="1" si="0">I7/(1+$C$15)^I9</f>
        <v>93193.951001053298</v>
      </c>
      <c r="J10" s="126">
        <f t="shared" ca="1" si="0"/>
        <v>90396.562769008087</v>
      </c>
      <c r="K10" s="126">
        <f t="shared" ca="1" si="0"/>
        <v>87472.742554731027</v>
      </c>
      <c r="L10" s="126">
        <f t="shared" ca="1" si="0"/>
        <v>88239.749402833404</v>
      </c>
      <c r="N10" s="91"/>
    </row>
    <row r="11" spans="1:28" x14ac:dyDescent="0.2">
      <c r="B11" s="1" t="s">
        <v>180</v>
      </c>
      <c r="C11" s="137"/>
      <c r="D11" s="137"/>
      <c r="E11" s="137"/>
      <c r="F11" s="137"/>
      <c r="G11" s="138"/>
      <c r="H11" s="137"/>
      <c r="I11" s="137"/>
      <c r="J11" s="137"/>
      <c r="K11" s="137"/>
      <c r="L11" s="126">
        <f ca="1">L8/(1+C15)^L9</f>
        <v>1237794.8626094162</v>
      </c>
    </row>
    <row r="13" spans="1:28" x14ac:dyDescent="0.2">
      <c r="B13" s="235" t="s">
        <v>181</v>
      </c>
      <c r="C13" s="235"/>
    </row>
    <row r="14" spans="1:28" x14ac:dyDescent="0.2">
      <c r="B14" s="1" t="s">
        <v>182</v>
      </c>
      <c r="C14" s="140">
        <v>0.02</v>
      </c>
    </row>
    <row r="15" spans="1:28" x14ac:dyDescent="0.2">
      <c r="B15" s="1" t="s">
        <v>162</v>
      </c>
      <c r="C15" s="135">
        <f ca="1">IF(Overview!C28&gt;0,Overview!C28,WACC!C20)</f>
        <v>9.2713619283529725E-2</v>
      </c>
    </row>
    <row r="18" spans="2:3" x14ac:dyDescent="0.2">
      <c r="B18" s="235" t="s">
        <v>183</v>
      </c>
      <c r="C18" s="235"/>
    </row>
    <row r="19" spans="2:3" x14ac:dyDescent="0.2">
      <c r="B19" s="1" t="s">
        <v>184</v>
      </c>
      <c r="C19" s="64">
        <f ca="1">SUM(H10:L10)</f>
        <v>455716.16530500783</v>
      </c>
    </row>
    <row r="20" spans="2:3" x14ac:dyDescent="0.2">
      <c r="B20" s="1" t="s">
        <v>180</v>
      </c>
      <c r="C20" s="64">
        <f ca="1">L11</f>
        <v>1237794.8626094162</v>
      </c>
    </row>
    <row r="21" spans="2:3" x14ac:dyDescent="0.2">
      <c r="B21" s="16" t="s">
        <v>185</v>
      </c>
      <c r="C21" s="94">
        <f ca="1">C19+C20</f>
        <v>1693511.027914424</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1755395.027914424</v>
      </c>
    </row>
    <row r="25" spans="2:3" x14ac:dyDescent="0.2">
      <c r="B25" s="1" t="s">
        <v>67</v>
      </c>
      <c r="C25" s="88">
        <f>Statement!AC77</f>
        <v>14740</v>
      </c>
    </row>
    <row r="26" spans="2:3" x14ac:dyDescent="0.2">
      <c r="B26" s="141" t="s">
        <v>189</v>
      </c>
      <c r="C26" s="142">
        <f ca="1">C24/C25</f>
        <v>119.09057177167055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0" zoomScale="192" zoomScaleNormal="100" workbookViewId="0">
      <selection activeCell="D19" sqref="D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5" t="s">
        <v>110</v>
      </c>
      <c r="D2" s="235"/>
      <c r="E2" s="235"/>
      <c r="F2" s="235"/>
      <c r="G2" s="244"/>
      <c r="H2" s="245" t="s">
        <v>111</v>
      </c>
      <c r="I2" s="235"/>
      <c r="J2" s="235"/>
      <c r="K2" s="235"/>
      <c r="L2" s="235"/>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5" t="s">
        <v>202</v>
      </c>
      <c r="C37" s="235"/>
      <c r="N37" s="91"/>
    </row>
    <row r="38" spans="2:14" x14ac:dyDescent="0.2">
      <c r="B38" s="1" t="s">
        <v>203</v>
      </c>
      <c r="C38" s="64">
        <f>L7</f>
        <v>188372.82832200517</v>
      </c>
    </row>
    <row r="39" spans="2:14" x14ac:dyDescent="0.2">
      <c r="B39" s="1" t="s">
        <v>162</v>
      </c>
      <c r="C39" s="135">
        <f ca="1">IF(Overview!C28&gt;0,Overview!C28,WACC!C20)</f>
        <v>9.2713619283529725E-2</v>
      </c>
    </row>
    <row r="40" spans="2:14" x14ac:dyDescent="0.2">
      <c r="B40" s="39" t="s">
        <v>204</v>
      </c>
      <c r="C40" s="105">
        <v>23</v>
      </c>
    </row>
    <row r="41" spans="2:14" x14ac:dyDescent="0.2">
      <c r="B41" s="1" t="s">
        <v>205</v>
      </c>
      <c r="C41" s="24">
        <f>L18</f>
        <v>13302.3529680093</v>
      </c>
    </row>
    <row r="42" spans="2:14" x14ac:dyDescent="0.2">
      <c r="B42" s="1" t="s">
        <v>200</v>
      </c>
      <c r="C42" s="24">
        <f>(C38*C40)</f>
        <v>4332575.051406119</v>
      </c>
    </row>
    <row r="43" spans="2:14" x14ac:dyDescent="0.2">
      <c r="B43" s="1" t="s">
        <v>349</v>
      </c>
      <c r="C43" s="24">
        <f ca="1">C42/(1+C39)^5-G30+G31</f>
        <v>2814848.3310085684</v>
      </c>
    </row>
    <row r="44" spans="2:14" x14ac:dyDescent="0.2">
      <c r="B44" s="1" t="s">
        <v>67</v>
      </c>
      <c r="C44" s="88">
        <f>Statement!AC77</f>
        <v>14740</v>
      </c>
    </row>
    <row r="45" spans="2:14" x14ac:dyDescent="0.2">
      <c r="B45" s="141" t="s">
        <v>206</v>
      </c>
      <c r="C45" s="142">
        <f ca="1">C43/C44</f>
        <v>190.96664389474685</v>
      </c>
    </row>
    <row r="47" spans="2:14" x14ac:dyDescent="0.2">
      <c r="B47" s="235" t="s">
        <v>207</v>
      </c>
      <c r="C47" s="235"/>
    </row>
    <row r="48" spans="2:14" x14ac:dyDescent="0.2">
      <c r="B48" s="1" t="s">
        <v>208</v>
      </c>
      <c r="C48" s="64">
        <f>L6</f>
        <v>594236.0514889753</v>
      </c>
    </row>
    <row r="49" spans="2:3" x14ac:dyDescent="0.2">
      <c r="B49" s="1" t="s">
        <v>348</v>
      </c>
      <c r="C49" s="135">
        <f>Overview!C29</f>
        <v>0.1</v>
      </c>
    </row>
    <row r="50" spans="2:3" x14ac:dyDescent="0.2">
      <c r="B50" s="39" t="s">
        <v>209</v>
      </c>
      <c r="C50" s="105">
        <v>5</v>
      </c>
    </row>
    <row r="51" spans="2:3" x14ac:dyDescent="0.2">
      <c r="B51" s="1" t="s">
        <v>205</v>
      </c>
      <c r="C51" s="24">
        <f>L18</f>
        <v>13302.3529680093</v>
      </c>
    </row>
    <row r="52" spans="2:3" x14ac:dyDescent="0.2">
      <c r="B52" s="1" t="s">
        <v>189</v>
      </c>
      <c r="C52" s="24">
        <f>(C48*C50)/C51</f>
        <v>223.35749657148918</v>
      </c>
    </row>
    <row r="53" spans="2:3" x14ac:dyDescent="0.2">
      <c r="B53" s="141" t="s">
        <v>206</v>
      </c>
      <c r="C53" s="142">
        <f>C52/(1+C49)^5</f>
        <v>138.68743228634972</v>
      </c>
    </row>
    <row r="55" spans="2:3" x14ac:dyDescent="0.2">
      <c r="B55" s="235" t="s">
        <v>321</v>
      </c>
      <c r="C55" s="235"/>
    </row>
    <row r="56" spans="2:3" x14ac:dyDescent="0.2">
      <c r="B56" s="1" t="s">
        <v>210</v>
      </c>
      <c r="C56" s="64">
        <f>L8</f>
        <v>137466.23756646831</v>
      </c>
    </row>
    <row r="57" spans="2:3" x14ac:dyDescent="0.2">
      <c r="B57" s="1" t="s">
        <v>162</v>
      </c>
      <c r="C57" s="135">
        <f ca="1">IF(Overview!C28&gt;0,Overview!C28,WACC!C20)</f>
        <v>9.2713619283529725E-2</v>
      </c>
    </row>
    <row r="58" spans="2:3" x14ac:dyDescent="0.2">
      <c r="B58" s="39" t="s">
        <v>350</v>
      </c>
      <c r="C58" s="105">
        <v>20</v>
      </c>
    </row>
    <row r="59" spans="2:3" x14ac:dyDescent="0.2">
      <c r="B59" s="1" t="s">
        <v>200</v>
      </c>
      <c r="C59" s="24">
        <f>(C56*C58)</f>
        <v>2749324.7513293661</v>
      </c>
    </row>
    <row r="60" spans="2:3" x14ac:dyDescent="0.2">
      <c r="B60" s="1" t="s">
        <v>349</v>
      </c>
      <c r="C60" s="24">
        <f ca="1">C59/(1+C57)^5-G30+G31</f>
        <v>1798557.9880566681</v>
      </c>
    </row>
    <row r="61" spans="2:3" x14ac:dyDescent="0.2">
      <c r="B61" s="1" t="s">
        <v>67</v>
      </c>
      <c r="C61" s="88">
        <f>Statement!AC77</f>
        <v>14740</v>
      </c>
    </row>
    <row r="62" spans="2:3" x14ac:dyDescent="0.2">
      <c r="B62" s="141" t="s">
        <v>206</v>
      </c>
      <c r="C62" s="142">
        <f ca="1">C60/C61</f>
        <v>122.01885943396663</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5" t="s">
        <v>212</v>
      </c>
      <c r="C4" s="235"/>
      <c r="N4" s="91"/>
    </row>
    <row r="5" spans="1:14" x14ac:dyDescent="0.2">
      <c r="B5" s="1" t="s">
        <v>213</v>
      </c>
      <c r="C5" s="133">
        <f ca="1">DCF!C26</f>
        <v>119.09057177167055</v>
      </c>
    </row>
    <row r="6" spans="1:14" x14ac:dyDescent="0.2">
      <c r="B6" s="1" t="s">
        <v>214</v>
      </c>
      <c r="C6" s="133">
        <f ca="1">Multiples!C45</f>
        <v>190.96664389474685</v>
      </c>
    </row>
    <row r="7" spans="1:14" x14ac:dyDescent="0.2">
      <c r="B7" s="1" t="s">
        <v>215</v>
      </c>
      <c r="C7" s="133">
        <f>Multiples!C53</f>
        <v>138.68743228634972</v>
      </c>
    </row>
    <row r="8" spans="1:14" x14ac:dyDescent="0.2">
      <c r="B8" s="1" t="s">
        <v>322</v>
      </c>
      <c r="C8" s="133">
        <f ca="1">Multiples!C62</f>
        <v>122.01885943396663</v>
      </c>
    </row>
    <row r="9" spans="1:14" x14ac:dyDescent="0.2">
      <c r="B9" s="141" t="s">
        <v>216</v>
      </c>
      <c r="C9" s="142">
        <f ca="1">AVERAGE(C5:C8)</f>
        <v>142.69087684668344</v>
      </c>
    </row>
    <row r="10" spans="1:14" x14ac:dyDescent="0.2">
      <c r="B10" s="1" t="s">
        <v>217</v>
      </c>
      <c r="C10" s="133">
        <f ca="1">Overview!C5</f>
        <v>308.63</v>
      </c>
    </row>
    <row r="11" spans="1:14" x14ac:dyDescent="0.2">
      <c r="B11" s="1" t="s">
        <v>218</v>
      </c>
      <c r="C11" s="151">
        <f ca="1">(C9-C10)/C10</f>
        <v>-0.53766362036521587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5255703.4594641058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145028.49718044625</v>
      </c>
      <c r="I10" s="126">
        <f t="shared" ref="I10:L10" ca="1" si="1">I7/(1+$C$21)^I9</f>
        <v>164576.82354290391</v>
      </c>
      <c r="J10" s="126">
        <f t="shared" ca="1" si="1"/>
        <v>186760.06008510161</v>
      </c>
      <c r="K10" s="126">
        <f t="shared" ca="1" si="1"/>
        <v>211933.36517336537</v>
      </c>
      <c r="L10" s="126">
        <f t="shared" ca="1" si="1"/>
        <v>240499.76881159769</v>
      </c>
      <c r="N10" s="91"/>
    </row>
    <row r="11" spans="1:28" x14ac:dyDescent="0.2">
      <c r="B11" s="1" t="s">
        <v>180</v>
      </c>
      <c r="C11" s="137"/>
      <c r="D11" s="137"/>
      <c r="E11" s="137"/>
      <c r="F11" s="137"/>
      <c r="G11" s="138"/>
      <c r="H11" s="137"/>
      <c r="I11" s="137"/>
      <c r="J11" s="137"/>
      <c r="K11" s="137"/>
      <c r="L11" s="126">
        <f ca="1">L8/(1+C21)^L9</f>
        <v>3373642.6078765481</v>
      </c>
    </row>
    <row r="13" spans="1:28" ht="17" thickBot="1" x14ac:dyDescent="0.25"/>
    <row r="14" spans="1:28" x14ac:dyDescent="0.2">
      <c r="B14" s="247" t="s">
        <v>220</v>
      </c>
      <c r="C14" s="248"/>
    </row>
    <row r="15" spans="1:28" x14ac:dyDescent="0.2">
      <c r="B15" s="152" t="s">
        <v>221</v>
      </c>
      <c r="C15" s="153">
        <f ca="1">Overview!C5</f>
        <v>308.63</v>
      </c>
    </row>
    <row r="16" spans="1:28" x14ac:dyDescent="0.2">
      <c r="B16" s="152" t="s">
        <v>222</v>
      </c>
      <c r="C16" s="153">
        <f ca="1">C36</f>
        <v>298.51740468917842</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9.2713619283529725E-2</v>
      </c>
    </row>
    <row r="22" spans="2:9" x14ac:dyDescent="0.2">
      <c r="B22" s="156" t="s">
        <v>67</v>
      </c>
      <c r="C22" s="220">
        <f>Statement!AC74</f>
        <v>14687</v>
      </c>
    </row>
    <row r="23" spans="2:9" x14ac:dyDescent="0.2">
      <c r="B23" s="156" t="s">
        <v>224</v>
      </c>
      <c r="C23" s="158">
        <f ca="1">C15*C22</f>
        <v>4532848.8099999996</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4470964.8099999996</v>
      </c>
    </row>
    <row r="27" spans="2:9" ht="17" thickBot="1" x14ac:dyDescent="0.25"/>
    <row r="28" spans="2:9" x14ac:dyDescent="0.2">
      <c r="B28" s="247" t="s">
        <v>183</v>
      </c>
      <c r="C28" s="248"/>
    </row>
    <row r="29" spans="2:9" x14ac:dyDescent="0.2">
      <c r="B29" s="156" t="s">
        <v>184</v>
      </c>
      <c r="C29" s="158">
        <f ca="1">SUM(H10:L10)</f>
        <v>948798.51479341486</v>
      </c>
    </row>
    <row r="30" spans="2:9" x14ac:dyDescent="0.2">
      <c r="B30" s="156" t="s">
        <v>180</v>
      </c>
      <c r="C30" s="158">
        <f ca="1">L11</f>
        <v>3373642.6078765481</v>
      </c>
    </row>
    <row r="31" spans="2:9" x14ac:dyDescent="0.2">
      <c r="B31" s="160" t="s">
        <v>185</v>
      </c>
      <c r="C31" s="161">
        <f ca="1">C29+C30</f>
        <v>4322441.1226699632</v>
      </c>
    </row>
    <row r="32" spans="2:9" x14ac:dyDescent="0.2">
      <c r="B32" s="156" t="s">
        <v>186</v>
      </c>
      <c r="C32" s="162">
        <f>C24</f>
        <v>146595</v>
      </c>
    </row>
    <row r="33" spans="2:12" x14ac:dyDescent="0.2">
      <c r="B33" s="156" t="s">
        <v>187</v>
      </c>
      <c r="C33" s="162">
        <f>C25</f>
        <v>84711</v>
      </c>
    </row>
    <row r="34" spans="2:12" x14ac:dyDescent="0.2">
      <c r="B34" s="160" t="s">
        <v>188</v>
      </c>
      <c r="C34" s="161">
        <f ca="1">C31+C32-C33</f>
        <v>4384325.1226699632</v>
      </c>
    </row>
    <row r="35" spans="2:12" x14ac:dyDescent="0.2">
      <c r="B35" s="156" t="s">
        <v>67</v>
      </c>
      <c r="C35" s="158">
        <f>C22</f>
        <v>14687</v>
      </c>
    </row>
    <row r="36" spans="2:12" ht="17" thickBot="1" x14ac:dyDescent="0.25">
      <c r="B36" s="163" t="s">
        <v>189</v>
      </c>
      <c r="C36" s="164">
        <f ca="1">C34/C35</f>
        <v>298.51740468917842</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2026-07-05T16:02:56Z</dcterms:modified>
</cp:coreProperties>
</file>