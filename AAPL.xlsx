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8134F6B-CAF0-CA4B-9461-815488D23E9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3" i="3" l="1"/>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0" i="12" s="1"/>
  <c r="N38" i="3"/>
  <c r="N106" i="3" s="1"/>
  <c r="D30"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4" i="12"/>
  <c r="C44"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0" i="12"/>
  <c r="E35" i="7"/>
  <c r="F35" i="7"/>
  <c r="D35" i="7"/>
  <c r="C35" i="7"/>
  <c r="AC82" i="3"/>
  <c r="AC104" i="3" s="1"/>
  <c r="AA135" i="3"/>
  <c r="Q135" i="3"/>
  <c r="N135" i="3"/>
  <c r="P135" i="3"/>
  <c r="O135" i="3"/>
  <c r="M135" i="3"/>
  <c r="C30"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42" i="3"/>
  <c r="AC163" i="3"/>
  <c r="I71" i="17" s="1"/>
  <c r="AC164" i="3"/>
  <c r="X6" i="6"/>
  <c r="X11" i="6" s="1"/>
  <c r="AB11" i="6" s="1"/>
  <c r="AE11" i="5"/>
  <c r="AB6" i="6" s="1"/>
  <c r="H7" i="7"/>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1" i="12"/>
  <c r="H45" i="7"/>
  <c r="H21" i="8" s="1"/>
  <c r="H36" i="7"/>
  <c r="AC77" i="3"/>
  <c r="AA143" i="3"/>
  <c r="AA144" i="3" s="1"/>
  <c r="C53" i="16"/>
  <c r="I72" i="17"/>
  <c r="C63" i="12"/>
  <c r="C43"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H14" i="6" l="1"/>
  <c r="C25" i="11"/>
  <c r="C46" i="12"/>
  <c r="C66" i="12"/>
  <c r="AC143" i="3"/>
  <c r="AC161" i="3"/>
  <c r="AB12" i="6"/>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9" i="8" l="1"/>
  <c r="H10" i="8" s="1"/>
  <c r="H22" i="6"/>
  <c r="I7" i="17"/>
  <c r="AC149" i="3"/>
  <c r="AC155" i="3"/>
  <c r="AC151" i="3"/>
  <c r="AC144" i="3"/>
  <c r="AC154" i="3"/>
  <c r="AC166" i="3"/>
  <c r="F48" i="16" s="1"/>
  <c r="F3" i="1"/>
  <c r="C6" i="16"/>
  <c r="I63" i="17"/>
  <c r="C46" i="16"/>
  <c r="X22" i="6"/>
  <c r="AB14" i="6"/>
  <c r="H15" i="7"/>
  <c r="H30" i="7" s="1"/>
  <c r="H14" i="7"/>
  <c r="H29" i="7" s="1"/>
  <c r="G5" i="12"/>
  <c r="G6" i="11"/>
  <c r="G41" i="14"/>
  <c r="H7" i="14"/>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I44" i="7"/>
  <c r="I20" i="8"/>
  <c r="J13" i="7"/>
  <c r="J28" i="7" s="1"/>
  <c r="J36" i="7"/>
  <c r="J42" i="7"/>
  <c r="J45" i="7"/>
  <c r="J21" i="8" s="1"/>
  <c r="J13" i="6"/>
  <c r="J12" i="6"/>
  <c r="I14" i="6"/>
  <c r="K6" i="12"/>
  <c r="K12" i="12" s="1"/>
  <c r="K7" i="7"/>
  <c r="K6" i="6"/>
  <c r="K11" i="6" s="1"/>
  <c r="K6" i="8"/>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7" i="12" l="1"/>
  <c r="H27" i="8"/>
  <c r="H28" i="8" s="1"/>
  <c r="H34" i="8"/>
  <c r="H35" i="7"/>
  <c r="H22" i="8" s="1"/>
  <c r="C42" i="16"/>
  <c r="I55" i="17"/>
  <c r="I52" i="17"/>
  <c r="C39" i="16"/>
  <c r="F8" i="1"/>
  <c r="F4" i="1"/>
  <c r="I8" i="17"/>
  <c r="I54" i="17"/>
  <c r="F10" i="1"/>
  <c r="C41" i="16"/>
  <c r="I68" i="17"/>
  <c r="F15" i="1"/>
  <c r="AC145" i="3"/>
  <c r="C7" i="16"/>
  <c r="AC146" i="3"/>
  <c r="AC150" i="3"/>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D34" i="12"/>
  <c r="D43" i="14"/>
  <c r="G34" i="12"/>
  <c r="D45" i="14"/>
  <c r="H10" i="14"/>
  <c r="C45" i="14"/>
  <c r="C43" i="14"/>
  <c r="F34" i="12"/>
  <c r="F46" i="14"/>
  <c r="F45" i="14"/>
  <c r="F43" i="14"/>
  <c r="G46" i="14"/>
  <c r="E34" i="12"/>
  <c r="E43" i="14"/>
  <c r="E46" i="14"/>
  <c r="E45" i="14"/>
  <c r="D46" i="14"/>
  <c r="AA20" i="5"/>
  <c r="C11" i="16" l="1"/>
  <c r="I12" i="17"/>
  <c r="C12" i="16"/>
  <c r="I13" i="17"/>
  <c r="H8" i="12"/>
  <c r="H14" i="12" s="1"/>
  <c r="H7" i="11"/>
  <c r="H10" i="11" s="1"/>
  <c r="J22" i="6"/>
  <c r="J9" i="8"/>
  <c r="H44" i="14"/>
  <c r="H48" i="14" s="1"/>
  <c r="H46" i="14"/>
  <c r="H42" i="14"/>
  <c r="J7" i="14"/>
  <c r="I41" i="14"/>
  <c r="I5" i="12"/>
  <c r="I6" i="11"/>
  <c r="I15" i="7"/>
  <c r="I30" i="7" s="1"/>
  <c r="I14" i="7"/>
  <c r="I29" i="7"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I35" i="7" l="1"/>
  <c r="I22" i="8" s="1"/>
  <c r="H47" i="14"/>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L14" i="6"/>
  <c r="I28" i="8" l="1"/>
  <c r="K15" i="7"/>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L9" i="8"/>
  <c r="L22" i="6"/>
  <c r="K20" i="5"/>
  <c r="I7" i="11" l="1"/>
  <c r="I10" i="11" s="1"/>
  <c r="I8" i="12"/>
  <c r="I14" i="12" s="1"/>
  <c r="L10" i="14"/>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<sst xmlns="http://schemas.openxmlformats.org/spreadsheetml/2006/main" count="793" uniqueCount="418">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</sst>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344.56990000000002</v>
    <v>235.03</v>
    <v>1.0697000000000001</v>
    <v>5.7</v>
    <v>1.7454000000000001E-2</v>
    <v>0.28000000000000003</v>
    <v>8.4269999999999994E-4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336.22</v>
    <v>Computers, Phones &amp; Household Electronics</v>
    <v>Stock</v>
    <v>46276.999998506253</v>
    <v>0</v>
    <v>326.3</v>
    <v>4849208188600</v>
    <v>APPLE INC.</v>
    <v>APPLE INC.</v>
    <v>327.45</v>
    <v>37.577500000000001</v>
    <v>326.57</v>
    <v>332.27</v>
    <v>332.55</v>
    <v>14594180000</v>
    <v>AAPL</v>
    <v>APPLE INC. (XNAS:AAPL)</v>
    <v>50716865</v>
    <v>41792916</v>
    <v>1977</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37"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286</v>
      </c>
      <c r="F2" s="238"/>
      <c r="H2" s="237" t="s">
        <v>327</v>
      </c>
      <c r="I2" s="238"/>
    </row>
    <row r="3" spans="2:9" x14ac:dyDescent="0.2">
      <c r="B3" s="182" t="s">
        <v>11</v>
      </c>
      <c r="C3" s="214" t="e" vm="1">
        <v>#VALUE!</v>
      </c>
      <c r="D3" s="2"/>
      <c r="E3" s="182" t="s">
        <v>238</v>
      </c>
      <c r="F3" s="184">
        <f ca="1">Statement!AC143</f>
        <v>4868752.3099999996</v>
      </c>
      <c r="H3" s="182" t="str">
        <f>'AVG target price'!B5</f>
        <v>DCF price</v>
      </c>
      <c r="I3" s="208">
        <f ca="1">'AVG target price'!C5</f>
        <v>122.05659871231836</v>
      </c>
    </row>
    <row r="4" spans="2:9" x14ac:dyDescent="0.2">
      <c r="B4" s="182" t="s">
        <v>0</v>
      </c>
      <c r="C4" s="186" t="str" cm="1">
        <f t="array" aca="1" ref="C4" ca="1">_FV(C3,"Ticker symbol",TRUE)</f>
        <v>AAPL</v>
      </c>
      <c r="E4" s="183" t="s">
        <v>185</v>
      </c>
      <c r="F4" s="185">
        <f ca="1">Statement!AC144</f>
        <v>4806579.3099999996</v>
      </c>
      <c r="H4" s="182" t="str">
        <f>'AVG target price'!B6</f>
        <v>EV/EBIT price</v>
      </c>
      <c r="I4" s="208">
        <f ca="1">'AVG target price'!C6</f>
        <v>202.03472883042531</v>
      </c>
    </row>
    <row r="5" spans="2:9" x14ac:dyDescent="0.2">
      <c r="B5" s="182" t="s">
        <v>1</v>
      </c>
      <c r="C5" s="205" cm="1">
        <f t="array" aca="1" ref="C5" ca="1">_FV(C3,"Price",TRUE)</f>
        <v>332.27</v>
      </c>
      <c r="E5" s="182" t="s">
        <v>242</v>
      </c>
      <c r="F5" s="186">
        <f>Statement!AC25</f>
        <v>8.7199999999999989</v>
      </c>
      <c r="H5" s="182" t="str">
        <f>'AVG target price'!B7</f>
        <v>PS price</v>
      </c>
      <c r="I5" s="208">
        <f ca="1">'AVG target price'!C7</f>
        <v>147.02844529122692</v>
      </c>
    </row>
    <row r="6" spans="2:9" x14ac:dyDescent="0.2">
      <c r="B6" s="182" t="s">
        <v>2</v>
      </c>
      <c r="C6" s="205" cm="1">
        <f t="array" aca="1" ref="C6" ca="1">_FV(C3,"Price (Extended hours)",TRUE)</f>
        <v>332.55</v>
      </c>
      <c r="E6" s="182" t="s">
        <v>236</v>
      </c>
      <c r="F6" s="187">
        <f ca="1">Statement!AC140</f>
        <v>38.10435779816514</v>
      </c>
      <c r="H6" s="182" t="str">
        <f>'AVG target price'!B8</f>
        <v>EV/FCFF price</v>
      </c>
      <c r="I6" s="208">
        <f ca="1">'AVG target price'!C8</f>
        <v>130.3550741220057</v>
      </c>
    </row>
    <row r="7" spans="2:9" x14ac:dyDescent="0.2">
      <c r="B7" s="182" t="s">
        <v>3</v>
      </c>
      <c r="C7" s="6" cm="1">
        <f t="array" aca="1" ref="C7" ca="1">_FV(C3,"Change")</f>
        <v>5.7</v>
      </c>
      <c r="E7" s="183" t="s">
        <v>198</v>
      </c>
      <c r="F7" s="188">
        <f ca="1">Statement!AC141</f>
        <v>10.519051680187136</v>
      </c>
      <c r="H7" s="181" t="str">
        <f>'AVG target price'!B9</f>
        <v>AVG price</v>
      </c>
      <c r="I7" s="209">
        <f ca="1">'AVG target price'!C9</f>
        <v>150.36871173899408</v>
      </c>
    </row>
    <row r="8" spans="2:9" x14ac:dyDescent="0.2">
      <c r="B8" s="182" t="s">
        <v>4</v>
      </c>
      <c r="C8" s="6" cm="1">
        <f t="array" aca="1" ref="C8" ca="1">_FV(C3,"Change (extended hours)",TRUE)</f>
        <v>0.28000000000000003</v>
      </c>
      <c r="E8" s="182" t="s">
        <v>264</v>
      </c>
      <c r="F8" s="189">
        <f ca="1">Statement!AC151</f>
        <v>2.525842190563192E-2</v>
      </c>
      <c r="H8" s="181" t="str">
        <f>'AVG target price'!B11</f>
        <v>Upside/Downside</v>
      </c>
      <c r="I8" s="210">
        <f ca="1">'AVG target price'!C11</f>
        <v>-0.54745023101997148</v>
      </c>
    </row>
    <row r="9" spans="2:9" x14ac:dyDescent="0.2">
      <c r="B9" s="182" t="s">
        <v>5</v>
      </c>
      <c r="C9" s="73" cm="1">
        <f t="array" aca="1" ref="C9" ca="1">_FV(C3,"Change (%)",TRUE)</f>
        <v>1.7454000000000001E-2</v>
      </c>
      <c r="E9" s="182" t="s">
        <v>287</v>
      </c>
      <c r="F9" s="189">
        <f ca="1">Statement!AC152</f>
        <v>2.6243717458693229E-2</v>
      </c>
    </row>
    <row r="10" spans="2:9" x14ac:dyDescent="0.2">
      <c r="B10" s="182" t="s">
        <v>6</v>
      </c>
      <c r="C10" s="73" cm="1">
        <f t="array" aca="1" ref="C10" ca="1">_FV(C3,"Change % (extended hours)",TRUE)</f>
        <v>8.4269999999999994E-4</v>
      </c>
      <c r="E10" s="182" t="s">
        <v>292</v>
      </c>
      <c r="F10" s="189">
        <f ca="1">Statement!AC154</f>
        <v>1.6888515735564293E-2</v>
      </c>
      <c r="H10" s="181" t="s">
        <v>403</v>
      </c>
      <c r="I10" s="209">
        <f ca="1">DDM!C26</f>
        <v>14.161598145962717</v>
      </c>
    </row>
    <row r="11" spans="2:9" x14ac:dyDescent="0.2">
      <c r="B11" s="182" t="s">
        <v>7</v>
      </c>
      <c r="C11" s="206" cm="1">
        <f t="array" aca="1" ref="C11" ca="1">_FV(C3,"52 week high",TRUE)</f>
        <v>344.56990000000002</v>
      </c>
      <c r="E11" s="183" t="s">
        <v>288</v>
      </c>
      <c r="F11" s="190">
        <f ca="1">Statement!AC153</f>
        <v>3.1600806572967769E-3</v>
      </c>
    </row>
    <row r="12" spans="2:9" x14ac:dyDescent="0.2">
      <c r="B12" s="182" t="s">
        <v>8</v>
      </c>
      <c r="C12" s="206" cm="1">
        <f t="array" aca="1" ref="C12" ca="1">_FV(C3,"52 week low",TRUE)</f>
        <v>235.03</v>
      </c>
      <c r="E12" s="182" t="s">
        <v>99</v>
      </c>
      <c r="F12" s="189">
        <f>Statement!AC121</f>
        <v>0.33639821951334065</v>
      </c>
    </row>
    <row r="13" spans="2:9" x14ac:dyDescent="0.2">
      <c r="B13" s="182" t="s">
        <v>9</v>
      </c>
      <c r="C13" s="206" cm="1">
        <f t="array" aca="1" ref="C13" ca="1">_FV(C3,"Beta")</f>
        <v>1.0697000000000001</v>
      </c>
      <c r="E13" s="182" t="s">
        <v>101</v>
      </c>
      <c r="F13" s="189">
        <f>Statement!AC123</f>
        <v>1.1991257440476193</v>
      </c>
    </row>
    <row r="14" spans="2:9" x14ac:dyDescent="0.2">
      <c r="B14" s="183" t="s">
        <v>10</v>
      </c>
      <c r="C14" s="207" cm="1">
        <f t="array" aca="1" ref="C14" ca="1">_FV(C3,"Volume average",TRUE)</f>
        <v>41792916</v>
      </c>
      <c r="E14" s="183" t="s">
        <v>102</v>
      </c>
      <c r="F14" s="190">
        <f>Statement!AC130</f>
        <v>2.8240933164668753</v>
      </c>
    </row>
    <row r="15" spans="2:9" x14ac:dyDescent="0.2">
      <c r="E15" s="182" t="s">
        <v>289</v>
      </c>
      <c r="F15" s="189">
        <f ca="1">Statement!AC166</f>
        <v>1.2769801386754055E-2</v>
      </c>
    </row>
    <row r="16" spans="2:9" x14ac:dyDescent="0.2">
      <c r="E16" s="183" t="s">
        <v>294</v>
      </c>
      <c r="F16" s="188">
        <f>Statement!AC165</f>
        <v>4.2601754145539266</v>
      </c>
    </row>
    <row r="17" spans="2:9" x14ac:dyDescent="0.2">
      <c r="B17" s="239" t="s">
        <v>88</v>
      </c>
      <c r="C17" s="239"/>
      <c r="E17" s="181" t="s">
        <v>295</v>
      </c>
      <c r="F17" s="191">
        <f>Statement!AC161</f>
        <v>6.1420869446529721E-4</v>
      </c>
    </row>
    <row r="18" spans="2:9" x14ac:dyDescent="0.2">
      <c r="B18" s="181" t="s">
        <v>12</v>
      </c>
      <c r="C18" s="69" t="s">
        <v>358</v>
      </c>
      <c r="E18" s="182" t="s">
        <v>296</v>
      </c>
      <c r="F18" s="187">
        <f>Statement!AC134</f>
        <v>-56.814895644278849</v>
      </c>
      <c r="I18" s="50"/>
    </row>
    <row r="19" spans="2:9" x14ac:dyDescent="0.2">
      <c r="B19" s="181" t="s">
        <v>13</v>
      </c>
      <c r="C19" s="70">
        <v>1000000</v>
      </c>
      <c r="E19" s="182" t="s">
        <v>257</v>
      </c>
      <c r="F19" s="187">
        <f>Statement!AC136</f>
        <v>-0.57824590773809526</v>
      </c>
    </row>
    <row r="20" spans="2:9" x14ac:dyDescent="0.2">
      <c r="B20" s="181" t="s">
        <v>89</v>
      </c>
      <c r="C20" s="69" t="s">
        <v>91</v>
      </c>
      <c r="E20" s="183" t="s">
        <v>297</v>
      </c>
      <c r="F20" s="188">
        <f>Statement!AC137</f>
        <v>1.1914535981677672</v>
      </c>
    </row>
    <row r="21" spans="2:9" x14ac:dyDescent="0.2">
      <c r="B21" s="181" t="s">
        <v>90</v>
      </c>
      <c r="C21" s="69" t="s">
        <v>91</v>
      </c>
      <c r="I21" s="50"/>
    </row>
    <row r="22" spans="2:9" x14ac:dyDescent="0.2">
      <c r="B22" s="181" t="s">
        <v>92</v>
      </c>
      <c r="C22" s="69" t="s">
        <v>401</v>
      </c>
    </row>
    <row r="25" spans="2:9" x14ac:dyDescent="0.2">
      <c r="B25" s="239" t="s">
        <v>104</v>
      </c>
      <c r="C25" s="239"/>
      <c r="E25" s="237" t="s">
        <v>340</v>
      </c>
      <c r="F25" s="238"/>
    </row>
    <row r="26" spans="2:9" x14ac:dyDescent="0.2">
      <c r="B26" s="181" t="s">
        <v>105</v>
      </c>
      <c r="C26" s="167">
        <v>0.21</v>
      </c>
      <c r="E26" s="182" t="e" vm="2">
        <v>#VALUE!</v>
      </c>
      <c r="F26" s="216" cm="1">
        <f t="array" aca="1" ref="F26" ca="1">_FV(E26,"Price")</f>
        <v>47.84</v>
      </c>
    </row>
    <row r="27" spans="2:9" x14ac:dyDescent="0.2">
      <c r="B27" s="181" t="s">
        <v>169</v>
      </c>
      <c r="C27" s="218">
        <v>4.9000000000000002E-2</v>
      </c>
      <c r="E27" s="183" t="s">
        <v>341</v>
      </c>
      <c r="F27" s="217">
        <f ca="1">F26/1000</f>
        <v>4.7840000000000001E-2</v>
      </c>
    </row>
    <row r="28" spans="2:9" x14ac:dyDescent="0.2">
      <c r="B28" s="181" t="s">
        <v>345</v>
      </c>
      <c r="C28" s="218">
        <v>0</v>
      </c>
    </row>
    <row r="29" spans="2:9" x14ac:dyDescent="0.2">
      <c r="B29" s="181" t="s">
        <v>402</v>
      </c>
      <c r="C29" s="218">
        <v>0</v>
      </c>
    </row>
    <row r="33" spans="2:8" x14ac:dyDescent="0.2">
      <c r="B33" s="240" t="s">
        <v>335</v>
      </c>
      <c r="C33" s="240"/>
      <c r="D33" s="240"/>
      <c r="E33" s="240"/>
      <c r="F33" s="240"/>
      <c r="G33" s="240"/>
      <c r="H33" s="240"/>
    </row>
    <row r="35" spans="2:8" x14ac:dyDescent="0.2">
      <c r="B35" s="16" t="s">
        <v>336</v>
      </c>
      <c r="C35" s="1" t="s">
        <v>417</v>
      </c>
    </row>
    <row r="36" spans="2:8" x14ac:dyDescent="0.2">
      <c r="B36" s="16" t="s">
        <v>337</v>
      </c>
      <c r="C36" s="1" t="s">
        <v>416</v>
      </c>
    </row>
    <row r="39" spans="2:8" ht="6" customHeight="1" x14ac:dyDescent="0.2">
      <c r="B39" s="240"/>
      <c r="C39" s="240"/>
      <c r="D39" s="240"/>
      <c r="E39" s="240"/>
      <c r="F39" s="240"/>
      <c r="G39" s="240"/>
      <c r="H39" s="240"/>
    </row>
    <row r="42" spans="2:8" x14ac:dyDescent="0.2">
      <c r="B42" s="240" t="s">
        <v>338</v>
      </c>
      <c r="C42" s="240"/>
      <c r="D42" s="240"/>
      <c r="E42" s="240"/>
      <c r="F42" s="240"/>
      <c r="G42" s="240"/>
      <c r="H42" s="240"/>
    </row>
    <row r="44" spans="2:8" x14ac:dyDescent="0.2">
      <c r="B44" s="41" t="s">
        <v>339</v>
      </c>
      <c r="C44" s="41" t="s">
        <v>415</v>
      </c>
      <c r="D44" s="41"/>
      <c r="E44" s="41" t="s">
        <v>413</v>
      </c>
    </row>
    <row r="49" spans="2:8" ht="5" customHeight="1" x14ac:dyDescent="0.2">
      <c r="B49" s="240"/>
      <c r="C49" s="240"/>
      <c r="D49" s="240"/>
      <c r="E49" s="240"/>
      <c r="F49" s="240"/>
      <c r="G49" s="240"/>
      <c r="H49" s="240"/>
    </row>
    <row r="52" spans="2:8" x14ac:dyDescent="0.2">
      <c r="B52" s="240" t="s">
        <v>106</v>
      </c>
      <c r="C52" s="240"/>
      <c r="D52" s="240"/>
      <c r="E52" s="240"/>
      <c r="F52" s="240"/>
      <c r="G52" s="240"/>
      <c r="H52" s="240"/>
    </row>
    <row r="54" spans="2:8" x14ac:dyDescent="0.2">
      <c r="B54" s="41" t="s">
        <v>339</v>
      </c>
      <c r="C54" s="41" t="s">
        <v>359</v>
      </c>
      <c r="D54" s="41"/>
      <c r="E54" s="41" t="s">
        <v>363</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365</v>
      </c>
      <c r="N2" s="9" t="s">
        <v>366</v>
      </c>
      <c r="O2" s="10" t="s">
        <v>367</v>
      </c>
      <c r="P2" s="10" t="s">
        <v>368</v>
      </c>
      <c r="Q2" s="10" t="s">
        <v>369</v>
      </c>
      <c r="R2" s="7"/>
      <c r="S2" s="7"/>
      <c r="T2" s="10" t="s">
        <v>368</v>
      </c>
      <c r="U2" s="10" t="s">
        <v>371</v>
      </c>
      <c r="V2" s="10" t="s">
        <v>372</v>
      </c>
      <c r="W2" s="10" t="s">
        <v>373</v>
      </c>
      <c r="X2" s="200" t="s">
        <v>369</v>
      </c>
      <c r="Y2" s="200" t="s">
        <v>374</v>
      </c>
      <c r="Z2" s="200" t="s">
        <v>375</v>
      </c>
      <c r="AA2" s="200" t="s">
        <v>414</v>
      </c>
      <c r="AB2" s="7"/>
      <c r="AD2" s="7"/>
      <c r="AE2" s="7"/>
    </row>
    <row r="3" spans="1:31" s="13" customFormat="1" x14ac:dyDescent="0.2">
      <c r="A3" s="11"/>
      <c r="B3" s="12" t="s">
        <v>16</v>
      </c>
      <c r="M3" s="13">
        <v>2021</v>
      </c>
      <c r="N3" s="13">
        <v>2022</v>
      </c>
      <c r="O3" s="13">
        <v>2023</v>
      </c>
      <c r="P3" s="13">
        <v>2024</v>
      </c>
      <c r="Q3" s="13">
        <v>2025</v>
      </c>
      <c r="R3" s="11"/>
      <c r="S3" s="11"/>
      <c r="T3" s="10" t="s">
        <v>360</v>
      </c>
      <c r="U3" s="10" t="s">
        <v>361</v>
      </c>
      <c r="V3" s="10" t="s">
        <v>86</v>
      </c>
      <c r="W3" s="10" t="s">
        <v>84</v>
      </c>
      <c r="X3" s="200" t="s">
        <v>83</v>
      </c>
      <c r="Y3" s="200" t="s">
        <v>87</v>
      </c>
      <c r="Z3" s="200" t="s">
        <v>85</v>
      </c>
      <c r="AA3" s="200" t="s">
        <v>413</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370</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353</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4">
        <v>0</v>
      </c>
      <c r="Y34" s="224">
        <v>0</v>
      </c>
      <c r="Z34" s="224">
        <v>0</v>
      </c>
      <c r="AA34" s="224">
        <v>0</v>
      </c>
      <c r="AC34" s="21">
        <f t="shared" si="17"/>
        <v>0</v>
      </c>
    </row>
    <row r="35" spans="1:31" s="34" customFormat="1" x14ac:dyDescent="0.2">
      <c r="A35" s="16"/>
      <c r="B35" s="32" t="s">
        <v>44</v>
      </c>
      <c r="C35" s="35"/>
      <c r="D35" s="35"/>
      <c r="E35" s="35"/>
      <c r="F35" s="35"/>
      <c r="G35" s="35"/>
      <c r="H35" s="35"/>
      <c r="I35" s="35"/>
      <c r="J35" s="35"/>
      <c r="K35" s="35"/>
      <c r="L35" s="35"/>
      <c r="M35" s="225">
        <f t="shared" ref="M35:O35" si="18">M36-M31</f>
        <v>216156</v>
      </c>
      <c r="N35" s="225">
        <f t="shared" si="18"/>
        <v>217350</v>
      </c>
      <c r="O35" s="225">
        <f t="shared" si="18"/>
        <v>209017</v>
      </c>
      <c r="P35" s="225">
        <f>P36-P31</f>
        <v>211993</v>
      </c>
      <c r="Q35" s="225">
        <f>Q36-Q31</f>
        <v>211284</v>
      </c>
      <c r="R35" s="1"/>
      <c r="S35" s="1"/>
      <c r="T35" s="225">
        <f t="shared" ref="T35:Y35" si="19">T36-T31</f>
        <v>211993</v>
      </c>
      <c r="U35" s="225">
        <f t="shared" si="19"/>
        <v>210845</v>
      </c>
      <c r="V35" s="225">
        <f t="shared" si="19"/>
        <v>212559</v>
      </c>
      <c r="W35" s="225">
        <f t="shared" si="19"/>
        <v>209004</v>
      </c>
      <c r="X35" s="225">
        <f t="shared" si="19"/>
        <v>211284</v>
      </c>
      <c r="Y35" s="225">
        <f t="shared" si="19"/>
        <v>221193</v>
      </c>
      <c r="Z35" s="225">
        <f t="shared" ref="Z35:AA35" si="20">Z36-Z31</f>
        <v>226968</v>
      </c>
      <c r="AA35" s="225">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5">
        <f t="shared" ref="M41:O41" si="21">M42-M39</f>
        <v>162431</v>
      </c>
      <c r="N41" s="225">
        <f t="shared" si="21"/>
        <v>148101</v>
      </c>
      <c r="O41" s="225">
        <f t="shared" si="21"/>
        <v>145129</v>
      </c>
      <c r="P41" s="225">
        <f>P42-P39</f>
        <v>131638</v>
      </c>
      <c r="Q41" s="225">
        <f>Q42-Q39</f>
        <v>119877</v>
      </c>
      <c r="R41" s="1"/>
      <c r="S41" s="1"/>
      <c r="T41" s="225">
        <f t="shared" ref="T41:Y41" si="22">T42-T39</f>
        <v>131638</v>
      </c>
      <c r="U41" s="225">
        <f t="shared" si="22"/>
        <v>132962</v>
      </c>
      <c r="V41" s="225">
        <f t="shared" si="22"/>
        <v>119866</v>
      </c>
      <c r="W41" s="225">
        <f t="shared" si="22"/>
        <v>124545</v>
      </c>
      <c r="X41" s="225">
        <f t="shared" si="22"/>
        <v>120147</v>
      </c>
      <c r="Y41" s="225">
        <f t="shared" si="22"/>
        <v>128740</v>
      </c>
      <c r="Z41" s="225">
        <f t="shared" ref="Z41:AA41" si="23">Z42-Z39</f>
        <v>129950</v>
      </c>
      <c r="AA41" s="225">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83276</v>
      </c>
      <c r="U45" s="21">
        <v>84768</v>
      </c>
      <c r="V45" s="21">
        <v>88711</v>
      </c>
      <c r="W45" s="21">
        <v>89806</v>
      </c>
      <c r="X45" s="21">
        <v>93568</v>
      </c>
      <c r="Y45" s="21">
        <v>95221</v>
      </c>
      <c r="Z45" s="21">
        <v>99507</v>
      </c>
      <c r="AA45" s="21">
        <v>100702</v>
      </c>
      <c r="AC45" s="62">
        <f t="shared" si="17"/>
        <v>100702</v>
      </c>
    </row>
    <row r="46" spans="1:31" x14ac:dyDescent="0.2">
      <c r="B46" s="20" t="s">
        <v>333</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331</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233</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234</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235</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0.26</v>
      </c>
      <c r="X80" s="226">
        <v>0.26</v>
      </c>
      <c r="Y80" s="226">
        <v>0.26</v>
      </c>
      <c r="Z80" s="226">
        <v>0.26</v>
      </c>
      <c r="AA80" s="226">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370</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329</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330</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332.27</v>
      </c>
    </row>
    <row r="115" spans="1:31" x14ac:dyDescent="0.2">
      <c r="B115" s="20" t="s">
        <v>342</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332.27</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Z136" si="124">(T106-T105)/T48</f>
        <v>-0.87833187006145741</v>
      </c>
      <c r="U136" s="176">
        <f t="shared" si="124"/>
        <v>-0.66762036010665393</v>
      </c>
      <c r="V136" s="176">
        <f t="shared" si="124"/>
        <v>-0.520031139589197</v>
      </c>
      <c r="W136" s="176">
        <f t="shared" si="124"/>
        <v>-0.47528482454807841</v>
      </c>
      <c r="X136" s="176">
        <f t="shared" si="124"/>
        <v>-0.45790894172215968</v>
      </c>
      <c r="Y136" s="176">
        <f t="shared" si="124"/>
        <v>-0.61555731942397096</v>
      </c>
      <c r="Z136" s="176">
        <f t="shared" si="124"/>
        <v>-0.58111953122799109</v>
      </c>
      <c r="AA136" s="176">
        <f t="shared" ref="AA136" si="125">(AA106-AA105)/AA48</f>
        <v>-0.57824590773809526</v>
      </c>
      <c r="AC136" s="176">
        <f>(AC106-AC105)/AC48</f>
        <v>-0.57824590773809526</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Z139" si="130">IF(T12&gt;=0,"N/A",IF(T11&lt;=0,"N/A",T11/-T12))</f>
        <v>N/A</v>
      </c>
      <c r="U139" s="178" t="str">
        <f t="shared" si="130"/>
        <v>N/A</v>
      </c>
      <c r="V139" s="178" t="str">
        <f t="shared" si="130"/>
        <v>N/A</v>
      </c>
      <c r="W139" s="178" t="str">
        <f t="shared" si="130"/>
        <v>N/A</v>
      </c>
      <c r="X139" s="178" t="str">
        <f t="shared" si="130"/>
        <v>N/A</v>
      </c>
      <c r="Y139" s="178" t="str">
        <f t="shared" si="130"/>
        <v>N/A</v>
      </c>
      <c r="Z139" s="178" t="str">
        <f t="shared" si="130"/>
        <v>N/A</v>
      </c>
      <c r="AA139" s="178" t="str">
        <f t="shared" ref="AA139" si="131">IF(AA12&gt;=0,"N/A",IF(AA11&lt;=0,"N/A",AA11/-AA12))</f>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38.10435779816514</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10.519051680187136</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45.099966331845238</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143">
        <f>Statement!T115*Statement!T77</f>
        <v>3457852.1999999997</v>
      </c>
      <c r="U143" s="143">
        <f>Statement!U115*Statement!U77</f>
        <v>3857108.69</v>
      </c>
      <c r="V143" s="143">
        <f>Statement!V115*Statement!V77</f>
        <v>3265514.54</v>
      </c>
      <c r="W143" s="143">
        <f>Statement!W115*Statement!W77</f>
        <v>2993075.8000000003</v>
      </c>
      <c r="X143" s="143">
        <f>Statement!X115*Statement!X77</f>
        <v>3788982.72</v>
      </c>
      <c r="Y143" s="143">
        <f>Statement!Y115*Statement!Y77</f>
        <v>4023217.27</v>
      </c>
      <c r="Z143" s="143">
        <f>Statement!Z115*Statement!Z77</f>
        <v>3667312</v>
      </c>
      <c r="AA143" s="143">
        <f>Statement!AA115*Statement!AA77</f>
        <v>4158228.3399999994</v>
      </c>
      <c r="AC143" s="143">
        <f ca="1">Statement!AC115*Statement!AC77</f>
        <v>4868752.3099999996</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143">
        <f t="shared" ref="T144:Z144" si="132">T143+T106-T105+T47+T44</f>
        <v>3407831.1999999997</v>
      </c>
      <c r="U144" s="143">
        <f t="shared" si="132"/>
        <v>3812539.69</v>
      </c>
      <c r="V144" s="143">
        <f t="shared" si="132"/>
        <v>3230778.54</v>
      </c>
      <c r="W144" s="143">
        <f t="shared" si="132"/>
        <v>2961787.8000000003</v>
      </c>
      <c r="X144" s="143">
        <f t="shared" si="132"/>
        <v>3755219.72</v>
      </c>
      <c r="Y144" s="143">
        <f t="shared" si="132"/>
        <v>3968931.27</v>
      </c>
      <c r="Z144" s="143">
        <f t="shared" si="132"/>
        <v>3605428</v>
      </c>
      <c r="AA144" s="143">
        <f t="shared" ref="AA144" si="133">AA143+AA106-AA105+AA47+AA44</f>
        <v>4096055.34</v>
      </c>
      <c r="AC144" s="143">
        <f ca="1">AC143+AC106-AC105+AC47+AC44</f>
        <v>4806579.3099999996</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10.29636352536186</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31.038424050265078</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262</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39.59075526317929</v>
      </c>
    </row>
    <row r="150" spans="2:29" x14ac:dyDescent="0.2">
      <c r="B150" s="20" t="s">
        <v>263</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37.618067239052962</v>
      </c>
    </row>
    <row r="151" spans="2:29" x14ac:dyDescent="0.2">
      <c r="B151" s="20" t="s">
        <v>264</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2.525842190563192E-2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2.6243717458693229E-2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3.1600806572967769E-3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1.6888515735564293E-2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2.0100837703119878E-2</v>
      </c>
    </row>
    <row r="156" spans="2:29" x14ac:dyDescent="0.2">
      <c r="B156" s="20" t="s">
        <v>343</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0.2737079356026233</v>
      </c>
    </row>
    <row r="157" spans="2:29" x14ac:dyDescent="0.2">
      <c r="B157" s="20" t="s">
        <v>344</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0.2634338925031543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0.12717825284402776</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0.66862909324507835</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0.79580734608910608</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6.1420869446529721E-4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Z163" si="143">T53/T58</f>
        <v>#DIV/0!</v>
      </c>
      <c r="U163" s="151">
        <f t="shared" si="143"/>
        <v>0.1097711708702188</v>
      </c>
      <c r="V163" s="151">
        <f t="shared" si="143"/>
        <v>0.13468603874415497</v>
      </c>
      <c r="W163" s="151">
        <f t="shared" si="143"/>
        <v>0.11368285068360426</v>
      </c>
      <c r="X163" s="151">
        <f t="shared" si="143"/>
        <v>0.10707077502691066</v>
      </c>
      <c r="Y163" s="151">
        <f t="shared" si="143"/>
        <v>6.6648122392211406E-2</v>
      </c>
      <c r="Z163" s="151">
        <f t="shared" si="143"/>
        <v>0.12291826353564211</v>
      </c>
      <c r="AA163" s="151">
        <f t="shared" ref="AA163" si="144">AA53/AA58</f>
        <v>9.8955454042887483E-2</v>
      </c>
      <c r="AC163" s="151">
        <f>AC53/AC58</f>
        <v>9.3413483819961285E-2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Z164" si="145">T53/T5</f>
        <v>0</v>
      </c>
      <c r="U164" s="151">
        <f t="shared" si="145"/>
        <v>2.6436041834271923E-2</v>
      </c>
      <c r="V164" s="151">
        <f t="shared" si="145"/>
        <v>3.3830052748036368E-2</v>
      </c>
      <c r="W164" s="151">
        <f t="shared" si="145"/>
        <v>3.3689225403037135E-2</v>
      </c>
      <c r="X164" s="151">
        <f t="shared" si="145"/>
        <v>3.106396268030371E-2</v>
      </c>
      <c r="Y164" s="151">
        <f t="shared" si="145"/>
        <v>2.5000695623139207E-2</v>
      </c>
      <c r="Z164" s="151">
        <f t="shared" si="145"/>
        <v>3.1731184343070942E-2</v>
      </c>
      <c r="AA164" s="151">
        <f t="shared" ref="AA164" si="146">AA53/AA5</f>
        <v>3.108292130107753E-2</v>
      </c>
      <c r="AC164" s="151">
        <f>AC53/AC5</f>
        <v>2.9360164344944442E-2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1.2769801386754055E-2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Z167" si="149">-T108/T5</f>
        <v>0</v>
      </c>
      <c r="U167" s="151">
        <f t="shared" si="149"/>
        <v>2.3652453740949316E-2</v>
      </c>
      <c r="V167" s="151">
        <f t="shared" si="149"/>
        <v>3.2204616239683723E-2</v>
      </c>
      <c r="W167" s="151">
        <f t="shared" si="149"/>
        <v>3.6815687609000808E-2</v>
      </c>
      <c r="X167" s="151">
        <f t="shared" si="149"/>
        <v>3.1639763433724356E-2</v>
      </c>
      <c r="Y167" s="151">
        <f t="shared" si="149"/>
        <v>1.6507137093408276E-2</v>
      </c>
      <c r="Z167" s="151">
        <f t="shared" si="149"/>
        <v>1.7727370844725861E-2</v>
      </c>
      <c r="AA167" s="151">
        <f t="shared" ref="AA167" si="150">-AA108/AA5</f>
        <v>2.2437098439913358E-2</v>
      </c>
      <c r="AC167" s="151">
        <f>-AC108/AC5</f>
        <v>2.1509222981729692E-2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Z168" si="151">-(T108/T58)</f>
        <v>#DIV/0!</v>
      </c>
      <c r="U168" s="151">
        <f t="shared" si="151"/>
        <v>9.8212794387840321E-2</v>
      </c>
      <c r="V168" s="151">
        <f t="shared" si="151"/>
        <v>0.12821476285905142</v>
      </c>
      <c r="W168" s="151">
        <f t="shared" si="151"/>
        <v>0.12423296372052967</v>
      </c>
      <c r="X168" s="151">
        <f t="shared" si="151"/>
        <v>0.10905543595263724</v>
      </c>
      <c r="Y168" s="151">
        <f t="shared" si="151"/>
        <v>4.4005563282336575E-2</v>
      </c>
      <c r="Z168" s="151">
        <f t="shared" si="151"/>
        <v>6.8671172740575576E-2</v>
      </c>
      <c r="AA168" s="151">
        <f t="shared" ref="AA168" si="152">-(AA108/AA58)</f>
        <v>7.1430649713404515E-2</v>
      </c>
      <c r="AC168" s="151">
        <f>-(AC108/AC58)</f>
        <v>6.8434611924429539E-2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Z169" si="153">-T108/T52</f>
        <v>#DIV/0!</v>
      </c>
      <c r="U169" s="151">
        <f t="shared" si="153"/>
        <v>0.95454545454545459</v>
      </c>
      <c r="V169" s="151">
        <f t="shared" si="153"/>
        <v>1.1540774145058248</v>
      </c>
      <c r="W169" s="151">
        <f t="shared" si="153"/>
        <v>1.223321554770318</v>
      </c>
      <c r="X169" s="151">
        <f t="shared" si="153"/>
        <v>1.0367764630636394</v>
      </c>
      <c r="Y169" s="151">
        <f t="shared" si="153"/>
        <v>0.73833229620410701</v>
      </c>
      <c r="Z169" s="151">
        <f t="shared" si="153"/>
        <v>0.57313172433847048</v>
      </c>
      <c r="AA169" s="151">
        <f t="shared" ref="AA169" si="154">-AA108/AA52</f>
        <v>0.73945783132530118</v>
      </c>
      <c r="AC169" s="151">
        <f>-AC108/AC52</f>
        <v>0.76648854961832058</v>
      </c>
    </row>
    <row r="170" spans="1:31" x14ac:dyDescent="0.2">
      <c r="B170" s="20" t="s">
        <v>357</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1.2180130770796262</v>
      </c>
    </row>
    <row r="171" spans="1:31" x14ac:dyDescent="0.2">
      <c r="B171" s="20" t="s">
        <v>354</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0.54465029478428761</v>
      </c>
    </row>
    <row r="172" spans="1:31" x14ac:dyDescent="0.2">
      <c r="B172" s="20" t="s">
        <v>355</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-0.40148134754841502</v>
      </c>
    </row>
    <row r="173" spans="1:31" x14ac:dyDescent="0.2">
      <c r="B173" s="20" t="s">
        <v>356</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376</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377</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378</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379</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380</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381</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382</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383</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384</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362</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376</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377</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378</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379</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380</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381</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382</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383</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384</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362</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349</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350</v>
      </c>
      <c r="M209" s="143">
        <v>100</v>
      </c>
      <c r="N209" s="143">
        <f>100*(1+((N115-$M115)/ABS($M115)))</f>
        <v>102.38905526817317</v>
      </c>
      <c r="O209" s="143">
        <f t="shared" ref="O209:Q209" si="184">100*(1+((O115-$M115)/ABS($M115)))</f>
        <v>116.53280696977947</v>
      </c>
      <c r="P209" s="143">
        <f t="shared" si="184"/>
        <v>155.04356112169887</v>
      </c>
      <c r="Q209" s="143">
        <f t="shared" si="184"/>
        <v>173.87693983120067</v>
      </c>
      <c r="T209" s="49"/>
      <c r="U209" s="49"/>
      <c r="V209" s="49"/>
      <c r="W209" s="49"/>
      <c r="X209" s="49"/>
      <c r="Y209" s="49"/>
      <c r="Z209" s="49"/>
      <c r="AA209" s="49"/>
      <c r="AC209" s="49"/>
    </row>
    <row r="210" spans="1:31" x14ac:dyDescent="0.2">
      <c r="B210" s="20" t="s">
        <v>351</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352</v>
      </c>
      <c r="M211" s="143">
        <v>100</v>
      </c>
      <c r="N211" s="143">
        <f>100*(1+((N25-$M25)/ABS($M25)))</f>
        <v>108.9126559714795</v>
      </c>
      <c r="O211" s="143">
        <f t="shared" ref="O211:Q211" si="185">100*(1+((O25-$M25)/ABS($M25)))</f>
        <v>109.26916221033866</v>
      </c>
      <c r="P211" s="143">
        <f t="shared" si="185"/>
        <v>108.37789661319073</v>
      </c>
      <c r="Q211" s="143">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0" t="s">
        <v>232</v>
      </c>
      <c r="C4" s="240"/>
      <c r="E4" s="240" t="s">
        <v>239</v>
      </c>
      <c r="F4" s="240"/>
      <c r="G4" s="240"/>
    </row>
    <row r="5" spans="2:7" x14ac:dyDescent="0.2">
      <c r="B5" s="20" t="s">
        <v>1</v>
      </c>
      <c r="C5" s="169">
        <f ca="1">Overview!C5</f>
        <v>332.27</v>
      </c>
      <c r="E5" s="12"/>
      <c r="F5" s="132" t="s">
        <v>240</v>
      </c>
      <c r="G5" s="132" t="s">
        <v>241</v>
      </c>
    </row>
    <row r="6" spans="2:7" x14ac:dyDescent="0.2">
      <c r="B6" s="20" t="s">
        <v>238</v>
      </c>
      <c r="C6" s="170">
        <f ca="1">Statement!AC143</f>
        <v>4868752.3099999996</v>
      </c>
      <c r="E6" s="20" t="s">
        <v>19</v>
      </c>
      <c r="F6" s="175">
        <f>IF(Statement!M5&lt;=0,"N/A",_xlfn.RRI(4,Statement!M5,Statement!Q5))</f>
        <v>3.275991627577457E-2</v>
      </c>
      <c r="G6" s="175" t="str">
        <f>IF(Statement!H5&lt;=0,"N/A",_xlfn.RRI(9,Statement!H5,Statement!Q5))</f>
        <v>N/A</v>
      </c>
    </row>
    <row r="7" spans="2:7" x14ac:dyDescent="0.2">
      <c r="B7" s="20" t="s">
        <v>185</v>
      </c>
      <c r="C7" s="170">
        <f ca="1">Statement!AC144</f>
        <v>4806579.3099999996</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38.10435779816514</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10.519051680187136</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45.099966331845238</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10.29636352536186</v>
      </c>
    </row>
    <row r="12" spans="2:7" x14ac:dyDescent="0.2">
      <c r="B12" s="20" t="s">
        <v>201</v>
      </c>
      <c r="C12" s="171">
        <f ca="1">Statement!AC146</f>
        <v>31.038424050265078</v>
      </c>
    </row>
    <row r="15" spans="2:7" x14ac:dyDescent="0.2">
      <c r="B15" s="240" t="s">
        <v>75</v>
      </c>
      <c r="C15" s="240"/>
      <c r="E15" s="240" t="s">
        <v>245</v>
      </c>
      <c r="F15" s="240"/>
    </row>
    <row r="16" spans="2:7" x14ac:dyDescent="0.2">
      <c r="B16" s="20" t="s">
        <v>76</v>
      </c>
      <c r="C16" s="172">
        <f>Statement!AC99</f>
        <v>0.48652915559002019</v>
      </c>
      <c r="E16" s="20" t="s">
        <v>29</v>
      </c>
      <c r="F16" s="170">
        <f>Statement!AC17</f>
        <v>128930</v>
      </c>
    </row>
    <row r="17" spans="2:6" x14ac:dyDescent="0.2">
      <c r="B17" s="20" t="s">
        <v>77</v>
      </c>
      <c r="C17" s="172">
        <f>Statement!AC100</f>
        <v>0.33172958487478121</v>
      </c>
      <c r="E17" s="20" t="s">
        <v>246</v>
      </c>
      <c r="F17" s="170">
        <f>Statement!AC58</f>
        <v>146724</v>
      </c>
    </row>
    <row r="18" spans="2:6" x14ac:dyDescent="0.2">
      <c r="B18" s="20" t="s">
        <v>78</v>
      </c>
      <c r="C18" s="172">
        <f>Statement!AC101</f>
        <v>0.27618604910212224</v>
      </c>
      <c r="E18" s="20" t="s">
        <v>253</v>
      </c>
      <c r="F18" s="174">
        <f>IF(OR(F16&lt;=0, F17&lt;=0),"N/A",F16-F17)</f>
        <v>-17794</v>
      </c>
    </row>
    <row r="21" spans="2:6" x14ac:dyDescent="0.2">
      <c r="B21" s="240" t="s">
        <v>244</v>
      </c>
      <c r="C21" s="240"/>
      <c r="E21" s="240" t="s">
        <v>248</v>
      </c>
      <c r="F21" s="240"/>
    </row>
    <row r="22" spans="2:6" x14ac:dyDescent="0.2">
      <c r="B22" s="20" t="s">
        <v>97</v>
      </c>
      <c r="C22" s="172">
        <f>Statement!AC119</f>
        <v>0.27618604910212224</v>
      </c>
      <c r="E22" s="20" t="s">
        <v>99</v>
      </c>
      <c r="F22" s="172">
        <f>C24</f>
        <v>0.33639821951334065</v>
      </c>
    </row>
    <row r="23" spans="2:6" x14ac:dyDescent="0.2">
      <c r="B23" s="20" t="s">
        <v>98</v>
      </c>
      <c r="C23" s="171">
        <f>Statement!AC120</f>
        <v>1.2180130770796262</v>
      </c>
      <c r="E23" s="20" t="s">
        <v>101</v>
      </c>
      <c r="F23" s="172">
        <f>C26</f>
        <v>1.1991257440476193</v>
      </c>
    </row>
    <row r="24" spans="2:6" x14ac:dyDescent="0.2">
      <c r="B24" s="32" t="s">
        <v>99</v>
      </c>
      <c r="C24" s="173">
        <f>Statement!AC121</f>
        <v>0.33639821951334065</v>
      </c>
      <c r="E24" s="20" t="s">
        <v>102</v>
      </c>
      <c r="F24" s="172">
        <f>Statement!AC130</f>
        <v>2.8240933164668753</v>
      </c>
    </row>
    <row r="25" spans="2:6" x14ac:dyDescent="0.2">
      <c r="B25" s="20" t="s">
        <v>100</v>
      </c>
      <c r="C25" s="171">
        <f>Statement!AC122</f>
        <v>3.5646019345238096</v>
      </c>
    </row>
    <row r="26" spans="2:6" x14ac:dyDescent="0.2">
      <c r="B26" s="32" t="s">
        <v>101</v>
      </c>
      <c r="C26" s="173">
        <f>Statement!AC123</f>
        <v>1.1991257440476193</v>
      </c>
    </row>
    <row r="29" spans="2:6" x14ac:dyDescent="0.2">
      <c r="B29" s="240" t="s">
        <v>249</v>
      </c>
      <c r="C29" s="240"/>
      <c r="E29" s="240" t="s">
        <v>255</v>
      </c>
      <c r="F29" s="240"/>
    </row>
    <row r="30" spans="2:6" x14ac:dyDescent="0.2">
      <c r="B30" s="20" t="s">
        <v>136</v>
      </c>
      <c r="C30" s="171">
        <f>Statement!AC131</f>
        <v>24.549497346960194</v>
      </c>
      <c r="E30" s="20" t="s">
        <v>256</v>
      </c>
      <c r="F30" s="177">
        <f>Statement!AC135</f>
        <v>0.78444940476190472</v>
      </c>
    </row>
    <row r="31" spans="2:6" x14ac:dyDescent="0.2">
      <c r="B31" s="20" t="s">
        <v>137</v>
      </c>
      <c r="C31" s="171">
        <f>Statement!AC132</f>
        <v>16.890196078431373</v>
      </c>
      <c r="E31" s="20" t="s">
        <v>257</v>
      </c>
      <c r="F31" s="177">
        <f>Statement!AC136</f>
        <v>-0.57824590773809526</v>
      </c>
    </row>
    <row r="32" spans="2:6" x14ac:dyDescent="0.2">
      <c r="B32" s="20" t="s">
        <v>138</v>
      </c>
      <c r="C32" s="171">
        <f>Statement!AC133</f>
        <v>98.254589069670416</v>
      </c>
      <c r="E32" s="20" t="s">
        <v>252</v>
      </c>
      <c r="F32" s="177">
        <f>Statement!AC138</f>
        <v>1.0032948046555858</v>
      </c>
    </row>
    <row r="33" spans="2:6" x14ac:dyDescent="0.2">
      <c r="B33" s="20" t="s">
        <v>139</v>
      </c>
      <c r="C33" s="171">
        <f>Statement!AC134</f>
        <v>-56.814895644278849</v>
      </c>
      <c r="E33" s="20" t="s">
        <v>251</v>
      </c>
      <c r="F33" s="177">
        <f>Statement!AC137</f>
        <v>1.1914535981677672</v>
      </c>
    </row>
    <row r="34" spans="2:6" x14ac:dyDescent="0.2">
      <c r="E34" s="20" t="s">
        <v>258</v>
      </c>
      <c r="F34" s="179" t="str">
        <f>Statement!AC139</f>
        <v>N/A</v>
      </c>
    </row>
    <row r="37" spans="2:6" x14ac:dyDescent="0.2">
      <c r="B37" s="240" t="s">
        <v>267</v>
      </c>
      <c r="C37" s="240"/>
      <c r="E37" s="240" t="s">
        <v>270</v>
      </c>
      <c r="F37" s="240"/>
    </row>
    <row r="38" spans="2:6" x14ac:dyDescent="0.2">
      <c r="B38" s="20" t="s">
        <v>265</v>
      </c>
      <c r="C38" s="172">
        <f ca="1">Statement!AC152</f>
        <v>2.6243717458693229E-2</v>
      </c>
      <c r="E38" s="20" t="s">
        <v>269</v>
      </c>
      <c r="F38" s="172">
        <f>Statement!AC158</f>
        <v>0.12717825284402776</v>
      </c>
    </row>
    <row r="39" spans="2:6" x14ac:dyDescent="0.2">
      <c r="B39" s="54" t="s">
        <v>268</v>
      </c>
      <c r="C39" s="212">
        <f ca="1">Statement!AC151</f>
        <v>2.525842190563192E-2</v>
      </c>
      <c r="E39" s="20" t="s">
        <v>271</v>
      </c>
      <c r="F39" s="172">
        <f>Statement!AC159</f>
        <v>0.66862909324507835</v>
      </c>
    </row>
    <row r="40" spans="2:6" x14ac:dyDescent="0.2">
      <c r="B40" s="20" t="s">
        <v>266</v>
      </c>
      <c r="C40" s="172">
        <f ca="1">Statement!AC153</f>
        <v>3.1600806572967769E-3</v>
      </c>
      <c r="E40" s="20" t="s">
        <v>272</v>
      </c>
      <c r="F40" s="172">
        <f>Statement!AC160</f>
        <v>0.79580734608910608</v>
      </c>
    </row>
    <row r="41" spans="2:6" x14ac:dyDescent="0.2">
      <c r="B41" s="20" t="s">
        <v>291</v>
      </c>
      <c r="C41" s="172">
        <f ca="1">Statement!AC154</f>
        <v>1.6888515735564293E-2</v>
      </c>
    </row>
    <row r="42" spans="2:6" x14ac:dyDescent="0.2">
      <c r="B42" s="20" t="s">
        <v>293</v>
      </c>
      <c r="C42" s="172">
        <f ca="1">Statement!AC155</f>
        <v>2.0100837703119878E-2</v>
      </c>
    </row>
    <row r="45" spans="2:6" x14ac:dyDescent="0.2">
      <c r="B45" s="240" t="s">
        <v>278</v>
      </c>
      <c r="C45" s="240"/>
      <c r="E45" s="240" t="s">
        <v>284</v>
      </c>
      <c r="F45" s="240"/>
    </row>
    <row r="46" spans="2:6" x14ac:dyDescent="0.2">
      <c r="B46" s="20" t="s">
        <v>276</v>
      </c>
      <c r="C46" s="172">
        <f>Statement!AC161</f>
        <v>6.1420869446529721E-4</v>
      </c>
      <c r="E46" s="20" t="s">
        <v>277</v>
      </c>
      <c r="F46" s="171">
        <f>Statement!AC162</f>
        <v>10.039536795943539</v>
      </c>
    </row>
    <row r="47" spans="2:6" x14ac:dyDescent="0.2">
      <c r="E47" s="20" t="s">
        <v>285</v>
      </c>
      <c r="F47" s="171">
        <f>Statement!AC165</f>
        <v>4.2601754145539266</v>
      </c>
    </row>
    <row r="48" spans="2:6" x14ac:dyDescent="0.2">
      <c r="E48" s="20" t="s">
        <v>290</v>
      </c>
      <c r="F48" s="172">
        <f ca="1">Statement!AC166</f>
        <v>1.2769801386754055E-2</v>
      </c>
    </row>
    <row r="51" spans="2:6" x14ac:dyDescent="0.2">
      <c r="B51" s="240" t="s">
        <v>281</v>
      </c>
      <c r="C51" s="240"/>
      <c r="E51" s="240" t="s">
        <v>302</v>
      </c>
      <c r="F51" s="240"/>
    </row>
    <row r="52" spans="2:6" x14ac:dyDescent="0.2">
      <c r="B52" s="20" t="s">
        <v>279</v>
      </c>
      <c r="C52" s="172">
        <f>Statement!AC163</f>
        <v>9.3413483819961285E-2</v>
      </c>
      <c r="E52" s="20" t="s">
        <v>303</v>
      </c>
      <c r="F52" s="172">
        <f>Statement!AC167</f>
        <v>2.1509222981729692E-2</v>
      </c>
    </row>
    <row r="53" spans="2:6" x14ac:dyDescent="0.2">
      <c r="B53" s="20" t="s">
        <v>280</v>
      </c>
      <c r="C53" s="172">
        <f>Statement!AC164</f>
        <v>2.9360164344944442E-2</v>
      </c>
      <c r="E53" s="20" t="s">
        <v>300</v>
      </c>
      <c r="F53" s="172">
        <f>Statement!AC168</f>
        <v>6.8434611924429539E-2</v>
      </c>
    </row>
    <row r="54" spans="2:6" x14ac:dyDescent="0.2">
      <c r="E54" s="20" t="s">
        <v>301</v>
      </c>
      <c r="F54" s="172">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332.27</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4868752.3099999996</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4806579.3099999996</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38.10435779816514</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10.519051680187136</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45.099966331845238</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10.29636352536186</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31.038424050265078</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0.48652915559002019</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0.33172958487478121</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0.27618604910212224</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128930</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146724</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-17794</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0.27618604910212224</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1.2180130770796262</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0.33639821951334065</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3.5646019345238096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1.1991257440476193</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0.33639821951334065</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1.1991257440476193</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2.8240933164668753</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24.549497346960194</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16.890196078431373</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98.254589069670416</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-56.814895644278849</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0.78444940476190472</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-0.57824590773809526</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1.1914535981677672</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1.0032948046555858</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2.6243717458693229E-2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2.525842190563192E-2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3.1600806572967769E-3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1.6888515735564293E-2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2.0100837703119878E-2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0.12717825284402776</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0.66862909324507835</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0.79580734608910608</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6.1420869446529721E-4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10.039536795943539</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4.2601754145539266</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1.2769801386754055E-2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9.3413483819961285E-2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2.9360164344944442E-2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2.1509222981729692E-2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6.8434611924429539E-2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0.76648854961832058</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376</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377</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378</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379</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380</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381</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382</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383</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384</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362</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312</v>
      </c>
      <c r="D3" s="244"/>
      <c r="F3" s="245" t="s">
        <v>313</v>
      </c>
      <c r="G3" s="244"/>
    </row>
    <row r="4" spans="2:7" x14ac:dyDescent="0.2">
      <c r="B4" s="8"/>
      <c r="C4" s="10" t="str">
        <f>Statement!Z2</f>
        <v>28.03.2026</v>
      </c>
      <c r="D4" s="200" t="str">
        <f>Statement!AA2</f>
        <v>27.06.2026</v>
      </c>
      <c r="F4" s="201" t="str">
        <f>Statement!W2</f>
        <v>28.06.2025</v>
      </c>
      <c r="G4" s="200" t="str">
        <f>Statement!AA2</f>
        <v>27.06.2026</v>
      </c>
    </row>
    <row r="5" spans="2:7" x14ac:dyDescent="0.2">
      <c r="B5" s="8" t="s">
        <v>318</v>
      </c>
      <c r="C5" s="10" t="str">
        <f>Statement!Z3</f>
        <v>Q2 2026</v>
      </c>
      <c r="D5" s="200" t="str">
        <f>Statement!AA3</f>
        <v>Q3 2026</v>
      </c>
      <c r="F5" s="201" t="str">
        <f>Statement!W3</f>
        <v>Q3 2025</v>
      </c>
      <c r="G5" s="200" t="str">
        <f>Statement!AA3</f>
        <v>Q3 2026</v>
      </c>
    </row>
    <row r="6" spans="2:7" x14ac:dyDescent="0.2">
      <c r="B6" s="202" t="s">
        <v>19</v>
      </c>
      <c r="C6" s="196">
        <f>Statement!Z5</f>
        <v>111184</v>
      </c>
      <c r="D6" s="195">
        <f>Statement!AA5</f>
        <v>109417</v>
      </c>
      <c r="F6" s="196">
        <f>Statement!W5</f>
        <v>94036</v>
      </c>
      <c r="G6" s="195">
        <f>Statement!AA5</f>
        <v>109417</v>
      </c>
    </row>
    <row r="7" spans="2:7" x14ac:dyDescent="0.2">
      <c r="B7" s="203" t="s">
        <v>314</v>
      </c>
      <c r="C7" s="241">
        <f>Statement!AA88</f>
        <v>-1.5892574471146927E-2</v>
      </c>
      <c r="D7" s="242"/>
      <c r="F7" s="241">
        <f>IF(F6=0,
IF(G6=0,0,IF(G6&gt;0,1,-1)),
(G6-F6)/ABS(F6)
)</f>
        <v>0.16356501765281381</v>
      </c>
      <c r="G7" s="242"/>
    </row>
    <row r="8" spans="2:7" x14ac:dyDescent="0.2">
      <c r="B8" s="204" t="s">
        <v>20</v>
      </c>
      <c r="C8" s="197">
        <f>Statement!Z6</f>
        <v>56403</v>
      </c>
      <c r="D8" s="195">
        <f>Statement!AA6</f>
        <v>54647</v>
      </c>
      <c r="F8" s="197">
        <f>Statement!W6</f>
        <v>50318</v>
      </c>
      <c r="G8" s="195">
        <f>Statement!AA6</f>
        <v>54647</v>
      </c>
    </row>
    <row r="9" spans="2:7" x14ac:dyDescent="0.2">
      <c r="B9" s="203" t="s">
        <v>314</v>
      </c>
      <c r="C9" s="241">
        <f>Statement!AA89</f>
        <v>-3.1133095757317875E-2</v>
      </c>
      <c r="D9" s="242"/>
      <c r="F9" s="241">
        <f>IF(F8=0,
IF(G8=0,0,IF(G8&gt;0,1,-1)),
(G8-F8)/ABS(F8)
)</f>
        <v>8.6032831193608647E-2</v>
      </c>
      <c r="G9" s="242"/>
    </row>
    <row r="10" spans="2:7" x14ac:dyDescent="0.2">
      <c r="B10" s="204" t="s">
        <v>21</v>
      </c>
      <c r="C10" s="197">
        <f>Statement!Z7</f>
        <v>54781</v>
      </c>
      <c r="D10" s="195">
        <f>Statement!AA7</f>
        <v>54770</v>
      </c>
      <c r="F10" s="197">
        <f>Statement!W7</f>
        <v>43718</v>
      </c>
      <c r="G10" s="195">
        <f>Statement!AA7</f>
        <v>54770</v>
      </c>
    </row>
    <row r="11" spans="2:7" x14ac:dyDescent="0.2">
      <c r="B11" s="203" t="s">
        <v>314</v>
      </c>
      <c r="C11" s="241">
        <f>Statement!AA90</f>
        <v>-2.0079954728829339E-4</v>
      </c>
      <c r="D11" s="242"/>
      <c r="F11" s="241">
        <f>IF(F10=0,
IF(G10=0,0,IF(G10&gt;0,1,-1)),
(G10-F10)/ABS(F10)
)</f>
        <v>0.25280204949906215</v>
      </c>
      <c r="G11" s="242"/>
    </row>
    <row r="12" spans="2:7" x14ac:dyDescent="0.2">
      <c r="B12" s="204" t="s">
        <v>23</v>
      </c>
      <c r="C12" s="197">
        <f>Statement!Z10</f>
        <v>18896</v>
      </c>
      <c r="D12" s="195">
        <f>Statement!AA10</f>
        <v>19075</v>
      </c>
      <c r="F12" s="197">
        <f>Statement!W10</f>
        <v>15516</v>
      </c>
      <c r="G12" s="195">
        <f>Statement!AA10</f>
        <v>19075</v>
      </c>
    </row>
    <row r="13" spans="2:7" x14ac:dyDescent="0.2">
      <c r="B13" s="203" t="s">
        <v>314</v>
      </c>
      <c r="C13" s="241">
        <f>Statement!AA93</f>
        <v>9.4729043183742583E-3</v>
      </c>
      <c r="D13" s="242"/>
      <c r="F13" s="241">
        <f>IF(F12=0,
IF(G12=0,0,IF(G12&gt;0,1,-1)),
(G12-F12)/ABS(F12)
)</f>
        <v>0.22937612786800721</v>
      </c>
      <c r="G13" s="242"/>
    </row>
    <row r="14" spans="2:7" x14ac:dyDescent="0.2">
      <c r="B14" s="204" t="s">
        <v>315</v>
      </c>
      <c r="C14" s="197">
        <f>Statement!Z11</f>
        <v>35885</v>
      </c>
      <c r="D14" s="195">
        <f>Statement!AA11</f>
        <v>35695</v>
      </c>
      <c r="F14" s="197">
        <f>Statement!W11</f>
        <v>28202</v>
      </c>
      <c r="G14" s="195">
        <f>Statement!AA11</f>
        <v>35695</v>
      </c>
    </row>
    <row r="15" spans="2:7" x14ac:dyDescent="0.2">
      <c r="B15" s="203" t="s">
        <v>314</v>
      </c>
      <c r="C15" s="241">
        <f>Statement!AA94</f>
        <v>-5.2946913752264175E-3</v>
      </c>
      <c r="D15" s="242"/>
      <c r="F15" s="241">
        <f>IF(F14=0,
IF(G14=0,0,IF(G14&gt;0,1,-1)),
(G14-F14)/ABS(F14)
)</f>
        <v>0.26569037656903766</v>
      </c>
      <c r="G15" s="242"/>
    </row>
    <row r="16" spans="2:7" x14ac:dyDescent="0.2">
      <c r="B16" s="204" t="s">
        <v>29</v>
      </c>
      <c r="C16" s="197">
        <f>Statement!Z17</f>
        <v>29578</v>
      </c>
      <c r="D16" s="195">
        <f>Statement!AA17</f>
        <v>29789</v>
      </c>
      <c r="F16" s="197">
        <f>Statement!W17</f>
        <v>23434</v>
      </c>
      <c r="G16" s="195">
        <f>Statement!AA17</f>
        <v>29789</v>
      </c>
    </row>
    <row r="17" spans="2:7" x14ac:dyDescent="0.2">
      <c r="B17" s="203" t="s">
        <v>314</v>
      </c>
      <c r="C17" s="241">
        <f>Statement!AA96</f>
        <v>7.1336804381635002E-3</v>
      </c>
      <c r="D17" s="242"/>
      <c r="F17" s="241">
        <f>IF(F16=0,
IF(G16=0,0,IF(G16&gt;0,1,-1)),
(G16-F16)/ABS(F16)
)</f>
        <v>0.27118716394981651</v>
      </c>
      <c r="G17" s="242"/>
    </row>
    <row r="18" spans="2:7" x14ac:dyDescent="0.2">
      <c r="B18" s="204" t="s">
        <v>316</v>
      </c>
      <c r="C18" s="197">
        <f>Statement!Z21</f>
        <v>14726</v>
      </c>
      <c r="D18" s="195">
        <f>Statement!AA21</f>
        <v>14715</v>
      </c>
      <c r="F18" s="197">
        <f>Statement!W21</f>
        <v>14948</v>
      </c>
      <c r="G18" s="195">
        <f>Statement!AA21</f>
        <v>14715</v>
      </c>
    </row>
    <row r="19" spans="2:7" x14ac:dyDescent="0.2">
      <c r="B19" s="203" t="s">
        <v>314</v>
      </c>
      <c r="C19" s="241">
        <f>IF(C18=0,
IF(D18=0,0,IF(D18&gt;0,1,-1)),
(D18-C18)/ABS(C18)
)</f>
        <v>-7.4697813391280731E-4</v>
      </c>
      <c r="D19" s="242"/>
      <c r="F19" s="241">
        <f>IF(F18=0,
IF(G18=0,0,IF(G18&gt;0,1,-1)),
(G18-F18)/ABS(F18)
)</f>
        <v>-1.5587369547765587E-2</v>
      </c>
      <c r="G19" s="242"/>
    </row>
    <row r="20" spans="2:7" x14ac:dyDescent="0.2">
      <c r="B20" s="204" t="s">
        <v>36</v>
      </c>
      <c r="C20" s="198">
        <f>Statement!Z25</f>
        <v>2.0099999999999998</v>
      </c>
      <c r="D20" s="199">
        <f>Statement!AA25</f>
        <v>2.02</v>
      </c>
      <c r="F20" s="198">
        <f>Statement!W25</f>
        <v>1.57</v>
      </c>
      <c r="G20" s="199">
        <f>Statement!AA25</f>
        <v>2.02</v>
      </c>
    </row>
    <row r="21" spans="2:7" x14ac:dyDescent="0.2">
      <c r="B21" s="203" t="s">
        <v>314</v>
      </c>
      <c r="C21" s="241">
        <f>IF(C20=0,
IF(D20=0,0,IF(D20&gt;0,1,-1)),
(D20-C20)/ABS(C20)
)</f>
        <v>4.975124378109568E-3</v>
      </c>
      <c r="D21" s="242"/>
      <c r="F21" s="241">
        <f>IF(F20=0,
IF(G20=0,0,IF(G20&gt;0,1,-1)),
(G20-F20)/ABS(F20)
)</f>
        <v>0.28662420382165599</v>
      </c>
      <c r="G21" s="242"/>
    </row>
    <row r="23" spans="2:7" x14ac:dyDescent="0.2">
      <c r="B23" s="8" t="s">
        <v>317</v>
      </c>
      <c r="C23" s="10" t="str">
        <f>C5</f>
        <v>Q2 2026</v>
      </c>
      <c r="D23" s="200" t="str">
        <f>D5</f>
        <v>Q3 2026</v>
      </c>
      <c r="F23" s="201" t="str">
        <f>F5</f>
        <v>Q3 2025</v>
      </c>
      <c r="G23" s="200" t="str">
        <f>G5</f>
        <v>Q3 2026</v>
      </c>
    </row>
    <row r="24" spans="2:7" x14ac:dyDescent="0.2">
      <c r="B24" s="20" t="s">
        <v>376</v>
      </c>
      <c r="C24" s="197">
        <f>Statement!Z177</f>
        <v>45093</v>
      </c>
      <c r="D24" s="195">
        <f>Statement!AA177</f>
        <v>45781</v>
      </c>
      <c r="F24" s="197">
        <f>Statement!W177</f>
        <v>41198</v>
      </c>
      <c r="G24" s="195">
        <f>Statement!AA177</f>
        <v>45781</v>
      </c>
    </row>
    <row r="25" spans="2:7" x14ac:dyDescent="0.2">
      <c r="B25" s="203" t="s">
        <v>314</v>
      </c>
      <c r="C25" s="241">
        <f>IF(C24=0,
IF(D24=0,0,IF(D24&gt;0,1,-1)),
(D24-C24)/ABS(C24)
)</f>
        <v>1.5257357017718937E-2</v>
      </c>
      <c r="D25" s="242"/>
      <c r="F25" s="241">
        <f>IF(F24=0,
IF(G24=0,0,IF(G24&gt;0,1,-1)),
(G24-F24)/ABS(F24)
)</f>
        <v>0.11124326423612797</v>
      </c>
      <c r="G25" s="242"/>
    </row>
    <row r="26" spans="2:7" x14ac:dyDescent="0.2">
      <c r="B26" s="20" t="s">
        <v>377</v>
      </c>
      <c r="C26" s="197">
        <f>Statement!Z178</f>
        <v>28055</v>
      </c>
      <c r="D26" s="195">
        <f>Statement!AA178</f>
        <v>29393</v>
      </c>
      <c r="F26" s="197">
        <f>Statement!W178</f>
        <v>24014</v>
      </c>
      <c r="G26" s="195">
        <f>Statement!AA178</f>
        <v>29393</v>
      </c>
    </row>
    <row r="27" spans="2:7" x14ac:dyDescent="0.2">
      <c r="B27" s="203" t="s">
        <v>314</v>
      </c>
      <c r="C27" s="241">
        <f>IF(C26=0,
IF(D26=0,0,IF(D26&gt;0,1,-1)),
(D26-C26)/ABS(C26)
)</f>
        <v>4.7692033505613969E-2</v>
      </c>
      <c r="D27" s="242"/>
      <c r="F27" s="241">
        <f>IF(F26=0,
IF(G26=0,0,IF(G26&gt;0,1,-1)),
(G26-F26)/ABS(F26)
)</f>
        <v>0.22399433663696178</v>
      </c>
      <c r="G27" s="242"/>
    </row>
    <row r="28" spans="2:7" x14ac:dyDescent="0.2">
      <c r="B28" s="20" t="s">
        <v>378</v>
      </c>
      <c r="C28" s="197">
        <f>Statement!Z179</f>
        <v>20497</v>
      </c>
      <c r="D28" s="195">
        <f>Statement!AA179</f>
        <v>18816</v>
      </c>
      <c r="F28" s="197">
        <f>Statement!W179</f>
        <v>15369</v>
      </c>
      <c r="G28" s="195">
        <f>Statement!AA179</f>
        <v>18816</v>
      </c>
    </row>
    <row r="29" spans="2:7" x14ac:dyDescent="0.2">
      <c r="B29" s="203" t="s">
        <v>314</v>
      </c>
      <c r="C29" s="241">
        <f>IF(C28=0,
IF(D28=0,0,IF(D28&gt;0,1,-1)),
(D28-C28)/ABS(C28)
)</f>
        <v>-8.2012001756354591E-2</v>
      </c>
      <c r="D29" s="242"/>
      <c r="F29" s="241">
        <f>IF(F28=0,
IF(G28=0,0,IF(G28&gt;0,1,-1)),
(G28-F28)/ABS(F28)
)</f>
        <v>0.22428264688658989</v>
      </c>
      <c r="G29" s="242"/>
    </row>
    <row r="30" spans="2:7" x14ac:dyDescent="0.2">
      <c r="B30" s="20" t="s">
        <v>379</v>
      </c>
      <c r="C30" s="197">
        <f>Statement!Z180</f>
        <v>8401</v>
      </c>
      <c r="D30" s="195">
        <f>Statement!AA180</f>
        <v>6554</v>
      </c>
      <c r="F30" s="197">
        <f>Statement!W180</f>
        <v>5782</v>
      </c>
      <c r="G30" s="195">
        <f>Statement!AA180</f>
        <v>6554</v>
      </c>
    </row>
    <row r="31" spans="2:7" x14ac:dyDescent="0.2">
      <c r="B31" s="203" t="s">
        <v>314</v>
      </c>
      <c r="C31" s="241">
        <f>IF(C30=0,
IF(D30=0,0,IF(D30&gt;0,1,-1)),
(D30-C30)/ABS(C30)
)</f>
        <v>-0.21985477919295321</v>
      </c>
      <c r="D31" s="242"/>
      <c r="F31" s="241">
        <f>IF(F30=0,
IF(G30=0,0,IF(G30&gt;0,1,-1)),
(G30-F30)/ABS(F30)
)</f>
        <v>0.1335178139052231</v>
      </c>
      <c r="G31" s="242"/>
    </row>
    <row r="32" spans="2:7" x14ac:dyDescent="0.2">
      <c r="B32" s="20" t="s">
        <v>380</v>
      </c>
      <c r="C32" s="197">
        <f>Statement!Z181</f>
        <v>9138</v>
      </c>
      <c r="D32" s="195">
        <f>Statement!AA181</f>
        <v>8871</v>
      </c>
      <c r="F32" s="197">
        <f>Statement!W181</f>
        <v>7673</v>
      </c>
      <c r="G32" s="195">
        <f>Statement!AA181</f>
        <v>8871</v>
      </c>
    </row>
    <row r="33" spans="2:7" x14ac:dyDescent="0.2">
      <c r="B33" s="203" t="s">
        <v>314</v>
      </c>
      <c r="C33" s="241">
        <f>IF(C32=0,
IF(D32=0,0,IF(D32&gt;0,1,-1)),
(D32-C32)/ABS(C32)
)</f>
        <v>-2.9218647406434668E-2</v>
      </c>
      <c r="D33" s="242"/>
      <c r="F33" s="241">
        <f>IF(F32=0,
IF(G32=0,0,IF(G32&gt;0,1,-1)),
(G32-F32)/ABS(F32)
)</f>
        <v>0.15613189104652678</v>
      </c>
      <c r="G33" s="242"/>
    </row>
    <row r="35" spans="2:7" x14ac:dyDescent="0.2">
      <c r="B35" s="227" t="s">
        <v>381</v>
      </c>
      <c r="C35" s="197">
        <f>Statement!Z183</f>
        <v>56994</v>
      </c>
      <c r="D35" s="228">
        <f>Statement!AA183</f>
        <v>54252</v>
      </c>
      <c r="F35" s="197">
        <f>Statement!W183</f>
        <v>44582</v>
      </c>
      <c r="G35" s="228">
        <f>Statement!AA183</f>
        <v>54252</v>
      </c>
    </row>
    <row r="36" spans="2:7" x14ac:dyDescent="0.2">
      <c r="B36" s="203" t="s">
        <v>314</v>
      </c>
      <c r="C36" s="241">
        <f>IF(C35=0,
IF(D35=0,0,IF(D35&gt;0,1,-1)),
(D35-C35)/ABS(C35)
)</f>
        <v>-4.8110327402884512E-2</v>
      </c>
      <c r="D36" s="242"/>
      <c r="F36" s="241">
        <f>IF(F35=0,
IF(G35=0,0,IF(G35&gt;0,1,-1)),
(G35-F35)/ABS(F35)
)</f>
        <v>0.21690368310080302</v>
      </c>
      <c r="G36" s="242"/>
    </row>
    <row r="37" spans="2:7" x14ac:dyDescent="0.2">
      <c r="B37" s="227" t="s">
        <v>382</v>
      </c>
      <c r="C37" s="197">
        <f>Statement!Z184</f>
        <v>8399</v>
      </c>
      <c r="D37" s="228">
        <f>Statement!AA184</f>
        <v>10352</v>
      </c>
      <c r="F37" s="197">
        <f>Statement!W184</f>
        <v>8046</v>
      </c>
      <c r="G37" s="228">
        <f>Statement!AA184</f>
        <v>10352</v>
      </c>
    </row>
    <row r="38" spans="2:7" x14ac:dyDescent="0.2">
      <c r="B38" s="203" t="s">
        <v>314</v>
      </c>
      <c r="C38" s="241">
        <f>IF(C37=0,
IF(D37=0,0,IF(D37&gt;0,1,-1)),
(D37-C37)/ABS(C37)
)</f>
        <v>0.23252768186688891</v>
      </c>
      <c r="D38" s="242"/>
      <c r="F38" s="241">
        <f>IF(F37=0,
IF(G37=0,0,IF(G37&gt;0,1,-1)),
(G37-F37)/ABS(F37)
)</f>
        <v>0.28660203827989061</v>
      </c>
      <c r="G38" s="242"/>
    </row>
    <row r="39" spans="2:7" x14ac:dyDescent="0.2">
      <c r="B39" s="227" t="s">
        <v>383</v>
      </c>
      <c r="C39" s="197">
        <f>Statement!Z185</f>
        <v>6914</v>
      </c>
      <c r="D39" s="228">
        <f>Statement!AA185</f>
        <v>6191</v>
      </c>
      <c r="F39" s="197">
        <f>Statement!W185</f>
        <v>6581</v>
      </c>
      <c r="G39" s="228">
        <f>Statement!AA185</f>
        <v>6191</v>
      </c>
    </row>
    <row r="40" spans="2:7" x14ac:dyDescent="0.2">
      <c r="B40" s="203" t="s">
        <v>314</v>
      </c>
      <c r="C40" s="241">
        <f>IF(C39=0,
IF(D39=0,0,IF(D39&gt;0,1,-1)),
(D39-C39)/ABS(C39)
)</f>
        <v>-0.10457043679490888</v>
      </c>
      <c r="D40" s="242"/>
      <c r="F40" s="241">
        <f>IF(F39=0,
IF(G39=0,0,IF(G39&gt;0,1,-1)),
(G39-F39)/ABS(F39)
)</f>
        <v>-5.9261510408752466E-2</v>
      </c>
      <c r="G40" s="242"/>
    </row>
    <row r="41" spans="2:7" x14ac:dyDescent="0.2">
      <c r="B41" s="227" t="s">
        <v>384</v>
      </c>
      <c r="C41" s="197">
        <f>Statement!Z186</f>
        <v>7901</v>
      </c>
      <c r="D41" s="228">
        <f>Statement!AA186</f>
        <v>7883</v>
      </c>
      <c r="F41" s="197">
        <f>Statement!W186</f>
        <v>7404</v>
      </c>
      <c r="G41" s="228">
        <f>Statement!AA186</f>
        <v>7883</v>
      </c>
    </row>
    <row r="42" spans="2:7" x14ac:dyDescent="0.2">
      <c r="B42" s="203" t="s">
        <v>314</v>
      </c>
      <c r="C42" s="241">
        <f>IF(C41=0,
IF(D41=0,0,IF(D41&gt;0,1,-1)),
(D41-C41)/ABS(C41)
)</f>
        <v>-2.2781926338438173E-3</v>
      </c>
      <c r="D42" s="242"/>
      <c r="F42" s="241">
        <f>IF(F41=0,
IF(G41=0,0,IF(G41&gt;0,1,-1)),
(G41-F41)/ABS(F41)
)</f>
        <v>6.4694759589411135E-2</v>
      </c>
      <c r="G42" s="242"/>
    </row>
    <row r="43" spans="2:7" x14ac:dyDescent="0.2">
      <c r="B43" s="227" t="s">
        <v>362</v>
      </c>
      <c r="C43" s="197">
        <f>Statement!Z187</f>
        <v>30976</v>
      </c>
      <c r="D43" s="228">
        <f>Statement!AA187</f>
        <v>30739</v>
      </c>
      <c r="F43" s="197">
        <f>Statement!W187</f>
        <v>27423</v>
      </c>
      <c r="G43" s="228">
        <f>Statement!AA187</f>
        <v>30739</v>
      </c>
    </row>
    <row r="44" spans="2:7" x14ac:dyDescent="0.2">
      <c r="B44" s="203" t="s">
        <v>314</v>
      </c>
      <c r="C44" s="241">
        <f>IF(C43=0,
IF(D43=0,0,IF(D43&gt;0,1,-1)),
(D43-C43)/ABS(C43)
)</f>
        <v>-7.6510847107438013E-3</v>
      </c>
      <c r="D44" s="242"/>
      <c r="F44" s="241">
        <f>IF(F43=0,
IF(G43=0,0,IF(G43&gt;0,1,-1)),
(G43-F43)/ABS(F43)
)</f>
        <v>0.12092039528862633</v>
      </c>
      <c r="G44" s="242"/>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385</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386</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387</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388</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396</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389</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390</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391</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392</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393</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350</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351</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352</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385</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386</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387</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388</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394</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389</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390</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391</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395</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393</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260</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0" t="s">
        <v>110</v>
      </c>
      <c r="D2" s="240"/>
      <c r="E2" s="240"/>
      <c r="F2" s="240"/>
      <c r="G2" s="249"/>
      <c r="H2" s="250" t="s">
        <v>111</v>
      </c>
      <c r="I2" s="240"/>
      <c r="J2" s="240"/>
      <c r="K2" s="240"/>
      <c r="L2" s="240"/>
      <c r="O2" s="5"/>
      <c r="S2" s="240" t="s">
        <v>110</v>
      </c>
      <c r="T2" s="240"/>
      <c r="U2" s="240"/>
      <c r="V2" s="240"/>
      <c r="W2" s="240"/>
      <c r="X2" s="240"/>
      <c r="Y2" s="240"/>
      <c r="Z2" s="240"/>
      <c r="AA2" s="240" t="s">
        <v>111</v>
      </c>
      <c r="AB2" s="240"/>
      <c r="AC2" s="240"/>
      <c r="AE2" s="85" t="s">
        <v>112</v>
      </c>
    </row>
    <row r="3" spans="1:31" ht="10" customHeight="1" x14ac:dyDescent="0.2">
      <c r="O3" s="5"/>
    </row>
    <row r="4" spans="1:31" ht="16" customHeight="1" x14ac:dyDescent="0.2">
      <c r="A4" s="86"/>
      <c r="B4" s="60"/>
      <c r="C4" s="246" t="s">
        <v>113</v>
      </c>
      <c r="D4" s="246"/>
      <c r="E4" s="246"/>
      <c r="F4" s="246"/>
      <c r="G4" s="246"/>
      <c r="H4" s="246"/>
      <c r="I4" s="246"/>
      <c r="J4" s="246"/>
      <c r="K4" s="246"/>
      <c r="L4" s="246"/>
      <c r="O4" s="5"/>
      <c r="S4" s="247" t="s">
        <v>113</v>
      </c>
      <c r="T4" s="248"/>
      <c r="U4" s="248"/>
      <c r="V4" s="248"/>
      <c r="W4" s="248"/>
      <c r="X4" s="248"/>
      <c r="Y4" s="248"/>
      <c r="Z4" s="248"/>
      <c r="AA4" s="248"/>
      <c r="AB4" s="248"/>
      <c r="AC4" s="248"/>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397</v>
      </c>
      <c r="O6" s="5"/>
      <c r="Q6" s="90" t="s">
        <v>397</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398</v>
      </c>
      <c r="O7" s="5"/>
      <c r="Q7" s="90" t="s">
        <v>398</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399</v>
      </c>
      <c r="O8" s="5"/>
      <c r="Q8" s="90" t="s">
        <v>399</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400</v>
      </c>
      <c r="O9" s="5"/>
      <c r="Q9" s="90" t="s">
        <v>400</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364</v>
      </c>
      <c r="O10" s="5"/>
      <c r="Q10" s="90" t="s">
        <v>364</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6" t="s">
        <v>119</v>
      </c>
      <c r="D13" s="246"/>
      <c r="E13" s="246"/>
      <c r="F13" s="246"/>
      <c r="G13" s="246"/>
      <c r="H13" s="246"/>
      <c r="I13" s="246"/>
      <c r="J13" s="246"/>
      <c r="K13" s="246"/>
      <c r="L13" s="246"/>
      <c r="O13" s="5"/>
      <c r="Q13" s="91"/>
      <c r="S13" s="247" t="s">
        <v>119</v>
      </c>
      <c r="T13" s="248"/>
      <c r="U13" s="248"/>
      <c r="V13" s="248"/>
      <c r="W13" s="248"/>
      <c r="X13" s="248"/>
      <c r="Y13" s="248"/>
      <c r="Z13" s="248"/>
      <c r="AA13" s="248"/>
      <c r="AB13" s="248"/>
      <c r="AC13" s="248"/>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0" t="s">
        <v>110</v>
      </c>
      <c r="D2" s="240"/>
      <c r="E2" s="240"/>
      <c r="F2" s="240"/>
      <c r="G2" s="249"/>
      <c r="H2" s="250" t="s">
        <v>111</v>
      </c>
      <c r="I2" s="240"/>
      <c r="J2" s="240"/>
      <c r="K2" s="240"/>
      <c r="L2" s="240"/>
      <c r="P2" s="240" t="s">
        <v>110</v>
      </c>
      <c r="Q2" s="240"/>
      <c r="R2" s="240"/>
      <c r="S2" s="240"/>
      <c r="T2" s="240"/>
      <c r="U2" s="240"/>
      <c r="V2" s="240"/>
      <c r="W2" s="240"/>
      <c r="X2" s="240" t="s">
        <v>111</v>
      </c>
      <c r="Y2" s="240"/>
      <c r="Z2" s="240"/>
      <c r="AB2" s="85" t="s">
        <v>112</v>
      </c>
    </row>
    <row r="3" spans="1:28" ht="10" customHeight="1" x14ac:dyDescent="0.2"/>
    <row r="4" spans="1:28" ht="16" customHeight="1" x14ac:dyDescent="0.2">
      <c r="A4" s="86"/>
      <c r="B4" s="60"/>
      <c r="C4" s="246" t="s">
        <v>113</v>
      </c>
      <c r="D4" s="246"/>
      <c r="E4" s="246"/>
      <c r="F4" s="246"/>
      <c r="G4" s="246"/>
      <c r="H4" s="246"/>
      <c r="I4" s="246"/>
      <c r="J4" s="246"/>
      <c r="K4" s="246"/>
      <c r="L4" s="246"/>
      <c r="P4" s="248" t="s">
        <v>113</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6" t="s">
        <v>122</v>
      </c>
      <c r="D9" s="246"/>
      <c r="E9" s="246"/>
      <c r="F9" s="246"/>
      <c r="G9" s="246"/>
      <c r="H9" s="246"/>
      <c r="I9" s="246"/>
      <c r="J9" s="246"/>
      <c r="K9" s="246"/>
      <c r="L9" s="246"/>
      <c r="N9" s="91"/>
      <c r="P9" s="248" t="s">
        <v>123</v>
      </c>
      <c r="Q9" s="248"/>
      <c r="R9" s="248"/>
      <c r="S9" s="248"/>
      <c r="T9" s="248"/>
      <c r="U9" s="248"/>
      <c r="V9" s="248"/>
      <c r="W9" s="248"/>
      <c r="X9" s="248"/>
      <c r="Y9" s="248"/>
      <c r="Z9" s="248"/>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6" t="s">
        <v>125</v>
      </c>
      <c r="D17" s="246"/>
      <c r="E17" s="246"/>
      <c r="F17" s="246"/>
      <c r="G17" s="246"/>
      <c r="H17" s="246"/>
      <c r="I17" s="246"/>
      <c r="J17" s="246"/>
      <c r="K17" s="246"/>
      <c r="L17" s="246"/>
      <c r="P17" s="248" t="s">
        <v>125</v>
      </c>
      <c r="Q17" s="248"/>
      <c r="R17" s="248"/>
      <c r="S17" s="248"/>
      <c r="T17" s="248"/>
      <c r="U17" s="248"/>
      <c r="V17" s="248"/>
      <c r="W17" s="248"/>
      <c r="X17" s="248"/>
      <c r="Y17" s="248"/>
      <c r="Z17" s="248"/>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113</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129</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6" t="s">
        <v>134</v>
      </c>
      <c r="D18" s="246"/>
      <c r="E18" s="246"/>
      <c r="F18" s="246"/>
      <c r="G18" s="246"/>
      <c r="H18" s="246"/>
      <c r="I18" s="246"/>
      <c r="J18" s="246"/>
      <c r="K18" s="246"/>
      <c r="L18" s="246"/>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1"/>
      <c r="C25" s="251"/>
    </row>
    <row r="26" spans="2:12" x14ac:dyDescent="0.2">
      <c r="B26" s="109"/>
      <c r="C26" s="246" t="s">
        <v>140</v>
      </c>
      <c r="D26" s="246"/>
      <c r="E26" s="246"/>
      <c r="F26" s="246"/>
      <c r="G26" s="246"/>
      <c r="H26" s="246"/>
      <c r="I26" s="246"/>
      <c r="J26" s="246"/>
      <c r="K26" s="246"/>
      <c r="L26" s="246"/>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6" t="s">
        <v>144</v>
      </c>
      <c r="D33" s="246"/>
      <c r="E33" s="246"/>
      <c r="F33" s="246"/>
      <c r="G33" s="246"/>
      <c r="H33" s="246"/>
      <c r="I33" s="246"/>
      <c r="J33" s="246"/>
      <c r="K33" s="246"/>
      <c r="L33" s="246"/>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6" t="s">
        <v>147</v>
      </c>
      <c r="D40" s="246"/>
      <c r="E40" s="246"/>
      <c r="F40" s="246"/>
      <c r="G40" s="246"/>
      <c r="H40" s="246"/>
      <c r="I40" s="246"/>
      <c r="J40" s="246"/>
      <c r="K40" s="246"/>
      <c r="L40" s="246"/>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0" t="s">
        <v>110</v>
      </c>
      <c r="D2" s="240"/>
      <c r="E2" s="240"/>
      <c r="F2" s="240"/>
      <c r="G2" s="249"/>
      <c r="H2" s="250" t="s">
        <v>111</v>
      </c>
      <c r="I2" s="240"/>
      <c r="J2" s="240"/>
      <c r="K2" s="240"/>
      <c r="L2" s="240"/>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6" t="s">
        <v>155</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6" t="s">
        <v>156</v>
      </c>
      <c r="D18" s="246"/>
      <c r="E18" s="246"/>
      <c r="F18" s="246"/>
      <c r="G18" s="246"/>
      <c r="H18" s="246"/>
      <c r="I18" s="246"/>
      <c r="J18" s="246"/>
      <c r="K18" s="246"/>
      <c r="L18" s="246"/>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6" t="s">
        <v>261</v>
      </c>
      <c r="D25" s="246"/>
      <c r="E25" s="246"/>
      <c r="F25" s="246"/>
      <c r="G25" s="246"/>
      <c r="H25" s="246"/>
      <c r="I25" s="246"/>
      <c r="J25" s="246"/>
      <c r="K25" s="246"/>
      <c r="L25" s="246"/>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6" t="s">
        <v>75</v>
      </c>
      <c r="D31" s="246"/>
      <c r="E31" s="246"/>
      <c r="F31" s="246"/>
      <c r="G31" s="246"/>
      <c r="H31" s="246"/>
      <c r="I31" s="246"/>
      <c r="J31" s="246"/>
      <c r="K31" s="246"/>
      <c r="L31" s="246"/>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0.47199999999999998</v>
      </c>
      <c r="I33" s="213">
        <f t="shared" ref="I33:L33" si="9">I8/I6</f>
        <v>0.47500000000000003</v>
      </c>
      <c r="J33" s="213">
        <f t="shared" si="9"/>
        <v>0.47900000000000004</v>
      </c>
      <c r="K33" s="213">
        <f t="shared" si="9"/>
        <v>0.48</v>
      </c>
      <c r="L33" s="213">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0.316</v>
      </c>
      <c r="I34" s="213">
        <f t="shared" ref="I34:L34" si="10">I10/I6</f>
        <v>0.316</v>
      </c>
      <c r="J34" s="213">
        <f t="shared" si="10"/>
        <v>0.315</v>
      </c>
      <c r="K34" s="213">
        <f t="shared" si="10"/>
        <v>0.31</v>
      </c>
      <c r="L34" s="213">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0" t="s">
        <v>163</v>
      </c>
      <c r="C4" s="240"/>
    </row>
    <row r="5" spans="1:3" ht="17" customHeight="1" x14ac:dyDescent="0.2">
      <c r="B5" s="1" t="s">
        <v>164</v>
      </c>
      <c r="C5" s="136">
        <f>Statement!AC77</f>
        <v>14653</v>
      </c>
    </row>
    <row r="6" spans="1:3" ht="17" customHeight="1" x14ac:dyDescent="0.2">
      <c r="B6" s="1" t="s">
        <v>1</v>
      </c>
      <c r="C6" s="133">
        <f ca="1">Overview!C5</f>
        <v>332.27</v>
      </c>
    </row>
    <row r="7" spans="1:3" ht="17" customHeight="1" x14ac:dyDescent="0.2">
      <c r="B7" s="1" t="s">
        <v>165</v>
      </c>
      <c r="C7" s="134">
        <f ca="1">C5*C6</f>
        <v>4868752.3099999996</v>
      </c>
    </row>
    <row r="8" spans="1:3" ht="17" customHeight="1" x14ac:dyDescent="0.2">
      <c r="B8" s="1" t="s">
        <v>166</v>
      </c>
      <c r="C8" s="112">
        <f>Statement!AC106</f>
        <v>84344</v>
      </c>
    </row>
    <row r="9" spans="1:3" ht="17" customHeight="1" x14ac:dyDescent="0.2">
      <c r="B9" s="1" t="s">
        <v>167</v>
      </c>
      <c r="C9" s="135">
        <f ca="1">Overview!F27</f>
        <v>4.7840000000000001E-2</v>
      </c>
    </row>
    <row r="10" spans="1:3" ht="17" customHeight="1" x14ac:dyDescent="0.2">
      <c r="B10" s="1" t="s">
        <v>9</v>
      </c>
      <c r="C10" s="133">
        <f ca="1">Overview!C13</f>
        <v>1.0697000000000001</v>
      </c>
    </row>
    <row r="11" spans="1:3" ht="17" customHeight="1" x14ac:dyDescent="0.2">
      <c r="B11" s="1" t="s">
        <v>168</v>
      </c>
      <c r="C11" s="135">
        <f>[1]Sheet1!$C$12</f>
        <v>4.3999999999999997E-2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40" t="s">
        <v>170</v>
      </c>
      <c r="C15" s="240"/>
    </row>
    <row r="16" spans="1:3" ht="17" customHeight="1" x14ac:dyDescent="0.2">
      <c r="B16" s="1" t="s">
        <v>171</v>
      </c>
      <c r="C16" s="46">
        <f ca="1">C8/(C8+C7)</f>
        <v>1.7028540274840732E-2</v>
      </c>
    </row>
    <row r="17" spans="2:3" ht="17" customHeight="1" x14ac:dyDescent="0.2">
      <c r="B17" s="1" t="s">
        <v>172</v>
      </c>
      <c r="C17" s="46">
        <f ca="1">C7/(C8+C7)</f>
        <v>0.98297145972515931</v>
      </c>
    </row>
    <row r="18" spans="2:3" ht="17" customHeight="1" x14ac:dyDescent="0.2">
      <c r="B18" s="1" t="s">
        <v>173</v>
      </c>
      <c r="C18" s="46">
        <f>C13*(1-C12)</f>
        <v>3.8710000000000001E-2</v>
      </c>
    </row>
    <row r="19" spans="2:3" ht="17" customHeight="1" x14ac:dyDescent="0.2">
      <c r="B19" s="1" t="s">
        <v>174</v>
      </c>
      <c r="C19" s="46">
        <f ca="1">C9+C10*C11</f>
        <v>9.4906799999999999E-2</v>
      </c>
    </row>
    <row r="20" spans="2:3" ht="17" customHeight="1" x14ac:dyDescent="0.2">
      <c r="B20" s="1" t="s">
        <v>162</v>
      </c>
      <c r="C20" s="46">
        <f ca="1">(C17*C19)+(C16*C18)</f>
        <v>9.3949850527882836E-2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1960174.7349117217</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100881.23855882896</v>
      </c>
      <c r="I10" s="126">
        <f t="shared" ref="I10:L10" ca="1" si="0">I7/(1+$C$15)^I9</f>
        <v>97977.015302586602</v>
      </c>
      <c r="J10" s="126">
        <f t="shared" ca="1" si="0"/>
        <v>94631.171827034224</v>
      </c>
      <c r="K10" s="126">
        <f t="shared" ca="1" si="0"/>
        <v>90979.850878372949</v>
      </c>
      <c r="L10" s="126">
        <f t="shared" ca="1" si="0"/>
        <v>90707.845055487473</v>
      </c>
      <c r="N10" s="91"/>
    </row>
    <row r="11" spans="1:28" x14ac:dyDescent="0.2">
      <c r="B11" s="1" t="s">
        <v>180</v>
      </c>
      <c r="C11" s="137"/>
      <c r="D11" s="137"/>
      <c r="E11" s="137"/>
      <c r="F11" s="137"/>
      <c r="G11" s="138"/>
      <c r="H11" s="137"/>
      <c r="I11" s="137"/>
      <c r="J11" s="137"/>
      <c r="K11" s="137"/>
      <c r="L11" s="126">
        <f ca="1">L8/(1+C15)^L9</f>
        <v>1251145.2193092906</v>
      </c>
    </row>
    <row r="13" spans="1:28" x14ac:dyDescent="0.2">
      <c r="B13" s="240" t="s">
        <v>181</v>
      </c>
      <c r="C13" s="240"/>
    </row>
    <row r="14" spans="1:28" x14ac:dyDescent="0.2">
      <c r="B14" s="1" t="s">
        <v>182</v>
      </c>
      <c r="C14" s="140">
        <v>0.02</v>
      </c>
    </row>
    <row r="15" spans="1:28" x14ac:dyDescent="0.2">
      <c r="B15" s="1" t="s">
        <v>162</v>
      </c>
      <c r="C15" s="135">
        <f ca="1">IF(Overview!C28&gt;0,Overview!C28,WACC!C20)</f>
        <v>9.3949850527882836E-2</v>
      </c>
    </row>
    <row r="18" spans="2:3" x14ac:dyDescent="0.2">
      <c r="B18" s="240" t="s">
        <v>183</v>
      </c>
      <c r="C18" s="240"/>
    </row>
    <row r="19" spans="2:3" x14ac:dyDescent="0.2">
      <c r="B19" s="1" t="s">
        <v>184</v>
      </c>
      <c r="C19" s="64">
        <f ca="1">SUM(H10:L10)</f>
        <v>475177.12162231019</v>
      </c>
    </row>
    <row r="20" spans="2:3" x14ac:dyDescent="0.2">
      <c r="B20" s="1" t="s">
        <v>180</v>
      </c>
      <c r="C20" s="64">
        <f ca="1">L11</f>
        <v>1251145.2193092906</v>
      </c>
    </row>
    <row r="21" spans="2:3" x14ac:dyDescent="0.2">
      <c r="B21" s="16" t="s">
        <v>185</v>
      </c>
      <c r="C21" s="94">
        <f ca="1">C19+C20</f>
        <v>1726322.3409316009</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1788495.3409316009</v>
      </c>
    </row>
    <row r="25" spans="2:3" x14ac:dyDescent="0.2">
      <c r="B25" s="1" t="s">
        <v>67</v>
      </c>
      <c r="C25" s="88">
        <f>Statement!AC77</f>
        <v>14653</v>
      </c>
    </row>
    <row r="26" spans="2:3" x14ac:dyDescent="0.2">
      <c r="B26" s="141" t="s">
        <v>189</v>
      </c>
      <c r="C26" s="142">
        <f ca="1">C24/C25</f>
        <v>122.05659871231836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0" t="s">
        <v>110</v>
      </c>
      <c r="D2" s="240"/>
      <c r="E2" s="240"/>
      <c r="F2" s="240"/>
      <c r="G2" s="249"/>
      <c r="H2" s="250" t="s">
        <v>111</v>
      </c>
      <c r="I2" s="240"/>
      <c r="J2" s="240"/>
      <c r="K2" s="240"/>
      <c r="L2" s="240"/>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N9" s="91"/>
    </row>
    <row r="10" spans="1:14" x14ac:dyDescent="0.2">
      <c r="C10" s="246" t="s">
        <v>119</v>
      </c>
      <c r="D10" s="246"/>
      <c r="E10" s="246"/>
      <c r="F10" s="246"/>
      <c r="G10" s="246"/>
      <c r="H10" s="246"/>
      <c r="I10" s="246"/>
      <c r="J10" s="246"/>
      <c r="K10" s="246"/>
      <c r="L10" s="246"/>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0.13610842918966448</v>
      </c>
      <c r="I12" s="95">
        <f t="shared" si="1"/>
        <v>7.5171840543995436E-2</v>
      </c>
      <c r="J12" s="95">
        <f t="shared" si="1"/>
        <v>6.4980505861335358E-2</v>
      </c>
      <c r="K12" s="95">
        <f t="shared" si="1"/>
        <v>6.6716128162055494E-2</v>
      </c>
      <c r="L12" s="95">
        <f t="shared" si="1"/>
        <v>6.5849857295734948E-2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0.12293175738444193</v>
      </c>
      <c r="I13" s="95">
        <f t="shared" si="2"/>
        <v>7.5171840543995283E-2</v>
      </c>
      <c r="J13" s="95">
        <f t="shared" si="2"/>
        <v>6.1610314387090706E-2</v>
      </c>
      <c r="K13" s="95">
        <f t="shared" si="2"/>
        <v>4.9784126127737097E-2</v>
      </c>
      <c r="L13" s="95">
        <f t="shared" si="2"/>
        <v>8.9917434718541703E-2</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-0.13648516854140494</v>
      </c>
      <c r="I14" s="95">
        <f t="shared" si="3"/>
        <v>6.2456634916605247E-2</v>
      </c>
      <c r="J14" s="95">
        <f t="shared" si="3"/>
        <v>5.6592262539860431E-2</v>
      </c>
      <c r="K14" s="95">
        <f t="shared" si="3"/>
        <v>5.1740059304773163E-2</v>
      </c>
      <c r="L14" s="95">
        <f t="shared" si="3"/>
        <v>9.0679228226181324E-2</v>
      </c>
      <c r="N14" s="91"/>
    </row>
    <row r="15" spans="1:14" x14ac:dyDescent="0.2">
      <c r="N15" s="91"/>
    </row>
    <row r="16" spans="1:14" x14ac:dyDescent="0.2">
      <c r="C16" s="246" t="s">
        <v>193</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6" t="s">
        <v>196</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6" t="s">
        <v>197</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40" t="s">
        <v>202</v>
      </c>
      <c r="C37" s="240"/>
      <c r="N37" s="91"/>
    </row>
    <row r="38" spans="2:14" x14ac:dyDescent="0.2">
      <c r="B38" s="1" t="s">
        <v>203</v>
      </c>
      <c r="C38" s="64">
        <f>L7</f>
        <v>195121.37831632962</v>
      </c>
    </row>
    <row r="39" spans="2:14" x14ac:dyDescent="0.2">
      <c r="B39" s="1" t="s">
        <v>162</v>
      </c>
      <c r="C39" s="135">
        <f ca="1">IF(Overview!C28&gt;0,Overview!C28,WACC!C20)</f>
        <v>9.3949850527882836E-2</v>
      </c>
    </row>
    <row r="40" spans="2:14" x14ac:dyDescent="0.2">
      <c r="B40" s="39" t="s">
        <v>204</v>
      </c>
      <c r="C40" s="105">
        <v>23</v>
      </c>
    </row>
    <row r="41" spans="2:14" x14ac:dyDescent="0.2">
      <c r="B41" s="1" t="s">
        <v>200</v>
      </c>
      <c r="C41" s="24">
        <f>(C38*C40)</f>
        <v>4487791.7012755815</v>
      </c>
    </row>
    <row r="42" spans="2:14" x14ac:dyDescent="0.2">
      <c r="B42" s="1" t="s">
        <v>347</v>
      </c>
      <c r="C42" s="24">
        <f ca="1">C41/(1+C39)^5-G30+G31</f>
        <v>2898241.8815522222</v>
      </c>
    </row>
    <row r="43" spans="2:14" x14ac:dyDescent="0.2">
      <c r="B43" s="1" t="s">
        <v>186</v>
      </c>
      <c r="C43" s="88">
        <f>Statement!AC105</f>
        <v>146517</v>
      </c>
    </row>
    <row r="44" spans="2:14" x14ac:dyDescent="0.2">
      <c r="B44" s="1" t="s">
        <v>187</v>
      </c>
      <c r="C44" s="88">
        <f>Statement!AC106</f>
        <v>84344</v>
      </c>
    </row>
    <row r="45" spans="2:14" x14ac:dyDescent="0.2">
      <c r="B45" s="1" t="s">
        <v>188</v>
      </c>
      <c r="C45" s="64">
        <f ca="1">C42+C43-C44</f>
        <v>2960414.8815522222</v>
      </c>
    </row>
    <row r="46" spans="2:14" x14ac:dyDescent="0.2">
      <c r="B46" s="1" t="s">
        <v>67</v>
      </c>
      <c r="C46" s="88">
        <f>Statement!AC77</f>
        <v>14653</v>
      </c>
    </row>
    <row r="47" spans="2:14" x14ac:dyDescent="0.2">
      <c r="B47" s="141" t="s">
        <v>206</v>
      </c>
      <c r="C47" s="142">
        <f ca="1">C45/C46</f>
        <v>202.03472883042531</v>
      </c>
    </row>
    <row r="49" spans="2:3" x14ac:dyDescent="0.2">
      <c r="B49" s="240" t="s">
        <v>207</v>
      </c>
      <c r="C49" s="240"/>
    </row>
    <row r="50" spans="2:3" x14ac:dyDescent="0.2">
      <c r="B50" s="1" t="s">
        <v>208</v>
      </c>
      <c r="C50" s="64">
        <f>L6</f>
        <v>615524.85273290111</v>
      </c>
    </row>
    <row r="51" spans="2:3" x14ac:dyDescent="0.2">
      <c r="B51" s="1" t="s">
        <v>346</v>
      </c>
      <c r="C51" s="135">
        <f ca="1">IF(Overview!C29&gt;0,Overview!C29,WACC!C19)</f>
        <v>9.4906799999999999E-2</v>
      </c>
    </row>
    <row r="52" spans="2:3" x14ac:dyDescent="0.2">
      <c r="B52" s="39" t="s">
        <v>209</v>
      </c>
      <c r="C52" s="105">
        <v>5</v>
      </c>
    </row>
    <row r="53" spans="2:3" x14ac:dyDescent="0.2">
      <c r="B53" s="1" t="s">
        <v>205</v>
      </c>
      <c r="C53" s="24">
        <f>L18</f>
        <v>13302.3529680093</v>
      </c>
    </row>
    <row r="54" spans="2:3" x14ac:dyDescent="0.2">
      <c r="B54" s="1" t="s">
        <v>189</v>
      </c>
      <c r="C54" s="24">
        <f>(C50*C52)/C53</f>
        <v>231.35938965578904</v>
      </c>
    </row>
    <row r="55" spans="2:3" x14ac:dyDescent="0.2">
      <c r="B55" s="141" t="s">
        <v>206</v>
      </c>
      <c r="C55" s="142">
        <f ca="1">C54/(1+C51)^5</f>
        <v>147.02844529122692</v>
      </c>
    </row>
    <row r="57" spans="2:3" x14ac:dyDescent="0.2">
      <c r="B57" s="240" t="s">
        <v>321</v>
      </c>
      <c r="C57" s="240"/>
    </row>
    <row r="58" spans="2:3" x14ac:dyDescent="0.2">
      <c r="B58" s="1" t="s">
        <v>210</v>
      </c>
      <c r="C58" s="64">
        <f>L8</f>
        <v>142112.38103456292</v>
      </c>
    </row>
    <row r="59" spans="2:3" x14ac:dyDescent="0.2">
      <c r="B59" s="1" t="s">
        <v>162</v>
      </c>
      <c r="C59" s="135">
        <f ca="1">IF(Overview!C28&gt;0,Overview!C28,WACC!C20)</f>
        <v>9.3949850527882836E-2</v>
      </c>
    </row>
    <row r="60" spans="2:3" x14ac:dyDescent="0.2">
      <c r="B60" s="39" t="s">
        <v>348</v>
      </c>
      <c r="C60" s="105">
        <v>20</v>
      </c>
    </row>
    <row r="61" spans="2:3" x14ac:dyDescent="0.2">
      <c r="B61" s="1" t="s">
        <v>200</v>
      </c>
      <c r="C61" s="24">
        <f>(C58*C60)</f>
        <v>2842247.6206912585</v>
      </c>
    </row>
    <row r="62" spans="2:3" x14ac:dyDescent="0.2">
      <c r="B62" s="1" t="s">
        <v>347</v>
      </c>
      <c r="C62" s="24">
        <f ca="1">C61/(1+C59)^5-G30+G31</f>
        <v>1847919.9011097497</v>
      </c>
    </row>
    <row r="63" spans="2:3" x14ac:dyDescent="0.2">
      <c r="B63" s="1" t="s">
        <v>186</v>
      </c>
      <c r="C63" s="88">
        <f>Statement!AC105</f>
        <v>146517</v>
      </c>
    </row>
    <row r="64" spans="2:3" x14ac:dyDescent="0.2">
      <c r="B64" s="1" t="s">
        <v>187</v>
      </c>
      <c r="C64" s="88">
        <f>Statement!AC106</f>
        <v>84344</v>
      </c>
    </row>
    <row r="65" spans="2:3" x14ac:dyDescent="0.2">
      <c r="B65" s="1" t="s">
        <v>188</v>
      </c>
      <c r="C65" s="64">
        <f ca="1">C62+C63-C64</f>
        <v>1910092.9011097497</v>
      </c>
    </row>
    <row r="66" spans="2:3" x14ac:dyDescent="0.2">
      <c r="B66" s="1" t="s">
        <v>67</v>
      </c>
      <c r="C66" s="88">
        <f>Statement!AC77</f>
        <v>14653</v>
      </c>
    </row>
    <row r="67" spans="2:3" x14ac:dyDescent="0.2">
      <c r="B67" s="141" t="s">
        <v>206</v>
      </c>
      <c r="C67" s="142">
        <f ca="1">C65/C66</f>
        <v>130.3550741220057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40" t="s">
        <v>212</v>
      </c>
      <c r="C4" s="240"/>
      <c r="N4" s="91"/>
    </row>
    <row r="5" spans="1:14" x14ac:dyDescent="0.2">
      <c r="B5" s="1" t="s">
        <v>213</v>
      </c>
      <c r="C5" s="133">
        <f ca="1">DCF!C26</f>
        <v>122.05659871231836</v>
      </c>
    </row>
    <row r="6" spans="1:14" x14ac:dyDescent="0.2">
      <c r="B6" s="1" t="s">
        <v>214</v>
      </c>
      <c r="C6" s="133">
        <f ca="1">Multiples!C47</f>
        <v>202.03472883042531</v>
      </c>
    </row>
    <row r="7" spans="1:14" x14ac:dyDescent="0.2">
      <c r="B7" s="1" t="s">
        <v>215</v>
      </c>
      <c r="C7" s="133">
        <f ca="1">Multiples!C55</f>
        <v>147.02844529122692</v>
      </c>
    </row>
    <row r="8" spans="1:14" x14ac:dyDescent="0.2">
      <c r="B8" s="1" t="s">
        <v>322</v>
      </c>
      <c r="C8" s="133">
        <f ca="1">Multiples!C67</f>
        <v>130.3550741220057</v>
      </c>
    </row>
    <row r="9" spans="1:14" x14ac:dyDescent="0.2">
      <c r="B9" s="141" t="s">
        <v>216</v>
      </c>
      <c r="C9" s="142">
        <f ca="1">AVERAGE(C5:C8)</f>
        <v>150.36871173899408</v>
      </c>
    </row>
    <row r="10" spans="1:14" x14ac:dyDescent="0.2">
      <c r="B10" s="1" t="s">
        <v>217</v>
      </c>
      <c r="C10" s="133">
        <f ca="1">Overview!C5</f>
        <v>332.27</v>
      </c>
    </row>
    <row r="11" spans="1:14" x14ac:dyDescent="0.2">
      <c r="B11" s="1" t="s">
        <v>218</v>
      </c>
      <c r="C11" s="151">
        <f ca="1">(C9-C10)/C10</f>
        <v>-0.54745023101997148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40" t="s">
        <v>110</v>
      </c>
      <c r="D2" s="240"/>
      <c r="E2" s="240"/>
      <c r="F2" s="240"/>
      <c r="G2" s="249"/>
      <c r="H2" s="250" t="s">
        <v>111</v>
      </c>
      <c r="I2" s="240"/>
      <c r="J2" s="240"/>
      <c r="K2" s="240"/>
      <c r="L2" s="240"/>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32">
        <f>Statement!M25</f>
        <v>5.61</v>
      </c>
      <c r="D6" s="232">
        <f>Statement!N25</f>
        <v>6.11</v>
      </c>
      <c r="E6" s="232">
        <f>Statement!O25</f>
        <v>6.13</v>
      </c>
      <c r="F6" s="232">
        <f>Statement!P25</f>
        <v>6.08</v>
      </c>
      <c r="G6" s="233">
        <f>Statement!Q25</f>
        <v>7.46</v>
      </c>
      <c r="H6" s="137"/>
      <c r="I6" s="137"/>
      <c r="J6" s="137"/>
      <c r="K6" s="137"/>
      <c r="L6" s="137"/>
      <c r="N6" s="91"/>
    </row>
    <row r="7" spans="1:14" x14ac:dyDescent="0.2">
      <c r="B7" s="16" t="s">
        <v>405</v>
      </c>
      <c r="C7" s="232">
        <f>Statement!M81</f>
        <v>0.85</v>
      </c>
      <c r="D7" s="232">
        <f>Statement!N81</f>
        <v>0.9</v>
      </c>
      <c r="E7" s="232">
        <f>Statement!O81</f>
        <v>0.94</v>
      </c>
      <c r="F7" s="232">
        <f>Statement!P81</f>
        <v>0.98</v>
      </c>
      <c r="G7" s="233">
        <f>Statement!Q81</f>
        <v>1.02</v>
      </c>
      <c r="H7" s="137"/>
      <c r="I7" s="137"/>
      <c r="J7" s="137"/>
      <c r="K7" s="137"/>
      <c r="L7" s="137"/>
      <c r="N7" s="91"/>
    </row>
    <row r="8" spans="1:14" x14ac:dyDescent="0.2">
      <c r="N8" s="91"/>
    </row>
    <row r="9" spans="1:14" x14ac:dyDescent="0.2">
      <c r="C9" s="246" t="s">
        <v>119</v>
      </c>
      <c r="D9" s="246"/>
      <c r="E9" s="246"/>
      <c r="F9" s="246"/>
      <c r="G9" s="246"/>
      <c r="H9" s="246"/>
      <c r="I9" s="246"/>
      <c r="J9" s="246"/>
      <c r="K9" s="246"/>
      <c r="L9" s="246"/>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243</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6" t="s">
        <v>406</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0" t="s">
        <v>408</v>
      </c>
      <c r="C20" s="240"/>
      <c r="N20" s="91"/>
    </row>
    <row r="21" spans="2:14" x14ac:dyDescent="0.2">
      <c r="B21" s="1" t="s">
        <v>409</v>
      </c>
      <c r="C21" s="234">
        <f>G7</f>
        <v>1.02</v>
      </c>
    </row>
    <row r="22" spans="2:14" x14ac:dyDescent="0.2">
      <c r="B22" s="1" t="s">
        <v>410</v>
      </c>
      <c r="C22" s="235">
        <v>0.04</v>
      </c>
    </row>
    <row r="23" spans="2:14" x14ac:dyDescent="0.2">
      <c r="B23" s="39" t="s">
        <v>411</v>
      </c>
      <c r="C23" s="236">
        <f>C21*(1+C22)</f>
        <v>1.0608</v>
      </c>
    </row>
    <row r="24" spans="2:14" x14ac:dyDescent="0.2">
      <c r="B24" s="1" t="s">
        <v>346</v>
      </c>
      <c r="C24" s="135">
        <f ca="1">IF(Overview!C29&gt;0,Overview!C29,WACC!C19)</f>
        <v>9.4906799999999999E-2</v>
      </c>
    </row>
    <row r="25" spans="2:14" x14ac:dyDescent="0.2">
      <c r="B25" s="39" t="s">
        <v>412</v>
      </c>
      <c r="C25" s="235">
        <v>0.02</v>
      </c>
    </row>
    <row r="26" spans="2:14" x14ac:dyDescent="0.2">
      <c r="B26" s="141" t="s">
        <v>206</v>
      </c>
      <c r="C26" s="142">
        <f ca="1">C23/(C24-C25)</f>
        <v>14.161598145962717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5167843.0407984247</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144864.60597515057</v>
      </c>
      <c r="I10" s="126">
        <f t="shared" ref="I10:L10" ca="1" si="1">I7/(1+$C$21)^I9</f>
        <v>164205.06965881996</v>
      </c>
      <c r="J10" s="126">
        <f t="shared" ca="1" si="1"/>
        <v>186127.62392963731</v>
      </c>
      <c r="K10" s="126">
        <f t="shared" ca="1" si="1"/>
        <v>210976.99639647937</v>
      </c>
      <c r="L10" s="126">
        <f t="shared" ca="1" si="1"/>
        <v>239143.93827595885</v>
      </c>
      <c r="N10" s="91"/>
    </row>
    <row r="11" spans="1:28" x14ac:dyDescent="0.2">
      <c r="B11" s="1" t="s">
        <v>180</v>
      </c>
      <c r="C11" s="137"/>
      <c r="D11" s="137"/>
      <c r="E11" s="137"/>
      <c r="F11" s="137"/>
      <c r="G11" s="138"/>
      <c r="H11" s="137"/>
      <c r="I11" s="137"/>
      <c r="J11" s="137"/>
      <c r="K11" s="137"/>
      <c r="L11" s="126">
        <f ca="1">L8/(1+C21)^L9</f>
        <v>3298543.7468802626</v>
      </c>
    </row>
    <row r="13" spans="1:28" ht="17" thickBot="1" x14ac:dyDescent="0.25"/>
    <row r="14" spans="1:28" x14ac:dyDescent="0.2">
      <c r="B14" s="252" t="s">
        <v>220</v>
      </c>
      <c r="C14" s="253"/>
    </row>
    <row r="15" spans="1:28" x14ac:dyDescent="0.2">
      <c r="B15" s="152" t="s">
        <v>221</v>
      </c>
      <c r="C15" s="153">
        <f ca="1">Overview!C5</f>
        <v>332.27</v>
      </c>
    </row>
    <row r="16" spans="1:28" x14ac:dyDescent="0.2">
      <c r="B16" s="152" t="s">
        <v>222</v>
      </c>
      <c r="C16" s="153">
        <f ca="1">C36</f>
        <v>295.05515836071731</v>
      </c>
    </row>
    <row r="17" spans="2:9" ht="17" thickBot="1" x14ac:dyDescent="0.25">
      <c r="B17" s="154" t="s">
        <v>323</v>
      </c>
      <c r="C17" s="155">
        <v>0.24</v>
      </c>
      <c r="E17" s="254" t="s">
        <v>223</v>
      </c>
      <c r="F17" s="254"/>
      <c r="G17" s="254"/>
      <c r="H17" s="254"/>
      <c r="I17" s="254"/>
    </row>
    <row r="18" spans="2:9" ht="17" thickBot="1" x14ac:dyDescent="0.25"/>
    <row r="19" spans="2:9" x14ac:dyDescent="0.2">
      <c r="B19" s="252" t="s">
        <v>181</v>
      </c>
      <c r="C19" s="253"/>
    </row>
    <row r="20" spans="2:9" x14ac:dyDescent="0.2">
      <c r="B20" s="156" t="s">
        <v>182</v>
      </c>
      <c r="C20" s="157">
        <v>0.02</v>
      </c>
    </row>
    <row r="21" spans="2:9" x14ac:dyDescent="0.2">
      <c r="B21" s="156" t="s">
        <v>162</v>
      </c>
      <c r="C21" s="219">
        <f ca="1">IF(Overview!C28&gt;0,Overview!C28,WACC!C20)</f>
        <v>9.3949850527882836E-2</v>
      </c>
    </row>
    <row r="22" spans="2:9" x14ac:dyDescent="0.2">
      <c r="B22" s="156" t="s">
        <v>67</v>
      </c>
      <c r="C22" s="220">
        <f>Statement!AC74</f>
        <v>14594</v>
      </c>
    </row>
    <row r="23" spans="2:9" x14ac:dyDescent="0.2">
      <c r="B23" s="156" t="s">
        <v>224</v>
      </c>
      <c r="C23" s="158">
        <f ca="1">C15*C22</f>
        <v>4849148.38</v>
      </c>
    </row>
    <row r="24" spans="2:9" x14ac:dyDescent="0.2">
      <c r="B24" s="156" t="s">
        <v>175</v>
      </c>
      <c r="C24" s="220">
        <f>Statement!AC105</f>
        <v>146517</v>
      </c>
    </row>
    <row r="25" spans="2:9" x14ac:dyDescent="0.2">
      <c r="B25" s="156" t="s">
        <v>166</v>
      </c>
      <c r="C25" s="220">
        <f>Statement!AC106</f>
        <v>84344</v>
      </c>
    </row>
    <row r="26" spans="2:9" ht="17" thickBot="1" x14ac:dyDescent="0.25">
      <c r="B26" s="154" t="s">
        <v>225</v>
      </c>
      <c r="C26" s="159">
        <f ca="1">C23+C25-C24</f>
        <v>4786975.38</v>
      </c>
    </row>
    <row r="27" spans="2:9" ht="17" thickBot="1" x14ac:dyDescent="0.25"/>
    <row r="28" spans="2:9" x14ac:dyDescent="0.2">
      <c r="B28" s="252" t="s">
        <v>183</v>
      </c>
      <c r="C28" s="253"/>
    </row>
    <row r="29" spans="2:9" x14ac:dyDescent="0.2">
      <c r="B29" s="156" t="s">
        <v>184</v>
      </c>
      <c r="C29" s="158">
        <f ca="1">SUM(H10:L10)</f>
        <v>945318.23423604609</v>
      </c>
    </row>
    <row r="30" spans="2:9" x14ac:dyDescent="0.2">
      <c r="B30" s="156" t="s">
        <v>180</v>
      </c>
      <c r="C30" s="158">
        <f ca="1">L11</f>
        <v>3298543.7468802626</v>
      </c>
    </row>
    <row r="31" spans="2:9" x14ac:dyDescent="0.2">
      <c r="B31" s="160" t="s">
        <v>185</v>
      </c>
      <c r="C31" s="161">
        <f ca="1">C29+C30</f>
        <v>4243861.9811163088</v>
      </c>
    </row>
    <row r="32" spans="2:9" x14ac:dyDescent="0.2">
      <c r="B32" s="156" t="s">
        <v>186</v>
      </c>
      <c r="C32" s="162">
        <f>C24</f>
        <v>146517</v>
      </c>
    </row>
    <row r="33" spans="2:12" x14ac:dyDescent="0.2">
      <c r="B33" s="156" t="s">
        <v>187</v>
      </c>
      <c r="C33" s="162">
        <f>C25</f>
        <v>84344</v>
      </c>
    </row>
    <row r="34" spans="2:12" x14ac:dyDescent="0.2">
      <c r="B34" s="160" t="s">
        <v>188</v>
      </c>
      <c r="C34" s="161">
        <f ca="1">C31+C32-C33</f>
        <v>4306034.9811163088</v>
      </c>
    </row>
    <row r="35" spans="2:12" x14ac:dyDescent="0.2">
      <c r="B35" s="156" t="s">
        <v>67</v>
      </c>
      <c r="C35" s="158">
        <f>C22</f>
        <v>14594</v>
      </c>
    </row>
    <row r="36" spans="2:12" ht="17" thickBot="1" x14ac:dyDescent="0.25">
      <c r="B36" s="163" t="s">
        <v>189</v>
      </c>
      <c r="C36" s="164">
        <f ca="1">C34/C35</f>
        <v>295.05515836071731</v>
      </c>
    </row>
    <row r="39" spans="2:12" x14ac:dyDescent="0.2">
      <c r="C39" s="246" t="s">
        <v>226</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2026-09-13T21:44:07Z</dcterms:modified>
</cp:coreProperties>
</file>