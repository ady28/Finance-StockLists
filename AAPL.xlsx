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C17B24C-5CB2-5E41-BFE3-E728F800019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<sst xmlns="http://schemas.openxmlformats.org/spreadsheetml/2006/main" count="801" uniqueCount="419">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</sst>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1.069</v>
    <v>-2.7</v>
    <v>-8.1079999999999989E-3</v>
    <v>0.16339999999999999</v>
    <v>4.9470000000000004E-4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332.48160000000001</v>
    <v>Computers, Phones &amp; Household Electronics</v>
    <v>Stock</v>
    <v>46296.843086411718</v>
    <v>0</v>
    <v>325.81</v>
    <v>4820749537600</v>
    <v>APPLE INC.</v>
    <v>APPLE INC.</v>
    <v>329.6</v>
    <v>38.008899999999997</v>
    <v>333.02</v>
    <v>330.32</v>
    <v>330.48340000000002</v>
    <v>14594180000</v>
    <v>AAPL</v>
    <v>APPLE INC. (XNAS:AAPL)</v>
    <v>34959379</v>
    <v>41825512</v>
    <v>1977</v>
  </rv>
  <rv s="2">
    <v>1</v>
  </rv>
  <rv s="0">
    <v>https://www.bing.com/financeapi/forcetrigger?t=a33knm&amp;q=10+Y+TSY+YLD+NDX&amp;form=skydnc</v>
    <v>Learn more on Bing</v>
  </rv>
  <rv s="3">
    <v>5</v>
    <v>10 Y TSY YLD NDX</v>
    <v>6</v>
    <v>7</v>
    <v>Finance</v>
    <v>8</v>
    <v>en-US</v>
    <v>a33knm</v>
    <v>268435456</v>
    <v>1</v>
    <v>Powered by Refinitiv</v>
    <v>53.06</v>
    <v>39.47</v>
    <v>0.38</v>
    <v>7.2309999999999996E-3</v>
    <v>US</v>
    <v>53.06</v>
    <v>Index</v>
    <v>3</v>
    <v>52.05</v>
    <v>10 Y TSY YLD NDX</v>
    <v>52.43</v>
    <v>52.55</v>
    <v>52.93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3" sqref="I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281</v>
      </c>
      <c r="F2" s="237"/>
      <c r="H2" s="236" t="s">
        <v>319</v>
      </c>
      <c r="I2" s="237"/>
    </row>
    <row r="3" spans="2:9" x14ac:dyDescent="0.2">
      <c r="B3" s="179" t="s">
        <v>11</v>
      </c>
      <c r="C3" s="211" t="e" vm="1">
        <v>#VALUE!</v>
      </c>
      <c r="D3" s="2"/>
      <c r="E3" s="179" t="s">
        <v>233</v>
      </c>
      <c r="F3" s="181">
        <f ca="1">Statement!AC143</f>
        <v>4840178.96</v>
      </c>
      <c r="H3" s="179" t="str">
        <f>'AVG target price'!B5</f>
        <v>DCF price</v>
      </c>
      <c r="I3" s="205">
        <f ca="1">'AVG target price'!C5</f>
        <v>112.97660356325736</v>
      </c>
    </row>
    <row r="4" spans="2:9" x14ac:dyDescent="0.2">
      <c r="B4" s="179" t="s">
        <v>0</v>
      </c>
      <c r="C4" s="183" t="str" cm="1">
        <f t="array" aca="1" ref="C4" ca="1">_FV(C3,"Ticker symbol",TRUE)</f>
        <v>AAPL</v>
      </c>
      <c r="E4" s="180" t="s">
        <v>185</v>
      </c>
      <c r="F4" s="182">
        <f ca="1">Statement!AC144</f>
        <v>4778005.96</v>
      </c>
      <c r="H4" s="179" t="str">
        <f>'AVG target price'!B6</f>
        <v>EV/EBIT price</v>
      </c>
      <c r="I4" s="205">
        <f ca="1">'AVG target price'!C6</f>
        <v>228.59835302710741</v>
      </c>
    </row>
    <row r="5" spans="2:9" x14ac:dyDescent="0.2">
      <c r="B5" s="179" t="s">
        <v>1</v>
      </c>
      <c r="C5" s="202" cm="1">
        <f t="array" aca="1" ref="C5" ca="1">_FV(C3,"Price",TRUE)</f>
        <v>330.32</v>
      </c>
      <c r="E5" s="179" t="s">
        <v>237</v>
      </c>
      <c r="F5" s="183">
        <f>Statement!AC25</f>
        <v>8.7199999999999989</v>
      </c>
      <c r="H5" s="179" t="str">
        <f>'AVG target price'!B7</f>
        <v>PS price</v>
      </c>
      <c r="I5" s="205">
        <f ca="1">'AVG target price'!C7</f>
        <v>200.17486407506783</v>
      </c>
    </row>
    <row r="6" spans="2:9" x14ac:dyDescent="0.2">
      <c r="B6" s="179" t="s">
        <v>2</v>
      </c>
      <c r="C6" s="202" cm="1">
        <f t="array" aca="1" ref="C6" ca="1">_FV(C3,"Price (Extended hours)",TRUE)</f>
        <v>330.48340000000002</v>
      </c>
      <c r="E6" s="179" t="s">
        <v>231</v>
      </c>
      <c r="F6" s="184">
        <f ca="1">Statement!AC140</f>
        <v>37.88073394495413</v>
      </c>
      <c r="H6" s="179" t="str">
        <f>'AVG target price'!B8</f>
        <v>EV/FCFF price</v>
      </c>
      <c r="I6" s="205">
        <f ca="1">'AVG target price'!C8</f>
        <v>198.77182911427875</v>
      </c>
    </row>
    <row r="7" spans="2:9" x14ac:dyDescent="0.2">
      <c r="B7" s="179" t="s">
        <v>3</v>
      </c>
      <c r="C7" s="6" cm="1">
        <f t="array" aca="1" ref="C7" ca="1">_FV(C3,"Change")</f>
        <v>-2.7</v>
      </c>
      <c r="E7" s="180" t="s">
        <v>198</v>
      </c>
      <c r="F7" s="185">
        <f ca="1">Statement!AC141</f>
        <v>10.457318298370046</v>
      </c>
      <c r="H7" s="179" t="str">
        <f>'AVG target price'!B9</f>
        <v>EV/Sales price</v>
      </c>
      <c r="I7" s="205">
        <f ca="1">'AVG target price'!C9</f>
        <v>212.73761911200157</v>
      </c>
    </row>
    <row r="8" spans="2:9" x14ac:dyDescent="0.2">
      <c r="B8" s="179" t="s">
        <v>4</v>
      </c>
      <c r="C8" s="6" cm="1">
        <f t="array" aca="1" ref="C8" ca="1">_FV(C3,"Change (extended hours)",TRUE)</f>
        <v>0.16339999999999999</v>
      </c>
      <c r="E8" s="179" t="s">
        <v>259</v>
      </c>
      <c r="F8" s="186">
        <f ca="1">Statement!AC151</f>
        <v>2.5407531625648818E-2</v>
      </c>
      <c r="H8" s="178" t="str">
        <f>'AVG target price'!B10</f>
        <v>AVG price</v>
      </c>
      <c r="I8" s="206">
        <f ca="1">'AVG target price'!C10</f>
        <v>190.65185377834257</v>
      </c>
    </row>
    <row r="9" spans="2:9" x14ac:dyDescent="0.2">
      <c r="B9" s="179" t="s">
        <v>5</v>
      </c>
      <c r="C9" s="73" cm="1">
        <f t="array" aca="1" ref="C9" ca="1">_FV(C3,"Change (%)",TRUE)</f>
        <v>-8.1079999999999989E-3</v>
      </c>
      <c r="E9" s="179" t="s">
        <v>282</v>
      </c>
      <c r="F9" s="186">
        <f ca="1">Statement!AC152</f>
        <v>2.6398643739404211E-2</v>
      </c>
      <c r="H9" s="178" t="str">
        <f>'AVG target price'!B12</f>
        <v>Upside/Downside</v>
      </c>
      <c r="I9" s="207">
        <f ca="1">'AVG target price'!C12</f>
        <v>-0.42282679287254005</v>
      </c>
    </row>
    <row r="10" spans="2:9" x14ac:dyDescent="0.2">
      <c r="B10" s="179" t="s">
        <v>6</v>
      </c>
      <c r="C10" s="73" cm="1">
        <f t="array" aca="1" ref="C10" ca="1">_FV(C3,"Change % (extended hours)",TRUE)</f>
        <v>4.9470000000000004E-4</v>
      </c>
      <c r="E10" s="179" t="s">
        <v>287</v>
      </c>
      <c r="F10" s="186">
        <f ca="1">Statement!AC154</f>
        <v>1.6988214832453219E-2</v>
      </c>
    </row>
    <row r="11" spans="2:9" x14ac:dyDescent="0.2">
      <c r="B11" s="179" t="s">
        <v>7</v>
      </c>
      <c r="C11" s="203" cm="1">
        <f t="array" aca="1" ref="C11" ca="1">_FV(C3,"52 week high",TRUE)</f>
        <v>345.34</v>
      </c>
      <c r="E11" s="180" t="s">
        <v>283</v>
      </c>
      <c r="F11" s="187">
        <f ca="1">Statement!AC153</f>
        <v>3.1787357713732142E-3</v>
      </c>
      <c r="H11" s="178" t="s">
        <v>394</v>
      </c>
      <c r="I11" s="206">
        <f ca="1">DDM!C26</f>
        <v>13.090639846979702</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1.069</v>
      </c>
      <c r="E13" s="179" t="s">
        <v>101</v>
      </c>
      <c r="F13" s="186">
        <f>Statement!AC123</f>
        <v>1.1991257440476193</v>
      </c>
      <c r="H13" s="178" t="s">
        <v>418</v>
      </c>
      <c r="I13" s="207">
        <f>'Reverse DCF'!C17</f>
        <v>0.41499999999999998</v>
      </c>
    </row>
    <row r="14" spans="2:9" x14ac:dyDescent="0.2">
      <c r="B14" s="180" t="s">
        <v>10</v>
      </c>
      <c r="C14" s="204" cm="1">
        <f t="array" aca="1" ref="C14" ca="1">_FV(C3,"Volume average",TRUE)</f>
        <v>41825512</v>
      </c>
      <c r="E14" s="180" t="s">
        <v>102</v>
      </c>
      <c r="F14" s="187">
        <f>Statement!AC130</f>
        <v>2.8240933164668753</v>
      </c>
    </row>
    <row r="15" spans="2:9" x14ac:dyDescent="0.2">
      <c r="E15" s="179" t="s">
        <v>284</v>
      </c>
      <c r="F15" s="186">
        <f ca="1">Statement!AC166</f>
        <v>1.2845186203610951E-2</v>
      </c>
    </row>
    <row r="16" spans="2:9" x14ac:dyDescent="0.2">
      <c r="E16" s="180" t="s">
        <v>289</v>
      </c>
      <c r="F16" s="185">
        <f>Statement!AC165</f>
        <v>4.2601754145539266</v>
      </c>
    </row>
    <row r="17" spans="2:9" x14ac:dyDescent="0.2">
      <c r="B17" s="238" t="s">
        <v>88</v>
      </c>
      <c r="C17" s="238"/>
      <c r="E17" s="178" t="s">
        <v>290</v>
      </c>
      <c r="F17" s="188">
        <f>Statement!AC161</f>
        <v>6.1420869446529721E-4</v>
      </c>
    </row>
    <row r="18" spans="2:9" x14ac:dyDescent="0.2">
      <c r="B18" s="178" t="s">
        <v>12</v>
      </c>
      <c r="C18" s="69" t="s">
        <v>349</v>
      </c>
      <c r="E18" s="179" t="s">
        <v>291</v>
      </c>
      <c r="F18" s="184">
        <f>Statement!AC134</f>
        <v>-56.814895644278849</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38" t="s">
        <v>104</v>
      </c>
      <c r="C25" s="238"/>
      <c r="E25" s="236" t="s">
        <v>332</v>
      </c>
      <c r="F25" s="237"/>
    </row>
    <row r="26" spans="2:9" x14ac:dyDescent="0.2">
      <c r="B26" s="178" t="s">
        <v>105</v>
      </c>
      <c r="C26" s="164">
        <v>0.21</v>
      </c>
      <c r="E26" s="179" t="e" vm="2">
        <v>#VALUE!</v>
      </c>
      <c r="F26" s="213" cm="1">
        <f t="array" aca="1" ref="F26" ca="1">_FV(E26,"Price")</f>
        <v>52.93</v>
      </c>
    </row>
    <row r="27" spans="2:9" x14ac:dyDescent="0.2">
      <c r="B27" s="178" t="s">
        <v>169</v>
      </c>
      <c r="C27" s="215">
        <v>4.9000000000000002E-2</v>
      </c>
      <c r="E27" s="180" t="s">
        <v>333</v>
      </c>
      <c r="F27" s="214">
        <f ca="1">F26/1000</f>
        <v>5.2929999999999998E-2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W4" activePane="bottomRight" state="frozen"/>
      <selection pane="topRight" activeCell="C1" sqref="C1"/>
      <selection pane="bottomLeft" activeCell="A4" sqref="A4"/>
      <selection pane="bottomRight" activeCell="Q160" sqref="Q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330.32</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330.32</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37.88073394495413</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10.457318298370046</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44.835287202380947</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4840178.96</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4778005.96</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10.235155422933317</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30.853912010280318</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39.358408157622968</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37.39444163501711</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2.5407531625648818E-2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2.6398643739404211E-2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3.1787357713732142E-3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1.6988214832453219E-2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2.0219500313682616E-2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0.2737079356026233</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1.2845186203610951E-2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9" t="s">
        <v>227</v>
      </c>
      <c r="C4" s="239"/>
      <c r="E4" s="239" t="s">
        <v>234</v>
      </c>
      <c r="F4" s="239"/>
      <c r="G4" s="239"/>
    </row>
    <row r="5" spans="2:7" x14ac:dyDescent="0.2">
      <c r="B5" s="20" t="s">
        <v>1</v>
      </c>
      <c r="C5" s="166">
        <f ca="1">Overview!C5</f>
        <v>330.32</v>
      </c>
      <c r="E5" s="12"/>
      <c r="F5" s="132" t="s">
        <v>235</v>
      </c>
      <c r="G5" s="132" t="s">
        <v>236</v>
      </c>
    </row>
    <row r="6" spans="2:7" x14ac:dyDescent="0.2">
      <c r="B6" s="20" t="s">
        <v>233</v>
      </c>
      <c r="C6" s="167">
        <f ca="1">Statement!AC143</f>
        <v>4840178.96</v>
      </c>
      <c r="E6" s="20" t="s">
        <v>19</v>
      </c>
      <c r="F6" s="172">
        <f>IF(Statement!M5&lt;=0,"N/A",_xlfn.RRI(4,Statement!M5,Statement!Q5))</f>
        <v>3.275991627577457E-2</v>
      </c>
      <c r="G6" s="172" t="str">
        <f>IF(Statement!H5&lt;=0,"N/A",_xlfn.RRI(9,Statement!H5,Statement!Q5))</f>
        <v>N/A</v>
      </c>
    </row>
    <row r="7" spans="2:7" x14ac:dyDescent="0.2">
      <c r="B7" s="20" t="s">
        <v>185</v>
      </c>
      <c r="C7" s="167">
        <f ca="1">Statement!AC144</f>
        <v>4778005.96</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37.88073394495413</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10.457318298370046</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44.835287202380947</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10.235155422933317</v>
      </c>
    </row>
    <row r="12" spans="2:7" x14ac:dyDescent="0.2">
      <c r="B12" s="20" t="s">
        <v>201</v>
      </c>
      <c r="C12" s="168">
        <f ca="1">Statement!AC146</f>
        <v>30.853912010280318</v>
      </c>
    </row>
    <row r="15" spans="2:7" x14ac:dyDescent="0.2">
      <c r="B15" s="239" t="s">
        <v>75</v>
      </c>
      <c r="C15" s="239"/>
      <c r="E15" s="239" t="s">
        <v>240</v>
      </c>
      <c r="F15" s="239"/>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9" t="s">
        <v>239</v>
      </c>
      <c r="C21" s="239"/>
      <c r="E21" s="239" t="s">
        <v>243</v>
      </c>
      <c r="F21" s="239"/>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9" t="s">
        <v>244</v>
      </c>
      <c r="C29" s="239"/>
      <c r="E29" s="239" t="s">
        <v>250</v>
      </c>
      <c r="F29" s="239"/>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9" t="s">
        <v>262</v>
      </c>
      <c r="C37" s="239"/>
      <c r="E37" s="239" t="s">
        <v>265</v>
      </c>
      <c r="F37" s="239"/>
    </row>
    <row r="38" spans="2:6" x14ac:dyDescent="0.2">
      <c r="B38" s="20" t="s">
        <v>260</v>
      </c>
      <c r="C38" s="169">
        <f ca="1">Statement!AC152</f>
        <v>2.6398643739404211E-2</v>
      </c>
      <c r="E38" s="20" t="s">
        <v>264</v>
      </c>
      <c r="F38" s="169">
        <f>Statement!AC158</f>
        <v>0.12717825284402776</v>
      </c>
    </row>
    <row r="39" spans="2:6" x14ac:dyDescent="0.2">
      <c r="B39" s="54" t="s">
        <v>263</v>
      </c>
      <c r="C39" s="209">
        <f ca="1">Statement!AC151</f>
        <v>2.5407531625648818E-2</v>
      </c>
      <c r="E39" s="20" t="s">
        <v>266</v>
      </c>
      <c r="F39" s="169">
        <f>Statement!AC159</f>
        <v>0.66862909324507835</v>
      </c>
    </row>
    <row r="40" spans="2:6" x14ac:dyDescent="0.2">
      <c r="B40" s="20" t="s">
        <v>261</v>
      </c>
      <c r="C40" s="169">
        <f ca="1">Statement!AC153</f>
        <v>3.1787357713732142E-3</v>
      </c>
      <c r="E40" s="20" t="s">
        <v>267</v>
      </c>
      <c r="F40" s="169">
        <f>Statement!AC160</f>
        <v>0.79580734608910608</v>
      </c>
    </row>
    <row r="41" spans="2:6" x14ac:dyDescent="0.2">
      <c r="B41" s="20" t="s">
        <v>286</v>
      </c>
      <c r="C41" s="169">
        <f ca="1">Statement!AC154</f>
        <v>1.6988214832453219E-2</v>
      </c>
    </row>
    <row r="42" spans="2:6" x14ac:dyDescent="0.2">
      <c r="B42" s="20" t="s">
        <v>288</v>
      </c>
      <c r="C42" s="169">
        <f ca="1">Statement!AC155</f>
        <v>2.0219500313682616E-2</v>
      </c>
    </row>
    <row r="45" spans="2:6" x14ac:dyDescent="0.2">
      <c r="B45" s="239" t="s">
        <v>273</v>
      </c>
      <c r="C45" s="239"/>
      <c r="E45" s="239" t="s">
        <v>279</v>
      </c>
      <c r="F45" s="239"/>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1.2845186203610951E-2</v>
      </c>
    </row>
    <row r="51" spans="2:6" x14ac:dyDescent="0.2">
      <c r="B51" s="239" t="s">
        <v>276</v>
      </c>
      <c r="C51" s="239"/>
      <c r="E51" s="239" t="s">
        <v>297</v>
      </c>
      <c r="F51" s="239"/>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330.32</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4840178.96</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4778005.96</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37.88073394495413</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10.457318298370046</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44.835287202380947</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10.235155422933317</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30.853912010280318</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2.6398643739404211E-2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2.5407531625648818E-2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3.1787357713732142E-3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1.6988214832453219E-2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2.0219500313682616E-2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1.2845186203610951E-2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307</v>
      </c>
      <c r="D3" s="243"/>
      <c r="F3" s="244" t="s">
        <v>308</v>
      </c>
      <c r="G3" s="243"/>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0">
        <f>Statement!AA88</f>
        <v>-1.5892574471146927E-2</v>
      </c>
      <c r="D7" s="241"/>
      <c r="F7" s="240">
        <f>IF(F6=0,
IF(G6=0,0,IF(G6&gt;0,1,-1)),
(G6-F6)/ABS(F6)
)</f>
        <v>0.16356501765281381</v>
      </c>
      <c r="G7" s="241"/>
    </row>
    <row r="8" spans="2:7" x14ac:dyDescent="0.2">
      <c r="B8" s="201" t="s">
        <v>20</v>
      </c>
      <c r="C8" s="194">
        <f>Statement!Z6</f>
        <v>56403</v>
      </c>
      <c r="D8" s="192">
        <f>Statement!AA6</f>
        <v>54647</v>
      </c>
      <c r="F8" s="194">
        <f>Statement!W6</f>
        <v>50318</v>
      </c>
      <c r="G8" s="192">
        <f>Statement!AA6</f>
        <v>54647</v>
      </c>
    </row>
    <row r="9" spans="2:7" x14ac:dyDescent="0.2">
      <c r="B9" s="200" t="s">
        <v>309</v>
      </c>
      <c r="C9" s="240">
        <f>Statement!AA89</f>
        <v>-3.1133095757317875E-2</v>
      </c>
      <c r="D9" s="241"/>
      <c r="F9" s="240">
        <f>IF(F8=0,
IF(G8=0,0,IF(G8&gt;0,1,-1)),
(G8-F8)/ABS(F8)
)</f>
        <v>8.6032831193608647E-2</v>
      </c>
      <c r="G9" s="241"/>
    </row>
    <row r="10" spans="2:7" x14ac:dyDescent="0.2">
      <c r="B10" s="201" t="s">
        <v>21</v>
      </c>
      <c r="C10" s="194">
        <f>Statement!Z7</f>
        <v>54781</v>
      </c>
      <c r="D10" s="192">
        <f>Statement!AA7</f>
        <v>54770</v>
      </c>
      <c r="F10" s="194">
        <f>Statement!W7</f>
        <v>43718</v>
      </c>
      <c r="G10" s="192">
        <f>Statement!AA7</f>
        <v>54770</v>
      </c>
    </row>
    <row r="11" spans="2:7" x14ac:dyDescent="0.2">
      <c r="B11" s="200" t="s">
        <v>309</v>
      </c>
      <c r="C11" s="240">
        <f>Statement!AA90</f>
        <v>-2.0079954728829339E-4</v>
      </c>
      <c r="D11" s="241"/>
      <c r="F11" s="240">
        <f>IF(F10=0,
IF(G10=0,0,IF(G10&gt;0,1,-1)),
(G10-F10)/ABS(F10)
)</f>
        <v>0.25280204949906215</v>
      </c>
      <c r="G11" s="241"/>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0">
        <f>Statement!AA93</f>
        <v>9.4729043183742583E-3</v>
      </c>
      <c r="D13" s="241"/>
      <c r="F13" s="240">
        <f>IF(F12=0,
IF(G12=0,0,IF(G12&gt;0,1,-1)),
(G12-F12)/ABS(F12)
)</f>
        <v>0.22937612786800721</v>
      </c>
      <c r="G13" s="241"/>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0">
        <f>Statement!AA94</f>
        <v>-5.2946913752264175E-3</v>
      </c>
      <c r="D15" s="241"/>
      <c r="F15" s="240">
        <f>IF(F14=0,
IF(G14=0,0,IF(G14&gt;0,1,-1)),
(G14-F14)/ABS(F14)
)</f>
        <v>0.26569037656903766</v>
      </c>
      <c r="G15" s="241"/>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0">
        <f>Statement!AA96</f>
        <v>7.1336804381635002E-3</v>
      </c>
      <c r="D17" s="241"/>
      <c r="F17" s="240">
        <f>IF(F16=0,
IF(G16=0,0,IF(G16&gt;0,1,-1)),
(G16-F16)/ABS(F16)
)</f>
        <v>0.27118716394981651</v>
      </c>
      <c r="G17" s="241"/>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0">
        <f>IF(C18=0,
IF(D18=0,0,IF(D18&gt;0,1,-1)),
(D18-C18)/ABS(C18)
)</f>
        <v>-7.4697813391280731E-4</v>
      </c>
      <c r="D19" s="241"/>
      <c r="F19" s="240">
        <f>IF(F18=0,
IF(G18=0,0,IF(G18&gt;0,1,-1)),
(G18-F18)/ABS(F18)
)</f>
        <v>-1.5587369547765587E-2</v>
      </c>
      <c r="G19" s="241"/>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0">
        <f>IF(C20=0,
IF(D20=0,0,IF(D20&gt;0,1,-1)),
(D20-C20)/ABS(C20)
)</f>
        <v>4.975124378109568E-3</v>
      </c>
      <c r="D21" s="241"/>
      <c r="F21" s="240">
        <f>IF(F20=0,
IF(G20=0,0,IF(G20&gt;0,1,-1)),
(G20-F20)/ABS(F20)
)</f>
        <v>0.28662420382165599</v>
      </c>
      <c r="G21" s="241"/>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0">
        <f>IF(C24=0,
IF(D24=0,0,IF(D24&gt;0,1,-1)),
(D24-C24)/ABS(C24)
)</f>
        <v>1.5257357017718937E-2</v>
      </c>
      <c r="D25" s="241"/>
      <c r="F25" s="240">
        <f>IF(F24=0,
IF(G24=0,0,IF(G24&gt;0,1,-1)),
(G24-F24)/ABS(F24)
)</f>
        <v>0.11124326423612797</v>
      </c>
      <c r="G25" s="241"/>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0">
        <f>IF(C26=0,
IF(D26=0,0,IF(D26&gt;0,1,-1)),
(D26-C26)/ABS(C26)
)</f>
        <v>4.7692033505613969E-2</v>
      </c>
      <c r="D27" s="241"/>
      <c r="F27" s="240">
        <f>IF(F26=0,
IF(G26=0,0,IF(G26&gt;0,1,-1)),
(G26-F26)/ABS(F26)
)</f>
        <v>0.22399433663696178</v>
      </c>
      <c r="G27" s="241"/>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0">
        <f>IF(C28=0,
IF(D28=0,0,IF(D28&gt;0,1,-1)),
(D28-C28)/ABS(C28)
)</f>
        <v>-8.2012001756354591E-2</v>
      </c>
      <c r="D29" s="241"/>
      <c r="F29" s="240">
        <f>IF(F28=0,
IF(G28=0,0,IF(G28&gt;0,1,-1)),
(G28-F28)/ABS(F28)
)</f>
        <v>0.22428264688658989</v>
      </c>
      <c r="G29" s="241"/>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0">
        <f>IF(C30=0,
IF(D30=0,0,IF(D30&gt;0,1,-1)),
(D30-C30)/ABS(C30)
)</f>
        <v>-0.21985477919295321</v>
      </c>
      <c r="D31" s="241"/>
      <c r="F31" s="240">
        <f>IF(F30=0,
IF(G30=0,0,IF(G30&gt;0,1,-1)),
(G30-F30)/ABS(F30)
)</f>
        <v>0.1335178139052231</v>
      </c>
      <c r="G31" s="241"/>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0">
        <f>IF(C32=0,
IF(D32=0,0,IF(D32&gt;0,1,-1)),
(D32-C32)/ABS(C32)
)</f>
        <v>-2.9218647406434668E-2</v>
      </c>
      <c r="D33" s="241"/>
      <c r="F33" s="240">
        <f>IF(F32=0,
IF(G32=0,0,IF(G32&gt;0,1,-1)),
(G32-F32)/ABS(F32)
)</f>
        <v>0.15613189104652678</v>
      </c>
      <c r="G33" s="241"/>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0">
        <f>IF(C35=0,
IF(D35=0,0,IF(D35&gt;0,1,-1)),
(D35-C35)/ABS(C35)
)</f>
        <v>-4.8110327402884512E-2</v>
      </c>
      <c r="D36" s="241"/>
      <c r="F36" s="240">
        <f>IF(F35=0,
IF(G35=0,0,IF(G35&gt;0,1,-1)),
(G35-F35)/ABS(F35)
)</f>
        <v>0.21690368310080302</v>
      </c>
      <c r="G36" s="241"/>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0">
        <f>IF(C37=0,
IF(D37=0,0,IF(D37&gt;0,1,-1)),
(D37-C37)/ABS(C37)
)</f>
        <v>0.23252768186688891</v>
      </c>
      <c r="D38" s="241"/>
      <c r="F38" s="240">
        <f>IF(F37=0,
IF(G37=0,0,IF(G37&gt;0,1,-1)),
(G37-F37)/ABS(F37)
)</f>
        <v>0.28660203827989061</v>
      </c>
      <c r="G38" s="241"/>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0">
        <f>IF(C39=0,
IF(D39=0,0,IF(D39&gt;0,1,-1)),
(D39-C39)/ABS(C39)
)</f>
        <v>-0.10457043679490888</v>
      </c>
      <c r="D40" s="241"/>
      <c r="F40" s="240">
        <f>IF(F39=0,
IF(G39=0,0,IF(G39&gt;0,1,-1)),
(G39-F39)/ABS(F39)
)</f>
        <v>-5.9261510408752466E-2</v>
      </c>
      <c r="G40" s="241"/>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0">
        <f>IF(C41=0,
IF(D41=0,0,IF(D41&gt;0,1,-1)),
(D41-C41)/ABS(C41)
)</f>
        <v>-2.2781926338438173E-3</v>
      </c>
      <c r="D42" s="241"/>
      <c r="F42" s="240">
        <f>IF(F41=0,
IF(G41=0,0,IF(G41&gt;0,1,-1)),
(G41-F41)/ABS(F41)
)</f>
        <v>6.4694759589411135E-2</v>
      </c>
      <c r="G42" s="241"/>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0">
        <f>IF(C43=0,
IF(D43=0,0,IF(D43&gt;0,1,-1)),
(D43-C43)/ABS(C43)
)</f>
        <v>-7.6510847107438013E-3</v>
      </c>
      <c r="D44" s="241"/>
      <c r="F44" s="240">
        <f>IF(F43=0,
IF(G43=0,0,IF(G43&gt;0,1,-1)),
(G43-F43)/ABS(F43)
)</f>
        <v>0.12092039528862633</v>
      </c>
      <c r="G44" s="241"/>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9" t="s">
        <v>110</v>
      </c>
      <c r="D2" s="239"/>
      <c r="E2" s="239"/>
      <c r="F2" s="239"/>
      <c r="G2" s="248"/>
      <c r="H2" s="249" t="s">
        <v>111</v>
      </c>
      <c r="I2" s="239"/>
      <c r="J2" s="239"/>
      <c r="K2" s="239"/>
      <c r="L2" s="239"/>
      <c r="O2" s="5"/>
      <c r="S2" s="239" t="s">
        <v>110</v>
      </c>
      <c r="T2" s="239"/>
      <c r="U2" s="239"/>
      <c r="V2" s="239"/>
      <c r="W2" s="239"/>
      <c r="X2" s="239"/>
      <c r="Y2" s="239"/>
      <c r="Z2" s="239"/>
      <c r="AA2" s="239" t="s">
        <v>111</v>
      </c>
      <c r="AB2" s="239"/>
      <c r="AC2" s="239"/>
      <c r="AE2" s="85" t="s">
        <v>112</v>
      </c>
    </row>
    <row r="3" spans="1:31" ht="10" customHeight="1" x14ac:dyDescent="0.2">
      <c r="O3" s="5"/>
    </row>
    <row r="4" spans="1:31" ht="16" customHeight="1" x14ac:dyDescent="0.2">
      <c r="A4" s="86"/>
      <c r="B4" s="60"/>
      <c r="C4" s="245" t="s">
        <v>113</v>
      </c>
      <c r="D4" s="245"/>
      <c r="E4" s="245"/>
      <c r="F4" s="245"/>
      <c r="G4" s="245"/>
      <c r="H4" s="245"/>
      <c r="I4" s="245"/>
      <c r="J4" s="245"/>
      <c r="K4" s="245"/>
      <c r="L4" s="245"/>
      <c r="O4" s="5"/>
      <c r="S4" s="246" t="s">
        <v>113</v>
      </c>
      <c r="T4" s="247"/>
      <c r="U4" s="247"/>
      <c r="V4" s="247"/>
      <c r="W4" s="247"/>
      <c r="X4" s="247"/>
      <c r="Y4" s="247"/>
      <c r="Z4" s="247"/>
      <c r="AA4" s="247"/>
      <c r="AB4" s="247"/>
      <c r="AC4" s="24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5" t="s">
        <v>119</v>
      </c>
      <c r="D13" s="245"/>
      <c r="E13" s="245"/>
      <c r="F13" s="245"/>
      <c r="G13" s="245"/>
      <c r="H13" s="245"/>
      <c r="I13" s="245"/>
      <c r="J13" s="245"/>
      <c r="K13" s="245"/>
      <c r="L13" s="245"/>
      <c r="O13" s="5"/>
      <c r="Q13" s="91"/>
      <c r="S13" s="246" t="s">
        <v>119</v>
      </c>
      <c r="T13" s="247"/>
      <c r="U13" s="247"/>
      <c r="V13" s="247"/>
      <c r="W13" s="247"/>
      <c r="X13" s="247"/>
      <c r="Y13" s="247"/>
      <c r="Z13" s="247"/>
      <c r="AA13" s="247"/>
      <c r="AB13" s="247"/>
      <c r="AC13" s="24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9" t="s">
        <v>110</v>
      </c>
      <c r="D2" s="239"/>
      <c r="E2" s="239"/>
      <c r="F2" s="239"/>
      <c r="G2" s="248"/>
      <c r="H2" s="249" t="s">
        <v>111</v>
      </c>
      <c r="I2" s="239"/>
      <c r="J2" s="239"/>
      <c r="K2" s="239"/>
      <c r="L2" s="239"/>
      <c r="P2" s="239" t="s">
        <v>110</v>
      </c>
      <c r="Q2" s="239"/>
      <c r="R2" s="239"/>
      <c r="S2" s="239"/>
      <c r="T2" s="239"/>
      <c r="U2" s="239"/>
      <c r="V2" s="239"/>
      <c r="W2" s="239"/>
      <c r="X2" s="239" t="s">
        <v>111</v>
      </c>
      <c r="Y2" s="239"/>
      <c r="Z2" s="239"/>
      <c r="AB2" s="85" t="s">
        <v>112</v>
      </c>
    </row>
    <row r="3" spans="1:28" ht="10" customHeight="1" x14ac:dyDescent="0.2"/>
    <row r="4" spans="1:28" ht="16" customHeight="1" x14ac:dyDescent="0.2">
      <c r="A4" s="86"/>
      <c r="B4" s="60"/>
      <c r="C4" s="245" t="s">
        <v>113</v>
      </c>
      <c r="D4" s="245"/>
      <c r="E4" s="245"/>
      <c r="F4" s="245"/>
      <c r="G4" s="245"/>
      <c r="H4" s="245"/>
      <c r="I4" s="245"/>
      <c r="J4" s="245"/>
      <c r="K4" s="245"/>
      <c r="L4" s="245"/>
      <c r="P4" s="247" t="s">
        <v>113</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5" t="s">
        <v>122</v>
      </c>
      <c r="D9" s="245"/>
      <c r="E9" s="245"/>
      <c r="F9" s="245"/>
      <c r="G9" s="245"/>
      <c r="H9" s="245"/>
      <c r="I9" s="245"/>
      <c r="J9" s="245"/>
      <c r="K9" s="245"/>
      <c r="L9" s="245"/>
      <c r="N9" s="91"/>
      <c r="P9" s="247" t="s">
        <v>123</v>
      </c>
      <c r="Q9" s="247"/>
      <c r="R9" s="247"/>
      <c r="S9" s="247"/>
      <c r="T9" s="247"/>
      <c r="U9" s="247"/>
      <c r="V9" s="247"/>
      <c r="W9" s="247"/>
      <c r="X9" s="247"/>
      <c r="Y9" s="247"/>
      <c r="Z9" s="24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5" t="s">
        <v>125</v>
      </c>
      <c r="D17" s="245"/>
      <c r="E17" s="245"/>
      <c r="F17" s="245"/>
      <c r="G17" s="245"/>
      <c r="H17" s="245"/>
      <c r="I17" s="245"/>
      <c r="J17" s="245"/>
      <c r="K17" s="245"/>
      <c r="L17" s="245"/>
      <c r="P17" s="247" t="s">
        <v>125</v>
      </c>
      <c r="Q17" s="247"/>
      <c r="R17" s="247"/>
      <c r="S17" s="247"/>
      <c r="T17" s="247"/>
      <c r="U17" s="247"/>
      <c r="V17" s="247"/>
      <c r="W17" s="247"/>
      <c r="X17" s="247"/>
      <c r="Y17" s="247"/>
      <c r="Z17" s="247"/>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113</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129</v>
      </c>
      <c r="D11" s="245"/>
      <c r="E11" s="245"/>
      <c r="F11" s="245"/>
      <c r="G11" s="245"/>
      <c r="H11" s="245"/>
      <c r="I11" s="245"/>
      <c r="J11" s="245"/>
      <c r="K11" s="245"/>
      <c r="L11" s="245"/>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5" t="s">
        <v>134</v>
      </c>
      <c r="D18" s="245"/>
      <c r="E18" s="245"/>
      <c r="F18" s="245"/>
      <c r="G18" s="245"/>
      <c r="H18" s="245"/>
      <c r="I18" s="245"/>
      <c r="J18" s="245"/>
      <c r="K18" s="245"/>
      <c r="L18" s="24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45" t="s">
        <v>140</v>
      </c>
      <c r="D26" s="245"/>
      <c r="E26" s="245"/>
      <c r="F26" s="245"/>
      <c r="G26" s="245"/>
      <c r="H26" s="245"/>
      <c r="I26" s="245"/>
      <c r="J26" s="245"/>
      <c r="K26" s="245"/>
      <c r="L26" s="24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5" t="s">
        <v>144</v>
      </c>
      <c r="D33" s="245"/>
      <c r="E33" s="245"/>
      <c r="F33" s="245"/>
      <c r="G33" s="245"/>
      <c r="H33" s="245"/>
      <c r="I33" s="245"/>
      <c r="J33" s="245"/>
      <c r="K33" s="245"/>
      <c r="L33" s="24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5" t="s">
        <v>147</v>
      </c>
      <c r="D40" s="245"/>
      <c r="E40" s="245"/>
      <c r="F40" s="245"/>
      <c r="G40" s="245"/>
      <c r="H40" s="245"/>
      <c r="I40" s="245"/>
      <c r="J40" s="245"/>
      <c r="K40" s="245"/>
      <c r="L40" s="24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9" t="s">
        <v>110</v>
      </c>
      <c r="D2" s="239"/>
      <c r="E2" s="239"/>
      <c r="F2" s="239"/>
      <c r="G2" s="248"/>
      <c r="H2" s="249" t="s">
        <v>111</v>
      </c>
      <c r="I2" s="239"/>
      <c r="J2" s="239"/>
      <c r="K2" s="239"/>
      <c r="L2" s="239"/>
      <c r="S2" s="250"/>
      <c r="T2" s="250"/>
      <c r="U2" s="250"/>
      <c r="V2" s="250"/>
      <c r="W2" s="250"/>
      <c r="X2" s="250"/>
      <c r="Y2" s="250"/>
      <c r="Z2" s="250"/>
      <c r="AA2" s="250"/>
      <c r="AB2" s="250"/>
      <c r="AC2" s="250"/>
      <c r="AE2" s="109"/>
    </row>
    <row r="3" spans="1:31" ht="10" customHeight="1" x14ac:dyDescent="0.2"/>
    <row r="4" spans="1:31" ht="16" customHeight="1" x14ac:dyDescent="0.2">
      <c r="A4" s="86"/>
      <c r="B4" s="60"/>
      <c r="C4" s="245" t="s">
        <v>18</v>
      </c>
      <c r="D4" s="245"/>
      <c r="E4" s="245"/>
      <c r="F4" s="245"/>
      <c r="G4" s="245"/>
      <c r="H4" s="245"/>
      <c r="I4" s="245"/>
      <c r="J4" s="245"/>
      <c r="K4" s="245"/>
      <c r="L4" s="245"/>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5" t="s">
        <v>155</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5" t="s">
        <v>156</v>
      </c>
      <c r="D18" s="245"/>
      <c r="E18" s="245"/>
      <c r="F18" s="245"/>
      <c r="G18" s="245"/>
      <c r="H18" s="245"/>
      <c r="I18" s="245"/>
      <c r="J18" s="245"/>
      <c r="K18" s="245"/>
      <c r="L18" s="24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5" t="s">
        <v>256</v>
      </c>
      <c r="D25" s="245"/>
      <c r="E25" s="245"/>
      <c r="F25" s="245"/>
      <c r="G25" s="245"/>
      <c r="H25" s="245"/>
      <c r="I25" s="245"/>
      <c r="J25" s="245"/>
      <c r="K25" s="245"/>
      <c r="L25" s="24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5" t="s">
        <v>75</v>
      </c>
      <c r="D31" s="245"/>
      <c r="E31" s="245"/>
      <c r="F31" s="245"/>
      <c r="G31" s="245"/>
      <c r="H31" s="245"/>
      <c r="I31" s="245"/>
      <c r="J31" s="245"/>
      <c r="K31" s="245"/>
      <c r="L31" s="245"/>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9" t="s">
        <v>163</v>
      </c>
      <c r="C4" s="239"/>
    </row>
    <row r="5" spans="1:3" ht="17" customHeight="1" x14ac:dyDescent="0.2">
      <c r="B5" s="1" t="s">
        <v>164</v>
      </c>
      <c r="C5" s="136">
        <f>Statement!AC77</f>
        <v>14653</v>
      </c>
    </row>
    <row r="6" spans="1:3" ht="17" customHeight="1" x14ac:dyDescent="0.2">
      <c r="B6" s="1" t="s">
        <v>1</v>
      </c>
      <c r="C6" s="133">
        <f ca="1">Overview!C5</f>
        <v>330.32</v>
      </c>
    </row>
    <row r="7" spans="1:3" ht="17" customHeight="1" x14ac:dyDescent="0.2">
      <c r="B7" s="1" t="s">
        <v>165</v>
      </c>
      <c r="C7" s="134">
        <f ca="1">C5*C6</f>
        <v>4840178.96</v>
      </c>
    </row>
    <row r="8" spans="1:3" ht="17" customHeight="1" x14ac:dyDescent="0.2">
      <c r="B8" s="1" t="s">
        <v>166</v>
      </c>
      <c r="C8" s="112">
        <f>Statement!AC106</f>
        <v>84344</v>
      </c>
    </row>
    <row r="9" spans="1:3" ht="17" customHeight="1" x14ac:dyDescent="0.2">
      <c r="B9" s="1" t="s">
        <v>167</v>
      </c>
      <c r="C9" s="135">
        <f ca="1">Overview!F27</f>
        <v>5.2929999999999998E-2</v>
      </c>
    </row>
    <row r="10" spans="1:3" ht="17" customHeight="1" x14ac:dyDescent="0.2">
      <c r="B10" s="1" t="s">
        <v>9</v>
      </c>
      <c r="C10" s="133">
        <f ca="1">Overview!C13</f>
        <v>1.069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9" t="s">
        <v>170</v>
      </c>
      <c r="C15" s="239"/>
    </row>
    <row r="16" spans="1:3" ht="17" customHeight="1" x14ac:dyDescent="0.2">
      <c r="B16" s="1" t="s">
        <v>171</v>
      </c>
      <c r="C16" s="46">
        <f ca="1">C8/(C8+C7)</f>
        <v>1.7127344249401166E-2</v>
      </c>
    </row>
    <row r="17" spans="2:3" ht="17" customHeight="1" x14ac:dyDescent="0.2">
      <c r="B17" s="1" t="s">
        <v>172</v>
      </c>
      <c r="C17" s="46">
        <f ca="1">C7/(C8+C7)</f>
        <v>0.98287265575059879</v>
      </c>
    </row>
    <row r="18" spans="2:3" ht="17" customHeight="1" x14ac:dyDescent="0.2">
      <c r="B18" s="1" t="s">
        <v>173</v>
      </c>
      <c r="C18" s="46">
        <f>C13*(1-C12)</f>
        <v>3.8710000000000001E-2</v>
      </c>
    </row>
    <row r="19" spans="2:3" ht="17" customHeight="1" x14ac:dyDescent="0.2">
      <c r="B19" s="1" t="s">
        <v>174</v>
      </c>
      <c r="C19" s="46">
        <f ca="1">C9+C10*C11</f>
        <v>0.10103499999999999</v>
      </c>
    </row>
    <row r="20" spans="2:3" ht="17" customHeight="1" x14ac:dyDescent="0.2">
      <c r="B20" s="1" t="s">
        <v>162</v>
      </c>
      <c r="C20" s="46">
        <f ca="1">(C17*C19)+(C16*C18)</f>
        <v>9.9967538269656056E-2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1812668.3875956913</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100329.33882403738</v>
      </c>
      <c r="I10" s="126">
        <f t="shared" ref="I10:L10" ca="1" si="0">I7/(1+$C$15)^I9</f>
        <v>96907.925008476799</v>
      </c>
      <c r="J10" s="126">
        <f t="shared" ca="1" si="0"/>
        <v>93086.532266053357</v>
      </c>
      <c r="K10" s="126">
        <f t="shared" ca="1" si="0"/>
        <v>89005.203844455478</v>
      </c>
      <c r="L10" s="126">
        <f t="shared" ca="1" si="0"/>
        <v>88253.629002446542</v>
      </c>
      <c r="N10" s="91"/>
    </row>
    <row r="11" spans="1:28" x14ac:dyDescent="0.2">
      <c r="B11" s="1" t="s">
        <v>180</v>
      </c>
      <c r="C11" s="137"/>
      <c r="D11" s="137"/>
      <c r="E11" s="137"/>
      <c r="F11" s="137"/>
      <c r="G11" s="138"/>
      <c r="H11" s="137"/>
      <c r="I11" s="137"/>
      <c r="J11" s="137"/>
      <c r="K11" s="137"/>
      <c r="L11" s="126">
        <f ca="1">L8/(1+C15)^L9</f>
        <v>1125690.5430669405</v>
      </c>
    </row>
    <row r="13" spans="1:28" x14ac:dyDescent="0.2">
      <c r="B13" s="239" t="s">
        <v>181</v>
      </c>
      <c r="C13" s="239"/>
    </row>
    <row r="14" spans="1:28" x14ac:dyDescent="0.2">
      <c r="B14" s="1" t="s">
        <v>182</v>
      </c>
      <c r="C14" s="140">
        <v>0.02</v>
      </c>
    </row>
    <row r="15" spans="1:28" x14ac:dyDescent="0.2">
      <c r="B15" s="1" t="s">
        <v>162</v>
      </c>
      <c r="C15" s="135">
        <f ca="1">IF(Overview!C28&gt;0,Overview!C28,WACC!C20)</f>
        <v>9.9967538269656056E-2</v>
      </c>
    </row>
    <row r="18" spans="2:3" x14ac:dyDescent="0.2">
      <c r="B18" s="239" t="s">
        <v>183</v>
      </c>
      <c r="C18" s="239"/>
    </row>
    <row r="19" spans="2:3" x14ac:dyDescent="0.2">
      <c r="B19" s="1" t="s">
        <v>184</v>
      </c>
      <c r="C19" s="64">
        <f ca="1">SUM(H10:L10)</f>
        <v>467582.62894546957</v>
      </c>
    </row>
    <row r="20" spans="2:3" x14ac:dyDescent="0.2">
      <c r="B20" s="1" t="s">
        <v>180</v>
      </c>
      <c r="C20" s="64">
        <f ca="1">L11</f>
        <v>1125690.5430669405</v>
      </c>
    </row>
    <row r="21" spans="2:3" x14ac:dyDescent="0.2">
      <c r="B21" s="16" t="s">
        <v>185</v>
      </c>
      <c r="C21" s="94">
        <f ca="1">C19+C20</f>
        <v>1593273.1720124101</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1655446.1720124101</v>
      </c>
    </row>
    <row r="25" spans="2:3" x14ac:dyDescent="0.2">
      <c r="B25" s="1" t="s">
        <v>67</v>
      </c>
      <c r="C25" s="88">
        <f>Statement!AC77</f>
        <v>14653</v>
      </c>
    </row>
    <row r="26" spans="2:3" x14ac:dyDescent="0.2">
      <c r="B26" s="234" t="s">
        <v>189</v>
      </c>
      <c r="C26" s="235">
        <f ca="1">C24/C25</f>
        <v>112.97660356325736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100329.33882403738</v>
      </c>
      <c r="I9" s="92">
        <f ca="1">DCF!I10</f>
        <v>96907.925008476799</v>
      </c>
      <c r="J9" s="92">
        <f ca="1">DCF!J10</f>
        <v>93086.532266053357</v>
      </c>
      <c r="K9" s="92">
        <f ca="1">DCF!K10</f>
        <v>89005.203844455478</v>
      </c>
      <c r="L9" s="92">
        <f ca="1">DCF!L10</f>
        <v>88253.629002446542</v>
      </c>
      <c r="N9" s="91"/>
    </row>
    <row r="10" spans="1:14" x14ac:dyDescent="0.2">
      <c r="N10" s="91"/>
    </row>
    <row r="11" spans="1:14" x14ac:dyDescent="0.2">
      <c r="C11" s="245" t="s">
        <v>119</v>
      </c>
      <c r="D11" s="245"/>
      <c r="E11" s="245"/>
      <c r="F11" s="245"/>
      <c r="G11" s="245"/>
      <c r="H11" s="245"/>
      <c r="I11" s="245"/>
      <c r="J11" s="245"/>
      <c r="K11" s="245"/>
      <c r="L11" s="245"/>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5" t="s">
        <v>193</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5" t="s">
        <v>196</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5" t="s">
        <v>197</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39" t="s">
        <v>202</v>
      </c>
      <c r="C39" s="239"/>
      <c r="N39" s="91"/>
    </row>
    <row r="40" spans="2:14" x14ac:dyDescent="0.2">
      <c r="B40" s="1" t="s">
        <v>203</v>
      </c>
      <c r="C40" s="64">
        <f>L7</f>
        <v>195121.37831632962</v>
      </c>
    </row>
    <row r="41" spans="2:14" x14ac:dyDescent="0.2">
      <c r="B41" s="1" t="s">
        <v>162</v>
      </c>
      <c r="C41" s="135">
        <f ca="1">IF(Overview!C28&gt;0,Overview!C28,WACC!C20)</f>
        <v>9.9967538269656056E-2</v>
      </c>
    </row>
    <row r="42" spans="2:14" x14ac:dyDescent="0.2">
      <c r="B42" s="39" t="s">
        <v>204</v>
      </c>
      <c r="C42" s="105">
        <v>24</v>
      </c>
    </row>
    <row r="43" spans="2:14" x14ac:dyDescent="0.2">
      <c r="B43" s="1" t="s">
        <v>409</v>
      </c>
      <c r="C43" s="24">
        <f>(C40*C42)</f>
        <v>4682913.0795919113</v>
      </c>
    </row>
    <row r="44" spans="2:14" x14ac:dyDescent="0.2">
      <c r="B44" s="1" t="s">
        <v>410</v>
      </c>
      <c r="C44" s="24">
        <f ca="1">C43/(1+C41)^5</f>
        <v>2908149.6669631819</v>
      </c>
    </row>
    <row r="45" spans="2:14" x14ac:dyDescent="0.2">
      <c r="B45" s="16" t="s">
        <v>411</v>
      </c>
      <c r="C45" s="108">
        <f ca="1">SUM(H9:K9)+C44</f>
        <v>3287478.666906205</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3349651.666906205</v>
      </c>
    </row>
    <row r="49" spans="2:3" x14ac:dyDescent="0.2">
      <c r="B49" s="1" t="s">
        <v>67</v>
      </c>
      <c r="C49" s="88">
        <f>Statement!AC77</f>
        <v>14653</v>
      </c>
    </row>
    <row r="50" spans="2:3" x14ac:dyDescent="0.2">
      <c r="B50" s="234" t="s">
        <v>206</v>
      </c>
      <c r="C50" s="235">
        <f ca="1">C48/C49</f>
        <v>228.59835302710741</v>
      </c>
    </row>
    <row r="52" spans="2:3" x14ac:dyDescent="0.2">
      <c r="B52" s="239" t="s">
        <v>207</v>
      </c>
      <c r="C52" s="239"/>
    </row>
    <row r="53" spans="2:3" x14ac:dyDescent="0.2">
      <c r="B53" s="1" t="s">
        <v>208</v>
      </c>
      <c r="C53" s="64">
        <f>L6</f>
        <v>615524.85273290111</v>
      </c>
    </row>
    <row r="54" spans="2:3" x14ac:dyDescent="0.2">
      <c r="B54" s="1" t="s">
        <v>338</v>
      </c>
      <c r="C54" s="135">
        <f ca="1">IF(Overview!C29&gt;0,Overview!C29,WACC!C19)</f>
        <v>0.10103499999999999</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200.17486407506783</v>
      </c>
    </row>
    <row r="60" spans="2:3" x14ac:dyDescent="0.2">
      <c r="B60" s="239" t="s">
        <v>316</v>
      </c>
      <c r="C60" s="239"/>
    </row>
    <row r="61" spans="2:3" x14ac:dyDescent="0.2">
      <c r="B61" s="1" t="s">
        <v>412</v>
      </c>
      <c r="C61" s="64">
        <f>L8</f>
        <v>142112.38103456292</v>
      </c>
    </row>
    <row r="62" spans="2:3" x14ac:dyDescent="0.2">
      <c r="B62" s="1" t="s">
        <v>162</v>
      </c>
      <c r="C62" s="135">
        <f ca="1">IF(Overview!C28&gt;0,Overview!C28,WACC!C20)</f>
        <v>9.9967538269656056E-2</v>
      </c>
    </row>
    <row r="63" spans="2:3" x14ac:dyDescent="0.2">
      <c r="B63" s="39" t="s">
        <v>339</v>
      </c>
      <c r="C63" s="105">
        <v>28</v>
      </c>
    </row>
    <row r="64" spans="2:3" x14ac:dyDescent="0.2">
      <c r="B64" s="1" t="s">
        <v>409</v>
      </c>
      <c r="C64" s="24">
        <f>(C61*C63)</f>
        <v>3979146.6689677616</v>
      </c>
    </row>
    <row r="65" spans="2:3" x14ac:dyDescent="0.2">
      <c r="B65" s="1" t="s">
        <v>410</v>
      </c>
      <c r="C65" s="24">
        <f ca="1">C64/(1+C62)^5</f>
        <v>2471101.6120685032</v>
      </c>
    </row>
    <row r="66" spans="2:3" x14ac:dyDescent="0.2">
      <c r="B66" s="16" t="s">
        <v>411</v>
      </c>
      <c r="C66" s="108">
        <f ca="1">SUM(H9:K9)+C65</f>
        <v>2850430.6120115262</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2912603.6120115262</v>
      </c>
    </row>
    <row r="70" spans="2:3" x14ac:dyDescent="0.2">
      <c r="B70" s="1" t="s">
        <v>67</v>
      </c>
      <c r="C70" s="88">
        <f>Statement!AC77</f>
        <v>14653</v>
      </c>
    </row>
    <row r="71" spans="2:3" x14ac:dyDescent="0.2">
      <c r="B71" s="234" t="s">
        <v>206</v>
      </c>
      <c r="C71" s="235">
        <f ca="1">C69/C70</f>
        <v>198.77182911427875</v>
      </c>
    </row>
    <row r="73" spans="2:3" x14ac:dyDescent="0.2">
      <c r="B73" s="239" t="s">
        <v>414</v>
      </c>
      <c r="C73" s="239"/>
    </row>
    <row r="74" spans="2:3" x14ac:dyDescent="0.2">
      <c r="B74" s="1" t="s">
        <v>415</v>
      </c>
      <c r="C74" s="64">
        <f>L6</f>
        <v>615524.85273290111</v>
      </c>
    </row>
    <row r="75" spans="2:3" x14ac:dyDescent="0.2">
      <c r="B75" s="1" t="s">
        <v>162</v>
      </c>
      <c r="C75" s="135">
        <f ca="1">IF(Overview!C28&gt;0,Overview!C28,WACC!C20)</f>
        <v>9.9967538269656056E-2</v>
      </c>
    </row>
    <row r="76" spans="2:3" x14ac:dyDescent="0.2">
      <c r="B76" s="39" t="s">
        <v>417</v>
      </c>
      <c r="C76" s="105">
        <v>7</v>
      </c>
    </row>
    <row r="77" spans="2:3" x14ac:dyDescent="0.2">
      <c r="B77" s="1" t="s">
        <v>409</v>
      </c>
      <c r="C77" s="24">
        <f>(C74*C76)</f>
        <v>4308673.9691303074</v>
      </c>
    </row>
    <row r="78" spans="2:3" x14ac:dyDescent="0.2">
      <c r="B78" s="1" t="s">
        <v>410</v>
      </c>
      <c r="C78" s="24">
        <f ca="1">C77/(1+C75)^5</f>
        <v>2675742.332905136</v>
      </c>
    </row>
    <row r="79" spans="2:3" x14ac:dyDescent="0.2">
      <c r="B79" s="16" t="s">
        <v>411</v>
      </c>
      <c r="C79" s="108">
        <f ca="1">SUM(H9:K9)+C78</f>
        <v>3055071.3328481591</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3117244.3328481591</v>
      </c>
    </row>
    <row r="83" spans="2:3" x14ac:dyDescent="0.2">
      <c r="B83" s="1" t="s">
        <v>67</v>
      </c>
      <c r="C83" s="88">
        <f>Statement!AC77</f>
        <v>14653</v>
      </c>
    </row>
    <row r="84" spans="2:3" x14ac:dyDescent="0.2">
      <c r="B84" s="234" t="s">
        <v>206</v>
      </c>
      <c r="C84" s="235">
        <f ca="1">C82/C83</f>
        <v>212.73761911200157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9" t="s">
        <v>211</v>
      </c>
      <c r="C4" s="239"/>
      <c r="N4" s="91"/>
    </row>
    <row r="5" spans="1:14" x14ac:dyDescent="0.2">
      <c r="B5" s="1" t="s">
        <v>212</v>
      </c>
      <c r="C5" s="133">
        <f ca="1">DCF!C26</f>
        <v>112.97660356325736</v>
      </c>
    </row>
    <row r="6" spans="1:14" x14ac:dyDescent="0.2">
      <c r="B6" s="1" t="s">
        <v>213</v>
      </c>
      <c r="C6" s="133">
        <f ca="1">Multiples!C50</f>
        <v>228.59835302710741</v>
      </c>
    </row>
    <row r="7" spans="1:14" x14ac:dyDescent="0.2">
      <c r="B7" s="1" t="s">
        <v>214</v>
      </c>
      <c r="C7" s="133">
        <f ca="1">Multiples!C58</f>
        <v>200.17486407506783</v>
      </c>
    </row>
    <row r="8" spans="1:14" x14ac:dyDescent="0.2">
      <c r="B8" s="1" t="s">
        <v>317</v>
      </c>
      <c r="C8" s="133">
        <f ca="1">Multiples!C71</f>
        <v>198.77182911427875</v>
      </c>
    </row>
    <row r="9" spans="1:14" x14ac:dyDescent="0.2">
      <c r="B9" s="1" t="s">
        <v>416</v>
      </c>
      <c r="C9" s="133">
        <f ca="1">Multiples!C84</f>
        <v>212.73761911200157</v>
      </c>
    </row>
    <row r="10" spans="1:14" x14ac:dyDescent="0.2">
      <c r="B10" s="234" t="s">
        <v>215</v>
      </c>
      <c r="C10" s="235">
        <f ca="1">AVERAGE(C5:C9)</f>
        <v>190.65185377834257</v>
      </c>
    </row>
    <row r="11" spans="1:14" x14ac:dyDescent="0.2">
      <c r="B11" s="1" t="s">
        <v>216</v>
      </c>
      <c r="C11" s="133">
        <f ca="1">Overview!C5</f>
        <v>330.32</v>
      </c>
    </row>
    <row r="12" spans="1:14" x14ac:dyDescent="0.2">
      <c r="B12" s="1" t="s">
        <v>217</v>
      </c>
      <c r="C12" s="149">
        <f ca="1">(C10-C11)/C11</f>
        <v>-0.42282679287254005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5" t="s">
        <v>119</v>
      </c>
      <c r="D9" s="245"/>
      <c r="E9" s="245"/>
      <c r="F9" s="245"/>
      <c r="G9" s="245"/>
      <c r="H9" s="245"/>
      <c r="I9" s="245"/>
      <c r="J9" s="245"/>
      <c r="K9" s="245"/>
      <c r="L9" s="245"/>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5" t="s">
        <v>397</v>
      </c>
      <c r="D14" s="245"/>
      <c r="E14" s="245"/>
      <c r="F14" s="245"/>
      <c r="G14" s="245"/>
      <c r="H14" s="245"/>
      <c r="I14" s="245"/>
      <c r="J14" s="245"/>
      <c r="K14" s="245"/>
      <c r="L14" s="245"/>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9" t="s">
        <v>399</v>
      </c>
      <c r="C20" s="239"/>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0.10103499999999999</v>
      </c>
    </row>
    <row r="25" spans="2:14" x14ac:dyDescent="0.2">
      <c r="B25" s="39" t="s">
        <v>403</v>
      </c>
      <c r="C25" s="232">
        <v>0.02</v>
      </c>
    </row>
    <row r="26" spans="2:14" x14ac:dyDescent="0.2">
      <c r="B26" s="234" t="s">
        <v>206</v>
      </c>
      <c r="C26" s="235">
        <f ca="1">C23/(C24-C25)</f>
        <v>13.090639846979702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6241625.2826948576</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110970.00846034756</v>
      </c>
      <c r="I10" s="126">
        <f t="shared" ref="I10:L10" ca="1" si="1">I7/(1+$C$21)^I9</f>
        <v>142751.99631654753</v>
      </c>
      <c r="J10" s="126">
        <f t="shared" ca="1" si="1"/>
        <v>183636.39631190285</v>
      </c>
      <c r="K10" s="126">
        <f t="shared" ca="1" si="1"/>
        <v>236230.15383717773</v>
      </c>
      <c r="L10" s="126">
        <f t="shared" ca="1" si="1"/>
        <v>303886.8476113716</v>
      </c>
      <c r="N10" s="91"/>
    </row>
    <row r="11" spans="1:28" x14ac:dyDescent="0.2">
      <c r="B11" s="1" t="s">
        <v>180</v>
      </c>
      <c r="C11" s="137"/>
      <c r="D11" s="137"/>
      <c r="E11" s="137"/>
      <c r="F11" s="137"/>
      <c r="G11" s="138"/>
      <c r="H11" s="137"/>
      <c r="I11" s="137"/>
      <c r="J11" s="137"/>
      <c r="K11" s="137"/>
      <c r="L11" s="126">
        <f ca="1">L8/(1+C21)^L9</f>
        <v>3876130.1306834915</v>
      </c>
    </row>
    <row r="13" spans="1:28" ht="17" thickBot="1" x14ac:dyDescent="0.25"/>
    <row r="14" spans="1:28" x14ac:dyDescent="0.2">
      <c r="B14" s="252" t="s">
        <v>219</v>
      </c>
      <c r="C14" s="253"/>
    </row>
    <row r="15" spans="1:28" x14ac:dyDescent="0.2">
      <c r="B15" s="150" t="s">
        <v>220</v>
      </c>
      <c r="C15" s="151">
        <f ca="1">Overview!C5</f>
        <v>330.32</v>
      </c>
    </row>
    <row r="16" spans="1:28" x14ac:dyDescent="0.2">
      <c r="B16" s="150" t="s">
        <v>221</v>
      </c>
      <c r="C16" s="151">
        <f ca="1">C36</f>
        <v>336.83558539268461</v>
      </c>
    </row>
    <row r="17" spans="2:9" ht="17" thickBot="1" x14ac:dyDescent="0.25">
      <c r="B17" s="152" t="s">
        <v>318</v>
      </c>
      <c r="C17" s="153">
        <v>0.41499999999999998</v>
      </c>
      <c r="E17" s="251" t="s">
        <v>222</v>
      </c>
      <c r="F17" s="251"/>
      <c r="G17" s="251"/>
      <c r="H17" s="251"/>
      <c r="I17" s="251"/>
    </row>
    <row r="18" spans="2:9" ht="17" thickBot="1" x14ac:dyDescent="0.25"/>
    <row r="19" spans="2:9" x14ac:dyDescent="0.2">
      <c r="B19" s="252" t="s">
        <v>181</v>
      </c>
      <c r="C19" s="253"/>
    </row>
    <row r="20" spans="2:9" x14ac:dyDescent="0.2">
      <c r="B20" s="154" t="s">
        <v>182</v>
      </c>
      <c r="C20" s="155">
        <v>0.02</v>
      </c>
    </row>
    <row r="21" spans="2:9" x14ac:dyDescent="0.2">
      <c r="B21" s="154" t="s">
        <v>162</v>
      </c>
      <c r="C21" s="216">
        <f ca="1">IF(Overview!C28&gt;0,Overview!C28,WACC!C20)</f>
        <v>9.9967538269656056E-2</v>
      </c>
    </row>
    <row r="22" spans="2:9" x14ac:dyDescent="0.2">
      <c r="B22" s="154" t="s">
        <v>67</v>
      </c>
      <c r="C22" s="217">
        <f>Statement!AC74</f>
        <v>14594</v>
      </c>
    </row>
    <row r="23" spans="2:9" x14ac:dyDescent="0.2">
      <c r="B23" s="154" t="s">
        <v>223</v>
      </c>
      <c r="C23" s="156">
        <f ca="1">C15*C22</f>
        <v>4820690.08</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4758517.08</v>
      </c>
    </row>
    <row r="27" spans="2:9" ht="17" thickBot="1" x14ac:dyDescent="0.25"/>
    <row r="28" spans="2:9" x14ac:dyDescent="0.2">
      <c r="B28" s="252" t="s">
        <v>183</v>
      </c>
      <c r="C28" s="253"/>
    </row>
    <row r="29" spans="2:9" x14ac:dyDescent="0.2">
      <c r="B29" s="154" t="s">
        <v>184</v>
      </c>
      <c r="C29" s="156">
        <f ca="1">SUM(H10:L10)</f>
        <v>977475.40253734728</v>
      </c>
    </row>
    <row r="30" spans="2:9" x14ac:dyDescent="0.2">
      <c r="B30" s="154" t="s">
        <v>180</v>
      </c>
      <c r="C30" s="156">
        <f ca="1">L11</f>
        <v>3876130.1306834915</v>
      </c>
    </row>
    <row r="31" spans="2:9" x14ac:dyDescent="0.2">
      <c r="B31" s="158" t="s">
        <v>185</v>
      </c>
      <c r="C31" s="159">
        <f ca="1">C29+C30</f>
        <v>4853605.5332208388</v>
      </c>
    </row>
    <row r="32" spans="2:9" x14ac:dyDescent="0.2">
      <c r="B32" s="154" t="s">
        <v>186</v>
      </c>
      <c r="C32" s="160">
        <f>C24</f>
        <v>146517</v>
      </c>
    </row>
    <row r="33" spans="2:3" x14ac:dyDescent="0.2">
      <c r="B33" s="154" t="s">
        <v>187</v>
      </c>
      <c r="C33" s="160">
        <f>C25</f>
        <v>84344</v>
      </c>
    </row>
    <row r="34" spans="2:3" x14ac:dyDescent="0.2">
      <c r="B34" s="158" t="s">
        <v>188</v>
      </c>
      <c r="C34" s="159">
        <f ca="1">C31+C32-C33</f>
        <v>4915778.5332208388</v>
      </c>
    </row>
    <row r="35" spans="2:3" x14ac:dyDescent="0.2">
      <c r="B35" s="154" t="s">
        <v>67</v>
      </c>
      <c r="C35" s="156">
        <f>C22</f>
        <v>14594</v>
      </c>
    </row>
    <row r="36" spans="2:3" ht="17" thickBot="1" x14ac:dyDescent="0.25">
      <c r="B36" s="161" t="s">
        <v>189</v>
      </c>
      <c r="C36" s="162">
        <f ca="1">C34/C35</f>
        <v>336.83558539268461</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2026-10-01T20:14:26Z</dcterms:modified>
</cp:coreProperties>
</file>