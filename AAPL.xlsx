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BF7AEE98-3975-E042-85F3-D9A767B86801}" xr6:coauthVersionLast="47" xr6:coauthVersionMax="47" xr10:uidLastSave="{00000000-0000-0000-0000-000000000000}"/>
  <bookViews>
    <workbookView xWindow="0" yWindow="0" windowWidth="25600" windowHeight="14400" firstSheet="11" activeTab="21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1" l="1"/>
  <c r="C8" i="21"/>
  <c r="G20" i="6"/>
  <c r="F20" i="6"/>
  <c r="E20" i="6"/>
  <c r="D20" i="6"/>
  <c r="H10" i="6"/>
  <c r="I10" i="6" s="1"/>
  <c r="J10" i="6" s="1"/>
  <c r="K10" i="6" s="1"/>
  <c r="L10" i="6" s="1"/>
  <c r="H9" i="6"/>
  <c r="I9" i="6" s="1"/>
  <c r="J9" i="6" s="1"/>
  <c r="K9" i="6" s="1"/>
  <c r="L9" i="6" s="1"/>
  <c r="H8" i="6"/>
  <c r="I7" i="6"/>
  <c r="J7" i="6" s="1"/>
  <c r="K7" i="6" s="1"/>
  <c r="L7" i="6" s="1"/>
  <c r="H7" i="6"/>
  <c r="I6" i="6"/>
  <c r="J6" i="6" s="1"/>
  <c r="K6" i="6" s="1"/>
  <c r="L6" i="6" s="1"/>
  <c r="H6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7" i="6"/>
  <c r="F7" i="6"/>
  <c r="E7" i="6"/>
  <c r="D7" i="6"/>
  <c r="C7" i="6"/>
  <c r="G6" i="6"/>
  <c r="F6" i="6"/>
  <c r="E6" i="6"/>
  <c r="D6" i="6"/>
  <c r="F19" i="6"/>
  <c r="C6" i="6"/>
  <c r="B10" i="6"/>
  <c r="B19" i="6" s="1"/>
  <c r="B9" i="6"/>
  <c r="B8" i="6"/>
  <c r="B17" i="6" s="1"/>
  <c r="B7" i="6"/>
  <c r="B16" i="6" s="1"/>
  <c r="B6" i="6"/>
  <c r="B15" i="6" s="1"/>
  <c r="C48" i="2"/>
  <c r="C47" i="2"/>
  <c r="C46" i="2"/>
  <c r="C45" i="2"/>
  <c r="C44" i="2"/>
  <c r="C17" i="2"/>
  <c r="W62" i="23"/>
  <c r="W61" i="23"/>
  <c r="W60" i="23"/>
  <c r="U62" i="23"/>
  <c r="T62" i="23"/>
  <c r="S62" i="23"/>
  <c r="R62" i="23"/>
  <c r="Q62" i="23"/>
  <c r="P62" i="23"/>
  <c r="O62" i="23"/>
  <c r="N62" i="23"/>
  <c r="U61" i="23"/>
  <c r="T61" i="23"/>
  <c r="S61" i="23"/>
  <c r="R61" i="23"/>
  <c r="Q61" i="23"/>
  <c r="P61" i="23"/>
  <c r="O61" i="23"/>
  <c r="N61" i="23"/>
  <c r="U60" i="23"/>
  <c r="T60" i="23"/>
  <c r="S60" i="23"/>
  <c r="R60" i="23"/>
  <c r="Q60" i="23"/>
  <c r="P60" i="23"/>
  <c r="O60" i="23"/>
  <c r="N60" i="23"/>
  <c r="U59" i="23"/>
  <c r="T59" i="23"/>
  <c r="S59" i="23"/>
  <c r="R59" i="23"/>
  <c r="W59" i="23" s="1"/>
  <c r="Q59" i="23"/>
  <c r="P59" i="23"/>
  <c r="O59" i="23"/>
  <c r="N59" i="23"/>
  <c r="L62" i="23"/>
  <c r="K62" i="23"/>
  <c r="J62" i="23"/>
  <c r="I62" i="23"/>
  <c r="H62" i="23"/>
  <c r="G62" i="23"/>
  <c r="F62" i="23"/>
  <c r="E62" i="23"/>
  <c r="D62" i="23"/>
  <c r="C62" i="23"/>
  <c r="L61" i="23"/>
  <c r="K61" i="23"/>
  <c r="J61" i="23"/>
  <c r="I61" i="23"/>
  <c r="H61" i="23"/>
  <c r="G61" i="23"/>
  <c r="F61" i="23"/>
  <c r="E61" i="23"/>
  <c r="D61" i="23"/>
  <c r="C61" i="23"/>
  <c r="L60" i="23"/>
  <c r="K60" i="23"/>
  <c r="J60" i="23"/>
  <c r="I60" i="23"/>
  <c r="H60" i="23"/>
  <c r="G60" i="23"/>
  <c r="F60" i="23"/>
  <c r="E60" i="23"/>
  <c r="D60" i="23"/>
  <c r="C60" i="23"/>
  <c r="U56" i="23"/>
  <c r="T56" i="23"/>
  <c r="S56" i="23"/>
  <c r="R56" i="23"/>
  <c r="Q56" i="23"/>
  <c r="P56" i="23"/>
  <c r="O56" i="23"/>
  <c r="N56" i="23"/>
  <c r="L56" i="23"/>
  <c r="K56" i="23"/>
  <c r="J56" i="23"/>
  <c r="I56" i="23"/>
  <c r="H56" i="23"/>
  <c r="G56" i="23"/>
  <c r="F56" i="23"/>
  <c r="E56" i="23"/>
  <c r="D56" i="23"/>
  <c r="C56" i="23"/>
  <c r="U53" i="23"/>
  <c r="T53" i="23"/>
  <c r="S53" i="23"/>
  <c r="R53" i="23"/>
  <c r="Q53" i="23"/>
  <c r="P53" i="23"/>
  <c r="O53" i="23"/>
  <c r="N53" i="23"/>
  <c r="U51" i="23"/>
  <c r="T51" i="23"/>
  <c r="S51" i="23"/>
  <c r="R51" i="23"/>
  <c r="Q51" i="23"/>
  <c r="P51" i="23"/>
  <c r="O51" i="23"/>
  <c r="U50" i="23"/>
  <c r="T50" i="23"/>
  <c r="S50" i="23"/>
  <c r="R50" i="23"/>
  <c r="Q50" i="23"/>
  <c r="P50" i="23"/>
  <c r="O50" i="23"/>
  <c r="N51" i="23"/>
  <c r="L53" i="23"/>
  <c r="K53" i="23"/>
  <c r="J53" i="23"/>
  <c r="I53" i="23"/>
  <c r="H53" i="23"/>
  <c r="G53" i="23"/>
  <c r="F53" i="23"/>
  <c r="E53" i="23"/>
  <c r="D53" i="23"/>
  <c r="L52" i="23"/>
  <c r="K52" i="23"/>
  <c r="J52" i="23"/>
  <c r="I52" i="23"/>
  <c r="H52" i="23"/>
  <c r="G52" i="23"/>
  <c r="F52" i="23"/>
  <c r="E52" i="23"/>
  <c r="D52" i="23"/>
  <c r="L51" i="23"/>
  <c r="K51" i="23"/>
  <c r="J51" i="23"/>
  <c r="I51" i="23"/>
  <c r="H51" i="23"/>
  <c r="G51" i="23"/>
  <c r="F51" i="23"/>
  <c r="E51" i="23"/>
  <c r="D51" i="23"/>
  <c r="L50" i="23"/>
  <c r="K50" i="23"/>
  <c r="J50" i="23"/>
  <c r="I50" i="23"/>
  <c r="H50" i="23"/>
  <c r="G50" i="23"/>
  <c r="F50" i="23"/>
  <c r="E50" i="23"/>
  <c r="D50" i="23"/>
  <c r="C53" i="23"/>
  <c r="C52" i="23"/>
  <c r="C51" i="23"/>
  <c r="T64" i="23"/>
  <c r="N74" i="3"/>
  <c r="N73" i="3"/>
  <c r="N72" i="3"/>
  <c r="N70" i="3"/>
  <c r="N69" i="3"/>
  <c r="N67" i="3"/>
  <c r="N65" i="3"/>
  <c r="T57" i="23"/>
  <c r="N60" i="3"/>
  <c r="N59" i="3"/>
  <c r="N58" i="3"/>
  <c r="N57" i="3"/>
  <c r="N56" i="3"/>
  <c r="N55" i="3"/>
  <c r="N54" i="3"/>
  <c r="N53" i="3"/>
  <c r="T55" i="23"/>
  <c r="T54" i="23"/>
  <c r="S63" i="23"/>
  <c r="N71" i="3"/>
  <c r="S57" i="23"/>
  <c r="N64" i="3"/>
  <c r="N63" i="3"/>
  <c r="S55" i="23"/>
  <c r="S54" i="23"/>
  <c r="R64" i="23"/>
  <c r="R63" i="23"/>
  <c r="R57" i="23"/>
  <c r="R55" i="23"/>
  <c r="T18" i="23"/>
  <c r="T16" i="23"/>
  <c r="U36" i="23"/>
  <c r="W36" i="23" s="1"/>
  <c r="T36" i="23"/>
  <c r="S36" i="23"/>
  <c r="R36" i="23"/>
  <c r="Q36" i="23"/>
  <c r="P36" i="23"/>
  <c r="O36" i="23"/>
  <c r="N36" i="23"/>
  <c r="U35" i="23"/>
  <c r="W35" i="23" s="1"/>
  <c r="T35" i="23"/>
  <c r="S35" i="23"/>
  <c r="R35" i="23"/>
  <c r="Q35" i="23"/>
  <c r="P35" i="23"/>
  <c r="O35" i="23"/>
  <c r="N35" i="23"/>
  <c r="U34" i="23"/>
  <c r="W34" i="23" s="1"/>
  <c r="T34" i="23"/>
  <c r="S34" i="23"/>
  <c r="R34" i="23"/>
  <c r="Q34" i="23"/>
  <c r="P34" i="23"/>
  <c r="O34" i="23"/>
  <c r="N34" i="23"/>
  <c r="U33" i="23"/>
  <c r="W33" i="23" s="1"/>
  <c r="T33" i="23"/>
  <c r="S33" i="23"/>
  <c r="R33" i="23"/>
  <c r="Q33" i="23"/>
  <c r="P33" i="23"/>
  <c r="O33" i="23"/>
  <c r="N33" i="23"/>
  <c r="U32" i="23"/>
  <c r="W32" i="23" s="1"/>
  <c r="T32" i="23"/>
  <c r="S32" i="23"/>
  <c r="R32" i="23"/>
  <c r="Q32" i="23"/>
  <c r="P32" i="23"/>
  <c r="O32" i="23"/>
  <c r="L36" i="23"/>
  <c r="K36" i="23"/>
  <c r="J36" i="23"/>
  <c r="I36" i="23"/>
  <c r="H36" i="23"/>
  <c r="G36" i="23"/>
  <c r="F36" i="23"/>
  <c r="E36" i="23"/>
  <c r="D36" i="23"/>
  <c r="C36" i="23"/>
  <c r="L35" i="23"/>
  <c r="K35" i="23"/>
  <c r="J35" i="23"/>
  <c r="I35" i="23"/>
  <c r="H35" i="23"/>
  <c r="G35" i="23"/>
  <c r="F35" i="23"/>
  <c r="E35" i="23"/>
  <c r="D35" i="23"/>
  <c r="C35" i="23"/>
  <c r="L34" i="23"/>
  <c r="K34" i="23"/>
  <c r="J34" i="23"/>
  <c r="I34" i="23"/>
  <c r="H34" i="23"/>
  <c r="G34" i="23"/>
  <c r="F34" i="23"/>
  <c r="E34" i="23"/>
  <c r="D34" i="23"/>
  <c r="C34" i="23"/>
  <c r="L33" i="23"/>
  <c r="K33" i="23"/>
  <c r="J33" i="23"/>
  <c r="I33" i="23"/>
  <c r="H33" i="23"/>
  <c r="G33" i="23"/>
  <c r="F33" i="23"/>
  <c r="E33" i="23"/>
  <c r="D33" i="23"/>
  <c r="C33" i="23"/>
  <c r="L32" i="23"/>
  <c r="K32" i="23"/>
  <c r="J32" i="23"/>
  <c r="I32" i="23"/>
  <c r="H32" i="23"/>
  <c r="G32" i="23"/>
  <c r="F32" i="23"/>
  <c r="E32" i="23"/>
  <c r="D32" i="23"/>
  <c r="U29" i="23"/>
  <c r="W29" i="23" s="1"/>
  <c r="T29" i="23"/>
  <c r="S29" i="23"/>
  <c r="R29" i="23"/>
  <c r="Q29" i="23"/>
  <c r="P29" i="23"/>
  <c r="O29" i="23"/>
  <c r="N29" i="23"/>
  <c r="C29" i="23"/>
  <c r="C21" i="23"/>
  <c r="N37" i="3"/>
  <c r="L66" i="23"/>
  <c r="K66" i="23"/>
  <c r="J66" i="23"/>
  <c r="L65" i="23"/>
  <c r="K65" i="23"/>
  <c r="J65" i="23"/>
  <c r="L64" i="23"/>
  <c r="K64" i="23"/>
  <c r="J64" i="23"/>
  <c r="L63" i="23"/>
  <c r="K63" i="23"/>
  <c r="J63" i="23"/>
  <c r="L59" i="23"/>
  <c r="K59" i="23"/>
  <c r="J59" i="23"/>
  <c r="L58" i="23"/>
  <c r="K58" i="23"/>
  <c r="J58" i="23"/>
  <c r="L57" i="23"/>
  <c r="K57" i="23"/>
  <c r="J57" i="23"/>
  <c r="L55" i="23"/>
  <c r="K55" i="23"/>
  <c r="J55" i="23"/>
  <c r="L54" i="23"/>
  <c r="K54" i="23"/>
  <c r="J54" i="23"/>
  <c r="L46" i="23"/>
  <c r="K46" i="23"/>
  <c r="J46" i="23"/>
  <c r="L45" i="23"/>
  <c r="K45" i="23"/>
  <c r="J45" i="23"/>
  <c r="L44" i="23"/>
  <c r="K44" i="23"/>
  <c r="J44" i="23"/>
  <c r="L43" i="23"/>
  <c r="K43" i="23"/>
  <c r="J43" i="23"/>
  <c r="L42" i="23"/>
  <c r="K42" i="23"/>
  <c r="J42" i="23"/>
  <c r="L41" i="23"/>
  <c r="K41" i="23"/>
  <c r="J41" i="23"/>
  <c r="L39" i="23"/>
  <c r="K39" i="23"/>
  <c r="J39" i="23"/>
  <c r="L38" i="23"/>
  <c r="K38" i="23"/>
  <c r="J38" i="23"/>
  <c r="L37" i="23"/>
  <c r="K37" i="23"/>
  <c r="J37" i="23"/>
  <c r="L31" i="23"/>
  <c r="K31" i="23"/>
  <c r="J31" i="23"/>
  <c r="L29" i="23"/>
  <c r="K29" i="23"/>
  <c r="J29" i="23"/>
  <c r="L28" i="23"/>
  <c r="K28" i="23"/>
  <c r="J28" i="23"/>
  <c r="L27" i="23"/>
  <c r="K27" i="23"/>
  <c r="J27" i="23"/>
  <c r="L26" i="23"/>
  <c r="K26" i="23"/>
  <c r="J26" i="23"/>
  <c r="L25" i="23"/>
  <c r="K25" i="23"/>
  <c r="J25" i="23"/>
  <c r="L24" i="23"/>
  <c r="K24" i="23"/>
  <c r="J24" i="23"/>
  <c r="L23" i="23"/>
  <c r="K23" i="23"/>
  <c r="J23" i="23"/>
  <c r="L22" i="23"/>
  <c r="K22" i="23"/>
  <c r="J22" i="23"/>
  <c r="L21" i="23"/>
  <c r="K21" i="23"/>
  <c r="J21" i="23"/>
  <c r="L16" i="23"/>
  <c r="K16" i="23"/>
  <c r="J16" i="23"/>
  <c r="L15" i="23"/>
  <c r="K15" i="23"/>
  <c r="J15" i="23"/>
  <c r="L14" i="23"/>
  <c r="K14" i="23"/>
  <c r="L81" i="23" s="1"/>
  <c r="J14" i="23"/>
  <c r="L13" i="23"/>
  <c r="K13" i="23"/>
  <c r="J13" i="23"/>
  <c r="L11" i="23"/>
  <c r="K11" i="23"/>
  <c r="J11" i="23"/>
  <c r="L9" i="23"/>
  <c r="K9" i="23"/>
  <c r="J9" i="23"/>
  <c r="L8" i="23"/>
  <c r="K8" i="23"/>
  <c r="J8" i="23"/>
  <c r="L6" i="23"/>
  <c r="K6" i="23"/>
  <c r="J6" i="23"/>
  <c r="L5" i="23"/>
  <c r="K5" i="23"/>
  <c r="J5" i="23"/>
  <c r="L2" i="23"/>
  <c r="K2" i="23"/>
  <c r="J2" i="23"/>
  <c r="I66" i="23"/>
  <c r="H66" i="23"/>
  <c r="G66" i="23"/>
  <c r="F66" i="23"/>
  <c r="E66" i="23"/>
  <c r="D66" i="23"/>
  <c r="I65" i="23"/>
  <c r="H65" i="23"/>
  <c r="G65" i="23"/>
  <c r="F65" i="23"/>
  <c r="E65" i="23"/>
  <c r="D65" i="23"/>
  <c r="I64" i="23"/>
  <c r="H64" i="23"/>
  <c r="G64" i="23"/>
  <c r="F64" i="23"/>
  <c r="E64" i="23"/>
  <c r="D64" i="23"/>
  <c r="I63" i="23"/>
  <c r="H63" i="23"/>
  <c r="G63" i="23"/>
  <c r="F63" i="23"/>
  <c r="E63" i="23"/>
  <c r="D63" i="23"/>
  <c r="I59" i="23"/>
  <c r="H59" i="23"/>
  <c r="G59" i="23"/>
  <c r="F59" i="23"/>
  <c r="E59" i="23"/>
  <c r="D59" i="23"/>
  <c r="I58" i="23"/>
  <c r="H58" i="23"/>
  <c r="G58" i="23"/>
  <c r="F58" i="23"/>
  <c r="E58" i="23"/>
  <c r="D58" i="23"/>
  <c r="I57" i="23"/>
  <c r="H57" i="23"/>
  <c r="G57" i="23"/>
  <c r="F57" i="23"/>
  <c r="E57" i="23"/>
  <c r="D57" i="23"/>
  <c r="I55" i="23"/>
  <c r="H55" i="23"/>
  <c r="G55" i="23"/>
  <c r="F55" i="23"/>
  <c r="E55" i="23"/>
  <c r="D55" i="23"/>
  <c r="I54" i="23"/>
  <c r="H54" i="23"/>
  <c r="G54" i="23"/>
  <c r="F54" i="23"/>
  <c r="E54" i="23"/>
  <c r="D54" i="23"/>
  <c r="I46" i="23"/>
  <c r="H46" i="23"/>
  <c r="G46" i="23"/>
  <c r="F46" i="23"/>
  <c r="E46" i="23"/>
  <c r="D46" i="23"/>
  <c r="I45" i="23"/>
  <c r="H45" i="23"/>
  <c r="G45" i="23"/>
  <c r="F45" i="23"/>
  <c r="E45" i="23"/>
  <c r="D45" i="23"/>
  <c r="I44" i="23"/>
  <c r="H44" i="23"/>
  <c r="G44" i="23"/>
  <c r="F44" i="23"/>
  <c r="E44" i="23"/>
  <c r="D44" i="23"/>
  <c r="I43" i="23"/>
  <c r="H43" i="23"/>
  <c r="G43" i="23"/>
  <c r="F43" i="23"/>
  <c r="E43" i="23"/>
  <c r="D43" i="23"/>
  <c r="I42" i="23"/>
  <c r="H42" i="23"/>
  <c r="G42" i="23"/>
  <c r="F42" i="23"/>
  <c r="E42" i="23"/>
  <c r="D42" i="23"/>
  <c r="I41" i="23"/>
  <c r="H41" i="23"/>
  <c r="G41" i="23"/>
  <c r="F41" i="23"/>
  <c r="E41" i="23"/>
  <c r="D41" i="23"/>
  <c r="I39" i="23"/>
  <c r="H39" i="23"/>
  <c r="G39" i="23"/>
  <c r="F39" i="23"/>
  <c r="E39" i="23"/>
  <c r="D39" i="23"/>
  <c r="I38" i="23"/>
  <c r="H38" i="23"/>
  <c r="G38" i="23"/>
  <c r="F38" i="23"/>
  <c r="E38" i="23"/>
  <c r="D38" i="23"/>
  <c r="I37" i="23"/>
  <c r="H37" i="23"/>
  <c r="G37" i="23"/>
  <c r="F37" i="23"/>
  <c r="E37" i="23"/>
  <c r="D37" i="23"/>
  <c r="I31" i="23"/>
  <c r="I72" i="23" s="1"/>
  <c r="H31" i="23"/>
  <c r="G31" i="23"/>
  <c r="G72" i="23" s="1"/>
  <c r="F31" i="23"/>
  <c r="E31" i="23"/>
  <c r="D31" i="23"/>
  <c r="I29" i="23"/>
  <c r="H29" i="23"/>
  <c r="G29" i="23"/>
  <c r="F29" i="23"/>
  <c r="E29" i="23"/>
  <c r="D29" i="23"/>
  <c r="I28" i="23"/>
  <c r="H28" i="23"/>
  <c r="G28" i="23"/>
  <c r="F28" i="23"/>
  <c r="E28" i="23"/>
  <c r="D28" i="23"/>
  <c r="I27" i="23"/>
  <c r="H27" i="23"/>
  <c r="G27" i="23"/>
  <c r="F27" i="23"/>
  <c r="E27" i="23"/>
  <c r="D27" i="23"/>
  <c r="I26" i="23"/>
  <c r="H26" i="23"/>
  <c r="G26" i="23"/>
  <c r="F26" i="23"/>
  <c r="E26" i="23"/>
  <c r="D26" i="23"/>
  <c r="I25" i="23"/>
  <c r="H25" i="23"/>
  <c r="G25" i="23"/>
  <c r="F25" i="23"/>
  <c r="E25" i="23"/>
  <c r="D25" i="23"/>
  <c r="I24" i="23"/>
  <c r="H24" i="23"/>
  <c r="G24" i="23"/>
  <c r="F24" i="23"/>
  <c r="E24" i="23"/>
  <c r="D24" i="23"/>
  <c r="I23" i="23"/>
  <c r="H23" i="23"/>
  <c r="G23" i="23"/>
  <c r="F23" i="23"/>
  <c r="E23" i="23"/>
  <c r="D23" i="23"/>
  <c r="I22" i="23"/>
  <c r="H22" i="23"/>
  <c r="G22" i="23"/>
  <c r="F22" i="23"/>
  <c r="E22" i="23"/>
  <c r="D22" i="23"/>
  <c r="I21" i="23"/>
  <c r="H21" i="23"/>
  <c r="G21" i="23"/>
  <c r="F21" i="23"/>
  <c r="E21" i="23"/>
  <c r="D21" i="23"/>
  <c r="I16" i="23"/>
  <c r="I15" i="23"/>
  <c r="I14" i="23"/>
  <c r="I13" i="23"/>
  <c r="I11" i="23"/>
  <c r="I9" i="23"/>
  <c r="I8" i="23"/>
  <c r="I6" i="23"/>
  <c r="I5" i="23"/>
  <c r="I2" i="23"/>
  <c r="H16" i="23"/>
  <c r="G16" i="23"/>
  <c r="F16" i="23"/>
  <c r="E16" i="23"/>
  <c r="D16" i="23"/>
  <c r="H15" i="23"/>
  <c r="G15" i="23"/>
  <c r="F15" i="23"/>
  <c r="E15" i="23"/>
  <c r="D15" i="23"/>
  <c r="H14" i="23"/>
  <c r="G14" i="23"/>
  <c r="H81" i="23" s="1"/>
  <c r="F14" i="23"/>
  <c r="E14" i="23"/>
  <c r="D14" i="23"/>
  <c r="H13" i="23"/>
  <c r="G13" i="23"/>
  <c r="F13" i="23"/>
  <c r="E13" i="23"/>
  <c r="D13" i="23"/>
  <c r="H11" i="23"/>
  <c r="G11" i="23"/>
  <c r="F11" i="23"/>
  <c r="E11" i="23"/>
  <c r="D11" i="23"/>
  <c r="H9" i="23"/>
  <c r="G9" i="23"/>
  <c r="F9" i="23"/>
  <c r="E9" i="23"/>
  <c r="D9" i="23"/>
  <c r="H8" i="23"/>
  <c r="G8" i="23"/>
  <c r="F8" i="23"/>
  <c r="E8" i="23"/>
  <c r="D8" i="23"/>
  <c r="H6" i="23"/>
  <c r="G6" i="23"/>
  <c r="F6" i="23"/>
  <c r="E6" i="23"/>
  <c r="D6" i="23"/>
  <c r="H5" i="23"/>
  <c r="G5" i="23"/>
  <c r="F5" i="23"/>
  <c r="E5" i="23"/>
  <c r="D5" i="23"/>
  <c r="H2" i="23"/>
  <c r="G2" i="23"/>
  <c r="F2" i="23"/>
  <c r="E2" i="23"/>
  <c r="D2" i="23"/>
  <c r="U13" i="23"/>
  <c r="T13" i="23"/>
  <c r="S13" i="23"/>
  <c r="R13" i="23"/>
  <c r="Q13" i="23"/>
  <c r="P13" i="23"/>
  <c r="O13" i="23"/>
  <c r="N13" i="23"/>
  <c r="C13" i="23"/>
  <c r="U9" i="23"/>
  <c r="T9" i="23"/>
  <c r="S9" i="23"/>
  <c r="R9" i="23"/>
  <c r="Q9" i="23"/>
  <c r="P9" i="23"/>
  <c r="O9" i="23"/>
  <c r="N9" i="23"/>
  <c r="L118" i="1"/>
  <c r="G16" i="13" s="1"/>
  <c r="G33" i="17" s="1"/>
  <c r="K118" i="1"/>
  <c r="F16" i="13" s="1"/>
  <c r="F33" i="17" s="1"/>
  <c r="J118" i="1"/>
  <c r="E16" i="13" s="1"/>
  <c r="E33" i="17" s="1"/>
  <c r="I118" i="1"/>
  <c r="D16" i="13" s="1"/>
  <c r="D33" i="17" s="1"/>
  <c r="H118" i="1"/>
  <c r="C16" i="13" s="1"/>
  <c r="C33" i="17" s="1"/>
  <c r="G118" i="1"/>
  <c r="F118" i="1"/>
  <c r="E118" i="1"/>
  <c r="D118" i="1"/>
  <c r="C118" i="1"/>
  <c r="L116" i="1"/>
  <c r="L114" i="1"/>
  <c r="K116" i="1"/>
  <c r="K114" i="1"/>
  <c r="J116" i="1"/>
  <c r="J114" i="1"/>
  <c r="I116" i="1"/>
  <c r="I114" i="1"/>
  <c r="H116" i="1"/>
  <c r="H114" i="1"/>
  <c r="G116" i="1"/>
  <c r="G114" i="1"/>
  <c r="F116" i="1"/>
  <c r="F114" i="1"/>
  <c r="C116" i="1"/>
  <c r="C24" i="2" s="1"/>
  <c r="D116" i="1"/>
  <c r="E116" i="1"/>
  <c r="E114" i="1"/>
  <c r="D114" i="1"/>
  <c r="C114" i="1"/>
  <c r="P98" i="1"/>
  <c r="P99" i="1" s="1"/>
  <c r="O98" i="1"/>
  <c r="O99" i="1" s="1"/>
  <c r="N98" i="1"/>
  <c r="N99" i="1" s="1"/>
  <c r="M98" i="1"/>
  <c r="M99" i="1" s="1"/>
  <c r="L98" i="1"/>
  <c r="L99" i="1" s="1"/>
  <c r="K98" i="1"/>
  <c r="K99" i="1" s="1"/>
  <c r="J98" i="1"/>
  <c r="J99" i="1" s="1"/>
  <c r="I98" i="1"/>
  <c r="I99" i="1" s="1"/>
  <c r="H98" i="1"/>
  <c r="H99" i="1" s="1"/>
  <c r="G98" i="1"/>
  <c r="G99" i="1" s="1"/>
  <c r="F98" i="1"/>
  <c r="F99" i="1" s="1"/>
  <c r="E98" i="1"/>
  <c r="E99" i="1" s="1"/>
  <c r="D98" i="1"/>
  <c r="D99" i="1" s="1"/>
  <c r="C98" i="1"/>
  <c r="C99" i="1" s="1"/>
  <c r="L36" i="1"/>
  <c r="L30" i="23" s="1"/>
  <c r="K36" i="1"/>
  <c r="K30" i="23" s="1"/>
  <c r="L23" i="1"/>
  <c r="L18" i="23" s="1"/>
  <c r="K23" i="1"/>
  <c r="K18" i="23" s="1"/>
  <c r="J23" i="1"/>
  <c r="J18" i="23" s="1"/>
  <c r="I23" i="1"/>
  <c r="I18" i="23" s="1"/>
  <c r="H23" i="1"/>
  <c r="H18" i="23" s="1"/>
  <c r="G23" i="1"/>
  <c r="G18" i="23" s="1"/>
  <c r="F23" i="1"/>
  <c r="F18" i="23" s="1"/>
  <c r="E23" i="1"/>
  <c r="E18" i="23" s="1"/>
  <c r="D23" i="1"/>
  <c r="D18" i="23" s="1"/>
  <c r="C23" i="1"/>
  <c r="C18" i="23" s="1"/>
  <c r="C23" i="2"/>
  <c r="L21" i="1"/>
  <c r="K21" i="1"/>
  <c r="J21" i="1"/>
  <c r="I21" i="1"/>
  <c r="H21" i="1"/>
  <c r="G21" i="1"/>
  <c r="F21" i="1"/>
  <c r="E21" i="1"/>
  <c r="D21" i="1"/>
  <c r="C21" i="1"/>
  <c r="L19" i="1"/>
  <c r="L17" i="23" s="1"/>
  <c r="K19" i="1"/>
  <c r="K17" i="23" s="1"/>
  <c r="J19" i="1"/>
  <c r="J17" i="23" s="1"/>
  <c r="I19" i="1"/>
  <c r="I17" i="23" s="1"/>
  <c r="H19" i="1"/>
  <c r="H17" i="23" s="1"/>
  <c r="G19" i="1"/>
  <c r="G17" i="23" s="1"/>
  <c r="F19" i="1"/>
  <c r="F17" i="23" s="1"/>
  <c r="E19" i="1"/>
  <c r="E17" i="23" s="1"/>
  <c r="D19" i="1"/>
  <c r="D17" i="23" s="1"/>
  <c r="C19" i="1"/>
  <c r="C17" i="23" s="1"/>
  <c r="L17" i="1"/>
  <c r="K17" i="1"/>
  <c r="J17" i="1"/>
  <c r="I17" i="1"/>
  <c r="H17" i="1"/>
  <c r="G17" i="1"/>
  <c r="F17" i="1"/>
  <c r="E17" i="1"/>
  <c r="D17" i="1"/>
  <c r="C17" i="1"/>
  <c r="C22" i="2"/>
  <c r="C21" i="2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19" i="1"/>
  <c r="G21" i="15" s="1"/>
  <c r="K119" i="1"/>
  <c r="F21" i="15" s="1"/>
  <c r="J119" i="1"/>
  <c r="E21" i="15" s="1"/>
  <c r="I119" i="1"/>
  <c r="D21" i="15" s="1"/>
  <c r="H119" i="1"/>
  <c r="C21" i="15" s="1"/>
  <c r="G119" i="1"/>
  <c r="F119" i="1"/>
  <c r="E119" i="1"/>
  <c r="D119" i="1"/>
  <c r="C119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P109" i="1"/>
  <c r="P110" i="1" s="1"/>
  <c r="O109" i="1"/>
  <c r="O110" i="1" s="1"/>
  <c r="N109" i="1"/>
  <c r="N110" i="1" s="1"/>
  <c r="M109" i="1"/>
  <c r="M110" i="1" s="1"/>
  <c r="L109" i="1"/>
  <c r="L110" i="1" s="1"/>
  <c r="K109" i="1"/>
  <c r="K110" i="1" s="1"/>
  <c r="J109" i="1"/>
  <c r="J110" i="1" s="1"/>
  <c r="I109" i="1"/>
  <c r="I110" i="1" s="1"/>
  <c r="H109" i="1"/>
  <c r="H110" i="1" s="1"/>
  <c r="G109" i="1"/>
  <c r="G110" i="1" s="1"/>
  <c r="F109" i="1"/>
  <c r="F110" i="1" s="1"/>
  <c r="E109" i="1"/>
  <c r="E110" i="1" s="1"/>
  <c r="D109" i="1"/>
  <c r="D110" i="1" s="1"/>
  <c r="P107" i="1"/>
  <c r="P108" i="1" s="1"/>
  <c r="O107" i="1"/>
  <c r="O108" i="1" s="1"/>
  <c r="N107" i="1"/>
  <c r="N108" i="1" s="1"/>
  <c r="M107" i="1"/>
  <c r="M108" i="1" s="1"/>
  <c r="L107" i="1"/>
  <c r="L108" i="1" s="1"/>
  <c r="K107" i="1"/>
  <c r="K108" i="1" s="1"/>
  <c r="J107" i="1"/>
  <c r="J108" i="1" s="1"/>
  <c r="I107" i="1"/>
  <c r="I108" i="1" s="1"/>
  <c r="H107" i="1"/>
  <c r="H108" i="1" s="1"/>
  <c r="G107" i="1"/>
  <c r="G108" i="1" s="1"/>
  <c r="F107" i="1"/>
  <c r="F108" i="1" s="1"/>
  <c r="E107" i="1"/>
  <c r="E108" i="1" s="1"/>
  <c r="D107" i="1"/>
  <c r="D108" i="1" s="1"/>
  <c r="P105" i="1"/>
  <c r="P106" i="1" s="1"/>
  <c r="O105" i="1"/>
  <c r="O106" i="1" s="1"/>
  <c r="N105" i="1"/>
  <c r="N106" i="1" s="1"/>
  <c r="M105" i="1"/>
  <c r="M106" i="1" s="1"/>
  <c r="L105" i="1"/>
  <c r="L106" i="1" s="1"/>
  <c r="K105" i="1"/>
  <c r="K106" i="1" s="1"/>
  <c r="J105" i="1"/>
  <c r="J106" i="1" s="1"/>
  <c r="I105" i="1"/>
  <c r="I106" i="1" s="1"/>
  <c r="H105" i="1"/>
  <c r="H106" i="1" s="1"/>
  <c r="G105" i="1"/>
  <c r="G106" i="1" s="1"/>
  <c r="F105" i="1"/>
  <c r="F106" i="1" s="1"/>
  <c r="E105" i="1"/>
  <c r="E106" i="1" s="1"/>
  <c r="D105" i="1"/>
  <c r="D106" i="1" s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P100" i="1"/>
  <c r="P101" i="1" s="1"/>
  <c r="O100" i="1"/>
  <c r="O101" i="1" s="1"/>
  <c r="N100" i="1"/>
  <c r="N101" i="1" s="1"/>
  <c r="M100" i="1"/>
  <c r="M101" i="1" s="1"/>
  <c r="L100" i="1"/>
  <c r="L101" i="1" s="1"/>
  <c r="K100" i="1"/>
  <c r="K101" i="1" s="1"/>
  <c r="J100" i="1"/>
  <c r="J101" i="1" s="1"/>
  <c r="I100" i="1"/>
  <c r="I101" i="1" s="1"/>
  <c r="H100" i="1"/>
  <c r="H101" i="1" s="1"/>
  <c r="G100" i="1"/>
  <c r="G101" i="1" s="1"/>
  <c r="F100" i="1"/>
  <c r="F101" i="1" s="1"/>
  <c r="E100" i="1"/>
  <c r="E101" i="1" s="1"/>
  <c r="D100" i="1"/>
  <c r="D101" i="1" s="1"/>
  <c r="P96" i="1"/>
  <c r="P97" i="1" s="1"/>
  <c r="O96" i="1"/>
  <c r="O97" i="1" s="1"/>
  <c r="N96" i="1"/>
  <c r="N97" i="1" s="1"/>
  <c r="M96" i="1"/>
  <c r="M97" i="1" s="1"/>
  <c r="L96" i="1"/>
  <c r="L97" i="1" s="1"/>
  <c r="K96" i="1"/>
  <c r="K97" i="1" s="1"/>
  <c r="J96" i="1"/>
  <c r="J97" i="1" s="1"/>
  <c r="I96" i="1"/>
  <c r="I97" i="1" s="1"/>
  <c r="H96" i="1"/>
  <c r="H97" i="1" s="1"/>
  <c r="G96" i="1"/>
  <c r="G97" i="1" s="1"/>
  <c r="F96" i="1"/>
  <c r="F97" i="1" s="1"/>
  <c r="E96" i="1"/>
  <c r="E97" i="1" s="1"/>
  <c r="D96" i="1"/>
  <c r="D97" i="1" s="1"/>
  <c r="P55" i="1"/>
  <c r="P103" i="1" s="1"/>
  <c r="P104" i="1" s="1"/>
  <c r="O55" i="1"/>
  <c r="O103" i="1" s="1"/>
  <c r="O104" i="1" s="1"/>
  <c r="N55" i="1"/>
  <c r="N103" i="1" s="1"/>
  <c r="N104" i="1" s="1"/>
  <c r="M55" i="1"/>
  <c r="M103" i="1" s="1"/>
  <c r="M104" i="1" s="1"/>
  <c r="L55" i="1"/>
  <c r="K55" i="1"/>
  <c r="J55" i="1"/>
  <c r="I55" i="1"/>
  <c r="H55" i="1"/>
  <c r="G55" i="1"/>
  <c r="F55" i="1"/>
  <c r="E55" i="1"/>
  <c r="D55" i="1"/>
  <c r="P46" i="1"/>
  <c r="O46" i="1"/>
  <c r="N46" i="1"/>
  <c r="M46" i="1"/>
  <c r="L46" i="1"/>
  <c r="L40" i="23" s="1"/>
  <c r="K46" i="1"/>
  <c r="K40" i="23" s="1"/>
  <c r="J46" i="1"/>
  <c r="J40" i="23" s="1"/>
  <c r="I46" i="1"/>
  <c r="I40" i="23" s="1"/>
  <c r="H46" i="1"/>
  <c r="H40" i="23" s="1"/>
  <c r="G46" i="1"/>
  <c r="G40" i="23" s="1"/>
  <c r="F46" i="1"/>
  <c r="F40" i="23" s="1"/>
  <c r="E46" i="1"/>
  <c r="E40" i="23" s="1"/>
  <c r="D46" i="1"/>
  <c r="D40" i="23" s="1"/>
  <c r="P36" i="1"/>
  <c r="O36" i="1"/>
  <c r="N36" i="1"/>
  <c r="M36" i="1"/>
  <c r="J36" i="1"/>
  <c r="J30" i="23" s="1"/>
  <c r="I36" i="1"/>
  <c r="I30" i="23" s="1"/>
  <c r="H36" i="1"/>
  <c r="H30" i="23" s="1"/>
  <c r="G36" i="1"/>
  <c r="G30" i="23" s="1"/>
  <c r="F36" i="1"/>
  <c r="F30" i="23" s="1"/>
  <c r="E36" i="1"/>
  <c r="E30" i="23" s="1"/>
  <c r="D36" i="1"/>
  <c r="D30" i="23" s="1"/>
  <c r="P10" i="1"/>
  <c r="P94" i="1" s="1"/>
  <c r="P95" i="1" s="1"/>
  <c r="O10" i="1"/>
  <c r="O94" i="1" s="1"/>
  <c r="O95" i="1" s="1"/>
  <c r="N10" i="1"/>
  <c r="N94" i="1" s="1"/>
  <c r="N95" i="1" s="1"/>
  <c r="M10" i="1"/>
  <c r="M94" i="1" s="1"/>
  <c r="M95" i="1" s="1"/>
  <c r="L10" i="1"/>
  <c r="K10" i="1"/>
  <c r="K10" i="23" s="1"/>
  <c r="J10" i="1"/>
  <c r="J10" i="23" s="1"/>
  <c r="I10" i="1"/>
  <c r="I10" i="23" s="1"/>
  <c r="H10" i="1"/>
  <c r="H10" i="23" s="1"/>
  <c r="G10" i="1"/>
  <c r="F10" i="1"/>
  <c r="E10" i="1"/>
  <c r="E10" i="23" s="1"/>
  <c r="D10" i="1"/>
  <c r="D10" i="23" s="1"/>
  <c r="P7" i="1"/>
  <c r="O7" i="1"/>
  <c r="N7" i="1"/>
  <c r="M7" i="1"/>
  <c r="L7" i="1"/>
  <c r="K7" i="1"/>
  <c r="K7" i="23" s="1"/>
  <c r="J7" i="1"/>
  <c r="I7" i="1"/>
  <c r="H7" i="1"/>
  <c r="G7" i="1"/>
  <c r="G7" i="23" s="1"/>
  <c r="F7" i="1"/>
  <c r="F7" i="23" s="1"/>
  <c r="E7" i="1"/>
  <c r="E7" i="23" s="1"/>
  <c r="D7" i="1"/>
  <c r="D7" i="23" s="1"/>
  <c r="D3" i="1"/>
  <c r="C3" i="2"/>
  <c r="C102" i="1"/>
  <c r="G16" i="24"/>
  <c r="F16" i="24"/>
  <c r="E16" i="24"/>
  <c r="D16" i="24"/>
  <c r="C16" i="24"/>
  <c r="C34" i="2"/>
  <c r="C35" i="2" s="1"/>
  <c r="G7" i="24"/>
  <c r="D7" i="24"/>
  <c r="E7" i="24"/>
  <c r="F7" i="24"/>
  <c r="C7" i="24"/>
  <c r="G6" i="24"/>
  <c r="F6" i="24"/>
  <c r="E6" i="24"/>
  <c r="D6" i="24"/>
  <c r="C6" i="24"/>
  <c r="U66" i="23"/>
  <c r="W66" i="23" s="1"/>
  <c r="T66" i="23"/>
  <c r="S66" i="23"/>
  <c r="R66" i="23"/>
  <c r="Q66" i="23"/>
  <c r="P66" i="23"/>
  <c r="O66" i="23"/>
  <c r="N66" i="23"/>
  <c r="U65" i="23"/>
  <c r="T65" i="23"/>
  <c r="S65" i="23"/>
  <c r="R65" i="23"/>
  <c r="W65" i="23" s="1"/>
  <c r="Q65" i="23"/>
  <c r="P65" i="23"/>
  <c r="O65" i="23"/>
  <c r="N65" i="23"/>
  <c r="U64" i="23"/>
  <c r="Q64" i="23"/>
  <c r="P64" i="23"/>
  <c r="O64" i="23"/>
  <c r="N64" i="23"/>
  <c r="U63" i="23"/>
  <c r="Q63" i="23"/>
  <c r="P63" i="23"/>
  <c r="O63" i="23"/>
  <c r="W58" i="23"/>
  <c r="N63" i="23"/>
  <c r="U57" i="23"/>
  <c r="Q57" i="23"/>
  <c r="P57" i="23"/>
  <c r="O57" i="23"/>
  <c r="N57" i="23"/>
  <c r="U55" i="23"/>
  <c r="Q55" i="23"/>
  <c r="P55" i="23"/>
  <c r="O55" i="23"/>
  <c r="U54" i="23"/>
  <c r="R54" i="23"/>
  <c r="Q54" i="23"/>
  <c r="P54" i="23"/>
  <c r="O54" i="23"/>
  <c r="N55" i="23"/>
  <c r="N54" i="23"/>
  <c r="N50" i="23"/>
  <c r="C66" i="23"/>
  <c r="C65" i="23"/>
  <c r="C64" i="23"/>
  <c r="C63" i="23"/>
  <c r="C59" i="23"/>
  <c r="C58" i="23"/>
  <c r="C57" i="23"/>
  <c r="C55" i="23"/>
  <c r="C54" i="23"/>
  <c r="C50" i="23"/>
  <c r="U46" i="23"/>
  <c r="W46" i="23" s="1"/>
  <c r="T46" i="23"/>
  <c r="S46" i="23"/>
  <c r="R46" i="23"/>
  <c r="Q46" i="23"/>
  <c r="P46" i="23"/>
  <c r="O46" i="23"/>
  <c r="N46" i="23"/>
  <c r="U45" i="23"/>
  <c r="W45" i="23" s="1"/>
  <c r="T45" i="23"/>
  <c r="S45" i="23"/>
  <c r="R45" i="23"/>
  <c r="Q45" i="23"/>
  <c r="P45" i="23"/>
  <c r="O45" i="23"/>
  <c r="N45" i="23"/>
  <c r="U44" i="23"/>
  <c r="W44" i="23" s="1"/>
  <c r="T44" i="23"/>
  <c r="S44" i="23"/>
  <c r="R44" i="23"/>
  <c r="Q44" i="23"/>
  <c r="P44" i="23"/>
  <c r="O44" i="23"/>
  <c r="N44" i="23"/>
  <c r="U43" i="23"/>
  <c r="W43" i="23" s="1"/>
  <c r="T43" i="23"/>
  <c r="S43" i="23"/>
  <c r="R43" i="23"/>
  <c r="Q43" i="23"/>
  <c r="P43" i="23"/>
  <c r="O43" i="23"/>
  <c r="N43" i="23"/>
  <c r="U42" i="23"/>
  <c r="W42" i="23" s="1"/>
  <c r="T42" i="23"/>
  <c r="S42" i="23"/>
  <c r="R42" i="23"/>
  <c r="Q42" i="23"/>
  <c r="P42" i="23"/>
  <c r="O42" i="23"/>
  <c r="N42" i="23"/>
  <c r="U41" i="23"/>
  <c r="W41" i="23" s="1"/>
  <c r="T41" i="23"/>
  <c r="S41" i="23"/>
  <c r="R41" i="23"/>
  <c r="Q41" i="23"/>
  <c r="P41" i="23"/>
  <c r="O41" i="23"/>
  <c r="N41" i="23"/>
  <c r="U39" i="23"/>
  <c r="W39" i="23" s="1"/>
  <c r="T39" i="23"/>
  <c r="S39" i="23"/>
  <c r="R39" i="23"/>
  <c r="Q39" i="23"/>
  <c r="P39" i="23"/>
  <c r="O39" i="23"/>
  <c r="N39" i="23"/>
  <c r="U38" i="23"/>
  <c r="W38" i="23" s="1"/>
  <c r="T38" i="23"/>
  <c r="S38" i="23"/>
  <c r="R38" i="23"/>
  <c r="Q38" i="23"/>
  <c r="P38" i="23"/>
  <c r="O38" i="23"/>
  <c r="N38" i="23"/>
  <c r="U37" i="23"/>
  <c r="W37" i="23" s="1"/>
  <c r="T37" i="23"/>
  <c r="S37" i="23"/>
  <c r="R37" i="23"/>
  <c r="Q37" i="23"/>
  <c r="P37" i="23"/>
  <c r="O37" i="23"/>
  <c r="N37" i="23"/>
  <c r="N32" i="23"/>
  <c r="U31" i="23"/>
  <c r="W31" i="23" s="1"/>
  <c r="T31" i="23"/>
  <c r="S31" i="23"/>
  <c r="R31" i="23"/>
  <c r="Q31" i="23"/>
  <c r="P31" i="23"/>
  <c r="O31" i="23"/>
  <c r="N31" i="23"/>
  <c r="U28" i="23"/>
  <c r="W28" i="23" s="1"/>
  <c r="T28" i="23"/>
  <c r="S28" i="23"/>
  <c r="R28" i="23"/>
  <c r="Q28" i="23"/>
  <c r="P28" i="23"/>
  <c r="O28" i="23"/>
  <c r="N28" i="23"/>
  <c r="U27" i="23"/>
  <c r="W27" i="23" s="1"/>
  <c r="T27" i="23"/>
  <c r="S27" i="23"/>
  <c r="R27" i="23"/>
  <c r="Q27" i="23"/>
  <c r="P27" i="23"/>
  <c r="O27" i="23"/>
  <c r="N27" i="23"/>
  <c r="U26" i="23"/>
  <c r="W26" i="23" s="1"/>
  <c r="T26" i="23"/>
  <c r="S26" i="23"/>
  <c r="R26" i="23"/>
  <c r="Q26" i="23"/>
  <c r="P26" i="23"/>
  <c r="O26" i="23"/>
  <c r="N26" i="23"/>
  <c r="U25" i="23"/>
  <c r="W25" i="23" s="1"/>
  <c r="T25" i="23"/>
  <c r="S25" i="23"/>
  <c r="R25" i="23"/>
  <c r="Q25" i="23"/>
  <c r="P25" i="23"/>
  <c r="O25" i="23"/>
  <c r="N25" i="23"/>
  <c r="U24" i="23"/>
  <c r="W24" i="23" s="1"/>
  <c r="T24" i="23"/>
  <c r="S24" i="23"/>
  <c r="R24" i="23"/>
  <c r="Q24" i="23"/>
  <c r="P24" i="23"/>
  <c r="O24" i="23"/>
  <c r="N24" i="23"/>
  <c r="U23" i="23"/>
  <c r="W23" i="23" s="1"/>
  <c r="T23" i="23"/>
  <c r="S23" i="23"/>
  <c r="R23" i="23"/>
  <c r="Q23" i="23"/>
  <c r="P23" i="23"/>
  <c r="O23" i="23"/>
  <c r="N23" i="23"/>
  <c r="U22" i="23"/>
  <c r="W22" i="23" s="1"/>
  <c r="T22" i="23"/>
  <c r="S22" i="23"/>
  <c r="R22" i="23"/>
  <c r="Q22" i="23"/>
  <c r="P22" i="23"/>
  <c r="O22" i="23"/>
  <c r="N22" i="23"/>
  <c r="U21" i="23"/>
  <c r="W21" i="23" s="1"/>
  <c r="C16" i="2" s="1"/>
  <c r="T21" i="23"/>
  <c r="S21" i="23"/>
  <c r="R21" i="23"/>
  <c r="Q21" i="23"/>
  <c r="P21" i="23"/>
  <c r="O21" i="23"/>
  <c r="N21" i="23"/>
  <c r="C46" i="23"/>
  <c r="C45" i="23"/>
  <c r="C44" i="23"/>
  <c r="C43" i="23"/>
  <c r="C42" i="23"/>
  <c r="C41" i="23"/>
  <c r="C39" i="23"/>
  <c r="C38" i="23"/>
  <c r="C37" i="23"/>
  <c r="C32" i="23"/>
  <c r="C31" i="23"/>
  <c r="C28" i="23"/>
  <c r="C27" i="23"/>
  <c r="C26" i="23"/>
  <c r="C25" i="23"/>
  <c r="C24" i="23"/>
  <c r="C23" i="23"/>
  <c r="C22" i="23"/>
  <c r="U18" i="23"/>
  <c r="S18" i="23"/>
  <c r="R18" i="23"/>
  <c r="S84" i="23" s="1"/>
  <c r="Q18" i="23"/>
  <c r="P18" i="23"/>
  <c r="O18" i="23"/>
  <c r="N18" i="23"/>
  <c r="U17" i="23"/>
  <c r="T17" i="23"/>
  <c r="S17" i="23"/>
  <c r="R17" i="23"/>
  <c r="W17" i="23" s="1"/>
  <c r="Q17" i="23"/>
  <c r="P17" i="23"/>
  <c r="O17" i="23"/>
  <c r="N17" i="23"/>
  <c r="U16" i="23"/>
  <c r="S16" i="23"/>
  <c r="R16" i="23"/>
  <c r="Q16" i="23"/>
  <c r="P16" i="23"/>
  <c r="O16" i="23"/>
  <c r="N16" i="23"/>
  <c r="U15" i="23"/>
  <c r="T15" i="23"/>
  <c r="S15" i="23"/>
  <c r="R15" i="23"/>
  <c r="Q15" i="23"/>
  <c r="P15" i="23"/>
  <c r="O15" i="23"/>
  <c r="N15" i="23"/>
  <c r="U14" i="23"/>
  <c r="T14" i="23"/>
  <c r="S14" i="23"/>
  <c r="R14" i="23"/>
  <c r="Q14" i="23"/>
  <c r="R81" i="23" s="1"/>
  <c r="P14" i="23"/>
  <c r="O14" i="23"/>
  <c r="P81" i="23" s="1"/>
  <c r="N14" i="23"/>
  <c r="U11" i="23"/>
  <c r="T11" i="23"/>
  <c r="S11" i="23"/>
  <c r="R11" i="23"/>
  <c r="Q11" i="23"/>
  <c r="P11" i="23"/>
  <c r="O11" i="23"/>
  <c r="N11" i="23"/>
  <c r="U8" i="23"/>
  <c r="T8" i="23"/>
  <c r="S8" i="23"/>
  <c r="R8" i="23"/>
  <c r="W8" i="23" s="1"/>
  <c r="Q8" i="23"/>
  <c r="P8" i="23"/>
  <c r="O8" i="23"/>
  <c r="N8" i="23"/>
  <c r="U6" i="23"/>
  <c r="T6" i="23"/>
  <c r="S6" i="23"/>
  <c r="R6" i="23"/>
  <c r="Q6" i="23"/>
  <c r="P6" i="23"/>
  <c r="O6" i="23"/>
  <c r="N6" i="23"/>
  <c r="U5" i="23"/>
  <c r="T5" i="23"/>
  <c r="S5" i="23"/>
  <c r="R5" i="23"/>
  <c r="Q5" i="23"/>
  <c r="P5" i="23"/>
  <c r="O5" i="23"/>
  <c r="N5" i="23"/>
  <c r="C15" i="23"/>
  <c r="C16" i="23"/>
  <c r="C14" i="23"/>
  <c r="C6" i="23"/>
  <c r="C8" i="23"/>
  <c r="C9" i="23"/>
  <c r="C11" i="23"/>
  <c r="C5" i="23"/>
  <c r="U3" i="23"/>
  <c r="T3" i="23"/>
  <c r="S3" i="23"/>
  <c r="R3" i="23"/>
  <c r="Q3" i="23"/>
  <c r="P3" i="23"/>
  <c r="O3" i="23"/>
  <c r="U2" i="23"/>
  <c r="T2" i="23"/>
  <c r="S2" i="23"/>
  <c r="R2" i="23"/>
  <c r="Q2" i="23"/>
  <c r="P2" i="23"/>
  <c r="O2" i="23"/>
  <c r="N3" i="23"/>
  <c r="N2" i="23"/>
  <c r="C3" i="23"/>
  <c r="C2" i="23"/>
  <c r="N100" i="3"/>
  <c r="C5" i="21" s="1"/>
  <c r="C1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D34" i="16"/>
  <c r="C31" i="16"/>
  <c r="C34" i="16" s="1"/>
  <c r="G28" i="16"/>
  <c r="F28" i="16"/>
  <c r="E28" i="16"/>
  <c r="D28" i="16"/>
  <c r="C28" i="16"/>
  <c r="G27" i="16"/>
  <c r="G29" i="16" s="1"/>
  <c r="F27" i="16"/>
  <c r="E27" i="16"/>
  <c r="E29" i="16" s="1"/>
  <c r="D27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C6" i="16"/>
  <c r="D15" i="15"/>
  <c r="E15" i="15"/>
  <c r="F15" i="15"/>
  <c r="G15" i="15"/>
  <c r="C15" i="15"/>
  <c r="D13" i="15"/>
  <c r="E13" i="15"/>
  <c r="E21" i="17" s="1"/>
  <c r="F13" i="15"/>
  <c r="G13" i="15"/>
  <c r="G21" i="17" s="1"/>
  <c r="D21" i="17"/>
  <c r="F21" i="17"/>
  <c r="C13" i="15"/>
  <c r="C21" i="17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D32" i="17" s="1"/>
  <c r="E16" i="11"/>
  <c r="E32" i="17" s="1"/>
  <c r="F16" i="11"/>
  <c r="F32" i="17" s="1"/>
  <c r="G16" i="11"/>
  <c r="C16" i="11"/>
  <c r="D15" i="11"/>
  <c r="D34" i="17" s="1"/>
  <c r="E15" i="11"/>
  <c r="E34" i="17" s="1"/>
  <c r="F15" i="11"/>
  <c r="F34" i="17" s="1"/>
  <c r="G15" i="11"/>
  <c r="G34" i="17" s="1"/>
  <c r="C15" i="11"/>
  <c r="C34" i="17" s="1"/>
  <c r="D9" i="11"/>
  <c r="E9" i="11"/>
  <c r="F9" i="11"/>
  <c r="G9" i="11"/>
  <c r="C9" i="11"/>
  <c r="G13" i="9"/>
  <c r="F13" i="9"/>
  <c r="F10" i="15" s="1"/>
  <c r="E13" i="9"/>
  <c r="D13" i="9"/>
  <c r="D10" i="15" s="1"/>
  <c r="G12" i="9"/>
  <c r="G9" i="15" s="1"/>
  <c r="F12" i="9"/>
  <c r="E12" i="9"/>
  <c r="E9" i="15" s="1"/>
  <c r="D12" i="9"/>
  <c r="G10" i="15"/>
  <c r="E10" i="15"/>
  <c r="F9" i="15"/>
  <c r="D9" i="15"/>
  <c r="C13" i="9"/>
  <c r="C10" i="15" s="1"/>
  <c r="C12" i="9"/>
  <c r="C9" i="15" s="1"/>
  <c r="D11" i="9"/>
  <c r="E11" i="9"/>
  <c r="E7" i="15" s="1"/>
  <c r="F11" i="9"/>
  <c r="G11" i="9"/>
  <c r="D7" i="15"/>
  <c r="F7" i="15"/>
  <c r="G7" i="15"/>
  <c r="C11" i="9"/>
  <c r="C7" i="15" s="1"/>
  <c r="D6" i="9"/>
  <c r="E6" i="9"/>
  <c r="F6" i="9"/>
  <c r="G6" i="9"/>
  <c r="C6" i="9"/>
  <c r="G11" i="6"/>
  <c r="F11" i="6"/>
  <c r="E11" i="6"/>
  <c r="D11" i="6"/>
  <c r="D6" i="15" s="1"/>
  <c r="C11" i="6"/>
  <c r="C6" i="15" s="1"/>
  <c r="Z10" i="6"/>
  <c r="AA10" i="6" s="1"/>
  <c r="AA19" i="6" s="1"/>
  <c r="Z8" i="6"/>
  <c r="AA8" i="6" s="1"/>
  <c r="AA17" i="6" s="1"/>
  <c r="N78" i="3"/>
  <c r="N77" i="3"/>
  <c r="J96" i="3"/>
  <c r="J97" i="3" s="1"/>
  <c r="J94" i="3"/>
  <c r="Q19" i="3"/>
  <c r="Q18" i="3"/>
  <c r="J51" i="3"/>
  <c r="U49" i="23" s="1"/>
  <c r="Q17" i="3"/>
  <c r="Q16" i="3"/>
  <c r="C46" i="1"/>
  <c r="C40" i="23" s="1"/>
  <c r="I108" i="3"/>
  <c r="H108" i="3"/>
  <c r="G108" i="3"/>
  <c r="F108" i="3"/>
  <c r="E108" i="3"/>
  <c r="D108" i="3"/>
  <c r="C108" i="3"/>
  <c r="I107" i="3"/>
  <c r="H107" i="3"/>
  <c r="G107" i="3"/>
  <c r="F107" i="3"/>
  <c r="E107" i="3"/>
  <c r="D107" i="3"/>
  <c r="C107" i="3"/>
  <c r="H96" i="3"/>
  <c r="H97" i="3" s="1"/>
  <c r="G96" i="3"/>
  <c r="G97" i="3" s="1"/>
  <c r="F96" i="3"/>
  <c r="F97" i="3" s="1"/>
  <c r="E96" i="3"/>
  <c r="E97" i="3" s="1"/>
  <c r="D96" i="3"/>
  <c r="D97" i="3" s="1"/>
  <c r="C96" i="3"/>
  <c r="C97" i="3" s="1"/>
  <c r="H94" i="3"/>
  <c r="H95" i="3" s="1"/>
  <c r="G94" i="3"/>
  <c r="G95" i="3" s="1"/>
  <c r="F94" i="3"/>
  <c r="F95" i="3" s="1"/>
  <c r="E94" i="3"/>
  <c r="E95" i="3" s="1"/>
  <c r="D94" i="3"/>
  <c r="D95" i="3" s="1"/>
  <c r="C94" i="3"/>
  <c r="C95" i="3" s="1"/>
  <c r="G92" i="3"/>
  <c r="G93" i="3" s="1"/>
  <c r="F92" i="3"/>
  <c r="F93" i="3" s="1"/>
  <c r="E92" i="3"/>
  <c r="E93" i="3" s="1"/>
  <c r="D92" i="3"/>
  <c r="D93" i="3" s="1"/>
  <c r="C92" i="3"/>
  <c r="C93" i="3" s="1"/>
  <c r="I89" i="3"/>
  <c r="H89" i="3"/>
  <c r="G89" i="3"/>
  <c r="F89" i="3"/>
  <c r="E89" i="3"/>
  <c r="D89" i="3"/>
  <c r="C89" i="3"/>
  <c r="I87" i="3"/>
  <c r="I88" i="3" s="1"/>
  <c r="H87" i="3"/>
  <c r="H88" i="3" s="1"/>
  <c r="G87" i="3"/>
  <c r="G88" i="3" s="1"/>
  <c r="F87" i="3"/>
  <c r="F88" i="3" s="1"/>
  <c r="E87" i="3"/>
  <c r="E88" i="3" s="1"/>
  <c r="D87" i="3"/>
  <c r="D88" i="3" s="1"/>
  <c r="C87" i="3"/>
  <c r="C88" i="3" s="1"/>
  <c r="I85" i="3"/>
  <c r="I86" i="3" s="1"/>
  <c r="H85" i="3"/>
  <c r="H86" i="3" s="1"/>
  <c r="G85" i="3"/>
  <c r="G86" i="3" s="1"/>
  <c r="F85" i="3"/>
  <c r="F86" i="3" s="1"/>
  <c r="E85" i="3"/>
  <c r="E86" i="3" s="1"/>
  <c r="D85" i="3"/>
  <c r="D86" i="3" s="1"/>
  <c r="C85" i="3"/>
  <c r="C86" i="3" s="1"/>
  <c r="I83" i="3"/>
  <c r="I84" i="3" s="1"/>
  <c r="H83" i="3"/>
  <c r="H84" i="3" s="1"/>
  <c r="G83" i="3"/>
  <c r="G84" i="3" s="1"/>
  <c r="F83" i="3"/>
  <c r="F84" i="3" s="1"/>
  <c r="E83" i="3"/>
  <c r="E84" i="3" s="1"/>
  <c r="D83" i="3"/>
  <c r="D84" i="3" s="1"/>
  <c r="C83" i="3"/>
  <c r="C84" i="3" s="1"/>
  <c r="I51" i="3"/>
  <c r="H51" i="3"/>
  <c r="G51" i="3"/>
  <c r="F51" i="3"/>
  <c r="E51" i="3"/>
  <c r="D51" i="3"/>
  <c r="C51" i="3"/>
  <c r="I42" i="3"/>
  <c r="T40" i="23" s="1"/>
  <c r="H42" i="3"/>
  <c r="S40" i="23" s="1"/>
  <c r="G42" i="3"/>
  <c r="R40" i="23" s="1"/>
  <c r="F42" i="3"/>
  <c r="Q40" i="23" s="1"/>
  <c r="E42" i="3"/>
  <c r="P40" i="23" s="1"/>
  <c r="D42" i="3"/>
  <c r="O40" i="23" s="1"/>
  <c r="C42" i="3"/>
  <c r="N40" i="23" s="1"/>
  <c r="I32" i="3"/>
  <c r="T30" i="23" s="1"/>
  <c r="H32" i="3"/>
  <c r="S30" i="23" s="1"/>
  <c r="G32" i="3"/>
  <c r="R30" i="23" s="1"/>
  <c r="F32" i="3"/>
  <c r="Q30" i="23" s="1"/>
  <c r="E32" i="3"/>
  <c r="P30" i="23" s="1"/>
  <c r="D32" i="3"/>
  <c r="O30" i="23" s="1"/>
  <c r="C32" i="3"/>
  <c r="N30" i="23" s="1"/>
  <c r="I10" i="3"/>
  <c r="I81" i="3" s="1"/>
  <c r="H10" i="3"/>
  <c r="H81" i="3" s="1"/>
  <c r="G10" i="3"/>
  <c r="G81" i="3" s="1"/>
  <c r="F10" i="3"/>
  <c r="F81" i="3" s="1"/>
  <c r="E10" i="3"/>
  <c r="E81" i="3" s="1"/>
  <c r="D10" i="3"/>
  <c r="D81" i="3" s="1"/>
  <c r="C10" i="3"/>
  <c r="C81" i="3" s="1"/>
  <c r="I7" i="3"/>
  <c r="H7" i="3"/>
  <c r="S7" i="23" s="1"/>
  <c r="G7" i="3"/>
  <c r="R7" i="23" s="1"/>
  <c r="F7" i="3"/>
  <c r="Q7" i="23" s="1"/>
  <c r="E7" i="3"/>
  <c r="P7" i="23" s="1"/>
  <c r="D7" i="3"/>
  <c r="O7" i="23" s="1"/>
  <c r="C7" i="3"/>
  <c r="N7" i="23" s="1"/>
  <c r="N47" i="3"/>
  <c r="N48" i="3"/>
  <c r="N46" i="3"/>
  <c r="N45" i="3"/>
  <c r="N44" i="3"/>
  <c r="N43" i="3"/>
  <c r="N41" i="3"/>
  <c r="N40" i="3"/>
  <c r="N39" i="3"/>
  <c r="N38" i="3"/>
  <c r="N36" i="3"/>
  <c r="N35" i="3"/>
  <c r="N34" i="3"/>
  <c r="N33" i="3"/>
  <c r="N30" i="3"/>
  <c r="N31" i="3"/>
  <c r="N29" i="3"/>
  <c r="N28" i="3"/>
  <c r="N23" i="3"/>
  <c r="N24" i="3"/>
  <c r="N25" i="3"/>
  <c r="N26" i="3"/>
  <c r="N27" i="3"/>
  <c r="N22" i="3"/>
  <c r="I16" i="19"/>
  <c r="J16" i="19"/>
  <c r="K16" i="19"/>
  <c r="L16" i="19"/>
  <c r="H16" i="19"/>
  <c r="H31" i="17"/>
  <c r="I31" i="17"/>
  <c r="J31" i="17"/>
  <c r="K31" i="17"/>
  <c r="L3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1" i="9"/>
  <c r="O20" i="9"/>
  <c r="O19" i="9"/>
  <c r="B20" i="9"/>
  <c r="B21" i="9"/>
  <c r="B19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2" i="9"/>
  <c r="Q11" i="9"/>
  <c r="R11" i="9"/>
  <c r="S11" i="9"/>
  <c r="T11" i="9"/>
  <c r="U11" i="9"/>
  <c r="V11" i="9"/>
  <c r="W11" i="9"/>
  <c r="P11" i="9"/>
  <c r="Z18" i="9"/>
  <c r="Y18" i="9"/>
  <c r="X18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B11" i="6"/>
  <c r="Y6" i="9" s="1"/>
  <c r="AC11" i="6"/>
  <c r="Z6" i="9" s="1"/>
  <c r="AA14" i="6"/>
  <c r="AB14" i="6"/>
  <c r="AC14" i="6"/>
  <c r="T11" i="6"/>
  <c r="U11" i="6"/>
  <c r="V11" i="6"/>
  <c r="W11" i="6"/>
  <c r="X11" i="6"/>
  <c r="Y11" i="6"/>
  <c r="Z11" i="6"/>
  <c r="S11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6" i="6" s="1"/>
  <c r="R8" i="6"/>
  <c r="R17" i="6" s="1"/>
  <c r="R9" i="6"/>
  <c r="R18" i="6" s="1"/>
  <c r="R10" i="6"/>
  <c r="R19" i="6" s="1"/>
  <c r="R6" i="6"/>
  <c r="R15" i="6" s="1"/>
  <c r="T5" i="6"/>
  <c r="U5" i="6"/>
  <c r="V5" i="6"/>
  <c r="W5" i="6"/>
  <c r="X5" i="6"/>
  <c r="Y5" i="6"/>
  <c r="Z5" i="6"/>
  <c r="S5" i="6"/>
  <c r="B18" i="6"/>
  <c r="J89" i="3"/>
  <c r="J87" i="3"/>
  <c r="J88" i="3" s="1"/>
  <c r="C107" i="1"/>
  <c r="C108" i="1" s="1"/>
  <c r="C109" i="1"/>
  <c r="C110" i="1" s="1"/>
  <c r="C100" i="1"/>
  <c r="C101" i="1" s="1"/>
  <c r="C142" i="1"/>
  <c r="C141" i="1"/>
  <c r="P5" i="3"/>
  <c r="P6" i="3"/>
  <c r="P8" i="3"/>
  <c r="P9" i="3"/>
  <c r="P11" i="3"/>
  <c r="P12" i="3"/>
  <c r="P13" i="3"/>
  <c r="P14" i="3"/>
  <c r="P15" i="3"/>
  <c r="P16" i="3"/>
  <c r="P17" i="3"/>
  <c r="P18" i="3"/>
  <c r="P19" i="3"/>
  <c r="P3" i="3"/>
  <c r="J107" i="3"/>
  <c r="J108" i="3"/>
  <c r="Q5" i="3"/>
  <c r="Q6" i="3"/>
  <c r="Q8" i="3"/>
  <c r="Q9" i="3"/>
  <c r="Q11" i="3"/>
  <c r="Q12" i="3"/>
  <c r="Q13" i="3"/>
  <c r="Q14" i="3"/>
  <c r="Q15" i="3"/>
  <c r="Q3" i="3"/>
  <c r="N17" i="3"/>
  <c r="C25" i="22" s="1"/>
  <c r="N16" i="3"/>
  <c r="N12" i="3"/>
  <c r="N13" i="3"/>
  <c r="N14" i="3"/>
  <c r="N15" i="3"/>
  <c r="N8" i="3"/>
  <c r="N9" i="3"/>
  <c r="N11" i="3"/>
  <c r="N6" i="3"/>
  <c r="N5" i="3"/>
  <c r="J85" i="3"/>
  <c r="J86" i="3" s="1"/>
  <c r="J83" i="3"/>
  <c r="J84" i="3" s="1"/>
  <c r="J42" i="3"/>
  <c r="J32" i="3"/>
  <c r="J10" i="3"/>
  <c r="J7" i="3"/>
  <c r="C105" i="1"/>
  <c r="C106" i="1" s="1"/>
  <c r="C96" i="1"/>
  <c r="C97" i="1" s="1"/>
  <c r="C55" i="1"/>
  <c r="C36" i="1"/>
  <c r="C30" i="23" s="1"/>
  <c r="C10" i="1"/>
  <c r="C7" i="1"/>
  <c r="I8" i="6" l="1"/>
  <c r="H11" i="6"/>
  <c r="H20" i="6" s="1"/>
  <c r="W53" i="23"/>
  <c r="L72" i="23"/>
  <c r="K72" i="23"/>
  <c r="J72" i="23"/>
  <c r="T63" i="23"/>
  <c r="N75" i="3"/>
  <c r="I94" i="3"/>
  <c r="I95" i="3" s="1"/>
  <c r="N68" i="3"/>
  <c r="I92" i="3"/>
  <c r="I93" i="3" s="1"/>
  <c r="N61" i="3"/>
  <c r="I96" i="3"/>
  <c r="I97" i="3" s="1"/>
  <c r="S64" i="23"/>
  <c r="W64" i="23" s="1"/>
  <c r="N76" i="3"/>
  <c r="W63" i="23"/>
  <c r="W52" i="23"/>
  <c r="W57" i="23"/>
  <c r="N66" i="3"/>
  <c r="W56" i="23"/>
  <c r="H92" i="3"/>
  <c r="H93" i="3" s="1"/>
  <c r="N62" i="3"/>
  <c r="N52" i="3"/>
  <c r="W15" i="23"/>
  <c r="C15" i="2"/>
  <c r="U84" i="23"/>
  <c r="L84" i="23"/>
  <c r="F34" i="16"/>
  <c r="F84" i="23"/>
  <c r="L103" i="1"/>
  <c r="L104" i="1" s="1"/>
  <c r="L49" i="23"/>
  <c r="K103" i="1"/>
  <c r="K104" i="1" s="1"/>
  <c r="K49" i="23"/>
  <c r="J103" i="1"/>
  <c r="J104" i="1" s="1"/>
  <c r="J49" i="23"/>
  <c r="I103" i="1"/>
  <c r="I104" i="1" s="1"/>
  <c r="I49" i="23"/>
  <c r="H103" i="1"/>
  <c r="H104" i="1" s="1"/>
  <c r="H49" i="23"/>
  <c r="G103" i="1"/>
  <c r="G104" i="1" s="1"/>
  <c r="G49" i="23"/>
  <c r="F103" i="1"/>
  <c r="F104" i="1" s="1"/>
  <c r="F49" i="23"/>
  <c r="E103" i="1"/>
  <c r="E104" i="1" s="1"/>
  <c r="E49" i="23"/>
  <c r="D103" i="1"/>
  <c r="D104" i="1" s="1"/>
  <c r="D49" i="23"/>
  <c r="L94" i="1"/>
  <c r="L95" i="1" s="1"/>
  <c r="L10" i="23"/>
  <c r="L79" i="23" s="1"/>
  <c r="H134" i="1"/>
  <c r="G10" i="23"/>
  <c r="G134" i="1"/>
  <c r="F10" i="23"/>
  <c r="L140" i="1"/>
  <c r="L7" i="23"/>
  <c r="L78" i="23" s="1"/>
  <c r="K131" i="1"/>
  <c r="J7" i="23"/>
  <c r="J131" i="1"/>
  <c r="I7" i="23"/>
  <c r="I131" i="1"/>
  <c r="H7" i="23"/>
  <c r="E3" i="1"/>
  <c r="D3" i="23"/>
  <c r="L83" i="23"/>
  <c r="L87" i="23"/>
  <c r="L77" i="23"/>
  <c r="K77" i="23"/>
  <c r="J77" i="23"/>
  <c r="U10" i="23"/>
  <c r="J81" i="3"/>
  <c r="J82" i="3" s="1"/>
  <c r="K84" i="23"/>
  <c r="J84" i="23"/>
  <c r="L69" i="23"/>
  <c r="L89" i="23"/>
  <c r="K69" i="23"/>
  <c r="L82" i="23"/>
  <c r="K89" i="23"/>
  <c r="J82" i="23"/>
  <c r="K82" i="23"/>
  <c r="J89" i="23"/>
  <c r="J69" i="23"/>
  <c r="K81" i="23"/>
  <c r="J81" i="23"/>
  <c r="L88" i="23"/>
  <c r="L12" i="23"/>
  <c r="K88" i="23"/>
  <c r="L80" i="23"/>
  <c r="K12" i="23"/>
  <c r="K80" i="23"/>
  <c r="J80" i="23"/>
  <c r="J12" i="23"/>
  <c r="J88" i="23"/>
  <c r="K83" i="23"/>
  <c r="K79" i="23"/>
  <c r="J83" i="23"/>
  <c r="J79" i="23"/>
  <c r="K87" i="23"/>
  <c r="L70" i="23"/>
  <c r="L76" i="23"/>
  <c r="K76" i="23"/>
  <c r="K70" i="23"/>
  <c r="J70" i="23"/>
  <c r="J76" i="23"/>
  <c r="I84" i="23"/>
  <c r="I81" i="23"/>
  <c r="I77" i="23"/>
  <c r="I89" i="23"/>
  <c r="I69" i="23"/>
  <c r="I82" i="23"/>
  <c r="I80" i="23"/>
  <c r="I88" i="23"/>
  <c r="I12" i="23"/>
  <c r="I83" i="23"/>
  <c r="I79" i="23"/>
  <c r="I70" i="23"/>
  <c r="I76" i="23"/>
  <c r="H12" i="23"/>
  <c r="G12" i="23"/>
  <c r="F12" i="23"/>
  <c r="E12" i="23"/>
  <c r="D12" i="23"/>
  <c r="W51" i="23"/>
  <c r="W9" i="23"/>
  <c r="R84" i="23"/>
  <c r="O84" i="23"/>
  <c r="O81" i="23"/>
  <c r="P84" i="23"/>
  <c r="Q76" i="23"/>
  <c r="T81" i="23"/>
  <c r="Q81" i="23"/>
  <c r="U81" i="23"/>
  <c r="W55" i="23"/>
  <c r="W54" i="23"/>
  <c r="S77" i="23"/>
  <c r="U77" i="23"/>
  <c r="E34" i="16"/>
  <c r="C35" i="11"/>
  <c r="F81" i="23"/>
  <c r="F15" i="6"/>
  <c r="E15" i="6"/>
  <c r="G12" i="24"/>
  <c r="F11" i="16"/>
  <c r="C72" i="23"/>
  <c r="E11" i="16"/>
  <c r="F29" i="16"/>
  <c r="G32" i="17"/>
  <c r="G8" i="17" s="1"/>
  <c r="G33" i="11"/>
  <c r="C32" i="11"/>
  <c r="D29" i="16"/>
  <c r="C29" i="16"/>
  <c r="D72" i="23"/>
  <c r="E72" i="23"/>
  <c r="F72" i="23"/>
  <c r="H72" i="23"/>
  <c r="D134" i="1"/>
  <c r="L134" i="1"/>
  <c r="K94" i="1"/>
  <c r="K95" i="1" s="1"/>
  <c r="K134" i="1"/>
  <c r="J94" i="1"/>
  <c r="J95" i="1" s="1"/>
  <c r="I94" i="1"/>
  <c r="I95" i="1" s="1"/>
  <c r="J134" i="1"/>
  <c r="H94" i="1"/>
  <c r="H95" i="1" s="1"/>
  <c r="I134" i="1"/>
  <c r="E94" i="1"/>
  <c r="E95" i="1" s="1"/>
  <c r="F134" i="1"/>
  <c r="D94" i="1"/>
  <c r="D95" i="1" s="1"/>
  <c r="E134" i="1"/>
  <c r="K140" i="1"/>
  <c r="L131" i="1"/>
  <c r="G140" i="1"/>
  <c r="H131" i="1"/>
  <c r="F140" i="1"/>
  <c r="G131" i="1"/>
  <c r="E140" i="1"/>
  <c r="F131" i="1"/>
  <c r="D140" i="1"/>
  <c r="E131" i="1"/>
  <c r="C7" i="23"/>
  <c r="C87" i="23" s="1"/>
  <c r="D131" i="1"/>
  <c r="C10" i="23"/>
  <c r="C94" i="1"/>
  <c r="C95" i="1" s="1"/>
  <c r="F94" i="1"/>
  <c r="F95" i="1" s="1"/>
  <c r="G94" i="1"/>
  <c r="G95" i="1" s="1"/>
  <c r="D84" i="23"/>
  <c r="E81" i="23"/>
  <c r="G84" i="23"/>
  <c r="G81" i="23"/>
  <c r="C20" i="16"/>
  <c r="E84" i="23"/>
  <c r="G77" i="23"/>
  <c r="F87" i="23"/>
  <c r="J140" i="1"/>
  <c r="I140" i="1"/>
  <c r="H140" i="1"/>
  <c r="T77" i="23"/>
  <c r="P76" i="23"/>
  <c r="Q84" i="23"/>
  <c r="O76" i="23"/>
  <c r="C22" i="22"/>
  <c r="I90" i="3"/>
  <c r="I91" i="3" s="1"/>
  <c r="T49" i="23"/>
  <c r="H90" i="3"/>
  <c r="H91" i="3" s="1"/>
  <c r="S49" i="23"/>
  <c r="G90" i="3"/>
  <c r="G91" i="3" s="1"/>
  <c r="R49" i="23"/>
  <c r="F90" i="3"/>
  <c r="F91" i="3" s="1"/>
  <c r="Q49" i="23"/>
  <c r="E90" i="3"/>
  <c r="E91" i="3" s="1"/>
  <c r="P49" i="23"/>
  <c r="D90" i="3"/>
  <c r="D91" i="3" s="1"/>
  <c r="O49" i="23"/>
  <c r="C90" i="3"/>
  <c r="C91" i="3" s="1"/>
  <c r="N49" i="23"/>
  <c r="U12" i="23"/>
  <c r="R12" i="23"/>
  <c r="P12" i="23"/>
  <c r="N12" i="23"/>
  <c r="T12" i="23"/>
  <c r="Q12" i="23"/>
  <c r="O12" i="23"/>
  <c r="C23" i="22"/>
  <c r="N42" i="3"/>
  <c r="U40" i="23"/>
  <c r="W40" i="23" s="1"/>
  <c r="N32" i="3"/>
  <c r="U30" i="23"/>
  <c r="W30" i="23" s="1"/>
  <c r="T84" i="23"/>
  <c r="W13" i="23"/>
  <c r="I82" i="3"/>
  <c r="T10" i="23"/>
  <c r="H82" i="3"/>
  <c r="S10" i="23"/>
  <c r="G82" i="3"/>
  <c r="R10" i="23"/>
  <c r="F82" i="3"/>
  <c r="Q10" i="23"/>
  <c r="E82" i="3"/>
  <c r="P10" i="23"/>
  <c r="D82" i="3"/>
  <c r="O10" i="23"/>
  <c r="C82" i="3"/>
  <c r="N10" i="23"/>
  <c r="O79" i="23" s="1"/>
  <c r="U88" i="23"/>
  <c r="Q77" i="23"/>
  <c r="P77" i="23"/>
  <c r="O77" i="23"/>
  <c r="U76" i="23"/>
  <c r="S76" i="23"/>
  <c r="P7" i="3"/>
  <c r="T7" i="23"/>
  <c r="Q7" i="3"/>
  <c r="U7" i="23"/>
  <c r="U87" i="23" s="1"/>
  <c r="C11" i="16"/>
  <c r="H77" i="23"/>
  <c r="D19" i="6"/>
  <c r="F17" i="24"/>
  <c r="E17" i="24"/>
  <c r="D17" i="24"/>
  <c r="C12" i="23"/>
  <c r="C34" i="11"/>
  <c r="C22" i="13"/>
  <c r="C24" i="13"/>
  <c r="C31" i="17"/>
  <c r="H84" i="23"/>
  <c r="D81" i="23"/>
  <c r="H16" i="24"/>
  <c r="I16" i="24" s="1"/>
  <c r="J16" i="24" s="1"/>
  <c r="K16" i="24" s="1"/>
  <c r="L16" i="24" s="1"/>
  <c r="G17" i="24"/>
  <c r="C8" i="19"/>
  <c r="C26" i="19"/>
  <c r="C103" i="1"/>
  <c r="C104" i="1" s="1"/>
  <c r="C49" i="23"/>
  <c r="G14" i="9"/>
  <c r="F14" i="9"/>
  <c r="E14" i="9"/>
  <c r="D14" i="9"/>
  <c r="C14" i="9"/>
  <c r="H88" i="23"/>
  <c r="F77" i="23"/>
  <c r="E77" i="23"/>
  <c r="D77" i="23"/>
  <c r="C19" i="2"/>
  <c r="D12" i="24"/>
  <c r="C19" i="21"/>
  <c r="W72" i="23"/>
  <c r="U82" i="23"/>
  <c r="U89" i="23"/>
  <c r="T82" i="23"/>
  <c r="S89" i="23"/>
  <c r="W16" i="23"/>
  <c r="W18" i="23" s="1"/>
  <c r="C12" i="2" s="1"/>
  <c r="S82" i="23"/>
  <c r="R89" i="23"/>
  <c r="R82" i="23"/>
  <c r="Q89" i="23"/>
  <c r="Q82" i="23"/>
  <c r="P89" i="23"/>
  <c r="P82" i="23"/>
  <c r="O89" i="23"/>
  <c r="O82" i="23"/>
  <c r="N89" i="23"/>
  <c r="W14" i="23"/>
  <c r="S81" i="23"/>
  <c r="T88" i="23"/>
  <c r="U80" i="23"/>
  <c r="S88" i="23"/>
  <c r="T80" i="23"/>
  <c r="W11" i="23"/>
  <c r="R88" i="23"/>
  <c r="S80" i="23"/>
  <c r="R80" i="23"/>
  <c r="Q88" i="23"/>
  <c r="P88" i="23"/>
  <c r="Q80" i="23"/>
  <c r="P80" i="23"/>
  <c r="O88" i="23"/>
  <c r="O80" i="23"/>
  <c r="N88" i="23"/>
  <c r="S87" i="23"/>
  <c r="R87" i="23"/>
  <c r="S78" i="23"/>
  <c r="Q87" i="23"/>
  <c r="R78" i="23"/>
  <c r="Q78" i="23"/>
  <c r="P87" i="23"/>
  <c r="P78" i="23"/>
  <c r="O87" i="23"/>
  <c r="N87" i="23"/>
  <c r="O78" i="23"/>
  <c r="W6" i="23"/>
  <c r="R77" i="23"/>
  <c r="T89" i="23"/>
  <c r="T76" i="23"/>
  <c r="W5" i="23"/>
  <c r="W70" i="23" s="1"/>
  <c r="R76" i="23"/>
  <c r="G89" i="23"/>
  <c r="H82" i="23"/>
  <c r="G69" i="23"/>
  <c r="G82" i="23"/>
  <c r="F89" i="23"/>
  <c r="F69" i="23"/>
  <c r="E89" i="23"/>
  <c r="E69" i="23"/>
  <c r="F82" i="23"/>
  <c r="E82" i="23"/>
  <c r="D89" i="23"/>
  <c r="D69" i="23"/>
  <c r="H80" i="23"/>
  <c r="G88" i="23"/>
  <c r="F88" i="23"/>
  <c r="G80" i="23"/>
  <c r="E88" i="23"/>
  <c r="F80" i="23"/>
  <c r="D88" i="23"/>
  <c r="E80" i="23"/>
  <c r="H89" i="23"/>
  <c r="H70" i="23"/>
  <c r="H76" i="23"/>
  <c r="H69" i="23"/>
  <c r="G70" i="23"/>
  <c r="G76" i="23"/>
  <c r="F76" i="23"/>
  <c r="F70" i="23"/>
  <c r="E76" i="23"/>
  <c r="E70" i="23"/>
  <c r="D70" i="23"/>
  <c r="D76" i="23"/>
  <c r="C69" i="23"/>
  <c r="C89" i="23"/>
  <c r="D82" i="23"/>
  <c r="C88" i="23"/>
  <c r="D80" i="23"/>
  <c r="C70" i="23"/>
  <c r="C6" i="21"/>
  <c r="C7" i="21" s="1"/>
  <c r="E12" i="24"/>
  <c r="F12" i="24"/>
  <c r="G11" i="24"/>
  <c r="F11" i="24"/>
  <c r="E11" i="24"/>
  <c r="D11" i="24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Z9" i="6"/>
  <c r="Z18" i="6" s="1"/>
  <c r="Z7" i="6"/>
  <c r="Z16" i="6" s="1"/>
  <c r="Z6" i="6"/>
  <c r="Z15" i="6" s="1"/>
  <c r="J95" i="3"/>
  <c r="Y16" i="6"/>
  <c r="N51" i="3"/>
  <c r="C36" i="12"/>
  <c r="F16" i="17"/>
  <c r="G16" i="17"/>
  <c r="C16" i="17"/>
  <c r="C38" i="12"/>
  <c r="G20" i="16"/>
  <c r="G21" i="16" s="1"/>
  <c r="F20" i="16"/>
  <c r="E20" i="16"/>
  <c r="D20" i="16"/>
  <c r="E36" i="12"/>
  <c r="D36" i="12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E26" i="16"/>
  <c r="E30" i="16" s="1"/>
  <c r="E38" i="12"/>
  <c r="D38" i="12"/>
  <c r="D26" i="16"/>
  <c r="E6" i="15"/>
  <c r="E8" i="15" s="1"/>
  <c r="F6" i="15"/>
  <c r="F8" i="15" s="1"/>
  <c r="G6" i="15"/>
  <c r="G8" i="15" s="1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F14" i="13"/>
  <c r="E14" i="13"/>
  <c r="D14" i="13"/>
  <c r="G23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F46" i="11"/>
  <c r="H14" i="11"/>
  <c r="G46" i="11"/>
  <c r="D14" i="11"/>
  <c r="C46" i="11"/>
  <c r="D35" i="11"/>
  <c r="E35" i="11"/>
  <c r="F35" i="11"/>
  <c r="G35" i="11"/>
  <c r="T19" i="6"/>
  <c r="T18" i="6"/>
  <c r="T17" i="6"/>
  <c r="C13" i="2"/>
  <c r="Z19" i="6"/>
  <c r="Y19" i="6"/>
  <c r="W19" i="6"/>
  <c r="V19" i="6"/>
  <c r="U19" i="6"/>
  <c r="Y18" i="6"/>
  <c r="W18" i="6"/>
  <c r="V18" i="6"/>
  <c r="U18" i="6"/>
  <c r="Z17" i="6"/>
  <c r="Y17" i="6"/>
  <c r="W17" i="6"/>
  <c r="V17" i="6"/>
  <c r="U17" i="6"/>
  <c r="W16" i="6"/>
  <c r="V16" i="6"/>
  <c r="U16" i="6"/>
  <c r="T16" i="6"/>
  <c r="Y15" i="6"/>
  <c r="W15" i="6"/>
  <c r="V15" i="6"/>
  <c r="U15" i="6"/>
  <c r="T15" i="6"/>
  <c r="X19" i="6"/>
  <c r="AE10" i="6"/>
  <c r="X18" i="6"/>
  <c r="AE8" i="6"/>
  <c r="X17" i="6"/>
  <c r="X16" i="6"/>
  <c r="X15" i="6"/>
  <c r="T14" i="6"/>
  <c r="U14" i="6"/>
  <c r="V14" i="6"/>
  <c r="W14" i="6"/>
  <c r="X14" i="6"/>
  <c r="Y14" i="6"/>
  <c r="Z14" i="6"/>
  <c r="S14" i="6"/>
  <c r="W14" i="9"/>
  <c r="V14" i="9"/>
  <c r="U14" i="9"/>
  <c r="T14" i="9"/>
  <c r="S14" i="9"/>
  <c r="R14" i="9"/>
  <c r="Q14" i="9"/>
  <c r="P14" i="9"/>
  <c r="V21" i="9"/>
  <c r="R21" i="9"/>
  <c r="W20" i="9"/>
  <c r="R20" i="9"/>
  <c r="P20" i="9"/>
  <c r="S19" i="9"/>
  <c r="U19" i="9"/>
  <c r="P19" i="9"/>
  <c r="G21" i="9"/>
  <c r="D21" i="9"/>
  <c r="C21" i="9"/>
  <c r="F20" i="9"/>
  <c r="D19" i="9"/>
  <c r="G19" i="9"/>
  <c r="T21" i="9"/>
  <c r="Q21" i="9"/>
  <c r="U20" i="9"/>
  <c r="S20" i="9"/>
  <c r="R19" i="9"/>
  <c r="V19" i="9"/>
  <c r="W19" i="9"/>
  <c r="E21" i="9"/>
  <c r="E20" i="9"/>
  <c r="C20" i="9"/>
  <c r="F19" i="9"/>
  <c r="C19" i="9"/>
  <c r="W21" i="9"/>
  <c r="S21" i="9"/>
  <c r="V20" i="9"/>
  <c r="T20" i="9"/>
  <c r="Q20" i="9"/>
  <c r="Q19" i="9"/>
  <c r="T19" i="9"/>
  <c r="F21" i="9"/>
  <c r="D20" i="9"/>
  <c r="G20" i="9"/>
  <c r="E19" i="9"/>
  <c r="U21" i="9"/>
  <c r="P21" i="9"/>
  <c r="W18" i="9"/>
  <c r="W10" i="9"/>
  <c r="V18" i="9"/>
  <c r="V10" i="9"/>
  <c r="U10" i="9"/>
  <c r="U18" i="9"/>
  <c r="T10" i="9"/>
  <c r="T18" i="9"/>
  <c r="S10" i="9"/>
  <c r="S18" i="9"/>
  <c r="R10" i="9"/>
  <c r="R18" i="9"/>
  <c r="Q10" i="9"/>
  <c r="Q18" i="9"/>
  <c r="P10" i="9"/>
  <c r="P18" i="9"/>
  <c r="G18" i="6"/>
  <c r="F18" i="6"/>
  <c r="E18" i="6"/>
  <c r="D18" i="6"/>
  <c r="G17" i="6"/>
  <c r="F17" i="6"/>
  <c r="E17" i="6"/>
  <c r="D17" i="6"/>
  <c r="G16" i="6"/>
  <c r="F16" i="6"/>
  <c r="E16" i="6"/>
  <c r="D16" i="6"/>
  <c r="D15" i="6"/>
  <c r="G19" i="6"/>
  <c r="G15" i="6"/>
  <c r="E19" i="6"/>
  <c r="R13" i="3"/>
  <c r="R17" i="3"/>
  <c r="R6" i="3"/>
  <c r="P10" i="3"/>
  <c r="R18" i="3"/>
  <c r="C140" i="1"/>
  <c r="R12" i="3"/>
  <c r="R14" i="3"/>
  <c r="R11" i="3"/>
  <c r="R19" i="3"/>
  <c r="R15" i="3"/>
  <c r="R9" i="3"/>
  <c r="R5" i="3"/>
  <c r="R16" i="3"/>
  <c r="R8" i="3"/>
  <c r="N19" i="3"/>
  <c r="C11" i="2" s="1"/>
  <c r="Q10" i="3"/>
  <c r="N7" i="3"/>
  <c r="N18" i="3"/>
  <c r="N10" i="3"/>
  <c r="J92" i="3"/>
  <c r="J93" i="3" s="1"/>
  <c r="J90" i="3"/>
  <c r="J91" i="3" s="1"/>
  <c r="I11" i="6" l="1"/>
  <c r="I20" i="6" s="1"/>
  <c r="J8" i="6"/>
  <c r="I87" i="23"/>
  <c r="J78" i="23"/>
  <c r="W50" i="23"/>
  <c r="S12" i="23"/>
  <c r="W12" i="23" s="1"/>
  <c r="J87" i="23"/>
  <c r="K78" i="23"/>
  <c r="H87" i="23"/>
  <c r="I78" i="23"/>
  <c r="F24" i="17"/>
  <c r="E24" i="17"/>
  <c r="E3" i="23"/>
  <c r="F3" i="1"/>
  <c r="W49" i="23"/>
  <c r="K71" i="23"/>
  <c r="K73" i="23" s="1"/>
  <c r="J71" i="23"/>
  <c r="J73" i="23" s="1"/>
  <c r="L71" i="23"/>
  <c r="L73" i="23" s="1"/>
  <c r="I71" i="23"/>
  <c r="I73" i="23" s="1"/>
  <c r="E35" i="16"/>
  <c r="F21" i="16"/>
  <c r="E21" i="16"/>
  <c r="E37" i="16" s="1"/>
  <c r="F30" i="16"/>
  <c r="F35" i="16" s="1"/>
  <c r="D30" i="16"/>
  <c r="D35" i="16" s="1"/>
  <c r="C30" i="16"/>
  <c r="C35" i="16" s="1"/>
  <c r="F24" i="13"/>
  <c r="F22" i="13"/>
  <c r="H35" i="11"/>
  <c r="H71" i="23"/>
  <c r="H73" i="23" s="1"/>
  <c r="C21" i="16"/>
  <c r="F78" i="23"/>
  <c r="E87" i="23"/>
  <c r="E78" i="23"/>
  <c r="D87" i="23"/>
  <c r="D78" i="23"/>
  <c r="G24" i="13"/>
  <c r="G22" i="13"/>
  <c r="D32" i="11"/>
  <c r="D34" i="11"/>
  <c r="E34" i="11"/>
  <c r="E32" i="11"/>
  <c r="F34" i="11"/>
  <c r="F32" i="11"/>
  <c r="G32" i="11"/>
  <c r="G34" i="11"/>
  <c r="R7" i="3"/>
  <c r="C18" i="2"/>
  <c r="T87" i="23"/>
  <c r="U78" i="23"/>
  <c r="T78" i="23"/>
  <c r="W7" i="23"/>
  <c r="W87" i="23" s="1"/>
  <c r="U83" i="23"/>
  <c r="U79" i="23"/>
  <c r="T83" i="23"/>
  <c r="T79" i="23"/>
  <c r="S83" i="23"/>
  <c r="W10" i="23"/>
  <c r="S79" i="23"/>
  <c r="R83" i="23"/>
  <c r="Q83" i="23"/>
  <c r="R79" i="23"/>
  <c r="P83" i="23"/>
  <c r="Q79" i="23"/>
  <c r="P79" i="23"/>
  <c r="O83" i="23"/>
  <c r="G87" i="23"/>
  <c r="G78" i="23"/>
  <c r="H78" i="23"/>
  <c r="D21" i="16"/>
  <c r="E23" i="12"/>
  <c r="C71" i="23"/>
  <c r="C73" i="23" s="1"/>
  <c r="C24" i="24"/>
  <c r="C32" i="24"/>
  <c r="H83" i="23"/>
  <c r="F11" i="15"/>
  <c r="F12" i="15" s="1"/>
  <c r="F9" i="12"/>
  <c r="F9" i="18"/>
  <c r="H79" i="23"/>
  <c r="G83" i="23"/>
  <c r="E11" i="15"/>
  <c r="E12" i="15" s="1"/>
  <c r="E9" i="12"/>
  <c r="E9" i="18"/>
  <c r="G79" i="23"/>
  <c r="F83" i="23"/>
  <c r="E83" i="23"/>
  <c r="F79" i="23"/>
  <c r="D11" i="15"/>
  <c r="D12" i="15" s="1"/>
  <c r="D9" i="12"/>
  <c r="D9" i="18"/>
  <c r="D79" i="23"/>
  <c r="D83" i="23"/>
  <c r="E79" i="23"/>
  <c r="C11" i="15"/>
  <c r="C12" i="15" s="1"/>
  <c r="C9" i="18"/>
  <c r="C9" i="12"/>
  <c r="H25" i="13"/>
  <c r="I25" i="13" s="1"/>
  <c r="D23" i="12"/>
  <c r="G23" i="12"/>
  <c r="I22" i="12"/>
  <c r="K22" i="12"/>
  <c r="J22" i="12"/>
  <c r="L22" i="12"/>
  <c r="H22" i="12"/>
  <c r="W69" i="23"/>
  <c r="W71" i="23" s="1"/>
  <c r="W73" i="23" s="1"/>
  <c r="W89" i="23"/>
  <c r="W88" i="23"/>
  <c r="E71" i="23"/>
  <c r="E73" i="23" s="1"/>
  <c r="G71" i="23"/>
  <c r="G73" i="23" s="1"/>
  <c r="F71" i="23"/>
  <c r="F73" i="23" s="1"/>
  <c r="D71" i="23"/>
  <c r="D73" i="23" s="1"/>
  <c r="C17" i="21"/>
  <c r="C16" i="21"/>
  <c r="H24" i="18"/>
  <c r="F23" i="12"/>
  <c r="C53" i="11"/>
  <c r="C23" i="12"/>
  <c r="L21" i="12"/>
  <c r="I21" i="12"/>
  <c r="H21" i="12"/>
  <c r="J21" i="12"/>
  <c r="K21" i="12"/>
  <c r="E22" i="13"/>
  <c r="E24" i="13"/>
  <c r="D22" i="13"/>
  <c r="D24" i="13"/>
  <c r="G35" i="16"/>
  <c r="G37" i="16" s="1"/>
  <c r="G24" i="17"/>
  <c r="G9" i="18"/>
  <c r="G9" i="12"/>
  <c r="G11" i="15"/>
  <c r="G12" i="15" s="1"/>
  <c r="I24" i="13"/>
  <c r="AA9" i="6"/>
  <c r="R10" i="3"/>
  <c r="J11" i="6" l="1"/>
  <c r="J20" i="6" s="1"/>
  <c r="K8" i="6"/>
  <c r="F3" i="23"/>
  <c r="G3" i="1"/>
  <c r="C37" i="16"/>
  <c r="F37" i="16"/>
  <c r="D37" i="16"/>
  <c r="H34" i="11"/>
  <c r="I23" i="12"/>
  <c r="J23" i="12"/>
  <c r="K23" i="12"/>
  <c r="D6" i="17"/>
  <c r="D14" i="15"/>
  <c r="D16" i="15" s="1"/>
  <c r="D39" i="12"/>
  <c r="D37" i="12"/>
  <c r="D23" i="18"/>
  <c r="D26" i="18"/>
  <c r="C6" i="17"/>
  <c r="C7" i="17" s="1"/>
  <c r="C14" i="15"/>
  <c r="C16" i="15" s="1"/>
  <c r="C26" i="18"/>
  <c r="C23" i="18"/>
  <c r="F39" i="12"/>
  <c r="F37" i="12"/>
  <c r="F23" i="18"/>
  <c r="F26" i="18"/>
  <c r="E39" i="12"/>
  <c r="E37" i="12"/>
  <c r="E23" i="18"/>
  <c r="E26" i="18"/>
  <c r="C39" i="12"/>
  <c r="C37" i="12"/>
  <c r="L23" i="12"/>
  <c r="H23" i="12"/>
  <c r="C20" i="21"/>
  <c r="C30" i="24" s="1"/>
  <c r="L24" i="18"/>
  <c r="K24" i="18"/>
  <c r="I24" i="18"/>
  <c r="J24" i="18"/>
  <c r="L35" i="11"/>
  <c r="K35" i="11"/>
  <c r="J35" i="11"/>
  <c r="I35" i="11"/>
  <c r="E14" i="15"/>
  <c r="E16" i="15" s="1"/>
  <c r="E6" i="17"/>
  <c r="F14" i="15"/>
  <c r="F16" i="15" s="1"/>
  <c r="F6" i="17"/>
  <c r="G23" i="18"/>
  <c r="G26" i="18"/>
  <c r="G14" i="15"/>
  <c r="G16" i="15" s="1"/>
  <c r="G6" i="17"/>
  <c r="AA7" i="6"/>
  <c r="AE9" i="6"/>
  <c r="AA18" i="6"/>
  <c r="AA6" i="6"/>
  <c r="K11" i="6" l="1"/>
  <c r="K20" i="6" s="1"/>
  <c r="L8" i="6"/>
  <c r="L11" i="6" s="1"/>
  <c r="G3" i="23"/>
  <c r="H3" i="1"/>
  <c r="K34" i="11"/>
  <c r="I34" i="11"/>
  <c r="L34" i="11"/>
  <c r="J34" i="11"/>
  <c r="H23" i="18"/>
  <c r="D7" i="17"/>
  <c r="C15" i="22"/>
  <c r="C22" i="24"/>
  <c r="C9" i="17"/>
  <c r="C20" i="17" s="1"/>
  <c r="C23" i="17"/>
  <c r="E7" i="17"/>
  <c r="F7" i="17"/>
  <c r="G7" i="17"/>
  <c r="AE7" i="6"/>
  <c r="AA16" i="6"/>
  <c r="AE6" i="6"/>
  <c r="AA15" i="6"/>
  <c r="L20" i="6" l="1"/>
  <c r="C5" i="24"/>
  <c r="C8" i="11"/>
  <c r="C6" i="22"/>
  <c r="C6" i="12"/>
  <c r="C5" i="15"/>
  <c r="C20" i="15" s="1"/>
  <c r="C6" i="18"/>
  <c r="C5" i="6"/>
  <c r="C5" i="17"/>
  <c r="C30" i="17" s="1"/>
  <c r="C6" i="19"/>
  <c r="C8" i="13"/>
  <c r="C5" i="9"/>
  <c r="C5" i="16"/>
  <c r="H3" i="23"/>
  <c r="I3" i="1"/>
  <c r="H26" i="18"/>
  <c r="L23" i="18"/>
  <c r="L26" i="18" s="1"/>
  <c r="J23" i="18"/>
  <c r="J26" i="18" s="1"/>
  <c r="K23" i="18"/>
  <c r="K26" i="18" s="1"/>
  <c r="I23" i="18"/>
  <c r="I26" i="18" s="1"/>
  <c r="D9" i="17"/>
  <c r="D20" i="17" s="1"/>
  <c r="D13" i="19" s="1"/>
  <c r="D23" i="17"/>
  <c r="C13" i="19"/>
  <c r="C7" i="22"/>
  <c r="C26" i="17"/>
  <c r="F9" i="17"/>
  <c r="F20" i="17" s="1"/>
  <c r="F23" i="17"/>
  <c r="E9" i="17"/>
  <c r="E20" i="17" s="1"/>
  <c r="E7" i="22" s="1"/>
  <c r="E23" i="17"/>
  <c r="G9" i="17"/>
  <c r="G20" i="17" s="1"/>
  <c r="G7" i="22" s="1"/>
  <c r="G23" i="17"/>
  <c r="AA11" i="6"/>
  <c r="AE11" i="6"/>
  <c r="C10" i="24" l="1"/>
  <c r="C15" i="24"/>
  <c r="C31" i="11"/>
  <c r="C21" i="11"/>
  <c r="C13" i="11"/>
  <c r="C43" i="11"/>
  <c r="C35" i="12"/>
  <c r="C27" i="12"/>
  <c r="C13" i="12"/>
  <c r="C20" i="12"/>
  <c r="C22" i="18"/>
  <c r="C14" i="18"/>
  <c r="C14" i="6"/>
  <c r="C45" i="19"/>
  <c r="C36" i="19"/>
  <c r="C40" i="19"/>
  <c r="C12" i="19"/>
  <c r="C22" i="19"/>
  <c r="C42" i="13"/>
  <c r="C32" i="13"/>
  <c r="C13" i="13"/>
  <c r="C21" i="13"/>
  <c r="C18" i="9"/>
  <c r="C10" i="9"/>
  <c r="D5" i="24"/>
  <c r="D6" i="22"/>
  <c r="D6" i="12"/>
  <c r="D5" i="6"/>
  <c r="D6" i="18"/>
  <c r="D8" i="13"/>
  <c r="D5" i="17"/>
  <c r="D30" i="17" s="1"/>
  <c r="D5" i="16"/>
  <c r="D5" i="15"/>
  <c r="D20" i="15" s="1"/>
  <c r="D6" i="19"/>
  <c r="D8" i="11"/>
  <c r="D5" i="9"/>
  <c r="I3" i="23"/>
  <c r="J3" i="1"/>
  <c r="D26" i="17"/>
  <c r="D7" i="22"/>
  <c r="F13" i="19"/>
  <c r="F7" i="22"/>
  <c r="X6" i="9"/>
  <c r="F26" i="17"/>
  <c r="E13" i="19"/>
  <c r="E26" i="17"/>
  <c r="G13" i="19"/>
  <c r="G26" i="17"/>
  <c r="D10" i="24" l="1"/>
  <c r="D15" i="24"/>
  <c r="D35" i="12"/>
  <c r="D27" i="12"/>
  <c r="D13" i="12"/>
  <c r="D20" i="12"/>
  <c r="D14" i="6"/>
  <c r="D14" i="18"/>
  <c r="D22" i="18"/>
  <c r="D42" i="13"/>
  <c r="D21" i="13"/>
  <c r="D32" i="13"/>
  <c r="D13" i="13"/>
  <c r="D45" i="19"/>
  <c r="D36" i="19"/>
  <c r="D40" i="19"/>
  <c r="D12" i="19"/>
  <c r="D22" i="19"/>
  <c r="D31" i="11"/>
  <c r="D21" i="11"/>
  <c r="D43" i="11"/>
  <c r="D13" i="11"/>
  <c r="D10" i="9"/>
  <c r="D18" i="9"/>
  <c r="E5" i="15"/>
  <c r="E20" i="15" s="1"/>
  <c r="E6" i="18"/>
  <c r="E5" i="24"/>
  <c r="E6" i="22"/>
  <c r="E8" i="13"/>
  <c r="E5" i="17"/>
  <c r="E30" i="17" s="1"/>
  <c r="E5" i="16"/>
  <c r="E6" i="19"/>
  <c r="E6" i="12"/>
  <c r="E8" i="11"/>
  <c r="E5" i="9"/>
  <c r="E5" i="6"/>
  <c r="J3" i="23"/>
  <c r="K3" i="1"/>
  <c r="X13" i="9"/>
  <c r="AB13" i="9" s="1"/>
  <c r="X11" i="9"/>
  <c r="AB11" i="9" s="1"/>
  <c r="X12" i="9"/>
  <c r="AB6" i="9"/>
  <c r="E22" i="18" l="1"/>
  <c r="E14" i="18"/>
  <c r="E15" i="24"/>
  <c r="E10" i="24"/>
  <c r="E13" i="13"/>
  <c r="E21" i="13"/>
  <c r="E32" i="13"/>
  <c r="E42" i="13"/>
  <c r="E45" i="19"/>
  <c r="E36" i="19"/>
  <c r="E12" i="19"/>
  <c r="E22" i="19"/>
  <c r="E40" i="19"/>
  <c r="E27" i="12"/>
  <c r="E35" i="12"/>
  <c r="E20" i="12"/>
  <c r="E13" i="12"/>
  <c r="E21" i="11"/>
  <c r="E13" i="11"/>
  <c r="E31" i="11"/>
  <c r="E43" i="11"/>
  <c r="E10" i="9"/>
  <c r="E18" i="9"/>
  <c r="E14" i="6"/>
  <c r="F6" i="19"/>
  <c r="F8" i="13"/>
  <c r="F5" i="15"/>
  <c r="F20" i="15" s="1"/>
  <c r="F5" i="24"/>
  <c r="F6" i="22"/>
  <c r="F5" i="17"/>
  <c r="F30" i="17" s="1"/>
  <c r="F6" i="12"/>
  <c r="F5" i="9"/>
  <c r="F8" i="11"/>
  <c r="F6" i="18"/>
  <c r="F5" i="6"/>
  <c r="F5" i="16"/>
  <c r="K3" i="23"/>
  <c r="L3" i="1"/>
  <c r="X14" i="9"/>
  <c r="AB14" i="9" s="1"/>
  <c r="AB12" i="9"/>
  <c r="H6" i="24"/>
  <c r="H11" i="24" s="1"/>
  <c r="H6" i="9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F45" i="19" l="1"/>
  <c r="F36" i="19"/>
  <c r="F40" i="19"/>
  <c r="F12" i="19"/>
  <c r="F22" i="19"/>
  <c r="F32" i="13"/>
  <c r="F42" i="13"/>
  <c r="F13" i="13"/>
  <c r="F21" i="13"/>
  <c r="F15" i="24"/>
  <c r="F10" i="24"/>
  <c r="F35" i="12"/>
  <c r="F27" i="12"/>
  <c r="F20" i="12"/>
  <c r="F13" i="12"/>
  <c r="F10" i="9"/>
  <c r="F18" i="9"/>
  <c r="F21" i="11"/>
  <c r="F13" i="11"/>
  <c r="F43" i="11"/>
  <c r="F31" i="11"/>
  <c r="F22" i="18"/>
  <c r="F14" i="18"/>
  <c r="F14" i="6"/>
  <c r="G5" i="16"/>
  <c r="H5" i="16" s="1"/>
  <c r="I5" i="16" s="1"/>
  <c r="J5" i="16" s="1"/>
  <c r="K5" i="16" s="1"/>
  <c r="L5" i="16" s="1"/>
  <c r="G5" i="9"/>
  <c r="G5" i="17"/>
  <c r="G5" i="24"/>
  <c r="G6" i="22"/>
  <c r="H6" i="22" s="1"/>
  <c r="I6" i="22" s="1"/>
  <c r="J6" i="22" s="1"/>
  <c r="K6" i="22" s="1"/>
  <c r="L6" i="22" s="1"/>
  <c r="G6" i="19"/>
  <c r="G6" i="18"/>
  <c r="G6" i="12"/>
  <c r="G5" i="15"/>
  <c r="G8" i="13"/>
  <c r="G8" i="11"/>
  <c r="G5" i="6"/>
  <c r="L3" i="23"/>
  <c r="M3" i="1"/>
  <c r="N3" i="1" s="1"/>
  <c r="O3" i="1" s="1"/>
  <c r="P3" i="1" s="1"/>
  <c r="I6" i="24"/>
  <c r="I11" i="24" s="1"/>
  <c r="I6" i="9"/>
  <c r="H17" i="17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3" i="9"/>
  <c r="H10" i="15" s="1"/>
  <c r="H12" i="9"/>
  <c r="H9" i="15" s="1"/>
  <c r="H11" i="9"/>
  <c r="G18" i="9" l="1"/>
  <c r="H5" i="9"/>
  <c r="G10" i="9"/>
  <c r="H5" i="17"/>
  <c r="G30" i="17"/>
  <c r="G15" i="24"/>
  <c r="G10" i="24"/>
  <c r="H5" i="24"/>
  <c r="G45" i="19"/>
  <c r="G36" i="19"/>
  <c r="G40" i="19"/>
  <c r="G12" i="19"/>
  <c r="H6" i="19"/>
  <c r="G22" i="19"/>
  <c r="H6" i="18"/>
  <c r="G14" i="18"/>
  <c r="G22" i="18"/>
  <c r="G20" i="12"/>
  <c r="G35" i="12"/>
  <c r="G27" i="12"/>
  <c r="H6" i="12"/>
  <c r="G13" i="12"/>
  <c r="G20" i="15"/>
  <c r="H5" i="15"/>
  <c r="G32" i="13"/>
  <c r="H8" i="13"/>
  <c r="G13" i="13"/>
  <c r="G42" i="13"/>
  <c r="G21" i="13"/>
  <c r="G13" i="11"/>
  <c r="G21" i="11"/>
  <c r="H8" i="11"/>
  <c r="G31" i="11"/>
  <c r="G43" i="11"/>
  <c r="G14" i="6"/>
  <c r="H5" i="6"/>
  <c r="J6" i="24"/>
  <c r="J11" i="24" s="1"/>
  <c r="J6" i="9"/>
  <c r="H14" i="17"/>
  <c r="G38" i="12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4" i="9"/>
  <c r="I13" i="9"/>
  <c r="I10" i="15" s="1"/>
  <c r="I12" i="9"/>
  <c r="I11" i="9"/>
  <c r="H10" i="9" l="1"/>
  <c r="I5" i="9"/>
  <c r="H18" i="9"/>
  <c r="H30" i="17"/>
  <c r="I5" i="17"/>
  <c r="H15" i="24"/>
  <c r="H10" i="24"/>
  <c r="I5" i="24"/>
  <c r="H45" i="19"/>
  <c r="H36" i="19"/>
  <c r="H40" i="19"/>
  <c r="H12" i="19"/>
  <c r="H22" i="19"/>
  <c r="I6" i="19"/>
  <c r="H14" i="18"/>
  <c r="I6" i="18"/>
  <c r="H22" i="18"/>
  <c r="H27" i="12"/>
  <c r="H20" i="12"/>
  <c r="H13" i="12"/>
  <c r="I6" i="12"/>
  <c r="H35" i="12"/>
  <c r="H20" i="15"/>
  <c r="I5" i="15"/>
  <c r="B33" i="13"/>
  <c r="I8" i="13"/>
  <c r="H13" i="13"/>
  <c r="H21" i="13"/>
  <c r="H32" i="13"/>
  <c r="H42" i="13"/>
  <c r="I8" i="11"/>
  <c r="H21" i="11"/>
  <c r="B22" i="11"/>
  <c r="H31" i="11"/>
  <c r="H13" i="11"/>
  <c r="I5" i="6"/>
  <c r="H14" i="6"/>
  <c r="K6" i="24"/>
  <c r="K11" i="24" s="1"/>
  <c r="K6" i="9"/>
  <c r="L6" i="24"/>
  <c r="L6" i="9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1" i="15"/>
  <c r="H12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4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J11" i="9"/>
  <c r="J13" i="9"/>
  <c r="J10" i="15" s="1"/>
  <c r="J12" i="9"/>
  <c r="J9" i="15" s="1"/>
  <c r="J5" i="9" l="1"/>
  <c r="I18" i="9"/>
  <c r="I10" i="9"/>
  <c r="J5" i="17"/>
  <c r="I30" i="17"/>
  <c r="I15" i="24"/>
  <c r="J5" i="24"/>
  <c r="I10" i="24"/>
  <c r="J6" i="19"/>
  <c r="I22" i="19"/>
  <c r="I45" i="19"/>
  <c r="I36" i="19"/>
  <c r="I40" i="19"/>
  <c r="I12" i="19"/>
  <c r="I22" i="18"/>
  <c r="I14" i="18"/>
  <c r="J6" i="18"/>
  <c r="I13" i="12"/>
  <c r="I27" i="12"/>
  <c r="I20" i="12"/>
  <c r="I35" i="12"/>
  <c r="J6" i="12"/>
  <c r="I20" i="15"/>
  <c r="J5" i="15"/>
  <c r="B34" i="13"/>
  <c r="I32" i="13"/>
  <c r="I42" i="13"/>
  <c r="J8" i="13"/>
  <c r="I13" i="13"/>
  <c r="I21" i="13"/>
  <c r="I31" i="11"/>
  <c r="I13" i="11"/>
  <c r="J8" i="11"/>
  <c r="I21" i="11"/>
  <c r="B23" i="11"/>
  <c r="I14" i="6"/>
  <c r="J5" i="6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1" i="15"/>
  <c r="I12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2" i="9"/>
  <c r="K9" i="15" s="1"/>
  <c r="K11" i="9"/>
  <c r="J14" i="9"/>
  <c r="L11" i="9"/>
  <c r="L12" i="9"/>
  <c r="L9" i="15" s="1"/>
  <c r="L13" i="9"/>
  <c r="L10" i="15" s="1"/>
  <c r="J18" i="9" l="1"/>
  <c r="K5" i="9"/>
  <c r="J10" i="9"/>
  <c r="J30" i="17"/>
  <c r="K5" i="17"/>
  <c r="J10" i="24"/>
  <c r="K5" i="24"/>
  <c r="J15" i="24"/>
  <c r="J45" i="19"/>
  <c r="J36" i="19"/>
  <c r="J40" i="19"/>
  <c r="J12" i="19"/>
  <c r="J22" i="19"/>
  <c r="K6" i="19"/>
  <c r="K6" i="18"/>
  <c r="J14" i="18"/>
  <c r="J22" i="18"/>
  <c r="J35" i="12"/>
  <c r="J27" i="12"/>
  <c r="K6" i="12"/>
  <c r="J13" i="12"/>
  <c r="J20" i="12"/>
  <c r="K5" i="15"/>
  <c r="J20" i="15"/>
  <c r="J42" i="13"/>
  <c r="J32" i="13"/>
  <c r="K8" i="13"/>
  <c r="J21" i="13"/>
  <c r="B35" i="13"/>
  <c r="J13" i="13"/>
  <c r="B24" i="11"/>
  <c r="J31" i="11"/>
  <c r="K8" i="11"/>
  <c r="J13" i="11"/>
  <c r="J21" i="11"/>
  <c r="K5" i="6"/>
  <c r="J14" i="6"/>
  <c r="H15" i="17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1" i="15"/>
  <c r="J12" i="15" s="1"/>
  <c r="J6" i="17" s="1"/>
  <c r="J7" i="17" s="1"/>
  <c r="L8" i="18"/>
  <c r="L8" i="12"/>
  <c r="L7" i="15"/>
  <c r="L8" i="15" s="1"/>
  <c r="K14" i="9"/>
  <c r="L14" i="9"/>
  <c r="K18" i="9" l="1"/>
  <c r="K10" i="9"/>
  <c r="L5" i="9"/>
  <c r="L5" i="17"/>
  <c r="L30" i="17" s="1"/>
  <c r="K30" i="17"/>
  <c r="K10" i="24"/>
  <c r="K15" i="24"/>
  <c r="L5" i="24"/>
  <c r="K12" i="19"/>
  <c r="K45" i="19"/>
  <c r="K40" i="19"/>
  <c r="K36" i="19"/>
  <c r="L6" i="19"/>
  <c r="K22" i="19"/>
  <c r="L6" i="18"/>
  <c r="K14" i="18"/>
  <c r="K22" i="18"/>
  <c r="K13" i="12"/>
  <c r="K35" i="12"/>
  <c r="L6" i="12"/>
  <c r="K20" i="12"/>
  <c r="K27" i="12"/>
  <c r="L5" i="15"/>
  <c r="L20" i="15" s="1"/>
  <c r="K20" i="15"/>
  <c r="K42" i="13"/>
  <c r="B36" i="13"/>
  <c r="K13" i="13"/>
  <c r="K21" i="13"/>
  <c r="K32" i="13"/>
  <c r="L8" i="13"/>
  <c r="K31" i="11"/>
  <c r="K13" i="11"/>
  <c r="B25" i="11"/>
  <c r="K21" i="11"/>
  <c r="L8" i="11"/>
  <c r="L5" i="6"/>
  <c r="K14" i="6"/>
  <c r="H12" i="17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1" i="15"/>
  <c r="K12" i="15" s="1"/>
  <c r="L9" i="18"/>
  <c r="L9" i="12"/>
  <c r="L11" i="15"/>
  <c r="L12" i="15" s="1"/>
  <c r="L18" i="9" l="1"/>
  <c r="L10" i="9"/>
  <c r="L10" i="24"/>
  <c r="L15" i="24"/>
  <c r="L45" i="19"/>
  <c r="L36" i="19"/>
  <c r="L40" i="19"/>
  <c r="L12" i="19"/>
  <c r="L22" i="19"/>
  <c r="L14" i="18"/>
  <c r="L22" i="18"/>
  <c r="L35" i="12"/>
  <c r="L27" i="12"/>
  <c r="L13" i="12"/>
  <c r="L20" i="12"/>
  <c r="L32" i="13"/>
  <c r="B37" i="13"/>
  <c r="L42" i="13"/>
  <c r="L13" i="13"/>
  <c r="L21" i="13"/>
  <c r="L31" i="11"/>
  <c r="L13" i="11"/>
  <c r="L21" i="11"/>
  <c r="B26" i="11"/>
  <c r="L14" i="6"/>
  <c r="K16" i="12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3" i="15"/>
  <c r="I13" i="15"/>
  <c r="J13" i="15"/>
  <c r="K13" i="15"/>
  <c r="L13" i="15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tc={502D4E4C-E3D4-8F43-AF74-3173B2E381A3}</author>
    <author>tc={1BFA1FE8-C472-D64B-B144-4996766B43E4}</author>
    <author>tc={F7328767-D573-5E40-9060-9C3FF0B19AEE}</author>
    <author>tc={956F0D8B-0692-4D4E-AB6C-385CCF335882}</author>
    <author>tc={1B0A33D0-9122-7D4F-8949-BE107CFEF94E}</author>
  </authors>
  <commentList>
    <comment ref="B117" authorId="0" shapeId="0" xr:uid="{502D4E4C-E3D4-8F43-AF74-3173B2E381A3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at note 5 in the Property plant and equipment section</t>
      </text>
    </comment>
    <comment ref="B120" authorId="1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2" authorId="2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4" authorId="3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7" authorId="4" shapeId="0" xr:uid="{1B0A33D0-9122-7D4F-8949-BE107CFEF94E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Segment Operating Performance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<sst xmlns="http://schemas.openxmlformats.org/spreadsheetml/2006/main" count="804" uniqueCount="422">
  <si>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</si>
  <si>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</si>
  <si>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</si>
  <si>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</si>
  <si>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</si>
  <si>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</si>
  <si>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</si>
  <si>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</si>
  <si>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</si>
  <si>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</si>
  <si>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</si>
  <si>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</si>
  <si>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</si>
  <si>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</si>
  <si>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</si>
  <si>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</si>
  <si>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</si>
  <si>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</si>
  <si>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</si>
  <si>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</si>
  <si>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</si>
  <si>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</si>
  <si>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</si>
  <si>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</si>
  <si>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</si>
  <si>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</si>
  <si>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</si>
  <si>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</si>
  <si>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</si>
  <si>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</si>
  <si>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</si>
  <si>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</si>
  <si>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</si>
  <si>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</si>
  <si>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</si>
  <si>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</si>
  <si>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</si>
  <si>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</si>
  <si>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</si>
  <si>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</si>
  <si>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</si>
  <si>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</si>
  <si>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</si>
  <si>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</si>
  <si>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</si>
  <si>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</si>
  <si>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</si>
  <si>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</si>
  <si>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</si>
  <si>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</si>
  <si>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</si>
  <si>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</si>
  <si>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</si>
  <si>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</si>
  <si>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</si>
  <si>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</si>
  <si>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</si>
  <si>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</si>
  <si>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</si>
  <si>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</si>
  <si>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</si>
  <si>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</si>
  <si>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</si>
  <si>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</si>
  <si>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</si>
  <si>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</si>
  <si>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</si>
  <si>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</si>
  <si>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</si>
  <si>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</si>
  <si>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</si>
  <si>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</si>
  <si>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</si>
  <si>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</si>
  <si>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</si>
  <si>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</si>
  <si>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</si>
  <si>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</si>
  <si>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</si>
  <si>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</si>
  <si>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</si>
  <si>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</si>
  <si>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</si>
  <si>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</si>
  <si>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</si>
  <si>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</si>
  <si>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</si>
  <si>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</si>
  <si>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</si>
  <si>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</si>
  <si>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</si>
  <si>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</si>
  <si>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</si>
  <si>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</si>
  <si>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</si>
  <si>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</si>
  <si>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</si>
  <si>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</si>
  <si>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</si>
  <si>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Deferred cost of revenues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</si>
  <si>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</si>
  <si>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</si>
  <si>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</si>
  <si>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</si>
  <si>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</si>
  <si>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</si>
  <si>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</si>
  <si>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accrued expenses</t>
  </si>
  <si>
    <t>Issuance common stock</t>
  </si>
  <si>
    <t>Proceeds stock options</t>
  </si>
  <si>
    <t>Repurchase common stock</t>
  </si>
  <si>
    <t>Interest income</t>
  </si>
  <si>
    <t>Prepaid expenses &amp; Other current assets</t>
  </si>
  <si>
    <t>Intangible assets</t>
  </si>
  <si>
    <t>Short-term investments</t>
  </si>
  <si>
    <t>Long term investments</t>
  </si>
  <si>
    <t>Deferred tax liabilities</t>
  </si>
  <si>
    <t>Revenue breakdown</t>
  </si>
  <si>
    <t>Company specifics</t>
  </si>
  <si>
    <t>Company specific metrics</t>
  </si>
  <si>
    <t>Total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</si>
  <si>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</si>
  <si>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</si>
  <si>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</si>
  <si>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</si>
  <si>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</si>
  <si>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</si>
  <si>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</si>
  <si>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</si>
  <si>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</si>
  <si>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</si>
  <si>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</si>
  <si>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</si>
  <si>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</si>
  <si>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</si>
  <si>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</si>
  <si>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 * Paid subscribers</t>
  </si>
  <si>
    <t>Growth rates</t>
  </si>
  <si>
    <t>Revenue growth %</t>
  </si>
  <si>
    <t>Free users * Ad revenue/Free user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</si>
  <si>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</si>
  <si>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</si>
  <si>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</si>
  <si>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</si>
  <si>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</si>
  <si>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</si>
  <si>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</si>
  <si>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</si>
  <si>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</si>
  <si>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</si>
  <si>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</si>
  <si>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</si>
  <si>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</si>
  <si>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</si>
  <si>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</si>
  <si>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</si>
  <si>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</si>
  <si>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</si>
  <si>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</si>
  <si>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</si>
  <si>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</si>
  <si>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</si>
  <si>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</si>
  <si>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</si>
  <si>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</si>
  <si>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</si>
  <si>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</si>
  <si>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</si>
  <si>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</si>
  <si>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</si>
  <si>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</si>
  <si>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</si>
  <si>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</si>
  <si>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</si>
  <si>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</si>
  <si>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</si>
  <si>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</si>
  <si>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</si>
  <si>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</si>
  <si>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</si>
  <si>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</si>
  <si>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</si>
  <si>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</si>
  <si>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</si>
  <si>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</si>
  <si>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</si>
  <si>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</si>
  <si>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</si>
  <si>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</si>
  <si>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</si>
  <si>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</si>
  <si>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</si>
  <si>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</si>
  <si>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</si>
  <si>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</si>
  <si>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</si>
  <si>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</si>
  <si>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</si>
  <si>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</si>
  <si>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</si>
  <si>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</si>
  <si>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</si>
  <si>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</si>
  <si>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</si>
  <si>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</si>
  <si>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</si>
  <si>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</si>
  <si>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</si>
  <si>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</si>
  <si>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</si>
  <si>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</si>
  <si>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</si>
  <si>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</si>
  <si>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</si>
  <si>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</si>
  <si>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</si>
  <si>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</si>
  <si>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</si>
  <si>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</si>
  <si>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</si>
  <si>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</si>
  <si>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</si>
  <si>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</si>
  <si>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</si>
  <si>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</si>
  <si>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</si>
  <si>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</si>
  <si>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</si>
  <si>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</si>
  <si>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</si>
  <si>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</si>
  <si>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</si>
  <si>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</si>
  <si>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</si>
  <si>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</si>
  <si>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</si>
  <si>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</si>
  <si>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</si>
  <si>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</si>
  <si>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</si>
  <si>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</si>
  <si>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</si>
  <si>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</si>
  <si>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</si>
  <si>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</si>
  <si>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</si>
  <si>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</si>
  <si>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</si>
  <si>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</si>
  <si>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</si>
  <si>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</si>
  <si>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</si>
  <si>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</si>
  <si>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</si>
  <si>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</si>
  <si>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</si>
  <si>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</si>
  <si>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</si>
  <si>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</si>
  <si>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</si>
  <si>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</si>
  <si>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</si>
  <si>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</si>
  <si>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</si>
  <si>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</si>
  <si>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</si>
  <si>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</si>
  <si>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</si>
  <si>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</si>
  <si>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</si>
  <si>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</si>
  <si>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</si>
  <si>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</si>
  <si>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</si>
  <si>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</si>
  <si>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</si>
  <si>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</si>
  <si>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</si>
  <si>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</si>
  <si>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</si>
  <si>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</si>
  <si>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</si>
  <si>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</si>
  <si>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</si>
  <si>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</si>
  <si>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</si>
  <si>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</si>
  <si>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</si>
  <si>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</si>
  <si>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</si>
  <si>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</si>
  <si>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</si>
  <si>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</si>
  <si>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</si>
  <si>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</si>
  <si>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</si>
  <si>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</si>
  <si>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</si>
  <si>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</si>
  <si>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</si>
  <si>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</si>
  <si>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</si>
  <si>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</si>
  <si>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</si>
  <si>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</si>
  <si>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</si>
  <si>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</si>
  <si>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</si>
  <si>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</si>
  <si>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</si>
  <si>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</si>
  <si>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</si>
  <si>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</si>
  <si>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</si>
  <si>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</si>
  <si>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</si>
  <si>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</si>
  <si>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</si>
  <si>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</si>
  <si>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</si>
  <si>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</si>
  <si>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</si>
  <si>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</si>
  <si>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</si>
  <si>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</si>
  <si>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</si>
  <si>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</si>
  <si>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</si>
  <si>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</si>
  <si>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</si>
  <si>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</si>
  <si>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</si>
  <si>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</si>
  <si>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</si>
  <si>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</si>
  <si>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</si>
  <si>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</si>
  <si>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</si>
  <si>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</si>
  <si>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EBITDA</t>
  </si>
  <si>
    <t>An easier denominator is Total debt + Equity -Cash</t>
  </si>
  <si>
    <t>Shares</t>
  </si>
  <si>
    <t>Avg diluted shares</t>
  </si>
  <si>
    <t>Dilution rate</t>
  </si>
  <si>
    <t>AAPL</t>
  </si>
  <si>
    <t>M</t>
  </si>
  <si>
    <t>27.09.2025</t>
  </si>
  <si>
    <t>28.09.2024</t>
  </si>
  <si>
    <t>Selling, General and administrative</t>
  </si>
  <si>
    <t>26.09.2020</t>
  </si>
  <si>
    <t>28.09.2019</t>
  </si>
  <si>
    <t>29.09.2018</t>
  </si>
  <si>
    <t>30.09.2023</t>
  </si>
  <si>
    <t>24.09.2022</t>
  </si>
  <si>
    <t>25.09.2021</t>
  </si>
  <si>
    <t>30.09.2017</t>
  </si>
  <si>
    <t>24.09.2016</t>
  </si>
  <si>
    <t>CAGR 10y Net Income</t>
  </si>
  <si>
    <t>CAGR 10y EPS</t>
  </si>
  <si>
    <t>Stock split factor</t>
  </si>
  <si>
    <t>Basic Shares outstanding avg adjusted</t>
  </si>
  <si>
    <t>Diluted Shares outstanding avg adjusted</t>
  </si>
  <si>
    <t>Basic EPS adjusted</t>
  </si>
  <si>
    <t>Diluted EPS adjusted</t>
  </si>
  <si>
    <t>Marketable securities</t>
  </si>
  <si>
    <t>Vendor non trade receivable</t>
  </si>
  <si>
    <t>Inventory</t>
  </si>
  <si>
    <t>Other current assets</t>
  </si>
  <si>
    <t>Other current liabilities</t>
  </si>
  <si>
    <t>Commercial paper</t>
  </si>
  <si>
    <t>Term debt</t>
  </si>
  <si>
    <t>Other liabilities</t>
  </si>
  <si>
    <t>Accumulated other earnings</t>
  </si>
  <si>
    <t>Common stock &amp; paid in capital</t>
  </si>
  <si>
    <t>Split adjusted shares outstanding</t>
  </si>
  <si>
    <t>Split adjusted dividends per share</t>
  </si>
  <si>
    <t>CAGR 10y dividend</t>
  </si>
  <si>
    <t>Other</t>
  </si>
  <si>
    <t>Change vendor non trade receivables</t>
  </si>
  <si>
    <t>Change inventory</t>
  </si>
  <si>
    <t>Change other current/noncurrent assets</t>
  </si>
  <si>
    <t>Change other current/noncurrent liab</t>
  </si>
  <si>
    <t>Purchase of marketable securities</t>
  </si>
  <si>
    <t>Proceeds maturity marketable securities</t>
  </si>
  <si>
    <t>Proceeds sale marketable securities</t>
  </si>
  <si>
    <t>Payment taxes equity awards</t>
  </si>
  <si>
    <t>Payment dividend</t>
  </si>
  <si>
    <t>Repurchase stock</t>
  </si>
  <si>
    <t>Proceeds issuance term debt</t>
  </si>
  <si>
    <t>Repayment term debt</t>
  </si>
  <si>
    <t>Proceeds/Repayment commercial paper</t>
  </si>
  <si>
    <t>Deferred income tax expense/benefit</t>
  </si>
  <si>
    <t>Payments business acquisition</t>
  </si>
  <si>
    <t>Purchase non marketable securities</t>
  </si>
  <si>
    <t>Proceeds non marketable securities</t>
  </si>
  <si>
    <t>Proceeds Issuance stock</t>
  </si>
  <si>
    <t>Acquisition intangible assets</t>
  </si>
  <si>
    <t>Strategic investments</t>
  </si>
  <si>
    <t>Excess tax benefits equity awards</t>
  </si>
  <si>
    <t>Americas</t>
  </si>
  <si>
    <t>Europe</t>
  </si>
  <si>
    <t>Greater China</t>
  </si>
  <si>
    <t>Japan</t>
  </si>
  <si>
    <t>Rest of Asia Pacific</t>
  </si>
  <si>
    <t>iPhone</t>
  </si>
  <si>
    <t>Mac</t>
  </si>
  <si>
    <t>iPad</t>
  </si>
  <si>
    <t>Wearables, Home, Accessories</t>
  </si>
  <si>
    <t>Services</t>
  </si>
  <si>
    <t>27.12.2025</t>
  </si>
  <si>
    <t>Q1 2026</t>
  </si>
  <si>
    <t>28.12.2024</t>
  </si>
  <si>
    <t>28.06.2025</t>
  </si>
  <si>
    <t>29.06.2024</t>
  </si>
  <si>
    <t>29.03.2025</t>
  </si>
  <si>
    <t>30.03.2024</t>
  </si>
  <si>
    <t>Change vendor non trade receivable</t>
  </si>
  <si>
    <t>Dividends</t>
  </si>
  <si>
    <t>Proceeds debt</t>
  </si>
  <si>
    <t>Repayment debt</t>
  </si>
  <si>
    <t>Revenues (million)</t>
  </si>
  <si>
    <t>Expenses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</si>
</sst>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  <font>
      <b/>
      <i/>
      <sz val="12"/>
      <color theme="1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17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8" borderId="0" xfId="1" applyNumberFormat="1" applyFont="1" applyFill="1"/>
    <xf numFmtId="38" fontId="17" fillId="11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0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0" xfId="0" applyNumberFormat="1" applyFont="1" applyFill="1" applyBorder="1"/>
    <xf numFmtId="0" fontId="3" fillId="5" borderId="21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2" xfId="0" applyFill="1" applyBorder="1"/>
    <xf numFmtId="169" fontId="0" fillId="7" borderId="23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23" fillId="13" borderId="0" xfId="0" applyFont="1" applyFill="1" applyAlignment="1">
      <alignment horizontal="right"/>
    </xf>
    <xf numFmtId="164" fontId="2" fillId="3" borderId="2" xfId="0" applyNumberFormat="1" applyFont="1" applyFill="1" applyBorder="1"/>
    <xf numFmtId="2" fontId="7" fillId="3" borderId="0" xfId="0" applyNumberFormat="1" applyFont="1" applyFill="1"/>
    <xf numFmtId="2" fontId="2" fillId="3" borderId="0" xfId="0" applyNumberFormat="1" applyFont="1" applyFill="1"/>
    <xf numFmtId="165" fontId="25" fillId="3" borderId="0" xfId="1" applyNumberFormat="1" applyFont="1" applyFill="1"/>
    <xf numFmtId="165" fontId="25" fillId="3" borderId="17" xfId="1" applyNumberFormat="1" applyFont="1" applyFill="1" applyBorder="1"/>
    <xf numFmtId="0" fontId="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0">
          <cell r="C10">
            <v>43.23</v>
          </cell>
        </row>
        <row r="17">
          <cell r="C17">
            <v>271.06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7" dT="2026-04-19T11:35:20.49" personId="{C1D857D3-F592-2946-8369-15D188CA547D}" id="{502D4E4C-E3D4-8F43-AF74-3173B2E381A3}">
    <text>Found at note 5 in the Property plant and equipment section</text>
  </threadedComment>
  <threadedComment ref="B120" dT="2026-02-17T21:45:28.65" personId="{C1D857D3-F592-2946-8369-15D188CA547D}" id="{1BFA1FE8-C472-D64B-B144-4996766B43E4}">
    <text>Actual number</text>
  </threadedComment>
  <threadedComment ref="B122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4" dT="2026-02-17T23:24:57.80" personId="{C1D857D3-F592-2946-8369-15D188CA547D}" id="{956F0D8B-0692-4D4E-AB6C-385CCF335882}">
    <text>Can be used as accumulated amortization to calculate the year's amortization expense</text>
  </threadedComment>
  <threadedComment ref="B147" dT="2026-04-19T12:24:41.80" personId="{C1D857D3-F592-2946-8369-15D188CA547D}" id="{1B0A33D0-9122-7D4F-8949-BE107CFEF94E}">
    <text>Search for Segment Operating Performance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zoomScale="150" workbookViewId="0">
      <selection activeCell="B45" sqref="B45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344</v>
      </c>
    </row>
    <row r="3" spans="2:5" x14ac:dyDescent="0.2">
      <c r="B3" s="1" t="s">
        <v>78</v>
      </c>
      <c r="C3" s="35">
        <f>[1]Sheet1!$C$17</f>
        <v>271.06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345</v>
      </c>
    </row>
    <row r="10" spans="2:5" x14ac:dyDescent="0.2">
      <c r="C10" s="93"/>
    </row>
    <row r="11" spans="2:5" x14ac:dyDescent="0.2">
      <c r="B11" s="1" t="s">
        <v>128</v>
      </c>
      <c r="C11" s="93">
        <f>$C$3/'Statement Q'!$N$19</f>
        <v>34.336752252137515</v>
      </c>
    </row>
    <row r="12" spans="2:5" x14ac:dyDescent="0.2">
      <c r="B12" s="1" t="s">
        <v>307</v>
      </c>
      <c r="C12" s="93">
        <f>$C$3/Statements!W18</f>
        <v>34.336752252137515</v>
      </c>
    </row>
    <row r="13" spans="2:5" x14ac:dyDescent="0.2">
      <c r="B13" s="1" t="s">
        <v>129</v>
      </c>
      <c r="C13" s="99">
        <f>$C$3/('Statement Q'!$N$5/'Statement Q'!$N$17)</f>
        <v>9.2835671472876413</v>
      </c>
    </row>
    <row r="15" spans="2:5" x14ac:dyDescent="0.2">
      <c r="B15" s="1" t="s">
        <v>264</v>
      </c>
      <c r="C15" s="20">
        <f>C3*'Statement Q'!N100</f>
        <v>3979431.86</v>
      </c>
    </row>
    <row r="16" spans="2:5" x14ac:dyDescent="0.2">
      <c r="B16" s="1" t="s">
        <v>265</v>
      </c>
      <c r="C16" s="20">
        <f>Statements!W21</f>
        <v>66907</v>
      </c>
    </row>
    <row r="17" spans="1:4" x14ac:dyDescent="0.2">
      <c r="B17" s="1" t="s">
        <v>241</v>
      </c>
      <c r="C17" s="20">
        <f>Statements!W35+Statements!W36+Statements!W38</f>
        <v>90509</v>
      </c>
    </row>
    <row r="18" spans="1:4" x14ac:dyDescent="0.2">
      <c r="B18" s="1" t="s">
        <v>266</v>
      </c>
      <c r="C18" s="20">
        <f>C15+C17-C16</f>
        <v>4003033.86</v>
      </c>
    </row>
    <row r="19" spans="1:4" x14ac:dyDescent="0.2">
      <c r="B19" s="1" t="s">
        <v>267</v>
      </c>
      <c r="C19" s="93">
        <f>C16/'Statement Q'!J100</f>
        <v>4.5573870989714598</v>
      </c>
    </row>
    <row r="21" spans="1:4" x14ac:dyDescent="0.2">
      <c r="B21" s="1" t="s">
        <v>308</v>
      </c>
      <c r="C21" s="183">
        <f>_xlfn.RRI(9,'Statement Y'!C5,'Statement Y'!L5)</f>
        <v>7.5786296031959077E-2</v>
      </c>
      <c r="D21" s="183"/>
    </row>
    <row r="22" spans="1:4" x14ac:dyDescent="0.2">
      <c r="B22" s="1" t="s">
        <v>357</v>
      </c>
      <c r="C22" s="183">
        <f>_xlfn.RRI(9,'Statement Y'!C15,'Statement Y'!L15)</f>
        <v>0.10477489081683444</v>
      </c>
    </row>
    <row r="23" spans="1:4" x14ac:dyDescent="0.2">
      <c r="B23" s="1" t="s">
        <v>358</v>
      </c>
      <c r="C23" s="183">
        <f>_xlfn.RRI(9,'Statement Y'!C23,'Statement Y'!L23)</f>
        <v>0.15262661592678528</v>
      </c>
    </row>
    <row r="24" spans="1:4" x14ac:dyDescent="0.2">
      <c r="B24" s="1" t="s">
        <v>376</v>
      </c>
      <c r="C24" s="89">
        <f>_xlfn.RRI(9,'Statement Y'!C116,'Statement Y'!L116)</f>
        <v>7.2123590592434006E-2</v>
      </c>
    </row>
    <row r="28" spans="1:4" x14ac:dyDescent="0.2">
      <c r="B28" s="1" t="s">
        <v>326</v>
      </c>
    </row>
    <row r="29" spans="1:4" x14ac:dyDescent="0.2">
      <c r="A29"/>
      <c r="B29" s="1" t="s">
        <v>327</v>
      </c>
    </row>
    <row r="30" spans="1:4" x14ac:dyDescent="0.2">
      <c r="B30" s="1" t="s">
        <v>328</v>
      </c>
    </row>
    <row r="31" spans="1:4" x14ac:dyDescent="0.2">
      <c r="B31" s="1" t="s">
        <v>332</v>
      </c>
    </row>
    <row r="33" spans="2:4" x14ac:dyDescent="0.2">
      <c r="B33" s="1" t="s">
        <v>329</v>
      </c>
      <c r="C33" s="20"/>
    </row>
    <row r="34" spans="2:4" x14ac:dyDescent="0.2">
      <c r="B34" s="1" t="s">
        <v>330</v>
      </c>
      <c r="C34" s="20">
        <f>'Statement Y'!L113</f>
        <v>14776</v>
      </c>
    </row>
    <row r="35" spans="2:4" x14ac:dyDescent="0.2">
      <c r="B35" s="1" t="s">
        <v>331</v>
      </c>
      <c r="C35" s="183">
        <f>C33/C34</f>
        <v>0</v>
      </c>
    </row>
    <row r="37" spans="2:4" x14ac:dyDescent="0.2">
      <c r="B37" s="1" t="s">
        <v>333</v>
      </c>
    </row>
    <row r="38" spans="2:4" x14ac:dyDescent="0.2">
      <c r="B38" s="1" t="s">
        <v>334</v>
      </c>
    </row>
    <row r="39" spans="2:4" x14ac:dyDescent="0.2">
      <c r="B39" s="1" t="s">
        <v>335</v>
      </c>
    </row>
    <row r="40" spans="2:4" x14ac:dyDescent="0.2">
      <c r="B40" s="1" t="s">
        <v>336</v>
      </c>
    </row>
    <row r="41" spans="2:4" x14ac:dyDescent="0.2">
      <c r="B41" s="1" t="s">
        <v>337</v>
      </c>
    </row>
    <row r="42" spans="2:4" x14ac:dyDescent="0.2">
      <c r="B42" s="1" t="s">
        <v>340</v>
      </c>
    </row>
    <row r="44" spans="2:4" x14ac:dyDescent="0.2">
      <c r="B44" s="1" t="s">
        <v>215</v>
      </c>
      <c r="C44" s="20">
        <f>Statements!W11*(1-'Statement Y'!L119)</f>
        <v>119048.96970518876</v>
      </c>
    </row>
    <row r="45" spans="2:4" x14ac:dyDescent="0.2">
      <c r="B45" s="1" t="s">
        <v>241</v>
      </c>
      <c r="C45" s="20">
        <f>Statements!W35+Statements!W36+Statements!W38</f>
        <v>90509</v>
      </c>
    </row>
    <row r="46" spans="2:4" x14ac:dyDescent="0.2">
      <c r="B46" s="1" t="s">
        <v>251</v>
      </c>
      <c r="C46" s="20">
        <f>Statements!W45</f>
        <v>88190</v>
      </c>
    </row>
    <row r="47" spans="2:4" x14ac:dyDescent="0.2">
      <c r="B47" s="1" t="s">
        <v>265</v>
      </c>
      <c r="C47" s="20">
        <f>Statements!W21</f>
        <v>66907</v>
      </c>
      <c r="D47" s="20"/>
    </row>
    <row r="48" spans="2:4" x14ac:dyDescent="0.2">
      <c r="B48" s="1" t="s">
        <v>338</v>
      </c>
      <c r="C48" s="183">
        <f>C44/(C45+C46-C47)</f>
        <v>1.0649149286638468</v>
      </c>
      <c r="D48" s="183"/>
    </row>
    <row r="50" spans="3:3" x14ac:dyDescent="0.2">
      <c r="C50" s="105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1" customFormat="1" ht="49" x14ac:dyDescent="0.2">
      <c r="B13" s="103" t="s">
        <v>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Q163"/>
  <sheetViews>
    <sheetView zoomScale="156" zoomScaleNormal="150" workbookViewId="0">
      <pane xSplit="2" ySplit="3" topLeftCell="I9" activePane="bottomRight" state="frozen"/>
      <selection pane="topRight" activeCell="C1" sqref="C1"/>
      <selection pane="bottomLeft" activeCell="A4" sqref="A4"/>
      <selection pane="bottomRight" activeCell="K113" sqref="K113"/>
    </sheetView>
  </sheetViews>
  <sheetFormatPr baseColWidth="10" defaultRowHeight="16" outlineLevelRow="2" outlineLevelCol="1" x14ac:dyDescent="0.2"/>
  <cols>
    <col min="1" max="1" width="3.6640625" style="1" customWidth="1"/>
    <col min="2" max="2" width="33.83203125" style="9" customWidth="1"/>
    <col min="3" max="8" width="12" style="1" customWidth="1" outlineLevel="1"/>
    <col min="9" max="9" width="10.83203125" style="1" customWidth="1" outlineLevel="1"/>
    <col min="10" max="10" width="12" style="1" customWidth="1" outlineLevel="1"/>
    <col min="11" max="11" width="10.83203125" style="1" customWidth="1" outlineLevel="1"/>
    <col min="12" max="14" width="10.83203125" style="1" customWidth="1"/>
    <col min="15" max="16384" width="10.83203125" style="1"/>
  </cols>
  <sheetData>
    <row r="1" spans="1:16" x14ac:dyDescent="0.2">
      <c r="B1" s="1"/>
    </row>
    <row r="2" spans="1:16" s="3" customFormat="1" x14ac:dyDescent="0.2">
      <c r="A2" s="2"/>
      <c r="B2" s="61" t="s">
        <v>0</v>
      </c>
      <c r="C2" s="201" t="s">
        <v>356</v>
      </c>
      <c r="D2" s="201" t="s">
        <v>355</v>
      </c>
      <c r="E2" s="201" t="s">
        <v>351</v>
      </c>
      <c r="F2" s="201" t="s">
        <v>350</v>
      </c>
      <c r="G2" s="201" t="s">
        <v>349</v>
      </c>
      <c r="H2" s="201" t="s">
        <v>354</v>
      </c>
      <c r="I2" s="201" t="s">
        <v>353</v>
      </c>
      <c r="J2" s="3" t="s">
        <v>352</v>
      </c>
      <c r="K2" s="3" t="s">
        <v>347</v>
      </c>
      <c r="L2" s="3" t="s">
        <v>346</v>
      </c>
    </row>
    <row r="3" spans="1:16" s="5" customFormat="1" x14ac:dyDescent="0.2">
      <c r="A3" s="4"/>
      <c r="B3" s="62" t="s">
        <v>1</v>
      </c>
      <c r="C3" s="5">
        <v>2016</v>
      </c>
      <c r="D3" s="5">
        <f>C3+1</f>
        <v>2017</v>
      </c>
      <c r="E3" s="5">
        <f t="shared" ref="E3:P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  <c r="M3" s="5">
        <f t="shared" si="0"/>
        <v>2026</v>
      </c>
      <c r="N3" s="5">
        <f t="shared" si="0"/>
        <v>2027</v>
      </c>
      <c r="O3" s="5">
        <f t="shared" si="0"/>
        <v>2028</v>
      </c>
      <c r="P3" s="5">
        <f t="shared" si="0"/>
        <v>2029</v>
      </c>
    </row>
    <row r="4" spans="1:16" s="14" customFormat="1" ht="17" thickBot="1" x14ac:dyDescent="0.25">
      <c r="A4" s="4"/>
      <c r="B4" s="15" t="s">
        <v>5</v>
      </c>
    </row>
    <row r="5" spans="1:16" s="53" customFormat="1" outlineLevel="1" x14ac:dyDescent="0.2">
      <c r="A5" s="7"/>
      <c r="B5" s="17" t="s">
        <v>6</v>
      </c>
      <c r="C5" s="51">
        <v>215639</v>
      </c>
      <c r="D5" s="51">
        <v>229234</v>
      </c>
      <c r="E5" s="51">
        <v>265595</v>
      </c>
      <c r="F5" s="51">
        <v>260174</v>
      </c>
      <c r="G5" s="51">
        <v>274515</v>
      </c>
      <c r="H5" s="51">
        <v>365817</v>
      </c>
      <c r="I5" s="51">
        <v>394328</v>
      </c>
      <c r="J5" s="51">
        <v>383285</v>
      </c>
      <c r="K5" s="51">
        <v>391035</v>
      </c>
      <c r="L5" s="51">
        <v>416161</v>
      </c>
      <c r="M5" s="51"/>
      <c r="N5" s="51"/>
      <c r="O5" s="51"/>
      <c r="P5" s="51"/>
    </row>
    <row r="6" spans="1:16" outlineLevel="1" x14ac:dyDescent="0.2">
      <c r="B6" s="9" t="s">
        <v>7</v>
      </c>
      <c r="C6" s="27">
        <v>131376</v>
      </c>
      <c r="D6" s="27">
        <v>141048</v>
      </c>
      <c r="E6" s="27">
        <v>163756</v>
      </c>
      <c r="F6" s="27">
        <v>161782</v>
      </c>
      <c r="G6" s="27">
        <v>169559</v>
      </c>
      <c r="H6" s="27">
        <v>212981</v>
      </c>
      <c r="I6" s="27">
        <v>223546</v>
      </c>
      <c r="J6" s="27">
        <v>214137</v>
      </c>
      <c r="K6" s="27">
        <v>210352</v>
      </c>
      <c r="L6" s="27">
        <v>220960</v>
      </c>
      <c r="M6" s="27"/>
      <c r="N6" s="27"/>
      <c r="O6" s="27"/>
      <c r="P6" s="27"/>
    </row>
    <row r="7" spans="1:16" s="53" customFormat="1" outlineLevel="1" x14ac:dyDescent="0.2">
      <c r="A7" s="7"/>
      <c r="B7" s="17" t="s">
        <v>8</v>
      </c>
      <c r="C7" s="54">
        <f t="shared" ref="C7:P7" si="1">C5-C6</f>
        <v>84263</v>
      </c>
      <c r="D7" s="54">
        <f t="shared" si="1"/>
        <v>88186</v>
      </c>
      <c r="E7" s="54">
        <f t="shared" si="1"/>
        <v>101839</v>
      </c>
      <c r="F7" s="54">
        <f t="shared" si="1"/>
        <v>98392</v>
      </c>
      <c r="G7" s="54">
        <f t="shared" si="1"/>
        <v>104956</v>
      </c>
      <c r="H7" s="54">
        <f t="shared" si="1"/>
        <v>152836</v>
      </c>
      <c r="I7" s="54">
        <f t="shared" si="1"/>
        <v>170782</v>
      </c>
      <c r="J7" s="54">
        <f t="shared" si="1"/>
        <v>169148</v>
      </c>
      <c r="K7" s="54">
        <f t="shared" si="1"/>
        <v>180683</v>
      </c>
      <c r="L7" s="54">
        <f t="shared" si="1"/>
        <v>195201</v>
      </c>
      <c r="M7" s="54">
        <f t="shared" si="1"/>
        <v>0</v>
      </c>
      <c r="N7" s="54">
        <f t="shared" si="1"/>
        <v>0</v>
      </c>
      <c r="O7" s="54">
        <f t="shared" si="1"/>
        <v>0</v>
      </c>
      <c r="P7" s="54">
        <f t="shared" si="1"/>
        <v>0</v>
      </c>
    </row>
    <row r="8" spans="1:16" outlineLevel="1" x14ac:dyDescent="0.2">
      <c r="B8" s="9" t="s">
        <v>9</v>
      </c>
      <c r="C8" s="27">
        <v>10045</v>
      </c>
      <c r="D8" s="27">
        <v>11581</v>
      </c>
      <c r="E8" s="27">
        <v>14236</v>
      </c>
      <c r="F8" s="27">
        <v>16217</v>
      </c>
      <c r="G8" s="27">
        <v>18752</v>
      </c>
      <c r="H8" s="27">
        <v>21914</v>
      </c>
      <c r="I8" s="27">
        <v>26251</v>
      </c>
      <c r="J8" s="27">
        <v>29915</v>
      </c>
      <c r="K8" s="27">
        <v>31370</v>
      </c>
      <c r="L8" s="27">
        <v>34550</v>
      </c>
      <c r="M8" s="27"/>
      <c r="N8" s="27"/>
      <c r="O8" s="27"/>
      <c r="P8" s="27"/>
    </row>
    <row r="9" spans="1:16" outlineLevel="1" x14ac:dyDescent="0.2">
      <c r="B9" s="12" t="s">
        <v>348</v>
      </c>
      <c r="C9" s="27">
        <v>14194</v>
      </c>
      <c r="D9" s="27">
        <v>15261</v>
      </c>
      <c r="E9" s="27">
        <v>16705</v>
      </c>
      <c r="F9" s="27">
        <v>18245</v>
      </c>
      <c r="G9" s="27">
        <v>19916</v>
      </c>
      <c r="H9" s="27">
        <v>21973</v>
      </c>
      <c r="I9" s="27">
        <v>25094</v>
      </c>
      <c r="J9" s="27">
        <v>24932</v>
      </c>
      <c r="K9" s="27">
        <v>26097</v>
      </c>
      <c r="L9" s="27">
        <v>27601</v>
      </c>
      <c r="M9" s="27"/>
      <c r="N9" s="27"/>
      <c r="O9" s="27"/>
      <c r="P9" s="27"/>
    </row>
    <row r="10" spans="1:16" outlineLevel="1" x14ac:dyDescent="0.2">
      <c r="B10" s="12" t="s">
        <v>11</v>
      </c>
      <c r="C10" s="20">
        <f t="shared" ref="C10:P10" si="2">SUM(C8:C9)</f>
        <v>24239</v>
      </c>
      <c r="D10" s="20">
        <f t="shared" si="2"/>
        <v>26842</v>
      </c>
      <c r="E10" s="20">
        <f t="shared" si="2"/>
        <v>30941</v>
      </c>
      <c r="F10" s="20">
        <f t="shared" si="2"/>
        <v>34462</v>
      </c>
      <c r="G10" s="20">
        <f t="shared" si="2"/>
        <v>38668</v>
      </c>
      <c r="H10" s="20">
        <f t="shared" si="2"/>
        <v>43887</v>
      </c>
      <c r="I10" s="20">
        <f t="shared" si="2"/>
        <v>51345</v>
      </c>
      <c r="J10" s="20">
        <f t="shared" si="2"/>
        <v>54847</v>
      </c>
      <c r="K10" s="20">
        <f t="shared" si="2"/>
        <v>57467</v>
      </c>
      <c r="L10" s="20">
        <f t="shared" si="2"/>
        <v>62151</v>
      </c>
      <c r="M10" s="20">
        <f t="shared" si="2"/>
        <v>0</v>
      </c>
      <c r="N10" s="20">
        <f t="shared" si="2"/>
        <v>0</v>
      </c>
      <c r="O10" s="20">
        <f t="shared" si="2"/>
        <v>0</v>
      </c>
      <c r="P10" s="20">
        <f t="shared" si="2"/>
        <v>0</v>
      </c>
    </row>
    <row r="11" spans="1:16" s="53" customFormat="1" outlineLevel="1" x14ac:dyDescent="0.2">
      <c r="A11" s="7"/>
      <c r="B11" s="17" t="s">
        <v>12</v>
      </c>
      <c r="C11" s="51">
        <v>60024</v>
      </c>
      <c r="D11" s="51">
        <v>61344</v>
      </c>
      <c r="E11" s="51">
        <v>70898</v>
      </c>
      <c r="F11" s="51">
        <v>63930</v>
      </c>
      <c r="G11" s="51">
        <v>66288</v>
      </c>
      <c r="H11" s="51">
        <v>108949</v>
      </c>
      <c r="I11" s="51">
        <v>119437</v>
      </c>
      <c r="J11" s="51">
        <v>114301</v>
      </c>
      <c r="K11" s="51">
        <v>123216</v>
      </c>
      <c r="L11" s="51">
        <v>133050</v>
      </c>
      <c r="M11" s="51"/>
      <c r="N11" s="51"/>
      <c r="O11" s="51"/>
      <c r="P11" s="51"/>
    </row>
    <row r="12" spans="1:16" outlineLevel="1" x14ac:dyDescent="0.2">
      <c r="B12" s="12" t="s">
        <v>299</v>
      </c>
      <c r="C12" s="27">
        <v>1348</v>
      </c>
      <c r="D12" s="27">
        <v>2745</v>
      </c>
      <c r="E12" s="27">
        <v>2005</v>
      </c>
      <c r="F12" s="27">
        <v>1807</v>
      </c>
      <c r="G12" s="27">
        <v>803</v>
      </c>
      <c r="H12" s="27">
        <v>258</v>
      </c>
      <c r="I12" s="27">
        <v>-334</v>
      </c>
      <c r="J12" s="27">
        <v>-565</v>
      </c>
      <c r="K12" s="27">
        <v>269</v>
      </c>
      <c r="L12" s="27">
        <v>-321</v>
      </c>
      <c r="M12" s="27"/>
      <c r="N12" s="27"/>
      <c r="O12" s="27"/>
      <c r="P12" s="27"/>
    </row>
    <row r="13" spans="1:16" s="53" customFormat="1" outlineLevel="1" x14ac:dyDescent="0.2">
      <c r="A13" s="7"/>
      <c r="B13" s="17" t="s">
        <v>13</v>
      </c>
      <c r="C13" s="51">
        <v>61372</v>
      </c>
      <c r="D13" s="51">
        <v>64089</v>
      </c>
      <c r="E13" s="51">
        <v>72903</v>
      </c>
      <c r="F13" s="51">
        <v>65737</v>
      </c>
      <c r="G13" s="51">
        <v>67091</v>
      </c>
      <c r="H13" s="51">
        <v>109207</v>
      </c>
      <c r="I13" s="51">
        <v>119103</v>
      </c>
      <c r="J13" s="51">
        <v>113736</v>
      </c>
      <c r="K13" s="51">
        <v>123485</v>
      </c>
      <c r="L13" s="51">
        <v>132729</v>
      </c>
      <c r="M13" s="51"/>
      <c r="N13" s="51"/>
      <c r="O13" s="51"/>
      <c r="P13" s="51"/>
    </row>
    <row r="14" spans="1:16" outlineLevel="1" x14ac:dyDescent="0.2">
      <c r="B14" s="12" t="s">
        <v>76</v>
      </c>
      <c r="C14" s="27">
        <v>-15685</v>
      </c>
      <c r="D14" s="27">
        <v>-15738</v>
      </c>
      <c r="E14" s="27">
        <v>-13372</v>
      </c>
      <c r="F14" s="27">
        <v>-10481</v>
      </c>
      <c r="G14" s="27">
        <v>-9680</v>
      </c>
      <c r="H14" s="27">
        <v>-14527</v>
      </c>
      <c r="I14" s="27">
        <v>-19300</v>
      </c>
      <c r="J14" s="27">
        <v>-16741</v>
      </c>
      <c r="K14" s="27">
        <v>-29749</v>
      </c>
      <c r="L14" s="27">
        <v>-20719</v>
      </c>
      <c r="M14" s="27"/>
      <c r="N14" s="27"/>
      <c r="O14" s="27"/>
      <c r="P14" s="27"/>
    </row>
    <row r="15" spans="1:16" s="53" customFormat="1" outlineLevel="1" x14ac:dyDescent="0.2">
      <c r="A15" s="7"/>
      <c r="B15" s="17" t="s">
        <v>14</v>
      </c>
      <c r="C15" s="51">
        <v>45687</v>
      </c>
      <c r="D15" s="51">
        <v>48351</v>
      </c>
      <c r="E15" s="51">
        <v>59531</v>
      </c>
      <c r="F15" s="51">
        <v>55256</v>
      </c>
      <c r="G15" s="51">
        <v>57411</v>
      </c>
      <c r="H15" s="51">
        <v>94680</v>
      </c>
      <c r="I15" s="51">
        <v>99803</v>
      </c>
      <c r="J15" s="51">
        <v>96995</v>
      </c>
      <c r="K15" s="51">
        <v>93736</v>
      </c>
      <c r="L15" s="51">
        <v>112010</v>
      </c>
      <c r="M15" s="51"/>
      <c r="N15" s="51"/>
      <c r="O15" s="51"/>
      <c r="P15" s="51"/>
    </row>
    <row r="16" spans="1:16" outlineLevel="1" x14ac:dyDescent="0.2">
      <c r="B16" s="12" t="s">
        <v>15</v>
      </c>
      <c r="C16" s="27">
        <v>5471</v>
      </c>
      <c r="D16" s="27">
        <v>5217</v>
      </c>
      <c r="E16" s="27">
        <v>4955</v>
      </c>
      <c r="F16" s="27">
        <v>4617</v>
      </c>
      <c r="G16" s="27">
        <v>17352</v>
      </c>
      <c r="H16" s="27">
        <v>16701</v>
      </c>
      <c r="I16" s="27">
        <v>16216</v>
      </c>
      <c r="J16" s="27">
        <v>15744</v>
      </c>
      <c r="K16" s="27">
        <v>15344</v>
      </c>
      <c r="L16" s="27">
        <v>14949</v>
      </c>
      <c r="M16" s="27"/>
      <c r="N16" s="27"/>
      <c r="O16" s="27"/>
      <c r="P16" s="27"/>
    </row>
    <row r="17" spans="1:17" outlineLevel="1" x14ac:dyDescent="0.2">
      <c r="B17" s="12" t="s">
        <v>360</v>
      </c>
      <c r="C17" s="34">
        <f t="shared" ref="C17:L17" si="3">C16*C$125</f>
        <v>21884</v>
      </c>
      <c r="D17" s="34">
        <f t="shared" si="3"/>
        <v>20868</v>
      </c>
      <c r="E17" s="34">
        <f t="shared" si="3"/>
        <v>19820</v>
      </c>
      <c r="F17" s="34">
        <f t="shared" si="3"/>
        <v>18468</v>
      </c>
      <c r="G17" s="34">
        <f t="shared" si="3"/>
        <v>17352</v>
      </c>
      <c r="H17" s="34">
        <f t="shared" si="3"/>
        <v>16701</v>
      </c>
      <c r="I17" s="34">
        <f t="shared" si="3"/>
        <v>16216</v>
      </c>
      <c r="J17" s="34">
        <f t="shared" si="3"/>
        <v>15744</v>
      </c>
      <c r="K17" s="34">
        <f t="shared" si="3"/>
        <v>15344</v>
      </c>
      <c r="L17" s="34">
        <f t="shared" si="3"/>
        <v>14949</v>
      </c>
      <c r="M17" s="27"/>
      <c r="N17" s="27"/>
      <c r="O17" s="27"/>
      <c r="P17" s="27"/>
    </row>
    <row r="18" spans="1:17" outlineLevel="1" x14ac:dyDescent="0.2">
      <c r="B18" s="12" t="s">
        <v>16</v>
      </c>
      <c r="C18" s="27">
        <v>5500</v>
      </c>
      <c r="D18" s="27">
        <v>5252</v>
      </c>
      <c r="E18" s="27">
        <v>5000</v>
      </c>
      <c r="F18" s="27">
        <v>4649</v>
      </c>
      <c r="G18" s="27">
        <v>17528</v>
      </c>
      <c r="H18" s="27">
        <v>16865</v>
      </c>
      <c r="I18" s="27">
        <v>16326</v>
      </c>
      <c r="J18" s="27">
        <v>15813</v>
      </c>
      <c r="K18" s="27">
        <v>15408</v>
      </c>
      <c r="L18" s="27">
        <v>15005</v>
      </c>
      <c r="M18" s="27"/>
      <c r="N18" s="27"/>
      <c r="O18" s="27"/>
      <c r="P18" s="27"/>
    </row>
    <row r="19" spans="1:17" outlineLevel="1" x14ac:dyDescent="0.2">
      <c r="B19" s="12" t="s">
        <v>361</v>
      </c>
      <c r="C19" s="34">
        <f t="shared" ref="C19:L19" si="4">C18*C$125</f>
        <v>22000</v>
      </c>
      <c r="D19" s="34">
        <f t="shared" si="4"/>
        <v>21008</v>
      </c>
      <c r="E19" s="34">
        <f t="shared" si="4"/>
        <v>20000</v>
      </c>
      <c r="F19" s="34">
        <f t="shared" si="4"/>
        <v>18596</v>
      </c>
      <c r="G19" s="34">
        <f t="shared" si="4"/>
        <v>17528</v>
      </c>
      <c r="H19" s="34">
        <f t="shared" si="4"/>
        <v>16865</v>
      </c>
      <c r="I19" s="34">
        <f t="shared" si="4"/>
        <v>16326</v>
      </c>
      <c r="J19" s="34">
        <f t="shared" si="4"/>
        <v>15813</v>
      </c>
      <c r="K19" s="34">
        <f t="shared" si="4"/>
        <v>15408</v>
      </c>
      <c r="L19" s="34">
        <f t="shared" si="4"/>
        <v>15005</v>
      </c>
      <c r="M19" s="27"/>
      <c r="N19" s="27"/>
      <c r="O19" s="27"/>
      <c r="P19" s="27"/>
    </row>
    <row r="20" spans="1:17" outlineLevel="1" x14ac:dyDescent="0.2">
      <c r="B20" s="12" t="s">
        <v>17</v>
      </c>
      <c r="C20" s="31">
        <v>8.35</v>
      </c>
      <c r="D20" s="31">
        <v>9.27</v>
      </c>
      <c r="E20" s="31">
        <v>12.01</v>
      </c>
      <c r="F20" s="31">
        <v>11.97</v>
      </c>
      <c r="G20" s="31">
        <v>3.31</v>
      </c>
      <c r="H20" s="31">
        <v>5.67</v>
      </c>
      <c r="I20" s="31">
        <v>6.15</v>
      </c>
      <c r="J20" s="31">
        <v>6.16</v>
      </c>
      <c r="K20" s="31">
        <v>6.11</v>
      </c>
      <c r="L20" s="31">
        <v>7.49</v>
      </c>
      <c r="M20" s="31"/>
      <c r="N20" s="31"/>
      <c r="O20" s="31"/>
      <c r="P20" s="31"/>
    </row>
    <row r="21" spans="1:17" outlineLevel="1" x14ac:dyDescent="0.2">
      <c r="B21" s="12" t="s">
        <v>362</v>
      </c>
      <c r="C21" s="25">
        <f t="shared" ref="C21:L21" si="5">C20/C$125</f>
        <v>2.0874999999999999</v>
      </c>
      <c r="D21" s="25">
        <f t="shared" si="5"/>
        <v>2.3174999999999999</v>
      </c>
      <c r="E21" s="25">
        <f t="shared" si="5"/>
        <v>3.0024999999999999</v>
      </c>
      <c r="F21" s="25">
        <f t="shared" si="5"/>
        <v>2.9925000000000002</v>
      </c>
      <c r="G21" s="25">
        <f t="shared" si="5"/>
        <v>3.31</v>
      </c>
      <c r="H21" s="25">
        <f t="shared" si="5"/>
        <v>5.67</v>
      </c>
      <c r="I21" s="25">
        <f t="shared" si="5"/>
        <v>6.15</v>
      </c>
      <c r="J21" s="25">
        <f t="shared" si="5"/>
        <v>6.16</v>
      </c>
      <c r="K21" s="25">
        <f t="shared" si="5"/>
        <v>6.11</v>
      </c>
      <c r="L21" s="25">
        <f t="shared" si="5"/>
        <v>7.49</v>
      </c>
      <c r="M21" s="31"/>
      <c r="N21" s="31"/>
      <c r="O21" s="31"/>
      <c r="P21" s="31"/>
    </row>
    <row r="22" spans="1:17" outlineLevel="1" x14ac:dyDescent="0.2">
      <c r="B22" s="12" t="s">
        <v>18</v>
      </c>
      <c r="C22" s="31">
        <v>8.31</v>
      </c>
      <c r="D22" s="31">
        <v>9.2100000000000009</v>
      </c>
      <c r="E22" s="31">
        <v>11.91</v>
      </c>
      <c r="F22" s="31">
        <v>11.89</v>
      </c>
      <c r="G22" s="31">
        <v>3.28</v>
      </c>
      <c r="H22" s="31">
        <v>5.61</v>
      </c>
      <c r="I22" s="31">
        <v>6.11</v>
      </c>
      <c r="J22" s="31">
        <v>6.13</v>
      </c>
      <c r="K22" s="31">
        <v>6.08</v>
      </c>
      <c r="L22" s="31">
        <v>7.46</v>
      </c>
      <c r="M22" s="31"/>
      <c r="N22" s="31"/>
      <c r="O22" s="31"/>
      <c r="P22" s="31"/>
    </row>
    <row r="23" spans="1:17" s="16" customFormat="1" ht="17" outlineLevel="1" thickBot="1" x14ac:dyDescent="0.25">
      <c r="A23" s="1"/>
      <c r="B23" s="10" t="s">
        <v>363</v>
      </c>
      <c r="C23" s="202">
        <f t="shared" ref="C23:L23" si="6">C22/C$125</f>
        <v>2.0775000000000001</v>
      </c>
      <c r="D23" s="202">
        <f t="shared" si="6"/>
        <v>2.3025000000000002</v>
      </c>
      <c r="E23" s="202">
        <f t="shared" si="6"/>
        <v>2.9775</v>
      </c>
      <c r="F23" s="202">
        <f t="shared" si="6"/>
        <v>2.9725000000000001</v>
      </c>
      <c r="G23" s="202">
        <f t="shared" si="6"/>
        <v>3.28</v>
      </c>
      <c r="H23" s="202">
        <f t="shared" si="6"/>
        <v>5.61</v>
      </c>
      <c r="I23" s="202">
        <f t="shared" si="6"/>
        <v>6.11</v>
      </c>
      <c r="J23" s="202">
        <f t="shared" si="6"/>
        <v>6.13</v>
      </c>
      <c r="K23" s="202">
        <f t="shared" si="6"/>
        <v>6.08</v>
      </c>
      <c r="L23" s="202">
        <f t="shared" si="6"/>
        <v>7.46</v>
      </c>
      <c r="M23" s="32"/>
      <c r="N23" s="32"/>
      <c r="O23" s="32"/>
      <c r="P23" s="32"/>
    </row>
    <row r="24" spans="1:17" s="16" customFormat="1" ht="17" thickBot="1" x14ac:dyDescent="0.25">
      <c r="A24" s="1"/>
      <c r="B24" s="6"/>
      <c r="J24" s="6"/>
      <c r="K24" s="6"/>
      <c r="L24" s="6"/>
      <c r="M24" s="6"/>
      <c r="N24" s="6"/>
      <c r="O24" s="6"/>
      <c r="P24" s="6"/>
    </row>
    <row r="25" spans="1:17" s="14" customFormat="1" ht="17" thickBot="1" x14ac:dyDescent="0.25">
      <c r="A25" s="4"/>
      <c r="B25" s="15" t="s">
        <v>19</v>
      </c>
    </row>
    <row r="26" spans="1:17" outlineLevel="1" x14ac:dyDescent="0.2">
      <c r="B26" s="9" t="s">
        <v>20</v>
      </c>
      <c r="C26" s="27">
        <v>20484</v>
      </c>
      <c r="D26" s="27">
        <v>20289</v>
      </c>
      <c r="E26" s="27">
        <v>25913</v>
      </c>
      <c r="F26" s="27">
        <v>48844</v>
      </c>
      <c r="G26" s="27">
        <v>38016</v>
      </c>
      <c r="H26" s="27">
        <v>34940</v>
      </c>
      <c r="I26" s="27">
        <v>23646</v>
      </c>
      <c r="J26" s="27">
        <v>29965</v>
      </c>
      <c r="K26" s="27">
        <v>29943</v>
      </c>
      <c r="L26" s="27">
        <v>35934</v>
      </c>
      <c r="M26" s="27"/>
      <c r="N26" s="27"/>
      <c r="O26" s="27"/>
      <c r="P26" s="27"/>
    </row>
    <row r="27" spans="1:17" outlineLevel="1" x14ac:dyDescent="0.2">
      <c r="B27" s="9" t="s">
        <v>364</v>
      </c>
      <c r="C27" s="27">
        <v>46671</v>
      </c>
      <c r="D27" s="27">
        <v>53892</v>
      </c>
      <c r="E27" s="27">
        <v>40388</v>
      </c>
      <c r="F27" s="27">
        <v>51713</v>
      </c>
      <c r="G27" s="27">
        <v>52927</v>
      </c>
      <c r="H27" s="27">
        <v>27699</v>
      </c>
      <c r="I27" s="27">
        <v>24658</v>
      </c>
      <c r="J27" s="27">
        <v>31590</v>
      </c>
      <c r="K27" s="27">
        <v>35228</v>
      </c>
      <c r="L27" s="27">
        <v>18763</v>
      </c>
      <c r="M27" s="27"/>
      <c r="N27" s="27"/>
      <c r="O27" s="27"/>
      <c r="P27" s="27"/>
    </row>
    <row r="28" spans="1:17" outlineLevel="1" x14ac:dyDescent="0.2">
      <c r="B28" s="9" t="s">
        <v>21</v>
      </c>
      <c r="C28" s="27">
        <v>15754</v>
      </c>
      <c r="D28" s="27">
        <v>17874</v>
      </c>
      <c r="E28" s="27">
        <v>23186</v>
      </c>
      <c r="F28" s="27">
        <v>22926</v>
      </c>
      <c r="G28" s="27">
        <v>16120</v>
      </c>
      <c r="H28" s="27">
        <v>26278</v>
      </c>
      <c r="I28" s="27">
        <v>28184</v>
      </c>
      <c r="J28" s="27">
        <v>29508</v>
      </c>
      <c r="K28" s="27">
        <v>33410</v>
      </c>
      <c r="L28" s="27">
        <v>39777</v>
      </c>
      <c r="M28" s="27"/>
      <c r="N28" s="27"/>
      <c r="O28" s="27"/>
      <c r="P28" s="27"/>
    </row>
    <row r="29" spans="1:17" outlineLevel="1" x14ac:dyDescent="0.2">
      <c r="B29" s="9" t="s">
        <v>365</v>
      </c>
      <c r="C29" s="27">
        <v>13545</v>
      </c>
      <c r="D29" s="27">
        <v>17799</v>
      </c>
      <c r="E29" s="27">
        <v>25809</v>
      </c>
      <c r="F29" s="27">
        <v>22878</v>
      </c>
      <c r="G29" s="27">
        <v>21325</v>
      </c>
      <c r="H29" s="27">
        <v>25228</v>
      </c>
      <c r="I29" s="27">
        <v>32748</v>
      </c>
      <c r="J29" s="27">
        <v>31477</v>
      </c>
      <c r="K29" s="27">
        <v>32833</v>
      </c>
      <c r="L29" s="27">
        <v>33180</v>
      </c>
      <c r="M29" s="27"/>
      <c r="N29" s="27"/>
      <c r="O29" s="27"/>
      <c r="P29" s="27"/>
      <c r="Q29" s="27"/>
    </row>
    <row r="30" spans="1:17" outlineLevel="1" x14ac:dyDescent="0.2">
      <c r="B30" s="9" t="s">
        <v>366</v>
      </c>
      <c r="C30" s="27">
        <v>2132</v>
      </c>
      <c r="D30" s="27">
        <v>4855</v>
      </c>
      <c r="E30" s="27">
        <v>3956</v>
      </c>
      <c r="F30" s="27">
        <v>4106</v>
      </c>
      <c r="G30" s="27">
        <v>4061</v>
      </c>
      <c r="H30" s="27">
        <v>6580</v>
      </c>
      <c r="I30" s="27">
        <v>4946</v>
      </c>
      <c r="J30" s="27">
        <v>6331</v>
      </c>
      <c r="K30" s="27">
        <v>7286</v>
      </c>
      <c r="L30" s="27">
        <v>5718</v>
      </c>
      <c r="M30" s="27"/>
      <c r="N30" s="27"/>
      <c r="O30" s="27"/>
      <c r="P30" s="27"/>
    </row>
    <row r="31" spans="1:17" outlineLevel="1" x14ac:dyDescent="0.2">
      <c r="B31" s="9" t="s">
        <v>367</v>
      </c>
      <c r="C31" s="27">
        <v>8283</v>
      </c>
      <c r="D31" s="27">
        <v>13936</v>
      </c>
      <c r="E31" s="27">
        <v>12087</v>
      </c>
      <c r="F31" s="27">
        <v>12352</v>
      </c>
      <c r="G31" s="27">
        <v>11264</v>
      </c>
      <c r="H31" s="27">
        <v>14111</v>
      </c>
      <c r="I31" s="27">
        <v>21223</v>
      </c>
      <c r="J31" s="27">
        <v>14695</v>
      </c>
      <c r="K31" s="27">
        <v>14287</v>
      </c>
      <c r="L31" s="27">
        <v>14585</v>
      </c>
      <c r="M31" s="27"/>
      <c r="N31" s="27"/>
      <c r="O31" s="27"/>
      <c r="P31" s="27"/>
    </row>
    <row r="32" spans="1:17" s="52" customFormat="1" outlineLevel="1" x14ac:dyDescent="0.2">
      <c r="A32" s="7"/>
      <c r="B32" s="11" t="s">
        <v>22</v>
      </c>
      <c r="C32" s="55">
        <v>106869</v>
      </c>
      <c r="D32" s="55">
        <v>128645</v>
      </c>
      <c r="E32" s="55">
        <v>131339</v>
      </c>
      <c r="F32" s="55">
        <v>162819</v>
      </c>
      <c r="G32" s="55">
        <v>143713</v>
      </c>
      <c r="H32" s="55">
        <v>134846</v>
      </c>
      <c r="I32" s="55">
        <v>135405</v>
      </c>
      <c r="J32" s="55">
        <v>143566</v>
      </c>
      <c r="K32" s="55">
        <v>152987</v>
      </c>
      <c r="L32" s="55">
        <v>147957</v>
      </c>
      <c r="M32" s="55"/>
      <c r="N32" s="55"/>
      <c r="O32" s="55"/>
      <c r="P32" s="55"/>
    </row>
    <row r="33" spans="1:16" outlineLevel="1" x14ac:dyDescent="0.2">
      <c r="B33" s="9" t="s">
        <v>364</v>
      </c>
      <c r="C33" s="27">
        <v>170430</v>
      </c>
      <c r="D33" s="27">
        <v>194714</v>
      </c>
      <c r="E33" s="27">
        <v>170799</v>
      </c>
      <c r="F33" s="27">
        <v>105341</v>
      </c>
      <c r="G33" s="27">
        <v>100887</v>
      </c>
      <c r="H33" s="27">
        <v>127877</v>
      </c>
      <c r="I33" s="27">
        <v>120805</v>
      </c>
      <c r="J33" s="27">
        <v>100544</v>
      </c>
      <c r="K33" s="27">
        <v>91479</v>
      </c>
      <c r="L33" s="27">
        <v>77723</v>
      </c>
      <c r="M33" s="27"/>
      <c r="N33" s="27"/>
      <c r="O33" s="27"/>
      <c r="P33" s="27"/>
    </row>
    <row r="34" spans="1:16" outlineLevel="1" x14ac:dyDescent="0.2">
      <c r="B34" s="9" t="s">
        <v>24</v>
      </c>
      <c r="C34" s="27">
        <v>27010</v>
      </c>
      <c r="D34" s="27">
        <v>33783</v>
      </c>
      <c r="E34" s="27">
        <v>41304</v>
      </c>
      <c r="F34" s="27">
        <v>37378</v>
      </c>
      <c r="G34" s="27">
        <v>36766</v>
      </c>
      <c r="H34" s="27">
        <v>39440</v>
      </c>
      <c r="I34" s="27">
        <v>42117</v>
      </c>
      <c r="J34" s="27">
        <v>43715</v>
      </c>
      <c r="K34" s="27">
        <v>45680</v>
      </c>
      <c r="L34" s="27">
        <v>49834</v>
      </c>
      <c r="M34" s="27"/>
      <c r="N34" s="27"/>
      <c r="O34" s="27"/>
      <c r="P34" s="27"/>
    </row>
    <row r="35" spans="1:16" outlineLevel="1" x14ac:dyDescent="0.2">
      <c r="B35" s="9" t="s">
        <v>26</v>
      </c>
      <c r="C35" s="27">
        <v>17377</v>
      </c>
      <c r="D35" s="27">
        <v>18177</v>
      </c>
      <c r="E35" s="27">
        <v>22283</v>
      </c>
      <c r="F35" s="27">
        <v>32978</v>
      </c>
      <c r="G35" s="27">
        <v>42522</v>
      </c>
      <c r="H35" s="27">
        <v>48849</v>
      </c>
      <c r="I35" s="27">
        <v>54428</v>
      </c>
      <c r="J35" s="27">
        <v>64758</v>
      </c>
      <c r="K35" s="27">
        <v>74834</v>
      </c>
      <c r="L35" s="27">
        <v>83727</v>
      </c>
      <c r="M35" s="27"/>
      <c r="N35" s="27"/>
      <c r="O35" s="27"/>
      <c r="P35" s="27"/>
    </row>
    <row r="36" spans="1:16" s="52" customFormat="1" outlineLevel="1" x14ac:dyDescent="0.2">
      <c r="A36" s="7"/>
      <c r="B36" s="11" t="s">
        <v>27</v>
      </c>
      <c r="C36" s="56">
        <f t="shared" ref="C36:P36" si="7">SUM(C33:C35)</f>
        <v>214817</v>
      </c>
      <c r="D36" s="56">
        <f t="shared" si="7"/>
        <v>246674</v>
      </c>
      <c r="E36" s="56">
        <f t="shared" si="7"/>
        <v>234386</v>
      </c>
      <c r="F36" s="56">
        <f t="shared" si="7"/>
        <v>175697</v>
      </c>
      <c r="G36" s="56">
        <f t="shared" si="7"/>
        <v>180175</v>
      </c>
      <c r="H36" s="56">
        <f t="shared" si="7"/>
        <v>216166</v>
      </c>
      <c r="I36" s="56">
        <f t="shared" si="7"/>
        <v>217350</v>
      </c>
      <c r="J36" s="56">
        <f t="shared" si="7"/>
        <v>209017</v>
      </c>
      <c r="K36" s="56">
        <f t="shared" si="7"/>
        <v>211993</v>
      </c>
      <c r="L36" s="56">
        <f t="shared" si="7"/>
        <v>211284</v>
      </c>
      <c r="M36" s="56">
        <f t="shared" si="7"/>
        <v>0</v>
      </c>
      <c r="N36" s="56">
        <f t="shared" si="7"/>
        <v>0</v>
      </c>
      <c r="O36" s="56">
        <f t="shared" si="7"/>
        <v>0</v>
      </c>
      <c r="P36" s="56">
        <f t="shared" si="7"/>
        <v>0</v>
      </c>
    </row>
    <row r="37" spans="1:16" s="53" customFormat="1" outlineLevel="1" x14ac:dyDescent="0.2">
      <c r="A37" s="7"/>
      <c r="B37" s="17" t="s">
        <v>28</v>
      </c>
      <c r="C37" s="51">
        <v>321686</v>
      </c>
      <c r="D37" s="51">
        <v>375319</v>
      </c>
      <c r="E37" s="51">
        <v>365725</v>
      </c>
      <c r="F37" s="51">
        <v>338516</v>
      </c>
      <c r="G37" s="51">
        <v>323888</v>
      </c>
      <c r="H37" s="51">
        <v>351002</v>
      </c>
      <c r="I37" s="51">
        <v>352755</v>
      </c>
      <c r="J37" s="51">
        <v>352583</v>
      </c>
      <c r="K37" s="51">
        <v>364980</v>
      </c>
      <c r="L37" s="51">
        <v>359241</v>
      </c>
      <c r="M37" s="51"/>
      <c r="N37" s="51"/>
      <c r="O37" s="51"/>
      <c r="P37" s="51"/>
    </row>
    <row r="38" spans="1:16" outlineLevel="1" x14ac:dyDescent="0.2">
      <c r="B38" s="9" t="s">
        <v>29</v>
      </c>
      <c r="C38" s="27">
        <v>37294</v>
      </c>
      <c r="D38" s="27">
        <v>49049</v>
      </c>
      <c r="E38" s="27">
        <v>55888</v>
      </c>
      <c r="F38" s="27">
        <v>46236</v>
      </c>
      <c r="G38" s="27">
        <v>42296</v>
      </c>
      <c r="H38" s="27">
        <v>54763</v>
      </c>
      <c r="I38" s="27">
        <v>64115</v>
      </c>
      <c r="J38" s="27">
        <v>62611</v>
      </c>
      <c r="K38" s="27">
        <v>68960</v>
      </c>
      <c r="L38" s="27">
        <v>69860</v>
      </c>
      <c r="M38" s="27"/>
      <c r="N38" s="27"/>
      <c r="O38" s="27"/>
      <c r="P38" s="27"/>
    </row>
    <row r="39" spans="1:16" outlineLevel="1" x14ac:dyDescent="0.2">
      <c r="B39" s="9" t="s">
        <v>368</v>
      </c>
      <c r="C39" s="27">
        <v>22027</v>
      </c>
      <c r="D39" s="27">
        <v>25744</v>
      </c>
      <c r="E39" s="27">
        <v>33327</v>
      </c>
      <c r="F39" s="27">
        <v>37720</v>
      </c>
      <c r="G39" s="27">
        <v>42684</v>
      </c>
      <c r="H39" s="27">
        <v>47493</v>
      </c>
      <c r="I39" s="27">
        <v>60845</v>
      </c>
      <c r="J39" s="27">
        <v>58829</v>
      </c>
      <c r="K39" s="27">
        <v>78304</v>
      </c>
      <c r="L39" s="27">
        <v>66387</v>
      </c>
      <c r="M39" s="27"/>
      <c r="N39" s="27"/>
      <c r="O39" s="27"/>
      <c r="P39" s="27"/>
    </row>
    <row r="40" spans="1:16" outlineLevel="1" x14ac:dyDescent="0.2">
      <c r="B40" s="9" t="s">
        <v>101</v>
      </c>
      <c r="C40" s="27">
        <v>8080</v>
      </c>
      <c r="D40" s="27">
        <v>7548</v>
      </c>
      <c r="E40" s="27">
        <v>5966</v>
      </c>
      <c r="F40" s="27">
        <v>5522</v>
      </c>
      <c r="G40" s="27">
        <v>6643</v>
      </c>
      <c r="H40" s="27">
        <v>7612</v>
      </c>
      <c r="I40" s="27">
        <v>7912</v>
      </c>
      <c r="J40" s="27">
        <v>8061</v>
      </c>
      <c r="K40" s="27">
        <v>8249</v>
      </c>
      <c r="L40" s="27">
        <v>9055</v>
      </c>
      <c r="M40" s="27"/>
      <c r="N40" s="27"/>
      <c r="O40" s="27"/>
      <c r="P40" s="27"/>
    </row>
    <row r="41" spans="1:16" outlineLevel="1" x14ac:dyDescent="0.2">
      <c r="B41" s="9" t="s">
        <v>369</v>
      </c>
      <c r="C41" s="27">
        <v>8105</v>
      </c>
      <c r="D41" s="27">
        <v>11977</v>
      </c>
      <c r="E41" s="27">
        <v>11964</v>
      </c>
      <c r="F41" s="27">
        <v>5980</v>
      </c>
      <c r="G41" s="27">
        <v>4996</v>
      </c>
      <c r="H41" s="27">
        <v>6000</v>
      </c>
      <c r="I41" s="27">
        <v>9982</v>
      </c>
      <c r="J41" s="27">
        <v>5985</v>
      </c>
      <c r="K41" s="27">
        <v>9967</v>
      </c>
      <c r="L41" s="27">
        <v>7979</v>
      </c>
      <c r="M41" s="27"/>
      <c r="N41" s="27"/>
      <c r="O41" s="27"/>
      <c r="P41" s="27"/>
    </row>
    <row r="42" spans="1:16" outlineLevel="1" x14ac:dyDescent="0.2">
      <c r="B42" s="9" t="s">
        <v>370</v>
      </c>
      <c r="C42" s="27">
        <v>3500</v>
      </c>
      <c r="D42" s="27">
        <v>6496</v>
      </c>
      <c r="E42" s="27">
        <v>8784</v>
      </c>
      <c r="F42" s="27">
        <v>10260</v>
      </c>
      <c r="G42" s="27">
        <v>8773</v>
      </c>
      <c r="H42" s="27">
        <v>9613</v>
      </c>
      <c r="I42" s="27">
        <v>11128</v>
      </c>
      <c r="J42" s="27">
        <v>9822</v>
      </c>
      <c r="K42" s="27">
        <v>10912</v>
      </c>
      <c r="L42" s="27">
        <v>12350</v>
      </c>
      <c r="M42" s="27"/>
      <c r="N42" s="27"/>
      <c r="O42" s="27"/>
      <c r="P42" s="27"/>
    </row>
    <row r="43" spans="1:16" s="52" customFormat="1" outlineLevel="1" x14ac:dyDescent="0.2">
      <c r="A43" s="7"/>
      <c r="B43" s="11" t="s">
        <v>32</v>
      </c>
      <c r="C43" s="55">
        <v>79006</v>
      </c>
      <c r="D43" s="55">
        <v>100814</v>
      </c>
      <c r="E43" s="55">
        <v>115929</v>
      </c>
      <c r="F43" s="55">
        <v>105718</v>
      </c>
      <c r="G43" s="55">
        <v>105392</v>
      </c>
      <c r="H43" s="55">
        <v>125481</v>
      </c>
      <c r="I43" s="55">
        <v>153982</v>
      </c>
      <c r="J43" s="55">
        <v>145308</v>
      </c>
      <c r="K43" s="55">
        <v>176392</v>
      </c>
      <c r="L43" s="55">
        <v>165631</v>
      </c>
      <c r="M43" s="55"/>
      <c r="N43" s="55"/>
      <c r="O43" s="55"/>
      <c r="P43" s="55"/>
    </row>
    <row r="44" spans="1:16" outlineLevel="1" x14ac:dyDescent="0.2">
      <c r="B44" s="9" t="s">
        <v>370</v>
      </c>
      <c r="C44" s="27">
        <v>75427</v>
      </c>
      <c r="D44" s="27">
        <v>97207</v>
      </c>
      <c r="E44" s="27">
        <v>93735</v>
      </c>
      <c r="F44" s="27">
        <v>91807</v>
      </c>
      <c r="G44" s="27">
        <v>98667</v>
      </c>
      <c r="H44" s="27">
        <v>109106</v>
      </c>
      <c r="I44" s="27">
        <v>98959</v>
      </c>
      <c r="J44" s="27">
        <v>95281</v>
      </c>
      <c r="K44" s="27">
        <v>85750</v>
      </c>
      <c r="L44" s="27">
        <v>78328</v>
      </c>
      <c r="M44" s="27"/>
      <c r="N44" s="27"/>
      <c r="O44" s="27"/>
      <c r="P44" s="27"/>
    </row>
    <row r="45" spans="1:16" outlineLevel="1" x14ac:dyDescent="0.2">
      <c r="B45" s="9" t="s">
        <v>371</v>
      </c>
      <c r="C45" s="27">
        <v>39004</v>
      </c>
      <c r="D45" s="27">
        <v>43251</v>
      </c>
      <c r="E45" s="27">
        <v>48914</v>
      </c>
      <c r="F45" s="27">
        <v>50503</v>
      </c>
      <c r="G45" s="27">
        <v>54490</v>
      </c>
      <c r="H45" s="27">
        <v>53325</v>
      </c>
      <c r="I45" s="27">
        <v>49142</v>
      </c>
      <c r="J45" s="27">
        <v>49848</v>
      </c>
      <c r="K45" s="27">
        <v>45888</v>
      </c>
      <c r="L45" s="27">
        <v>41549</v>
      </c>
      <c r="M45" s="27"/>
      <c r="N45" s="27"/>
      <c r="O45" s="27"/>
      <c r="P45" s="27"/>
    </row>
    <row r="46" spans="1:16" s="52" customFormat="1" outlineLevel="1" x14ac:dyDescent="0.2">
      <c r="A46" s="7"/>
      <c r="B46" s="11" t="s">
        <v>30</v>
      </c>
      <c r="C46" s="56">
        <f>SUM(C44:C45)</f>
        <v>114431</v>
      </c>
      <c r="D46" s="56">
        <f t="shared" ref="D46:P46" si="8">SUM(D44:D45)</f>
        <v>140458</v>
      </c>
      <c r="E46" s="56">
        <f t="shared" si="8"/>
        <v>142649</v>
      </c>
      <c r="F46" s="56">
        <f t="shared" si="8"/>
        <v>142310</v>
      </c>
      <c r="G46" s="56">
        <f t="shared" si="8"/>
        <v>153157</v>
      </c>
      <c r="H46" s="56">
        <f t="shared" si="8"/>
        <v>162431</v>
      </c>
      <c r="I46" s="56">
        <f t="shared" si="8"/>
        <v>148101</v>
      </c>
      <c r="J46" s="56">
        <f t="shared" si="8"/>
        <v>145129</v>
      </c>
      <c r="K46" s="56">
        <f t="shared" si="8"/>
        <v>131638</v>
      </c>
      <c r="L46" s="56">
        <f t="shared" si="8"/>
        <v>119877</v>
      </c>
      <c r="M46" s="56">
        <f t="shared" si="8"/>
        <v>0</v>
      </c>
      <c r="N46" s="56">
        <f t="shared" si="8"/>
        <v>0</v>
      </c>
      <c r="O46" s="56">
        <f t="shared" si="8"/>
        <v>0</v>
      </c>
      <c r="P46" s="56">
        <f t="shared" si="8"/>
        <v>0</v>
      </c>
    </row>
    <row r="47" spans="1:16" s="53" customFormat="1" outlineLevel="1" x14ac:dyDescent="0.2">
      <c r="A47" s="7"/>
      <c r="B47" s="17" t="s">
        <v>31</v>
      </c>
      <c r="C47" s="51">
        <v>193437</v>
      </c>
      <c r="D47" s="51">
        <v>241272</v>
      </c>
      <c r="E47" s="51">
        <v>258578</v>
      </c>
      <c r="F47" s="51">
        <v>248028</v>
      </c>
      <c r="G47" s="51">
        <v>258549</v>
      </c>
      <c r="H47" s="51">
        <v>287912</v>
      </c>
      <c r="I47" s="51">
        <v>302083</v>
      </c>
      <c r="J47" s="51">
        <v>290437</v>
      </c>
      <c r="K47" s="51">
        <v>308030</v>
      </c>
      <c r="L47" s="51">
        <v>285508</v>
      </c>
      <c r="M47" s="51"/>
      <c r="N47" s="51"/>
      <c r="O47" s="51"/>
      <c r="P47" s="51"/>
    </row>
    <row r="48" spans="1:16" outlineLevel="1" x14ac:dyDescent="0.2">
      <c r="B48" s="9" t="s">
        <v>373</v>
      </c>
      <c r="C48" s="27">
        <v>31251</v>
      </c>
      <c r="D48" s="27">
        <v>35867</v>
      </c>
      <c r="E48" s="27">
        <v>40201</v>
      </c>
      <c r="F48" s="27">
        <v>45174</v>
      </c>
      <c r="G48" s="27">
        <v>50779</v>
      </c>
      <c r="H48" s="27">
        <v>57365</v>
      </c>
      <c r="I48" s="27">
        <v>64849</v>
      </c>
      <c r="J48" s="27">
        <v>73812</v>
      </c>
      <c r="K48" s="27">
        <v>83276</v>
      </c>
      <c r="L48" s="27">
        <v>93568</v>
      </c>
      <c r="M48" s="27"/>
      <c r="N48" s="27"/>
      <c r="O48" s="27"/>
      <c r="P48" s="27"/>
    </row>
    <row r="49" spans="1:16" outlineLevel="1" x14ac:dyDescent="0.2">
      <c r="B49" s="9" t="s">
        <v>34</v>
      </c>
      <c r="C49" s="27">
        <v>96364</v>
      </c>
      <c r="D49" s="27">
        <v>98330</v>
      </c>
      <c r="E49" s="27">
        <v>70400</v>
      </c>
      <c r="F49" s="27">
        <v>45898</v>
      </c>
      <c r="G49" s="27">
        <v>14966</v>
      </c>
      <c r="H49" s="27">
        <v>5562</v>
      </c>
      <c r="I49" s="27">
        <v>-3068</v>
      </c>
      <c r="J49" s="27">
        <v>-214</v>
      </c>
      <c r="K49" s="27">
        <v>-19154</v>
      </c>
      <c r="L49" s="27">
        <v>-14264</v>
      </c>
      <c r="M49" s="27"/>
      <c r="N49" s="27"/>
      <c r="O49" s="27"/>
      <c r="P49" s="27"/>
    </row>
    <row r="50" spans="1:16" outlineLevel="1" x14ac:dyDescent="0.2">
      <c r="B50" s="9" t="s">
        <v>372</v>
      </c>
      <c r="C50" s="27">
        <v>634</v>
      </c>
      <c r="D50" s="27">
        <v>-150</v>
      </c>
      <c r="E50" s="27">
        <v>-3454</v>
      </c>
      <c r="F50" s="27">
        <v>-584</v>
      </c>
      <c r="G50" s="27">
        <v>-406</v>
      </c>
      <c r="H50" s="27">
        <v>163</v>
      </c>
      <c r="I50" s="27">
        <v>-11109</v>
      </c>
      <c r="J50" s="27">
        <v>-11452</v>
      </c>
      <c r="K50" s="27">
        <v>-7172</v>
      </c>
      <c r="L50" s="27">
        <v>-5571</v>
      </c>
      <c r="M50" s="27"/>
      <c r="N50" s="27"/>
      <c r="O50" s="27"/>
      <c r="P50" s="27"/>
    </row>
    <row r="51" spans="1:16" s="52" customFormat="1" outlineLevel="1" x14ac:dyDescent="0.2">
      <c r="A51" s="7"/>
      <c r="B51" s="11" t="s">
        <v>35</v>
      </c>
      <c r="C51" s="55">
        <v>128249</v>
      </c>
      <c r="D51" s="55">
        <v>134047</v>
      </c>
      <c r="E51" s="55">
        <v>107147</v>
      </c>
      <c r="F51" s="55">
        <v>90488</v>
      </c>
      <c r="G51" s="55">
        <v>65339</v>
      </c>
      <c r="H51" s="55">
        <v>63090</v>
      </c>
      <c r="I51" s="55">
        <v>50672</v>
      </c>
      <c r="J51" s="55">
        <v>62146</v>
      </c>
      <c r="K51" s="55">
        <v>56950</v>
      </c>
      <c r="L51" s="55">
        <v>73733</v>
      </c>
      <c r="M51" s="55"/>
      <c r="N51" s="55"/>
      <c r="O51" s="55"/>
      <c r="P51" s="55"/>
    </row>
    <row r="52" spans="1:16" s="57" customFormat="1" ht="17" outlineLevel="1" thickBot="1" x14ac:dyDescent="0.25">
      <c r="A52" s="7"/>
      <c r="B52" s="19" t="s">
        <v>36</v>
      </c>
      <c r="C52" s="58">
        <v>321686</v>
      </c>
      <c r="D52" s="58">
        <v>375319</v>
      </c>
      <c r="E52" s="58">
        <v>365725</v>
      </c>
      <c r="F52" s="58">
        <v>338516</v>
      </c>
      <c r="G52" s="58">
        <v>323888</v>
      </c>
      <c r="H52" s="58">
        <v>351002</v>
      </c>
      <c r="I52" s="58">
        <v>352755</v>
      </c>
      <c r="J52" s="58">
        <v>352583</v>
      </c>
      <c r="K52" s="58">
        <v>364980</v>
      </c>
      <c r="L52" s="58">
        <v>359241</v>
      </c>
      <c r="M52" s="58"/>
      <c r="N52" s="58"/>
      <c r="O52" s="58"/>
      <c r="P52" s="58"/>
    </row>
    <row r="53" spans="1:16" x14ac:dyDescent="0.2">
      <c r="B53" s="1"/>
    </row>
    <row r="54" spans="1:16" s="14" customFormat="1" ht="17" thickBot="1" x14ac:dyDescent="0.25">
      <c r="A54" s="4"/>
      <c r="B54" s="15" t="s">
        <v>39</v>
      </c>
    </row>
    <row r="55" spans="1:16" outlineLevel="1" x14ac:dyDescent="0.2">
      <c r="B55" s="9" t="s">
        <v>14</v>
      </c>
      <c r="C55" s="20">
        <f t="shared" ref="C55:P55" si="9">C15</f>
        <v>45687</v>
      </c>
      <c r="D55" s="20">
        <f t="shared" si="9"/>
        <v>48351</v>
      </c>
      <c r="E55" s="20">
        <f t="shared" si="9"/>
        <v>59531</v>
      </c>
      <c r="F55" s="20">
        <f t="shared" si="9"/>
        <v>55256</v>
      </c>
      <c r="G55" s="20">
        <f t="shared" si="9"/>
        <v>57411</v>
      </c>
      <c r="H55" s="20">
        <f t="shared" si="9"/>
        <v>94680</v>
      </c>
      <c r="I55" s="20">
        <f t="shared" si="9"/>
        <v>99803</v>
      </c>
      <c r="J55" s="20">
        <f t="shared" si="9"/>
        <v>96995</v>
      </c>
      <c r="K55" s="20">
        <f t="shared" si="9"/>
        <v>93736</v>
      </c>
      <c r="L55" s="20">
        <f t="shared" si="9"/>
        <v>112010</v>
      </c>
      <c r="M55" s="20">
        <f t="shared" si="9"/>
        <v>0</v>
      </c>
      <c r="N55" s="20">
        <f t="shared" si="9"/>
        <v>0</v>
      </c>
      <c r="O55" s="20">
        <f t="shared" si="9"/>
        <v>0</v>
      </c>
      <c r="P55" s="20">
        <f t="shared" si="9"/>
        <v>0</v>
      </c>
    </row>
    <row r="56" spans="1:16" outlineLevel="1" x14ac:dyDescent="0.2">
      <c r="B56" s="9" t="s">
        <v>40</v>
      </c>
      <c r="C56" s="27">
        <v>10505</v>
      </c>
      <c r="D56" s="27">
        <v>10157</v>
      </c>
      <c r="E56" s="27">
        <v>10903</v>
      </c>
      <c r="F56" s="27">
        <v>12547</v>
      </c>
      <c r="G56" s="27">
        <v>11056</v>
      </c>
      <c r="H56" s="27">
        <v>11284</v>
      </c>
      <c r="I56" s="27">
        <v>11104</v>
      </c>
      <c r="J56" s="27">
        <v>11519</v>
      </c>
      <c r="K56" s="27">
        <v>11445</v>
      </c>
      <c r="L56" s="27">
        <v>11698</v>
      </c>
      <c r="M56" s="27"/>
      <c r="N56" s="27"/>
      <c r="O56" s="27"/>
      <c r="P56" s="27"/>
    </row>
    <row r="57" spans="1:16" outlineLevel="1" x14ac:dyDescent="0.2">
      <c r="B57" s="12" t="s">
        <v>105</v>
      </c>
      <c r="C57" s="27">
        <v>4210</v>
      </c>
      <c r="D57" s="27">
        <v>4840</v>
      </c>
      <c r="E57" s="27">
        <v>5340</v>
      </c>
      <c r="F57" s="27">
        <v>6068</v>
      </c>
      <c r="G57" s="27">
        <v>6829</v>
      </c>
      <c r="H57" s="27">
        <v>7906</v>
      </c>
      <c r="I57" s="27">
        <v>9038</v>
      </c>
      <c r="J57" s="27">
        <v>10833</v>
      </c>
      <c r="K57" s="27">
        <v>11688</v>
      </c>
      <c r="L57" s="27">
        <v>12863</v>
      </c>
      <c r="M57" s="27"/>
      <c r="N57" s="27"/>
      <c r="O57" s="27"/>
      <c r="P57" s="27"/>
    </row>
    <row r="58" spans="1:16" outlineLevel="1" x14ac:dyDescent="0.2">
      <c r="B58" s="12" t="s">
        <v>391</v>
      </c>
      <c r="C58" s="27">
        <v>4938</v>
      </c>
      <c r="D58" s="27">
        <v>5966</v>
      </c>
      <c r="E58" s="27">
        <v>-32590</v>
      </c>
      <c r="F58" s="27">
        <v>-340</v>
      </c>
      <c r="G58" s="27">
        <v>-215</v>
      </c>
      <c r="H58" s="27">
        <v>-4774</v>
      </c>
      <c r="I58" s="27">
        <v>895</v>
      </c>
      <c r="J58" s="27">
        <v>0</v>
      </c>
      <c r="K58" s="27">
        <v>0</v>
      </c>
      <c r="L58" s="27">
        <v>0</v>
      </c>
      <c r="M58" s="27"/>
      <c r="N58" s="27"/>
      <c r="O58" s="27"/>
      <c r="P58" s="27"/>
    </row>
    <row r="59" spans="1:16" outlineLevel="1" x14ac:dyDescent="0.2">
      <c r="B59" s="12" t="s">
        <v>377</v>
      </c>
      <c r="C59" s="27">
        <v>0</v>
      </c>
      <c r="D59" s="27">
        <v>-166</v>
      </c>
      <c r="E59" s="27">
        <v>-444</v>
      </c>
      <c r="F59" s="27">
        <v>-652</v>
      </c>
      <c r="G59" s="27">
        <v>-97</v>
      </c>
      <c r="H59" s="27">
        <v>-147</v>
      </c>
      <c r="I59" s="27">
        <v>111</v>
      </c>
      <c r="J59" s="27">
        <v>-2227</v>
      </c>
      <c r="K59" s="27">
        <v>-2266</v>
      </c>
      <c r="L59" s="27">
        <v>-89</v>
      </c>
      <c r="M59" s="27"/>
      <c r="N59" s="27"/>
      <c r="O59" s="27"/>
      <c r="P59" s="27"/>
    </row>
    <row r="60" spans="1:16" outlineLevel="1" x14ac:dyDescent="0.2">
      <c r="B60" s="9" t="s">
        <v>41</v>
      </c>
      <c r="C60" s="27">
        <v>1095</v>
      </c>
      <c r="D60" s="27">
        <v>-2093</v>
      </c>
      <c r="E60" s="27">
        <v>-5322</v>
      </c>
      <c r="F60" s="27">
        <v>245</v>
      </c>
      <c r="G60" s="27">
        <v>6917</v>
      </c>
      <c r="H60" s="27">
        <v>-10125</v>
      </c>
      <c r="I60" s="27">
        <v>-1823</v>
      </c>
      <c r="J60" s="27">
        <v>-1688</v>
      </c>
      <c r="K60" s="27">
        <v>-3788</v>
      </c>
      <c r="L60" s="27">
        <v>-6682</v>
      </c>
      <c r="M60" s="27"/>
      <c r="N60" s="27"/>
      <c r="O60" s="27"/>
      <c r="P60" s="27"/>
    </row>
    <row r="61" spans="1:16" outlineLevel="1" x14ac:dyDescent="0.2">
      <c r="B61" s="9" t="s">
        <v>378</v>
      </c>
      <c r="C61" s="27">
        <v>-51</v>
      </c>
      <c r="D61" s="27">
        <v>-4254</v>
      </c>
      <c r="E61" s="27">
        <v>-8010</v>
      </c>
      <c r="F61" s="27">
        <v>2931</v>
      </c>
      <c r="G61" s="27">
        <v>1553</v>
      </c>
      <c r="H61" s="27">
        <v>-3903</v>
      </c>
      <c r="I61" s="27">
        <v>-7520</v>
      </c>
      <c r="J61" s="27">
        <v>1271</v>
      </c>
      <c r="K61" s="27">
        <v>-1356</v>
      </c>
      <c r="L61" s="27">
        <v>-347</v>
      </c>
      <c r="M61" s="27"/>
      <c r="N61" s="27"/>
      <c r="O61" s="27"/>
      <c r="P61" s="27"/>
    </row>
    <row r="62" spans="1:16" outlineLevel="1" x14ac:dyDescent="0.2">
      <c r="B62" s="9" t="s">
        <v>379</v>
      </c>
      <c r="C62" s="27">
        <v>217</v>
      </c>
      <c r="D62" s="27">
        <v>-2723</v>
      </c>
      <c r="E62" s="27">
        <v>828</v>
      </c>
      <c r="F62" s="27">
        <v>-289</v>
      </c>
      <c r="G62" s="27">
        <v>-127</v>
      </c>
      <c r="H62" s="27">
        <v>-2642</v>
      </c>
      <c r="I62" s="27">
        <v>1484</v>
      </c>
      <c r="J62" s="27">
        <v>-1618</v>
      </c>
      <c r="K62" s="27">
        <v>-1046</v>
      </c>
      <c r="L62" s="27">
        <v>1400</v>
      </c>
      <c r="M62" s="27"/>
      <c r="N62" s="27"/>
      <c r="O62" s="27"/>
      <c r="P62" s="27"/>
    </row>
    <row r="63" spans="1:16" outlineLevel="1" x14ac:dyDescent="0.2">
      <c r="B63" s="9" t="s">
        <v>380</v>
      </c>
      <c r="C63" s="27">
        <v>1090</v>
      </c>
      <c r="D63" s="27">
        <v>-5318</v>
      </c>
      <c r="E63" s="27">
        <v>-423</v>
      </c>
      <c r="F63" s="27">
        <v>873</v>
      </c>
      <c r="G63" s="27">
        <v>-9588</v>
      </c>
      <c r="H63" s="27">
        <v>-8042</v>
      </c>
      <c r="I63" s="27">
        <v>-6499</v>
      </c>
      <c r="J63" s="27">
        <v>-5684</v>
      </c>
      <c r="K63" s="27">
        <v>-11731</v>
      </c>
      <c r="L63" s="27">
        <v>-9197</v>
      </c>
      <c r="M63" s="27"/>
      <c r="N63" s="27"/>
      <c r="O63" s="27"/>
      <c r="P63" s="27"/>
    </row>
    <row r="64" spans="1:16" outlineLevel="1" x14ac:dyDescent="0.2">
      <c r="B64" s="9" t="s">
        <v>42</v>
      </c>
      <c r="C64" s="27">
        <v>1791</v>
      </c>
      <c r="D64" s="27">
        <v>8966</v>
      </c>
      <c r="E64" s="27">
        <v>9175</v>
      </c>
      <c r="F64" s="27">
        <v>-1923</v>
      </c>
      <c r="G64" s="27">
        <v>-4062</v>
      </c>
      <c r="H64" s="27">
        <v>12326</v>
      </c>
      <c r="I64" s="27">
        <v>9448</v>
      </c>
      <c r="J64" s="27">
        <v>-1889</v>
      </c>
      <c r="K64" s="27">
        <v>6020</v>
      </c>
      <c r="L64" s="27">
        <v>902</v>
      </c>
      <c r="M64" s="27"/>
      <c r="N64" s="27"/>
      <c r="O64" s="27"/>
      <c r="P64" s="27"/>
    </row>
    <row r="65" spans="1:16" outlineLevel="1" x14ac:dyDescent="0.2">
      <c r="B65" s="9" t="s">
        <v>106</v>
      </c>
      <c r="C65" s="27">
        <v>-1554</v>
      </c>
      <c r="D65" s="27">
        <v>-593</v>
      </c>
      <c r="E65" s="27">
        <v>-3</v>
      </c>
      <c r="F65" s="27">
        <v>-625</v>
      </c>
      <c r="G65" s="27">
        <v>2081</v>
      </c>
      <c r="H65" s="27">
        <v>1676</v>
      </c>
      <c r="I65" s="27">
        <v>478</v>
      </c>
      <c r="J65" s="27">
        <v>0</v>
      </c>
      <c r="K65" s="27">
        <v>0</v>
      </c>
      <c r="L65" s="27">
        <v>0</v>
      </c>
      <c r="M65" s="27"/>
      <c r="N65" s="27"/>
      <c r="O65" s="27"/>
      <c r="P65" s="27"/>
    </row>
    <row r="66" spans="1:16" outlineLevel="1" x14ac:dyDescent="0.2">
      <c r="B66" s="9" t="s">
        <v>381</v>
      </c>
      <c r="C66" s="27">
        <v>-2104</v>
      </c>
      <c r="D66" s="27">
        <v>1092</v>
      </c>
      <c r="E66" s="27">
        <v>38449</v>
      </c>
      <c r="F66" s="27">
        <v>-4700</v>
      </c>
      <c r="G66" s="27">
        <v>8916</v>
      </c>
      <c r="H66" s="27">
        <v>5799</v>
      </c>
      <c r="I66" s="27">
        <v>5632</v>
      </c>
      <c r="J66" s="27">
        <v>3031</v>
      </c>
      <c r="K66" s="27">
        <v>15552</v>
      </c>
      <c r="L66" s="27">
        <v>-11076</v>
      </c>
      <c r="M66" s="27"/>
      <c r="N66" s="27"/>
      <c r="O66" s="27"/>
      <c r="P66" s="27"/>
    </row>
    <row r="67" spans="1:16" s="53" customFormat="1" outlineLevel="1" x14ac:dyDescent="0.2">
      <c r="A67" s="7"/>
      <c r="B67" s="17" t="s">
        <v>43</v>
      </c>
      <c r="C67" s="51">
        <v>65824</v>
      </c>
      <c r="D67" s="51">
        <v>64225</v>
      </c>
      <c r="E67" s="51">
        <v>77434</v>
      </c>
      <c r="F67" s="51">
        <v>69391</v>
      </c>
      <c r="G67" s="51">
        <v>80674</v>
      </c>
      <c r="H67" s="51">
        <v>104038</v>
      </c>
      <c r="I67" s="51">
        <v>122151</v>
      </c>
      <c r="J67" s="51">
        <v>110543</v>
      </c>
      <c r="K67" s="51">
        <v>118254</v>
      </c>
      <c r="L67" s="51">
        <v>111482</v>
      </c>
      <c r="M67" s="51"/>
      <c r="N67" s="51"/>
      <c r="O67" s="51"/>
      <c r="P67" s="51"/>
    </row>
    <row r="68" spans="1:16" outlineLevel="1" x14ac:dyDescent="0.2">
      <c r="B68" s="9" t="s">
        <v>382</v>
      </c>
      <c r="C68" s="27">
        <v>-142428</v>
      </c>
      <c r="D68" s="27">
        <v>-159486</v>
      </c>
      <c r="E68" s="27">
        <v>-71356</v>
      </c>
      <c r="F68" s="27">
        <v>-39630</v>
      </c>
      <c r="G68" s="27">
        <v>-114938</v>
      </c>
      <c r="H68" s="27">
        <v>-109558</v>
      </c>
      <c r="I68" s="27">
        <v>-76923</v>
      </c>
      <c r="J68" s="27">
        <v>-29513</v>
      </c>
      <c r="K68" s="27">
        <v>-48656</v>
      </c>
      <c r="L68" s="27">
        <v>-24407</v>
      </c>
      <c r="M68" s="27"/>
      <c r="N68" s="27"/>
      <c r="O68" s="27"/>
      <c r="P68" s="27"/>
    </row>
    <row r="69" spans="1:16" outlineLevel="1" x14ac:dyDescent="0.2">
      <c r="B69" s="9" t="s">
        <v>383</v>
      </c>
      <c r="C69" s="27">
        <v>21258</v>
      </c>
      <c r="D69" s="27">
        <v>31775</v>
      </c>
      <c r="E69" s="27">
        <v>55881</v>
      </c>
      <c r="F69" s="27">
        <v>40102</v>
      </c>
      <c r="G69" s="27">
        <v>69918</v>
      </c>
      <c r="H69" s="27">
        <v>59023</v>
      </c>
      <c r="I69" s="27">
        <v>29917</v>
      </c>
      <c r="J69" s="27">
        <v>39686</v>
      </c>
      <c r="K69" s="27">
        <v>51211</v>
      </c>
      <c r="L69" s="27">
        <v>40907</v>
      </c>
      <c r="M69" s="27"/>
      <c r="N69" s="27"/>
      <c r="O69" s="27"/>
      <c r="P69" s="27"/>
    </row>
    <row r="70" spans="1:16" outlineLevel="1" x14ac:dyDescent="0.2">
      <c r="B70" s="9" t="s">
        <v>384</v>
      </c>
      <c r="C70" s="27">
        <v>90536</v>
      </c>
      <c r="D70" s="27">
        <v>94564</v>
      </c>
      <c r="E70" s="27">
        <v>47838</v>
      </c>
      <c r="F70" s="27">
        <v>56988</v>
      </c>
      <c r="G70" s="27">
        <v>50473</v>
      </c>
      <c r="H70" s="27">
        <v>47460</v>
      </c>
      <c r="I70" s="27">
        <v>37446</v>
      </c>
      <c r="J70" s="27">
        <v>5828</v>
      </c>
      <c r="K70" s="27">
        <v>11135</v>
      </c>
      <c r="L70" s="27">
        <v>12890</v>
      </c>
      <c r="M70" s="27"/>
      <c r="N70" s="27"/>
      <c r="O70" s="27"/>
      <c r="P70" s="27"/>
    </row>
    <row r="71" spans="1:16" outlineLevel="1" x14ac:dyDescent="0.2">
      <c r="B71" s="9" t="s">
        <v>223</v>
      </c>
      <c r="C71" s="27">
        <v>-12734</v>
      </c>
      <c r="D71" s="27">
        <v>-12451</v>
      </c>
      <c r="E71" s="27">
        <v>-13313</v>
      </c>
      <c r="F71" s="27">
        <v>-10495</v>
      </c>
      <c r="G71" s="27">
        <v>-7309</v>
      </c>
      <c r="H71" s="27">
        <v>-11085</v>
      </c>
      <c r="I71" s="27">
        <v>-10708</v>
      </c>
      <c r="J71" s="27">
        <v>-10959</v>
      </c>
      <c r="K71" s="27">
        <v>-9447</v>
      </c>
      <c r="L71" s="27">
        <v>-12715</v>
      </c>
      <c r="M71" s="27"/>
      <c r="N71" s="27"/>
      <c r="O71" s="27"/>
      <c r="P71" s="27"/>
    </row>
    <row r="72" spans="1:16" outlineLevel="1" x14ac:dyDescent="0.2">
      <c r="B72" s="9" t="s">
        <v>392</v>
      </c>
      <c r="C72" s="27">
        <v>-297</v>
      </c>
      <c r="D72" s="27">
        <v>-329</v>
      </c>
      <c r="E72" s="27">
        <v>-721</v>
      </c>
      <c r="F72" s="27">
        <v>-624</v>
      </c>
      <c r="G72" s="27">
        <v>-1524</v>
      </c>
      <c r="H72" s="27">
        <v>-33</v>
      </c>
      <c r="I72" s="27">
        <v>-306</v>
      </c>
      <c r="J72" s="27">
        <v>0</v>
      </c>
      <c r="K72" s="27">
        <v>0</v>
      </c>
      <c r="L72" s="27">
        <v>0</v>
      </c>
      <c r="M72" s="27"/>
      <c r="N72" s="27"/>
      <c r="O72" s="27"/>
      <c r="P72" s="27"/>
    </row>
    <row r="73" spans="1:16" outlineLevel="1" x14ac:dyDescent="0.2">
      <c r="B73" s="9" t="s">
        <v>393</v>
      </c>
      <c r="C73" s="27">
        <v>0</v>
      </c>
      <c r="D73" s="27">
        <v>-521</v>
      </c>
      <c r="E73" s="27">
        <v>-1871</v>
      </c>
      <c r="F73" s="27">
        <v>-1001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/>
      <c r="N73" s="27"/>
      <c r="O73" s="27"/>
      <c r="P73" s="27"/>
    </row>
    <row r="74" spans="1:16" outlineLevel="1" x14ac:dyDescent="0.2">
      <c r="B74" s="9" t="s">
        <v>394</v>
      </c>
      <c r="C74" s="27">
        <v>0</v>
      </c>
      <c r="D74" s="27">
        <v>126</v>
      </c>
      <c r="E74" s="27">
        <v>353</v>
      </c>
      <c r="F74" s="27">
        <v>1634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27">
        <v>0</v>
      </c>
      <c r="M74" s="27"/>
      <c r="N74" s="27"/>
      <c r="O74" s="27"/>
      <c r="P74" s="27"/>
    </row>
    <row r="75" spans="1:16" outlineLevel="1" x14ac:dyDescent="0.2">
      <c r="B75" s="9" t="s">
        <v>396</v>
      </c>
      <c r="C75" s="27">
        <v>-814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/>
      <c r="N75" s="27"/>
      <c r="O75" s="27"/>
      <c r="P75" s="27"/>
    </row>
    <row r="76" spans="1:16" outlineLevel="1" x14ac:dyDescent="0.2">
      <c r="B76" s="9" t="s">
        <v>397</v>
      </c>
      <c r="C76" s="27">
        <v>-1388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/>
      <c r="N76" s="27"/>
      <c r="O76" s="27"/>
      <c r="P76" s="27"/>
    </row>
    <row r="77" spans="1:16" outlineLevel="1" x14ac:dyDescent="0.2">
      <c r="B77" s="9" t="s">
        <v>377</v>
      </c>
      <c r="C77" s="27">
        <v>-110</v>
      </c>
      <c r="D77" s="27">
        <v>-124</v>
      </c>
      <c r="E77" s="27">
        <v>-745</v>
      </c>
      <c r="F77" s="27">
        <v>-1078</v>
      </c>
      <c r="G77" s="27">
        <v>-909</v>
      </c>
      <c r="H77" s="27">
        <v>-352</v>
      </c>
      <c r="I77" s="27">
        <v>-1780</v>
      </c>
      <c r="J77" s="27">
        <v>-1337</v>
      </c>
      <c r="K77" s="27">
        <v>-1308</v>
      </c>
      <c r="L77" s="27">
        <v>-1480</v>
      </c>
      <c r="M77" s="27"/>
      <c r="N77" s="27"/>
      <c r="O77" s="27"/>
      <c r="P77" s="27"/>
    </row>
    <row r="78" spans="1:16" s="53" customFormat="1" outlineLevel="1" x14ac:dyDescent="0.2">
      <c r="A78" s="7"/>
      <c r="B78" s="17" t="s">
        <v>45</v>
      </c>
      <c r="C78" s="51">
        <v>-45977</v>
      </c>
      <c r="D78" s="51">
        <v>-46446</v>
      </c>
      <c r="E78" s="51">
        <v>16066</v>
      </c>
      <c r="F78" s="51">
        <v>45896</v>
      </c>
      <c r="G78" s="51">
        <v>-4289</v>
      </c>
      <c r="H78" s="51">
        <v>-14545</v>
      </c>
      <c r="I78" s="51">
        <v>-22354</v>
      </c>
      <c r="J78" s="51">
        <v>3705</v>
      </c>
      <c r="K78" s="51">
        <v>2935</v>
      </c>
      <c r="L78" s="51">
        <v>15195</v>
      </c>
      <c r="M78" s="51"/>
      <c r="N78" s="51"/>
      <c r="O78" s="51"/>
      <c r="P78" s="51"/>
    </row>
    <row r="79" spans="1:16" outlineLevel="1" x14ac:dyDescent="0.2">
      <c r="B79" s="9" t="s">
        <v>395</v>
      </c>
      <c r="C79" s="27">
        <v>495</v>
      </c>
      <c r="D79" s="27">
        <v>555</v>
      </c>
      <c r="E79" s="27">
        <v>669</v>
      </c>
      <c r="F79" s="27">
        <v>781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27"/>
      <c r="N79" s="27"/>
      <c r="O79" s="27"/>
      <c r="P79" s="27"/>
    </row>
    <row r="80" spans="1:16" outlineLevel="1" x14ac:dyDescent="0.2">
      <c r="B80" s="9" t="s">
        <v>398</v>
      </c>
      <c r="C80" s="27">
        <v>407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27"/>
      <c r="N80" s="27"/>
      <c r="O80" s="27"/>
      <c r="P80" s="27"/>
    </row>
    <row r="81" spans="1:16" outlineLevel="1" x14ac:dyDescent="0.2">
      <c r="B81" s="9" t="s">
        <v>385</v>
      </c>
      <c r="C81" s="27">
        <v>-1570</v>
      </c>
      <c r="D81" s="27">
        <v>-1874</v>
      </c>
      <c r="E81" s="27">
        <v>-2527</v>
      </c>
      <c r="F81" s="27">
        <v>-2817</v>
      </c>
      <c r="G81" s="27">
        <v>-3634</v>
      </c>
      <c r="H81" s="27">
        <v>-6556</v>
      </c>
      <c r="I81" s="27">
        <v>-6223</v>
      </c>
      <c r="J81" s="27">
        <v>-5431</v>
      </c>
      <c r="K81" s="27">
        <v>-5441</v>
      </c>
      <c r="L81" s="27">
        <v>-5960</v>
      </c>
      <c r="M81" s="27"/>
      <c r="N81" s="27"/>
      <c r="O81" s="27"/>
      <c r="P81" s="27"/>
    </row>
    <row r="82" spans="1:16" outlineLevel="1" x14ac:dyDescent="0.2">
      <c r="B82" s="9" t="s">
        <v>386</v>
      </c>
      <c r="C82" s="27">
        <v>-12150</v>
      </c>
      <c r="D82" s="27">
        <v>-12769</v>
      </c>
      <c r="E82" s="27">
        <v>-13712</v>
      </c>
      <c r="F82" s="27">
        <v>-14119</v>
      </c>
      <c r="G82" s="27">
        <v>-14081</v>
      </c>
      <c r="H82" s="27">
        <v>-14467</v>
      </c>
      <c r="I82" s="27">
        <v>-14841</v>
      </c>
      <c r="J82" s="27">
        <v>-15025</v>
      </c>
      <c r="K82" s="27">
        <v>-15234</v>
      </c>
      <c r="L82" s="27">
        <v>-15421</v>
      </c>
      <c r="M82" s="27"/>
      <c r="N82" s="27"/>
      <c r="O82" s="27"/>
      <c r="P82" s="27"/>
    </row>
    <row r="83" spans="1:16" outlineLevel="1" x14ac:dyDescent="0.2">
      <c r="B83" s="9" t="s">
        <v>387</v>
      </c>
      <c r="C83" s="27">
        <v>-29722</v>
      </c>
      <c r="D83" s="27">
        <v>-32900</v>
      </c>
      <c r="E83" s="27">
        <v>-72738</v>
      </c>
      <c r="F83" s="27">
        <v>-66897</v>
      </c>
      <c r="G83" s="27">
        <v>-72358</v>
      </c>
      <c r="H83" s="27">
        <v>-85971</v>
      </c>
      <c r="I83" s="27">
        <v>-89402</v>
      </c>
      <c r="J83" s="27">
        <v>-77550</v>
      </c>
      <c r="K83" s="27">
        <v>-94949</v>
      </c>
      <c r="L83" s="27">
        <v>-90711</v>
      </c>
      <c r="M83" s="27"/>
      <c r="N83" s="27"/>
      <c r="O83" s="27"/>
      <c r="P83" s="27"/>
    </row>
    <row r="84" spans="1:16" outlineLevel="1" x14ac:dyDescent="0.2">
      <c r="B84" s="9" t="s">
        <v>388</v>
      </c>
      <c r="C84" s="27">
        <v>24954</v>
      </c>
      <c r="D84" s="27">
        <v>28662</v>
      </c>
      <c r="E84" s="27">
        <v>6969</v>
      </c>
      <c r="F84" s="27">
        <v>6963</v>
      </c>
      <c r="G84" s="27">
        <v>16091</v>
      </c>
      <c r="H84" s="27">
        <v>20393</v>
      </c>
      <c r="I84" s="27">
        <v>5465</v>
      </c>
      <c r="J84" s="27">
        <v>5228</v>
      </c>
      <c r="K84" s="27">
        <v>0</v>
      </c>
      <c r="L84" s="27">
        <v>4481</v>
      </c>
      <c r="M84" s="27"/>
      <c r="N84" s="27"/>
      <c r="O84" s="27"/>
      <c r="P84" s="27"/>
    </row>
    <row r="85" spans="1:16" outlineLevel="1" x14ac:dyDescent="0.2">
      <c r="B85" s="9" t="s">
        <v>389</v>
      </c>
      <c r="C85" s="27">
        <v>-2500</v>
      </c>
      <c r="D85" s="27">
        <v>-3500</v>
      </c>
      <c r="E85" s="27">
        <v>-6500</v>
      </c>
      <c r="F85" s="27">
        <v>-8805</v>
      </c>
      <c r="G85" s="27">
        <v>-12629</v>
      </c>
      <c r="H85" s="27">
        <v>-8750</v>
      </c>
      <c r="I85" s="27">
        <v>-9543</v>
      </c>
      <c r="J85" s="27">
        <v>-11151</v>
      </c>
      <c r="K85" s="27">
        <v>-9958</v>
      </c>
      <c r="L85" s="27">
        <v>-10932</v>
      </c>
      <c r="M85" s="27"/>
      <c r="N85" s="27"/>
      <c r="O85" s="27"/>
      <c r="P85" s="27"/>
    </row>
    <row r="86" spans="1:16" outlineLevel="1" x14ac:dyDescent="0.2">
      <c r="B86" s="9" t="s">
        <v>390</v>
      </c>
      <c r="C86" s="27">
        <v>-397</v>
      </c>
      <c r="D86" s="27">
        <v>3852</v>
      </c>
      <c r="E86" s="27">
        <v>-37</v>
      </c>
      <c r="F86" s="27">
        <v>-5977</v>
      </c>
      <c r="G86" s="27">
        <v>-963</v>
      </c>
      <c r="H86" s="27">
        <v>1022</v>
      </c>
      <c r="I86" s="27">
        <v>3955</v>
      </c>
      <c r="J86" s="27">
        <v>-3978</v>
      </c>
      <c r="K86" s="27">
        <v>3960</v>
      </c>
      <c r="L86" s="27">
        <v>-2032</v>
      </c>
      <c r="M86" s="27"/>
      <c r="N86" s="27"/>
      <c r="O86" s="27"/>
      <c r="P86" s="27"/>
    </row>
    <row r="87" spans="1:16" outlineLevel="1" x14ac:dyDescent="0.2">
      <c r="B87" s="9" t="s">
        <v>377</v>
      </c>
      <c r="C87" s="27">
        <v>0</v>
      </c>
      <c r="D87" s="27">
        <v>0</v>
      </c>
      <c r="E87" s="27">
        <v>0</v>
      </c>
      <c r="F87" s="27">
        <v>-105</v>
      </c>
      <c r="G87" s="27">
        <v>754</v>
      </c>
      <c r="H87" s="27">
        <v>976</v>
      </c>
      <c r="I87" s="27">
        <v>-160</v>
      </c>
      <c r="J87" s="27">
        <v>-581</v>
      </c>
      <c r="K87" s="27">
        <v>-361</v>
      </c>
      <c r="L87" s="27">
        <v>-111</v>
      </c>
      <c r="M87" s="27"/>
      <c r="N87" s="27"/>
      <c r="O87" s="27"/>
      <c r="P87" s="27"/>
    </row>
    <row r="88" spans="1:16" s="53" customFormat="1" outlineLevel="1" x14ac:dyDescent="0.2">
      <c r="A88" s="7"/>
      <c r="B88" s="17" t="s">
        <v>46</v>
      </c>
      <c r="C88" s="51">
        <v>-20483</v>
      </c>
      <c r="D88" s="51">
        <v>-17974</v>
      </c>
      <c r="E88" s="51">
        <v>-87876</v>
      </c>
      <c r="F88" s="51">
        <v>-90976</v>
      </c>
      <c r="G88" s="51">
        <v>-86820</v>
      </c>
      <c r="H88" s="51">
        <v>-93353</v>
      </c>
      <c r="I88" s="51">
        <v>-110749</v>
      </c>
      <c r="J88" s="51">
        <v>-108488</v>
      </c>
      <c r="K88" s="51">
        <v>-121983</v>
      </c>
      <c r="L88" s="51">
        <v>-120686</v>
      </c>
      <c r="M88" s="51"/>
      <c r="N88" s="51"/>
      <c r="O88" s="51"/>
      <c r="P88" s="51"/>
    </row>
    <row r="89" spans="1:16" s="52" customFormat="1" outlineLevel="1" x14ac:dyDescent="0.2">
      <c r="A89" s="7"/>
      <c r="B89" s="11" t="s">
        <v>47</v>
      </c>
      <c r="C89" s="55">
        <v>-636</v>
      </c>
      <c r="D89" s="55">
        <v>-195</v>
      </c>
      <c r="E89" s="55">
        <v>5624</v>
      </c>
      <c r="F89" s="55">
        <v>24311</v>
      </c>
      <c r="G89" s="55">
        <v>-10435</v>
      </c>
      <c r="H89" s="55">
        <v>-3860</v>
      </c>
      <c r="I89" s="55">
        <v>-10952</v>
      </c>
      <c r="J89" s="55">
        <v>5760</v>
      </c>
      <c r="K89" s="55">
        <v>-794</v>
      </c>
      <c r="L89" s="55">
        <v>5991</v>
      </c>
      <c r="M89" s="55"/>
      <c r="N89" s="55"/>
      <c r="O89" s="55"/>
      <c r="P89" s="55"/>
    </row>
    <row r="90" spans="1:16" s="52" customFormat="1" outlineLevel="1" x14ac:dyDescent="0.2">
      <c r="A90" s="7"/>
      <c r="B90" s="11" t="s">
        <v>48</v>
      </c>
      <c r="C90" s="55">
        <v>21120</v>
      </c>
      <c r="D90" s="55">
        <v>20484</v>
      </c>
      <c r="E90" s="55">
        <v>20289</v>
      </c>
      <c r="F90" s="55">
        <v>25913</v>
      </c>
      <c r="G90" s="55">
        <v>50224</v>
      </c>
      <c r="H90" s="55">
        <v>39789</v>
      </c>
      <c r="I90" s="55">
        <v>35929</v>
      </c>
      <c r="J90" s="55">
        <v>24977</v>
      </c>
      <c r="K90" s="55">
        <v>30737</v>
      </c>
      <c r="L90" s="55">
        <v>29943</v>
      </c>
      <c r="M90" s="55"/>
      <c r="N90" s="55"/>
      <c r="O90" s="55"/>
      <c r="P90" s="55"/>
    </row>
    <row r="91" spans="1:16" s="57" customFormat="1" ht="17" outlineLevel="1" thickBot="1" x14ac:dyDescent="0.25">
      <c r="A91" s="7"/>
      <c r="B91" s="19" t="s">
        <v>49</v>
      </c>
      <c r="C91" s="51">
        <v>20484</v>
      </c>
      <c r="D91" s="51">
        <v>20289</v>
      </c>
      <c r="E91" s="51">
        <v>25913</v>
      </c>
      <c r="F91" s="51">
        <v>50224</v>
      </c>
      <c r="G91" s="51">
        <v>39789</v>
      </c>
      <c r="H91" s="51">
        <v>35929</v>
      </c>
      <c r="I91" s="51">
        <v>24977</v>
      </c>
      <c r="J91" s="51">
        <v>30737</v>
      </c>
      <c r="K91" s="51">
        <v>29943</v>
      </c>
      <c r="L91" s="51">
        <v>35934</v>
      </c>
      <c r="M91" s="51"/>
      <c r="N91" s="51"/>
      <c r="O91" s="51"/>
      <c r="P91" s="51"/>
    </row>
    <row r="92" spans="1:16" x14ac:dyDescent="0.2">
      <c r="B92" s="1"/>
    </row>
    <row r="93" spans="1:16" s="14" customFormat="1" ht="17" thickBot="1" x14ac:dyDescent="0.25">
      <c r="A93" s="4"/>
      <c r="B93" s="15" t="s">
        <v>50</v>
      </c>
    </row>
    <row r="94" spans="1:16" hidden="1" outlineLevel="2" x14ac:dyDescent="0.2">
      <c r="B94" s="9" t="s">
        <v>51</v>
      </c>
      <c r="C94" s="20">
        <f t="shared" ref="C94:P94" si="10">C5-C6-C10+C12+C14</f>
        <v>45687</v>
      </c>
      <c r="D94" s="20">
        <f t="shared" si="10"/>
        <v>48351</v>
      </c>
      <c r="E94" s="20">
        <f t="shared" si="10"/>
        <v>59531</v>
      </c>
      <c r="F94" s="20">
        <f t="shared" si="10"/>
        <v>55256</v>
      </c>
      <c r="G94" s="20">
        <f t="shared" si="10"/>
        <v>57411</v>
      </c>
      <c r="H94" s="20">
        <f t="shared" si="10"/>
        <v>94680</v>
      </c>
      <c r="I94" s="20">
        <f t="shared" si="10"/>
        <v>99803</v>
      </c>
      <c r="J94" s="20">
        <f t="shared" si="10"/>
        <v>96995</v>
      </c>
      <c r="K94" s="20">
        <f t="shared" si="10"/>
        <v>93736</v>
      </c>
      <c r="L94" s="20">
        <f t="shared" si="10"/>
        <v>112010</v>
      </c>
      <c r="M94" s="20">
        <f t="shared" si="10"/>
        <v>0</v>
      </c>
      <c r="N94" s="20">
        <f t="shared" si="10"/>
        <v>0</v>
      </c>
      <c r="O94" s="20">
        <f t="shared" si="10"/>
        <v>0</v>
      </c>
      <c r="P94" s="20">
        <f t="shared" si="10"/>
        <v>0</v>
      </c>
    </row>
    <row r="95" spans="1:16" s="18" customFormat="1" outlineLevel="1" collapsed="1" x14ac:dyDescent="0.2">
      <c r="A95" s="7"/>
      <c r="B95" s="17" t="s">
        <v>52</v>
      </c>
      <c r="C95" s="24">
        <f t="shared" ref="C95:P95" si="11">C15-C94</f>
        <v>0</v>
      </c>
      <c r="D95" s="24">
        <f t="shared" si="11"/>
        <v>0</v>
      </c>
      <c r="E95" s="24">
        <f t="shared" si="11"/>
        <v>0</v>
      </c>
      <c r="F95" s="24">
        <f t="shared" si="11"/>
        <v>0</v>
      </c>
      <c r="G95" s="24">
        <f t="shared" si="11"/>
        <v>0</v>
      </c>
      <c r="H95" s="24">
        <f t="shared" si="11"/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  <c r="M95" s="24">
        <f t="shared" si="11"/>
        <v>0</v>
      </c>
      <c r="N95" s="24">
        <f t="shared" si="11"/>
        <v>0</v>
      </c>
      <c r="O95" s="24">
        <f t="shared" si="11"/>
        <v>0</v>
      </c>
      <c r="P95" s="24">
        <f t="shared" si="11"/>
        <v>0</v>
      </c>
    </row>
    <row r="96" spans="1:16" hidden="1" outlineLevel="2" x14ac:dyDescent="0.2">
      <c r="B96" s="9" t="s">
        <v>53</v>
      </c>
      <c r="C96" s="20">
        <f t="shared" ref="C96:P96" si="12">SUM(C26:C31)+SUM(C33:C35)</f>
        <v>321686</v>
      </c>
      <c r="D96" s="20">
        <f t="shared" si="12"/>
        <v>375319</v>
      </c>
      <c r="E96" s="20">
        <f t="shared" si="12"/>
        <v>365725</v>
      </c>
      <c r="F96" s="20">
        <f t="shared" si="12"/>
        <v>338516</v>
      </c>
      <c r="G96" s="20">
        <f t="shared" si="12"/>
        <v>323888</v>
      </c>
      <c r="H96" s="20">
        <f t="shared" si="12"/>
        <v>351002</v>
      </c>
      <c r="I96" s="20">
        <f t="shared" si="12"/>
        <v>352755</v>
      </c>
      <c r="J96" s="20">
        <f t="shared" si="12"/>
        <v>352583</v>
      </c>
      <c r="K96" s="20">
        <f t="shared" si="12"/>
        <v>364980</v>
      </c>
      <c r="L96" s="20">
        <f t="shared" si="12"/>
        <v>359241</v>
      </c>
      <c r="M96" s="20">
        <f t="shared" si="12"/>
        <v>0</v>
      </c>
      <c r="N96" s="20">
        <f t="shared" si="12"/>
        <v>0</v>
      </c>
      <c r="O96" s="20">
        <f t="shared" si="12"/>
        <v>0</v>
      </c>
      <c r="P96" s="20">
        <f t="shared" si="12"/>
        <v>0</v>
      </c>
    </row>
    <row r="97" spans="1:16" s="7" customFormat="1" outlineLevel="1" collapsed="1" x14ac:dyDescent="0.2">
      <c r="B97" s="11" t="s">
        <v>54</v>
      </c>
      <c r="C97" s="23">
        <f t="shared" ref="C97:P97" si="13">C37-C96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  <c r="M97" s="23">
        <f t="shared" si="13"/>
        <v>0</v>
      </c>
      <c r="N97" s="23">
        <f t="shared" si="13"/>
        <v>0</v>
      </c>
      <c r="O97" s="23">
        <f t="shared" si="13"/>
        <v>0</v>
      </c>
      <c r="P97" s="23">
        <f t="shared" si="13"/>
        <v>0</v>
      </c>
    </row>
    <row r="98" spans="1:16" hidden="1" outlineLevel="2" x14ac:dyDescent="0.2">
      <c r="B98" s="9" t="s">
        <v>55</v>
      </c>
      <c r="C98" s="20">
        <f t="shared" ref="C98:P98" si="14">SUM(C38:C42)+SUM(C44:C45)</f>
        <v>193437</v>
      </c>
      <c r="D98" s="20">
        <f t="shared" si="14"/>
        <v>241272</v>
      </c>
      <c r="E98" s="20">
        <f t="shared" si="14"/>
        <v>258578</v>
      </c>
      <c r="F98" s="20">
        <f t="shared" si="14"/>
        <v>248028</v>
      </c>
      <c r="G98" s="20">
        <f t="shared" si="14"/>
        <v>258549</v>
      </c>
      <c r="H98" s="20">
        <f t="shared" si="14"/>
        <v>287912</v>
      </c>
      <c r="I98" s="20">
        <f t="shared" si="14"/>
        <v>302083</v>
      </c>
      <c r="J98" s="20">
        <f t="shared" si="14"/>
        <v>290437</v>
      </c>
      <c r="K98" s="20">
        <f t="shared" si="14"/>
        <v>308030</v>
      </c>
      <c r="L98" s="20">
        <f t="shared" si="14"/>
        <v>285508</v>
      </c>
      <c r="M98" s="20">
        <f t="shared" si="14"/>
        <v>0</v>
      </c>
      <c r="N98" s="20">
        <f t="shared" si="14"/>
        <v>0</v>
      </c>
      <c r="O98" s="20">
        <f t="shared" si="14"/>
        <v>0</v>
      </c>
      <c r="P98" s="20">
        <f t="shared" si="14"/>
        <v>0</v>
      </c>
    </row>
    <row r="99" spans="1:16" s="7" customFormat="1" outlineLevel="1" collapsed="1" x14ac:dyDescent="0.2">
      <c r="B99" s="11" t="s">
        <v>56</v>
      </c>
      <c r="C99" s="23">
        <f t="shared" ref="C99:P99" si="15">C47-C98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  <c r="M99" s="23">
        <f t="shared" si="15"/>
        <v>0</v>
      </c>
      <c r="N99" s="23">
        <f t="shared" si="15"/>
        <v>0</v>
      </c>
      <c r="O99" s="23">
        <f t="shared" si="15"/>
        <v>0</v>
      </c>
      <c r="P99" s="23">
        <f t="shared" si="15"/>
        <v>0</v>
      </c>
    </row>
    <row r="100" spans="1:16" hidden="1" outlineLevel="2" x14ac:dyDescent="0.2">
      <c r="B100" s="9" t="s">
        <v>57</v>
      </c>
      <c r="C100" s="20">
        <f t="shared" ref="C100:P100" si="16">SUM(C48:C50)</f>
        <v>128249</v>
      </c>
      <c r="D100" s="20">
        <f t="shared" si="16"/>
        <v>134047</v>
      </c>
      <c r="E100" s="20">
        <f t="shared" si="16"/>
        <v>107147</v>
      </c>
      <c r="F100" s="20">
        <f t="shared" si="16"/>
        <v>90488</v>
      </c>
      <c r="G100" s="20">
        <f t="shared" si="16"/>
        <v>65339</v>
      </c>
      <c r="H100" s="20">
        <f t="shared" si="16"/>
        <v>63090</v>
      </c>
      <c r="I100" s="20">
        <f t="shared" si="16"/>
        <v>50672</v>
      </c>
      <c r="J100" s="20">
        <f t="shared" si="16"/>
        <v>62146</v>
      </c>
      <c r="K100" s="20">
        <f t="shared" si="16"/>
        <v>56950</v>
      </c>
      <c r="L100" s="20">
        <f t="shared" si="16"/>
        <v>73733</v>
      </c>
      <c r="M100" s="20">
        <f t="shared" si="16"/>
        <v>0</v>
      </c>
      <c r="N100" s="20">
        <f t="shared" si="16"/>
        <v>0</v>
      </c>
      <c r="O100" s="20">
        <f t="shared" si="16"/>
        <v>0</v>
      </c>
      <c r="P100" s="20">
        <f t="shared" si="16"/>
        <v>0</v>
      </c>
    </row>
    <row r="101" spans="1:16" s="7" customFormat="1" outlineLevel="1" collapsed="1" x14ac:dyDescent="0.2">
      <c r="B101" s="11" t="s">
        <v>58</v>
      </c>
      <c r="C101" s="23">
        <f t="shared" ref="C101:P101" si="17">C51-C100</f>
        <v>0</v>
      </c>
      <c r="D101" s="23">
        <f t="shared" si="17"/>
        <v>0</v>
      </c>
      <c r="E101" s="23">
        <f t="shared" si="17"/>
        <v>0</v>
      </c>
      <c r="F101" s="23">
        <f t="shared" si="17"/>
        <v>0</v>
      </c>
      <c r="G101" s="23">
        <f t="shared" si="17"/>
        <v>0</v>
      </c>
      <c r="H101" s="23">
        <f t="shared" si="17"/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  <c r="M101" s="23">
        <f t="shared" si="17"/>
        <v>0</v>
      </c>
      <c r="N101" s="23">
        <f t="shared" si="17"/>
        <v>0</v>
      </c>
      <c r="O101" s="23">
        <f t="shared" si="17"/>
        <v>0</v>
      </c>
      <c r="P101" s="23">
        <f t="shared" si="17"/>
        <v>0</v>
      </c>
    </row>
    <row r="102" spans="1:16" s="18" customFormat="1" outlineLevel="1" x14ac:dyDescent="0.2">
      <c r="A102" s="7"/>
      <c r="B102" s="17" t="s">
        <v>68</v>
      </c>
      <c r="C102" s="22">
        <f t="shared" ref="C102:P102" si="18">C37-(C47+C51)</f>
        <v>0</v>
      </c>
      <c r="D102" s="22">
        <f t="shared" si="18"/>
        <v>0</v>
      </c>
      <c r="E102" s="22">
        <f t="shared" si="18"/>
        <v>0</v>
      </c>
      <c r="F102" s="22">
        <f t="shared" si="18"/>
        <v>0</v>
      </c>
      <c r="G102" s="22">
        <f t="shared" si="18"/>
        <v>0</v>
      </c>
      <c r="H102" s="22">
        <f t="shared" si="18"/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  <c r="M102" s="22">
        <f t="shared" si="18"/>
        <v>0</v>
      </c>
      <c r="N102" s="22">
        <f t="shared" si="18"/>
        <v>0</v>
      </c>
      <c r="O102" s="22">
        <f t="shared" si="18"/>
        <v>0</v>
      </c>
      <c r="P102" s="22">
        <f t="shared" si="18"/>
        <v>0</v>
      </c>
    </row>
    <row r="103" spans="1:16" hidden="1" outlineLevel="2" x14ac:dyDescent="0.2">
      <c r="B103" s="9" t="s">
        <v>59</v>
      </c>
      <c r="C103" s="20">
        <f t="shared" ref="C103:P103" si="19">SUM(C55:C66)</f>
        <v>65824</v>
      </c>
      <c r="D103" s="20">
        <f t="shared" si="19"/>
        <v>64225</v>
      </c>
      <c r="E103" s="20">
        <f t="shared" si="19"/>
        <v>77434</v>
      </c>
      <c r="F103" s="20">
        <f t="shared" si="19"/>
        <v>69391</v>
      </c>
      <c r="G103" s="20">
        <f t="shared" si="19"/>
        <v>80674</v>
      </c>
      <c r="H103" s="20">
        <f t="shared" si="19"/>
        <v>104038</v>
      </c>
      <c r="I103" s="20">
        <f t="shared" si="19"/>
        <v>122151</v>
      </c>
      <c r="J103" s="20">
        <f t="shared" si="19"/>
        <v>110543</v>
      </c>
      <c r="K103" s="20">
        <f t="shared" si="19"/>
        <v>118254</v>
      </c>
      <c r="L103" s="20">
        <f t="shared" si="19"/>
        <v>111482</v>
      </c>
      <c r="M103" s="20">
        <f t="shared" si="19"/>
        <v>0</v>
      </c>
      <c r="N103" s="20">
        <f t="shared" si="19"/>
        <v>0</v>
      </c>
      <c r="O103" s="20">
        <f t="shared" si="19"/>
        <v>0</v>
      </c>
      <c r="P103" s="20">
        <f t="shared" si="19"/>
        <v>0</v>
      </c>
    </row>
    <row r="104" spans="1:16" s="7" customFormat="1" outlineLevel="1" collapsed="1" x14ac:dyDescent="0.2">
      <c r="B104" s="11" t="s">
        <v>60</v>
      </c>
      <c r="C104" s="23">
        <f t="shared" ref="C104:P104" si="20">C67-C103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  <c r="M104" s="23">
        <f t="shared" si="20"/>
        <v>0</v>
      </c>
      <c r="N104" s="23">
        <f t="shared" si="20"/>
        <v>0</v>
      </c>
      <c r="O104" s="23">
        <f t="shared" si="20"/>
        <v>0</v>
      </c>
      <c r="P104" s="23">
        <f t="shared" si="20"/>
        <v>0</v>
      </c>
    </row>
    <row r="105" spans="1:16" hidden="1" outlineLevel="2" x14ac:dyDescent="0.2">
      <c r="B105" s="9" t="s">
        <v>61</v>
      </c>
      <c r="C105" s="20">
        <f t="shared" ref="C105:P105" si="21">SUM(C68:C77)</f>
        <v>-45977</v>
      </c>
      <c r="D105" s="20">
        <f t="shared" si="21"/>
        <v>-46446</v>
      </c>
      <c r="E105" s="20">
        <f t="shared" si="21"/>
        <v>16066</v>
      </c>
      <c r="F105" s="20">
        <f t="shared" si="21"/>
        <v>45896</v>
      </c>
      <c r="G105" s="20">
        <f t="shared" si="21"/>
        <v>-4289</v>
      </c>
      <c r="H105" s="20">
        <f t="shared" si="21"/>
        <v>-14545</v>
      </c>
      <c r="I105" s="20">
        <f t="shared" si="21"/>
        <v>-22354</v>
      </c>
      <c r="J105" s="20">
        <f t="shared" si="21"/>
        <v>3705</v>
      </c>
      <c r="K105" s="20">
        <f t="shared" si="21"/>
        <v>2935</v>
      </c>
      <c r="L105" s="20">
        <f t="shared" si="21"/>
        <v>15195</v>
      </c>
      <c r="M105" s="20">
        <f t="shared" si="21"/>
        <v>0</v>
      </c>
      <c r="N105" s="20">
        <f t="shared" si="21"/>
        <v>0</v>
      </c>
      <c r="O105" s="20">
        <f t="shared" si="21"/>
        <v>0</v>
      </c>
      <c r="P105" s="20">
        <f t="shared" si="21"/>
        <v>0</v>
      </c>
    </row>
    <row r="106" spans="1:16" s="7" customFormat="1" outlineLevel="1" collapsed="1" x14ac:dyDescent="0.2">
      <c r="B106" s="11" t="s">
        <v>62</v>
      </c>
      <c r="C106" s="23">
        <f t="shared" ref="C106" si="22">C78-C105</f>
        <v>0</v>
      </c>
      <c r="D106" s="23">
        <f t="shared" ref="D106:P106" si="23">D78-D105</f>
        <v>0</v>
      </c>
      <c r="E106" s="23">
        <f t="shared" si="23"/>
        <v>0</v>
      </c>
      <c r="F106" s="23">
        <f t="shared" si="23"/>
        <v>0</v>
      </c>
      <c r="G106" s="23">
        <f t="shared" si="23"/>
        <v>0</v>
      </c>
      <c r="H106" s="23">
        <f t="shared" si="23"/>
        <v>0</v>
      </c>
      <c r="I106" s="23">
        <f t="shared" si="23"/>
        <v>0</v>
      </c>
      <c r="J106" s="23">
        <f t="shared" si="23"/>
        <v>0</v>
      </c>
      <c r="K106" s="23">
        <f t="shared" si="23"/>
        <v>0</v>
      </c>
      <c r="L106" s="23">
        <f t="shared" si="23"/>
        <v>0</v>
      </c>
      <c r="M106" s="23">
        <f t="shared" si="23"/>
        <v>0</v>
      </c>
      <c r="N106" s="23">
        <f t="shared" si="23"/>
        <v>0</v>
      </c>
      <c r="O106" s="23">
        <f t="shared" si="23"/>
        <v>0</v>
      </c>
      <c r="P106" s="23">
        <f t="shared" si="23"/>
        <v>0</v>
      </c>
    </row>
    <row r="107" spans="1:16" hidden="1" outlineLevel="2" x14ac:dyDescent="0.2">
      <c r="B107" s="9" t="s">
        <v>63</v>
      </c>
      <c r="C107" s="20">
        <f>SUM(C79:C87)</f>
        <v>-20483</v>
      </c>
      <c r="D107" s="20">
        <f t="shared" ref="D107:P107" si="24">SUM(D79:D87)</f>
        <v>-17974</v>
      </c>
      <c r="E107" s="20">
        <f t="shared" si="24"/>
        <v>-87876</v>
      </c>
      <c r="F107" s="20">
        <f t="shared" si="24"/>
        <v>-90976</v>
      </c>
      <c r="G107" s="20">
        <f t="shared" si="24"/>
        <v>-86820</v>
      </c>
      <c r="H107" s="20">
        <f t="shared" si="24"/>
        <v>-93353</v>
      </c>
      <c r="I107" s="20">
        <f t="shared" si="24"/>
        <v>-110749</v>
      </c>
      <c r="J107" s="20">
        <f t="shared" si="24"/>
        <v>-108488</v>
      </c>
      <c r="K107" s="20">
        <f t="shared" si="24"/>
        <v>-121983</v>
      </c>
      <c r="L107" s="20">
        <f t="shared" si="24"/>
        <v>-120686</v>
      </c>
      <c r="M107" s="20">
        <f t="shared" si="24"/>
        <v>0</v>
      </c>
      <c r="N107" s="20">
        <f t="shared" si="24"/>
        <v>0</v>
      </c>
      <c r="O107" s="20">
        <f t="shared" si="24"/>
        <v>0</v>
      </c>
      <c r="P107" s="20">
        <f t="shared" si="24"/>
        <v>0</v>
      </c>
    </row>
    <row r="108" spans="1:16" s="7" customFormat="1" outlineLevel="1" collapsed="1" x14ac:dyDescent="0.2">
      <c r="B108" s="11" t="s">
        <v>64</v>
      </c>
      <c r="C108" s="23">
        <f t="shared" ref="C108" si="25">C88-C107</f>
        <v>0</v>
      </c>
      <c r="D108" s="23">
        <f t="shared" ref="D108:P108" si="26">D88-D107</f>
        <v>0</v>
      </c>
      <c r="E108" s="23">
        <f t="shared" si="26"/>
        <v>0</v>
      </c>
      <c r="F108" s="23">
        <f t="shared" si="26"/>
        <v>0</v>
      </c>
      <c r="G108" s="23">
        <f t="shared" si="26"/>
        <v>0</v>
      </c>
      <c r="H108" s="23">
        <f t="shared" si="26"/>
        <v>0</v>
      </c>
      <c r="I108" s="23">
        <f t="shared" si="26"/>
        <v>0</v>
      </c>
      <c r="J108" s="23">
        <f t="shared" si="26"/>
        <v>0</v>
      </c>
      <c r="K108" s="23">
        <f t="shared" si="26"/>
        <v>0</v>
      </c>
      <c r="L108" s="23">
        <f t="shared" si="26"/>
        <v>0</v>
      </c>
      <c r="M108" s="23">
        <f t="shared" si="26"/>
        <v>0</v>
      </c>
      <c r="N108" s="23">
        <f t="shared" si="26"/>
        <v>0</v>
      </c>
      <c r="O108" s="23">
        <f t="shared" si="26"/>
        <v>0</v>
      </c>
      <c r="P108" s="23">
        <f t="shared" si="26"/>
        <v>0</v>
      </c>
    </row>
    <row r="109" spans="1:16" hidden="1" outlineLevel="2" x14ac:dyDescent="0.2">
      <c r="B109" s="9" t="s">
        <v>66</v>
      </c>
      <c r="C109" s="20">
        <f t="shared" ref="C109:P109" si="27">C67+C78+C88+C90</f>
        <v>20484</v>
      </c>
      <c r="D109" s="20">
        <f t="shared" si="27"/>
        <v>20289</v>
      </c>
      <c r="E109" s="20">
        <f t="shared" si="27"/>
        <v>25913</v>
      </c>
      <c r="F109" s="20">
        <f t="shared" si="27"/>
        <v>50224</v>
      </c>
      <c r="G109" s="20">
        <f t="shared" si="27"/>
        <v>39789</v>
      </c>
      <c r="H109" s="20">
        <f t="shared" si="27"/>
        <v>35929</v>
      </c>
      <c r="I109" s="20">
        <f t="shared" si="27"/>
        <v>24977</v>
      </c>
      <c r="J109" s="20">
        <f t="shared" si="27"/>
        <v>30737</v>
      </c>
      <c r="K109" s="20">
        <f t="shared" si="27"/>
        <v>29943</v>
      </c>
      <c r="L109" s="20">
        <f t="shared" si="27"/>
        <v>35934</v>
      </c>
      <c r="M109" s="20">
        <f t="shared" si="27"/>
        <v>0</v>
      </c>
      <c r="N109" s="20">
        <f t="shared" si="27"/>
        <v>0</v>
      </c>
      <c r="O109" s="20">
        <f t="shared" si="27"/>
        <v>0</v>
      </c>
      <c r="P109" s="20">
        <f t="shared" si="27"/>
        <v>0</v>
      </c>
    </row>
    <row r="110" spans="1:16" s="18" customFormat="1" outlineLevel="1" collapsed="1" x14ac:dyDescent="0.2">
      <c r="A110" s="7"/>
      <c r="B110" s="17" t="s">
        <v>65</v>
      </c>
      <c r="C110" s="22">
        <f t="shared" ref="C110" si="28">C91-C109</f>
        <v>0</v>
      </c>
      <c r="D110" s="22">
        <f t="shared" ref="D110:P110" si="29">D91-D109</f>
        <v>0</v>
      </c>
      <c r="E110" s="22">
        <f t="shared" si="29"/>
        <v>0</v>
      </c>
      <c r="F110" s="22">
        <f t="shared" si="29"/>
        <v>0</v>
      </c>
      <c r="G110" s="22">
        <f t="shared" si="29"/>
        <v>0</v>
      </c>
      <c r="H110" s="22">
        <f t="shared" si="29"/>
        <v>0</v>
      </c>
      <c r="I110" s="22">
        <f t="shared" si="29"/>
        <v>0</v>
      </c>
      <c r="J110" s="22">
        <f t="shared" si="29"/>
        <v>0</v>
      </c>
      <c r="K110" s="22">
        <f t="shared" si="29"/>
        <v>0</v>
      </c>
      <c r="L110" s="22">
        <f t="shared" si="29"/>
        <v>0</v>
      </c>
      <c r="M110" s="22">
        <f t="shared" si="29"/>
        <v>0</v>
      </c>
      <c r="N110" s="22">
        <f t="shared" si="29"/>
        <v>0</v>
      </c>
      <c r="O110" s="22">
        <f t="shared" si="29"/>
        <v>0</v>
      </c>
      <c r="P110" s="22">
        <f t="shared" si="29"/>
        <v>0</v>
      </c>
    </row>
    <row r="111" spans="1:16" x14ac:dyDescent="0.2">
      <c r="B111" s="8"/>
      <c r="J111" s="8"/>
      <c r="K111" s="8"/>
      <c r="L111" s="8"/>
      <c r="M111" s="8"/>
      <c r="N111" s="8"/>
      <c r="O111" s="8"/>
      <c r="P111" s="8"/>
    </row>
    <row r="112" spans="1:16" s="14" customFormat="1" ht="17" thickBot="1" x14ac:dyDescent="0.25">
      <c r="A112" s="4"/>
      <c r="B112" s="15" t="s">
        <v>67</v>
      </c>
    </row>
    <row r="113" spans="1:16" outlineLevel="1" x14ac:dyDescent="0.2">
      <c r="B113" s="9" t="s">
        <v>4</v>
      </c>
      <c r="C113" s="29">
        <v>5332</v>
      </c>
      <c r="D113" s="29">
        <v>5134</v>
      </c>
      <c r="E113" s="29">
        <v>4745</v>
      </c>
      <c r="F113" s="29">
        <v>4443</v>
      </c>
      <c r="G113" s="29">
        <v>17002</v>
      </c>
      <c r="H113" s="29">
        <v>16406</v>
      </c>
      <c r="I113" s="29">
        <v>15908</v>
      </c>
      <c r="J113" s="27">
        <v>15553</v>
      </c>
      <c r="K113" s="27">
        <v>15116</v>
      </c>
      <c r="L113" s="27">
        <v>14776</v>
      </c>
      <c r="M113" s="27"/>
      <c r="N113" s="27"/>
      <c r="O113" s="27"/>
      <c r="P113" s="27"/>
    </row>
    <row r="114" spans="1:16" outlineLevel="1" x14ac:dyDescent="0.2">
      <c r="B114" s="9" t="s">
        <v>374</v>
      </c>
      <c r="C114" s="34">
        <f t="shared" ref="C114:L114" si="30">C113*C125</f>
        <v>21328</v>
      </c>
      <c r="D114" s="34">
        <f t="shared" si="30"/>
        <v>20536</v>
      </c>
      <c r="E114" s="34">
        <f t="shared" si="30"/>
        <v>18980</v>
      </c>
      <c r="F114" s="34">
        <f t="shared" si="30"/>
        <v>17772</v>
      </c>
      <c r="G114" s="34">
        <f t="shared" si="30"/>
        <v>17002</v>
      </c>
      <c r="H114" s="34">
        <f t="shared" si="30"/>
        <v>16406</v>
      </c>
      <c r="I114" s="34">
        <f t="shared" si="30"/>
        <v>15908</v>
      </c>
      <c r="J114" s="34">
        <f t="shared" si="30"/>
        <v>15553</v>
      </c>
      <c r="K114" s="34">
        <f t="shared" si="30"/>
        <v>15116</v>
      </c>
      <c r="L114" s="34">
        <f t="shared" si="30"/>
        <v>14776</v>
      </c>
      <c r="M114" s="34"/>
      <c r="N114" s="34"/>
      <c r="O114" s="34"/>
      <c r="P114" s="34"/>
    </row>
    <row r="115" spans="1:16" outlineLevel="1" x14ac:dyDescent="0.2">
      <c r="B115" s="12" t="s">
        <v>75</v>
      </c>
      <c r="C115" s="30">
        <v>2.1800000000000002</v>
      </c>
      <c r="D115" s="203">
        <v>2.4</v>
      </c>
      <c r="E115" s="203">
        <v>2.72</v>
      </c>
      <c r="F115" s="203">
        <v>3</v>
      </c>
      <c r="G115" s="203">
        <v>0.79500000000000004</v>
      </c>
      <c r="H115" s="203">
        <v>0.85</v>
      </c>
      <c r="I115" s="203">
        <v>0.9</v>
      </c>
      <c r="J115" s="203">
        <v>0.94</v>
      </c>
      <c r="K115" s="203">
        <v>0.98</v>
      </c>
      <c r="L115" s="203">
        <v>1.02</v>
      </c>
      <c r="M115" s="203"/>
      <c r="N115" s="203"/>
      <c r="O115" s="203"/>
      <c r="P115" s="203"/>
    </row>
    <row r="116" spans="1:16" outlineLevel="1" x14ac:dyDescent="0.2">
      <c r="B116" s="12" t="s">
        <v>375</v>
      </c>
      <c r="C116" s="8">
        <f t="shared" ref="C116:L116" si="31">C115/C125</f>
        <v>0.54500000000000004</v>
      </c>
      <c r="D116" s="204">
        <f t="shared" si="31"/>
        <v>0.6</v>
      </c>
      <c r="E116" s="204">
        <f t="shared" si="31"/>
        <v>0.68</v>
      </c>
      <c r="F116" s="204">
        <f t="shared" si="31"/>
        <v>0.75</v>
      </c>
      <c r="G116" s="204">
        <f t="shared" si="31"/>
        <v>0.79500000000000004</v>
      </c>
      <c r="H116" s="204">
        <f t="shared" si="31"/>
        <v>0.85</v>
      </c>
      <c r="I116" s="204">
        <f t="shared" si="31"/>
        <v>0.9</v>
      </c>
      <c r="J116" s="204">
        <f t="shared" si="31"/>
        <v>0.94</v>
      </c>
      <c r="K116" s="204">
        <f t="shared" si="31"/>
        <v>0.98</v>
      </c>
      <c r="L116" s="204">
        <f t="shared" si="31"/>
        <v>1.02</v>
      </c>
      <c r="M116" s="8"/>
      <c r="N116" s="8"/>
      <c r="O116" s="8"/>
      <c r="P116" s="8"/>
    </row>
    <row r="117" spans="1:16" outlineLevel="1" x14ac:dyDescent="0.2">
      <c r="B117" s="9" t="s">
        <v>90</v>
      </c>
      <c r="C117" s="27">
        <v>8300</v>
      </c>
      <c r="D117" s="27">
        <v>8200</v>
      </c>
      <c r="E117" s="27">
        <v>9300</v>
      </c>
      <c r="F117" s="27">
        <v>11300</v>
      </c>
      <c r="G117" s="27">
        <v>9700</v>
      </c>
      <c r="H117" s="27">
        <v>9500</v>
      </c>
      <c r="I117" s="27">
        <v>8700</v>
      </c>
      <c r="J117" s="27">
        <v>8500</v>
      </c>
      <c r="K117" s="27">
        <v>8200</v>
      </c>
      <c r="L117" s="27">
        <v>8000</v>
      </c>
      <c r="M117" s="27"/>
      <c r="N117" s="27"/>
      <c r="O117" s="27"/>
      <c r="P117" s="27"/>
    </row>
    <row r="118" spans="1:16" outlineLevel="1" x14ac:dyDescent="0.2">
      <c r="B118" s="9" t="s">
        <v>91</v>
      </c>
      <c r="C118" s="34">
        <f>C56-C117</f>
        <v>2205</v>
      </c>
      <c r="D118" s="34">
        <f t="shared" ref="D118:L118" si="32">D56-D117</f>
        <v>1957</v>
      </c>
      <c r="E118" s="34">
        <f t="shared" si="32"/>
        <v>1603</v>
      </c>
      <c r="F118" s="34">
        <f t="shared" si="32"/>
        <v>1247</v>
      </c>
      <c r="G118" s="34">
        <f t="shared" si="32"/>
        <v>1356</v>
      </c>
      <c r="H118" s="34">
        <f t="shared" si="32"/>
        <v>1784</v>
      </c>
      <c r="I118" s="34">
        <f t="shared" si="32"/>
        <v>2404</v>
      </c>
      <c r="J118" s="34">
        <f t="shared" si="32"/>
        <v>3019</v>
      </c>
      <c r="K118" s="34">
        <f t="shared" si="32"/>
        <v>3245</v>
      </c>
      <c r="L118" s="34">
        <f t="shared" si="32"/>
        <v>3698</v>
      </c>
      <c r="M118" s="27"/>
      <c r="N118" s="27"/>
      <c r="O118" s="27"/>
      <c r="P118" s="27"/>
    </row>
    <row r="119" spans="1:16" outlineLevel="1" x14ac:dyDescent="0.2">
      <c r="B119" s="9" t="s">
        <v>97</v>
      </c>
      <c r="C119" s="172">
        <f t="shared" ref="C119:L119" si="33">-(C14)/C13</f>
        <v>0.25557257381216192</v>
      </c>
      <c r="D119" s="172">
        <f t="shared" si="33"/>
        <v>0.24556476150353415</v>
      </c>
      <c r="E119" s="172">
        <f t="shared" si="33"/>
        <v>0.18342180705869443</v>
      </c>
      <c r="F119" s="172">
        <f t="shared" si="33"/>
        <v>0.15943836804235059</v>
      </c>
      <c r="G119" s="172">
        <f t="shared" si="33"/>
        <v>0.14428164731484103</v>
      </c>
      <c r="H119" s="172">
        <f t="shared" si="33"/>
        <v>0.13302260844085087</v>
      </c>
      <c r="I119" s="172">
        <f t="shared" si="33"/>
        <v>0.16204461684424407</v>
      </c>
      <c r="J119" s="172">
        <f t="shared" si="33"/>
        <v>0.14719174228036858</v>
      </c>
      <c r="K119" s="172">
        <f t="shared" si="33"/>
        <v>0.24091185164189982</v>
      </c>
      <c r="L119" s="172">
        <f t="shared" si="33"/>
        <v>0.15610002335586043</v>
      </c>
      <c r="M119" s="172"/>
      <c r="N119" s="172"/>
      <c r="O119" s="172"/>
      <c r="P119" s="172"/>
    </row>
    <row r="120" spans="1:16" outlineLevel="1" x14ac:dyDescent="0.2">
      <c r="B120" s="9" t="s">
        <v>98</v>
      </c>
      <c r="C120" s="27">
        <v>116000</v>
      </c>
      <c r="D120" s="27">
        <v>123000</v>
      </c>
      <c r="E120" s="27">
        <v>132000</v>
      </c>
      <c r="F120" s="27">
        <v>137000</v>
      </c>
      <c r="G120" s="27">
        <v>147000</v>
      </c>
      <c r="H120" s="27">
        <v>154000</v>
      </c>
      <c r="I120" s="27">
        <v>164000</v>
      </c>
      <c r="J120" s="27">
        <v>161000</v>
      </c>
      <c r="K120" s="27">
        <v>164000</v>
      </c>
      <c r="L120" s="27">
        <v>166000</v>
      </c>
      <c r="M120" s="27"/>
      <c r="N120" s="27"/>
      <c r="O120" s="27"/>
      <c r="P120" s="27"/>
    </row>
    <row r="121" spans="1:16" outlineLevel="1" x14ac:dyDescent="0.2">
      <c r="B121" s="9" t="s">
        <v>151</v>
      </c>
      <c r="C121" s="27">
        <v>61245</v>
      </c>
      <c r="D121" s="27">
        <v>75076</v>
      </c>
      <c r="E121" s="27">
        <v>90403</v>
      </c>
      <c r="F121" s="27">
        <v>95957</v>
      </c>
      <c r="G121" s="27">
        <v>103526</v>
      </c>
      <c r="H121" s="27">
        <v>109723</v>
      </c>
      <c r="I121" s="27">
        <v>114457</v>
      </c>
      <c r="J121" s="27">
        <v>114599</v>
      </c>
      <c r="K121" s="27">
        <v>119128</v>
      </c>
      <c r="L121" s="27">
        <v>125848</v>
      </c>
      <c r="M121" s="27"/>
      <c r="N121" s="27"/>
      <c r="O121" s="27"/>
      <c r="P121" s="27"/>
    </row>
    <row r="122" spans="1:16" outlineLevel="1" x14ac:dyDescent="0.2">
      <c r="B122" s="9" t="s">
        <v>152</v>
      </c>
      <c r="C122" s="27">
        <v>34235</v>
      </c>
      <c r="D122" s="27">
        <v>41293</v>
      </c>
      <c r="E122" s="27">
        <v>49099</v>
      </c>
      <c r="F122" s="27">
        <v>58579</v>
      </c>
      <c r="G122" s="27">
        <v>66760</v>
      </c>
      <c r="H122" s="27">
        <v>70283</v>
      </c>
      <c r="I122" s="27">
        <v>72340</v>
      </c>
      <c r="J122" s="27">
        <v>70884</v>
      </c>
      <c r="K122" s="27">
        <v>73448</v>
      </c>
      <c r="L122" s="27">
        <v>76014</v>
      </c>
      <c r="M122" s="27"/>
      <c r="N122" s="27"/>
      <c r="O122" s="27"/>
      <c r="P122" s="27"/>
    </row>
    <row r="123" spans="1:16" outlineLevel="1" x14ac:dyDescent="0.2">
      <c r="B123" s="9" t="s">
        <v>153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</row>
    <row r="124" spans="1:16" outlineLevel="1" x14ac:dyDescent="0.2">
      <c r="B124" s="9" t="s">
        <v>154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</row>
    <row r="125" spans="1:16" outlineLevel="1" x14ac:dyDescent="0.2">
      <c r="B125" s="9" t="s">
        <v>359</v>
      </c>
      <c r="C125" s="27">
        <v>4</v>
      </c>
      <c r="D125" s="27">
        <v>4</v>
      </c>
      <c r="E125" s="27">
        <v>4</v>
      </c>
      <c r="F125" s="27">
        <v>4</v>
      </c>
      <c r="G125" s="27">
        <v>1</v>
      </c>
      <c r="H125" s="27">
        <v>1</v>
      </c>
      <c r="I125" s="27">
        <v>1</v>
      </c>
      <c r="J125" s="27">
        <v>1</v>
      </c>
      <c r="K125" s="27">
        <v>1</v>
      </c>
      <c r="L125" s="27">
        <v>1</v>
      </c>
      <c r="M125" s="27"/>
      <c r="N125" s="27"/>
      <c r="O125" s="27"/>
      <c r="P125" s="27"/>
    </row>
    <row r="126" spans="1:16" outlineLevel="1" x14ac:dyDescent="0.2"/>
    <row r="127" spans="1:16" x14ac:dyDescent="0.2">
      <c r="B127" s="1"/>
    </row>
    <row r="128" spans="1:16" s="14" customFormat="1" ht="17" thickBot="1" x14ac:dyDescent="0.25">
      <c r="A128" s="4"/>
      <c r="B128" s="15" t="s">
        <v>92</v>
      </c>
    </row>
    <row r="129" spans="1:16" s="18" customFormat="1" outlineLevel="1" x14ac:dyDescent="0.2">
      <c r="A129" s="7"/>
      <c r="B129" s="17" t="s">
        <v>6</v>
      </c>
      <c r="C129" s="81"/>
      <c r="D129" s="76">
        <f t="shared" ref="D129:L129" si="34">IF(C5=0,
IF(D5=0,0,IF(D5&gt;0,1,-1)),
(D5-C5)/ABS(C5)
)</f>
        <v>6.3045181993980681E-2</v>
      </c>
      <c r="E129" s="76">
        <f t="shared" si="34"/>
        <v>0.15861957650261305</v>
      </c>
      <c r="F129" s="76">
        <f t="shared" si="34"/>
        <v>-2.0410775805267418E-2</v>
      </c>
      <c r="G129" s="76">
        <f t="shared" si="34"/>
        <v>5.5120803769784836E-2</v>
      </c>
      <c r="H129" s="76">
        <f t="shared" si="34"/>
        <v>0.33259384733074693</v>
      </c>
      <c r="I129" s="76">
        <f t="shared" si="34"/>
        <v>7.7937876041846058E-2</v>
      </c>
      <c r="J129" s="76">
        <f t="shared" si="34"/>
        <v>-2.8004605303199367E-2</v>
      </c>
      <c r="K129" s="76">
        <f t="shared" si="34"/>
        <v>2.0219940775141214E-2</v>
      </c>
      <c r="L129" s="76">
        <f t="shared" si="34"/>
        <v>6.4255117828327393E-2</v>
      </c>
      <c r="M129" s="76"/>
      <c r="N129" s="76"/>
      <c r="O129" s="76"/>
      <c r="P129" s="76"/>
    </row>
    <row r="130" spans="1:16" outlineLevel="1" x14ac:dyDescent="0.2">
      <c r="B130" s="9" t="s">
        <v>7</v>
      </c>
      <c r="C130" s="80"/>
      <c r="D130" s="75">
        <f t="shared" ref="D130:L130" si="35">IF(C6=0,
IF(D6=0,0,IF(D6&gt;0,1,-1)),
(D6-C6)/ABS(C6)
)</f>
        <v>7.3620752648885637E-2</v>
      </c>
      <c r="E130" s="75">
        <f t="shared" si="35"/>
        <v>0.16099483863649255</v>
      </c>
      <c r="F130" s="75">
        <f t="shared" si="35"/>
        <v>-1.2054520139720071E-2</v>
      </c>
      <c r="G130" s="75">
        <f t="shared" si="35"/>
        <v>4.8070860787973943E-2</v>
      </c>
      <c r="H130" s="75">
        <f t="shared" si="35"/>
        <v>0.25608785142634716</v>
      </c>
      <c r="I130" s="75">
        <f t="shared" si="35"/>
        <v>4.9605363858747961E-2</v>
      </c>
      <c r="J130" s="75">
        <f t="shared" si="35"/>
        <v>-4.2089771232766408E-2</v>
      </c>
      <c r="K130" s="75">
        <f t="shared" si="35"/>
        <v>-1.7675600199872046E-2</v>
      </c>
      <c r="L130" s="75">
        <f t="shared" si="35"/>
        <v>5.0429755837833726E-2</v>
      </c>
      <c r="M130" s="75"/>
      <c r="N130" s="75"/>
      <c r="O130" s="75"/>
      <c r="P130" s="75"/>
    </row>
    <row r="131" spans="1:16" s="18" customFormat="1" outlineLevel="1" x14ac:dyDescent="0.2">
      <c r="A131" s="7"/>
      <c r="B131" s="17" t="s">
        <v>8</v>
      </c>
      <c r="C131" s="81"/>
      <c r="D131" s="76">
        <f t="shared" ref="D131:L131" si="36">IF(C7=0,
IF(D7=0,0,IF(D7&gt;0,1,-1)),
(D7-C7)/ABS(C7)
)</f>
        <v>4.6556614409645987E-2</v>
      </c>
      <c r="E131" s="76">
        <f t="shared" si="36"/>
        <v>0.15482049304878326</v>
      </c>
      <c r="F131" s="76">
        <f t="shared" si="36"/>
        <v>-3.3847543671874231E-2</v>
      </c>
      <c r="G131" s="76">
        <f t="shared" si="36"/>
        <v>6.6712740873241722E-2</v>
      </c>
      <c r="H131" s="76">
        <f t="shared" si="36"/>
        <v>0.45619116582186819</v>
      </c>
      <c r="I131" s="76">
        <f t="shared" si="36"/>
        <v>0.11741997958596143</v>
      </c>
      <c r="J131" s="76">
        <f t="shared" si="36"/>
        <v>-9.5677530418896602E-3</v>
      </c>
      <c r="K131" s="76">
        <f t="shared" si="36"/>
        <v>6.8194717052522058E-2</v>
      </c>
      <c r="L131" s="76">
        <f t="shared" si="36"/>
        <v>8.0350669404426533E-2</v>
      </c>
      <c r="M131" s="76"/>
      <c r="N131" s="76"/>
      <c r="O131" s="76"/>
      <c r="P131" s="76"/>
    </row>
    <row r="132" spans="1:16" outlineLevel="1" x14ac:dyDescent="0.2">
      <c r="B132" s="9" t="s">
        <v>9</v>
      </c>
      <c r="C132" s="80"/>
      <c r="D132" s="75">
        <f t="shared" ref="D132:L132" si="37">IF(C8=0,
IF(D8=0,0,IF(D8&gt;0,1,-1)),
(D8-C8)/ABS(C8)
)</f>
        <v>0.15291189646590345</v>
      </c>
      <c r="E132" s="75">
        <f t="shared" si="37"/>
        <v>0.22925481391935065</v>
      </c>
      <c r="F132" s="75">
        <f t="shared" si="37"/>
        <v>0.13915425681371171</v>
      </c>
      <c r="G132" s="75">
        <f t="shared" si="37"/>
        <v>0.15631744465684158</v>
      </c>
      <c r="H132" s="75">
        <f t="shared" si="37"/>
        <v>0.16862201365187712</v>
      </c>
      <c r="I132" s="75">
        <f t="shared" si="37"/>
        <v>0.19791001186456147</v>
      </c>
      <c r="J132" s="75">
        <f t="shared" si="37"/>
        <v>0.13957563521389663</v>
      </c>
      <c r="K132" s="75">
        <f t="shared" si="37"/>
        <v>4.8637807120173827E-2</v>
      </c>
      <c r="L132" s="75">
        <f t="shared" si="37"/>
        <v>0.10137073637233025</v>
      </c>
      <c r="M132" s="75"/>
      <c r="N132" s="75"/>
      <c r="O132" s="75"/>
      <c r="P132" s="75"/>
    </row>
    <row r="133" spans="1:16" outlineLevel="1" x14ac:dyDescent="0.2">
      <c r="B133" s="12" t="s">
        <v>10</v>
      </c>
      <c r="C133" s="80"/>
      <c r="D133" s="75">
        <f t="shared" ref="D133:L133" si="38">IF(C9=0,
IF(D9=0,0,IF(D9&gt;0,1,-1)),
(D9-C9)/ABS(C9)
)</f>
        <v>7.5172608144286321E-2</v>
      </c>
      <c r="E133" s="75">
        <f t="shared" si="38"/>
        <v>9.4620273900792876E-2</v>
      </c>
      <c r="F133" s="75">
        <f t="shared" si="38"/>
        <v>9.2187967674349003E-2</v>
      </c>
      <c r="G133" s="75">
        <f t="shared" si="38"/>
        <v>9.1586736092080026E-2</v>
      </c>
      <c r="H133" s="75">
        <f t="shared" si="38"/>
        <v>0.10328379192608958</v>
      </c>
      <c r="I133" s="75">
        <f t="shared" si="38"/>
        <v>0.14203795567287125</v>
      </c>
      <c r="J133" s="75">
        <f t="shared" si="38"/>
        <v>-6.4557264684785209E-3</v>
      </c>
      <c r="K133" s="75">
        <f t="shared" si="38"/>
        <v>4.6727097705759668E-2</v>
      </c>
      <c r="L133" s="75">
        <f t="shared" si="38"/>
        <v>5.7631145342376518E-2</v>
      </c>
      <c r="M133" s="75"/>
      <c r="N133" s="75"/>
      <c r="O133" s="75"/>
      <c r="P133" s="75"/>
    </row>
    <row r="134" spans="1:16" outlineLevel="1" x14ac:dyDescent="0.2">
      <c r="B134" s="12" t="s">
        <v>11</v>
      </c>
      <c r="C134" s="80"/>
      <c r="D134" s="75">
        <f t="shared" ref="D134:L134" si="39">IF(C10=0,
IF(D10=0,0,IF(D10&gt;0,1,-1)),
(D10-C10)/ABS(C10)
)</f>
        <v>0.10738891868476422</v>
      </c>
      <c r="E134" s="75">
        <f t="shared" si="39"/>
        <v>0.15270844199389016</v>
      </c>
      <c r="F134" s="75">
        <f t="shared" si="39"/>
        <v>0.11379722698038201</v>
      </c>
      <c r="G134" s="75">
        <f t="shared" si="39"/>
        <v>0.12204747257849226</v>
      </c>
      <c r="H134" s="75">
        <f t="shared" si="39"/>
        <v>0.13496948381090307</v>
      </c>
      <c r="I134" s="75">
        <f t="shared" si="39"/>
        <v>0.16993642764372138</v>
      </c>
      <c r="J134" s="75">
        <f t="shared" si="39"/>
        <v>6.8205278021228943E-2</v>
      </c>
      <c r="K134" s="75">
        <f t="shared" si="39"/>
        <v>4.7769249001768557E-2</v>
      </c>
      <c r="L134" s="75">
        <f t="shared" si="39"/>
        <v>8.1507647867471764E-2</v>
      </c>
      <c r="M134" s="75"/>
      <c r="N134" s="75"/>
      <c r="O134" s="75"/>
      <c r="P134" s="75"/>
    </row>
    <row r="135" spans="1:16" s="18" customFormat="1" outlineLevel="1" x14ac:dyDescent="0.2">
      <c r="A135" s="7"/>
      <c r="B135" s="17" t="s">
        <v>12</v>
      </c>
      <c r="C135" s="81"/>
      <c r="D135" s="76">
        <f t="shared" ref="D135:L135" si="40">IF(C11=0,
IF(D11=0,0,IF(D11&gt;0,1,-1)),
(D11-C11)/ABS(C11)
)</f>
        <v>2.1991203518592562E-2</v>
      </c>
      <c r="E135" s="76">
        <f t="shared" si="40"/>
        <v>0.15574465310380803</v>
      </c>
      <c r="F135" s="76">
        <f t="shared" si="40"/>
        <v>-9.8282038985584921E-2</v>
      </c>
      <c r="G135" s="76">
        <f t="shared" si="40"/>
        <v>3.6884091975598311E-2</v>
      </c>
      <c r="H135" s="76">
        <f t="shared" si="40"/>
        <v>0.64357048032826458</v>
      </c>
      <c r="I135" s="76">
        <f t="shared" si="40"/>
        <v>9.6265225013538444E-2</v>
      </c>
      <c r="J135" s="76">
        <f t="shared" si="40"/>
        <v>-4.3001749876503931E-2</v>
      </c>
      <c r="K135" s="76">
        <f t="shared" si="40"/>
        <v>7.799581805933456E-2</v>
      </c>
      <c r="L135" s="76">
        <f t="shared" si="40"/>
        <v>7.9811063498246987E-2</v>
      </c>
      <c r="M135" s="76"/>
      <c r="N135" s="76"/>
      <c r="O135" s="76"/>
      <c r="P135" s="76"/>
    </row>
    <row r="136" spans="1:16" s="77" customFormat="1" outlineLevel="1" x14ac:dyDescent="0.2">
      <c r="A136" s="7"/>
      <c r="B136" s="78" t="s">
        <v>13</v>
      </c>
      <c r="C136" s="81"/>
      <c r="D136" s="79">
        <f t="shared" ref="D136:L136" si="41">IF(C13=0,
IF(D13=0,0,IF(D13&gt;0,1,-1)),
(D13-C13)/ABS(C13)
)</f>
        <v>4.4271003063286192E-2</v>
      </c>
      <c r="E136" s="79">
        <f t="shared" si="41"/>
        <v>0.13752750081917334</v>
      </c>
      <c r="F136" s="79">
        <f t="shared" si="41"/>
        <v>-9.8294994719010195E-2</v>
      </c>
      <c r="G136" s="79">
        <f t="shared" si="41"/>
        <v>2.0597228349331427E-2</v>
      </c>
      <c r="H136" s="79">
        <f t="shared" si="41"/>
        <v>0.62774440685039723</v>
      </c>
      <c r="I136" s="79">
        <f t="shared" si="41"/>
        <v>9.0616901846951203E-2</v>
      </c>
      <c r="J136" s="79">
        <f t="shared" si="41"/>
        <v>-4.5061837233319059E-2</v>
      </c>
      <c r="K136" s="79">
        <f t="shared" si="41"/>
        <v>8.5716044172469585E-2</v>
      </c>
      <c r="L136" s="79">
        <f t="shared" si="41"/>
        <v>7.4859294651172206E-2</v>
      </c>
      <c r="M136" s="79"/>
      <c r="N136" s="79"/>
      <c r="O136" s="79"/>
      <c r="P136" s="79"/>
    </row>
    <row r="137" spans="1:16" s="77" customFormat="1" outlineLevel="1" x14ac:dyDescent="0.2">
      <c r="A137" s="7"/>
      <c r="B137" s="78" t="s">
        <v>14</v>
      </c>
      <c r="C137" s="81"/>
      <c r="D137" s="79">
        <f t="shared" ref="D137:L137" si="42">IF(C15=0,
IF(D15=0,0,IF(D15&gt;0,1,-1)),
(D15-C15)/ABS(C15)
)</f>
        <v>5.8309803664061986E-2</v>
      </c>
      <c r="E137" s="79">
        <f t="shared" si="42"/>
        <v>0.23122582780087278</v>
      </c>
      <c r="F137" s="79">
        <f t="shared" si="42"/>
        <v>-7.1811325191916811E-2</v>
      </c>
      <c r="G137" s="79">
        <f t="shared" si="42"/>
        <v>3.9000289561314606E-2</v>
      </c>
      <c r="H137" s="79">
        <f t="shared" si="42"/>
        <v>0.64916131055024295</v>
      </c>
      <c r="I137" s="79">
        <f t="shared" si="42"/>
        <v>5.4108576256865229E-2</v>
      </c>
      <c r="J137" s="79">
        <f t="shared" si="42"/>
        <v>-2.8135426790777834E-2</v>
      </c>
      <c r="K137" s="79">
        <f t="shared" si="42"/>
        <v>-3.3599670086086914E-2</v>
      </c>
      <c r="L137" s="79">
        <f t="shared" si="42"/>
        <v>0.19495177946573355</v>
      </c>
      <c r="M137" s="79"/>
      <c r="N137" s="79"/>
      <c r="O137" s="79"/>
      <c r="P137" s="79"/>
    </row>
    <row r="138" spans="1:16" x14ac:dyDescent="0.2">
      <c r="B138" s="1"/>
    </row>
    <row r="139" spans="1:16" s="14" customFormat="1" ht="17" thickBot="1" x14ac:dyDescent="0.25">
      <c r="A139" s="4"/>
      <c r="B139" s="15" t="s">
        <v>93</v>
      </c>
    </row>
    <row r="140" spans="1:16" outlineLevel="1" x14ac:dyDescent="0.2">
      <c r="B140" s="9" t="s">
        <v>94</v>
      </c>
      <c r="C140" s="75">
        <f t="shared" ref="C140:L140" si="43">C7/C5</f>
        <v>0.39075955648097049</v>
      </c>
      <c r="D140" s="75">
        <f t="shared" si="43"/>
        <v>0.38469860491899105</v>
      </c>
      <c r="E140" s="75">
        <f t="shared" si="43"/>
        <v>0.38343718820007905</v>
      </c>
      <c r="F140" s="75">
        <f t="shared" si="43"/>
        <v>0.37817768109034722</v>
      </c>
      <c r="G140" s="75">
        <f t="shared" si="43"/>
        <v>0.38233247727810865</v>
      </c>
      <c r="H140" s="75">
        <f t="shared" si="43"/>
        <v>0.41779359625167778</v>
      </c>
      <c r="I140" s="75">
        <f t="shared" si="43"/>
        <v>0.43309630561360085</v>
      </c>
      <c r="J140" s="75">
        <f t="shared" si="43"/>
        <v>0.44131129577207562</v>
      </c>
      <c r="K140" s="75">
        <f t="shared" si="43"/>
        <v>0.46206349815233932</v>
      </c>
      <c r="L140" s="75">
        <f t="shared" si="43"/>
        <v>0.46905164107160452</v>
      </c>
      <c r="M140" s="75"/>
      <c r="N140" s="75"/>
      <c r="O140" s="75"/>
      <c r="P140" s="75"/>
    </row>
    <row r="141" spans="1:16" outlineLevel="1" x14ac:dyDescent="0.2">
      <c r="B141" s="9" t="s">
        <v>95</v>
      </c>
      <c r="C141" s="75">
        <f t="shared" ref="C141:L141" si="44">C11/C5</f>
        <v>0.27835410106706115</v>
      </c>
      <c r="D141" s="75">
        <f t="shared" si="44"/>
        <v>0.26760428208729942</v>
      </c>
      <c r="E141" s="75">
        <f t="shared" si="44"/>
        <v>0.26694026619477024</v>
      </c>
      <c r="F141" s="75">
        <f t="shared" si="44"/>
        <v>0.24572017188496928</v>
      </c>
      <c r="G141" s="75">
        <f t="shared" si="44"/>
        <v>0.24147314354406862</v>
      </c>
      <c r="H141" s="75">
        <f t="shared" si="44"/>
        <v>0.29782377527561593</v>
      </c>
      <c r="I141" s="75">
        <f t="shared" si="44"/>
        <v>0.30288744395528594</v>
      </c>
      <c r="J141" s="75">
        <f t="shared" si="44"/>
        <v>0.29821412265024722</v>
      </c>
      <c r="K141" s="75">
        <f t="shared" si="44"/>
        <v>0.31510222870075566</v>
      </c>
      <c r="L141" s="75">
        <f t="shared" si="44"/>
        <v>0.31970799762591884</v>
      </c>
      <c r="M141" s="75"/>
      <c r="N141" s="75"/>
      <c r="O141" s="75"/>
      <c r="P141" s="75"/>
    </row>
    <row r="142" spans="1:16" s="84" customFormat="1" outlineLevel="1" x14ac:dyDescent="0.2">
      <c r="A142" s="1"/>
      <c r="B142" s="82" t="s">
        <v>96</v>
      </c>
      <c r="C142" s="83">
        <f t="shared" ref="C142:L142" si="45">C15/C5</f>
        <v>0.211867983064288</v>
      </c>
      <c r="D142" s="83">
        <f t="shared" si="45"/>
        <v>0.21092420845075338</v>
      </c>
      <c r="E142" s="83">
        <f t="shared" si="45"/>
        <v>0.22414202074587247</v>
      </c>
      <c r="F142" s="83">
        <f t="shared" si="45"/>
        <v>0.21238094505984456</v>
      </c>
      <c r="G142" s="83">
        <f t="shared" si="45"/>
        <v>0.20913611278072236</v>
      </c>
      <c r="H142" s="83">
        <f t="shared" si="45"/>
        <v>0.25881793355694238</v>
      </c>
      <c r="I142" s="83">
        <f t="shared" si="45"/>
        <v>0.25309640705199732</v>
      </c>
      <c r="J142" s="83">
        <f t="shared" si="45"/>
        <v>0.25306234264320282</v>
      </c>
      <c r="K142" s="83">
        <f t="shared" si="45"/>
        <v>0.23971255769943867</v>
      </c>
      <c r="L142" s="83">
        <f t="shared" si="45"/>
        <v>0.26915064121818238</v>
      </c>
      <c r="M142" s="83"/>
      <c r="N142" s="83"/>
      <c r="O142" s="83"/>
      <c r="P142" s="83"/>
    </row>
    <row r="143" spans="1:16" x14ac:dyDescent="0.2">
      <c r="B143" s="1"/>
    </row>
    <row r="144" spans="1:16" s="14" customFormat="1" ht="17" thickBot="1" x14ac:dyDescent="0.25">
      <c r="A144" s="4"/>
      <c r="B144" s="15" t="s">
        <v>118</v>
      </c>
    </row>
    <row r="145" spans="1:14" outlineLevel="1" x14ac:dyDescent="0.2">
      <c r="C145" s="34"/>
      <c r="D145" s="34"/>
      <c r="E145" s="34"/>
      <c r="F145" s="34"/>
      <c r="G145" s="34"/>
      <c r="H145" s="34"/>
      <c r="I145" s="34"/>
      <c r="J145" s="34"/>
      <c r="K145" s="34"/>
      <c r="L145" s="27"/>
      <c r="M145" s="27"/>
      <c r="N145" s="27"/>
    </row>
    <row r="146" spans="1:14" x14ac:dyDescent="0.2">
      <c r="B146" s="1"/>
    </row>
    <row r="147" spans="1:14" s="14" customFormat="1" ht="17" thickBot="1" x14ac:dyDescent="0.25">
      <c r="A147" s="4"/>
      <c r="B147" s="15" t="s">
        <v>117</v>
      </c>
    </row>
    <row r="148" spans="1:14" outlineLevel="1" x14ac:dyDescent="0.2">
      <c r="B148" s="9" t="s">
        <v>399</v>
      </c>
      <c r="C148" s="27">
        <v>86613</v>
      </c>
      <c r="D148" s="27">
        <v>96600</v>
      </c>
      <c r="E148" s="27">
        <v>112093</v>
      </c>
      <c r="F148" s="27">
        <v>116914</v>
      </c>
      <c r="G148" s="27">
        <v>124556</v>
      </c>
      <c r="H148" s="27">
        <v>153306</v>
      </c>
      <c r="I148" s="27">
        <v>169658</v>
      </c>
      <c r="J148" s="27">
        <v>162560</v>
      </c>
      <c r="K148" s="27">
        <v>167045</v>
      </c>
      <c r="L148" s="27">
        <v>178353</v>
      </c>
      <c r="M148" s="27"/>
    </row>
    <row r="149" spans="1:14" outlineLevel="1" x14ac:dyDescent="0.2">
      <c r="B149" s="9" t="s">
        <v>400</v>
      </c>
      <c r="C149" s="27">
        <v>49952</v>
      </c>
      <c r="D149" s="27">
        <v>54938</v>
      </c>
      <c r="E149" s="27">
        <v>62420</v>
      </c>
      <c r="F149" s="27">
        <v>60288</v>
      </c>
      <c r="G149" s="27">
        <v>68640</v>
      </c>
      <c r="H149" s="27">
        <v>89307</v>
      </c>
      <c r="I149" s="27">
        <v>95118</v>
      </c>
      <c r="J149" s="27">
        <v>94294</v>
      </c>
      <c r="K149" s="27">
        <v>101328</v>
      </c>
      <c r="L149" s="27">
        <v>111032</v>
      </c>
      <c r="M149" s="27"/>
    </row>
    <row r="150" spans="1:14" outlineLevel="1" x14ac:dyDescent="0.2">
      <c r="B150" s="9" t="s">
        <v>401</v>
      </c>
      <c r="C150" s="27">
        <v>48492</v>
      </c>
      <c r="D150" s="27">
        <v>44764</v>
      </c>
      <c r="E150" s="27">
        <v>51942</v>
      </c>
      <c r="F150" s="27">
        <v>43678</v>
      </c>
      <c r="G150" s="27">
        <v>40308</v>
      </c>
      <c r="H150" s="27">
        <v>68366</v>
      </c>
      <c r="I150" s="27">
        <v>74200</v>
      </c>
      <c r="J150" s="27">
        <v>72559</v>
      </c>
      <c r="K150" s="27">
        <v>66952</v>
      </c>
      <c r="L150" s="27">
        <v>64377</v>
      </c>
      <c r="M150" s="27"/>
    </row>
    <row r="151" spans="1:14" outlineLevel="1" x14ac:dyDescent="0.2">
      <c r="B151" s="9" t="s">
        <v>402</v>
      </c>
      <c r="C151" s="27">
        <v>16928</v>
      </c>
      <c r="D151" s="27">
        <v>17733</v>
      </c>
      <c r="E151" s="27">
        <v>21733</v>
      </c>
      <c r="F151" s="27">
        <v>21506</v>
      </c>
      <c r="G151" s="27">
        <v>21418</v>
      </c>
      <c r="H151" s="27">
        <v>28482</v>
      </c>
      <c r="I151" s="27">
        <v>25977</v>
      </c>
      <c r="J151" s="27">
        <v>24257</v>
      </c>
      <c r="K151" s="27">
        <v>25052</v>
      </c>
      <c r="L151" s="27">
        <v>28703</v>
      </c>
      <c r="M151" s="27"/>
    </row>
    <row r="152" spans="1:14" outlineLevel="1" x14ac:dyDescent="0.2">
      <c r="B152" s="9" t="s">
        <v>403</v>
      </c>
      <c r="C152" s="27">
        <v>13654</v>
      </c>
      <c r="D152" s="27">
        <v>15199</v>
      </c>
      <c r="E152" s="27">
        <v>17407</v>
      </c>
      <c r="F152" s="27">
        <v>17788</v>
      </c>
      <c r="G152" s="27">
        <v>19593</v>
      </c>
      <c r="H152" s="27">
        <v>26356</v>
      </c>
      <c r="I152" s="27">
        <v>29375</v>
      </c>
      <c r="J152" s="27">
        <v>29615</v>
      </c>
      <c r="K152" s="27">
        <v>30658</v>
      </c>
      <c r="L152" s="27">
        <v>33696</v>
      </c>
      <c r="M152" s="27"/>
    </row>
    <row r="153" spans="1:14" outlineLevel="1" x14ac:dyDescent="0.2"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</row>
    <row r="154" spans="1:14" outlineLevel="1" x14ac:dyDescent="0.2">
      <c r="B154" s="9" t="s">
        <v>404</v>
      </c>
      <c r="C154" s="27">
        <v>136700</v>
      </c>
      <c r="D154" s="27">
        <v>139337</v>
      </c>
      <c r="E154" s="27">
        <v>164888</v>
      </c>
      <c r="F154" s="27">
        <v>142381</v>
      </c>
      <c r="G154" s="27">
        <v>137781</v>
      </c>
      <c r="H154" s="27">
        <v>191973</v>
      </c>
      <c r="I154" s="27">
        <v>205489</v>
      </c>
      <c r="J154" s="27">
        <v>200583</v>
      </c>
      <c r="K154" s="27">
        <v>201183</v>
      </c>
      <c r="L154" s="27">
        <v>209586</v>
      </c>
      <c r="M154" s="27"/>
    </row>
    <row r="155" spans="1:14" outlineLevel="1" x14ac:dyDescent="0.2">
      <c r="B155" s="9" t="s">
        <v>405</v>
      </c>
      <c r="C155" s="27">
        <v>22831</v>
      </c>
      <c r="D155" s="27">
        <v>25569</v>
      </c>
      <c r="E155" s="27">
        <v>25198</v>
      </c>
      <c r="F155" s="27">
        <v>25740</v>
      </c>
      <c r="G155" s="27">
        <v>28622</v>
      </c>
      <c r="H155" s="27">
        <v>35190</v>
      </c>
      <c r="I155" s="27">
        <v>40177</v>
      </c>
      <c r="J155" s="27">
        <v>29357</v>
      </c>
      <c r="K155" s="27">
        <v>29984</v>
      </c>
      <c r="L155" s="27">
        <v>33708</v>
      </c>
      <c r="M155" s="27"/>
    </row>
    <row r="156" spans="1:14" outlineLevel="1" x14ac:dyDescent="0.2">
      <c r="B156" s="9" t="s">
        <v>406</v>
      </c>
      <c r="C156" s="27">
        <v>20628</v>
      </c>
      <c r="D156" s="27">
        <v>18802</v>
      </c>
      <c r="E156" s="27">
        <v>18380</v>
      </c>
      <c r="F156" s="27">
        <v>21280</v>
      </c>
      <c r="G156" s="27">
        <v>23724</v>
      </c>
      <c r="H156" s="27">
        <v>31862</v>
      </c>
      <c r="I156" s="27">
        <v>29292</v>
      </c>
      <c r="J156" s="27">
        <v>28300</v>
      </c>
      <c r="K156" s="27">
        <v>26694</v>
      </c>
      <c r="L156" s="27">
        <v>28023</v>
      </c>
      <c r="M156" s="27"/>
    </row>
    <row r="157" spans="1:14" outlineLevel="1" x14ac:dyDescent="0.2">
      <c r="B157" s="9" t="s">
        <v>407</v>
      </c>
      <c r="C157" s="27">
        <v>11132</v>
      </c>
      <c r="D157" s="27">
        <v>12826</v>
      </c>
      <c r="E157" s="27">
        <v>17381</v>
      </c>
      <c r="F157" s="27">
        <v>24482</v>
      </c>
      <c r="G157" s="27">
        <v>30620</v>
      </c>
      <c r="H157" s="27">
        <v>38367</v>
      </c>
      <c r="I157" s="27">
        <v>41241</v>
      </c>
      <c r="J157" s="27">
        <v>39845</v>
      </c>
      <c r="K157" s="27">
        <v>37005</v>
      </c>
      <c r="L157" s="27">
        <v>35686</v>
      </c>
      <c r="M157" s="27"/>
    </row>
    <row r="158" spans="1:14" outlineLevel="1" x14ac:dyDescent="0.2">
      <c r="B158" s="9" t="s">
        <v>408</v>
      </c>
      <c r="C158" s="27">
        <v>24348</v>
      </c>
      <c r="D158" s="27">
        <v>32700</v>
      </c>
      <c r="E158" s="27">
        <v>39748</v>
      </c>
      <c r="F158" s="27">
        <v>46291</v>
      </c>
      <c r="G158" s="27">
        <v>53768</v>
      </c>
      <c r="H158" s="27">
        <v>68425</v>
      </c>
      <c r="I158" s="27">
        <v>78129</v>
      </c>
      <c r="J158" s="27">
        <v>84200</v>
      </c>
      <c r="K158" s="27">
        <v>96169</v>
      </c>
      <c r="L158" s="27">
        <v>109158</v>
      </c>
      <c r="M158" s="27"/>
    </row>
    <row r="159" spans="1:14" outlineLevel="1" x14ac:dyDescent="0.2"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</row>
    <row r="160" spans="1:14" x14ac:dyDescent="0.2">
      <c r="B160" s="1"/>
    </row>
    <row r="161" spans="1:11" s="14" customFormat="1" ht="17" thickBot="1" x14ac:dyDescent="0.25">
      <c r="A161" s="4"/>
      <c r="B161" s="15" t="s">
        <v>119</v>
      </c>
    </row>
    <row r="162" spans="1:11" outlineLevel="1" x14ac:dyDescent="0.2">
      <c r="C162" s="88"/>
      <c r="D162" s="88"/>
      <c r="E162" s="88"/>
      <c r="F162" s="88"/>
      <c r="G162" s="88"/>
      <c r="H162" s="88"/>
      <c r="I162" s="88"/>
      <c r="J162" s="88"/>
      <c r="K162" s="88"/>
    </row>
    <row r="163" spans="1:11" x14ac:dyDescent="0.2">
      <c r="B163" s="1"/>
    </row>
  </sheetData>
  <pageMargins left="0.7" right="0.7" top="0.75" bottom="0.75" header="0.3" footer="0.3"/>
  <ignoredErrors>
    <ignoredError sqref="K36:L36 K46:L46 I36:J36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22"/>
  <sheetViews>
    <sheetView zoomScale="141" workbookViewId="0">
      <pane xSplit="2" ySplit="3" topLeftCell="C104" activePane="bottomRight" state="frozen"/>
      <selection pane="topRight" activeCell="C1" sqref="C1"/>
      <selection pane="bottomLeft" activeCell="A4" sqref="A4"/>
      <selection pane="bottomRight" activeCell="C100" sqref="C100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415</v>
      </c>
      <c r="D2" s="3" t="s">
        <v>413</v>
      </c>
      <c r="E2" s="3" t="s">
        <v>347</v>
      </c>
      <c r="F2" s="3" t="s">
        <v>411</v>
      </c>
      <c r="G2" s="3" t="s">
        <v>414</v>
      </c>
      <c r="H2" s="3" t="s">
        <v>412</v>
      </c>
      <c r="I2" s="37" t="s">
        <v>346</v>
      </c>
      <c r="J2" s="37" t="s">
        <v>409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69</v>
      </c>
      <c r="C3" s="3" t="s">
        <v>71</v>
      </c>
      <c r="D3" s="3" t="s">
        <v>72</v>
      </c>
      <c r="E3" s="3" t="s">
        <v>77</v>
      </c>
      <c r="F3" s="3" t="s">
        <v>70</v>
      </c>
      <c r="G3" s="3" t="s">
        <v>73</v>
      </c>
      <c r="H3" s="3" t="s">
        <v>74</v>
      </c>
      <c r="I3" s="37" t="s">
        <v>268</v>
      </c>
      <c r="J3" s="37" t="s">
        <v>410</v>
      </c>
      <c r="K3" s="4"/>
      <c r="L3" s="4"/>
      <c r="M3" s="4"/>
      <c r="N3" s="43"/>
      <c r="O3" s="4"/>
      <c r="P3" s="47" t="str">
        <f>I3</f>
        <v>Q4 2025</v>
      </c>
      <c r="Q3" s="5" t="str">
        <f>J3</f>
        <v>Q1 2026</v>
      </c>
      <c r="R3" s="48" t="s">
        <v>81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79</v>
      </c>
      <c r="O4" s="4"/>
      <c r="P4" s="208" t="s">
        <v>80</v>
      </c>
      <c r="Q4" s="209"/>
      <c r="R4" s="210"/>
      <c r="S4" s="4"/>
    </row>
    <row r="5" spans="1:19" s="18" customFormat="1" outlineLevel="1" x14ac:dyDescent="0.2">
      <c r="A5" s="7"/>
      <c r="B5" s="17" t="s">
        <v>6</v>
      </c>
      <c r="C5" s="51">
        <v>90753</v>
      </c>
      <c r="D5" s="51">
        <v>85777</v>
      </c>
      <c r="E5" s="51">
        <v>94930</v>
      </c>
      <c r="F5" s="51">
        <v>124300</v>
      </c>
      <c r="G5" s="51">
        <v>95359</v>
      </c>
      <c r="H5" s="51">
        <v>94036</v>
      </c>
      <c r="I5" s="51">
        <v>102466</v>
      </c>
      <c r="J5" s="51">
        <v>143756</v>
      </c>
      <c r="K5" s="21"/>
      <c r="L5" s="21"/>
      <c r="M5" s="21"/>
      <c r="N5" s="59">
        <f t="shared" ref="N5:N15" si="0">SUM(G5:J5)</f>
        <v>435617</v>
      </c>
      <c r="O5" s="7"/>
      <c r="P5" s="69">
        <f t="shared" ref="P5:P19" si="1">I5</f>
        <v>102466</v>
      </c>
      <c r="Q5" s="54">
        <f t="shared" ref="Q5:Q19" si="2">J5</f>
        <v>143756</v>
      </c>
      <c r="R5" s="66">
        <f t="shared" ref="R5:R19" si="3">IF(P5=0,
IF(Q5=0,0,IF(Q5&gt;0,1,-1)),
(Q5-P5)/ABS(P5)
)</f>
        <v>0.40296293404641542</v>
      </c>
      <c r="S5" s="7"/>
    </row>
    <row r="6" spans="1:19" outlineLevel="1" x14ac:dyDescent="0.2">
      <c r="B6" s="9" t="s">
        <v>7</v>
      </c>
      <c r="C6" s="27">
        <v>48482</v>
      </c>
      <c r="D6" s="27">
        <v>46099</v>
      </c>
      <c r="E6" s="27">
        <v>51051</v>
      </c>
      <c r="F6" s="27">
        <v>66025</v>
      </c>
      <c r="G6" s="27">
        <v>50492</v>
      </c>
      <c r="H6" s="27">
        <v>50318</v>
      </c>
      <c r="I6" s="27">
        <v>54125</v>
      </c>
      <c r="J6" s="27">
        <v>74525</v>
      </c>
      <c r="K6" s="20"/>
      <c r="L6" s="20"/>
      <c r="M6" s="20"/>
      <c r="N6" s="39">
        <f>SUM(G6:J6)</f>
        <v>229460</v>
      </c>
      <c r="P6" s="49">
        <f t="shared" si="1"/>
        <v>54125</v>
      </c>
      <c r="Q6" s="20">
        <f t="shared" si="2"/>
        <v>74525</v>
      </c>
      <c r="R6" s="50">
        <f t="shared" si="3"/>
        <v>0.37690531177829101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42271</v>
      </c>
      <c r="D7" s="54">
        <f>D5-D6</f>
        <v>39678</v>
      </c>
      <c r="E7" s="54">
        <f t="shared" ref="E7:I7" si="5">E5-E6</f>
        <v>43879</v>
      </c>
      <c r="F7" s="54">
        <f t="shared" si="5"/>
        <v>58275</v>
      </c>
      <c r="G7" s="54">
        <f t="shared" si="5"/>
        <v>44867</v>
      </c>
      <c r="H7" s="54">
        <f t="shared" si="5"/>
        <v>43718</v>
      </c>
      <c r="I7" s="54">
        <f t="shared" si="5"/>
        <v>48341</v>
      </c>
      <c r="J7" s="54">
        <f t="shared" ref="J7" si="6">J5-J6</f>
        <v>69231</v>
      </c>
      <c r="K7" s="21"/>
      <c r="L7" s="21"/>
      <c r="M7" s="21"/>
      <c r="N7" s="59">
        <f t="shared" si="0"/>
        <v>206157</v>
      </c>
      <c r="O7" s="7"/>
      <c r="P7" s="69">
        <f t="shared" si="1"/>
        <v>48341</v>
      </c>
      <c r="Q7" s="54">
        <f t="shared" si="2"/>
        <v>69231</v>
      </c>
      <c r="R7" s="66">
        <f t="shared" si="3"/>
        <v>0.43213835046854637</v>
      </c>
      <c r="S7" s="7"/>
    </row>
    <row r="8" spans="1:19" outlineLevel="1" x14ac:dyDescent="0.2">
      <c r="B8" s="9" t="s">
        <v>9</v>
      </c>
      <c r="C8" s="27">
        <v>7903</v>
      </c>
      <c r="D8" s="27">
        <v>8006</v>
      </c>
      <c r="E8" s="27">
        <v>7765</v>
      </c>
      <c r="F8" s="27">
        <v>8268</v>
      </c>
      <c r="G8" s="27">
        <v>8550</v>
      </c>
      <c r="H8" s="27">
        <v>8866</v>
      </c>
      <c r="I8" s="27">
        <v>8866</v>
      </c>
      <c r="J8" s="27">
        <v>10887</v>
      </c>
      <c r="K8" s="20"/>
      <c r="L8" s="20"/>
      <c r="M8" s="20"/>
      <c r="N8" s="39">
        <f t="shared" si="0"/>
        <v>37169</v>
      </c>
      <c r="P8" s="49">
        <f t="shared" si="1"/>
        <v>8866</v>
      </c>
      <c r="Q8" s="20">
        <f t="shared" si="2"/>
        <v>10887</v>
      </c>
      <c r="R8" s="50">
        <f t="shared" si="3"/>
        <v>0.22794946988495376</v>
      </c>
    </row>
    <row r="9" spans="1:19" s="8" customFormat="1" outlineLevel="1" x14ac:dyDescent="0.2">
      <c r="B9" s="12" t="s">
        <v>348</v>
      </c>
      <c r="C9" s="27">
        <v>6468</v>
      </c>
      <c r="D9" s="27">
        <v>6320</v>
      </c>
      <c r="E9" s="27">
        <v>6523</v>
      </c>
      <c r="F9" s="27">
        <v>7175</v>
      </c>
      <c r="G9" s="27">
        <v>6728</v>
      </c>
      <c r="H9" s="27">
        <v>6650</v>
      </c>
      <c r="I9" s="27">
        <v>7048</v>
      </c>
      <c r="J9" s="27">
        <v>7492</v>
      </c>
      <c r="K9" s="20"/>
      <c r="L9" s="20"/>
      <c r="M9" s="20"/>
      <c r="N9" s="39">
        <f t="shared" si="0"/>
        <v>27918</v>
      </c>
      <c r="P9" s="70">
        <f t="shared" si="1"/>
        <v>7048</v>
      </c>
      <c r="Q9" s="34">
        <f t="shared" si="2"/>
        <v>7492</v>
      </c>
      <c r="R9" s="67">
        <f t="shared" si="3"/>
        <v>6.2996594778660611E-2</v>
      </c>
    </row>
    <row r="10" spans="1:19" outlineLevel="1" x14ac:dyDescent="0.2">
      <c r="B10" s="12" t="s">
        <v>11</v>
      </c>
      <c r="C10" s="20">
        <f t="shared" ref="C10:J10" si="7">SUM(C8:C9)</f>
        <v>14371</v>
      </c>
      <c r="D10" s="20">
        <f t="shared" si="7"/>
        <v>14326</v>
      </c>
      <c r="E10" s="20">
        <f t="shared" si="7"/>
        <v>14288</v>
      </c>
      <c r="F10" s="20">
        <f t="shared" si="7"/>
        <v>15443</v>
      </c>
      <c r="G10" s="20">
        <f t="shared" si="7"/>
        <v>15278</v>
      </c>
      <c r="H10" s="20">
        <f t="shared" si="7"/>
        <v>15516</v>
      </c>
      <c r="I10" s="20">
        <f t="shared" si="7"/>
        <v>15914</v>
      </c>
      <c r="J10" s="20">
        <f t="shared" si="7"/>
        <v>18379</v>
      </c>
      <c r="K10" s="20"/>
      <c r="L10" s="20"/>
      <c r="M10" s="20"/>
      <c r="N10" s="39">
        <f t="shared" si="0"/>
        <v>65087</v>
      </c>
      <c r="P10" s="49">
        <f t="shared" si="1"/>
        <v>15914</v>
      </c>
      <c r="Q10" s="20">
        <f>J10</f>
        <v>18379</v>
      </c>
      <c r="R10" s="50">
        <f t="shared" si="3"/>
        <v>0.15489506095262034</v>
      </c>
    </row>
    <row r="11" spans="1:19" s="18" customFormat="1" outlineLevel="1" x14ac:dyDescent="0.2">
      <c r="A11" s="7"/>
      <c r="B11" s="17" t="s">
        <v>12</v>
      </c>
      <c r="C11" s="51">
        <v>27900</v>
      </c>
      <c r="D11" s="51">
        <v>25352</v>
      </c>
      <c r="E11" s="51">
        <v>29591</v>
      </c>
      <c r="F11" s="51">
        <v>42832</v>
      </c>
      <c r="G11" s="51">
        <v>29589</v>
      </c>
      <c r="H11" s="51">
        <v>28202</v>
      </c>
      <c r="I11" s="51">
        <v>32427</v>
      </c>
      <c r="J11" s="51">
        <v>50852</v>
      </c>
      <c r="K11" s="21"/>
      <c r="L11" s="21"/>
      <c r="M11" s="21"/>
      <c r="N11" s="59">
        <f t="shared" si="0"/>
        <v>141070</v>
      </c>
      <c r="O11" s="7"/>
      <c r="P11" s="69">
        <f t="shared" si="1"/>
        <v>32427</v>
      </c>
      <c r="Q11" s="54">
        <f t="shared" si="2"/>
        <v>50852</v>
      </c>
      <c r="R11" s="66">
        <f t="shared" si="3"/>
        <v>0.56819934005612605</v>
      </c>
      <c r="S11" s="7"/>
    </row>
    <row r="12" spans="1:19" outlineLevel="1" x14ac:dyDescent="0.2">
      <c r="B12" s="12" t="s">
        <v>299</v>
      </c>
      <c r="C12" s="27">
        <v>158</v>
      </c>
      <c r="D12" s="27">
        <v>142</v>
      </c>
      <c r="E12" s="27">
        <v>19</v>
      </c>
      <c r="F12" s="27">
        <v>-248</v>
      </c>
      <c r="G12" s="27">
        <v>-279</v>
      </c>
      <c r="H12" s="27">
        <v>-171</v>
      </c>
      <c r="I12" s="27">
        <v>377</v>
      </c>
      <c r="J12" s="27">
        <v>150</v>
      </c>
      <c r="K12" s="20"/>
      <c r="L12" s="20"/>
      <c r="M12" s="20"/>
      <c r="N12" s="39">
        <f t="shared" si="0"/>
        <v>77</v>
      </c>
      <c r="P12" s="49">
        <f t="shared" si="1"/>
        <v>377</v>
      </c>
      <c r="Q12" s="20">
        <f t="shared" si="2"/>
        <v>150</v>
      </c>
      <c r="R12" s="50">
        <f t="shared" si="3"/>
        <v>-0.60212201591511938</v>
      </c>
    </row>
    <row r="13" spans="1:19" s="18" customFormat="1" outlineLevel="1" x14ac:dyDescent="0.2">
      <c r="A13" s="7"/>
      <c r="B13" s="17" t="s">
        <v>13</v>
      </c>
      <c r="C13" s="51">
        <v>28058</v>
      </c>
      <c r="D13" s="51">
        <v>25494</v>
      </c>
      <c r="E13" s="51">
        <v>29610</v>
      </c>
      <c r="F13" s="51">
        <v>42584</v>
      </c>
      <c r="G13" s="51">
        <v>29310</v>
      </c>
      <c r="H13" s="51">
        <v>28031</v>
      </c>
      <c r="I13" s="51">
        <v>32804</v>
      </c>
      <c r="J13" s="51">
        <v>51002</v>
      </c>
      <c r="K13" s="21"/>
      <c r="L13" s="21"/>
      <c r="M13" s="21"/>
      <c r="N13" s="59">
        <f t="shared" si="0"/>
        <v>141147</v>
      </c>
      <c r="O13" s="7"/>
      <c r="P13" s="69">
        <f t="shared" si="1"/>
        <v>32804</v>
      </c>
      <c r="Q13" s="54">
        <f t="shared" si="2"/>
        <v>51002</v>
      </c>
      <c r="R13" s="66">
        <f t="shared" si="3"/>
        <v>0.55474942080234113</v>
      </c>
      <c r="S13" s="7"/>
    </row>
    <row r="14" spans="1:19" outlineLevel="1" x14ac:dyDescent="0.2">
      <c r="B14" s="12" t="s">
        <v>76</v>
      </c>
      <c r="C14" s="27">
        <v>-4422</v>
      </c>
      <c r="D14" s="27">
        <v>-4046</v>
      </c>
      <c r="E14" s="27">
        <v>-14874</v>
      </c>
      <c r="F14" s="27">
        <v>-6254</v>
      </c>
      <c r="G14" s="27">
        <v>-4530</v>
      </c>
      <c r="H14" s="27">
        <v>-4597</v>
      </c>
      <c r="I14" s="27">
        <v>-5338</v>
      </c>
      <c r="J14" s="27">
        <v>-8905</v>
      </c>
      <c r="K14" s="20"/>
      <c r="L14" s="20"/>
      <c r="M14" s="20"/>
      <c r="N14" s="39">
        <f t="shared" si="0"/>
        <v>-23370</v>
      </c>
      <c r="P14" s="49">
        <f t="shared" si="1"/>
        <v>-5338</v>
      </c>
      <c r="Q14" s="20">
        <f t="shared" si="2"/>
        <v>-8905</v>
      </c>
      <c r="R14" s="50">
        <f t="shared" si="3"/>
        <v>-0.6682278006744099</v>
      </c>
    </row>
    <row r="15" spans="1:19" s="18" customFormat="1" outlineLevel="1" x14ac:dyDescent="0.2">
      <c r="A15" s="7"/>
      <c r="B15" s="17" t="s">
        <v>14</v>
      </c>
      <c r="C15" s="51">
        <v>23636</v>
      </c>
      <c r="D15" s="51">
        <v>21448</v>
      </c>
      <c r="E15" s="51">
        <v>14736</v>
      </c>
      <c r="F15" s="51">
        <v>36330</v>
      </c>
      <c r="G15" s="51">
        <v>24780</v>
      </c>
      <c r="H15" s="51">
        <v>23434</v>
      </c>
      <c r="I15" s="51">
        <v>27466</v>
      </c>
      <c r="J15" s="51">
        <v>42097</v>
      </c>
      <c r="K15" s="21"/>
      <c r="L15" s="21"/>
      <c r="M15" s="21"/>
      <c r="N15" s="59">
        <f t="shared" si="0"/>
        <v>117777</v>
      </c>
      <c r="O15" s="7"/>
      <c r="P15" s="69">
        <f t="shared" si="1"/>
        <v>27466</v>
      </c>
      <c r="Q15" s="54">
        <f t="shared" si="2"/>
        <v>42097</v>
      </c>
      <c r="R15" s="66">
        <f t="shared" si="3"/>
        <v>0.53269496832447394</v>
      </c>
      <c r="S15" s="7"/>
    </row>
    <row r="16" spans="1:19" outlineLevel="1" x14ac:dyDescent="0.2">
      <c r="B16" s="12" t="s">
        <v>15</v>
      </c>
      <c r="C16" s="27">
        <v>15406</v>
      </c>
      <c r="D16" s="27">
        <v>15288</v>
      </c>
      <c r="E16" s="27">
        <v>15172</v>
      </c>
      <c r="F16" s="27">
        <v>15082</v>
      </c>
      <c r="G16" s="27">
        <v>14994</v>
      </c>
      <c r="H16" s="27">
        <v>14903</v>
      </c>
      <c r="I16" s="27">
        <v>14815</v>
      </c>
      <c r="J16" s="27">
        <v>14748</v>
      </c>
      <c r="K16" s="20"/>
      <c r="L16" s="20"/>
      <c r="M16" s="20"/>
      <c r="N16" s="39">
        <f>AVERAGE(G16:J16)</f>
        <v>14865</v>
      </c>
      <c r="P16" s="49">
        <f t="shared" si="1"/>
        <v>14815</v>
      </c>
      <c r="Q16" s="20">
        <f t="shared" si="2"/>
        <v>14748</v>
      </c>
      <c r="R16" s="50">
        <f t="shared" si="3"/>
        <v>-4.5224434694566317E-3</v>
      </c>
    </row>
    <row r="17" spans="1:19" outlineLevel="1" x14ac:dyDescent="0.2">
      <c r="B17" s="12" t="s">
        <v>16</v>
      </c>
      <c r="C17" s="27">
        <v>15465</v>
      </c>
      <c r="D17" s="27">
        <v>15348</v>
      </c>
      <c r="E17" s="27">
        <v>15242</v>
      </c>
      <c r="F17" s="27">
        <v>15151</v>
      </c>
      <c r="G17" s="27">
        <v>15056</v>
      </c>
      <c r="H17" s="27">
        <v>14948</v>
      </c>
      <c r="I17" s="27">
        <v>14864</v>
      </c>
      <c r="J17" s="27">
        <v>14810</v>
      </c>
      <c r="K17" s="20"/>
      <c r="L17" s="20"/>
      <c r="M17" s="20"/>
      <c r="N17" s="39">
        <f>AVERAGE((G17:J17))</f>
        <v>14919.5</v>
      </c>
      <c r="P17" s="49">
        <f t="shared" si="1"/>
        <v>14864</v>
      </c>
      <c r="Q17" s="20">
        <f t="shared" si="2"/>
        <v>14810</v>
      </c>
      <c r="R17" s="50">
        <f t="shared" si="3"/>
        <v>-3.6329386437029061E-3</v>
      </c>
    </row>
    <row r="18" spans="1:19" outlineLevel="1" x14ac:dyDescent="0.2">
      <c r="B18" s="12" t="s">
        <v>17</v>
      </c>
      <c r="C18" s="31">
        <v>1.53</v>
      </c>
      <c r="D18" s="31">
        <v>1.4</v>
      </c>
      <c r="E18" s="31">
        <v>0.97</v>
      </c>
      <c r="F18" s="31">
        <v>2.41</v>
      </c>
      <c r="G18" s="31">
        <v>1.65</v>
      </c>
      <c r="H18" s="31">
        <v>1.57</v>
      </c>
      <c r="I18" s="31">
        <v>1.85</v>
      </c>
      <c r="J18" s="31">
        <v>2.85</v>
      </c>
      <c r="K18" s="25"/>
      <c r="L18" s="25"/>
      <c r="M18" s="25"/>
      <c r="N18" s="40">
        <f>N15/N16</f>
        <v>7.9231079717457114</v>
      </c>
      <c r="P18" s="71">
        <f t="shared" si="1"/>
        <v>1.85</v>
      </c>
      <c r="Q18" s="72">
        <f t="shared" si="2"/>
        <v>2.85</v>
      </c>
      <c r="R18" s="50">
        <f t="shared" si="3"/>
        <v>0.54054054054054046</v>
      </c>
    </row>
    <row r="19" spans="1:19" s="16" customFormat="1" ht="17" outlineLevel="1" thickBot="1" x14ac:dyDescent="0.25">
      <c r="A19" s="1"/>
      <c r="B19" s="10" t="s">
        <v>18</v>
      </c>
      <c r="C19" s="32">
        <v>1.53</v>
      </c>
      <c r="D19" s="32">
        <v>1.4</v>
      </c>
      <c r="E19" s="32">
        <v>0.97</v>
      </c>
      <c r="F19" s="32">
        <v>2.4</v>
      </c>
      <c r="G19" s="32">
        <v>1.65</v>
      </c>
      <c r="H19" s="32">
        <v>1.57</v>
      </c>
      <c r="I19" s="32">
        <v>1.85</v>
      </c>
      <c r="J19" s="32">
        <v>2.84</v>
      </c>
      <c r="K19" s="25"/>
      <c r="L19" s="25"/>
      <c r="M19" s="25"/>
      <c r="N19" s="41">
        <f>N15/N17</f>
        <v>7.8941653540668257</v>
      </c>
      <c r="O19" s="1"/>
      <c r="P19" s="73">
        <f t="shared" si="1"/>
        <v>1.85</v>
      </c>
      <c r="Q19" s="74">
        <f t="shared" si="2"/>
        <v>2.84</v>
      </c>
      <c r="R19" s="68">
        <f t="shared" si="3"/>
        <v>0.535135135135135</v>
      </c>
      <c r="S19" s="1"/>
    </row>
    <row r="20" spans="1:19" s="16" customFormat="1" ht="17" thickBot="1" x14ac:dyDescent="0.25">
      <c r="A20" s="1"/>
      <c r="B20" s="6"/>
      <c r="E20" s="6"/>
      <c r="F20" s="6"/>
      <c r="G20" s="6"/>
      <c r="H20" s="6"/>
      <c r="I20" s="6"/>
      <c r="J20" s="8"/>
      <c r="K20" s="8"/>
      <c r="L20" s="8"/>
      <c r="M20" s="8"/>
      <c r="O20" s="1"/>
      <c r="S20" s="1"/>
    </row>
    <row r="21" spans="1:19" s="14" customFormat="1" ht="17" thickBot="1" x14ac:dyDescent="0.25">
      <c r="A21" s="4"/>
      <c r="B21" s="15" t="s">
        <v>19</v>
      </c>
      <c r="I21" s="165"/>
      <c r="J21" s="165"/>
      <c r="K21" s="4"/>
      <c r="L21" s="4"/>
      <c r="M21" s="4"/>
      <c r="O21" s="4"/>
      <c r="S21" s="4"/>
    </row>
    <row r="22" spans="1:19" outlineLevel="1" x14ac:dyDescent="0.2">
      <c r="B22" s="9" t="s">
        <v>20</v>
      </c>
      <c r="C22" s="27">
        <v>32695</v>
      </c>
      <c r="D22" s="27">
        <v>25565</v>
      </c>
      <c r="E22" s="27">
        <v>29943</v>
      </c>
      <c r="F22" s="27">
        <v>30299</v>
      </c>
      <c r="G22" s="27">
        <v>28162</v>
      </c>
      <c r="H22" s="27">
        <v>36269</v>
      </c>
      <c r="I22" s="27">
        <v>35934</v>
      </c>
      <c r="J22" s="27">
        <v>45317</v>
      </c>
      <c r="K22" s="20"/>
      <c r="L22" s="20"/>
      <c r="M22" s="20"/>
      <c r="N22" s="20">
        <f>J22</f>
        <v>45317</v>
      </c>
    </row>
    <row r="23" spans="1:19" outlineLevel="1" x14ac:dyDescent="0.2">
      <c r="B23" s="9" t="s">
        <v>364</v>
      </c>
      <c r="C23" s="27">
        <v>34455</v>
      </c>
      <c r="D23" s="27">
        <v>36236</v>
      </c>
      <c r="E23" s="27">
        <v>35228</v>
      </c>
      <c r="F23" s="27">
        <v>23476</v>
      </c>
      <c r="G23" s="27">
        <v>20336</v>
      </c>
      <c r="H23" s="27">
        <v>19103</v>
      </c>
      <c r="I23" s="27">
        <v>18763</v>
      </c>
      <c r="J23" s="27">
        <v>21590</v>
      </c>
      <c r="K23" s="20"/>
      <c r="L23" s="20"/>
      <c r="M23" s="20"/>
      <c r="N23" s="20">
        <f t="shared" ref="N23:N48" si="8">J23</f>
        <v>21590</v>
      </c>
    </row>
    <row r="24" spans="1:19" outlineLevel="1" x14ac:dyDescent="0.2">
      <c r="B24" s="9" t="s">
        <v>21</v>
      </c>
      <c r="C24" s="27">
        <v>21837</v>
      </c>
      <c r="D24" s="27">
        <v>22795</v>
      </c>
      <c r="E24" s="27">
        <v>33410</v>
      </c>
      <c r="F24" s="27">
        <v>29639</v>
      </c>
      <c r="G24" s="27">
        <v>26136</v>
      </c>
      <c r="H24" s="27">
        <v>27557</v>
      </c>
      <c r="I24" s="27">
        <v>39777</v>
      </c>
      <c r="J24" s="27">
        <v>39921</v>
      </c>
      <c r="K24" s="20"/>
      <c r="L24" s="20"/>
      <c r="M24" s="20"/>
      <c r="N24" s="20">
        <f t="shared" si="8"/>
        <v>39921</v>
      </c>
    </row>
    <row r="25" spans="1:19" outlineLevel="1" x14ac:dyDescent="0.2">
      <c r="B25" s="9" t="s">
        <v>365</v>
      </c>
      <c r="C25" s="27">
        <v>19313</v>
      </c>
      <c r="D25" s="27">
        <v>20377</v>
      </c>
      <c r="E25" s="27">
        <v>32833</v>
      </c>
      <c r="F25" s="27">
        <v>29667</v>
      </c>
      <c r="G25" s="27">
        <v>23662</v>
      </c>
      <c r="H25" s="27">
        <v>19278</v>
      </c>
      <c r="I25" s="27">
        <v>33180</v>
      </c>
      <c r="J25" s="27">
        <v>30399</v>
      </c>
      <c r="K25" s="20"/>
      <c r="L25" s="20"/>
      <c r="M25" s="20"/>
      <c r="N25" s="20">
        <f t="shared" si="8"/>
        <v>30399</v>
      </c>
    </row>
    <row r="26" spans="1:19" outlineLevel="1" x14ac:dyDescent="0.2">
      <c r="B26" s="9" t="s">
        <v>366</v>
      </c>
      <c r="C26" s="27">
        <v>6232</v>
      </c>
      <c r="D26" s="27">
        <v>6165</v>
      </c>
      <c r="E26" s="27">
        <v>7286</v>
      </c>
      <c r="F26" s="27">
        <v>6911</v>
      </c>
      <c r="G26" s="27">
        <v>6269</v>
      </c>
      <c r="H26" s="27">
        <v>5925</v>
      </c>
      <c r="I26" s="27">
        <v>5718</v>
      </c>
      <c r="J26" s="27">
        <v>5875</v>
      </c>
      <c r="K26" s="20"/>
      <c r="L26" s="20"/>
      <c r="M26" s="20"/>
      <c r="N26" s="20">
        <f t="shared" si="8"/>
        <v>5875</v>
      </c>
    </row>
    <row r="27" spans="1:19" outlineLevel="1" x14ac:dyDescent="0.2">
      <c r="B27" s="9" t="s">
        <v>367</v>
      </c>
      <c r="C27" s="27">
        <v>13884</v>
      </c>
      <c r="D27" s="27">
        <v>14297</v>
      </c>
      <c r="E27" s="27">
        <v>14287</v>
      </c>
      <c r="F27" s="27">
        <v>13248</v>
      </c>
      <c r="G27" s="27">
        <v>14109</v>
      </c>
      <c r="H27" s="27">
        <v>14359</v>
      </c>
      <c r="I27" s="27">
        <v>14585</v>
      </c>
      <c r="J27" s="27">
        <v>15002</v>
      </c>
      <c r="K27" s="20"/>
      <c r="L27" s="20"/>
      <c r="M27" s="20"/>
      <c r="N27" s="20">
        <f t="shared" si="8"/>
        <v>15002</v>
      </c>
    </row>
    <row r="28" spans="1:19" s="7" customFormat="1" outlineLevel="1" x14ac:dyDescent="0.2">
      <c r="B28" s="11" t="s">
        <v>22</v>
      </c>
      <c r="C28" s="55">
        <v>128416</v>
      </c>
      <c r="D28" s="55">
        <v>125435</v>
      </c>
      <c r="E28" s="55">
        <v>152987</v>
      </c>
      <c r="F28" s="55">
        <v>133240</v>
      </c>
      <c r="G28" s="55">
        <v>118674</v>
      </c>
      <c r="H28" s="55">
        <v>122491</v>
      </c>
      <c r="I28" s="55">
        <v>147957</v>
      </c>
      <c r="J28" s="55">
        <v>158104</v>
      </c>
      <c r="K28" s="21"/>
      <c r="L28" s="21"/>
      <c r="M28" s="21"/>
      <c r="N28" s="85">
        <f t="shared" si="8"/>
        <v>158104</v>
      </c>
    </row>
    <row r="29" spans="1:19" outlineLevel="1" x14ac:dyDescent="0.2">
      <c r="B29" s="9" t="s">
        <v>364</v>
      </c>
      <c r="C29" s="27">
        <v>95187</v>
      </c>
      <c r="D29" s="27">
        <v>91240</v>
      </c>
      <c r="E29" s="27">
        <v>91479</v>
      </c>
      <c r="F29" s="27">
        <v>87593</v>
      </c>
      <c r="G29" s="27">
        <v>84424</v>
      </c>
      <c r="H29" s="27">
        <v>77614</v>
      </c>
      <c r="I29" s="27">
        <v>77723</v>
      </c>
      <c r="J29" s="27">
        <v>77888</v>
      </c>
      <c r="K29" s="20"/>
      <c r="L29" s="20"/>
      <c r="M29" s="20"/>
      <c r="N29" s="20">
        <f t="shared" si="8"/>
        <v>77888</v>
      </c>
    </row>
    <row r="30" spans="1:19" outlineLevel="1" x14ac:dyDescent="0.2">
      <c r="B30" s="9" t="s">
        <v>24</v>
      </c>
      <c r="C30" s="27">
        <v>43546</v>
      </c>
      <c r="D30" s="27">
        <v>44502</v>
      </c>
      <c r="E30" s="27">
        <v>45680</v>
      </c>
      <c r="F30" s="27">
        <v>46069</v>
      </c>
      <c r="G30" s="27">
        <v>46876</v>
      </c>
      <c r="H30" s="27">
        <v>48508</v>
      </c>
      <c r="I30" s="27">
        <v>49834</v>
      </c>
      <c r="J30" s="27">
        <v>50159</v>
      </c>
      <c r="K30" s="20"/>
      <c r="L30" s="20"/>
      <c r="M30" s="20"/>
      <c r="N30" s="20">
        <f t="shared" si="8"/>
        <v>50159</v>
      </c>
    </row>
    <row r="31" spans="1:19" outlineLevel="1" x14ac:dyDescent="0.2">
      <c r="B31" s="9" t="s">
        <v>26</v>
      </c>
      <c r="C31" s="27">
        <v>70262</v>
      </c>
      <c r="D31" s="27">
        <v>70435</v>
      </c>
      <c r="E31" s="27">
        <v>74834</v>
      </c>
      <c r="F31" s="27">
        <v>77183</v>
      </c>
      <c r="G31" s="27">
        <v>81259</v>
      </c>
      <c r="H31" s="27">
        <v>82882</v>
      </c>
      <c r="I31" s="27">
        <v>83727</v>
      </c>
      <c r="J31" s="27">
        <v>93146</v>
      </c>
      <c r="K31" s="20"/>
      <c r="L31" s="20"/>
      <c r="M31" s="20"/>
      <c r="N31" s="20">
        <f t="shared" si="8"/>
        <v>93146</v>
      </c>
    </row>
    <row r="32" spans="1:19" s="7" customFormat="1" outlineLevel="1" x14ac:dyDescent="0.2">
      <c r="B32" s="11" t="s">
        <v>27</v>
      </c>
      <c r="C32" s="56">
        <f t="shared" ref="C32:J32" si="9">SUM(C29:C31)</f>
        <v>208995</v>
      </c>
      <c r="D32" s="56">
        <f t="shared" si="9"/>
        <v>206177</v>
      </c>
      <c r="E32" s="56">
        <f t="shared" si="9"/>
        <v>211993</v>
      </c>
      <c r="F32" s="56">
        <f t="shared" si="9"/>
        <v>210845</v>
      </c>
      <c r="G32" s="56">
        <f t="shared" si="9"/>
        <v>212559</v>
      </c>
      <c r="H32" s="56">
        <f t="shared" si="9"/>
        <v>209004</v>
      </c>
      <c r="I32" s="56">
        <f t="shared" si="9"/>
        <v>211284</v>
      </c>
      <c r="J32" s="56">
        <f t="shared" si="9"/>
        <v>221193</v>
      </c>
      <c r="K32" s="21"/>
      <c r="L32" s="21"/>
      <c r="M32" s="21"/>
      <c r="N32" s="86">
        <f t="shared" si="8"/>
        <v>221193</v>
      </c>
    </row>
    <row r="33" spans="1:19" s="18" customFormat="1" outlineLevel="1" x14ac:dyDescent="0.2">
      <c r="A33" s="7"/>
      <c r="B33" s="17" t="s">
        <v>28</v>
      </c>
      <c r="C33" s="51">
        <v>337411</v>
      </c>
      <c r="D33" s="51">
        <v>331612</v>
      </c>
      <c r="E33" s="51">
        <v>364980</v>
      </c>
      <c r="F33" s="51">
        <v>344085</v>
      </c>
      <c r="G33" s="51">
        <v>331233</v>
      </c>
      <c r="H33" s="51">
        <v>331495</v>
      </c>
      <c r="I33" s="51">
        <v>359241</v>
      </c>
      <c r="J33" s="51">
        <v>379297</v>
      </c>
      <c r="K33" s="21"/>
      <c r="L33" s="21"/>
      <c r="M33" s="21"/>
      <c r="N33" s="60">
        <f t="shared" si="8"/>
        <v>379297</v>
      </c>
      <c r="O33" s="7"/>
      <c r="S33" s="7"/>
    </row>
    <row r="34" spans="1:19" outlineLevel="1" x14ac:dyDescent="0.2">
      <c r="B34" s="9" t="s">
        <v>29</v>
      </c>
      <c r="C34" s="27">
        <v>45753</v>
      </c>
      <c r="D34" s="27">
        <v>47574</v>
      </c>
      <c r="E34" s="27">
        <v>68960</v>
      </c>
      <c r="F34" s="27">
        <v>61910</v>
      </c>
      <c r="G34" s="27">
        <v>54126</v>
      </c>
      <c r="H34" s="27">
        <v>50374</v>
      </c>
      <c r="I34" s="27">
        <v>69860</v>
      </c>
      <c r="J34" s="27">
        <v>70587</v>
      </c>
      <c r="K34" s="20"/>
      <c r="L34" s="20"/>
      <c r="M34" s="20"/>
      <c r="N34" s="20">
        <f t="shared" si="8"/>
        <v>70587</v>
      </c>
    </row>
    <row r="35" spans="1:19" outlineLevel="1" x14ac:dyDescent="0.2">
      <c r="B35" s="9" t="s">
        <v>368</v>
      </c>
      <c r="C35" s="27">
        <v>57298</v>
      </c>
      <c r="D35" s="27">
        <v>60889</v>
      </c>
      <c r="E35" s="27">
        <v>78304</v>
      </c>
      <c r="F35" s="27">
        <v>61151</v>
      </c>
      <c r="G35" s="27">
        <v>61849</v>
      </c>
      <c r="H35" s="27">
        <v>62499</v>
      </c>
      <c r="I35" s="27">
        <v>66387</v>
      </c>
      <c r="J35" s="27">
        <v>68543</v>
      </c>
      <c r="K35" s="20"/>
      <c r="L35" s="20"/>
      <c r="M35" s="20"/>
      <c r="N35" s="20">
        <f t="shared" si="8"/>
        <v>68543</v>
      </c>
    </row>
    <row r="36" spans="1:19" outlineLevel="1" x14ac:dyDescent="0.2">
      <c r="B36" s="9" t="s">
        <v>101</v>
      </c>
      <c r="C36" s="27">
        <v>8012</v>
      </c>
      <c r="D36" s="27">
        <v>8053</v>
      </c>
      <c r="E36" s="27">
        <v>8249</v>
      </c>
      <c r="F36" s="27">
        <v>8461</v>
      </c>
      <c r="G36" s="27">
        <v>8976</v>
      </c>
      <c r="H36" s="27">
        <v>8979</v>
      </c>
      <c r="I36" s="27">
        <v>9055</v>
      </c>
      <c r="J36" s="27">
        <v>9413</v>
      </c>
      <c r="K36" s="20"/>
      <c r="L36" s="20"/>
      <c r="M36" s="20"/>
      <c r="N36" s="20">
        <f t="shared" si="8"/>
        <v>9413</v>
      </c>
    </row>
    <row r="37" spans="1:19" outlineLevel="1" x14ac:dyDescent="0.2">
      <c r="B37" s="9" t="s">
        <v>369</v>
      </c>
      <c r="C37" s="27">
        <v>1997</v>
      </c>
      <c r="D37" s="27">
        <v>2994</v>
      </c>
      <c r="E37" s="27">
        <v>9967</v>
      </c>
      <c r="F37" s="27">
        <v>1995</v>
      </c>
      <c r="G37" s="27">
        <v>5982</v>
      </c>
      <c r="H37" s="27">
        <v>9923</v>
      </c>
      <c r="I37" s="27">
        <v>7979</v>
      </c>
      <c r="J37" s="27">
        <v>1997</v>
      </c>
      <c r="K37" s="20"/>
      <c r="L37" s="20"/>
      <c r="M37" s="20"/>
      <c r="N37" s="20">
        <f t="shared" si="8"/>
        <v>1997</v>
      </c>
    </row>
    <row r="38" spans="1:19" outlineLevel="1" x14ac:dyDescent="0.2">
      <c r="B38" s="9" t="s">
        <v>370</v>
      </c>
      <c r="C38" s="27">
        <v>10762</v>
      </c>
      <c r="D38" s="27">
        <v>12114</v>
      </c>
      <c r="E38" s="27">
        <v>10912</v>
      </c>
      <c r="F38" s="27">
        <v>10848</v>
      </c>
      <c r="G38" s="27">
        <v>13638</v>
      </c>
      <c r="H38" s="27">
        <v>9345</v>
      </c>
      <c r="I38" s="27">
        <v>12350</v>
      </c>
      <c r="J38" s="27">
        <v>11827</v>
      </c>
      <c r="K38" s="20"/>
      <c r="L38" s="20"/>
      <c r="M38" s="20"/>
      <c r="N38" s="20">
        <f t="shared" si="8"/>
        <v>11827</v>
      </c>
    </row>
    <row r="39" spans="1:19" s="7" customFormat="1" outlineLevel="1" x14ac:dyDescent="0.2">
      <c r="B39" s="11" t="s">
        <v>32</v>
      </c>
      <c r="C39" s="55">
        <v>123822</v>
      </c>
      <c r="D39" s="55">
        <v>131624</v>
      </c>
      <c r="E39" s="55">
        <v>176392</v>
      </c>
      <c r="F39" s="55">
        <v>144365</v>
      </c>
      <c r="G39" s="55">
        <v>144571</v>
      </c>
      <c r="H39" s="55">
        <v>141120</v>
      </c>
      <c r="I39" s="55">
        <v>165361</v>
      </c>
      <c r="J39" s="55">
        <v>162367</v>
      </c>
      <c r="K39" s="21"/>
      <c r="L39" s="21"/>
      <c r="M39" s="21"/>
      <c r="N39" s="85">
        <f t="shared" si="8"/>
        <v>162367</v>
      </c>
    </row>
    <row r="40" spans="1:19" outlineLevel="1" x14ac:dyDescent="0.2">
      <c r="B40" s="9" t="s">
        <v>370</v>
      </c>
      <c r="C40" s="27">
        <v>91831</v>
      </c>
      <c r="D40" s="27">
        <v>86196</v>
      </c>
      <c r="E40" s="27">
        <v>85750</v>
      </c>
      <c r="F40" s="27">
        <v>83956</v>
      </c>
      <c r="G40" s="27">
        <v>78566</v>
      </c>
      <c r="H40" s="27">
        <v>82430</v>
      </c>
      <c r="I40" s="27">
        <v>78328</v>
      </c>
      <c r="J40" s="27">
        <v>76685</v>
      </c>
      <c r="K40" s="20"/>
      <c r="L40" s="20"/>
      <c r="M40" s="20"/>
      <c r="N40" s="20">
        <f t="shared" si="8"/>
        <v>76685</v>
      </c>
    </row>
    <row r="41" spans="1:19" outlineLevel="1" x14ac:dyDescent="0.2">
      <c r="B41" s="9" t="s">
        <v>371</v>
      </c>
      <c r="C41" s="27">
        <v>47564</v>
      </c>
      <c r="D41" s="27">
        <v>47084</v>
      </c>
      <c r="E41" s="27">
        <v>45888</v>
      </c>
      <c r="F41" s="27">
        <v>49006</v>
      </c>
      <c r="G41" s="27">
        <v>41300</v>
      </c>
      <c r="H41" s="27">
        <v>42115</v>
      </c>
      <c r="I41" s="27">
        <v>41549</v>
      </c>
      <c r="J41" s="27">
        <v>52055</v>
      </c>
      <c r="K41" s="20"/>
      <c r="L41" s="20"/>
      <c r="M41" s="20"/>
      <c r="N41" s="20">
        <f t="shared" si="8"/>
        <v>52055</v>
      </c>
    </row>
    <row r="42" spans="1:19" s="7" customFormat="1" outlineLevel="1" x14ac:dyDescent="0.2">
      <c r="B42" s="11" t="s">
        <v>30</v>
      </c>
      <c r="C42" s="56">
        <f t="shared" ref="C42:I42" si="10">SUM(C40:C41)</f>
        <v>139395</v>
      </c>
      <c r="D42" s="56">
        <f t="shared" si="10"/>
        <v>133280</v>
      </c>
      <c r="E42" s="56">
        <f t="shared" si="10"/>
        <v>131638</v>
      </c>
      <c r="F42" s="56">
        <f t="shared" si="10"/>
        <v>132962</v>
      </c>
      <c r="G42" s="56">
        <f t="shared" si="10"/>
        <v>119866</v>
      </c>
      <c r="H42" s="56">
        <f t="shared" si="10"/>
        <v>124545</v>
      </c>
      <c r="I42" s="56">
        <f t="shared" si="10"/>
        <v>119877</v>
      </c>
      <c r="J42" s="56">
        <f t="shared" ref="J42" si="11">SUM(J40:J41)</f>
        <v>128740</v>
      </c>
      <c r="K42" s="21"/>
      <c r="L42" s="21"/>
      <c r="M42" s="21"/>
      <c r="N42" s="20">
        <f t="shared" si="8"/>
        <v>128740</v>
      </c>
    </row>
    <row r="43" spans="1:19" s="18" customFormat="1" outlineLevel="1" x14ac:dyDescent="0.2">
      <c r="A43" s="7"/>
      <c r="B43" s="17" t="s">
        <v>31</v>
      </c>
      <c r="C43" s="51">
        <v>263217</v>
      </c>
      <c r="D43" s="51">
        <v>264904</v>
      </c>
      <c r="E43" s="51">
        <v>308030</v>
      </c>
      <c r="F43" s="51">
        <v>277327</v>
      </c>
      <c r="G43" s="51">
        <v>264437</v>
      </c>
      <c r="H43" s="51">
        <v>265665</v>
      </c>
      <c r="I43" s="51">
        <v>285508</v>
      </c>
      <c r="J43" s="51">
        <v>291107</v>
      </c>
      <c r="K43" s="21"/>
      <c r="L43" s="21"/>
      <c r="M43" s="21"/>
      <c r="N43" s="60">
        <f t="shared" si="8"/>
        <v>291107</v>
      </c>
      <c r="O43" s="7"/>
      <c r="S43" s="7"/>
    </row>
    <row r="44" spans="1:19" outlineLevel="1" x14ac:dyDescent="0.2">
      <c r="B44" s="9" t="s">
        <v>33</v>
      </c>
      <c r="C44" s="27">
        <v>78815</v>
      </c>
      <c r="D44" s="27">
        <v>79850</v>
      </c>
      <c r="E44" s="27">
        <v>83276</v>
      </c>
      <c r="F44" s="27">
        <v>84768</v>
      </c>
      <c r="G44" s="27">
        <v>88711</v>
      </c>
      <c r="H44" s="27">
        <v>89806</v>
      </c>
      <c r="I44" s="27">
        <v>93568</v>
      </c>
      <c r="J44" s="27">
        <v>95221</v>
      </c>
      <c r="K44" s="20"/>
      <c r="L44" s="20"/>
      <c r="M44" s="20"/>
      <c r="N44" s="20">
        <f t="shared" si="8"/>
        <v>95221</v>
      </c>
    </row>
    <row r="45" spans="1:19" outlineLevel="1" x14ac:dyDescent="0.2">
      <c r="B45" s="9" t="s">
        <v>104</v>
      </c>
      <c r="C45" s="27">
        <v>4339</v>
      </c>
      <c r="D45" s="27">
        <v>-4726</v>
      </c>
      <c r="E45" s="27">
        <v>-19154</v>
      </c>
      <c r="F45" s="27">
        <v>-11221</v>
      </c>
      <c r="G45" s="27">
        <v>-15552</v>
      </c>
      <c r="H45" s="27">
        <v>-17607</v>
      </c>
      <c r="I45" s="27">
        <v>-14264</v>
      </c>
      <c r="J45" s="27">
        <v>-2177</v>
      </c>
      <c r="K45" s="20"/>
      <c r="L45" s="20"/>
      <c r="M45" s="20"/>
      <c r="N45" s="20">
        <f t="shared" si="8"/>
        <v>-2177</v>
      </c>
    </row>
    <row r="46" spans="1:19" outlineLevel="1" x14ac:dyDescent="0.2">
      <c r="B46" s="9" t="s">
        <v>34</v>
      </c>
      <c r="C46" s="27">
        <v>-8960</v>
      </c>
      <c r="D46" s="27">
        <v>-8416</v>
      </c>
      <c r="E46" s="27">
        <v>-7172</v>
      </c>
      <c r="F46" s="27">
        <v>-6789</v>
      </c>
      <c r="G46" s="27">
        <v>-6363</v>
      </c>
      <c r="H46" s="27">
        <v>-6369</v>
      </c>
      <c r="I46" s="27">
        <v>-5571</v>
      </c>
      <c r="J46" s="27">
        <v>-4854</v>
      </c>
      <c r="K46" s="20"/>
      <c r="L46" s="20"/>
      <c r="M46" s="20"/>
      <c r="N46" s="20">
        <f t="shared" si="8"/>
        <v>-4854</v>
      </c>
    </row>
    <row r="47" spans="1:19" s="7" customFormat="1" outlineLevel="1" x14ac:dyDescent="0.2">
      <c r="B47" s="11" t="s">
        <v>35</v>
      </c>
      <c r="C47" s="55">
        <v>74194</v>
      </c>
      <c r="D47" s="55">
        <v>66708</v>
      </c>
      <c r="E47" s="55">
        <v>56950</v>
      </c>
      <c r="F47" s="55">
        <v>66758</v>
      </c>
      <c r="G47" s="55">
        <v>66796</v>
      </c>
      <c r="H47" s="55">
        <v>65830</v>
      </c>
      <c r="I47" s="55">
        <v>73733</v>
      </c>
      <c r="J47" s="55">
        <v>88190</v>
      </c>
      <c r="K47" s="21"/>
      <c r="L47" s="21"/>
      <c r="M47" s="21"/>
      <c r="N47" s="85">
        <f t="shared" si="8"/>
        <v>88190</v>
      </c>
    </row>
    <row r="48" spans="1:19" s="13" customFormat="1" ht="17" outlineLevel="1" thickBot="1" x14ac:dyDescent="0.25">
      <c r="A48" s="7"/>
      <c r="B48" s="19" t="s">
        <v>36</v>
      </c>
      <c r="C48" s="58">
        <v>337411</v>
      </c>
      <c r="D48" s="58">
        <v>331612</v>
      </c>
      <c r="E48" s="58">
        <v>364980</v>
      </c>
      <c r="F48" s="58">
        <v>344085</v>
      </c>
      <c r="G48" s="58">
        <v>331233</v>
      </c>
      <c r="H48" s="58">
        <v>331495</v>
      </c>
      <c r="I48" s="58">
        <v>359241</v>
      </c>
      <c r="J48" s="58">
        <v>379297</v>
      </c>
      <c r="K48" s="21"/>
      <c r="L48" s="21"/>
      <c r="M48" s="21"/>
      <c r="N48" s="87">
        <f t="shared" si="8"/>
        <v>379297</v>
      </c>
      <c r="O48" s="7"/>
      <c r="S48" s="7"/>
    </row>
    <row r="49" spans="1:19" x14ac:dyDescent="0.2">
      <c r="B49" s="1"/>
    </row>
    <row r="50" spans="1:19" s="14" customFormat="1" ht="17" thickBot="1" x14ac:dyDescent="0.25">
      <c r="A50" s="4"/>
      <c r="B50" s="15" t="s">
        <v>39</v>
      </c>
      <c r="K50" s="4"/>
      <c r="L50" s="4"/>
      <c r="M50" s="4"/>
      <c r="O50" s="4"/>
      <c r="S50" s="4"/>
    </row>
    <row r="51" spans="1:19" outlineLevel="1" x14ac:dyDescent="0.2">
      <c r="B51" s="9" t="s">
        <v>14</v>
      </c>
      <c r="C51" s="20">
        <f t="shared" ref="C51:J51" si="12">C15</f>
        <v>23636</v>
      </c>
      <c r="D51" s="20">
        <f t="shared" si="12"/>
        <v>21448</v>
      </c>
      <c r="E51" s="20">
        <f t="shared" si="12"/>
        <v>14736</v>
      </c>
      <c r="F51" s="20">
        <f t="shared" si="12"/>
        <v>36330</v>
      </c>
      <c r="G51" s="20">
        <f t="shared" si="12"/>
        <v>24780</v>
      </c>
      <c r="H51" s="20">
        <f t="shared" si="12"/>
        <v>23434</v>
      </c>
      <c r="I51" s="20">
        <f t="shared" si="12"/>
        <v>27466</v>
      </c>
      <c r="J51" s="20">
        <f t="shared" si="12"/>
        <v>42097</v>
      </c>
      <c r="K51" s="20"/>
      <c r="L51" s="20"/>
      <c r="M51" s="20"/>
      <c r="N51" s="20">
        <f>SUM(G51:J51)</f>
        <v>117777</v>
      </c>
    </row>
    <row r="52" spans="1:19" outlineLevel="1" x14ac:dyDescent="0.2">
      <c r="B52" s="9" t="s">
        <v>40</v>
      </c>
      <c r="C52" s="27"/>
      <c r="D52" s="27"/>
      <c r="E52" s="27"/>
      <c r="F52" s="27">
        <v>3080</v>
      </c>
      <c r="G52" s="27">
        <v>2661</v>
      </c>
      <c r="H52" s="27">
        <v>2830</v>
      </c>
      <c r="I52" s="27">
        <v>3127</v>
      </c>
      <c r="J52" s="27">
        <v>3214</v>
      </c>
      <c r="K52" s="27"/>
      <c r="L52" s="27"/>
      <c r="M52" s="20"/>
      <c r="N52" s="27">
        <f t="shared" ref="N52:N76" si="13">SUM(G52:J52)</f>
        <v>11832</v>
      </c>
    </row>
    <row r="53" spans="1:19" outlineLevel="1" x14ac:dyDescent="0.2">
      <c r="B53" s="12" t="s">
        <v>105</v>
      </c>
      <c r="C53" s="27"/>
      <c r="D53" s="27"/>
      <c r="E53" s="27"/>
      <c r="F53" s="27">
        <v>3286</v>
      </c>
      <c r="G53" s="27">
        <v>3226</v>
      </c>
      <c r="H53" s="27">
        <v>3168</v>
      </c>
      <c r="I53" s="27">
        <v>3183</v>
      </c>
      <c r="J53" s="27">
        <v>3594</v>
      </c>
      <c r="K53" s="27"/>
      <c r="L53" s="27"/>
      <c r="M53" s="20"/>
      <c r="N53" s="27">
        <f t="shared" si="13"/>
        <v>13171</v>
      </c>
    </row>
    <row r="54" spans="1:19" outlineLevel="1" x14ac:dyDescent="0.2">
      <c r="B54" s="12" t="s">
        <v>377</v>
      </c>
      <c r="C54" s="27"/>
      <c r="D54" s="27"/>
      <c r="E54" s="27"/>
      <c r="F54" s="27">
        <v>-2009</v>
      </c>
      <c r="G54" s="27">
        <v>-208</v>
      </c>
      <c r="H54" s="27">
        <v>469</v>
      </c>
      <c r="I54" s="27">
        <v>1659</v>
      </c>
      <c r="J54" s="27">
        <v>-528</v>
      </c>
      <c r="K54" s="27"/>
      <c r="L54" s="27"/>
      <c r="M54" s="20"/>
      <c r="N54" s="27">
        <f t="shared" si="13"/>
        <v>1392</v>
      </c>
    </row>
    <row r="55" spans="1:19" outlineLevel="1" x14ac:dyDescent="0.2">
      <c r="B55" s="9" t="s">
        <v>41</v>
      </c>
      <c r="C55" s="27"/>
      <c r="D55" s="27"/>
      <c r="E55" s="27"/>
      <c r="F55" s="27">
        <v>3597</v>
      </c>
      <c r="G55" s="27">
        <v>3669</v>
      </c>
      <c r="H55" s="27">
        <v>-1581</v>
      </c>
      <c r="I55" s="27">
        <v>-12367</v>
      </c>
      <c r="J55" s="27">
        <v>-153</v>
      </c>
      <c r="K55" s="27"/>
      <c r="L55" s="27"/>
      <c r="M55" s="20"/>
      <c r="N55" s="27">
        <f t="shared" si="13"/>
        <v>-10432</v>
      </c>
    </row>
    <row r="56" spans="1:19" outlineLevel="1" x14ac:dyDescent="0.2">
      <c r="B56" s="9" t="s">
        <v>416</v>
      </c>
      <c r="C56" s="27"/>
      <c r="D56" s="27"/>
      <c r="E56" s="27"/>
      <c r="F56" s="27">
        <v>3166</v>
      </c>
      <c r="G56" s="27">
        <v>6005</v>
      </c>
      <c r="H56" s="27">
        <v>4384</v>
      </c>
      <c r="I56" s="27">
        <v>-13902</v>
      </c>
      <c r="J56" s="27">
        <v>2781</v>
      </c>
      <c r="K56" s="27"/>
      <c r="L56" s="27"/>
      <c r="M56" s="20"/>
      <c r="N56" s="27">
        <f t="shared" si="13"/>
        <v>-732</v>
      </c>
    </row>
    <row r="57" spans="1:19" outlineLevel="1" x14ac:dyDescent="0.2">
      <c r="B57" s="9" t="s">
        <v>379</v>
      </c>
      <c r="C57" s="27"/>
      <c r="D57" s="27"/>
      <c r="E57" s="27"/>
      <c r="F57" s="27">
        <v>215</v>
      </c>
      <c r="G57" s="27">
        <v>643</v>
      </c>
      <c r="H57" s="27">
        <v>365</v>
      </c>
      <c r="I57" s="27">
        <v>177</v>
      </c>
      <c r="J57" s="27">
        <v>-211</v>
      </c>
      <c r="K57" s="27"/>
      <c r="L57" s="27"/>
      <c r="M57" s="20"/>
      <c r="N57" s="27">
        <f t="shared" si="13"/>
        <v>974</v>
      </c>
    </row>
    <row r="58" spans="1:19" outlineLevel="1" x14ac:dyDescent="0.2">
      <c r="B58" s="9" t="s">
        <v>380</v>
      </c>
      <c r="C58" s="27"/>
      <c r="D58" s="27"/>
      <c r="E58" s="27"/>
      <c r="F58" s="27">
        <v>939</v>
      </c>
      <c r="G58" s="27">
        <v>-5310</v>
      </c>
      <c r="H58" s="27">
        <v>-1745</v>
      </c>
      <c r="I58" s="27">
        <v>-3081</v>
      </c>
      <c r="J58" s="27">
        <v>-10250</v>
      </c>
      <c r="K58" s="27"/>
      <c r="L58" s="27"/>
      <c r="M58" s="20"/>
      <c r="N58" s="27">
        <f t="shared" si="13"/>
        <v>-20386</v>
      </c>
    </row>
    <row r="59" spans="1:19" outlineLevel="1" x14ac:dyDescent="0.2">
      <c r="B59" s="9" t="s">
        <v>42</v>
      </c>
      <c r="C59" s="27"/>
      <c r="D59" s="27"/>
      <c r="E59" s="27"/>
      <c r="F59" s="27">
        <v>-6671</v>
      </c>
      <c r="G59" s="27">
        <v>-7933</v>
      </c>
      <c r="H59" s="27">
        <v>-3875</v>
      </c>
      <c r="I59" s="27">
        <v>19381</v>
      </c>
      <c r="J59" s="27">
        <v>848</v>
      </c>
      <c r="K59" s="27"/>
      <c r="L59" s="27"/>
      <c r="M59" s="20"/>
      <c r="N59" s="27">
        <f t="shared" si="13"/>
        <v>8421</v>
      </c>
    </row>
    <row r="60" spans="1:19" outlineLevel="1" x14ac:dyDescent="0.2">
      <c r="B60" s="9" t="s">
        <v>381</v>
      </c>
      <c r="C60" s="27"/>
      <c r="D60" s="27"/>
      <c r="E60" s="27"/>
      <c r="F60" s="27">
        <v>-11998</v>
      </c>
      <c r="G60" s="27">
        <v>-3581</v>
      </c>
      <c r="H60" s="27">
        <v>418</v>
      </c>
      <c r="I60" s="27">
        <v>4085</v>
      </c>
      <c r="J60" s="27">
        <v>12533</v>
      </c>
      <c r="K60" s="27"/>
      <c r="L60" s="27"/>
      <c r="M60" s="20"/>
      <c r="N60" s="27">
        <f t="shared" si="13"/>
        <v>13455</v>
      </c>
    </row>
    <row r="61" spans="1:19" s="18" customFormat="1" outlineLevel="1" x14ac:dyDescent="0.2">
      <c r="A61" s="7"/>
      <c r="B61" s="17" t="s">
        <v>43</v>
      </c>
      <c r="C61" s="51"/>
      <c r="D61" s="51"/>
      <c r="E61" s="51"/>
      <c r="F61" s="51">
        <v>29935</v>
      </c>
      <c r="G61" s="51">
        <v>23952</v>
      </c>
      <c r="H61" s="51">
        <v>27867</v>
      </c>
      <c r="I61" s="51">
        <v>29728</v>
      </c>
      <c r="J61" s="51">
        <v>53925</v>
      </c>
      <c r="K61" s="33"/>
      <c r="L61" s="33"/>
      <c r="M61" s="21"/>
      <c r="N61" s="51">
        <f t="shared" si="13"/>
        <v>135472</v>
      </c>
      <c r="O61" s="7"/>
      <c r="S61" s="7"/>
    </row>
    <row r="62" spans="1:19" outlineLevel="1" x14ac:dyDescent="0.2">
      <c r="B62" s="9" t="s">
        <v>382</v>
      </c>
      <c r="C62" s="27"/>
      <c r="D62" s="27"/>
      <c r="E62" s="27"/>
      <c r="F62" s="27">
        <v>-6124</v>
      </c>
      <c r="G62" s="27">
        <v>-6318</v>
      </c>
      <c r="H62" s="27">
        <v>-5149</v>
      </c>
      <c r="I62" s="27">
        <v>-6816</v>
      </c>
      <c r="J62" s="27">
        <v>-12693</v>
      </c>
      <c r="K62" s="27"/>
      <c r="L62" s="27"/>
      <c r="M62" s="20"/>
      <c r="N62" s="27">
        <f t="shared" si="13"/>
        <v>-30976</v>
      </c>
    </row>
    <row r="63" spans="1:19" outlineLevel="1" x14ac:dyDescent="0.2">
      <c r="B63" s="9" t="s">
        <v>383</v>
      </c>
      <c r="C63" s="27"/>
      <c r="D63" s="27"/>
      <c r="E63" s="27"/>
      <c r="F63" s="27">
        <v>15967</v>
      </c>
      <c r="G63" s="27">
        <v>10620</v>
      </c>
      <c r="H63" s="27">
        <v>8449</v>
      </c>
      <c r="I63" s="27">
        <v>5871</v>
      </c>
      <c r="J63" s="27">
        <v>7510</v>
      </c>
      <c r="K63" s="27"/>
      <c r="L63" s="27"/>
      <c r="M63" s="20"/>
      <c r="N63" s="27">
        <f t="shared" si="13"/>
        <v>32450</v>
      </c>
    </row>
    <row r="64" spans="1:19" outlineLevel="1" x14ac:dyDescent="0.2">
      <c r="B64" s="9" t="s">
        <v>384</v>
      </c>
      <c r="C64" s="27"/>
      <c r="D64" s="27"/>
      <c r="E64" s="27"/>
      <c r="F64" s="27">
        <v>3492</v>
      </c>
      <c r="G64" s="27">
        <v>1718</v>
      </c>
      <c r="H64" s="27">
        <v>5575</v>
      </c>
      <c r="I64" s="27">
        <v>2105</v>
      </c>
      <c r="J64" s="27">
        <v>2824</v>
      </c>
      <c r="K64" s="27"/>
      <c r="L64" s="27"/>
      <c r="M64" s="20"/>
      <c r="N64" s="27">
        <f t="shared" si="13"/>
        <v>12222</v>
      </c>
    </row>
    <row r="65" spans="1:19" outlineLevel="1" x14ac:dyDescent="0.2">
      <c r="B65" s="9" t="s">
        <v>44</v>
      </c>
      <c r="C65" s="27"/>
      <c r="D65" s="27"/>
      <c r="E65" s="27"/>
      <c r="F65" s="27">
        <v>-2940</v>
      </c>
      <c r="G65" s="27">
        <v>-3071</v>
      </c>
      <c r="H65" s="27">
        <v>-3462</v>
      </c>
      <c r="I65" s="27">
        <v>-3242</v>
      </c>
      <c r="J65" s="27">
        <v>-2373</v>
      </c>
      <c r="K65" s="27"/>
      <c r="L65" s="27"/>
      <c r="M65" s="20"/>
      <c r="N65" s="27">
        <f t="shared" si="13"/>
        <v>-12148</v>
      </c>
    </row>
    <row r="66" spans="1:19" outlineLevel="1" x14ac:dyDescent="0.2">
      <c r="B66" s="12" t="s">
        <v>377</v>
      </c>
      <c r="C66" s="27"/>
      <c r="D66" s="27"/>
      <c r="E66" s="27"/>
      <c r="F66" s="27">
        <v>-603</v>
      </c>
      <c r="G66" s="27">
        <v>-32</v>
      </c>
      <c r="H66" s="27">
        <v>-340</v>
      </c>
      <c r="I66" s="27">
        <v>-505</v>
      </c>
      <c r="J66" s="27">
        <v>-154</v>
      </c>
      <c r="K66" s="27"/>
      <c r="L66" s="27"/>
      <c r="M66" s="20"/>
      <c r="N66" s="27">
        <f t="shared" si="13"/>
        <v>-1031</v>
      </c>
    </row>
    <row r="67" spans="1:19" s="18" customFormat="1" outlineLevel="1" x14ac:dyDescent="0.2">
      <c r="A67" s="7"/>
      <c r="B67" s="17" t="s">
        <v>45</v>
      </c>
      <c r="C67" s="51"/>
      <c r="D67" s="51"/>
      <c r="E67" s="51"/>
      <c r="F67" s="51">
        <v>9792</v>
      </c>
      <c r="G67" s="51">
        <v>2917</v>
      </c>
      <c r="H67" s="51">
        <v>5073</v>
      </c>
      <c r="I67" s="51">
        <v>-2587</v>
      </c>
      <c r="J67" s="51">
        <v>-4886</v>
      </c>
      <c r="K67" s="33"/>
      <c r="L67" s="33"/>
      <c r="M67" s="21"/>
      <c r="N67" s="51">
        <f t="shared" si="13"/>
        <v>517</v>
      </c>
      <c r="O67" s="7"/>
      <c r="S67" s="7"/>
    </row>
    <row r="68" spans="1:19" outlineLevel="1" x14ac:dyDescent="0.2">
      <c r="B68" s="9" t="s">
        <v>385</v>
      </c>
      <c r="C68" s="27"/>
      <c r="D68" s="27"/>
      <c r="E68" s="27"/>
      <c r="F68" s="27">
        <v>-2921</v>
      </c>
      <c r="G68" s="27">
        <v>-284</v>
      </c>
      <c r="H68" s="27">
        <v>-2514</v>
      </c>
      <c r="I68" s="27">
        <v>-241</v>
      </c>
      <c r="J68" s="27">
        <v>-2922</v>
      </c>
      <c r="K68" s="27"/>
      <c r="L68" s="27"/>
      <c r="M68" s="20"/>
      <c r="N68" s="27">
        <f t="shared" si="13"/>
        <v>-5961</v>
      </c>
    </row>
    <row r="69" spans="1:19" outlineLevel="1" x14ac:dyDescent="0.2">
      <c r="B69" s="9" t="s">
        <v>386</v>
      </c>
      <c r="C69" s="27"/>
      <c r="D69" s="27"/>
      <c r="E69" s="27"/>
      <c r="F69" s="27">
        <v>-3856</v>
      </c>
      <c r="G69" s="27">
        <v>-3758</v>
      </c>
      <c r="H69" s="27">
        <v>-3945</v>
      </c>
      <c r="I69" s="27">
        <v>-3862</v>
      </c>
      <c r="J69" s="27">
        <v>-3921</v>
      </c>
      <c r="K69" s="27"/>
      <c r="L69" s="27"/>
      <c r="M69" s="20"/>
      <c r="N69" s="27">
        <f t="shared" si="13"/>
        <v>-15486</v>
      </c>
    </row>
    <row r="70" spans="1:19" outlineLevel="1" x14ac:dyDescent="0.2">
      <c r="B70" s="9" t="s">
        <v>387</v>
      </c>
      <c r="C70" s="27"/>
      <c r="D70" s="27"/>
      <c r="E70" s="27"/>
      <c r="F70" s="27">
        <v>-23606</v>
      </c>
      <c r="G70" s="27">
        <v>-25898</v>
      </c>
      <c r="H70" s="27">
        <v>-21075</v>
      </c>
      <c r="I70" s="27">
        <v>-20132</v>
      </c>
      <c r="J70" s="27">
        <v>-24701</v>
      </c>
      <c r="K70" s="27"/>
      <c r="L70" s="27"/>
      <c r="M70" s="20"/>
      <c r="N70" s="27">
        <f t="shared" si="13"/>
        <v>-91806</v>
      </c>
    </row>
    <row r="71" spans="1:19" outlineLevel="1" x14ac:dyDescent="0.2">
      <c r="B71" s="9" t="s">
        <v>388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4481</v>
      </c>
      <c r="I71" s="27">
        <v>0</v>
      </c>
      <c r="J71" s="27">
        <v>0</v>
      </c>
      <c r="K71" s="27"/>
      <c r="L71" s="27"/>
      <c r="M71" s="20"/>
      <c r="N71" s="27">
        <f t="shared" si="13"/>
        <v>4481</v>
      </c>
    </row>
    <row r="72" spans="1:19" outlineLevel="1" x14ac:dyDescent="0.2">
      <c r="B72" s="9" t="s">
        <v>389</v>
      </c>
      <c r="C72" s="27"/>
      <c r="D72" s="27"/>
      <c r="E72" s="27"/>
      <c r="F72" s="27">
        <v>-1009</v>
      </c>
      <c r="G72" s="27">
        <v>-3000</v>
      </c>
      <c r="H72" s="27">
        <v>-5673</v>
      </c>
      <c r="I72" s="27">
        <v>-1250</v>
      </c>
      <c r="J72" s="27">
        <v>-2164</v>
      </c>
      <c r="K72" s="27"/>
      <c r="L72" s="27"/>
      <c r="M72" s="20"/>
      <c r="N72" s="27">
        <f t="shared" si="13"/>
        <v>-12087</v>
      </c>
    </row>
    <row r="73" spans="1:19" outlineLevel="1" x14ac:dyDescent="0.2">
      <c r="B73" s="9" t="s">
        <v>390</v>
      </c>
      <c r="C73" s="27"/>
      <c r="D73" s="27"/>
      <c r="E73" s="27"/>
      <c r="F73" s="27">
        <v>-7944</v>
      </c>
      <c r="G73" s="27">
        <v>3976</v>
      </c>
      <c r="H73" s="27">
        <v>3903</v>
      </c>
      <c r="I73" s="27">
        <v>-1967</v>
      </c>
      <c r="J73" s="27">
        <v>-5910</v>
      </c>
      <c r="K73" s="27"/>
      <c r="L73" s="27"/>
      <c r="M73" s="20"/>
      <c r="N73" s="27">
        <f t="shared" si="13"/>
        <v>2</v>
      </c>
    </row>
    <row r="74" spans="1:19" outlineLevel="1" x14ac:dyDescent="0.2">
      <c r="B74" s="9" t="s">
        <v>377</v>
      </c>
      <c r="C74" s="27"/>
      <c r="D74" s="27"/>
      <c r="E74" s="27"/>
      <c r="F74" s="27">
        <v>-35</v>
      </c>
      <c r="G74" s="27">
        <v>-42</v>
      </c>
      <c r="H74" s="27">
        <v>-10</v>
      </c>
      <c r="I74" s="27">
        <v>-24</v>
      </c>
      <c r="J74" s="27">
        <v>-38</v>
      </c>
      <c r="K74" s="27"/>
      <c r="L74" s="27"/>
      <c r="M74" s="20"/>
      <c r="N74" s="27">
        <f t="shared" si="13"/>
        <v>-114</v>
      </c>
    </row>
    <row r="75" spans="1:19" s="18" customFormat="1" outlineLevel="1" x14ac:dyDescent="0.2">
      <c r="A75" s="7"/>
      <c r="B75" s="17" t="s">
        <v>46</v>
      </c>
      <c r="C75" s="51"/>
      <c r="D75" s="51"/>
      <c r="E75" s="51"/>
      <c r="F75" s="51">
        <v>-39371</v>
      </c>
      <c r="G75" s="51">
        <v>-29006</v>
      </c>
      <c r="H75" s="51">
        <v>-24833</v>
      </c>
      <c r="I75" s="51">
        <v>-27476</v>
      </c>
      <c r="J75" s="51">
        <v>-39656</v>
      </c>
      <c r="K75" s="33"/>
      <c r="L75" s="33"/>
      <c r="M75" s="21"/>
      <c r="N75" s="51">
        <f t="shared" si="13"/>
        <v>-120971</v>
      </c>
      <c r="O75" s="7"/>
      <c r="S75" s="7"/>
    </row>
    <row r="76" spans="1:19" s="7" customFormat="1" outlineLevel="1" x14ac:dyDescent="0.2">
      <c r="B76" s="11" t="s">
        <v>47</v>
      </c>
      <c r="C76" s="55"/>
      <c r="D76" s="55"/>
      <c r="E76" s="55"/>
      <c r="F76" s="55">
        <v>356</v>
      </c>
      <c r="G76" s="55">
        <v>-2137</v>
      </c>
      <c r="H76" s="55">
        <v>8107</v>
      </c>
      <c r="I76" s="55">
        <v>-335</v>
      </c>
      <c r="J76" s="55">
        <v>9383</v>
      </c>
      <c r="K76" s="33"/>
      <c r="L76" s="33"/>
      <c r="M76" s="21"/>
      <c r="N76" s="55">
        <f t="shared" si="13"/>
        <v>15018</v>
      </c>
    </row>
    <row r="77" spans="1:19" s="7" customFormat="1" outlineLevel="1" x14ac:dyDescent="0.2">
      <c r="B77" s="11" t="s">
        <v>48</v>
      </c>
      <c r="C77" s="55"/>
      <c r="D77" s="55"/>
      <c r="E77" s="55"/>
      <c r="F77" s="55">
        <v>29943</v>
      </c>
      <c r="G77" s="55">
        <v>30299</v>
      </c>
      <c r="H77" s="55">
        <v>28162</v>
      </c>
      <c r="I77" s="55">
        <v>36269</v>
      </c>
      <c r="J77" s="55">
        <v>35934</v>
      </c>
      <c r="K77" s="21"/>
      <c r="L77" s="21"/>
      <c r="M77" s="21"/>
      <c r="N77" s="55">
        <f>G77</f>
        <v>30299</v>
      </c>
    </row>
    <row r="78" spans="1:19" s="13" customFormat="1" ht="17" outlineLevel="1" thickBot="1" x14ac:dyDescent="0.25">
      <c r="A78" s="7"/>
      <c r="B78" s="19" t="s">
        <v>49</v>
      </c>
      <c r="C78" s="58"/>
      <c r="D78" s="58"/>
      <c r="E78" s="58"/>
      <c r="F78" s="58">
        <v>30299</v>
      </c>
      <c r="G78" s="58">
        <v>28162</v>
      </c>
      <c r="H78" s="58">
        <v>36269</v>
      </c>
      <c r="I78" s="58">
        <v>35934</v>
      </c>
      <c r="J78" s="58">
        <v>45317</v>
      </c>
      <c r="K78" s="21"/>
      <c r="L78" s="21"/>
      <c r="M78" s="21"/>
      <c r="N78" s="58">
        <f>J78</f>
        <v>45317</v>
      </c>
      <c r="O78" s="7"/>
      <c r="S78" s="7"/>
    </row>
    <row r="79" spans="1:19" x14ac:dyDescent="0.2">
      <c r="B79" s="1"/>
    </row>
    <row r="80" spans="1:19" s="14" customFormat="1" ht="17" thickBot="1" x14ac:dyDescent="0.25">
      <c r="A80" s="4"/>
      <c r="B80" s="15" t="s">
        <v>50</v>
      </c>
      <c r="K80" s="4"/>
      <c r="L80" s="4"/>
      <c r="M80" s="4"/>
      <c r="O80" s="4"/>
      <c r="S80" s="4"/>
    </row>
    <row r="81" spans="1:19" hidden="1" outlineLevel="2" x14ac:dyDescent="0.2">
      <c r="B81" s="9" t="s">
        <v>51</v>
      </c>
      <c r="C81" s="20">
        <f t="shared" ref="C81:J81" si="14">C5-C6-C10+C12+C14</f>
        <v>23636</v>
      </c>
      <c r="D81" s="20">
        <f t="shared" si="14"/>
        <v>21448</v>
      </c>
      <c r="E81" s="20">
        <f t="shared" si="14"/>
        <v>14736</v>
      </c>
      <c r="F81" s="20">
        <f t="shared" si="14"/>
        <v>36330</v>
      </c>
      <c r="G81" s="20">
        <f t="shared" si="14"/>
        <v>24780</v>
      </c>
      <c r="H81" s="20">
        <f t="shared" si="14"/>
        <v>23434</v>
      </c>
      <c r="I81" s="20">
        <f t="shared" si="14"/>
        <v>27466</v>
      </c>
      <c r="J81" s="20">
        <f t="shared" si="14"/>
        <v>42097</v>
      </c>
      <c r="K81" s="20"/>
      <c r="L81" s="20"/>
      <c r="M81" s="20"/>
    </row>
    <row r="82" spans="1:19" s="18" customFormat="1" outlineLevel="1" collapsed="1" x14ac:dyDescent="0.2">
      <c r="A82" s="7"/>
      <c r="B82" s="17" t="s">
        <v>52</v>
      </c>
      <c r="C82" s="24">
        <f t="shared" ref="C82:J82" si="15">C15-C81</f>
        <v>0</v>
      </c>
      <c r="D82" s="24">
        <f t="shared" si="15"/>
        <v>0</v>
      </c>
      <c r="E82" s="24">
        <f t="shared" si="15"/>
        <v>0</v>
      </c>
      <c r="F82" s="24">
        <f t="shared" si="15"/>
        <v>0</v>
      </c>
      <c r="G82" s="24">
        <f t="shared" si="15"/>
        <v>0</v>
      </c>
      <c r="H82" s="24">
        <f t="shared" si="15"/>
        <v>0</v>
      </c>
      <c r="I82" s="24">
        <f t="shared" si="15"/>
        <v>0</v>
      </c>
      <c r="J82" s="24">
        <f t="shared" si="15"/>
        <v>0</v>
      </c>
      <c r="K82" s="26"/>
      <c r="L82" s="26"/>
      <c r="M82" s="26"/>
      <c r="O82" s="7"/>
      <c r="S82" s="7"/>
    </row>
    <row r="83" spans="1:19" hidden="1" outlineLevel="2" x14ac:dyDescent="0.2">
      <c r="B83" s="9" t="s">
        <v>53</v>
      </c>
      <c r="C83" s="20">
        <f t="shared" ref="C83:J83" si="16">SUM(C22:C27)+SUM(C29:C31)</f>
        <v>337411</v>
      </c>
      <c r="D83" s="20">
        <f t="shared" si="16"/>
        <v>331612</v>
      </c>
      <c r="E83" s="20">
        <f t="shared" si="16"/>
        <v>364980</v>
      </c>
      <c r="F83" s="20">
        <f t="shared" si="16"/>
        <v>344085</v>
      </c>
      <c r="G83" s="20">
        <f t="shared" si="16"/>
        <v>331233</v>
      </c>
      <c r="H83" s="20">
        <f t="shared" si="16"/>
        <v>331495</v>
      </c>
      <c r="I83" s="20">
        <f t="shared" si="16"/>
        <v>359241</v>
      </c>
      <c r="J83" s="20">
        <f t="shared" si="16"/>
        <v>379297</v>
      </c>
      <c r="K83" s="20"/>
      <c r="L83" s="20"/>
      <c r="M83" s="20"/>
    </row>
    <row r="84" spans="1:19" s="7" customFormat="1" outlineLevel="1" collapsed="1" x14ac:dyDescent="0.2">
      <c r="B84" s="11" t="s">
        <v>54</v>
      </c>
      <c r="C84" s="23">
        <f t="shared" ref="C84:J84" si="17">C33-C83</f>
        <v>0</v>
      </c>
      <c r="D84" s="23">
        <f t="shared" si="17"/>
        <v>0</v>
      </c>
      <c r="E84" s="23">
        <f t="shared" si="17"/>
        <v>0</v>
      </c>
      <c r="F84" s="23">
        <f t="shared" si="17"/>
        <v>0</v>
      </c>
      <c r="G84" s="23">
        <f t="shared" si="17"/>
        <v>0</v>
      </c>
      <c r="H84" s="23">
        <f t="shared" si="17"/>
        <v>0</v>
      </c>
      <c r="I84" s="23">
        <f t="shared" si="17"/>
        <v>0</v>
      </c>
      <c r="J84" s="23">
        <f t="shared" si="17"/>
        <v>0</v>
      </c>
      <c r="K84" s="26"/>
      <c r="L84" s="26"/>
      <c r="M84" s="26"/>
    </row>
    <row r="85" spans="1:19" hidden="1" outlineLevel="2" x14ac:dyDescent="0.2">
      <c r="B85" s="9" t="s">
        <v>55</v>
      </c>
      <c r="C85" s="20">
        <f t="shared" ref="C85:J85" si="18">SUM(C34:C38)+SUM(C40:C41)</f>
        <v>263217</v>
      </c>
      <c r="D85" s="20">
        <f t="shared" si="18"/>
        <v>264904</v>
      </c>
      <c r="E85" s="20">
        <f t="shared" si="18"/>
        <v>308030</v>
      </c>
      <c r="F85" s="20">
        <f t="shared" si="18"/>
        <v>277327</v>
      </c>
      <c r="G85" s="20">
        <f t="shared" si="18"/>
        <v>264437</v>
      </c>
      <c r="H85" s="20">
        <f t="shared" si="18"/>
        <v>265665</v>
      </c>
      <c r="I85" s="20">
        <f t="shared" si="18"/>
        <v>285508</v>
      </c>
      <c r="J85" s="20">
        <f t="shared" si="18"/>
        <v>291107</v>
      </c>
      <c r="K85" s="20"/>
      <c r="L85" s="20"/>
      <c r="M85" s="20"/>
    </row>
    <row r="86" spans="1:19" s="7" customFormat="1" outlineLevel="1" collapsed="1" x14ac:dyDescent="0.2">
      <c r="B86" s="11" t="s">
        <v>56</v>
      </c>
      <c r="C86" s="23">
        <f t="shared" ref="C86:J86" si="19">C43-C85</f>
        <v>0</v>
      </c>
      <c r="D86" s="23">
        <f t="shared" si="19"/>
        <v>0</v>
      </c>
      <c r="E86" s="23">
        <f t="shared" si="19"/>
        <v>0</v>
      </c>
      <c r="F86" s="23">
        <f t="shared" si="19"/>
        <v>0</v>
      </c>
      <c r="G86" s="23">
        <f t="shared" si="19"/>
        <v>0</v>
      </c>
      <c r="H86" s="23">
        <f t="shared" si="19"/>
        <v>0</v>
      </c>
      <c r="I86" s="23">
        <f t="shared" si="19"/>
        <v>0</v>
      </c>
      <c r="J86" s="23">
        <f t="shared" si="19"/>
        <v>0</v>
      </c>
      <c r="K86" s="26"/>
      <c r="L86" s="26"/>
      <c r="M86" s="26"/>
    </row>
    <row r="87" spans="1:19" hidden="1" outlineLevel="2" x14ac:dyDescent="0.2">
      <c r="B87" s="9" t="s">
        <v>57</v>
      </c>
      <c r="C87" s="20">
        <f t="shared" ref="C87:J87" si="20">SUM(C44:C46)</f>
        <v>74194</v>
      </c>
      <c r="D87" s="20">
        <f t="shared" si="20"/>
        <v>66708</v>
      </c>
      <c r="E87" s="20">
        <f t="shared" si="20"/>
        <v>56950</v>
      </c>
      <c r="F87" s="20">
        <f t="shared" si="20"/>
        <v>66758</v>
      </c>
      <c r="G87" s="20">
        <f t="shared" si="20"/>
        <v>66796</v>
      </c>
      <c r="H87" s="20">
        <f t="shared" si="20"/>
        <v>65830</v>
      </c>
      <c r="I87" s="20">
        <f t="shared" si="20"/>
        <v>73733</v>
      </c>
      <c r="J87" s="20">
        <f t="shared" si="20"/>
        <v>88190</v>
      </c>
      <c r="K87" s="20"/>
      <c r="L87" s="20"/>
      <c r="M87" s="20"/>
    </row>
    <row r="88" spans="1:19" s="7" customFormat="1" outlineLevel="1" collapsed="1" x14ac:dyDescent="0.2">
      <c r="B88" s="11" t="s">
        <v>58</v>
      </c>
      <c r="C88" s="23">
        <f t="shared" ref="C88:J88" si="21">C47-C87</f>
        <v>0</v>
      </c>
      <c r="D88" s="23">
        <f t="shared" si="21"/>
        <v>0</v>
      </c>
      <c r="E88" s="23">
        <f t="shared" si="21"/>
        <v>0</v>
      </c>
      <c r="F88" s="23">
        <f t="shared" si="21"/>
        <v>0</v>
      </c>
      <c r="G88" s="23">
        <f t="shared" si="21"/>
        <v>0</v>
      </c>
      <c r="H88" s="23">
        <f t="shared" si="21"/>
        <v>0</v>
      </c>
      <c r="I88" s="23">
        <f t="shared" si="21"/>
        <v>0</v>
      </c>
      <c r="J88" s="23">
        <f t="shared" si="21"/>
        <v>0</v>
      </c>
      <c r="K88" s="26"/>
      <c r="L88" s="26"/>
      <c r="M88" s="26"/>
    </row>
    <row r="89" spans="1:19" s="18" customFormat="1" outlineLevel="1" x14ac:dyDescent="0.2">
      <c r="A89" s="7"/>
      <c r="B89" s="17" t="s">
        <v>68</v>
      </c>
      <c r="C89" s="22">
        <f t="shared" ref="C89:J89" si="22">C33-(C43+C47)</f>
        <v>0</v>
      </c>
      <c r="D89" s="22">
        <f t="shared" si="22"/>
        <v>0</v>
      </c>
      <c r="E89" s="22">
        <f t="shared" si="22"/>
        <v>0</v>
      </c>
      <c r="F89" s="22">
        <f t="shared" si="22"/>
        <v>0</v>
      </c>
      <c r="G89" s="22">
        <f t="shared" si="22"/>
        <v>0</v>
      </c>
      <c r="H89" s="22">
        <f t="shared" si="22"/>
        <v>0</v>
      </c>
      <c r="I89" s="22">
        <f t="shared" si="22"/>
        <v>0</v>
      </c>
      <c r="J89" s="22">
        <f t="shared" si="22"/>
        <v>0</v>
      </c>
      <c r="K89" s="26"/>
      <c r="L89" s="26"/>
      <c r="M89" s="26"/>
      <c r="O89" s="7"/>
      <c r="S89" s="7"/>
    </row>
    <row r="90" spans="1:19" hidden="1" outlineLevel="2" x14ac:dyDescent="0.2">
      <c r="B90" s="9" t="s">
        <v>59</v>
      </c>
      <c r="C90" s="20">
        <f t="shared" ref="C90:J90" si="23">SUM(C51:C60)</f>
        <v>23636</v>
      </c>
      <c r="D90" s="20">
        <f t="shared" si="23"/>
        <v>21448</v>
      </c>
      <c r="E90" s="20">
        <f t="shared" si="23"/>
        <v>14736</v>
      </c>
      <c r="F90" s="20">
        <f t="shared" si="23"/>
        <v>29935</v>
      </c>
      <c r="G90" s="20">
        <f t="shared" si="23"/>
        <v>23952</v>
      </c>
      <c r="H90" s="20">
        <f t="shared" si="23"/>
        <v>27867</v>
      </c>
      <c r="I90" s="20">
        <f t="shared" si="23"/>
        <v>29728</v>
      </c>
      <c r="J90" s="20">
        <f t="shared" si="23"/>
        <v>53925</v>
      </c>
      <c r="K90" s="20"/>
      <c r="L90" s="20"/>
      <c r="M90" s="20"/>
    </row>
    <row r="91" spans="1:19" s="7" customFormat="1" outlineLevel="1" collapsed="1" x14ac:dyDescent="0.2">
      <c r="B91" s="11" t="s">
        <v>60</v>
      </c>
      <c r="C91" s="23">
        <f t="shared" ref="C91:J91" si="24">C61-C90</f>
        <v>-23636</v>
      </c>
      <c r="D91" s="23">
        <f t="shared" si="24"/>
        <v>-21448</v>
      </c>
      <c r="E91" s="23">
        <f t="shared" si="24"/>
        <v>-14736</v>
      </c>
      <c r="F91" s="23">
        <f t="shared" si="24"/>
        <v>0</v>
      </c>
      <c r="G91" s="23">
        <f t="shared" si="24"/>
        <v>0</v>
      </c>
      <c r="H91" s="23">
        <f t="shared" si="24"/>
        <v>0</v>
      </c>
      <c r="I91" s="23">
        <f t="shared" si="24"/>
        <v>0</v>
      </c>
      <c r="J91" s="23">
        <f t="shared" si="24"/>
        <v>0</v>
      </c>
      <c r="K91" s="26"/>
      <c r="L91" s="26"/>
      <c r="M91" s="26"/>
    </row>
    <row r="92" spans="1:19" hidden="1" outlineLevel="2" x14ac:dyDescent="0.2">
      <c r="B92" s="9" t="s">
        <v>61</v>
      </c>
      <c r="C92" s="20">
        <f t="shared" ref="C92:J92" si="25">SUM(C62:C66)</f>
        <v>0</v>
      </c>
      <c r="D92" s="20">
        <f t="shared" si="25"/>
        <v>0</v>
      </c>
      <c r="E92" s="20">
        <f t="shared" si="25"/>
        <v>0</v>
      </c>
      <c r="F92" s="20">
        <f t="shared" si="25"/>
        <v>9792</v>
      </c>
      <c r="G92" s="20">
        <f t="shared" si="25"/>
        <v>2917</v>
      </c>
      <c r="H92" s="20">
        <f t="shared" si="25"/>
        <v>5073</v>
      </c>
      <c r="I92" s="20">
        <f t="shared" si="25"/>
        <v>-2587</v>
      </c>
      <c r="J92" s="20">
        <f t="shared" si="25"/>
        <v>-4886</v>
      </c>
      <c r="K92" s="20"/>
      <c r="L92" s="20"/>
      <c r="M92" s="20"/>
    </row>
    <row r="93" spans="1:19" s="7" customFormat="1" outlineLevel="1" collapsed="1" x14ac:dyDescent="0.2">
      <c r="B93" s="11" t="s">
        <v>62</v>
      </c>
      <c r="C93" s="23">
        <f t="shared" ref="C93:J93" si="26">C67-C92</f>
        <v>0</v>
      </c>
      <c r="D93" s="23">
        <f t="shared" si="26"/>
        <v>0</v>
      </c>
      <c r="E93" s="23">
        <f t="shared" si="26"/>
        <v>0</v>
      </c>
      <c r="F93" s="23">
        <f t="shared" si="26"/>
        <v>0</v>
      </c>
      <c r="G93" s="23">
        <f t="shared" si="26"/>
        <v>0</v>
      </c>
      <c r="H93" s="23">
        <f t="shared" si="26"/>
        <v>0</v>
      </c>
      <c r="I93" s="23">
        <f t="shared" si="26"/>
        <v>0</v>
      </c>
      <c r="J93" s="23">
        <f t="shared" si="26"/>
        <v>0</v>
      </c>
      <c r="K93" s="26"/>
      <c r="L93" s="26"/>
      <c r="M93" s="26"/>
    </row>
    <row r="94" spans="1:19" hidden="1" outlineLevel="2" x14ac:dyDescent="0.2">
      <c r="B94" s="9" t="s">
        <v>63</v>
      </c>
      <c r="C94" s="20">
        <f t="shared" ref="C94:J94" si="27">SUM(C68:C74)</f>
        <v>0</v>
      </c>
      <c r="D94" s="20">
        <f t="shared" si="27"/>
        <v>0</v>
      </c>
      <c r="E94" s="20">
        <f t="shared" si="27"/>
        <v>0</v>
      </c>
      <c r="F94" s="20">
        <f t="shared" si="27"/>
        <v>-39371</v>
      </c>
      <c r="G94" s="20">
        <f t="shared" si="27"/>
        <v>-29006</v>
      </c>
      <c r="H94" s="20">
        <f t="shared" si="27"/>
        <v>-24833</v>
      </c>
      <c r="I94" s="20">
        <f t="shared" si="27"/>
        <v>-27476</v>
      </c>
      <c r="J94" s="20">
        <f t="shared" si="27"/>
        <v>-39656</v>
      </c>
      <c r="K94" s="20"/>
      <c r="L94" s="20"/>
      <c r="M94" s="20"/>
    </row>
    <row r="95" spans="1:19" s="7" customFormat="1" outlineLevel="1" collapsed="1" x14ac:dyDescent="0.2">
      <c r="B95" s="11" t="s">
        <v>64</v>
      </c>
      <c r="C95" s="23">
        <f t="shared" ref="C95:I95" si="28">C75-C94</f>
        <v>0</v>
      </c>
      <c r="D95" s="23">
        <f t="shared" si="28"/>
        <v>0</v>
      </c>
      <c r="E95" s="23">
        <f t="shared" si="28"/>
        <v>0</v>
      </c>
      <c r="F95" s="23">
        <f t="shared" si="28"/>
        <v>0</v>
      </c>
      <c r="G95" s="23">
        <f t="shared" si="28"/>
        <v>0</v>
      </c>
      <c r="H95" s="23">
        <f t="shared" si="28"/>
        <v>0</v>
      </c>
      <c r="I95" s="23">
        <f t="shared" si="28"/>
        <v>0</v>
      </c>
      <c r="J95" s="23">
        <f t="shared" ref="J95" si="29">J75-J94</f>
        <v>0</v>
      </c>
      <c r="K95" s="26"/>
      <c r="L95" s="26"/>
      <c r="M95" s="26"/>
    </row>
    <row r="96" spans="1:19" hidden="1" outlineLevel="2" x14ac:dyDescent="0.2">
      <c r="B96" s="9" t="s">
        <v>66</v>
      </c>
      <c r="C96" s="20">
        <f t="shared" ref="C96:J96" si="30">C61+C67+C75+C77</f>
        <v>0</v>
      </c>
      <c r="D96" s="20">
        <f t="shared" si="30"/>
        <v>0</v>
      </c>
      <c r="E96" s="20">
        <f t="shared" si="30"/>
        <v>0</v>
      </c>
      <c r="F96" s="20">
        <f t="shared" si="30"/>
        <v>30299</v>
      </c>
      <c r="G96" s="20">
        <f t="shared" si="30"/>
        <v>28162</v>
      </c>
      <c r="H96" s="20">
        <f t="shared" si="30"/>
        <v>36269</v>
      </c>
      <c r="I96" s="20">
        <f t="shared" si="30"/>
        <v>35934</v>
      </c>
      <c r="J96" s="20">
        <f t="shared" si="30"/>
        <v>45317</v>
      </c>
      <c r="K96" s="20"/>
      <c r="L96" s="20"/>
      <c r="M96" s="20"/>
    </row>
    <row r="97" spans="1:19" s="18" customFormat="1" outlineLevel="1" collapsed="1" x14ac:dyDescent="0.2">
      <c r="A97" s="7"/>
      <c r="B97" s="17" t="s">
        <v>65</v>
      </c>
      <c r="C97" s="22">
        <f t="shared" ref="C97:I97" si="31">C78-C96</f>
        <v>0</v>
      </c>
      <c r="D97" s="22">
        <f t="shared" si="31"/>
        <v>0</v>
      </c>
      <c r="E97" s="22">
        <f t="shared" si="31"/>
        <v>0</v>
      </c>
      <c r="F97" s="22">
        <f t="shared" si="31"/>
        <v>0</v>
      </c>
      <c r="G97" s="22">
        <f t="shared" si="31"/>
        <v>0</v>
      </c>
      <c r="H97" s="22">
        <f t="shared" si="31"/>
        <v>0</v>
      </c>
      <c r="I97" s="22">
        <f t="shared" si="31"/>
        <v>0</v>
      </c>
      <c r="J97" s="22">
        <f t="shared" ref="J97" si="32">J78-J96</f>
        <v>0</v>
      </c>
      <c r="K97" s="26"/>
      <c r="L97" s="26"/>
      <c r="M97" s="26"/>
      <c r="O97" s="7"/>
      <c r="S97" s="7"/>
    </row>
    <row r="98" spans="1:19" x14ac:dyDescent="0.2">
      <c r="B98" s="8"/>
      <c r="E98" s="8"/>
      <c r="F98" s="8"/>
      <c r="G98" s="8"/>
      <c r="H98" s="8"/>
      <c r="I98" s="8"/>
      <c r="J98" s="8"/>
      <c r="K98" s="8"/>
      <c r="L98" s="8"/>
      <c r="M98" s="8"/>
    </row>
    <row r="99" spans="1:19" s="14" customFormat="1" ht="17" thickBot="1" x14ac:dyDescent="0.25">
      <c r="A99" s="4"/>
      <c r="B99" s="15" t="s">
        <v>67</v>
      </c>
      <c r="K99" s="4"/>
      <c r="L99" s="4"/>
      <c r="M99" s="4"/>
      <c r="O99" s="4"/>
      <c r="S99" s="4"/>
    </row>
    <row r="100" spans="1:19" outlineLevel="1" x14ac:dyDescent="0.2">
      <c r="B100" s="9" t="s">
        <v>4</v>
      </c>
      <c r="C100" s="27">
        <v>15334</v>
      </c>
      <c r="D100" s="27">
        <v>15204</v>
      </c>
      <c r="E100" s="27">
        <v>15116</v>
      </c>
      <c r="F100" s="27">
        <v>15022</v>
      </c>
      <c r="G100" s="27">
        <v>14936</v>
      </c>
      <c r="H100" s="27">
        <v>14840</v>
      </c>
      <c r="I100" s="27">
        <v>14776</v>
      </c>
      <c r="J100" s="27">
        <v>14681</v>
      </c>
      <c r="K100" s="20"/>
      <c r="L100" s="20"/>
      <c r="M100" s="20"/>
      <c r="N100" s="20">
        <f>J100</f>
        <v>14681</v>
      </c>
    </row>
    <row r="101" spans="1:19" outlineLevel="1" x14ac:dyDescent="0.2">
      <c r="B101" s="12" t="s">
        <v>75</v>
      </c>
      <c r="C101" s="28">
        <v>0.24</v>
      </c>
      <c r="D101" s="28">
        <v>0.25</v>
      </c>
      <c r="E101" s="28">
        <v>0.25</v>
      </c>
      <c r="F101" s="28">
        <v>0.25</v>
      </c>
      <c r="G101" s="28">
        <v>0.25</v>
      </c>
      <c r="H101" s="28">
        <v>0.26</v>
      </c>
      <c r="I101" s="28">
        <v>0.26</v>
      </c>
      <c r="J101" s="28">
        <v>0.26</v>
      </c>
      <c r="K101" s="8"/>
      <c r="L101" s="8"/>
      <c r="M101" s="8"/>
    </row>
    <row r="102" spans="1:19" outlineLevel="1" x14ac:dyDescent="0.2">
      <c r="B102" s="12"/>
      <c r="C102" s="28"/>
      <c r="D102" s="28"/>
      <c r="E102" s="28"/>
      <c r="F102" s="28"/>
      <c r="G102" s="28"/>
      <c r="H102" s="28"/>
      <c r="I102" s="28"/>
      <c r="J102" s="28"/>
      <c r="K102" s="8"/>
      <c r="L102" s="8"/>
      <c r="M102" s="8"/>
    </row>
    <row r="103" spans="1:19" x14ac:dyDescent="0.2">
      <c r="B103" s="1"/>
    </row>
    <row r="104" spans="1:19" s="63" customFormat="1" ht="17" thickBot="1" x14ac:dyDescent="0.25">
      <c r="A104" s="1"/>
      <c r="B104" s="15" t="s">
        <v>89</v>
      </c>
      <c r="C104" s="65"/>
      <c r="D104" s="65"/>
      <c r="E104" s="65"/>
      <c r="F104" s="65"/>
      <c r="G104" s="65"/>
      <c r="H104" s="65"/>
      <c r="I104" s="65"/>
      <c r="J104" s="65"/>
      <c r="K104" s="1"/>
      <c r="L104" s="1"/>
      <c r="M104" s="1"/>
      <c r="O104" s="4"/>
      <c r="S104" s="4"/>
    </row>
    <row r="105" spans="1:19" outlineLevel="1" x14ac:dyDescent="0.2">
      <c r="B105" s="9" t="s">
        <v>82</v>
      </c>
      <c r="C105" s="27"/>
      <c r="D105" s="27"/>
      <c r="E105" s="27"/>
      <c r="F105" s="27"/>
      <c r="G105" s="27"/>
      <c r="H105" s="27"/>
      <c r="I105" s="27"/>
      <c r="J105" s="27"/>
    </row>
    <row r="106" spans="1:19" outlineLevel="1" x14ac:dyDescent="0.2">
      <c r="B106" s="9" t="s">
        <v>83</v>
      </c>
      <c r="C106" s="27"/>
      <c r="D106" s="27"/>
      <c r="E106" s="27"/>
      <c r="F106" s="27"/>
      <c r="G106" s="27"/>
      <c r="H106" s="27"/>
      <c r="I106" s="27"/>
      <c r="J106" s="27"/>
    </row>
    <row r="107" spans="1:19" outlineLevel="1" x14ac:dyDescent="0.2">
      <c r="B107" s="9" t="s">
        <v>87</v>
      </c>
      <c r="C107" s="34">
        <f t="shared" ref="C107:J107" si="33">D5</f>
        <v>85777</v>
      </c>
      <c r="D107" s="34">
        <f t="shared" si="33"/>
        <v>94930</v>
      </c>
      <c r="E107" s="34">
        <f t="shared" si="33"/>
        <v>124300</v>
      </c>
      <c r="F107" s="34">
        <f t="shared" si="33"/>
        <v>95359</v>
      </c>
      <c r="G107" s="34">
        <f t="shared" si="33"/>
        <v>94036</v>
      </c>
      <c r="H107" s="34">
        <f t="shared" si="33"/>
        <v>102466</v>
      </c>
      <c r="I107" s="34">
        <f t="shared" si="33"/>
        <v>143756</v>
      </c>
      <c r="J107" s="34">
        <f t="shared" si="33"/>
        <v>0</v>
      </c>
    </row>
    <row r="108" spans="1:19" outlineLevel="1" x14ac:dyDescent="0.2">
      <c r="B108" s="9" t="s">
        <v>84</v>
      </c>
      <c r="C108" s="64" t="str">
        <f t="shared" ref="C108:J108" si="34">IF(D5&gt;C106, "BEAT", IF(D5&lt;C105, "MISSED", "MET"))</f>
        <v>BEAT</v>
      </c>
      <c r="D108" s="64" t="str">
        <f t="shared" si="34"/>
        <v>BEAT</v>
      </c>
      <c r="E108" s="64" t="str">
        <f t="shared" si="34"/>
        <v>BEAT</v>
      </c>
      <c r="F108" s="64" t="str">
        <f t="shared" si="34"/>
        <v>BEAT</v>
      </c>
      <c r="G108" s="64" t="str">
        <f t="shared" si="34"/>
        <v>BEAT</v>
      </c>
      <c r="H108" s="64" t="str">
        <f t="shared" si="34"/>
        <v>BEAT</v>
      </c>
      <c r="I108" s="64" t="str">
        <f t="shared" si="34"/>
        <v>BEAT</v>
      </c>
      <c r="J108" s="64" t="str">
        <f t="shared" si="34"/>
        <v>MET</v>
      </c>
    </row>
    <row r="109" spans="1:19" outlineLevel="1" x14ac:dyDescent="0.2">
      <c r="B109" s="9" t="s">
        <v>85</v>
      </c>
      <c r="C109" s="31"/>
      <c r="D109" s="31"/>
      <c r="E109" s="31"/>
      <c r="F109" s="31"/>
      <c r="G109" s="31"/>
      <c r="H109" s="31"/>
      <c r="I109" s="31"/>
      <c r="J109" s="31"/>
    </row>
    <row r="110" spans="1:19" outlineLevel="1" x14ac:dyDescent="0.2">
      <c r="B110" s="9" t="s">
        <v>86</v>
      </c>
      <c r="C110" s="31"/>
      <c r="D110" s="31"/>
      <c r="E110" s="31"/>
      <c r="F110" s="31"/>
      <c r="G110" s="31"/>
      <c r="H110" s="31"/>
      <c r="I110" s="31"/>
      <c r="J110" s="31"/>
    </row>
    <row r="111" spans="1:19" outlineLevel="1" x14ac:dyDescent="0.2">
      <c r="B111" s="9" t="s">
        <v>88</v>
      </c>
      <c r="C111" s="25"/>
      <c r="D111" s="25"/>
      <c r="E111" s="25"/>
      <c r="F111" s="25"/>
      <c r="G111" s="25"/>
      <c r="H111" s="25"/>
      <c r="I111" s="25"/>
      <c r="J111" s="25"/>
      <c r="K111" s="20"/>
      <c r="L111" s="20"/>
      <c r="M111" s="20"/>
    </row>
    <row r="112" spans="1:19" outlineLevel="1" x14ac:dyDescent="0.2">
      <c r="B112" s="12" t="s">
        <v>84</v>
      </c>
      <c r="C112" s="64"/>
      <c r="D112" s="64"/>
      <c r="E112" s="64"/>
      <c r="F112" s="64"/>
      <c r="G112" s="64"/>
      <c r="H112" s="64"/>
      <c r="I112" s="64"/>
      <c r="J112" s="64"/>
      <c r="K112" s="8"/>
      <c r="L112" s="8"/>
      <c r="M112" s="8"/>
    </row>
    <row r="113" spans="1:19" x14ac:dyDescent="0.2">
      <c r="B113" s="1"/>
    </row>
    <row r="114" spans="1:19" s="14" customFormat="1" ht="17" thickBot="1" x14ac:dyDescent="0.25">
      <c r="A114" s="4"/>
      <c r="B114" s="15" t="s">
        <v>118</v>
      </c>
      <c r="K114" s="8"/>
      <c r="L114" s="8"/>
      <c r="M114" s="8"/>
      <c r="O114" s="1"/>
      <c r="S114" s="1"/>
    </row>
    <row r="115" spans="1:19" outlineLevel="1" x14ac:dyDescent="0.2">
      <c r="C115" s="34"/>
      <c r="D115" s="34"/>
      <c r="E115" s="34"/>
      <c r="F115" s="34"/>
      <c r="G115" s="34"/>
      <c r="H115" s="34"/>
      <c r="I115" s="34"/>
      <c r="J115" s="34"/>
    </row>
    <row r="116" spans="1:19" x14ac:dyDescent="0.2">
      <c r="B116" s="1"/>
    </row>
    <row r="117" spans="1:19" s="14" customFormat="1" ht="17" thickBot="1" x14ac:dyDescent="0.25">
      <c r="A117" s="4"/>
      <c r="B117" s="15" t="s">
        <v>117</v>
      </c>
      <c r="K117" s="8"/>
      <c r="L117" s="8"/>
      <c r="M117" s="8"/>
      <c r="O117" s="1"/>
      <c r="S117" s="92"/>
    </row>
    <row r="118" spans="1:19" outlineLevel="1" x14ac:dyDescent="0.2">
      <c r="C118" s="34"/>
      <c r="D118" s="34"/>
      <c r="E118" s="34"/>
      <c r="F118" s="34"/>
      <c r="G118" s="34"/>
      <c r="H118" s="34"/>
      <c r="I118" s="34"/>
      <c r="J118" s="34"/>
    </row>
    <row r="119" spans="1:19" x14ac:dyDescent="0.2">
      <c r="B119" s="1"/>
    </row>
    <row r="120" spans="1:19" s="14" customFormat="1" ht="17" thickBot="1" x14ac:dyDescent="0.25">
      <c r="A120" s="4"/>
      <c r="B120" s="15" t="s">
        <v>119</v>
      </c>
      <c r="K120" s="1"/>
      <c r="L120" s="1"/>
      <c r="M120" s="1"/>
    </row>
    <row r="121" spans="1:19" outlineLevel="1" x14ac:dyDescent="0.2"/>
    <row r="122" spans="1:19" x14ac:dyDescent="0.2">
      <c r="B122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92 I32:J32 N5:N6 N8:N9 N11:N17 C42:J42 N52:N7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W89"/>
  <sheetViews>
    <sheetView zoomScale="179" workbookViewId="0">
      <pane xSplit="2" ySplit="3" topLeftCell="T29" activePane="bottomRight" state="frozen"/>
      <selection pane="topRight" activeCell="C1" sqref="C1"/>
      <selection pane="bottomLeft" activeCell="A4" sqref="A4"/>
      <selection pane="bottomRight" activeCell="W60" sqref="W60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12" width="10.83203125" style="1"/>
    <col min="13" max="13" width="4.5" style="1" customWidth="1"/>
    <col min="14" max="21" width="10.83203125" style="1"/>
    <col min="22" max="22" width="4" style="1" customWidth="1"/>
    <col min="23" max="16384" width="10.83203125" style="1"/>
  </cols>
  <sheetData>
    <row r="2" spans="2:23" x14ac:dyDescent="0.2">
      <c r="B2" s="61" t="s">
        <v>0</v>
      </c>
      <c r="C2" s="3" t="str">
        <f>'Statement Y'!C2</f>
        <v>24.09.2016</v>
      </c>
      <c r="D2" s="3" t="str">
        <f>'Statement Y'!D2</f>
        <v>30.09.2017</v>
      </c>
      <c r="E2" s="3" t="str">
        <f>'Statement Y'!E2</f>
        <v>29.09.2018</v>
      </c>
      <c r="F2" s="3" t="str">
        <f>'Statement Y'!F2</f>
        <v>28.09.2019</v>
      </c>
      <c r="G2" s="3" t="str">
        <f>'Statement Y'!G2</f>
        <v>26.09.2020</v>
      </c>
      <c r="H2" s="3" t="str">
        <f>'Statement Y'!H2</f>
        <v>25.09.2021</v>
      </c>
      <c r="I2" s="3" t="str">
        <f>'Statement Y'!I2</f>
        <v>24.09.2022</v>
      </c>
      <c r="J2" s="3" t="str">
        <f>'Statement Y'!J2</f>
        <v>30.09.2023</v>
      </c>
      <c r="K2" s="3" t="str">
        <f>'Statement Y'!K2</f>
        <v>28.09.2024</v>
      </c>
      <c r="L2" s="3" t="str">
        <f>'Statement Y'!L2</f>
        <v>27.09.2025</v>
      </c>
      <c r="N2" s="3" t="str">
        <f>'Statement Q'!C2</f>
        <v>30.03.2024</v>
      </c>
      <c r="O2" s="3" t="str">
        <f>'Statement Q'!D2</f>
        <v>29.06.2024</v>
      </c>
      <c r="P2" s="3" t="str">
        <f>'Statement Q'!E2</f>
        <v>28.09.2024</v>
      </c>
      <c r="Q2" s="3" t="str">
        <f>'Statement Q'!F2</f>
        <v>28.12.2024</v>
      </c>
      <c r="R2" s="3" t="str">
        <f>'Statement Q'!G2</f>
        <v>29.03.2025</v>
      </c>
      <c r="S2" s="3" t="str">
        <f>'Statement Q'!H2</f>
        <v>28.06.2025</v>
      </c>
      <c r="T2" s="3" t="str">
        <f>'Statement Q'!I2</f>
        <v>27.09.2025</v>
      </c>
      <c r="U2" s="3" t="str">
        <f>'Statement Q'!J2</f>
        <v>27.12.2025</v>
      </c>
      <c r="W2" s="3"/>
    </row>
    <row r="3" spans="2:23" x14ac:dyDescent="0.2">
      <c r="B3" s="62" t="s">
        <v>1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79</v>
      </c>
    </row>
    <row r="4" spans="2:23" ht="17" thickBot="1" x14ac:dyDescent="0.25">
      <c r="B4" s="15" t="s">
        <v>5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6</v>
      </c>
      <c r="C5" s="177">
        <f>'Statement Y'!C5</f>
        <v>215639</v>
      </c>
      <c r="D5" s="177">
        <f>'Statement Y'!D5</f>
        <v>229234</v>
      </c>
      <c r="E5" s="177">
        <f>'Statement Y'!E5</f>
        <v>265595</v>
      </c>
      <c r="F5" s="177">
        <f>'Statement Y'!F5</f>
        <v>260174</v>
      </c>
      <c r="G5" s="177">
        <f>'Statement Y'!G5</f>
        <v>274515</v>
      </c>
      <c r="H5" s="177">
        <f>'Statement Y'!H5</f>
        <v>365817</v>
      </c>
      <c r="I5" s="177">
        <f>'Statement Y'!I5</f>
        <v>394328</v>
      </c>
      <c r="J5" s="177">
        <f>'Statement Y'!J5</f>
        <v>383285</v>
      </c>
      <c r="K5" s="177">
        <f>'Statement Y'!K5</f>
        <v>391035</v>
      </c>
      <c r="L5" s="177">
        <f>'Statement Y'!L5</f>
        <v>416161</v>
      </c>
      <c r="N5" s="177">
        <f>'Statement Q'!C5</f>
        <v>90753</v>
      </c>
      <c r="O5" s="177">
        <f>'Statement Q'!D5</f>
        <v>85777</v>
      </c>
      <c r="P5" s="177">
        <f>'Statement Q'!E5</f>
        <v>94930</v>
      </c>
      <c r="Q5" s="177">
        <f>'Statement Q'!F5</f>
        <v>124300</v>
      </c>
      <c r="R5" s="177">
        <f>'Statement Q'!G5</f>
        <v>95359</v>
      </c>
      <c r="S5" s="177">
        <f>'Statement Q'!H5</f>
        <v>94036</v>
      </c>
      <c r="T5" s="177">
        <f>'Statement Q'!I5</f>
        <v>102466</v>
      </c>
      <c r="U5" s="177">
        <f>'Statement Q'!J5</f>
        <v>143756</v>
      </c>
      <c r="W5" s="177">
        <f>SUM(R5:U5)</f>
        <v>435617</v>
      </c>
    </row>
    <row r="6" spans="2:23" outlineLevel="1" x14ac:dyDescent="0.2">
      <c r="B6" s="9" t="s">
        <v>7</v>
      </c>
      <c r="C6" s="146">
        <f>'Statement Y'!C6</f>
        <v>131376</v>
      </c>
      <c r="D6" s="146">
        <f>'Statement Y'!D6</f>
        <v>141048</v>
      </c>
      <c r="E6" s="146">
        <f>'Statement Y'!E6</f>
        <v>163756</v>
      </c>
      <c r="F6" s="146">
        <f>'Statement Y'!F6</f>
        <v>161782</v>
      </c>
      <c r="G6" s="146">
        <f>'Statement Y'!G6</f>
        <v>169559</v>
      </c>
      <c r="H6" s="146">
        <f>'Statement Y'!H6</f>
        <v>212981</v>
      </c>
      <c r="I6" s="146">
        <f>'Statement Y'!I6</f>
        <v>223546</v>
      </c>
      <c r="J6" s="146">
        <f>'Statement Y'!J6</f>
        <v>214137</v>
      </c>
      <c r="K6" s="146">
        <f>'Statement Y'!K6</f>
        <v>210352</v>
      </c>
      <c r="L6" s="146">
        <f>'Statement Y'!L6</f>
        <v>220960</v>
      </c>
      <c r="N6" s="146">
        <f>'Statement Q'!C6</f>
        <v>48482</v>
      </c>
      <c r="O6" s="146">
        <f>'Statement Q'!D6</f>
        <v>46099</v>
      </c>
      <c r="P6" s="146">
        <f>'Statement Q'!E6</f>
        <v>51051</v>
      </c>
      <c r="Q6" s="146">
        <f>'Statement Q'!F6</f>
        <v>66025</v>
      </c>
      <c r="R6" s="146">
        <f>'Statement Q'!G6</f>
        <v>50492</v>
      </c>
      <c r="S6" s="146">
        <f>'Statement Q'!H6</f>
        <v>50318</v>
      </c>
      <c r="T6" s="146">
        <f>'Statement Q'!I6</f>
        <v>54125</v>
      </c>
      <c r="U6" s="146">
        <f>'Statement Q'!J6</f>
        <v>74525</v>
      </c>
      <c r="W6" s="146">
        <f t="shared" ref="W6:W16" si="0">SUM(R6:U6)</f>
        <v>229460</v>
      </c>
    </row>
    <row r="7" spans="2:23" outlineLevel="1" x14ac:dyDescent="0.2">
      <c r="B7" s="17" t="s">
        <v>8</v>
      </c>
      <c r="C7" s="177">
        <f>'Statement Y'!C7</f>
        <v>84263</v>
      </c>
      <c r="D7" s="177">
        <f>'Statement Y'!D7</f>
        <v>88186</v>
      </c>
      <c r="E7" s="177">
        <f>'Statement Y'!E7</f>
        <v>101839</v>
      </c>
      <c r="F7" s="177">
        <f>'Statement Y'!F7</f>
        <v>98392</v>
      </c>
      <c r="G7" s="177">
        <f>'Statement Y'!G7</f>
        <v>104956</v>
      </c>
      <c r="H7" s="177">
        <f>'Statement Y'!H7</f>
        <v>152836</v>
      </c>
      <c r="I7" s="177">
        <f>'Statement Y'!I7</f>
        <v>170782</v>
      </c>
      <c r="J7" s="177">
        <f>'Statement Y'!J7</f>
        <v>169148</v>
      </c>
      <c r="K7" s="177">
        <f>'Statement Y'!K7</f>
        <v>180683</v>
      </c>
      <c r="L7" s="177">
        <f>'Statement Y'!L7</f>
        <v>195201</v>
      </c>
      <c r="N7" s="177">
        <f>'Statement Q'!C7</f>
        <v>42271</v>
      </c>
      <c r="O7" s="177">
        <f>'Statement Q'!D7</f>
        <v>39678</v>
      </c>
      <c r="P7" s="177">
        <f>'Statement Q'!E7</f>
        <v>43879</v>
      </c>
      <c r="Q7" s="177">
        <f>'Statement Q'!F7</f>
        <v>58275</v>
      </c>
      <c r="R7" s="177">
        <f>'Statement Q'!G7</f>
        <v>44867</v>
      </c>
      <c r="S7" s="177">
        <f>'Statement Q'!H7</f>
        <v>43718</v>
      </c>
      <c r="T7" s="177">
        <f>'Statement Q'!I7</f>
        <v>48341</v>
      </c>
      <c r="U7" s="177">
        <f>'Statement Q'!J7</f>
        <v>69231</v>
      </c>
      <c r="W7" s="177">
        <f t="shared" si="0"/>
        <v>206157</v>
      </c>
    </row>
    <row r="8" spans="2:23" outlineLevel="1" x14ac:dyDescent="0.2">
      <c r="B8" s="9" t="s">
        <v>9</v>
      </c>
      <c r="C8" s="146">
        <f>'Statement Y'!C8</f>
        <v>10045</v>
      </c>
      <c r="D8" s="146">
        <f>'Statement Y'!D8</f>
        <v>11581</v>
      </c>
      <c r="E8" s="146">
        <f>'Statement Y'!E8</f>
        <v>14236</v>
      </c>
      <c r="F8" s="146">
        <f>'Statement Y'!F8</f>
        <v>16217</v>
      </c>
      <c r="G8" s="146">
        <f>'Statement Y'!G8</f>
        <v>18752</v>
      </c>
      <c r="H8" s="146">
        <f>'Statement Y'!H8</f>
        <v>21914</v>
      </c>
      <c r="I8" s="146">
        <f>'Statement Y'!I8</f>
        <v>26251</v>
      </c>
      <c r="J8" s="146">
        <f>'Statement Y'!J8</f>
        <v>29915</v>
      </c>
      <c r="K8" s="146">
        <f>'Statement Y'!K8</f>
        <v>31370</v>
      </c>
      <c r="L8" s="146">
        <f>'Statement Y'!L8</f>
        <v>34550</v>
      </c>
      <c r="N8" s="146">
        <f>'Statement Q'!C8</f>
        <v>7903</v>
      </c>
      <c r="O8" s="146">
        <f>'Statement Q'!D8</f>
        <v>8006</v>
      </c>
      <c r="P8" s="146">
        <f>'Statement Q'!E8</f>
        <v>7765</v>
      </c>
      <c r="Q8" s="146">
        <f>'Statement Q'!F8</f>
        <v>8268</v>
      </c>
      <c r="R8" s="146">
        <f>'Statement Q'!G8</f>
        <v>8550</v>
      </c>
      <c r="S8" s="146">
        <f>'Statement Q'!H8</f>
        <v>8866</v>
      </c>
      <c r="T8" s="146">
        <f>'Statement Q'!I8</f>
        <v>8866</v>
      </c>
      <c r="U8" s="146">
        <f>'Statement Q'!J8</f>
        <v>10887</v>
      </c>
      <c r="W8" s="146">
        <f t="shared" si="0"/>
        <v>37169</v>
      </c>
    </row>
    <row r="9" spans="2:23" outlineLevel="1" x14ac:dyDescent="0.2">
      <c r="B9" s="12" t="s">
        <v>348</v>
      </c>
      <c r="C9" s="146">
        <f>'Statement Y'!C9</f>
        <v>14194</v>
      </c>
      <c r="D9" s="146">
        <f>'Statement Y'!D9</f>
        <v>15261</v>
      </c>
      <c r="E9" s="146">
        <f>'Statement Y'!E9</f>
        <v>16705</v>
      </c>
      <c r="F9" s="146">
        <f>'Statement Y'!F9</f>
        <v>18245</v>
      </c>
      <c r="G9" s="146">
        <f>'Statement Y'!G9</f>
        <v>19916</v>
      </c>
      <c r="H9" s="146">
        <f>'Statement Y'!H9</f>
        <v>21973</v>
      </c>
      <c r="I9" s="146">
        <f>'Statement Y'!I9</f>
        <v>25094</v>
      </c>
      <c r="J9" s="146">
        <f>'Statement Y'!J9</f>
        <v>24932</v>
      </c>
      <c r="K9" s="146">
        <f>'Statement Y'!K9</f>
        <v>26097</v>
      </c>
      <c r="L9" s="146">
        <f>'Statement Y'!L9</f>
        <v>27601</v>
      </c>
      <c r="N9" s="146">
        <f>'Statement Q'!C9</f>
        <v>6468</v>
      </c>
      <c r="O9" s="146">
        <f>'Statement Q'!D9</f>
        <v>6320</v>
      </c>
      <c r="P9" s="146">
        <f>'Statement Q'!E9</f>
        <v>6523</v>
      </c>
      <c r="Q9" s="146">
        <f>'Statement Q'!F9</f>
        <v>7175</v>
      </c>
      <c r="R9" s="146">
        <f>'Statement Q'!G9</f>
        <v>6728</v>
      </c>
      <c r="S9" s="146">
        <f>'Statement Q'!H9</f>
        <v>6650</v>
      </c>
      <c r="T9" s="146">
        <f>'Statement Q'!I9</f>
        <v>7048</v>
      </c>
      <c r="U9" s="146">
        <f>'Statement Q'!J9</f>
        <v>7492</v>
      </c>
      <c r="W9" s="146">
        <f t="shared" si="0"/>
        <v>27918</v>
      </c>
    </row>
    <row r="10" spans="2:23" outlineLevel="1" x14ac:dyDescent="0.2">
      <c r="B10" s="12" t="s">
        <v>11</v>
      </c>
      <c r="C10" s="146">
        <f>'Statement Y'!C10</f>
        <v>24239</v>
      </c>
      <c r="D10" s="146">
        <f>'Statement Y'!D10</f>
        <v>26842</v>
      </c>
      <c r="E10" s="146">
        <f>'Statement Y'!E10</f>
        <v>30941</v>
      </c>
      <c r="F10" s="146">
        <f>'Statement Y'!F10</f>
        <v>34462</v>
      </c>
      <c r="G10" s="146">
        <f>'Statement Y'!G10</f>
        <v>38668</v>
      </c>
      <c r="H10" s="146">
        <f>'Statement Y'!H10</f>
        <v>43887</v>
      </c>
      <c r="I10" s="146">
        <f>'Statement Y'!I10</f>
        <v>51345</v>
      </c>
      <c r="J10" s="146">
        <f>'Statement Y'!J10</f>
        <v>54847</v>
      </c>
      <c r="K10" s="146">
        <f>'Statement Y'!K10</f>
        <v>57467</v>
      </c>
      <c r="L10" s="146">
        <f>'Statement Y'!L10</f>
        <v>62151</v>
      </c>
      <c r="N10" s="146">
        <f>'Statement Q'!C10</f>
        <v>14371</v>
      </c>
      <c r="O10" s="146">
        <f>'Statement Q'!D10</f>
        <v>14326</v>
      </c>
      <c r="P10" s="146">
        <f>'Statement Q'!E10</f>
        <v>14288</v>
      </c>
      <c r="Q10" s="146">
        <f>'Statement Q'!F10</f>
        <v>15443</v>
      </c>
      <c r="R10" s="146">
        <f>'Statement Q'!G10</f>
        <v>15278</v>
      </c>
      <c r="S10" s="146">
        <f>'Statement Q'!H10</f>
        <v>15516</v>
      </c>
      <c r="T10" s="146">
        <f>'Statement Q'!I10</f>
        <v>15914</v>
      </c>
      <c r="U10" s="146">
        <f>'Statement Q'!J10</f>
        <v>18379</v>
      </c>
      <c r="W10" s="146">
        <f t="shared" si="0"/>
        <v>65087</v>
      </c>
    </row>
    <row r="11" spans="2:23" outlineLevel="1" x14ac:dyDescent="0.2">
      <c r="B11" s="17" t="s">
        <v>12</v>
      </c>
      <c r="C11" s="177">
        <f>'Statement Y'!C11</f>
        <v>60024</v>
      </c>
      <c r="D11" s="177">
        <f>'Statement Y'!D11</f>
        <v>61344</v>
      </c>
      <c r="E11" s="177">
        <f>'Statement Y'!E11</f>
        <v>70898</v>
      </c>
      <c r="F11" s="177">
        <f>'Statement Y'!F11</f>
        <v>63930</v>
      </c>
      <c r="G11" s="177">
        <f>'Statement Y'!G11</f>
        <v>66288</v>
      </c>
      <c r="H11" s="177">
        <f>'Statement Y'!H11</f>
        <v>108949</v>
      </c>
      <c r="I11" s="177">
        <f>'Statement Y'!I11</f>
        <v>119437</v>
      </c>
      <c r="J11" s="177">
        <f>'Statement Y'!J11</f>
        <v>114301</v>
      </c>
      <c r="K11" s="177">
        <f>'Statement Y'!K11</f>
        <v>123216</v>
      </c>
      <c r="L11" s="177">
        <f>'Statement Y'!L11</f>
        <v>133050</v>
      </c>
      <c r="N11" s="177">
        <f>'Statement Q'!C11</f>
        <v>27900</v>
      </c>
      <c r="O11" s="177">
        <f>'Statement Q'!D11</f>
        <v>25352</v>
      </c>
      <c r="P11" s="177">
        <f>'Statement Q'!E11</f>
        <v>29591</v>
      </c>
      <c r="Q11" s="177">
        <f>'Statement Q'!F11</f>
        <v>42832</v>
      </c>
      <c r="R11" s="177">
        <f>'Statement Q'!G11</f>
        <v>29589</v>
      </c>
      <c r="S11" s="177">
        <f>'Statement Q'!H11</f>
        <v>28202</v>
      </c>
      <c r="T11" s="177">
        <f>'Statement Q'!I11</f>
        <v>32427</v>
      </c>
      <c r="U11" s="177">
        <f>'Statement Q'!J11</f>
        <v>50852</v>
      </c>
      <c r="W11" s="177">
        <f t="shared" si="0"/>
        <v>141070</v>
      </c>
    </row>
    <row r="12" spans="2:23" outlineLevel="1" x14ac:dyDescent="0.2">
      <c r="B12" s="78" t="s">
        <v>339</v>
      </c>
      <c r="C12" s="193">
        <f t="shared" ref="C12:L12" si="1">C11+C50</f>
        <v>70529</v>
      </c>
      <c r="D12" s="193">
        <f t="shared" si="1"/>
        <v>71501</v>
      </c>
      <c r="E12" s="193">
        <f t="shared" si="1"/>
        <v>81801</v>
      </c>
      <c r="F12" s="193">
        <f t="shared" si="1"/>
        <v>76477</v>
      </c>
      <c r="G12" s="193">
        <f t="shared" si="1"/>
        <v>77344</v>
      </c>
      <c r="H12" s="193">
        <f t="shared" si="1"/>
        <v>120233</v>
      </c>
      <c r="I12" s="193">
        <f t="shared" si="1"/>
        <v>130541</v>
      </c>
      <c r="J12" s="193">
        <f t="shared" si="1"/>
        <v>125820</v>
      </c>
      <c r="K12" s="193">
        <f t="shared" si="1"/>
        <v>134661</v>
      </c>
      <c r="L12" s="193">
        <f t="shared" si="1"/>
        <v>144748</v>
      </c>
      <c r="N12" s="193">
        <f t="shared" ref="N12:U12" si="2">N11+N50</f>
        <v>27900</v>
      </c>
      <c r="O12" s="193">
        <f t="shared" si="2"/>
        <v>25352</v>
      </c>
      <c r="P12" s="193">
        <f t="shared" si="2"/>
        <v>29591</v>
      </c>
      <c r="Q12" s="193">
        <f t="shared" si="2"/>
        <v>45912</v>
      </c>
      <c r="R12" s="193">
        <f t="shared" si="2"/>
        <v>32250</v>
      </c>
      <c r="S12" s="193">
        <f t="shared" si="2"/>
        <v>31032</v>
      </c>
      <c r="T12" s="193">
        <f t="shared" si="2"/>
        <v>35554</v>
      </c>
      <c r="U12" s="193">
        <f t="shared" si="2"/>
        <v>54066</v>
      </c>
      <c r="W12" s="193">
        <f>SUM(R12:U12)</f>
        <v>152902</v>
      </c>
    </row>
    <row r="13" spans="2:23" outlineLevel="1" x14ac:dyDescent="0.2">
      <c r="B13" s="12" t="s">
        <v>299</v>
      </c>
      <c r="C13" s="146">
        <f>'Statement Y'!C12</f>
        <v>1348</v>
      </c>
      <c r="D13" s="146">
        <f>'Statement Y'!D12</f>
        <v>2745</v>
      </c>
      <c r="E13" s="146">
        <f>'Statement Y'!E12</f>
        <v>2005</v>
      </c>
      <c r="F13" s="146">
        <f>'Statement Y'!F12</f>
        <v>1807</v>
      </c>
      <c r="G13" s="146">
        <f>'Statement Y'!G12</f>
        <v>803</v>
      </c>
      <c r="H13" s="146">
        <f>'Statement Y'!H12</f>
        <v>258</v>
      </c>
      <c r="I13" s="146">
        <f>'Statement Y'!I12</f>
        <v>-334</v>
      </c>
      <c r="J13" s="146">
        <f>'Statement Y'!J12</f>
        <v>-565</v>
      </c>
      <c r="K13" s="146">
        <f>'Statement Y'!K12</f>
        <v>269</v>
      </c>
      <c r="L13" s="146">
        <f>'Statement Y'!L12</f>
        <v>-321</v>
      </c>
      <c r="N13" s="146">
        <f>'Statement Q'!C12</f>
        <v>158</v>
      </c>
      <c r="O13" s="146">
        <f>'Statement Q'!D12</f>
        <v>142</v>
      </c>
      <c r="P13" s="146">
        <f>'Statement Q'!E12</f>
        <v>19</v>
      </c>
      <c r="Q13" s="146">
        <f>'Statement Q'!F12</f>
        <v>-248</v>
      </c>
      <c r="R13" s="146">
        <f>'Statement Q'!G12</f>
        <v>-279</v>
      </c>
      <c r="S13" s="146">
        <f>'Statement Q'!H12</f>
        <v>-171</v>
      </c>
      <c r="T13" s="146">
        <f>'Statement Q'!I12</f>
        <v>377</v>
      </c>
      <c r="U13" s="146">
        <f>'Statement Q'!J12</f>
        <v>150</v>
      </c>
      <c r="W13" s="146">
        <f t="shared" si="0"/>
        <v>77</v>
      </c>
    </row>
    <row r="14" spans="2:23" outlineLevel="1" x14ac:dyDescent="0.2">
      <c r="B14" s="17" t="s">
        <v>13</v>
      </c>
      <c r="C14" s="177">
        <f>'Statement Y'!C13</f>
        <v>61372</v>
      </c>
      <c r="D14" s="177">
        <f>'Statement Y'!D13</f>
        <v>64089</v>
      </c>
      <c r="E14" s="177">
        <f>'Statement Y'!E13</f>
        <v>72903</v>
      </c>
      <c r="F14" s="177">
        <f>'Statement Y'!F13</f>
        <v>65737</v>
      </c>
      <c r="G14" s="177">
        <f>'Statement Y'!G13</f>
        <v>67091</v>
      </c>
      <c r="H14" s="177">
        <f>'Statement Y'!H13</f>
        <v>109207</v>
      </c>
      <c r="I14" s="177">
        <f>'Statement Y'!I13</f>
        <v>119103</v>
      </c>
      <c r="J14" s="177">
        <f>'Statement Y'!J13</f>
        <v>113736</v>
      </c>
      <c r="K14" s="177">
        <f>'Statement Y'!K13</f>
        <v>123485</v>
      </c>
      <c r="L14" s="177">
        <f>'Statement Y'!L13</f>
        <v>132729</v>
      </c>
      <c r="N14" s="177">
        <f>'Statement Q'!C13</f>
        <v>28058</v>
      </c>
      <c r="O14" s="177">
        <f>'Statement Q'!D13</f>
        <v>25494</v>
      </c>
      <c r="P14" s="177">
        <f>'Statement Q'!E13</f>
        <v>29610</v>
      </c>
      <c r="Q14" s="177">
        <f>'Statement Q'!F13</f>
        <v>42584</v>
      </c>
      <c r="R14" s="177">
        <f>'Statement Q'!G13</f>
        <v>29310</v>
      </c>
      <c r="S14" s="177">
        <f>'Statement Q'!H13</f>
        <v>28031</v>
      </c>
      <c r="T14" s="177">
        <f>'Statement Q'!I13</f>
        <v>32804</v>
      </c>
      <c r="U14" s="177">
        <f>'Statement Q'!J13</f>
        <v>51002</v>
      </c>
      <c r="W14" s="177">
        <f t="shared" si="0"/>
        <v>141147</v>
      </c>
    </row>
    <row r="15" spans="2:23" outlineLevel="1" x14ac:dyDescent="0.2">
      <c r="B15" s="12" t="s">
        <v>76</v>
      </c>
      <c r="C15" s="146">
        <f>'Statement Y'!C14</f>
        <v>-15685</v>
      </c>
      <c r="D15" s="146">
        <f>'Statement Y'!D14</f>
        <v>-15738</v>
      </c>
      <c r="E15" s="146">
        <f>'Statement Y'!E14</f>
        <v>-13372</v>
      </c>
      <c r="F15" s="146">
        <f>'Statement Y'!F14</f>
        <v>-10481</v>
      </c>
      <c r="G15" s="146">
        <f>'Statement Y'!G14</f>
        <v>-9680</v>
      </c>
      <c r="H15" s="146">
        <f>'Statement Y'!H14</f>
        <v>-14527</v>
      </c>
      <c r="I15" s="146">
        <f>'Statement Y'!I14</f>
        <v>-19300</v>
      </c>
      <c r="J15" s="146">
        <f>'Statement Y'!J14</f>
        <v>-16741</v>
      </c>
      <c r="K15" s="146">
        <f>'Statement Y'!K14</f>
        <v>-29749</v>
      </c>
      <c r="L15" s="146">
        <f>'Statement Y'!L14</f>
        <v>-20719</v>
      </c>
      <c r="N15" s="146">
        <f>'Statement Q'!C14</f>
        <v>-4422</v>
      </c>
      <c r="O15" s="146">
        <f>'Statement Q'!D14</f>
        <v>-4046</v>
      </c>
      <c r="P15" s="146">
        <f>'Statement Q'!E14</f>
        <v>-14874</v>
      </c>
      <c r="Q15" s="146">
        <f>'Statement Q'!F14</f>
        <v>-6254</v>
      </c>
      <c r="R15" s="146">
        <f>'Statement Q'!G14</f>
        <v>-4530</v>
      </c>
      <c r="S15" s="146">
        <f>'Statement Q'!H14</f>
        <v>-4597</v>
      </c>
      <c r="T15" s="146">
        <f>'Statement Q'!I14</f>
        <v>-5338</v>
      </c>
      <c r="U15" s="146">
        <f>'Statement Q'!J14</f>
        <v>-8905</v>
      </c>
      <c r="W15" s="146">
        <f t="shared" si="0"/>
        <v>-23370</v>
      </c>
    </row>
    <row r="16" spans="2:23" outlineLevel="1" x14ac:dyDescent="0.2">
      <c r="B16" s="17" t="s">
        <v>14</v>
      </c>
      <c r="C16" s="177">
        <f>'Statement Y'!C15</f>
        <v>45687</v>
      </c>
      <c r="D16" s="177">
        <f>'Statement Y'!D15</f>
        <v>48351</v>
      </c>
      <c r="E16" s="177">
        <f>'Statement Y'!E15</f>
        <v>59531</v>
      </c>
      <c r="F16" s="177">
        <f>'Statement Y'!F15</f>
        <v>55256</v>
      </c>
      <c r="G16" s="177">
        <f>'Statement Y'!G15</f>
        <v>57411</v>
      </c>
      <c r="H16" s="177">
        <f>'Statement Y'!H15</f>
        <v>94680</v>
      </c>
      <c r="I16" s="177">
        <f>'Statement Y'!I15</f>
        <v>99803</v>
      </c>
      <c r="J16" s="177">
        <f>'Statement Y'!J15</f>
        <v>96995</v>
      </c>
      <c r="K16" s="177">
        <f>'Statement Y'!K15</f>
        <v>93736</v>
      </c>
      <c r="L16" s="177">
        <f>'Statement Y'!L15</f>
        <v>112010</v>
      </c>
      <c r="N16" s="177">
        <f>'Statement Q'!C15</f>
        <v>23636</v>
      </c>
      <c r="O16" s="177">
        <f>'Statement Q'!D15</f>
        <v>21448</v>
      </c>
      <c r="P16" s="177">
        <f>'Statement Q'!E15</f>
        <v>14736</v>
      </c>
      <c r="Q16" s="177">
        <f>'Statement Q'!F15</f>
        <v>36330</v>
      </c>
      <c r="R16" s="177">
        <f>'Statement Q'!G15</f>
        <v>24780</v>
      </c>
      <c r="S16" s="177">
        <f>'Statement Q'!H15</f>
        <v>23434</v>
      </c>
      <c r="T16" s="177">
        <f>'Statement Q'!I15</f>
        <v>27466</v>
      </c>
      <c r="U16" s="177">
        <f>'Statement Q'!J15</f>
        <v>42097</v>
      </c>
      <c r="W16" s="177">
        <f t="shared" si="0"/>
        <v>117777</v>
      </c>
    </row>
    <row r="17" spans="2:23" outlineLevel="1" x14ac:dyDescent="0.2">
      <c r="B17" s="12" t="s">
        <v>16</v>
      </c>
      <c r="C17" s="146">
        <f>'Statement Y'!C19</f>
        <v>22000</v>
      </c>
      <c r="D17" s="146">
        <f>'Statement Y'!D19</f>
        <v>21008</v>
      </c>
      <c r="E17" s="146">
        <f>'Statement Y'!E19</f>
        <v>20000</v>
      </c>
      <c r="F17" s="146">
        <f>'Statement Y'!F19</f>
        <v>18596</v>
      </c>
      <c r="G17" s="146">
        <f>'Statement Y'!G19</f>
        <v>17528</v>
      </c>
      <c r="H17" s="146">
        <f>'Statement Y'!H19</f>
        <v>16865</v>
      </c>
      <c r="I17" s="146">
        <f>'Statement Y'!I19</f>
        <v>16326</v>
      </c>
      <c r="J17" s="146">
        <f>'Statement Y'!J19</f>
        <v>15813</v>
      </c>
      <c r="K17" s="146">
        <f>'Statement Y'!K19</f>
        <v>15408</v>
      </c>
      <c r="L17" s="146">
        <f>'Statement Y'!L19</f>
        <v>15005</v>
      </c>
      <c r="N17" s="146">
        <f>'Statement Q'!C17</f>
        <v>15465</v>
      </c>
      <c r="O17" s="146">
        <f>'Statement Q'!D17</f>
        <v>15348</v>
      </c>
      <c r="P17" s="146">
        <f>'Statement Q'!E17</f>
        <v>15242</v>
      </c>
      <c r="Q17" s="146">
        <f>'Statement Q'!F17</f>
        <v>15151</v>
      </c>
      <c r="R17" s="146">
        <f>'Statement Q'!G17</f>
        <v>15056</v>
      </c>
      <c r="S17" s="146">
        <f>'Statement Q'!H17</f>
        <v>14948</v>
      </c>
      <c r="T17" s="146">
        <f>'Statement Q'!I17</f>
        <v>14864</v>
      </c>
      <c r="U17" s="146">
        <f>'Statement Q'!J17</f>
        <v>14810</v>
      </c>
      <c r="W17" s="146">
        <f>AVERAGE(R17:U17)</f>
        <v>14919.5</v>
      </c>
    </row>
    <row r="18" spans="2:23" ht="17" outlineLevel="1" thickBot="1" x14ac:dyDescent="0.25">
      <c r="B18" s="10" t="s">
        <v>18</v>
      </c>
      <c r="C18" s="178">
        <f>'Statement Y'!C23</f>
        <v>2.0775000000000001</v>
      </c>
      <c r="D18" s="178">
        <f>'Statement Y'!D23</f>
        <v>2.3025000000000002</v>
      </c>
      <c r="E18" s="178">
        <f>'Statement Y'!E23</f>
        <v>2.9775</v>
      </c>
      <c r="F18" s="178">
        <f>'Statement Y'!F23</f>
        <v>2.9725000000000001</v>
      </c>
      <c r="G18" s="178">
        <f>'Statement Y'!G23</f>
        <v>3.28</v>
      </c>
      <c r="H18" s="178">
        <f>'Statement Y'!H23</f>
        <v>5.61</v>
      </c>
      <c r="I18" s="178">
        <f>'Statement Y'!I23</f>
        <v>6.11</v>
      </c>
      <c r="J18" s="178">
        <f>'Statement Y'!J23</f>
        <v>6.13</v>
      </c>
      <c r="K18" s="178">
        <f>'Statement Y'!K23</f>
        <v>6.08</v>
      </c>
      <c r="L18" s="178">
        <f>'Statement Y'!L23</f>
        <v>7.46</v>
      </c>
      <c r="N18" s="179">
        <f>'Statement Q'!C19</f>
        <v>1.53</v>
      </c>
      <c r="O18" s="179">
        <f>'Statement Q'!D19</f>
        <v>1.4</v>
      </c>
      <c r="P18" s="179">
        <f>'Statement Q'!E19</f>
        <v>0.97</v>
      </c>
      <c r="Q18" s="179">
        <f>'Statement Q'!F19</f>
        <v>2.4</v>
      </c>
      <c r="R18" s="179">
        <f>'Statement Q'!G19</f>
        <v>1.65</v>
      </c>
      <c r="S18" s="179">
        <f>'Statement Q'!H19</f>
        <v>1.57</v>
      </c>
      <c r="T18" s="179">
        <f>'Statement Q'!I19</f>
        <v>1.85</v>
      </c>
      <c r="U18" s="179">
        <f>'Statement Q'!J19</f>
        <v>2.84</v>
      </c>
      <c r="W18" s="179">
        <f>W16/W17</f>
        <v>7.8941653540668257</v>
      </c>
    </row>
    <row r="20" spans="2:23" ht="17" thickBot="1" x14ac:dyDescent="0.25">
      <c r="B20" s="15" t="s">
        <v>19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N20" s="14"/>
      <c r="O20" s="14"/>
      <c r="P20" s="14"/>
      <c r="Q20" s="14"/>
      <c r="R20" s="14"/>
      <c r="S20" s="14"/>
      <c r="T20" s="14"/>
      <c r="U20" s="14"/>
      <c r="W20" s="14"/>
    </row>
    <row r="21" spans="2:23" outlineLevel="1" x14ac:dyDescent="0.2">
      <c r="B21" s="9" t="s">
        <v>20</v>
      </c>
      <c r="C21" s="146">
        <f>'Statement Y'!C26+'Statement Y'!C27</f>
        <v>67155</v>
      </c>
      <c r="D21" s="146">
        <f>'Statement Y'!D26+'Statement Y'!D27</f>
        <v>74181</v>
      </c>
      <c r="E21" s="146">
        <f>'Statement Y'!E26+'Statement Y'!E27</f>
        <v>66301</v>
      </c>
      <c r="F21" s="146">
        <f>'Statement Y'!F26+'Statement Y'!F27</f>
        <v>100557</v>
      </c>
      <c r="G21" s="146">
        <f>'Statement Y'!G26+'Statement Y'!G27</f>
        <v>90943</v>
      </c>
      <c r="H21" s="146">
        <f>'Statement Y'!H26+'Statement Y'!H27</f>
        <v>62639</v>
      </c>
      <c r="I21" s="146">
        <f>'Statement Y'!I26+'Statement Y'!I27</f>
        <v>48304</v>
      </c>
      <c r="J21" s="146">
        <f>'Statement Y'!J26+'Statement Y'!J27</f>
        <v>61555</v>
      </c>
      <c r="K21" s="146">
        <f>'Statement Y'!K26+'Statement Y'!K27</f>
        <v>65171</v>
      </c>
      <c r="L21" s="146">
        <f>'Statement Y'!L26+'Statement Y'!L27</f>
        <v>54697</v>
      </c>
      <c r="N21" s="146">
        <f>'Statement Q'!C22+'Statement Q'!C23</f>
        <v>67150</v>
      </c>
      <c r="O21" s="146">
        <f>'Statement Q'!D22+'Statement Q'!D23</f>
        <v>61801</v>
      </c>
      <c r="P21" s="146">
        <f>'Statement Q'!E22+'Statement Q'!E23</f>
        <v>65171</v>
      </c>
      <c r="Q21" s="146">
        <f>'Statement Q'!F22+'Statement Q'!F23</f>
        <v>53775</v>
      </c>
      <c r="R21" s="146">
        <f>'Statement Q'!G22+'Statement Q'!G23</f>
        <v>48498</v>
      </c>
      <c r="S21" s="146">
        <f>'Statement Q'!H22+'Statement Q'!H23</f>
        <v>55372</v>
      </c>
      <c r="T21" s="146">
        <f>'Statement Q'!I22+'Statement Q'!I23</f>
        <v>54697</v>
      </c>
      <c r="U21" s="146">
        <f>'Statement Q'!J22+'Statement Q'!J23</f>
        <v>66907</v>
      </c>
      <c r="W21" s="146">
        <f>U21</f>
        <v>66907</v>
      </c>
    </row>
    <row r="22" spans="2:23" outlineLevel="1" x14ac:dyDescent="0.2">
      <c r="B22" s="9" t="s">
        <v>21</v>
      </c>
      <c r="C22" s="146">
        <f>'Statement Y'!C28</f>
        <v>15754</v>
      </c>
      <c r="D22" s="146">
        <f>'Statement Y'!D28</f>
        <v>17874</v>
      </c>
      <c r="E22" s="146">
        <f>'Statement Y'!E28</f>
        <v>23186</v>
      </c>
      <c r="F22" s="146">
        <f>'Statement Y'!F28</f>
        <v>22926</v>
      </c>
      <c r="G22" s="146">
        <f>'Statement Y'!G28</f>
        <v>16120</v>
      </c>
      <c r="H22" s="146">
        <f>'Statement Y'!H28</f>
        <v>26278</v>
      </c>
      <c r="I22" s="146">
        <f>'Statement Y'!I28</f>
        <v>28184</v>
      </c>
      <c r="J22" s="146">
        <f>'Statement Y'!J28</f>
        <v>29508</v>
      </c>
      <c r="K22" s="146">
        <f>'Statement Y'!K28</f>
        <v>33410</v>
      </c>
      <c r="L22" s="146">
        <f>'Statement Y'!L28</f>
        <v>39777</v>
      </c>
      <c r="N22" s="146">
        <f>'Statement Q'!C24</f>
        <v>21837</v>
      </c>
      <c r="O22" s="146">
        <f>'Statement Q'!D24</f>
        <v>22795</v>
      </c>
      <c r="P22" s="146">
        <f>'Statement Q'!E24</f>
        <v>33410</v>
      </c>
      <c r="Q22" s="146">
        <f>'Statement Q'!F24</f>
        <v>29639</v>
      </c>
      <c r="R22" s="146">
        <f>'Statement Q'!G24</f>
        <v>26136</v>
      </c>
      <c r="S22" s="146">
        <f>'Statement Q'!H24</f>
        <v>27557</v>
      </c>
      <c r="T22" s="146">
        <f>'Statement Q'!I24</f>
        <v>39777</v>
      </c>
      <c r="U22" s="146">
        <f>'Statement Q'!J24</f>
        <v>39921</v>
      </c>
      <c r="W22" s="146">
        <f t="shared" ref="W22:W46" si="3">U22</f>
        <v>39921</v>
      </c>
    </row>
    <row r="23" spans="2:23" outlineLevel="1" x14ac:dyDescent="0.2">
      <c r="B23" s="9" t="s">
        <v>365</v>
      </c>
      <c r="C23" s="146">
        <f>'Statement Y'!C29</f>
        <v>13545</v>
      </c>
      <c r="D23" s="146">
        <f>'Statement Y'!D29</f>
        <v>17799</v>
      </c>
      <c r="E23" s="146">
        <f>'Statement Y'!E29</f>
        <v>25809</v>
      </c>
      <c r="F23" s="146">
        <f>'Statement Y'!F29</f>
        <v>22878</v>
      </c>
      <c r="G23" s="146">
        <f>'Statement Y'!G29</f>
        <v>21325</v>
      </c>
      <c r="H23" s="146">
        <f>'Statement Y'!H29</f>
        <v>25228</v>
      </c>
      <c r="I23" s="146">
        <f>'Statement Y'!I29</f>
        <v>32748</v>
      </c>
      <c r="J23" s="146">
        <f>'Statement Y'!J29</f>
        <v>31477</v>
      </c>
      <c r="K23" s="146">
        <f>'Statement Y'!K29</f>
        <v>32833</v>
      </c>
      <c r="L23" s="146">
        <f>'Statement Y'!L29</f>
        <v>33180</v>
      </c>
      <c r="N23" s="146">
        <f>'Statement Q'!C25</f>
        <v>19313</v>
      </c>
      <c r="O23" s="146">
        <f>'Statement Q'!D25</f>
        <v>20377</v>
      </c>
      <c r="P23" s="146">
        <f>'Statement Q'!E25</f>
        <v>32833</v>
      </c>
      <c r="Q23" s="146">
        <f>'Statement Q'!F25</f>
        <v>29667</v>
      </c>
      <c r="R23" s="146">
        <f>'Statement Q'!G25</f>
        <v>23662</v>
      </c>
      <c r="S23" s="146">
        <f>'Statement Q'!H25</f>
        <v>19278</v>
      </c>
      <c r="T23" s="146">
        <f>'Statement Q'!I25</f>
        <v>33180</v>
      </c>
      <c r="U23" s="146">
        <f>'Statement Q'!J25</f>
        <v>30399</v>
      </c>
      <c r="W23" s="146">
        <f t="shared" si="3"/>
        <v>30399</v>
      </c>
    </row>
    <row r="24" spans="2:23" outlineLevel="1" x14ac:dyDescent="0.2">
      <c r="B24" s="9" t="s">
        <v>366</v>
      </c>
      <c r="C24" s="146">
        <f>'Statement Y'!C30</f>
        <v>2132</v>
      </c>
      <c r="D24" s="146">
        <f>'Statement Y'!D30</f>
        <v>4855</v>
      </c>
      <c r="E24" s="146">
        <f>'Statement Y'!E30</f>
        <v>3956</v>
      </c>
      <c r="F24" s="146">
        <f>'Statement Y'!F30</f>
        <v>4106</v>
      </c>
      <c r="G24" s="146">
        <f>'Statement Y'!G30</f>
        <v>4061</v>
      </c>
      <c r="H24" s="146">
        <f>'Statement Y'!H30</f>
        <v>6580</v>
      </c>
      <c r="I24" s="146">
        <f>'Statement Y'!I30</f>
        <v>4946</v>
      </c>
      <c r="J24" s="146">
        <f>'Statement Y'!J30</f>
        <v>6331</v>
      </c>
      <c r="K24" s="146">
        <f>'Statement Y'!K30</f>
        <v>7286</v>
      </c>
      <c r="L24" s="146">
        <f>'Statement Y'!L30</f>
        <v>5718</v>
      </c>
      <c r="N24" s="146">
        <f>'Statement Q'!C26</f>
        <v>6232</v>
      </c>
      <c r="O24" s="146">
        <f>'Statement Q'!D26</f>
        <v>6165</v>
      </c>
      <c r="P24" s="146">
        <f>'Statement Q'!E26</f>
        <v>7286</v>
      </c>
      <c r="Q24" s="146">
        <f>'Statement Q'!F26</f>
        <v>6911</v>
      </c>
      <c r="R24" s="146">
        <f>'Statement Q'!G26</f>
        <v>6269</v>
      </c>
      <c r="S24" s="146">
        <f>'Statement Q'!H26</f>
        <v>5925</v>
      </c>
      <c r="T24" s="146">
        <f>'Statement Q'!I26</f>
        <v>5718</v>
      </c>
      <c r="U24" s="146">
        <f>'Statement Q'!J26</f>
        <v>5875</v>
      </c>
      <c r="W24" s="146">
        <f t="shared" si="3"/>
        <v>5875</v>
      </c>
    </row>
    <row r="25" spans="2:23" outlineLevel="1" x14ac:dyDescent="0.2">
      <c r="B25" s="9" t="s">
        <v>367</v>
      </c>
      <c r="C25" s="146">
        <f>'Statement Y'!C31</f>
        <v>8283</v>
      </c>
      <c r="D25" s="146">
        <f>'Statement Y'!D31</f>
        <v>13936</v>
      </c>
      <c r="E25" s="146">
        <f>'Statement Y'!E31</f>
        <v>12087</v>
      </c>
      <c r="F25" s="146">
        <f>'Statement Y'!F31</f>
        <v>12352</v>
      </c>
      <c r="G25" s="146">
        <f>'Statement Y'!G31</f>
        <v>11264</v>
      </c>
      <c r="H25" s="146">
        <f>'Statement Y'!H31</f>
        <v>14111</v>
      </c>
      <c r="I25" s="146">
        <f>'Statement Y'!I31</f>
        <v>21223</v>
      </c>
      <c r="J25" s="146">
        <f>'Statement Y'!J31</f>
        <v>14695</v>
      </c>
      <c r="K25" s="146">
        <f>'Statement Y'!K31</f>
        <v>14287</v>
      </c>
      <c r="L25" s="146">
        <f>'Statement Y'!L31</f>
        <v>14585</v>
      </c>
      <c r="N25" s="146">
        <f>'Statement Q'!C27</f>
        <v>13884</v>
      </c>
      <c r="O25" s="146">
        <f>'Statement Q'!D27</f>
        <v>14297</v>
      </c>
      <c r="P25" s="146">
        <f>'Statement Q'!E27</f>
        <v>14287</v>
      </c>
      <c r="Q25" s="146">
        <f>'Statement Q'!F27</f>
        <v>13248</v>
      </c>
      <c r="R25" s="146">
        <f>'Statement Q'!G27</f>
        <v>14109</v>
      </c>
      <c r="S25" s="146">
        <f>'Statement Q'!H27</f>
        <v>14359</v>
      </c>
      <c r="T25" s="146">
        <f>'Statement Q'!I27</f>
        <v>14585</v>
      </c>
      <c r="U25" s="146">
        <f>'Statement Q'!J27</f>
        <v>15002</v>
      </c>
      <c r="W25" s="146">
        <f t="shared" si="3"/>
        <v>15002</v>
      </c>
    </row>
    <row r="26" spans="2:23" outlineLevel="1" x14ac:dyDescent="0.2">
      <c r="B26" s="11" t="s">
        <v>22</v>
      </c>
      <c r="C26" s="180">
        <f>'Statement Y'!C32</f>
        <v>106869</v>
      </c>
      <c r="D26" s="180">
        <f>'Statement Y'!D32</f>
        <v>128645</v>
      </c>
      <c r="E26" s="180">
        <f>'Statement Y'!E32</f>
        <v>131339</v>
      </c>
      <c r="F26" s="180">
        <f>'Statement Y'!F32</f>
        <v>162819</v>
      </c>
      <c r="G26" s="180">
        <f>'Statement Y'!G32</f>
        <v>143713</v>
      </c>
      <c r="H26" s="180">
        <f>'Statement Y'!H32</f>
        <v>134846</v>
      </c>
      <c r="I26" s="180">
        <f>'Statement Y'!I32</f>
        <v>135405</v>
      </c>
      <c r="J26" s="180">
        <f>'Statement Y'!J32</f>
        <v>143566</v>
      </c>
      <c r="K26" s="180">
        <f>'Statement Y'!K32</f>
        <v>152987</v>
      </c>
      <c r="L26" s="180">
        <f>'Statement Y'!L32</f>
        <v>147957</v>
      </c>
      <c r="N26" s="180">
        <f>'Statement Q'!C28</f>
        <v>128416</v>
      </c>
      <c r="O26" s="180">
        <f>'Statement Q'!D28</f>
        <v>125435</v>
      </c>
      <c r="P26" s="180">
        <f>'Statement Q'!E28</f>
        <v>152987</v>
      </c>
      <c r="Q26" s="180">
        <f>'Statement Q'!F28</f>
        <v>133240</v>
      </c>
      <c r="R26" s="180">
        <f>'Statement Q'!G28</f>
        <v>118674</v>
      </c>
      <c r="S26" s="180">
        <f>'Statement Q'!H28</f>
        <v>122491</v>
      </c>
      <c r="T26" s="180">
        <f>'Statement Q'!I28</f>
        <v>147957</v>
      </c>
      <c r="U26" s="180">
        <f>'Statement Q'!J28</f>
        <v>158104</v>
      </c>
      <c r="W26" s="180">
        <f t="shared" si="3"/>
        <v>158104</v>
      </c>
    </row>
    <row r="27" spans="2:23" outlineLevel="1" x14ac:dyDescent="0.2">
      <c r="B27" s="9" t="s">
        <v>364</v>
      </c>
      <c r="C27" s="146">
        <f>'Statement Y'!C33</f>
        <v>170430</v>
      </c>
      <c r="D27" s="146">
        <f>'Statement Y'!D33</f>
        <v>194714</v>
      </c>
      <c r="E27" s="146">
        <f>'Statement Y'!E33</f>
        <v>170799</v>
      </c>
      <c r="F27" s="146">
        <f>'Statement Y'!F33</f>
        <v>105341</v>
      </c>
      <c r="G27" s="146">
        <f>'Statement Y'!G33</f>
        <v>100887</v>
      </c>
      <c r="H27" s="146">
        <f>'Statement Y'!H33</f>
        <v>127877</v>
      </c>
      <c r="I27" s="146">
        <f>'Statement Y'!I33</f>
        <v>120805</v>
      </c>
      <c r="J27" s="146">
        <f>'Statement Y'!J33</f>
        <v>100544</v>
      </c>
      <c r="K27" s="146">
        <f>'Statement Y'!K33</f>
        <v>91479</v>
      </c>
      <c r="L27" s="146">
        <f>'Statement Y'!L33</f>
        <v>77723</v>
      </c>
      <c r="N27" s="146">
        <f>'Statement Q'!C29</f>
        <v>95187</v>
      </c>
      <c r="O27" s="146">
        <f>'Statement Q'!D29</f>
        <v>91240</v>
      </c>
      <c r="P27" s="146">
        <f>'Statement Q'!E29</f>
        <v>91479</v>
      </c>
      <c r="Q27" s="146">
        <f>'Statement Q'!F29</f>
        <v>87593</v>
      </c>
      <c r="R27" s="146">
        <f>'Statement Q'!G29</f>
        <v>84424</v>
      </c>
      <c r="S27" s="146">
        <f>'Statement Q'!H29</f>
        <v>77614</v>
      </c>
      <c r="T27" s="146">
        <f>'Statement Q'!I29</f>
        <v>77723</v>
      </c>
      <c r="U27" s="146">
        <f>'Statement Q'!J29</f>
        <v>77888</v>
      </c>
      <c r="W27" s="146">
        <f t="shared" si="3"/>
        <v>77888</v>
      </c>
    </row>
    <row r="28" spans="2:23" outlineLevel="1" x14ac:dyDescent="0.2">
      <c r="B28" s="9" t="s">
        <v>24</v>
      </c>
      <c r="C28" s="146">
        <f>'Statement Y'!C34</f>
        <v>27010</v>
      </c>
      <c r="D28" s="146">
        <f>'Statement Y'!D34</f>
        <v>33783</v>
      </c>
      <c r="E28" s="146">
        <f>'Statement Y'!E34</f>
        <v>41304</v>
      </c>
      <c r="F28" s="146">
        <f>'Statement Y'!F34</f>
        <v>37378</v>
      </c>
      <c r="G28" s="146">
        <f>'Statement Y'!G34</f>
        <v>36766</v>
      </c>
      <c r="H28" s="146">
        <f>'Statement Y'!H34</f>
        <v>39440</v>
      </c>
      <c r="I28" s="146">
        <f>'Statement Y'!I34</f>
        <v>42117</v>
      </c>
      <c r="J28" s="146">
        <f>'Statement Y'!J34</f>
        <v>43715</v>
      </c>
      <c r="K28" s="146">
        <f>'Statement Y'!K34</f>
        <v>45680</v>
      </c>
      <c r="L28" s="146">
        <f>'Statement Y'!L34</f>
        <v>49834</v>
      </c>
      <c r="N28" s="146">
        <f>'Statement Q'!C30</f>
        <v>43546</v>
      </c>
      <c r="O28" s="146">
        <f>'Statement Q'!D30</f>
        <v>44502</v>
      </c>
      <c r="P28" s="146">
        <f>'Statement Q'!E30</f>
        <v>45680</v>
      </c>
      <c r="Q28" s="146">
        <f>'Statement Q'!F30</f>
        <v>46069</v>
      </c>
      <c r="R28" s="146">
        <f>'Statement Q'!G30</f>
        <v>46876</v>
      </c>
      <c r="S28" s="146">
        <f>'Statement Q'!H30</f>
        <v>48508</v>
      </c>
      <c r="T28" s="146">
        <f>'Statement Q'!I30</f>
        <v>49834</v>
      </c>
      <c r="U28" s="146">
        <f>'Statement Q'!J30</f>
        <v>50159</v>
      </c>
      <c r="W28" s="146">
        <f t="shared" si="3"/>
        <v>50159</v>
      </c>
    </row>
    <row r="29" spans="2:23" outlineLevel="1" x14ac:dyDescent="0.2">
      <c r="B29" s="9" t="s">
        <v>26</v>
      </c>
      <c r="C29" s="146">
        <f>'Statement Y'!C35</f>
        <v>17377</v>
      </c>
      <c r="D29" s="146">
        <f>'Statement Y'!D35</f>
        <v>18177</v>
      </c>
      <c r="E29" s="146">
        <f>'Statement Y'!E35</f>
        <v>22283</v>
      </c>
      <c r="F29" s="146">
        <f>'Statement Y'!F35</f>
        <v>32978</v>
      </c>
      <c r="G29" s="146">
        <f>'Statement Y'!G35</f>
        <v>42522</v>
      </c>
      <c r="H29" s="146">
        <f>'Statement Y'!H35</f>
        <v>48849</v>
      </c>
      <c r="I29" s="146">
        <f>'Statement Y'!I35</f>
        <v>54428</v>
      </c>
      <c r="J29" s="146">
        <f>'Statement Y'!J35</f>
        <v>64758</v>
      </c>
      <c r="K29" s="146">
        <f>'Statement Y'!K35</f>
        <v>74834</v>
      </c>
      <c r="L29" s="146">
        <f>'Statement Y'!L35</f>
        <v>83727</v>
      </c>
      <c r="N29" s="146">
        <f>'Statement Q'!C31</f>
        <v>70262</v>
      </c>
      <c r="O29" s="146">
        <f>'Statement Q'!D31</f>
        <v>70435</v>
      </c>
      <c r="P29" s="146">
        <f>'Statement Q'!E31</f>
        <v>74834</v>
      </c>
      <c r="Q29" s="146">
        <f>'Statement Q'!F31</f>
        <v>77183</v>
      </c>
      <c r="R29" s="146">
        <f>'Statement Q'!G31</f>
        <v>81259</v>
      </c>
      <c r="S29" s="146">
        <f>'Statement Q'!H31</f>
        <v>82882</v>
      </c>
      <c r="T29" s="146">
        <f>'Statement Q'!I31</f>
        <v>83727</v>
      </c>
      <c r="U29" s="146">
        <f>'Statement Q'!J31</f>
        <v>93146</v>
      </c>
      <c r="W29" s="146">
        <f t="shared" si="3"/>
        <v>93146</v>
      </c>
    </row>
    <row r="30" spans="2:23" outlineLevel="1" x14ac:dyDescent="0.2">
      <c r="B30" s="11" t="s">
        <v>27</v>
      </c>
      <c r="C30" s="180">
        <f>'Statement Y'!C36</f>
        <v>214817</v>
      </c>
      <c r="D30" s="180">
        <f>'Statement Y'!D36</f>
        <v>246674</v>
      </c>
      <c r="E30" s="180">
        <f>'Statement Y'!E36</f>
        <v>234386</v>
      </c>
      <c r="F30" s="180">
        <f>'Statement Y'!F36</f>
        <v>175697</v>
      </c>
      <c r="G30" s="180">
        <f>'Statement Y'!G36</f>
        <v>180175</v>
      </c>
      <c r="H30" s="180">
        <f>'Statement Y'!H36</f>
        <v>216166</v>
      </c>
      <c r="I30" s="180">
        <f>'Statement Y'!I36</f>
        <v>217350</v>
      </c>
      <c r="J30" s="180">
        <f>'Statement Y'!J36</f>
        <v>209017</v>
      </c>
      <c r="K30" s="180">
        <f>'Statement Y'!K36</f>
        <v>211993</v>
      </c>
      <c r="L30" s="180">
        <f>'Statement Y'!L36</f>
        <v>211284</v>
      </c>
      <c r="N30" s="180">
        <f>'Statement Q'!C32</f>
        <v>208995</v>
      </c>
      <c r="O30" s="180">
        <f>'Statement Q'!D32</f>
        <v>206177</v>
      </c>
      <c r="P30" s="180">
        <f>'Statement Q'!E32</f>
        <v>211993</v>
      </c>
      <c r="Q30" s="180">
        <f>'Statement Q'!F32</f>
        <v>210845</v>
      </c>
      <c r="R30" s="180">
        <f>'Statement Q'!G32</f>
        <v>212559</v>
      </c>
      <c r="S30" s="180">
        <f>'Statement Q'!H32</f>
        <v>209004</v>
      </c>
      <c r="T30" s="180">
        <f>'Statement Q'!I32</f>
        <v>211284</v>
      </c>
      <c r="U30" s="180">
        <f>'Statement Q'!J32</f>
        <v>221193</v>
      </c>
      <c r="W30" s="180">
        <f t="shared" si="3"/>
        <v>221193</v>
      </c>
    </row>
    <row r="31" spans="2:23" outlineLevel="1" x14ac:dyDescent="0.2">
      <c r="B31" s="17" t="s">
        <v>28</v>
      </c>
      <c r="C31" s="177">
        <f>'Statement Y'!C37</f>
        <v>321686</v>
      </c>
      <c r="D31" s="177">
        <f>'Statement Y'!D37</f>
        <v>375319</v>
      </c>
      <c r="E31" s="177">
        <f>'Statement Y'!E37</f>
        <v>365725</v>
      </c>
      <c r="F31" s="177">
        <f>'Statement Y'!F37</f>
        <v>338516</v>
      </c>
      <c r="G31" s="177">
        <f>'Statement Y'!G37</f>
        <v>323888</v>
      </c>
      <c r="H31" s="177">
        <f>'Statement Y'!H37</f>
        <v>351002</v>
      </c>
      <c r="I31" s="177">
        <f>'Statement Y'!I37</f>
        <v>352755</v>
      </c>
      <c r="J31" s="177">
        <f>'Statement Y'!J37</f>
        <v>352583</v>
      </c>
      <c r="K31" s="177">
        <f>'Statement Y'!K37</f>
        <v>364980</v>
      </c>
      <c r="L31" s="177">
        <f>'Statement Y'!L37</f>
        <v>359241</v>
      </c>
      <c r="N31" s="177">
        <f>'Statement Q'!C33</f>
        <v>337411</v>
      </c>
      <c r="O31" s="177">
        <f>'Statement Q'!D33</f>
        <v>331612</v>
      </c>
      <c r="P31" s="177">
        <f>'Statement Q'!E33</f>
        <v>364980</v>
      </c>
      <c r="Q31" s="177">
        <f>'Statement Q'!F33</f>
        <v>344085</v>
      </c>
      <c r="R31" s="177">
        <f>'Statement Q'!G33</f>
        <v>331233</v>
      </c>
      <c r="S31" s="177">
        <f>'Statement Q'!H33</f>
        <v>331495</v>
      </c>
      <c r="T31" s="177">
        <f>'Statement Q'!I33</f>
        <v>359241</v>
      </c>
      <c r="U31" s="177">
        <f>'Statement Q'!J33</f>
        <v>379297</v>
      </c>
      <c r="W31" s="177">
        <f t="shared" si="3"/>
        <v>379297</v>
      </c>
    </row>
    <row r="32" spans="2:23" outlineLevel="1" x14ac:dyDescent="0.2">
      <c r="B32" s="9" t="s">
        <v>29</v>
      </c>
      <c r="C32" s="146">
        <f>'Statement Y'!C38</f>
        <v>37294</v>
      </c>
      <c r="D32" s="146">
        <f>'Statement Y'!D38</f>
        <v>49049</v>
      </c>
      <c r="E32" s="146">
        <f>'Statement Y'!E38</f>
        <v>55888</v>
      </c>
      <c r="F32" s="146">
        <f>'Statement Y'!F38</f>
        <v>46236</v>
      </c>
      <c r="G32" s="146">
        <f>'Statement Y'!G38</f>
        <v>42296</v>
      </c>
      <c r="H32" s="146">
        <f>'Statement Y'!H38</f>
        <v>54763</v>
      </c>
      <c r="I32" s="146">
        <f>'Statement Y'!I38</f>
        <v>64115</v>
      </c>
      <c r="J32" s="146">
        <f>'Statement Y'!J38</f>
        <v>62611</v>
      </c>
      <c r="K32" s="146">
        <f>'Statement Y'!K38</f>
        <v>68960</v>
      </c>
      <c r="L32" s="146">
        <f>'Statement Y'!L38</f>
        <v>69860</v>
      </c>
      <c r="N32" s="146">
        <f>'Statement Q'!C34</f>
        <v>45753</v>
      </c>
      <c r="O32" s="146">
        <f>'Statement Q'!D34</f>
        <v>47574</v>
      </c>
      <c r="P32" s="146">
        <f>'Statement Q'!E34</f>
        <v>68960</v>
      </c>
      <c r="Q32" s="146">
        <f>'Statement Q'!F34</f>
        <v>61910</v>
      </c>
      <c r="R32" s="146">
        <f>'Statement Q'!G34</f>
        <v>54126</v>
      </c>
      <c r="S32" s="146">
        <f>'Statement Q'!H34</f>
        <v>50374</v>
      </c>
      <c r="T32" s="146">
        <f>'Statement Q'!I34</f>
        <v>69860</v>
      </c>
      <c r="U32" s="146">
        <f>'Statement Q'!J34</f>
        <v>70587</v>
      </c>
      <c r="W32" s="146">
        <f t="shared" si="3"/>
        <v>70587</v>
      </c>
    </row>
    <row r="33" spans="2:23" outlineLevel="1" x14ac:dyDescent="0.2">
      <c r="B33" s="9" t="s">
        <v>368</v>
      </c>
      <c r="C33" s="146">
        <f>'Statement Y'!C39</f>
        <v>22027</v>
      </c>
      <c r="D33" s="146">
        <f>'Statement Y'!D39</f>
        <v>25744</v>
      </c>
      <c r="E33" s="146">
        <f>'Statement Y'!E39</f>
        <v>33327</v>
      </c>
      <c r="F33" s="146">
        <f>'Statement Y'!F39</f>
        <v>37720</v>
      </c>
      <c r="G33" s="146">
        <f>'Statement Y'!G39</f>
        <v>42684</v>
      </c>
      <c r="H33" s="146">
        <f>'Statement Y'!H39</f>
        <v>47493</v>
      </c>
      <c r="I33" s="146">
        <f>'Statement Y'!I39</f>
        <v>60845</v>
      </c>
      <c r="J33" s="146">
        <f>'Statement Y'!J39</f>
        <v>58829</v>
      </c>
      <c r="K33" s="146">
        <f>'Statement Y'!K39</f>
        <v>78304</v>
      </c>
      <c r="L33" s="146">
        <f>'Statement Y'!L39</f>
        <v>66387</v>
      </c>
      <c r="N33" s="146">
        <f>'Statement Q'!C35</f>
        <v>57298</v>
      </c>
      <c r="O33" s="146">
        <f>'Statement Q'!D35</f>
        <v>60889</v>
      </c>
      <c r="P33" s="146">
        <f>'Statement Q'!E35</f>
        <v>78304</v>
      </c>
      <c r="Q33" s="146">
        <f>'Statement Q'!F35</f>
        <v>61151</v>
      </c>
      <c r="R33" s="146">
        <f>'Statement Q'!G35</f>
        <v>61849</v>
      </c>
      <c r="S33" s="146">
        <f>'Statement Q'!H35</f>
        <v>62499</v>
      </c>
      <c r="T33" s="146">
        <f>'Statement Q'!I35</f>
        <v>66387</v>
      </c>
      <c r="U33" s="146">
        <f>'Statement Q'!J35</f>
        <v>68543</v>
      </c>
      <c r="W33" s="146">
        <f t="shared" si="3"/>
        <v>68543</v>
      </c>
    </row>
    <row r="34" spans="2:23" outlineLevel="1" x14ac:dyDescent="0.2">
      <c r="B34" s="9" t="s">
        <v>101</v>
      </c>
      <c r="C34" s="146">
        <f>'Statement Y'!C40</f>
        <v>8080</v>
      </c>
      <c r="D34" s="146">
        <f>'Statement Y'!D40</f>
        <v>7548</v>
      </c>
      <c r="E34" s="146">
        <f>'Statement Y'!E40</f>
        <v>5966</v>
      </c>
      <c r="F34" s="146">
        <f>'Statement Y'!F40</f>
        <v>5522</v>
      </c>
      <c r="G34" s="146">
        <f>'Statement Y'!G40</f>
        <v>6643</v>
      </c>
      <c r="H34" s="146">
        <f>'Statement Y'!H40</f>
        <v>7612</v>
      </c>
      <c r="I34" s="146">
        <f>'Statement Y'!I40</f>
        <v>7912</v>
      </c>
      <c r="J34" s="146">
        <f>'Statement Y'!J40</f>
        <v>8061</v>
      </c>
      <c r="K34" s="146">
        <f>'Statement Y'!K40</f>
        <v>8249</v>
      </c>
      <c r="L34" s="146">
        <f>'Statement Y'!L40</f>
        <v>9055</v>
      </c>
      <c r="N34" s="146">
        <f>'Statement Q'!C36</f>
        <v>8012</v>
      </c>
      <c r="O34" s="146">
        <f>'Statement Q'!D36</f>
        <v>8053</v>
      </c>
      <c r="P34" s="146">
        <f>'Statement Q'!E36</f>
        <v>8249</v>
      </c>
      <c r="Q34" s="146">
        <f>'Statement Q'!F36</f>
        <v>8461</v>
      </c>
      <c r="R34" s="146">
        <f>'Statement Q'!G36</f>
        <v>8976</v>
      </c>
      <c r="S34" s="146">
        <f>'Statement Q'!H36</f>
        <v>8979</v>
      </c>
      <c r="T34" s="146">
        <f>'Statement Q'!I36</f>
        <v>9055</v>
      </c>
      <c r="U34" s="146">
        <f>'Statement Q'!J36</f>
        <v>9413</v>
      </c>
      <c r="W34" s="146">
        <f t="shared" si="3"/>
        <v>9413</v>
      </c>
    </row>
    <row r="35" spans="2:23" outlineLevel="1" x14ac:dyDescent="0.2">
      <c r="B35" s="9" t="s">
        <v>369</v>
      </c>
      <c r="C35" s="146">
        <f>'Statement Y'!C41</f>
        <v>8105</v>
      </c>
      <c r="D35" s="146">
        <f>'Statement Y'!D41</f>
        <v>11977</v>
      </c>
      <c r="E35" s="146">
        <f>'Statement Y'!E41</f>
        <v>11964</v>
      </c>
      <c r="F35" s="146">
        <f>'Statement Y'!F41</f>
        <v>5980</v>
      </c>
      <c r="G35" s="146">
        <f>'Statement Y'!G41</f>
        <v>4996</v>
      </c>
      <c r="H35" s="146">
        <f>'Statement Y'!H41</f>
        <v>6000</v>
      </c>
      <c r="I35" s="146">
        <f>'Statement Y'!I41</f>
        <v>9982</v>
      </c>
      <c r="J35" s="146">
        <f>'Statement Y'!J41</f>
        <v>5985</v>
      </c>
      <c r="K35" s="146">
        <f>'Statement Y'!K41</f>
        <v>9967</v>
      </c>
      <c r="L35" s="146">
        <f>'Statement Y'!L41</f>
        <v>7979</v>
      </c>
      <c r="N35" s="146">
        <f>'Statement Q'!C37</f>
        <v>1997</v>
      </c>
      <c r="O35" s="146">
        <f>'Statement Q'!D37</f>
        <v>2994</v>
      </c>
      <c r="P35" s="146">
        <f>'Statement Q'!E37</f>
        <v>9967</v>
      </c>
      <c r="Q35" s="146">
        <f>'Statement Q'!F37</f>
        <v>1995</v>
      </c>
      <c r="R35" s="146">
        <f>'Statement Q'!G37</f>
        <v>5982</v>
      </c>
      <c r="S35" s="146">
        <f>'Statement Q'!H37</f>
        <v>9923</v>
      </c>
      <c r="T35" s="146">
        <f>'Statement Q'!I37</f>
        <v>7979</v>
      </c>
      <c r="U35" s="146">
        <f>'Statement Q'!J37</f>
        <v>1997</v>
      </c>
      <c r="W35" s="146">
        <f t="shared" si="3"/>
        <v>1997</v>
      </c>
    </row>
    <row r="36" spans="2:23" outlineLevel="1" x14ac:dyDescent="0.2">
      <c r="B36" s="9" t="s">
        <v>370</v>
      </c>
      <c r="C36" s="146">
        <f>'Statement Y'!C42</f>
        <v>3500</v>
      </c>
      <c r="D36" s="146">
        <f>'Statement Y'!D42</f>
        <v>6496</v>
      </c>
      <c r="E36" s="146">
        <f>'Statement Y'!E42</f>
        <v>8784</v>
      </c>
      <c r="F36" s="146">
        <f>'Statement Y'!F42</f>
        <v>10260</v>
      </c>
      <c r="G36" s="146">
        <f>'Statement Y'!G42</f>
        <v>8773</v>
      </c>
      <c r="H36" s="146">
        <f>'Statement Y'!H42</f>
        <v>9613</v>
      </c>
      <c r="I36" s="146">
        <f>'Statement Y'!I42</f>
        <v>11128</v>
      </c>
      <c r="J36" s="146">
        <f>'Statement Y'!J42</f>
        <v>9822</v>
      </c>
      <c r="K36" s="146">
        <f>'Statement Y'!K42</f>
        <v>10912</v>
      </c>
      <c r="L36" s="146">
        <f>'Statement Y'!L42</f>
        <v>12350</v>
      </c>
      <c r="N36" s="146">
        <f>'Statement Q'!C38</f>
        <v>10762</v>
      </c>
      <c r="O36" s="146">
        <f>'Statement Q'!D38</f>
        <v>12114</v>
      </c>
      <c r="P36" s="146">
        <f>'Statement Q'!E38</f>
        <v>10912</v>
      </c>
      <c r="Q36" s="146">
        <f>'Statement Q'!F38</f>
        <v>10848</v>
      </c>
      <c r="R36" s="146">
        <f>'Statement Q'!G38</f>
        <v>13638</v>
      </c>
      <c r="S36" s="146">
        <f>'Statement Q'!H38</f>
        <v>9345</v>
      </c>
      <c r="T36" s="146">
        <f>'Statement Q'!I38</f>
        <v>12350</v>
      </c>
      <c r="U36" s="146">
        <f>'Statement Q'!J38</f>
        <v>11827</v>
      </c>
      <c r="W36" s="146">
        <f>U36</f>
        <v>11827</v>
      </c>
    </row>
    <row r="37" spans="2:23" outlineLevel="1" x14ac:dyDescent="0.2">
      <c r="B37" s="11" t="s">
        <v>32</v>
      </c>
      <c r="C37" s="180">
        <f>'Statement Y'!C43</f>
        <v>79006</v>
      </c>
      <c r="D37" s="180">
        <f>'Statement Y'!D43</f>
        <v>100814</v>
      </c>
      <c r="E37" s="180">
        <f>'Statement Y'!E43</f>
        <v>115929</v>
      </c>
      <c r="F37" s="180">
        <f>'Statement Y'!F43</f>
        <v>105718</v>
      </c>
      <c r="G37" s="180">
        <f>'Statement Y'!G43</f>
        <v>105392</v>
      </c>
      <c r="H37" s="180">
        <f>'Statement Y'!H43</f>
        <v>125481</v>
      </c>
      <c r="I37" s="180">
        <f>'Statement Y'!I43</f>
        <v>153982</v>
      </c>
      <c r="J37" s="180">
        <f>'Statement Y'!J43</f>
        <v>145308</v>
      </c>
      <c r="K37" s="180">
        <f>'Statement Y'!K43</f>
        <v>176392</v>
      </c>
      <c r="L37" s="180">
        <f>'Statement Y'!L43</f>
        <v>165631</v>
      </c>
      <c r="N37" s="180">
        <f>'Statement Q'!C39</f>
        <v>123822</v>
      </c>
      <c r="O37" s="180">
        <f>'Statement Q'!D39</f>
        <v>131624</v>
      </c>
      <c r="P37" s="180">
        <f>'Statement Q'!E39</f>
        <v>176392</v>
      </c>
      <c r="Q37" s="180">
        <f>'Statement Q'!F39</f>
        <v>144365</v>
      </c>
      <c r="R37" s="180">
        <f>'Statement Q'!G39</f>
        <v>144571</v>
      </c>
      <c r="S37" s="180">
        <f>'Statement Q'!H39</f>
        <v>141120</v>
      </c>
      <c r="T37" s="180">
        <f>'Statement Q'!I39</f>
        <v>165361</v>
      </c>
      <c r="U37" s="180">
        <f>'Statement Q'!J39</f>
        <v>162367</v>
      </c>
      <c r="W37" s="180">
        <f t="shared" si="3"/>
        <v>162367</v>
      </c>
    </row>
    <row r="38" spans="2:23" outlineLevel="1" x14ac:dyDescent="0.2">
      <c r="B38" s="9" t="s">
        <v>370</v>
      </c>
      <c r="C38" s="146">
        <f>'Statement Y'!C44</f>
        <v>75427</v>
      </c>
      <c r="D38" s="146">
        <f>'Statement Y'!D44</f>
        <v>97207</v>
      </c>
      <c r="E38" s="146">
        <f>'Statement Y'!E44</f>
        <v>93735</v>
      </c>
      <c r="F38" s="146">
        <f>'Statement Y'!F44</f>
        <v>91807</v>
      </c>
      <c r="G38" s="146">
        <f>'Statement Y'!G44</f>
        <v>98667</v>
      </c>
      <c r="H38" s="146">
        <f>'Statement Y'!H44</f>
        <v>109106</v>
      </c>
      <c r="I38" s="146">
        <f>'Statement Y'!I44</f>
        <v>98959</v>
      </c>
      <c r="J38" s="146">
        <f>'Statement Y'!J44</f>
        <v>95281</v>
      </c>
      <c r="K38" s="146">
        <f>'Statement Y'!K44</f>
        <v>85750</v>
      </c>
      <c r="L38" s="146">
        <f>'Statement Y'!L44</f>
        <v>78328</v>
      </c>
      <c r="N38" s="146">
        <f>'Statement Q'!C40</f>
        <v>91831</v>
      </c>
      <c r="O38" s="146">
        <f>'Statement Q'!D40</f>
        <v>86196</v>
      </c>
      <c r="P38" s="146">
        <f>'Statement Q'!E40</f>
        <v>85750</v>
      </c>
      <c r="Q38" s="146">
        <f>'Statement Q'!F40</f>
        <v>83956</v>
      </c>
      <c r="R38" s="146">
        <f>'Statement Q'!G40</f>
        <v>78566</v>
      </c>
      <c r="S38" s="146">
        <f>'Statement Q'!H40</f>
        <v>82430</v>
      </c>
      <c r="T38" s="146">
        <f>'Statement Q'!I40</f>
        <v>78328</v>
      </c>
      <c r="U38" s="146">
        <f>'Statement Q'!J40</f>
        <v>76685</v>
      </c>
      <c r="W38" s="146">
        <f t="shared" si="3"/>
        <v>76685</v>
      </c>
    </row>
    <row r="39" spans="2:23" outlineLevel="1" x14ac:dyDescent="0.2">
      <c r="B39" s="9" t="s">
        <v>371</v>
      </c>
      <c r="C39" s="146">
        <f>'Statement Y'!C45</f>
        <v>39004</v>
      </c>
      <c r="D39" s="146">
        <f>'Statement Y'!D45</f>
        <v>43251</v>
      </c>
      <c r="E39" s="146">
        <f>'Statement Y'!E45</f>
        <v>48914</v>
      </c>
      <c r="F39" s="146">
        <f>'Statement Y'!F45</f>
        <v>50503</v>
      </c>
      <c r="G39" s="146">
        <f>'Statement Y'!G45</f>
        <v>54490</v>
      </c>
      <c r="H39" s="146">
        <f>'Statement Y'!H45</f>
        <v>53325</v>
      </c>
      <c r="I39" s="146">
        <f>'Statement Y'!I45</f>
        <v>49142</v>
      </c>
      <c r="J39" s="146">
        <f>'Statement Y'!J45</f>
        <v>49848</v>
      </c>
      <c r="K39" s="146">
        <f>'Statement Y'!K45</f>
        <v>45888</v>
      </c>
      <c r="L39" s="146">
        <f>'Statement Y'!L45</f>
        <v>41549</v>
      </c>
      <c r="N39" s="146">
        <f>'Statement Q'!C41</f>
        <v>47564</v>
      </c>
      <c r="O39" s="146">
        <f>'Statement Q'!D41</f>
        <v>47084</v>
      </c>
      <c r="P39" s="146">
        <f>'Statement Q'!E41</f>
        <v>45888</v>
      </c>
      <c r="Q39" s="146">
        <f>'Statement Q'!F41</f>
        <v>49006</v>
      </c>
      <c r="R39" s="146">
        <f>'Statement Q'!G41</f>
        <v>41300</v>
      </c>
      <c r="S39" s="146">
        <f>'Statement Q'!H41</f>
        <v>42115</v>
      </c>
      <c r="T39" s="146">
        <f>'Statement Q'!I41</f>
        <v>41549</v>
      </c>
      <c r="U39" s="146">
        <f>'Statement Q'!J41</f>
        <v>52055</v>
      </c>
      <c r="W39" s="146">
        <f t="shared" si="3"/>
        <v>52055</v>
      </c>
    </row>
    <row r="40" spans="2:23" outlineLevel="1" x14ac:dyDescent="0.2">
      <c r="B40" s="11" t="s">
        <v>30</v>
      </c>
      <c r="C40" s="180">
        <f>'Statement Y'!C46</f>
        <v>114431</v>
      </c>
      <c r="D40" s="180">
        <f>'Statement Y'!D46</f>
        <v>140458</v>
      </c>
      <c r="E40" s="180">
        <f>'Statement Y'!E46</f>
        <v>142649</v>
      </c>
      <c r="F40" s="180">
        <f>'Statement Y'!F46</f>
        <v>142310</v>
      </c>
      <c r="G40" s="180">
        <f>'Statement Y'!G46</f>
        <v>153157</v>
      </c>
      <c r="H40" s="180">
        <f>'Statement Y'!H46</f>
        <v>162431</v>
      </c>
      <c r="I40" s="180">
        <f>'Statement Y'!I46</f>
        <v>148101</v>
      </c>
      <c r="J40" s="180">
        <f>'Statement Y'!J46</f>
        <v>145129</v>
      </c>
      <c r="K40" s="180">
        <f>'Statement Y'!K46</f>
        <v>131638</v>
      </c>
      <c r="L40" s="180">
        <f>'Statement Y'!L46</f>
        <v>119877</v>
      </c>
      <c r="N40" s="180">
        <f>'Statement Q'!C42</f>
        <v>139395</v>
      </c>
      <c r="O40" s="180">
        <f>'Statement Q'!D42</f>
        <v>133280</v>
      </c>
      <c r="P40" s="180">
        <f>'Statement Q'!E42</f>
        <v>131638</v>
      </c>
      <c r="Q40" s="180">
        <f>'Statement Q'!F42</f>
        <v>132962</v>
      </c>
      <c r="R40" s="180">
        <f>'Statement Q'!G42</f>
        <v>119866</v>
      </c>
      <c r="S40" s="180">
        <f>'Statement Q'!H42</f>
        <v>124545</v>
      </c>
      <c r="T40" s="180">
        <f>'Statement Q'!I42</f>
        <v>119877</v>
      </c>
      <c r="U40" s="180">
        <f>'Statement Q'!J42</f>
        <v>128740</v>
      </c>
      <c r="W40" s="180">
        <f t="shared" si="3"/>
        <v>128740</v>
      </c>
    </row>
    <row r="41" spans="2:23" outlineLevel="1" x14ac:dyDescent="0.2">
      <c r="B41" s="17" t="s">
        <v>31</v>
      </c>
      <c r="C41" s="177">
        <f>'Statement Y'!C47</f>
        <v>193437</v>
      </c>
      <c r="D41" s="177">
        <f>'Statement Y'!D47</f>
        <v>241272</v>
      </c>
      <c r="E41" s="177">
        <f>'Statement Y'!E47</f>
        <v>258578</v>
      </c>
      <c r="F41" s="177">
        <f>'Statement Y'!F47</f>
        <v>248028</v>
      </c>
      <c r="G41" s="177">
        <f>'Statement Y'!G47</f>
        <v>258549</v>
      </c>
      <c r="H41" s="177">
        <f>'Statement Y'!H47</f>
        <v>287912</v>
      </c>
      <c r="I41" s="177">
        <f>'Statement Y'!I47</f>
        <v>302083</v>
      </c>
      <c r="J41" s="177">
        <f>'Statement Y'!J47</f>
        <v>290437</v>
      </c>
      <c r="K41" s="177">
        <f>'Statement Y'!K47</f>
        <v>308030</v>
      </c>
      <c r="L41" s="177">
        <f>'Statement Y'!L47</f>
        <v>285508</v>
      </c>
      <c r="N41" s="177">
        <f>'Statement Q'!C43</f>
        <v>263217</v>
      </c>
      <c r="O41" s="177">
        <f>'Statement Q'!D43</f>
        <v>264904</v>
      </c>
      <c r="P41" s="177">
        <f>'Statement Q'!E43</f>
        <v>308030</v>
      </c>
      <c r="Q41" s="177">
        <f>'Statement Q'!F43</f>
        <v>277327</v>
      </c>
      <c r="R41" s="177">
        <f>'Statement Q'!G43</f>
        <v>264437</v>
      </c>
      <c r="S41" s="177">
        <f>'Statement Q'!H43</f>
        <v>265665</v>
      </c>
      <c r="T41" s="177">
        <f>'Statement Q'!I43</f>
        <v>285508</v>
      </c>
      <c r="U41" s="177">
        <f>'Statement Q'!J43</f>
        <v>291107</v>
      </c>
      <c r="W41" s="177">
        <f t="shared" si="3"/>
        <v>291107</v>
      </c>
    </row>
    <row r="42" spans="2:23" outlineLevel="1" x14ac:dyDescent="0.2">
      <c r="B42" s="9" t="s">
        <v>373</v>
      </c>
      <c r="C42" s="146">
        <f>'Statement Y'!C48</f>
        <v>31251</v>
      </c>
      <c r="D42" s="146">
        <f>'Statement Y'!D48</f>
        <v>35867</v>
      </c>
      <c r="E42" s="146">
        <f>'Statement Y'!E48</f>
        <v>40201</v>
      </c>
      <c r="F42" s="146">
        <f>'Statement Y'!F48</f>
        <v>45174</v>
      </c>
      <c r="G42" s="146">
        <f>'Statement Y'!G48</f>
        <v>50779</v>
      </c>
      <c r="H42" s="146">
        <f>'Statement Y'!H48</f>
        <v>57365</v>
      </c>
      <c r="I42" s="146">
        <f>'Statement Y'!I48</f>
        <v>64849</v>
      </c>
      <c r="J42" s="146">
        <f>'Statement Y'!J48</f>
        <v>73812</v>
      </c>
      <c r="K42" s="146">
        <f>'Statement Y'!K48</f>
        <v>83276</v>
      </c>
      <c r="L42" s="146">
        <f>'Statement Y'!L48</f>
        <v>93568</v>
      </c>
      <c r="N42" s="146">
        <f>'Statement Q'!C44</f>
        <v>78815</v>
      </c>
      <c r="O42" s="146">
        <f>'Statement Q'!D44</f>
        <v>79850</v>
      </c>
      <c r="P42" s="146">
        <f>'Statement Q'!E44</f>
        <v>83276</v>
      </c>
      <c r="Q42" s="146">
        <f>'Statement Q'!F44</f>
        <v>84768</v>
      </c>
      <c r="R42" s="146">
        <f>'Statement Q'!G44</f>
        <v>88711</v>
      </c>
      <c r="S42" s="146">
        <f>'Statement Q'!H44</f>
        <v>89806</v>
      </c>
      <c r="T42" s="146">
        <f>'Statement Q'!I44</f>
        <v>93568</v>
      </c>
      <c r="U42" s="146">
        <f>'Statement Q'!J44</f>
        <v>95221</v>
      </c>
      <c r="W42" s="146">
        <f t="shared" si="3"/>
        <v>95221</v>
      </c>
    </row>
    <row r="43" spans="2:23" outlineLevel="1" x14ac:dyDescent="0.2">
      <c r="B43" s="9" t="s">
        <v>34</v>
      </c>
      <c r="C43" s="146">
        <f>'Statement Y'!C49</f>
        <v>96364</v>
      </c>
      <c r="D43" s="146">
        <f>'Statement Y'!D49</f>
        <v>98330</v>
      </c>
      <c r="E43" s="146">
        <f>'Statement Y'!E49</f>
        <v>70400</v>
      </c>
      <c r="F43" s="146">
        <f>'Statement Y'!F49</f>
        <v>45898</v>
      </c>
      <c r="G43" s="146">
        <f>'Statement Y'!G49</f>
        <v>14966</v>
      </c>
      <c r="H43" s="146">
        <f>'Statement Y'!H49</f>
        <v>5562</v>
      </c>
      <c r="I43" s="146">
        <f>'Statement Y'!I49</f>
        <v>-3068</v>
      </c>
      <c r="J43" s="146">
        <f>'Statement Y'!J49</f>
        <v>-214</v>
      </c>
      <c r="K43" s="146">
        <f>'Statement Y'!K49</f>
        <v>-19154</v>
      </c>
      <c r="L43" s="146">
        <f>'Statement Y'!L49</f>
        <v>-14264</v>
      </c>
      <c r="N43" s="146">
        <f>'Statement Q'!C45</f>
        <v>4339</v>
      </c>
      <c r="O43" s="146">
        <f>'Statement Q'!D45</f>
        <v>-4726</v>
      </c>
      <c r="P43" s="146">
        <f>'Statement Q'!E45</f>
        <v>-19154</v>
      </c>
      <c r="Q43" s="146">
        <f>'Statement Q'!F45</f>
        <v>-11221</v>
      </c>
      <c r="R43" s="146">
        <f>'Statement Q'!G45</f>
        <v>-15552</v>
      </c>
      <c r="S43" s="146">
        <f>'Statement Q'!H45</f>
        <v>-17607</v>
      </c>
      <c r="T43" s="146">
        <f>'Statement Q'!I45</f>
        <v>-14264</v>
      </c>
      <c r="U43" s="146">
        <f>'Statement Q'!J45</f>
        <v>-2177</v>
      </c>
      <c r="W43" s="146">
        <f t="shared" si="3"/>
        <v>-2177</v>
      </c>
    </row>
    <row r="44" spans="2:23" outlineLevel="1" x14ac:dyDescent="0.2">
      <c r="B44" s="9" t="s">
        <v>372</v>
      </c>
      <c r="C44" s="146">
        <f>'Statement Y'!C50</f>
        <v>634</v>
      </c>
      <c r="D44" s="146">
        <f>'Statement Y'!D50</f>
        <v>-150</v>
      </c>
      <c r="E44" s="146">
        <f>'Statement Y'!E50</f>
        <v>-3454</v>
      </c>
      <c r="F44" s="146">
        <f>'Statement Y'!F50</f>
        <v>-584</v>
      </c>
      <c r="G44" s="146">
        <f>'Statement Y'!G50</f>
        <v>-406</v>
      </c>
      <c r="H44" s="146">
        <f>'Statement Y'!H50</f>
        <v>163</v>
      </c>
      <c r="I44" s="146">
        <f>'Statement Y'!I50</f>
        <v>-11109</v>
      </c>
      <c r="J44" s="146">
        <f>'Statement Y'!J50</f>
        <v>-11452</v>
      </c>
      <c r="K44" s="146">
        <f>'Statement Y'!K50</f>
        <v>-7172</v>
      </c>
      <c r="L44" s="146">
        <f>'Statement Y'!L50</f>
        <v>-5571</v>
      </c>
      <c r="N44" s="146">
        <f>'Statement Q'!C46</f>
        <v>-8960</v>
      </c>
      <c r="O44" s="146">
        <f>'Statement Q'!D46</f>
        <v>-8416</v>
      </c>
      <c r="P44" s="146">
        <f>'Statement Q'!E46</f>
        <v>-7172</v>
      </c>
      <c r="Q44" s="146">
        <f>'Statement Q'!F46</f>
        <v>-6789</v>
      </c>
      <c r="R44" s="146">
        <f>'Statement Q'!G46</f>
        <v>-6363</v>
      </c>
      <c r="S44" s="146">
        <f>'Statement Q'!H46</f>
        <v>-6369</v>
      </c>
      <c r="T44" s="146">
        <f>'Statement Q'!I46</f>
        <v>-5571</v>
      </c>
      <c r="U44" s="146">
        <f>'Statement Q'!J46</f>
        <v>-4854</v>
      </c>
      <c r="W44" s="146">
        <f t="shared" si="3"/>
        <v>-4854</v>
      </c>
    </row>
    <row r="45" spans="2:23" outlineLevel="1" x14ac:dyDescent="0.2">
      <c r="B45" s="11" t="s">
        <v>35</v>
      </c>
      <c r="C45" s="180">
        <f>'Statement Y'!C51</f>
        <v>128249</v>
      </c>
      <c r="D45" s="180">
        <f>'Statement Y'!D51</f>
        <v>134047</v>
      </c>
      <c r="E45" s="180">
        <f>'Statement Y'!E51</f>
        <v>107147</v>
      </c>
      <c r="F45" s="180">
        <f>'Statement Y'!F51</f>
        <v>90488</v>
      </c>
      <c r="G45" s="180">
        <f>'Statement Y'!G51</f>
        <v>65339</v>
      </c>
      <c r="H45" s="180">
        <f>'Statement Y'!H51</f>
        <v>63090</v>
      </c>
      <c r="I45" s="180">
        <f>'Statement Y'!I51</f>
        <v>50672</v>
      </c>
      <c r="J45" s="180">
        <f>'Statement Y'!J51</f>
        <v>62146</v>
      </c>
      <c r="K45" s="180">
        <f>'Statement Y'!K51</f>
        <v>56950</v>
      </c>
      <c r="L45" s="180">
        <f>'Statement Y'!L51</f>
        <v>73733</v>
      </c>
      <c r="N45" s="180">
        <f>'Statement Q'!C47</f>
        <v>74194</v>
      </c>
      <c r="O45" s="180">
        <f>'Statement Q'!D47</f>
        <v>66708</v>
      </c>
      <c r="P45" s="180">
        <f>'Statement Q'!E47</f>
        <v>56950</v>
      </c>
      <c r="Q45" s="180">
        <f>'Statement Q'!F47</f>
        <v>66758</v>
      </c>
      <c r="R45" s="180">
        <f>'Statement Q'!G47</f>
        <v>66796</v>
      </c>
      <c r="S45" s="180">
        <f>'Statement Q'!H47</f>
        <v>65830</v>
      </c>
      <c r="T45" s="180">
        <f>'Statement Q'!I47</f>
        <v>73733</v>
      </c>
      <c r="U45" s="180">
        <f>'Statement Q'!J47</f>
        <v>88190</v>
      </c>
      <c r="W45" s="180">
        <f t="shared" si="3"/>
        <v>88190</v>
      </c>
    </row>
    <row r="46" spans="2:23" ht="17" outlineLevel="1" thickBot="1" x14ac:dyDescent="0.25">
      <c r="B46" s="19" t="s">
        <v>36</v>
      </c>
      <c r="C46" s="181">
        <f>'Statement Y'!C52</f>
        <v>321686</v>
      </c>
      <c r="D46" s="181">
        <f>'Statement Y'!D52</f>
        <v>375319</v>
      </c>
      <c r="E46" s="181">
        <f>'Statement Y'!E52</f>
        <v>365725</v>
      </c>
      <c r="F46" s="181">
        <f>'Statement Y'!F52</f>
        <v>338516</v>
      </c>
      <c r="G46" s="181">
        <f>'Statement Y'!G52</f>
        <v>323888</v>
      </c>
      <c r="H46" s="181">
        <f>'Statement Y'!H52</f>
        <v>351002</v>
      </c>
      <c r="I46" s="181">
        <f>'Statement Y'!I52</f>
        <v>352755</v>
      </c>
      <c r="J46" s="181">
        <f>'Statement Y'!J52</f>
        <v>352583</v>
      </c>
      <c r="K46" s="181">
        <f>'Statement Y'!K52</f>
        <v>364980</v>
      </c>
      <c r="L46" s="181">
        <f>'Statement Y'!L52</f>
        <v>359241</v>
      </c>
      <c r="N46" s="181">
        <f>'Statement Q'!C48</f>
        <v>337411</v>
      </c>
      <c r="O46" s="181">
        <f>'Statement Q'!D48</f>
        <v>331612</v>
      </c>
      <c r="P46" s="181">
        <f>'Statement Q'!E48</f>
        <v>364980</v>
      </c>
      <c r="Q46" s="181">
        <f>'Statement Q'!F48</f>
        <v>344085</v>
      </c>
      <c r="R46" s="181">
        <f>'Statement Q'!G48</f>
        <v>331233</v>
      </c>
      <c r="S46" s="181">
        <f>'Statement Q'!H48</f>
        <v>331495</v>
      </c>
      <c r="T46" s="181">
        <f>'Statement Q'!I48</f>
        <v>359241</v>
      </c>
      <c r="U46" s="181">
        <f>'Statement Q'!J48</f>
        <v>379297</v>
      </c>
      <c r="W46" s="181">
        <f t="shared" si="3"/>
        <v>379297</v>
      </c>
    </row>
    <row r="48" spans="2:23" ht="17" thickBot="1" x14ac:dyDescent="0.25">
      <c r="B48" s="15" t="s">
        <v>39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N48" s="14"/>
      <c r="O48" s="14"/>
      <c r="P48" s="14"/>
      <c r="Q48" s="14"/>
      <c r="R48" s="14"/>
      <c r="S48" s="14"/>
      <c r="T48" s="14"/>
      <c r="U48" s="14"/>
      <c r="W48" s="14"/>
    </row>
    <row r="49" spans="2:23" outlineLevel="1" x14ac:dyDescent="0.2">
      <c r="B49" s="9" t="s">
        <v>14</v>
      </c>
      <c r="C49" s="146">
        <f>'Statement Y'!C55</f>
        <v>45687</v>
      </c>
      <c r="D49" s="146">
        <f>'Statement Y'!D55</f>
        <v>48351</v>
      </c>
      <c r="E49" s="146">
        <f>'Statement Y'!E55</f>
        <v>59531</v>
      </c>
      <c r="F49" s="146">
        <f>'Statement Y'!F55</f>
        <v>55256</v>
      </c>
      <c r="G49" s="146">
        <f>'Statement Y'!G55</f>
        <v>57411</v>
      </c>
      <c r="H49" s="146">
        <f>'Statement Y'!H55</f>
        <v>94680</v>
      </c>
      <c r="I49" s="146">
        <f>'Statement Y'!I55</f>
        <v>99803</v>
      </c>
      <c r="J49" s="146">
        <f>'Statement Y'!J55</f>
        <v>96995</v>
      </c>
      <c r="K49" s="146">
        <f>'Statement Y'!K55</f>
        <v>93736</v>
      </c>
      <c r="L49" s="146">
        <f>'Statement Y'!L55</f>
        <v>112010</v>
      </c>
      <c r="N49" s="146">
        <f>'Statement Q'!C51</f>
        <v>23636</v>
      </c>
      <c r="O49" s="146">
        <f>'Statement Q'!D51</f>
        <v>21448</v>
      </c>
      <c r="P49" s="146">
        <f>'Statement Q'!E51</f>
        <v>14736</v>
      </c>
      <c r="Q49" s="146">
        <f>'Statement Q'!F51</f>
        <v>36330</v>
      </c>
      <c r="R49" s="146">
        <f>'Statement Q'!G51</f>
        <v>24780</v>
      </c>
      <c r="S49" s="146">
        <f>'Statement Q'!H51</f>
        <v>23434</v>
      </c>
      <c r="T49" s="146">
        <f>'Statement Q'!I51</f>
        <v>27466</v>
      </c>
      <c r="U49" s="146">
        <f>'Statement Q'!J51</f>
        <v>42097</v>
      </c>
      <c r="W49" s="146">
        <f>SUM(R49:U49)</f>
        <v>117777</v>
      </c>
    </row>
    <row r="50" spans="2:23" outlineLevel="1" x14ac:dyDescent="0.2">
      <c r="B50" s="9" t="s">
        <v>40</v>
      </c>
      <c r="C50" s="146">
        <f>'Statement Y'!C56</f>
        <v>10505</v>
      </c>
      <c r="D50" s="146">
        <f>'Statement Y'!D56</f>
        <v>10157</v>
      </c>
      <c r="E50" s="146">
        <f>'Statement Y'!E56</f>
        <v>10903</v>
      </c>
      <c r="F50" s="146">
        <f>'Statement Y'!F56</f>
        <v>12547</v>
      </c>
      <c r="G50" s="146">
        <f>'Statement Y'!G56</f>
        <v>11056</v>
      </c>
      <c r="H50" s="146">
        <f>'Statement Y'!H56</f>
        <v>11284</v>
      </c>
      <c r="I50" s="146">
        <f>'Statement Y'!I56</f>
        <v>11104</v>
      </c>
      <c r="J50" s="146">
        <f>'Statement Y'!J56</f>
        <v>11519</v>
      </c>
      <c r="K50" s="146">
        <f>'Statement Y'!K56</f>
        <v>11445</v>
      </c>
      <c r="L50" s="146">
        <f>'Statement Y'!L56</f>
        <v>11698</v>
      </c>
      <c r="N50" s="146">
        <f>'Statement Q'!C52</f>
        <v>0</v>
      </c>
      <c r="O50" s="146">
        <f>'Statement Q'!D52</f>
        <v>0</v>
      </c>
      <c r="P50" s="146">
        <f>'Statement Q'!E52</f>
        <v>0</v>
      </c>
      <c r="Q50" s="146">
        <f>'Statement Q'!F52</f>
        <v>3080</v>
      </c>
      <c r="R50" s="146">
        <f>'Statement Q'!G52</f>
        <v>2661</v>
      </c>
      <c r="S50" s="146">
        <f>'Statement Q'!H52</f>
        <v>2830</v>
      </c>
      <c r="T50" s="146">
        <f>'Statement Q'!I52</f>
        <v>3127</v>
      </c>
      <c r="U50" s="146">
        <f>'Statement Q'!J52</f>
        <v>3214</v>
      </c>
      <c r="W50" s="146">
        <f t="shared" ref="W50:W64" si="4">SUM(R50:U50)</f>
        <v>11832</v>
      </c>
    </row>
    <row r="51" spans="2:23" outlineLevel="1" x14ac:dyDescent="0.2">
      <c r="B51" s="12" t="s">
        <v>105</v>
      </c>
      <c r="C51" s="146">
        <f>'Statement Y'!C57</f>
        <v>4210</v>
      </c>
      <c r="D51" s="146">
        <f>'Statement Y'!D57</f>
        <v>4840</v>
      </c>
      <c r="E51" s="146">
        <f>'Statement Y'!E57</f>
        <v>5340</v>
      </c>
      <c r="F51" s="146">
        <f>'Statement Y'!F57</f>
        <v>6068</v>
      </c>
      <c r="G51" s="146">
        <f>'Statement Y'!G57</f>
        <v>6829</v>
      </c>
      <c r="H51" s="146">
        <f>'Statement Y'!H57</f>
        <v>7906</v>
      </c>
      <c r="I51" s="146">
        <f>'Statement Y'!I57</f>
        <v>9038</v>
      </c>
      <c r="J51" s="146">
        <f>'Statement Y'!J57</f>
        <v>10833</v>
      </c>
      <c r="K51" s="146">
        <f>'Statement Y'!K57</f>
        <v>11688</v>
      </c>
      <c r="L51" s="146">
        <f>'Statement Y'!L57</f>
        <v>12863</v>
      </c>
      <c r="N51" s="146">
        <f>'Statement Q'!C53</f>
        <v>0</v>
      </c>
      <c r="O51" s="146">
        <f>'Statement Q'!D53</f>
        <v>0</v>
      </c>
      <c r="P51" s="146">
        <f>'Statement Q'!E53</f>
        <v>0</v>
      </c>
      <c r="Q51" s="146">
        <f>'Statement Q'!F53</f>
        <v>3286</v>
      </c>
      <c r="R51" s="146">
        <f>'Statement Q'!G53</f>
        <v>3226</v>
      </c>
      <c r="S51" s="146">
        <f>'Statement Q'!H53</f>
        <v>3168</v>
      </c>
      <c r="T51" s="146">
        <f>'Statement Q'!I53</f>
        <v>3183</v>
      </c>
      <c r="U51" s="146">
        <f>'Statement Q'!J53</f>
        <v>3594</v>
      </c>
      <c r="W51" s="146">
        <f t="shared" si="4"/>
        <v>13171</v>
      </c>
    </row>
    <row r="52" spans="2:23" outlineLevel="1" x14ac:dyDescent="0.2">
      <c r="B52" s="12" t="s">
        <v>391</v>
      </c>
      <c r="C52" s="146">
        <f>'Statement Y'!C58</f>
        <v>4938</v>
      </c>
      <c r="D52" s="146">
        <f>'Statement Y'!D58</f>
        <v>5966</v>
      </c>
      <c r="E52" s="146">
        <f>'Statement Y'!E58</f>
        <v>-32590</v>
      </c>
      <c r="F52" s="146">
        <f>'Statement Y'!F58</f>
        <v>-340</v>
      </c>
      <c r="G52" s="146">
        <f>'Statement Y'!G58</f>
        <v>-215</v>
      </c>
      <c r="H52" s="146">
        <f>'Statement Y'!H58</f>
        <v>-4774</v>
      </c>
      <c r="I52" s="146">
        <f>'Statement Y'!I58</f>
        <v>895</v>
      </c>
      <c r="J52" s="146">
        <f>'Statement Y'!J58</f>
        <v>0</v>
      </c>
      <c r="K52" s="146">
        <f>'Statement Y'!K58</f>
        <v>0</v>
      </c>
      <c r="L52" s="146">
        <f>'Statement Y'!L58</f>
        <v>0</v>
      </c>
      <c r="N52" s="146">
        <v>0</v>
      </c>
      <c r="O52" s="146">
        <v>0</v>
      </c>
      <c r="P52" s="146">
        <v>0</v>
      </c>
      <c r="Q52" s="146">
        <v>0</v>
      </c>
      <c r="R52" s="146">
        <v>0</v>
      </c>
      <c r="S52" s="146">
        <v>0</v>
      </c>
      <c r="T52" s="146">
        <v>0</v>
      </c>
      <c r="U52" s="146">
        <v>0</v>
      </c>
      <c r="W52" s="146">
        <f t="shared" si="4"/>
        <v>0</v>
      </c>
    </row>
    <row r="53" spans="2:23" outlineLevel="1" x14ac:dyDescent="0.2">
      <c r="B53" s="12" t="s">
        <v>377</v>
      </c>
      <c r="C53" s="146">
        <f>'Statement Y'!C59</f>
        <v>0</v>
      </c>
      <c r="D53" s="146">
        <f>'Statement Y'!D59</f>
        <v>-166</v>
      </c>
      <c r="E53" s="146">
        <f>'Statement Y'!E59</f>
        <v>-444</v>
      </c>
      <c r="F53" s="146">
        <f>'Statement Y'!F59</f>
        <v>-652</v>
      </c>
      <c r="G53" s="146">
        <f>'Statement Y'!G59</f>
        <v>-97</v>
      </c>
      <c r="H53" s="146">
        <f>'Statement Y'!H59</f>
        <v>-147</v>
      </c>
      <c r="I53" s="146">
        <f>'Statement Y'!I59</f>
        <v>111</v>
      </c>
      <c r="J53" s="146">
        <f>'Statement Y'!J59</f>
        <v>-2227</v>
      </c>
      <c r="K53" s="146">
        <f>'Statement Y'!K59</f>
        <v>-2266</v>
      </c>
      <c r="L53" s="146">
        <f>'Statement Y'!L59</f>
        <v>-89</v>
      </c>
      <c r="N53" s="146">
        <f>'Statement Q'!C54</f>
        <v>0</v>
      </c>
      <c r="O53" s="146">
        <f>'Statement Q'!D54</f>
        <v>0</v>
      </c>
      <c r="P53" s="146">
        <f>'Statement Q'!E54</f>
        <v>0</v>
      </c>
      <c r="Q53" s="146">
        <f>'Statement Q'!F54</f>
        <v>-2009</v>
      </c>
      <c r="R53" s="146">
        <f>'Statement Q'!G54</f>
        <v>-208</v>
      </c>
      <c r="S53" s="146">
        <f>'Statement Q'!H54</f>
        <v>469</v>
      </c>
      <c r="T53" s="146">
        <f>'Statement Q'!I54</f>
        <v>1659</v>
      </c>
      <c r="U53" s="146">
        <f>'Statement Q'!J54</f>
        <v>-528</v>
      </c>
      <c r="W53" s="146">
        <f t="shared" si="4"/>
        <v>1392</v>
      </c>
    </row>
    <row r="54" spans="2:23" outlineLevel="1" x14ac:dyDescent="0.2">
      <c r="B54" s="9" t="s">
        <v>300</v>
      </c>
      <c r="C54" s="146">
        <f>SUM('Statement Y'!C60:C66)</f>
        <v>484</v>
      </c>
      <c r="D54" s="146">
        <f>SUM('Statement Y'!D60:D66)</f>
        <v>-4923</v>
      </c>
      <c r="E54" s="146">
        <f>SUM('Statement Y'!E60:E66)</f>
        <v>34694</v>
      </c>
      <c r="F54" s="146">
        <f>SUM('Statement Y'!F60:F66)</f>
        <v>-3488</v>
      </c>
      <c r="G54" s="146">
        <f>SUM('Statement Y'!G60:G66)</f>
        <v>5690</v>
      </c>
      <c r="H54" s="146">
        <f>SUM('Statement Y'!H60:H66)</f>
        <v>-4911</v>
      </c>
      <c r="I54" s="146">
        <f>SUM('Statement Y'!I60:I66)</f>
        <v>1200</v>
      </c>
      <c r="J54" s="146">
        <f>SUM('Statement Y'!J60:J66)</f>
        <v>-6577</v>
      </c>
      <c r="K54" s="146">
        <f>SUM('Statement Y'!K60:K66)</f>
        <v>3651</v>
      </c>
      <c r="L54" s="146">
        <f>SUM('Statement Y'!L60:L66)</f>
        <v>-25000</v>
      </c>
      <c r="N54" s="146">
        <f>SUM('Statement Q'!C55:C60)</f>
        <v>0</v>
      </c>
      <c r="O54" s="146">
        <f>SUM('Statement Q'!D55:D60)</f>
        <v>0</v>
      </c>
      <c r="P54" s="146">
        <f>SUM('Statement Q'!E55:E60)</f>
        <v>0</v>
      </c>
      <c r="Q54" s="146">
        <f>SUM('Statement Q'!F55:F60)</f>
        <v>-10752</v>
      </c>
      <c r="R54" s="146">
        <f>SUM('Statement Q'!G55:G60)</f>
        <v>-6507</v>
      </c>
      <c r="S54" s="146">
        <f>SUM('Statement Q'!H55:H60)</f>
        <v>-2034</v>
      </c>
      <c r="T54" s="146">
        <f>SUM('Statement Q'!I55:I60)</f>
        <v>-5707</v>
      </c>
      <c r="U54" s="146">
        <f>SUM('Statement Q'!J55:J60)</f>
        <v>5548</v>
      </c>
      <c r="W54" s="146">
        <f t="shared" si="4"/>
        <v>-8700</v>
      </c>
    </row>
    <row r="55" spans="2:23" outlineLevel="1" x14ac:dyDescent="0.2">
      <c r="B55" s="17" t="s">
        <v>43</v>
      </c>
      <c r="C55" s="177">
        <f>'Statement Y'!C67</f>
        <v>65824</v>
      </c>
      <c r="D55" s="177">
        <f>'Statement Y'!D67</f>
        <v>64225</v>
      </c>
      <c r="E55" s="177">
        <f>'Statement Y'!E67</f>
        <v>77434</v>
      </c>
      <c r="F55" s="177">
        <f>'Statement Y'!F67</f>
        <v>69391</v>
      </c>
      <c r="G55" s="177">
        <f>'Statement Y'!G67</f>
        <v>80674</v>
      </c>
      <c r="H55" s="177">
        <f>'Statement Y'!H67</f>
        <v>104038</v>
      </c>
      <c r="I55" s="177">
        <f>'Statement Y'!I67</f>
        <v>122151</v>
      </c>
      <c r="J55" s="177">
        <f>'Statement Y'!J67</f>
        <v>110543</v>
      </c>
      <c r="K55" s="177">
        <f>'Statement Y'!K67</f>
        <v>118254</v>
      </c>
      <c r="L55" s="177">
        <f>'Statement Y'!L67</f>
        <v>111482</v>
      </c>
      <c r="N55" s="177">
        <f>'Statement Q'!C61</f>
        <v>0</v>
      </c>
      <c r="O55" s="177">
        <f>'Statement Q'!D61</f>
        <v>0</v>
      </c>
      <c r="P55" s="177">
        <f>'Statement Q'!E61</f>
        <v>0</v>
      </c>
      <c r="Q55" s="177">
        <f>'Statement Q'!F61</f>
        <v>29935</v>
      </c>
      <c r="R55" s="177">
        <f>'Statement Q'!G61</f>
        <v>23952</v>
      </c>
      <c r="S55" s="177">
        <f>'Statement Q'!H61</f>
        <v>27867</v>
      </c>
      <c r="T55" s="177">
        <f>'Statement Q'!I61</f>
        <v>29728</v>
      </c>
      <c r="U55" s="177">
        <f>'Statement Q'!J61</f>
        <v>53925</v>
      </c>
      <c r="W55" s="177">
        <f t="shared" si="4"/>
        <v>135472</v>
      </c>
    </row>
    <row r="56" spans="2:23" outlineLevel="1" x14ac:dyDescent="0.2">
      <c r="B56" s="9" t="s">
        <v>44</v>
      </c>
      <c r="C56" s="146">
        <f>'Statement Y'!C71</f>
        <v>-12734</v>
      </c>
      <c r="D56" s="146">
        <f>'Statement Y'!D71</f>
        <v>-12451</v>
      </c>
      <c r="E56" s="146">
        <f>'Statement Y'!E71</f>
        <v>-13313</v>
      </c>
      <c r="F56" s="146">
        <f>'Statement Y'!F71</f>
        <v>-10495</v>
      </c>
      <c r="G56" s="146">
        <f>'Statement Y'!G71</f>
        <v>-7309</v>
      </c>
      <c r="H56" s="146">
        <f>'Statement Y'!H71</f>
        <v>-11085</v>
      </c>
      <c r="I56" s="146">
        <f>'Statement Y'!I71</f>
        <v>-10708</v>
      </c>
      <c r="J56" s="146">
        <f>'Statement Y'!J71</f>
        <v>-10959</v>
      </c>
      <c r="K56" s="146">
        <f>'Statement Y'!K71</f>
        <v>-9447</v>
      </c>
      <c r="L56" s="146">
        <f>'Statement Y'!L71</f>
        <v>-12715</v>
      </c>
      <c r="N56" s="146">
        <f>'Statement Q'!C65</f>
        <v>0</v>
      </c>
      <c r="O56" s="146">
        <f>'Statement Q'!D65</f>
        <v>0</v>
      </c>
      <c r="P56" s="146">
        <f>'Statement Q'!E65</f>
        <v>0</v>
      </c>
      <c r="Q56" s="146">
        <f>'Statement Q'!F65</f>
        <v>-2940</v>
      </c>
      <c r="R56" s="146">
        <f>'Statement Q'!G65</f>
        <v>-3071</v>
      </c>
      <c r="S56" s="146">
        <f>'Statement Q'!H65</f>
        <v>-3462</v>
      </c>
      <c r="T56" s="146">
        <f>'Statement Q'!I65</f>
        <v>-3242</v>
      </c>
      <c r="U56" s="146">
        <f>'Statement Q'!J65</f>
        <v>-2373</v>
      </c>
      <c r="W56" s="146">
        <f t="shared" si="4"/>
        <v>-12148</v>
      </c>
    </row>
    <row r="57" spans="2:23" outlineLevel="1" x14ac:dyDescent="0.2">
      <c r="B57" s="17" t="s">
        <v>45</v>
      </c>
      <c r="C57" s="177">
        <f>'Statement Y'!C78</f>
        <v>-45977</v>
      </c>
      <c r="D57" s="177">
        <f>'Statement Y'!D78</f>
        <v>-46446</v>
      </c>
      <c r="E57" s="177">
        <f>'Statement Y'!E78</f>
        <v>16066</v>
      </c>
      <c r="F57" s="177">
        <f>'Statement Y'!F78</f>
        <v>45896</v>
      </c>
      <c r="G57" s="177">
        <f>'Statement Y'!G78</f>
        <v>-4289</v>
      </c>
      <c r="H57" s="177">
        <f>'Statement Y'!H78</f>
        <v>-14545</v>
      </c>
      <c r="I57" s="177">
        <f>'Statement Y'!I78</f>
        <v>-22354</v>
      </c>
      <c r="J57" s="177">
        <f>'Statement Y'!J78</f>
        <v>3705</v>
      </c>
      <c r="K57" s="177">
        <f>'Statement Y'!K78</f>
        <v>2935</v>
      </c>
      <c r="L57" s="177">
        <f>'Statement Y'!L78</f>
        <v>15195</v>
      </c>
      <c r="N57" s="177">
        <f>'Statement Q'!C67</f>
        <v>0</v>
      </c>
      <c r="O57" s="177">
        <f>'Statement Q'!D67</f>
        <v>0</v>
      </c>
      <c r="P57" s="177">
        <f>'Statement Q'!E67</f>
        <v>0</v>
      </c>
      <c r="Q57" s="177">
        <f>'Statement Q'!F67</f>
        <v>9792</v>
      </c>
      <c r="R57" s="177">
        <f>'Statement Q'!G67</f>
        <v>2917</v>
      </c>
      <c r="S57" s="177">
        <f>'Statement Q'!H67</f>
        <v>5073</v>
      </c>
      <c r="T57" s="177">
        <f>'Statement Q'!I67</f>
        <v>-2587</v>
      </c>
      <c r="U57" s="177">
        <f>'Statement Q'!J67</f>
        <v>-4886</v>
      </c>
      <c r="W57" s="177">
        <f t="shared" si="4"/>
        <v>517</v>
      </c>
    </row>
    <row r="58" spans="2:23" outlineLevel="1" x14ac:dyDescent="0.2">
      <c r="B58" s="9" t="s">
        <v>108</v>
      </c>
      <c r="C58" s="146">
        <f>'Statement Y'!C79</f>
        <v>495</v>
      </c>
      <c r="D58" s="146">
        <f>'Statement Y'!D79</f>
        <v>555</v>
      </c>
      <c r="E58" s="146">
        <f>'Statement Y'!E79</f>
        <v>669</v>
      </c>
      <c r="F58" s="146">
        <f>'Statement Y'!F79</f>
        <v>781</v>
      </c>
      <c r="G58" s="146">
        <f>'Statement Y'!G79</f>
        <v>0</v>
      </c>
      <c r="H58" s="146">
        <f>'Statement Y'!H79</f>
        <v>0</v>
      </c>
      <c r="I58" s="146">
        <f>'Statement Y'!I79</f>
        <v>0</v>
      </c>
      <c r="J58" s="146">
        <f>'Statement Y'!J79</f>
        <v>0</v>
      </c>
      <c r="K58" s="146">
        <f>'Statement Y'!K79</f>
        <v>0</v>
      </c>
      <c r="L58" s="146">
        <f>'Statement Y'!L79</f>
        <v>0</v>
      </c>
      <c r="N58" s="146">
        <v>0</v>
      </c>
      <c r="O58" s="146">
        <v>0</v>
      </c>
      <c r="P58" s="146">
        <v>0</v>
      </c>
      <c r="Q58" s="146">
        <v>0</v>
      </c>
      <c r="R58" s="146">
        <v>0</v>
      </c>
      <c r="S58" s="146">
        <v>0</v>
      </c>
      <c r="T58" s="146">
        <v>0</v>
      </c>
      <c r="U58" s="146">
        <v>0</v>
      </c>
      <c r="W58" s="146">
        <f t="shared" si="4"/>
        <v>0</v>
      </c>
    </row>
    <row r="59" spans="2:23" outlineLevel="1" x14ac:dyDescent="0.2">
      <c r="B59" s="9" t="s">
        <v>110</v>
      </c>
      <c r="C59" s="146">
        <f>'Statement Y'!C86</f>
        <v>-397</v>
      </c>
      <c r="D59" s="146">
        <f>'Statement Y'!D86</f>
        <v>3852</v>
      </c>
      <c r="E59" s="146">
        <f>'Statement Y'!E86</f>
        <v>-37</v>
      </c>
      <c r="F59" s="146">
        <f>'Statement Y'!F86</f>
        <v>-5977</v>
      </c>
      <c r="G59" s="146">
        <f>'Statement Y'!G86</f>
        <v>-963</v>
      </c>
      <c r="H59" s="146">
        <f>'Statement Y'!H86</f>
        <v>1022</v>
      </c>
      <c r="I59" s="146">
        <f>'Statement Y'!I86</f>
        <v>3955</v>
      </c>
      <c r="J59" s="146">
        <f>'Statement Y'!J86</f>
        <v>-3978</v>
      </c>
      <c r="K59" s="146">
        <f>'Statement Y'!K86</f>
        <v>3960</v>
      </c>
      <c r="L59" s="146">
        <f>'Statement Y'!L86</f>
        <v>-2032</v>
      </c>
      <c r="N59" s="146">
        <f>'Statement Q'!C70</f>
        <v>0</v>
      </c>
      <c r="O59" s="146">
        <f>'Statement Q'!D70</f>
        <v>0</v>
      </c>
      <c r="P59" s="146">
        <f>'Statement Q'!E70</f>
        <v>0</v>
      </c>
      <c r="Q59" s="146">
        <f>'Statement Q'!F70</f>
        <v>-23606</v>
      </c>
      <c r="R59" s="146">
        <f>'Statement Q'!G70</f>
        <v>-25898</v>
      </c>
      <c r="S59" s="146">
        <f>'Statement Q'!H70</f>
        <v>-21075</v>
      </c>
      <c r="T59" s="146">
        <f>'Statement Q'!I70</f>
        <v>-20132</v>
      </c>
      <c r="U59" s="146">
        <f>'Statement Q'!J70</f>
        <v>-24701</v>
      </c>
      <c r="W59" s="146">
        <f t="shared" si="4"/>
        <v>-91806</v>
      </c>
    </row>
    <row r="60" spans="2:23" outlineLevel="1" x14ac:dyDescent="0.2">
      <c r="B60" s="9" t="s">
        <v>417</v>
      </c>
      <c r="C60" s="146">
        <f>'Statement Y'!C82</f>
        <v>-12150</v>
      </c>
      <c r="D60" s="146">
        <f>'Statement Y'!D82</f>
        <v>-12769</v>
      </c>
      <c r="E60" s="146">
        <f>'Statement Y'!E82</f>
        <v>-13712</v>
      </c>
      <c r="F60" s="146">
        <f>'Statement Y'!F82</f>
        <v>-14119</v>
      </c>
      <c r="G60" s="146">
        <f>'Statement Y'!G82</f>
        <v>-14081</v>
      </c>
      <c r="H60" s="146">
        <f>'Statement Y'!H82</f>
        <v>-14467</v>
      </c>
      <c r="I60" s="146">
        <f>'Statement Y'!I82</f>
        <v>-14841</v>
      </c>
      <c r="J60" s="146">
        <f>'Statement Y'!J82</f>
        <v>-15025</v>
      </c>
      <c r="K60" s="146">
        <f>'Statement Y'!K82</f>
        <v>-15234</v>
      </c>
      <c r="L60" s="146">
        <f>'Statement Y'!L82</f>
        <v>-15421</v>
      </c>
      <c r="N60" s="146">
        <f>'Statement Q'!C69</f>
        <v>0</v>
      </c>
      <c r="O60" s="146">
        <f>'Statement Q'!D69</f>
        <v>0</v>
      </c>
      <c r="P60" s="146">
        <f>'Statement Q'!E69</f>
        <v>0</v>
      </c>
      <c r="Q60" s="146">
        <f>'Statement Q'!F69</f>
        <v>-3856</v>
      </c>
      <c r="R60" s="146">
        <f>'Statement Q'!G69</f>
        <v>-3758</v>
      </c>
      <c r="S60" s="146">
        <f>'Statement Q'!H69</f>
        <v>-3945</v>
      </c>
      <c r="T60" s="146">
        <f>'Statement Q'!I69</f>
        <v>-3862</v>
      </c>
      <c r="U60" s="146">
        <f>'Statement Q'!J69</f>
        <v>-3921</v>
      </c>
      <c r="W60" s="146">
        <f t="shared" si="4"/>
        <v>-15486</v>
      </c>
    </row>
    <row r="61" spans="2:23" outlineLevel="1" x14ac:dyDescent="0.2">
      <c r="B61" s="9" t="s">
        <v>418</v>
      </c>
      <c r="C61" s="146">
        <f>'Statement Y'!C84</f>
        <v>24954</v>
      </c>
      <c r="D61" s="146">
        <f>'Statement Y'!D84</f>
        <v>28662</v>
      </c>
      <c r="E61" s="146">
        <f>'Statement Y'!E84</f>
        <v>6969</v>
      </c>
      <c r="F61" s="146">
        <f>'Statement Y'!F84</f>
        <v>6963</v>
      </c>
      <c r="G61" s="146">
        <f>'Statement Y'!G84</f>
        <v>16091</v>
      </c>
      <c r="H61" s="146">
        <f>'Statement Y'!H84</f>
        <v>20393</v>
      </c>
      <c r="I61" s="146">
        <f>'Statement Y'!I84</f>
        <v>5465</v>
      </c>
      <c r="J61" s="146">
        <f>'Statement Y'!J84</f>
        <v>5228</v>
      </c>
      <c r="K61" s="146">
        <f>'Statement Y'!K84</f>
        <v>0</v>
      </c>
      <c r="L61" s="146">
        <f>'Statement Y'!L84</f>
        <v>4481</v>
      </c>
      <c r="N61" s="146">
        <f>'Statement Q'!C71</f>
        <v>0</v>
      </c>
      <c r="O61" s="146">
        <f>'Statement Q'!D71</f>
        <v>0</v>
      </c>
      <c r="P61" s="146">
        <f>'Statement Q'!E71</f>
        <v>0</v>
      </c>
      <c r="Q61" s="146">
        <f>'Statement Q'!F71</f>
        <v>0</v>
      </c>
      <c r="R61" s="146">
        <f>'Statement Q'!G71</f>
        <v>0</v>
      </c>
      <c r="S61" s="146">
        <f>'Statement Q'!H71</f>
        <v>4481</v>
      </c>
      <c r="T61" s="146">
        <f>'Statement Q'!I71</f>
        <v>0</v>
      </c>
      <c r="U61" s="146">
        <f>'Statement Q'!J71</f>
        <v>0</v>
      </c>
      <c r="W61" s="146">
        <f t="shared" si="4"/>
        <v>4481</v>
      </c>
    </row>
    <row r="62" spans="2:23" outlineLevel="1" x14ac:dyDescent="0.2">
      <c r="B62" s="9" t="s">
        <v>419</v>
      </c>
      <c r="C62" s="146">
        <f>'Statement Y'!C85</f>
        <v>-2500</v>
      </c>
      <c r="D62" s="146">
        <f>'Statement Y'!D85</f>
        <v>-3500</v>
      </c>
      <c r="E62" s="146">
        <f>'Statement Y'!E85</f>
        <v>-6500</v>
      </c>
      <c r="F62" s="146">
        <f>'Statement Y'!F85</f>
        <v>-8805</v>
      </c>
      <c r="G62" s="146">
        <f>'Statement Y'!G85</f>
        <v>-12629</v>
      </c>
      <c r="H62" s="146">
        <f>'Statement Y'!H85</f>
        <v>-8750</v>
      </c>
      <c r="I62" s="146">
        <f>'Statement Y'!I85</f>
        <v>-9543</v>
      </c>
      <c r="J62" s="146">
        <f>'Statement Y'!J85</f>
        <v>-11151</v>
      </c>
      <c r="K62" s="146">
        <f>'Statement Y'!K85</f>
        <v>-9958</v>
      </c>
      <c r="L62" s="146">
        <f>'Statement Y'!L85</f>
        <v>-10932</v>
      </c>
      <c r="N62" s="146">
        <f>'Statement Q'!C72</f>
        <v>0</v>
      </c>
      <c r="O62" s="146">
        <f>'Statement Q'!D72</f>
        <v>0</v>
      </c>
      <c r="P62" s="146">
        <f>'Statement Q'!E72</f>
        <v>0</v>
      </c>
      <c r="Q62" s="146">
        <f>'Statement Q'!F72</f>
        <v>-1009</v>
      </c>
      <c r="R62" s="146">
        <f>'Statement Q'!G72</f>
        <v>-3000</v>
      </c>
      <c r="S62" s="146">
        <f>'Statement Q'!H72</f>
        <v>-5673</v>
      </c>
      <c r="T62" s="146">
        <f>'Statement Q'!I72</f>
        <v>-1250</v>
      </c>
      <c r="U62" s="146">
        <f>'Statement Q'!J72</f>
        <v>-2164</v>
      </c>
      <c r="W62" s="146">
        <f t="shared" si="4"/>
        <v>-12087</v>
      </c>
    </row>
    <row r="63" spans="2:23" outlineLevel="1" x14ac:dyDescent="0.2">
      <c r="B63" s="17" t="s">
        <v>46</v>
      </c>
      <c r="C63" s="177">
        <f>'Statement Y'!C88</f>
        <v>-20483</v>
      </c>
      <c r="D63" s="177">
        <f>'Statement Y'!D88</f>
        <v>-17974</v>
      </c>
      <c r="E63" s="177">
        <f>'Statement Y'!E88</f>
        <v>-87876</v>
      </c>
      <c r="F63" s="177">
        <f>'Statement Y'!F88</f>
        <v>-90976</v>
      </c>
      <c r="G63" s="177">
        <f>'Statement Y'!G88</f>
        <v>-86820</v>
      </c>
      <c r="H63" s="177">
        <f>'Statement Y'!H88</f>
        <v>-93353</v>
      </c>
      <c r="I63" s="177">
        <f>'Statement Y'!I88</f>
        <v>-110749</v>
      </c>
      <c r="J63" s="177">
        <f>'Statement Y'!J88</f>
        <v>-108488</v>
      </c>
      <c r="K63" s="177">
        <f>'Statement Y'!K88</f>
        <v>-121983</v>
      </c>
      <c r="L63" s="177">
        <f>'Statement Y'!L88</f>
        <v>-120686</v>
      </c>
      <c r="N63" s="177">
        <f>'Statement Q'!C75</f>
        <v>0</v>
      </c>
      <c r="O63" s="177">
        <f>'Statement Q'!D75</f>
        <v>0</v>
      </c>
      <c r="P63" s="177">
        <f>'Statement Q'!E75</f>
        <v>0</v>
      </c>
      <c r="Q63" s="177">
        <f>'Statement Q'!F75</f>
        <v>-39371</v>
      </c>
      <c r="R63" s="177">
        <f>'Statement Q'!G75</f>
        <v>-29006</v>
      </c>
      <c r="S63" s="177">
        <f>'Statement Q'!H75</f>
        <v>-24833</v>
      </c>
      <c r="T63" s="177">
        <f>'Statement Q'!I75</f>
        <v>-27476</v>
      </c>
      <c r="U63" s="177">
        <f>'Statement Q'!J75</f>
        <v>-39656</v>
      </c>
      <c r="W63" s="177">
        <f t="shared" si="4"/>
        <v>-120971</v>
      </c>
    </row>
    <row r="64" spans="2:23" outlineLevel="1" x14ac:dyDescent="0.2">
      <c r="B64" s="11" t="s">
        <v>47</v>
      </c>
      <c r="C64" s="180">
        <f>'Statement Y'!C89</f>
        <v>-636</v>
      </c>
      <c r="D64" s="180">
        <f>'Statement Y'!D89</f>
        <v>-195</v>
      </c>
      <c r="E64" s="180">
        <f>'Statement Y'!E89</f>
        <v>5624</v>
      </c>
      <c r="F64" s="180">
        <f>'Statement Y'!F89</f>
        <v>24311</v>
      </c>
      <c r="G64" s="180">
        <f>'Statement Y'!G89</f>
        <v>-10435</v>
      </c>
      <c r="H64" s="180">
        <f>'Statement Y'!H89</f>
        <v>-3860</v>
      </c>
      <c r="I64" s="180">
        <f>'Statement Y'!I89</f>
        <v>-10952</v>
      </c>
      <c r="J64" s="180">
        <f>'Statement Y'!J89</f>
        <v>5760</v>
      </c>
      <c r="K64" s="180">
        <f>'Statement Y'!K89</f>
        <v>-794</v>
      </c>
      <c r="L64" s="180">
        <f>'Statement Y'!L89</f>
        <v>5991</v>
      </c>
      <c r="N64" s="180">
        <f>'Statement Q'!C76</f>
        <v>0</v>
      </c>
      <c r="O64" s="180">
        <f>'Statement Q'!D76</f>
        <v>0</v>
      </c>
      <c r="P64" s="180">
        <f>'Statement Q'!E76</f>
        <v>0</v>
      </c>
      <c r="Q64" s="180">
        <f>'Statement Q'!F76</f>
        <v>356</v>
      </c>
      <c r="R64" s="180">
        <f>'Statement Q'!G76</f>
        <v>-2137</v>
      </c>
      <c r="S64" s="180">
        <f>'Statement Q'!H76</f>
        <v>8107</v>
      </c>
      <c r="T64" s="180">
        <f>'Statement Q'!I76</f>
        <v>-335</v>
      </c>
      <c r="U64" s="180">
        <f>'Statement Q'!J76</f>
        <v>9383</v>
      </c>
      <c r="W64" s="180">
        <f t="shared" si="4"/>
        <v>15018</v>
      </c>
    </row>
    <row r="65" spans="2:23" outlineLevel="1" x14ac:dyDescent="0.2">
      <c r="B65" s="11" t="s">
        <v>48</v>
      </c>
      <c r="C65" s="180">
        <f>'Statement Y'!C90</f>
        <v>21120</v>
      </c>
      <c r="D65" s="180">
        <f>'Statement Y'!D90</f>
        <v>20484</v>
      </c>
      <c r="E65" s="180">
        <f>'Statement Y'!E90</f>
        <v>20289</v>
      </c>
      <c r="F65" s="180">
        <f>'Statement Y'!F90</f>
        <v>25913</v>
      </c>
      <c r="G65" s="180">
        <f>'Statement Y'!G90</f>
        <v>50224</v>
      </c>
      <c r="H65" s="180">
        <f>'Statement Y'!H90</f>
        <v>39789</v>
      </c>
      <c r="I65" s="180">
        <f>'Statement Y'!I90</f>
        <v>35929</v>
      </c>
      <c r="J65" s="180">
        <f>'Statement Y'!J90</f>
        <v>24977</v>
      </c>
      <c r="K65" s="180">
        <f>'Statement Y'!K90</f>
        <v>30737</v>
      </c>
      <c r="L65" s="180">
        <f>'Statement Y'!L90</f>
        <v>29943</v>
      </c>
      <c r="N65" s="180">
        <f>'Statement Q'!C77</f>
        <v>0</v>
      </c>
      <c r="O65" s="180">
        <f>'Statement Q'!D77</f>
        <v>0</v>
      </c>
      <c r="P65" s="180">
        <f>'Statement Q'!E77</f>
        <v>0</v>
      </c>
      <c r="Q65" s="180">
        <f>'Statement Q'!F77</f>
        <v>29943</v>
      </c>
      <c r="R65" s="180">
        <f>'Statement Q'!G77</f>
        <v>30299</v>
      </c>
      <c r="S65" s="180">
        <f>'Statement Q'!H77</f>
        <v>28162</v>
      </c>
      <c r="T65" s="180">
        <f>'Statement Q'!I77</f>
        <v>36269</v>
      </c>
      <c r="U65" s="180">
        <f>'Statement Q'!J77</f>
        <v>35934</v>
      </c>
      <c r="W65" s="180">
        <f>R65</f>
        <v>30299</v>
      </c>
    </row>
    <row r="66" spans="2:23" ht="17" outlineLevel="1" thickBot="1" x14ac:dyDescent="0.25">
      <c r="B66" s="19" t="s">
        <v>49</v>
      </c>
      <c r="C66" s="181">
        <f>'Statement Y'!C91</f>
        <v>20484</v>
      </c>
      <c r="D66" s="181">
        <f>'Statement Y'!D91</f>
        <v>20289</v>
      </c>
      <c r="E66" s="181">
        <f>'Statement Y'!E91</f>
        <v>25913</v>
      </c>
      <c r="F66" s="181">
        <f>'Statement Y'!F91</f>
        <v>50224</v>
      </c>
      <c r="G66" s="181">
        <f>'Statement Y'!G91</f>
        <v>39789</v>
      </c>
      <c r="H66" s="181">
        <f>'Statement Y'!H91</f>
        <v>35929</v>
      </c>
      <c r="I66" s="181">
        <f>'Statement Y'!I91</f>
        <v>24977</v>
      </c>
      <c r="J66" s="181">
        <f>'Statement Y'!J91</f>
        <v>30737</v>
      </c>
      <c r="K66" s="181">
        <f>'Statement Y'!K91</f>
        <v>29943</v>
      </c>
      <c r="L66" s="181">
        <f>'Statement Y'!L91</f>
        <v>35934</v>
      </c>
      <c r="N66" s="181">
        <f>'Statement Q'!C78</f>
        <v>0</v>
      </c>
      <c r="O66" s="181">
        <f>'Statement Q'!D78</f>
        <v>0</v>
      </c>
      <c r="P66" s="181">
        <f>'Statement Q'!E78</f>
        <v>0</v>
      </c>
      <c r="Q66" s="181">
        <f>'Statement Q'!F78</f>
        <v>30299</v>
      </c>
      <c r="R66" s="181">
        <f>'Statement Q'!G78</f>
        <v>28162</v>
      </c>
      <c r="S66" s="181">
        <f>'Statement Q'!H78</f>
        <v>36269</v>
      </c>
      <c r="T66" s="181">
        <f>'Statement Q'!I78</f>
        <v>35934</v>
      </c>
      <c r="U66" s="181">
        <f>'Statement Q'!J78</f>
        <v>45317</v>
      </c>
      <c r="W66" s="181">
        <f>U66</f>
        <v>45317</v>
      </c>
    </row>
    <row r="68" spans="2:23" ht="17" thickBot="1" x14ac:dyDescent="0.25">
      <c r="B68" s="15" t="s">
        <v>301</v>
      </c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N68" s="182"/>
      <c r="O68" s="182"/>
      <c r="P68" s="182"/>
      <c r="Q68" s="182"/>
      <c r="R68" s="182"/>
      <c r="S68" s="182"/>
      <c r="T68" s="182"/>
      <c r="U68" s="182"/>
      <c r="W68" s="182"/>
    </row>
    <row r="69" spans="2:23" x14ac:dyDescent="0.2">
      <c r="B69" s="9" t="s">
        <v>302</v>
      </c>
      <c r="C69" s="183">
        <f t="shared" ref="C69:L69" si="5">C16/C5</f>
        <v>0.211867983064288</v>
      </c>
      <c r="D69" s="183">
        <f t="shared" si="5"/>
        <v>0.21092420845075338</v>
      </c>
      <c r="E69" s="183">
        <f t="shared" si="5"/>
        <v>0.22414202074587247</v>
      </c>
      <c r="F69" s="183">
        <f t="shared" si="5"/>
        <v>0.21238094505984456</v>
      </c>
      <c r="G69" s="183">
        <f t="shared" si="5"/>
        <v>0.20913611278072236</v>
      </c>
      <c r="H69" s="183">
        <f t="shared" si="5"/>
        <v>0.25881793355694238</v>
      </c>
      <c r="I69" s="183">
        <f t="shared" si="5"/>
        <v>0.25309640705199732</v>
      </c>
      <c r="J69" s="183">
        <f t="shared" si="5"/>
        <v>0.25306234264320282</v>
      </c>
      <c r="K69" s="183">
        <f t="shared" si="5"/>
        <v>0.23971255769943867</v>
      </c>
      <c r="L69" s="183">
        <f t="shared" si="5"/>
        <v>0.26915064121818238</v>
      </c>
      <c r="N69" s="186"/>
      <c r="O69" s="186"/>
      <c r="P69" s="186"/>
      <c r="Q69" s="186"/>
      <c r="R69" s="186"/>
      <c r="S69" s="186"/>
      <c r="T69" s="186"/>
      <c r="U69" s="186"/>
      <c r="W69" s="89">
        <f>W16/W5</f>
        <v>0.27036823631768275</v>
      </c>
    </row>
    <row r="70" spans="2:23" x14ac:dyDescent="0.2">
      <c r="B70" s="9" t="s">
        <v>303</v>
      </c>
      <c r="C70" s="184">
        <f t="shared" ref="C70:L70" si="6">C5/C31</f>
        <v>0.67034002101428103</v>
      </c>
      <c r="D70" s="184">
        <f t="shared" si="6"/>
        <v>0.61077110404749024</v>
      </c>
      <c r="E70" s="184">
        <f t="shared" si="6"/>
        <v>0.7262150522933899</v>
      </c>
      <c r="F70" s="184">
        <f t="shared" si="6"/>
        <v>0.76857223883066084</v>
      </c>
      <c r="G70" s="184">
        <f t="shared" si="6"/>
        <v>0.84756150274168851</v>
      </c>
      <c r="H70" s="184">
        <f t="shared" si="6"/>
        <v>1.0422077367080529</v>
      </c>
      <c r="I70" s="184">
        <f t="shared" si="6"/>
        <v>1.1178523337727317</v>
      </c>
      <c r="J70" s="184">
        <f t="shared" si="6"/>
        <v>1.0870773690166571</v>
      </c>
      <c r="K70" s="184">
        <f t="shared" si="6"/>
        <v>1.0713874732862074</v>
      </c>
      <c r="L70" s="184">
        <f t="shared" si="6"/>
        <v>1.1584451663368045</v>
      </c>
      <c r="N70" s="187"/>
      <c r="O70" s="187"/>
      <c r="P70" s="187"/>
      <c r="Q70" s="187"/>
      <c r="R70" s="187"/>
      <c r="S70" s="187"/>
      <c r="T70" s="187"/>
      <c r="U70" s="187"/>
      <c r="W70" s="190">
        <f>W5/W31</f>
        <v>1.1484852239801528</v>
      </c>
    </row>
    <row r="71" spans="2:23" x14ac:dyDescent="0.2">
      <c r="B71" s="11" t="s">
        <v>304</v>
      </c>
      <c r="C71" s="185">
        <f>C69*C70</f>
        <v>0.14202358821956815</v>
      </c>
      <c r="D71" s="185">
        <f t="shared" ref="D71:H71" si="7">D69*D70</f>
        <v>0.1288264116658096</v>
      </c>
      <c r="E71" s="185">
        <f t="shared" si="7"/>
        <v>0.16277530931710987</v>
      </c>
      <c r="F71" s="185">
        <f t="shared" si="7"/>
        <v>0.1632300984296163</v>
      </c>
      <c r="G71" s="185">
        <f t="shared" si="7"/>
        <v>0.1772557180259843</v>
      </c>
      <c r="H71" s="185">
        <f t="shared" si="7"/>
        <v>0.26974205275183616</v>
      </c>
      <c r="I71" s="185">
        <f t="shared" ref="I71:L71" si="8">I69*I70</f>
        <v>0.28292440929256846</v>
      </c>
      <c r="J71" s="185">
        <f t="shared" si="8"/>
        <v>0.2750983456377647</v>
      </c>
      <c r="K71" s="185">
        <f t="shared" si="8"/>
        <v>0.25682503150857577</v>
      </c>
      <c r="L71" s="185">
        <f t="shared" si="8"/>
        <v>0.31179625933565486</v>
      </c>
      <c r="N71" s="188"/>
      <c r="O71" s="188"/>
      <c r="P71" s="188"/>
      <c r="Q71" s="188"/>
      <c r="R71" s="188"/>
      <c r="S71" s="188"/>
      <c r="T71" s="188"/>
      <c r="U71" s="188"/>
      <c r="W71" s="185">
        <f t="shared" ref="W71" si="9">W69*W70</f>
        <v>0.31051392444443277</v>
      </c>
    </row>
    <row r="72" spans="2:23" x14ac:dyDescent="0.2">
      <c r="B72" s="9" t="s">
        <v>305</v>
      </c>
      <c r="C72" s="184">
        <f t="shared" ref="C72:L72" si="10">C31/C45</f>
        <v>2.5082924623193943</v>
      </c>
      <c r="D72" s="184">
        <f t="shared" si="10"/>
        <v>2.7999060031183092</v>
      </c>
      <c r="E72" s="184">
        <f t="shared" si="10"/>
        <v>3.4133013523477094</v>
      </c>
      <c r="F72" s="184">
        <f t="shared" si="10"/>
        <v>3.7410043320661304</v>
      </c>
      <c r="G72" s="184">
        <f t="shared" si="10"/>
        <v>4.9570394404566951</v>
      </c>
      <c r="H72" s="184">
        <f t="shared" si="10"/>
        <v>5.5635124425423994</v>
      </c>
      <c r="I72" s="184">
        <f t="shared" si="10"/>
        <v>6.9615369434796337</v>
      </c>
      <c r="J72" s="184">
        <f t="shared" si="10"/>
        <v>5.6734624915521517</v>
      </c>
      <c r="K72" s="184">
        <f t="shared" si="10"/>
        <v>6.408779631255487</v>
      </c>
      <c r="L72" s="184">
        <f t="shared" si="10"/>
        <v>4.8721874872852045</v>
      </c>
      <c r="N72" s="189"/>
      <c r="O72" s="189"/>
      <c r="P72" s="189"/>
      <c r="Q72" s="189"/>
      <c r="R72" s="189"/>
      <c r="S72" s="189"/>
      <c r="T72" s="189"/>
      <c r="U72" s="189"/>
      <c r="W72" s="184">
        <f>W31/W45</f>
        <v>4.3009071323279287</v>
      </c>
    </row>
    <row r="73" spans="2:23" x14ac:dyDescent="0.2">
      <c r="B73" s="11" t="s">
        <v>306</v>
      </c>
      <c r="C73" s="185">
        <f>C71*C72</f>
        <v>0.35623669580269629</v>
      </c>
      <c r="D73" s="185">
        <f t="shared" ref="D73:H73" si="11">D71*D72</f>
        <v>0.36070184338329087</v>
      </c>
      <c r="E73" s="185">
        <f t="shared" si="11"/>
        <v>0.55560118342090781</v>
      </c>
      <c r="F73" s="185">
        <f t="shared" si="11"/>
        <v>0.61064450534877546</v>
      </c>
      <c r="G73" s="185">
        <f t="shared" si="11"/>
        <v>0.87866358530127497</v>
      </c>
      <c r="H73" s="185">
        <f t="shared" si="11"/>
        <v>1.5007132667617686</v>
      </c>
      <c r="I73" s="185">
        <f t="shared" ref="I73:L73" si="12">I71*I72</f>
        <v>1.9695887275023678</v>
      </c>
      <c r="J73" s="185">
        <f t="shared" si="12"/>
        <v>1.5607601454639075</v>
      </c>
      <c r="K73" s="185">
        <f t="shared" si="12"/>
        <v>1.6459350307287091</v>
      </c>
      <c r="L73" s="185">
        <f t="shared" si="12"/>
        <v>1.5191298333175103</v>
      </c>
      <c r="N73" s="188"/>
      <c r="O73" s="188"/>
      <c r="P73" s="188"/>
      <c r="Q73" s="188"/>
      <c r="R73" s="188"/>
      <c r="S73" s="188"/>
      <c r="T73" s="188"/>
      <c r="U73" s="188"/>
      <c r="W73" s="185">
        <f t="shared" ref="W73" si="13">W71*W72</f>
        <v>1.3354915523301965</v>
      </c>
    </row>
    <row r="75" spans="2:23" ht="17" thickBot="1" x14ac:dyDescent="0.25">
      <c r="B75" s="182" t="s">
        <v>137</v>
      </c>
      <c r="C75" s="182"/>
      <c r="D75" s="182"/>
      <c r="E75" s="182"/>
      <c r="F75" s="182"/>
      <c r="G75" s="182"/>
      <c r="H75" s="182"/>
      <c r="I75" s="182"/>
      <c r="J75" s="182"/>
      <c r="K75" s="182"/>
      <c r="L75" s="182"/>
      <c r="N75" s="182"/>
      <c r="O75" s="182"/>
      <c r="P75" s="182"/>
      <c r="Q75" s="182"/>
      <c r="R75" s="182"/>
      <c r="S75" s="182"/>
      <c r="T75" s="182"/>
      <c r="U75" s="182"/>
      <c r="W75" s="182"/>
    </row>
    <row r="76" spans="2:23" x14ac:dyDescent="0.2">
      <c r="B76" s="11" t="s">
        <v>6</v>
      </c>
      <c r="C76" s="187"/>
      <c r="D76" s="185">
        <f t="shared" ref="D76:L76" si="14">(D5-C5)/C5</f>
        <v>6.3045181993980681E-2</v>
      </c>
      <c r="E76" s="185">
        <f t="shared" si="14"/>
        <v>0.15861957650261305</v>
      </c>
      <c r="F76" s="185">
        <f t="shared" si="14"/>
        <v>-2.0410775805267418E-2</v>
      </c>
      <c r="G76" s="185">
        <f t="shared" si="14"/>
        <v>5.5120803769784836E-2</v>
      </c>
      <c r="H76" s="185">
        <f t="shared" si="14"/>
        <v>0.33259384733074693</v>
      </c>
      <c r="I76" s="185">
        <f t="shared" si="14"/>
        <v>7.7937876041846058E-2</v>
      </c>
      <c r="J76" s="185">
        <f t="shared" si="14"/>
        <v>-2.8004605303199367E-2</v>
      </c>
      <c r="K76" s="185">
        <f t="shared" si="14"/>
        <v>2.0219940775141214E-2</v>
      </c>
      <c r="L76" s="185">
        <f t="shared" si="14"/>
        <v>6.4255117828327393E-2</v>
      </c>
      <c r="N76" s="187"/>
      <c r="O76" s="185">
        <f t="shared" ref="O76:U77" si="15">(O5-N5)/N5</f>
        <v>-5.4830143356142495E-2</v>
      </c>
      <c r="P76" s="185">
        <f t="shared" si="15"/>
        <v>0.10670692609907084</v>
      </c>
      <c r="Q76" s="185">
        <f t="shared" si="15"/>
        <v>0.30938586326767092</v>
      </c>
      <c r="R76" s="185">
        <f t="shared" si="15"/>
        <v>-0.23283185840707965</v>
      </c>
      <c r="S76" s="185">
        <f t="shared" si="15"/>
        <v>-1.3873887100326136E-2</v>
      </c>
      <c r="T76" s="185">
        <f t="shared" si="15"/>
        <v>8.9646518354672675E-2</v>
      </c>
      <c r="U76" s="185">
        <f t="shared" si="15"/>
        <v>0.40296293404641542</v>
      </c>
      <c r="W76" s="187"/>
    </row>
    <row r="77" spans="2:23" x14ac:dyDescent="0.2">
      <c r="B77" s="9" t="s">
        <v>7</v>
      </c>
      <c r="C77" s="187"/>
      <c r="D77" s="183">
        <f t="shared" ref="D77:L77" si="16">(D6-C6)/C6</f>
        <v>7.3620752648885637E-2</v>
      </c>
      <c r="E77" s="183">
        <f t="shared" si="16"/>
        <v>0.16099483863649255</v>
      </c>
      <c r="F77" s="183">
        <f t="shared" si="16"/>
        <v>-1.2054520139720071E-2</v>
      </c>
      <c r="G77" s="183">
        <f t="shared" si="16"/>
        <v>4.8070860787973943E-2</v>
      </c>
      <c r="H77" s="183">
        <f t="shared" si="16"/>
        <v>0.25608785142634716</v>
      </c>
      <c r="I77" s="183">
        <f t="shared" si="16"/>
        <v>4.9605363858747961E-2</v>
      </c>
      <c r="J77" s="183">
        <f t="shared" si="16"/>
        <v>-4.2089771232766408E-2</v>
      </c>
      <c r="K77" s="183">
        <f t="shared" si="16"/>
        <v>-1.7675600199872046E-2</v>
      </c>
      <c r="L77" s="183">
        <f t="shared" si="16"/>
        <v>5.0429755837833726E-2</v>
      </c>
      <c r="N77" s="187"/>
      <c r="O77" s="183">
        <f t="shared" si="15"/>
        <v>-4.9152262695433359E-2</v>
      </c>
      <c r="P77" s="183">
        <f t="shared" si="15"/>
        <v>0.10742098527083017</v>
      </c>
      <c r="Q77" s="183">
        <f t="shared" si="15"/>
        <v>0.29331452860864626</v>
      </c>
      <c r="R77" s="183">
        <f t="shared" si="15"/>
        <v>-0.23525937145020825</v>
      </c>
      <c r="S77" s="183">
        <f t="shared" si="15"/>
        <v>-3.4460904697773903E-3</v>
      </c>
      <c r="T77" s="183">
        <f t="shared" si="15"/>
        <v>7.5658809968599708E-2</v>
      </c>
      <c r="U77" s="183">
        <f t="shared" si="15"/>
        <v>0.37690531177829101</v>
      </c>
      <c r="W77" s="187"/>
    </row>
    <row r="78" spans="2:23" x14ac:dyDescent="0.2">
      <c r="B78" s="11" t="s">
        <v>8</v>
      </c>
      <c r="C78" s="187"/>
      <c r="D78" s="185">
        <f t="shared" ref="D78:L78" si="17">IF(C7=0,
IF(D7=0,0,IF(D7&gt;0,1,-1)),
(D7-C7)/ABS(C7)
)</f>
        <v>4.6556614409645987E-2</v>
      </c>
      <c r="E78" s="185">
        <f t="shared" si="17"/>
        <v>0.15482049304878326</v>
      </c>
      <c r="F78" s="185">
        <f t="shared" si="17"/>
        <v>-3.3847543671874231E-2</v>
      </c>
      <c r="G78" s="185">
        <f t="shared" si="17"/>
        <v>6.6712740873241722E-2</v>
      </c>
      <c r="H78" s="185">
        <f t="shared" si="17"/>
        <v>0.45619116582186819</v>
      </c>
      <c r="I78" s="185">
        <f t="shared" si="17"/>
        <v>0.11741997958596143</v>
      </c>
      <c r="J78" s="185">
        <f t="shared" si="17"/>
        <v>-9.5677530418896602E-3</v>
      </c>
      <c r="K78" s="185">
        <f t="shared" si="17"/>
        <v>6.8194717052522058E-2</v>
      </c>
      <c r="L78" s="185">
        <f t="shared" si="17"/>
        <v>8.0350669404426533E-2</v>
      </c>
      <c r="N78" s="187"/>
      <c r="O78" s="185">
        <f t="shared" ref="O78:U78" si="18">IF(N7=0,
IF(O7=0,0,IF(O7&gt;0,1,-1)),
(O7-N7)/ABS(N7)
)</f>
        <v>-6.1342291405455274E-2</v>
      </c>
      <c r="P78" s="185">
        <f t="shared" si="18"/>
        <v>0.1058773123645345</v>
      </c>
      <c r="Q78" s="185">
        <f t="shared" si="18"/>
        <v>0.32808404931744112</v>
      </c>
      <c r="R78" s="185">
        <f t="shared" si="18"/>
        <v>-0.23008151008151009</v>
      </c>
      <c r="S78" s="185">
        <f t="shared" si="18"/>
        <v>-2.5609022221231639E-2</v>
      </c>
      <c r="T78" s="185">
        <f t="shared" si="18"/>
        <v>0.10574591701358708</v>
      </c>
      <c r="U78" s="185">
        <f t="shared" si="18"/>
        <v>0.43213835046854637</v>
      </c>
      <c r="W78" s="187"/>
    </row>
    <row r="79" spans="2:23" x14ac:dyDescent="0.2">
      <c r="B79" s="12" t="s">
        <v>11</v>
      </c>
      <c r="C79" s="187"/>
      <c r="D79" s="183">
        <f t="shared" ref="D79:L79" si="19">IF(C10=0,
IF(D10=0,0,IF(D10&gt;0,1,-1)),
(D10-C10)/ABS(C10)
)</f>
        <v>0.10738891868476422</v>
      </c>
      <c r="E79" s="183">
        <f t="shared" si="19"/>
        <v>0.15270844199389016</v>
      </c>
      <c r="F79" s="183">
        <f t="shared" si="19"/>
        <v>0.11379722698038201</v>
      </c>
      <c r="G79" s="183">
        <f t="shared" si="19"/>
        <v>0.12204747257849226</v>
      </c>
      <c r="H79" s="183">
        <f t="shared" si="19"/>
        <v>0.13496948381090307</v>
      </c>
      <c r="I79" s="183">
        <f t="shared" si="19"/>
        <v>0.16993642764372138</v>
      </c>
      <c r="J79" s="183">
        <f t="shared" si="19"/>
        <v>6.8205278021228943E-2</v>
      </c>
      <c r="K79" s="183">
        <f t="shared" si="19"/>
        <v>4.7769249001768557E-2</v>
      </c>
      <c r="L79" s="183">
        <f t="shared" si="19"/>
        <v>8.1507647867471764E-2</v>
      </c>
      <c r="N79" s="187"/>
      <c r="O79" s="183">
        <f t="shared" ref="O79:U80" si="20">IF(N10=0,
IF(O10=0,0,IF(O10&gt;0,1,-1)),
(O10-N10)/ABS(N10)
)</f>
        <v>-3.1313061025676709E-3</v>
      </c>
      <c r="P79" s="183">
        <f t="shared" si="20"/>
        <v>-2.6525198938992041E-3</v>
      </c>
      <c r="Q79" s="183">
        <f t="shared" si="20"/>
        <v>8.0837066069428892E-2</v>
      </c>
      <c r="R79" s="183">
        <f t="shared" si="20"/>
        <v>-1.0684452502752056E-2</v>
      </c>
      <c r="S79" s="183">
        <f t="shared" si="20"/>
        <v>1.5577955229742113E-2</v>
      </c>
      <c r="T79" s="183">
        <f t="shared" si="20"/>
        <v>2.5650940964166022E-2</v>
      </c>
      <c r="U79" s="183">
        <f t="shared" si="20"/>
        <v>0.15489506095262034</v>
      </c>
      <c r="W79" s="187"/>
    </row>
    <row r="80" spans="2:23" x14ac:dyDescent="0.2">
      <c r="B80" s="11" t="s">
        <v>12</v>
      </c>
      <c r="C80" s="187"/>
      <c r="D80" s="185">
        <f t="shared" ref="D80:L80" si="21">IF(C11=0,
IF(D11=0,0,IF(D11&gt;0,1,-1)),
(D11-C11)/ABS(C11)
)</f>
        <v>2.1991203518592562E-2</v>
      </c>
      <c r="E80" s="185">
        <f t="shared" si="21"/>
        <v>0.15574465310380803</v>
      </c>
      <c r="F80" s="185">
        <f t="shared" si="21"/>
        <v>-9.8282038985584921E-2</v>
      </c>
      <c r="G80" s="185">
        <f t="shared" si="21"/>
        <v>3.6884091975598311E-2</v>
      </c>
      <c r="H80" s="185">
        <f t="shared" si="21"/>
        <v>0.64357048032826458</v>
      </c>
      <c r="I80" s="185">
        <f t="shared" si="21"/>
        <v>9.6265225013538444E-2</v>
      </c>
      <c r="J80" s="185">
        <f t="shared" si="21"/>
        <v>-4.3001749876503931E-2</v>
      </c>
      <c r="K80" s="185">
        <f t="shared" si="21"/>
        <v>7.799581805933456E-2</v>
      </c>
      <c r="L80" s="185">
        <f t="shared" si="21"/>
        <v>7.9811063498246987E-2</v>
      </c>
      <c r="N80" s="187"/>
      <c r="O80" s="185">
        <f t="shared" si="20"/>
        <v>-9.1326164874551974E-2</v>
      </c>
      <c r="P80" s="185">
        <f t="shared" si="20"/>
        <v>0.16720574313663616</v>
      </c>
      <c r="Q80" s="185">
        <f t="shared" si="20"/>
        <v>0.44746713527761822</v>
      </c>
      <c r="R80" s="185">
        <f t="shared" si="20"/>
        <v>-0.30918472170339933</v>
      </c>
      <c r="S80" s="185">
        <f t="shared" si="20"/>
        <v>-4.6875528067863055E-2</v>
      </c>
      <c r="T80" s="185">
        <f t="shared" si="20"/>
        <v>0.14981207006595276</v>
      </c>
      <c r="U80" s="185">
        <f t="shared" si="20"/>
        <v>0.56819934005612605</v>
      </c>
      <c r="W80" s="187"/>
    </row>
    <row r="81" spans="2:23" x14ac:dyDescent="0.2">
      <c r="B81" s="11" t="s">
        <v>13</v>
      </c>
      <c r="C81" s="187"/>
      <c r="D81" s="185">
        <f t="shared" ref="D81:L81" si="22">IF(C14=0,
IF(D14=0,0,IF(D14&gt;0,1,-1)),
(D14-C14)/ABS(C14)
)</f>
        <v>4.4271003063286192E-2</v>
      </c>
      <c r="E81" s="185">
        <f t="shared" si="22"/>
        <v>0.13752750081917334</v>
      </c>
      <c r="F81" s="185">
        <f t="shared" si="22"/>
        <v>-9.8294994719010195E-2</v>
      </c>
      <c r="G81" s="185">
        <f t="shared" si="22"/>
        <v>2.0597228349331427E-2</v>
      </c>
      <c r="H81" s="185">
        <f t="shared" si="22"/>
        <v>0.62774440685039723</v>
      </c>
      <c r="I81" s="185">
        <f t="shared" si="22"/>
        <v>9.0616901846951203E-2</v>
      </c>
      <c r="J81" s="185">
        <f t="shared" si="22"/>
        <v>-4.5061837233319059E-2</v>
      </c>
      <c r="K81" s="185">
        <f t="shared" si="22"/>
        <v>8.5716044172469585E-2</v>
      </c>
      <c r="L81" s="185">
        <f t="shared" si="22"/>
        <v>7.4859294651172206E-2</v>
      </c>
      <c r="N81" s="187"/>
      <c r="O81" s="185">
        <f t="shared" ref="O81:U81" si="23">IF(N14=0,
IF(O14=0,0,IF(O14&gt;0,1,-1)),
(O14-N14)/ABS(N14)
)</f>
        <v>-9.1382137001924588E-2</v>
      </c>
      <c r="P81" s="185">
        <f t="shared" si="23"/>
        <v>0.16144975288303129</v>
      </c>
      <c r="Q81" s="185">
        <f t="shared" si="23"/>
        <v>0.43816278284363391</v>
      </c>
      <c r="R81" s="185">
        <f t="shared" si="23"/>
        <v>-0.311713319556641</v>
      </c>
      <c r="S81" s="185">
        <f t="shared" si="23"/>
        <v>-4.3636983964517227E-2</v>
      </c>
      <c r="T81" s="185">
        <f t="shared" si="23"/>
        <v>0.17027576611608577</v>
      </c>
      <c r="U81" s="185">
        <f t="shared" si="23"/>
        <v>0.55474942080234113</v>
      </c>
      <c r="W81" s="187"/>
    </row>
    <row r="82" spans="2:23" x14ac:dyDescent="0.2">
      <c r="B82" s="11" t="s">
        <v>14</v>
      </c>
      <c r="C82" s="187"/>
      <c r="D82" s="185">
        <f t="shared" ref="D82:L82" si="24">IF(C16=0,
IF(D16=0,0,IF(D16&gt;0,1,-1)),
(D16-C16)/ABS(C16)
)</f>
        <v>5.8309803664061986E-2</v>
      </c>
      <c r="E82" s="185">
        <f t="shared" si="24"/>
        <v>0.23122582780087278</v>
      </c>
      <c r="F82" s="185">
        <f t="shared" si="24"/>
        <v>-7.1811325191916811E-2</v>
      </c>
      <c r="G82" s="185">
        <f t="shared" si="24"/>
        <v>3.9000289561314606E-2</v>
      </c>
      <c r="H82" s="185">
        <f t="shared" si="24"/>
        <v>0.64916131055024295</v>
      </c>
      <c r="I82" s="185">
        <f t="shared" si="24"/>
        <v>5.4108576256865229E-2</v>
      </c>
      <c r="J82" s="185">
        <f t="shared" si="24"/>
        <v>-2.8135426790777834E-2</v>
      </c>
      <c r="K82" s="185">
        <f t="shared" si="24"/>
        <v>-3.3599670086086914E-2</v>
      </c>
      <c r="L82" s="185">
        <f t="shared" si="24"/>
        <v>0.19495177946573355</v>
      </c>
      <c r="N82" s="187"/>
      <c r="O82" s="185">
        <f t="shared" ref="O82:U82" si="25">IF(N16=0,
IF(O16=0,0,IF(O16&gt;0,1,-1)),
(O16-N16)/ABS(N16)
)</f>
        <v>-9.2570654933152821E-2</v>
      </c>
      <c r="P82" s="185">
        <f t="shared" si="25"/>
        <v>-0.31294293174188736</v>
      </c>
      <c r="Q82" s="185">
        <f t="shared" si="25"/>
        <v>1.4653908794788273</v>
      </c>
      <c r="R82" s="185">
        <f t="shared" si="25"/>
        <v>-0.31791907514450868</v>
      </c>
      <c r="S82" s="185">
        <f t="shared" si="25"/>
        <v>-5.4317998385794999E-2</v>
      </c>
      <c r="T82" s="185">
        <f t="shared" si="25"/>
        <v>0.17205769394896306</v>
      </c>
      <c r="U82" s="185">
        <f t="shared" si="25"/>
        <v>0.53269496832447394</v>
      </c>
      <c r="W82" s="187"/>
    </row>
    <row r="83" spans="2:23" x14ac:dyDescent="0.2">
      <c r="B83" s="12" t="s">
        <v>16</v>
      </c>
      <c r="C83" s="187"/>
      <c r="D83" s="183">
        <f t="shared" ref="D83:L83" si="26">(D10-C10)/C10</f>
        <v>0.10738891868476422</v>
      </c>
      <c r="E83" s="183">
        <f t="shared" si="26"/>
        <v>0.15270844199389016</v>
      </c>
      <c r="F83" s="183">
        <f t="shared" si="26"/>
        <v>0.11379722698038201</v>
      </c>
      <c r="G83" s="183">
        <f t="shared" si="26"/>
        <v>0.12204747257849226</v>
      </c>
      <c r="H83" s="183">
        <f t="shared" si="26"/>
        <v>0.13496948381090307</v>
      </c>
      <c r="I83" s="183">
        <f t="shared" si="26"/>
        <v>0.16993642764372138</v>
      </c>
      <c r="J83" s="183">
        <f t="shared" si="26"/>
        <v>6.8205278021228943E-2</v>
      </c>
      <c r="K83" s="183">
        <f t="shared" si="26"/>
        <v>4.7769249001768557E-2</v>
      </c>
      <c r="L83" s="183">
        <f t="shared" si="26"/>
        <v>8.1507647867471764E-2</v>
      </c>
      <c r="N83" s="187"/>
      <c r="O83" s="183">
        <f t="shared" ref="O83:U83" si="27">(O10-N10)/N10</f>
        <v>-3.1313061025676709E-3</v>
      </c>
      <c r="P83" s="183">
        <f t="shared" si="27"/>
        <v>-2.6525198938992041E-3</v>
      </c>
      <c r="Q83" s="183">
        <f t="shared" si="27"/>
        <v>8.0837066069428892E-2</v>
      </c>
      <c r="R83" s="183">
        <f t="shared" si="27"/>
        <v>-1.0684452502752056E-2</v>
      </c>
      <c r="S83" s="183">
        <f t="shared" si="27"/>
        <v>1.5577955229742113E-2</v>
      </c>
      <c r="T83" s="183">
        <f t="shared" si="27"/>
        <v>2.5650940964166022E-2</v>
      </c>
      <c r="U83" s="183">
        <f t="shared" si="27"/>
        <v>0.15489506095262034</v>
      </c>
      <c r="W83" s="187"/>
    </row>
    <row r="84" spans="2:23" x14ac:dyDescent="0.2">
      <c r="B84" s="12" t="s">
        <v>18</v>
      </c>
      <c r="C84" s="187"/>
      <c r="D84" s="183">
        <f t="shared" ref="D84:L84" si="28">IF(C18=0,
IF(D18=0,0,IF(D18&gt;0,1,-1)),
(D18-C18)/ABS(C18)
)</f>
        <v>0.10830324909747296</v>
      </c>
      <c r="E84" s="183">
        <f t="shared" si="28"/>
        <v>0.29315960912052108</v>
      </c>
      <c r="F84" s="183">
        <f t="shared" si="28"/>
        <v>-1.679261125104918E-3</v>
      </c>
      <c r="G84" s="183">
        <f t="shared" si="28"/>
        <v>0.10344827586206885</v>
      </c>
      <c r="H84" s="183">
        <f t="shared" si="28"/>
        <v>0.71036585365853677</v>
      </c>
      <c r="I84" s="183">
        <f t="shared" si="28"/>
        <v>8.9126559714795009E-2</v>
      </c>
      <c r="J84" s="183">
        <f t="shared" si="28"/>
        <v>3.2733224222585224E-3</v>
      </c>
      <c r="K84" s="183">
        <f t="shared" si="28"/>
        <v>-8.1566068515497268E-3</v>
      </c>
      <c r="L84" s="183">
        <f t="shared" si="28"/>
        <v>0.2269736842105263</v>
      </c>
      <c r="N84" s="187"/>
      <c r="O84" s="183">
        <f t="shared" ref="O84:U84" si="29">IF(N18=0,
IF(O18=0,0,IF(O18&gt;0,1,-1)),
(O18-N18)/ABS(N18)
)</f>
        <v>-8.4967320261437981E-2</v>
      </c>
      <c r="P84" s="183">
        <f t="shared" si="29"/>
        <v>-0.30714285714285711</v>
      </c>
      <c r="Q84" s="183">
        <f t="shared" si="29"/>
        <v>1.4742268041237112</v>
      </c>
      <c r="R84" s="183">
        <f t="shared" si="29"/>
        <v>-0.3125</v>
      </c>
      <c r="S84" s="183">
        <f t="shared" si="29"/>
        <v>-4.8484848484848395E-2</v>
      </c>
      <c r="T84" s="183">
        <f t="shared" si="29"/>
        <v>0.178343949044586</v>
      </c>
      <c r="U84" s="183">
        <f t="shared" si="29"/>
        <v>0.535135135135135</v>
      </c>
      <c r="W84" s="187"/>
    </row>
    <row r="86" spans="2:23" ht="17" thickBot="1" x14ac:dyDescent="0.25">
      <c r="B86" s="15" t="s">
        <v>93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N86" s="14"/>
      <c r="O86" s="14"/>
      <c r="P86" s="14"/>
      <c r="Q86" s="14"/>
      <c r="R86" s="14"/>
      <c r="S86" s="14"/>
      <c r="T86" s="14"/>
      <c r="U86" s="14"/>
      <c r="W86" s="14"/>
    </row>
    <row r="87" spans="2:23" x14ac:dyDescent="0.2">
      <c r="B87" s="9" t="s">
        <v>94</v>
      </c>
      <c r="C87" s="75">
        <f t="shared" ref="C87:I87" si="30">C7/C5</f>
        <v>0.39075955648097049</v>
      </c>
      <c r="D87" s="75">
        <f t="shared" si="30"/>
        <v>0.38469860491899105</v>
      </c>
      <c r="E87" s="75">
        <f t="shared" si="30"/>
        <v>0.38343718820007905</v>
      </c>
      <c r="F87" s="75">
        <f t="shared" si="30"/>
        <v>0.37817768109034722</v>
      </c>
      <c r="G87" s="75">
        <f t="shared" si="30"/>
        <v>0.38233247727810865</v>
      </c>
      <c r="H87" s="75">
        <f t="shared" si="30"/>
        <v>0.41779359625167778</v>
      </c>
      <c r="I87" s="75">
        <f t="shared" si="30"/>
        <v>0.43309630561360085</v>
      </c>
      <c r="J87" s="75">
        <f t="shared" ref="J87:L87" si="31">J7/J5</f>
        <v>0.44131129577207562</v>
      </c>
      <c r="K87" s="75">
        <f t="shared" si="31"/>
        <v>0.46206349815233932</v>
      </c>
      <c r="L87" s="75">
        <f t="shared" si="31"/>
        <v>0.46905164107160452</v>
      </c>
      <c r="N87" s="75">
        <f t="shared" ref="N87:U87" si="32">N7/N5</f>
        <v>0.46578074554009236</v>
      </c>
      <c r="O87" s="75">
        <f t="shared" si="32"/>
        <v>0.46257155181458898</v>
      </c>
      <c r="P87" s="75">
        <f t="shared" si="32"/>
        <v>0.4622247972190035</v>
      </c>
      <c r="Q87" s="75">
        <f t="shared" si="32"/>
        <v>0.46882542236524538</v>
      </c>
      <c r="R87" s="75">
        <f t="shared" si="32"/>
        <v>0.47050619238876246</v>
      </c>
      <c r="S87" s="75">
        <f t="shared" si="32"/>
        <v>0.46490705687183631</v>
      </c>
      <c r="T87" s="75">
        <f t="shared" si="32"/>
        <v>0.47177600374758455</v>
      </c>
      <c r="U87" s="75">
        <f t="shared" si="32"/>
        <v>0.4815868555051615</v>
      </c>
      <c r="W87" s="75">
        <f>W7/W5</f>
        <v>0.47325288039722968</v>
      </c>
    </row>
    <row r="88" spans="2:23" x14ac:dyDescent="0.2">
      <c r="B88" s="9" t="s">
        <v>95</v>
      </c>
      <c r="C88" s="75">
        <f t="shared" ref="C88:I88" si="33">C11/C5</f>
        <v>0.27835410106706115</v>
      </c>
      <c r="D88" s="75">
        <f t="shared" si="33"/>
        <v>0.26760428208729942</v>
      </c>
      <c r="E88" s="75">
        <f t="shared" si="33"/>
        <v>0.26694026619477024</v>
      </c>
      <c r="F88" s="75">
        <f t="shared" si="33"/>
        <v>0.24572017188496928</v>
      </c>
      <c r="G88" s="75">
        <f t="shared" si="33"/>
        <v>0.24147314354406862</v>
      </c>
      <c r="H88" s="75">
        <f t="shared" si="33"/>
        <v>0.29782377527561593</v>
      </c>
      <c r="I88" s="75">
        <f t="shared" si="33"/>
        <v>0.30288744395528594</v>
      </c>
      <c r="J88" s="75">
        <f t="shared" ref="J88:L88" si="34">J11/J5</f>
        <v>0.29821412265024722</v>
      </c>
      <c r="K88" s="75">
        <f t="shared" si="34"/>
        <v>0.31510222870075566</v>
      </c>
      <c r="L88" s="75">
        <f t="shared" si="34"/>
        <v>0.31970799762591884</v>
      </c>
      <c r="N88" s="75">
        <f t="shared" ref="N88:U88" si="35">N11/N5</f>
        <v>0.30742785362467356</v>
      </c>
      <c r="O88" s="75">
        <f t="shared" si="35"/>
        <v>0.29555708406682446</v>
      </c>
      <c r="P88" s="75">
        <f t="shared" si="35"/>
        <v>0.31171389444854103</v>
      </c>
      <c r="Q88" s="75">
        <f t="shared" si="35"/>
        <v>0.34458567980691873</v>
      </c>
      <c r="R88" s="75">
        <f t="shared" si="35"/>
        <v>0.31029058610094484</v>
      </c>
      <c r="S88" s="75">
        <f t="shared" si="35"/>
        <v>0.29990641881832492</v>
      </c>
      <c r="T88" s="75">
        <f t="shared" si="35"/>
        <v>0.31646594968086977</v>
      </c>
      <c r="U88" s="75">
        <f t="shared" si="35"/>
        <v>0.35373827875010433</v>
      </c>
      <c r="W88" s="75">
        <f>W11/W5</f>
        <v>0.32383951957797791</v>
      </c>
    </row>
    <row r="89" spans="2:23" x14ac:dyDescent="0.2">
      <c r="B89" s="82" t="s">
        <v>96</v>
      </c>
      <c r="C89" s="192">
        <f t="shared" ref="C89:I89" si="36">C16/C5</f>
        <v>0.211867983064288</v>
      </c>
      <c r="D89" s="192">
        <f t="shared" si="36"/>
        <v>0.21092420845075338</v>
      </c>
      <c r="E89" s="192">
        <f t="shared" si="36"/>
        <v>0.22414202074587247</v>
      </c>
      <c r="F89" s="192">
        <f t="shared" si="36"/>
        <v>0.21238094505984456</v>
      </c>
      <c r="G89" s="192">
        <f t="shared" si="36"/>
        <v>0.20913611278072236</v>
      </c>
      <c r="H89" s="192">
        <f t="shared" si="36"/>
        <v>0.25881793355694238</v>
      </c>
      <c r="I89" s="192">
        <f t="shared" si="36"/>
        <v>0.25309640705199732</v>
      </c>
      <c r="J89" s="192">
        <f t="shared" ref="J89:L89" si="37">J16/J5</f>
        <v>0.25306234264320282</v>
      </c>
      <c r="K89" s="192">
        <f t="shared" si="37"/>
        <v>0.23971255769943867</v>
      </c>
      <c r="L89" s="192">
        <f t="shared" si="37"/>
        <v>0.26915064121818238</v>
      </c>
      <c r="N89" s="192">
        <f t="shared" ref="N89:U89" si="38">N16/N5</f>
        <v>0.26044318094167684</v>
      </c>
      <c r="O89" s="192">
        <f t="shared" si="38"/>
        <v>0.25004371801298714</v>
      </c>
      <c r="P89" s="192">
        <f t="shared" si="38"/>
        <v>0.15523016959865163</v>
      </c>
      <c r="Q89" s="192">
        <f t="shared" si="38"/>
        <v>0.29227674979887369</v>
      </c>
      <c r="R89" s="192">
        <f t="shared" si="38"/>
        <v>0.25986010759341016</v>
      </c>
      <c r="S89" s="192">
        <f t="shared" si="38"/>
        <v>0.24920243311072354</v>
      </c>
      <c r="T89" s="192">
        <f t="shared" si="38"/>
        <v>0.26804988971951671</v>
      </c>
      <c r="U89" s="192">
        <f t="shared" si="38"/>
        <v>0.29283647291243498</v>
      </c>
      <c r="W89" s="192">
        <f>W16/W5</f>
        <v>0.27036823631768275</v>
      </c>
    </row>
  </sheetData>
  <pageMargins left="0.7" right="0.7" top="0.75" bottom="0.75" header="0.3" footer="0.3"/>
  <ignoredErrors>
    <ignoredError sqref="W17 C72:H72 W72 D83:H83 O83:U83 I72:L72 I83:L83" formula="1"/>
    <ignoredError sqref="N54:U5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1" customFormat="1" ht="49" x14ac:dyDescent="0.2">
      <c r="B13" s="103" t="s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21"/>
  <sheetViews>
    <sheetView topLeftCell="C8" zoomScale="163" zoomScaleNormal="75" workbookViewId="0">
      <selection activeCell="H19" sqref="H19"/>
    </sheetView>
  </sheetViews>
  <sheetFormatPr baseColWidth="10" defaultRowHeight="16" x14ac:dyDescent="0.2"/>
  <cols>
    <col min="1" max="1" width="2" style="100" customWidth="1"/>
    <col min="2" max="2" width="26.1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0" customFormat="1" ht="18" customHeight="1" x14ac:dyDescent="0.2">
      <c r="A1" s="101"/>
      <c r="B1" s="102" t="s">
        <v>131</v>
      </c>
      <c r="O1" s="117"/>
    </row>
    <row r="2" spans="1:31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  <c r="O2" s="90"/>
      <c r="S2" s="207" t="s">
        <v>122</v>
      </c>
      <c r="T2" s="207"/>
      <c r="U2" s="207"/>
      <c r="V2" s="207"/>
      <c r="W2" s="207"/>
      <c r="X2" s="207"/>
      <c r="Y2" s="207"/>
      <c r="Z2" s="207"/>
      <c r="AA2" s="207" t="s">
        <v>123</v>
      </c>
      <c r="AB2" s="207"/>
      <c r="AC2" s="207"/>
      <c r="AE2" s="118" t="s">
        <v>79</v>
      </c>
    </row>
    <row r="3" spans="1:31" ht="10" customHeight="1" x14ac:dyDescent="0.2">
      <c r="O3" s="90"/>
    </row>
    <row r="4" spans="1:31" ht="16" customHeight="1" x14ac:dyDescent="0.2">
      <c r="A4" s="106"/>
      <c r="B4" s="92"/>
      <c r="C4" s="215" t="s">
        <v>132</v>
      </c>
      <c r="D4" s="215"/>
      <c r="E4" s="215"/>
      <c r="F4" s="215"/>
      <c r="G4" s="215"/>
      <c r="H4" s="215"/>
      <c r="I4" s="215"/>
      <c r="J4" s="215"/>
      <c r="K4" s="215"/>
      <c r="L4" s="215"/>
      <c r="O4" s="90"/>
      <c r="S4" s="211" t="s">
        <v>132</v>
      </c>
      <c r="T4" s="212"/>
      <c r="U4" s="212"/>
      <c r="V4" s="212"/>
      <c r="W4" s="212"/>
      <c r="X4" s="212"/>
      <c r="Y4" s="212"/>
      <c r="Z4" s="212"/>
      <c r="AA4" s="212"/>
      <c r="AB4" s="212"/>
      <c r="AC4" s="212"/>
      <c r="AE4" s="120" t="s">
        <v>143</v>
      </c>
    </row>
    <row r="5" spans="1:31" x14ac:dyDescent="0.2">
      <c r="B5" s="7" t="s">
        <v>420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133</v>
      </c>
      <c r="S5" s="62" t="str">
        <f>'Statement Q'!C3</f>
        <v>Q2 2024</v>
      </c>
      <c r="T5" s="62" t="str">
        <f>'Statement Q'!D3</f>
        <v>Q3 2024</v>
      </c>
      <c r="U5" s="62" t="str">
        <f>'Statement Q'!E3</f>
        <v>Q4 2024</v>
      </c>
      <c r="V5" s="62" t="str">
        <f>'Statement Q'!F3</f>
        <v>Q1 2025</v>
      </c>
      <c r="W5" s="62" t="str">
        <f>'Statement Q'!G3</f>
        <v>Q2 2025</v>
      </c>
      <c r="X5" s="62" t="str">
        <f>'Statement Q'!H3</f>
        <v>Q3 2025</v>
      </c>
      <c r="Y5" s="62" t="str">
        <f>'Statement Q'!I3</f>
        <v>Q4 2025</v>
      </c>
      <c r="Z5" s="62" t="str">
        <f>'Statement Q'!J3</f>
        <v>Q1 2026</v>
      </c>
      <c r="AA5" s="62" t="s">
        <v>140</v>
      </c>
      <c r="AB5" s="62" t="s">
        <v>141</v>
      </c>
      <c r="AC5" s="62" t="s">
        <v>142</v>
      </c>
      <c r="AE5" s="61" t="s">
        <v>140</v>
      </c>
    </row>
    <row r="6" spans="1:31" x14ac:dyDescent="0.2">
      <c r="B6" s="1" t="str">
        <f>'Statement Y'!B154</f>
        <v>iPhone</v>
      </c>
      <c r="C6" s="104">
        <f>'Statement Y'!H154</f>
        <v>191973</v>
      </c>
      <c r="D6" s="104">
        <f>'Statement Y'!I154</f>
        <v>205489</v>
      </c>
      <c r="E6" s="104">
        <f>'Statement Y'!J154</f>
        <v>200583</v>
      </c>
      <c r="F6" s="104">
        <f>'Statement Y'!K154</f>
        <v>201183</v>
      </c>
      <c r="G6" s="107">
        <f>'Statement Y'!L154</f>
        <v>209586</v>
      </c>
      <c r="H6" s="105">
        <f>G6*(1+H15)</f>
        <v>215873.58000000002</v>
      </c>
      <c r="I6" s="105">
        <f t="shared" ref="I6:L6" si="1">H6*(1+I15)</f>
        <v>222349.78740000003</v>
      </c>
      <c r="J6" s="105">
        <f t="shared" si="1"/>
        <v>229020.28102200004</v>
      </c>
      <c r="K6" s="105">
        <f t="shared" si="1"/>
        <v>235890.88945266005</v>
      </c>
      <c r="L6" s="105">
        <f t="shared" si="1"/>
        <v>242967.61613623987</v>
      </c>
      <c r="N6" s="116"/>
      <c r="O6" s="90"/>
      <c r="Q6" s="116" t="s">
        <v>136</v>
      </c>
      <c r="R6" s="1" t="e">
        <f>'Statement Q'!#REF!</f>
        <v>#REF!</v>
      </c>
      <c r="S6" s="104" t="e">
        <f>'Statement Q'!#REF!</f>
        <v>#REF!</v>
      </c>
      <c r="T6" s="104" t="e">
        <f>'Statement Q'!#REF!</f>
        <v>#REF!</v>
      </c>
      <c r="U6" s="104" t="e">
        <f>'Statement Q'!#REF!</f>
        <v>#REF!</v>
      </c>
      <c r="V6" s="104" t="e">
        <f>'Statement Q'!#REF!</f>
        <v>#REF!</v>
      </c>
      <c r="W6" s="104" t="e">
        <f>'Statement Q'!#REF!</f>
        <v>#REF!</v>
      </c>
      <c r="X6" s="104" t="e">
        <f>'Statement Q'!#REF!</f>
        <v>#REF!</v>
      </c>
      <c r="Y6" s="104" t="e">
        <f>'Statement Q'!#REF!</f>
        <v>#REF!</v>
      </c>
      <c r="Z6" s="107" t="e">
        <f>'Statement Q'!#REF!</f>
        <v>#REF!</v>
      </c>
      <c r="AA6" s="105" t="e">
        <f>#REF!*#REF!</f>
        <v>#REF!</v>
      </c>
      <c r="AB6" s="105"/>
      <c r="AC6" s="105"/>
      <c r="AE6" s="105" t="e">
        <f>SUM(X6:AA6)</f>
        <v>#REF!</v>
      </c>
    </row>
    <row r="7" spans="1:31" x14ac:dyDescent="0.2">
      <c r="B7" s="1" t="str">
        <f>'Statement Y'!B155</f>
        <v>Mac</v>
      </c>
      <c r="C7" s="104">
        <f>'Statement Y'!H155</f>
        <v>35190</v>
      </c>
      <c r="D7" s="104">
        <f>'Statement Y'!I155</f>
        <v>40177</v>
      </c>
      <c r="E7" s="104">
        <f>'Statement Y'!J155</f>
        <v>29357</v>
      </c>
      <c r="F7" s="104">
        <f>'Statement Y'!K155</f>
        <v>29984</v>
      </c>
      <c r="G7" s="107">
        <f>'Statement Y'!L155</f>
        <v>33708</v>
      </c>
      <c r="H7" s="105">
        <f>G7*(1+H16)</f>
        <v>34382.160000000003</v>
      </c>
      <c r="I7" s="105">
        <f t="shared" ref="I7:L7" si="2">H7*(1+I16)</f>
        <v>35069.803200000002</v>
      </c>
      <c r="J7" s="105">
        <f t="shared" si="2"/>
        <v>35771.199264000003</v>
      </c>
      <c r="K7" s="105">
        <f t="shared" si="2"/>
        <v>36486.623249280005</v>
      </c>
      <c r="L7" s="105">
        <f t="shared" si="2"/>
        <v>37216.355714265606</v>
      </c>
      <c r="N7" s="116"/>
      <c r="O7" s="90"/>
      <c r="Q7" s="116" t="s">
        <v>139</v>
      </c>
      <c r="R7" s="1" t="e">
        <f>'Statement Q'!#REF!</f>
        <v>#REF!</v>
      </c>
      <c r="S7" s="104" t="e">
        <f>'Statement Q'!#REF!</f>
        <v>#REF!</v>
      </c>
      <c r="T7" s="104" t="e">
        <f>'Statement Q'!#REF!</f>
        <v>#REF!</v>
      </c>
      <c r="U7" s="104" t="e">
        <f>'Statement Q'!#REF!</f>
        <v>#REF!</v>
      </c>
      <c r="V7" s="104" t="e">
        <f>'Statement Q'!#REF!</f>
        <v>#REF!</v>
      </c>
      <c r="W7" s="104" t="e">
        <f>'Statement Q'!#REF!</f>
        <v>#REF!</v>
      </c>
      <c r="X7" s="104" t="e">
        <f>'Statement Q'!#REF!</f>
        <v>#REF!</v>
      </c>
      <c r="Y7" s="104" t="e">
        <f>'Statement Q'!#REF!</f>
        <v>#REF!</v>
      </c>
      <c r="Z7" s="107" t="e">
        <f>'Statement Q'!#REF!</f>
        <v>#REF!</v>
      </c>
      <c r="AA7" s="105" t="e">
        <f>#REF!*#REF!</f>
        <v>#REF!</v>
      </c>
      <c r="AB7" s="105"/>
      <c r="AC7" s="105"/>
      <c r="AE7" s="105" t="e">
        <f t="shared" ref="AE7:AE10" si="3">SUM(X7:AA7)</f>
        <v>#REF!</v>
      </c>
    </row>
    <row r="8" spans="1:31" x14ac:dyDescent="0.2">
      <c r="B8" s="1" t="str">
        <f>'Statement Y'!B156</f>
        <v>iPad</v>
      </c>
      <c r="C8" s="104">
        <f>'Statement Y'!H156</f>
        <v>31862</v>
      </c>
      <c r="D8" s="104">
        <f>'Statement Y'!I156</f>
        <v>29292</v>
      </c>
      <c r="E8" s="104">
        <f>'Statement Y'!J156</f>
        <v>28300</v>
      </c>
      <c r="F8" s="104">
        <f>'Statement Y'!K156</f>
        <v>26694</v>
      </c>
      <c r="G8" s="107">
        <f>'Statement Y'!L156</f>
        <v>28023</v>
      </c>
      <c r="H8" s="105">
        <f t="shared" ref="H8:L8" si="4">G8*(1+H17)</f>
        <v>28163.114999999998</v>
      </c>
      <c r="I8" s="105">
        <f t="shared" si="4"/>
        <v>28303.930574999995</v>
      </c>
      <c r="J8" s="105">
        <f t="shared" si="4"/>
        <v>28445.450227874993</v>
      </c>
      <c r="K8" s="105">
        <f t="shared" si="4"/>
        <v>28587.677479014365</v>
      </c>
      <c r="L8" s="105">
        <f t="shared" si="4"/>
        <v>28730.615866409433</v>
      </c>
      <c r="N8" s="116"/>
      <c r="O8" s="90"/>
      <c r="Q8" s="116" t="s">
        <v>134</v>
      </c>
      <c r="R8" s="1" t="e">
        <f>'Statement Q'!#REF!</f>
        <v>#REF!</v>
      </c>
      <c r="S8" s="104" t="e">
        <f>'Statement Q'!#REF!</f>
        <v>#REF!</v>
      </c>
      <c r="T8" s="104" t="e">
        <f>'Statement Q'!#REF!</f>
        <v>#REF!</v>
      </c>
      <c r="U8" s="104" t="e">
        <f>'Statement Q'!#REF!</f>
        <v>#REF!</v>
      </c>
      <c r="V8" s="104" t="e">
        <f>'Statement Q'!#REF!</f>
        <v>#REF!</v>
      </c>
      <c r="W8" s="104" t="e">
        <f>'Statement Q'!#REF!</f>
        <v>#REF!</v>
      </c>
      <c r="X8" s="104" t="e">
        <f>'Statement Q'!#REF!</f>
        <v>#REF!</v>
      </c>
      <c r="Y8" s="104" t="e">
        <f>'Statement Q'!#REF!</f>
        <v>#REF!</v>
      </c>
      <c r="Z8" s="107" t="e">
        <f>'Statement Q'!#REF!</f>
        <v>#REF!</v>
      </c>
      <c r="AA8" s="105" t="e">
        <f>Z8*(1+#REF!)</f>
        <v>#REF!</v>
      </c>
      <c r="AB8" s="105"/>
      <c r="AC8" s="105"/>
      <c r="AE8" s="105" t="e">
        <f t="shared" si="3"/>
        <v>#REF!</v>
      </c>
    </row>
    <row r="9" spans="1:31" x14ac:dyDescent="0.2">
      <c r="B9" s="1" t="str">
        <f>'Statement Y'!B157</f>
        <v>Wearables, Home, Accessories</v>
      </c>
      <c r="C9" s="104">
        <f>'Statement Y'!H157</f>
        <v>38367</v>
      </c>
      <c r="D9" s="104">
        <f>'Statement Y'!I157</f>
        <v>41241</v>
      </c>
      <c r="E9" s="104">
        <f>'Statement Y'!J157</f>
        <v>39845</v>
      </c>
      <c r="F9" s="104">
        <f>'Statement Y'!K157</f>
        <v>37005</v>
      </c>
      <c r="G9" s="107">
        <f>'Statement Y'!L157</f>
        <v>35686</v>
      </c>
      <c r="H9" s="105">
        <f t="shared" ref="H9:L9" si="5">G9*(1+H18)</f>
        <v>35864.429999999993</v>
      </c>
      <c r="I9" s="105">
        <f t="shared" si="5"/>
        <v>36043.752149999986</v>
      </c>
      <c r="J9" s="105">
        <f t="shared" si="5"/>
        <v>36223.97091074998</v>
      </c>
      <c r="K9" s="105">
        <f t="shared" si="5"/>
        <v>36405.090765303728</v>
      </c>
      <c r="L9" s="105">
        <f t="shared" si="5"/>
        <v>36587.116219130243</v>
      </c>
      <c r="N9" s="116"/>
      <c r="O9" s="90"/>
      <c r="Q9" s="116" t="s">
        <v>135</v>
      </c>
      <c r="R9" s="1" t="e">
        <f>'Statement Q'!#REF!</f>
        <v>#REF!</v>
      </c>
      <c r="S9" s="104" t="e">
        <f>'Statement Q'!#REF!</f>
        <v>#REF!</v>
      </c>
      <c r="T9" s="104" t="e">
        <f>'Statement Q'!#REF!</f>
        <v>#REF!</v>
      </c>
      <c r="U9" s="104" t="e">
        <f>'Statement Q'!#REF!</f>
        <v>#REF!</v>
      </c>
      <c r="V9" s="104" t="e">
        <f>'Statement Q'!#REF!</f>
        <v>#REF!</v>
      </c>
      <c r="W9" s="104" t="e">
        <f>'Statement Q'!#REF!</f>
        <v>#REF!</v>
      </c>
      <c r="X9" s="104" t="e">
        <f>'Statement Q'!#REF!</f>
        <v>#REF!</v>
      </c>
      <c r="Y9" s="104" t="e">
        <f>'Statement Q'!#REF!</f>
        <v>#REF!</v>
      </c>
      <c r="Z9" s="107" t="e">
        <f>'Statement Q'!#REF!</f>
        <v>#REF!</v>
      </c>
      <c r="AA9" s="105" t="e">
        <f>#REF!*#REF!</f>
        <v>#REF!</v>
      </c>
      <c r="AB9" s="105"/>
      <c r="AC9" s="105"/>
      <c r="AE9" s="105" t="e">
        <f t="shared" si="3"/>
        <v>#REF!</v>
      </c>
    </row>
    <row r="10" spans="1:31" x14ac:dyDescent="0.2">
      <c r="B10" s="1" t="str">
        <f>'Statement Y'!B158</f>
        <v>Services</v>
      </c>
      <c r="C10" s="104">
        <f>'Statement Y'!H158</f>
        <v>68425</v>
      </c>
      <c r="D10" s="104">
        <f>'Statement Y'!I158</f>
        <v>78129</v>
      </c>
      <c r="E10" s="104">
        <f>'Statement Y'!J158</f>
        <v>84200</v>
      </c>
      <c r="F10" s="104">
        <f>'Statement Y'!K158</f>
        <v>96169</v>
      </c>
      <c r="G10" s="107">
        <f>'Statement Y'!L158</f>
        <v>109158</v>
      </c>
      <c r="H10" s="105">
        <f t="shared" ref="H10:L10" si="6">G10*(1+H19)</f>
        <v>120073.8</v>
      </c>
      <c r="I10" s="105">
        <f t="shared" si="6"/>
        <v>132081.18000000002</v>
      </c>
      <c r="J10" s="105">
        <f t="shared" si="6"/>
        <v>145289.29800000004</v>
      </c>
      <c r="K10" s="105">
        <f t="shared" si="6"/>
        <v>159818.22780000005</v>
      </c>
      <c r="L10" s="105">
        <f t="shared" si="6"/>
        <v>175800.05058000007</v>
      </c>
      <c r="N10" s="116"/>
      <c r="O10" s="90"/>
      <c r="Q10" s="116" t="s">
        <v>121</v>
      </c>
      <c r="R10" s="1" t="e">
        <f>'Statement Q'!#REF!</f>
        <v>#REF!</v>
      </c>
      <c r="S10" s="104" t="e">
        <f>'Statement Q'!#REF!</f>
        <v>#REF!</v>
      </c>
      <c r="T10" s="104" t="e">
        <f>'Statement Q'!#REF!</f>
        <v>#REF!</v>
      </c>
      <c r="U10" s="104" t="e">
        <f>'Statement Q'!#REF!</f>
        <v>#REF!</v>
      </c>
      <c r="V10" s="104" t="e">
        <f>'Statement Q'!#REF!</f>
        <v>#REF!</v>
      </c>
      <c r="W10" s="104" t="e">
        <f>'Statement Q'!#REF!</f>
        <v>#REF!</v>
      </c>
      <c r="X10" s="104" t="e">
        <f>'Statement Q'!#REF!</f>
        <v>#REF!</v>
      </c>
      <c r="Y10" s="104" t="e">
        <f>'Statement Q'!#REF!</f>
        <v>#REF!</v>
      </c>
      <c r="Z10" s="107" t="e">
        <f>'Statement Q'!#REF!</f>
        <v>#REF!</v>
      </c>
      <c r="AA10" s="105" t="e">
        <f>Z10*(1+#REF!)</f>
        <v>#REF!</v>
      </c>
      <c r="AB10" s="105"/>
      <c r="AC10" s="105"/>
      <c r="AE10" s="105" t="e">
        <f t="shared" si="3"/>
        <v>#REF!</v>
      </c>
    </row>
    <row r="11" spans="1:31" x14ac:dyDescent="0.2">
      <c r="B11" s="7" t="s">
        <v>120</v>
      </c>
      <c r="C11" s="108">
        <f>'Statement Y'!H5</f>
        <v>365817</v>
      </c>
      <c r="D11" s="108">
        <f>'Statement Y'!I5</f>
        <v>394328</v>
      </c>
      <c r="E11" s="108">
        <f>'Statement Y'!J5</f>
        <v>383285</v>
      </c>
      <c r="F11" s="108">
        <f>'Statement Y'!K5</f>
        <v>391035</v>
      </c>
      <c r="G11" s="109">
        <f>'Statement Y'!L5</f>
        <v>416161</v>
      </c>
      <c r="H11" s="110">
        <f>SUM(H6:H10)</f>
        <v>434357.08500000002</v>
      </c>
      <c r="I11" s="110">
        <f t="shared" ref="I11:L11" si="7">SUM(I6:I10)</f>
        <v>453848.45332500001</v>
      </c>
      <c r="J11" s="110">
        <f t="shared" si="7"/>
        <v>474750.19942462503</v>
      </c>
      <c r="K11" s="110">
        <f t="shared" si="7"/>
        <v>497188.50874625816</v>
      </c>
      <c r="L11" s="110">
        <f t="shared" si="7"/>
        <v>521301.75451604521</v>
      </c>
      <c r="O11" s="90"/>
      <c r="Q11" s="91"/>
      <c r="R11" s="7" t="s">
        <v>120</v>
      </c>
      <c r="S11" s="108">
        <f>'Statement Q'!C5</f>
        <v>90753</v>
      </c>
      <c r="T11" s="108">
        <f>'Statement Q'!D5</f>
        <v>85777</v>
      </c>
      <c r="U11" s="108">
        <f>'Statement Q'!E5</f>
        <v>94930</v>
      </c>
      <c r="V11" s="108">
        <f>'Statement Q'!F5</f>
        <v>124300</v>
      </c>
      <c r="W11" s="108">
        <f>'Statement Q'!G5</f>
        <v>95359</v>
      </c>
      <c r="X11" s="108">
        <f>'Statement Q'!H5</f>
        <v>94036</v>
      </c>
      <c r="Y11" s="108">
        <f>'Statement Q'!I5</f>
        <v>102466</v>
      </c>
      <c r="Z11" s="109">
        <f>'Statement Q'!J5</f>
        <v>143756</v>
      </c>
      <c r="AA11" s="110" t="e">
        <f>AA6+#REF!</f>
        <v>#REF!</v>
      </c>
      <c r="AB11" s="110" t="e">
        <f>AB6+#REF!</f>
        <v>#REF!</v>
      </c>
      <c r="AC11" s="110" t="e">
        <f>AC6+#REF!</f>
        <v>#REF!</v>
      </c>
      <c r="AE11" s="110" t="e">
        <f>AE6+#REF!</f>
        <v>#REF!</v>
      </c>
    </row>
    <row r="12" spans="1:31" x14ac:dyDescent="0.2">
      <c r="O12" s="90"/>
      <c r="Q12" s="91"/>
    </row>
    <row r="13" spans="1:31" x14ac:dyDescent="0.2">
      <c r="C13" s="215" t="s">
        <v>137</v>
      </c>
      <c r="D13" s="215"/>
      <c r="E13" s="215"/>
      <c r="F13" s="215"/>
      <c r="G13" s="215"/>
      <c r="H13" s="215"/>
      <c r="I13" s="215"/>
      <c r="J13" s="215"/>
      <c r="K13" s="215"/>
      <c r="L13" s="215"/>
      <c r="O13" s="90"/>
      <c r="Q13" s="91"/>
      <c r="S13" s="211" t="s">
        <v>137</v>
      </c>
      <c r="T13" s="212"/>
      <c r="U13" s="212"/>
      <c r="V13" s="212"/>
      <c r="W13" s="212"/>
      <c r="X13" s="212"/>
      <c r="Y13" s="212"/>
      <c r="Z13" s="212"/>
      <c r="AA13" s="212"/>
      <c r="AB13" s="212"/>
      <c r="AC13" s="212"/>
    </row>
    <row r="14" spans="1:31" x14ac:dyDescent="0.2">
      <c r="B14" s="7" t="s">
        <v>138</v>
      </c>
      <c r="C14" s="62">
        <f t="shared" ref="C14:L14" si="8">C5</f>
        <v>2021</v>
      </c>
      <c r="D14" s="62">
        <f t="shared" si="8"/>
        <v>2022</v>
      </c>
      <c r="E14" s="62">
        <f t="shared" si="8"/>
        <v>2023</v>
      </c>
      <c r="F14" s="62">
        <f t="shared" si="8"/>
        <v>2024</v>
      </c>
      <c r="G14" s="62">
        <f t="shared" si="8"/>
        <v>2025</v>
      </c>
      <c r="H14" s="62">
        <f t="shared" si="8"/>
        <v>2026</v>
      </c>
      <c r="I14" s="62">
        <f t="shared" si="8"/>
        <v>2027</v>
      </c>
      <c r="J14" s="62">
        <f t="shared" si="8"/>
        <v>2028</v>
      </c>
      <c r="K14" s="62">
        <f t="shared" si="8"/>
        <v>2029</v>
      </c>
      <c r="L14" s="62">
        <f t="shared" si="8"/>
        <v>2030</v>
      </c>
      <c r="O14" s="90"/>
      <c r="Q14" s="91"/>
      <c r="R14" s="7" t="s">
        <v>138</v>
      </c>
      <c r="S14" s="62" t="str">
        <f t="shared" ref="S14:AC14" si="9">S5</f>
        <v>Q2 2024</v>
      </c>
      <c r="T14" s="62" t="str">
        <f t="shared" si="9"/>
        <v>Q3 2024</v>
      </c>
      <c r="U14" s="62" t="str">
        <f t="shared" si="9"/>
        <v>Q4 2024</v>
      </c>
      <c r="V14" s="62" t="str">
        <f t="shared" si="9"/>
        <v>Q1 2025</v>
      </c>
      <c r="W14" s="62" t="str">
        <f t="shared" si="9"/>
        <v>Q2 2025</v>
      </c>
      <c r="X14" s="62" t="str">
        <f t="shared" si="9"/>
        <v>Q3 2025</v>
      </c>
      <c r="Y14" s="62" t="str">
        <f t="shared" si="9"/>
        <v>Q4 2025</v>
      </c>
      <c r="Z14" s="62" t="str">
        <f t="shared" si="9"/>
        <v>Q1 2026</v>
      </c>
      <c r="AA14" s="62" t="str">
        <f t="shared" si="9"/>
        <v>FQ1</v>
      </c>
      <c r="AB14" s="62" t="str">
        <f t="shared" si="9"/>
        <v>FQ2</v>
      </c>
      <c r="AC14" s="62" t="str">
        <f t="shared" si="9"/>
        <v>FQ3</v>
      </c>
    </row>
    <row r="15" spans="1:31" x14ac:dyDescent="0.2">
      <c r="B15" s="1" t="str">
        <f>B6</f>
        <v>iPhone</v>
      </c>
      <c r="C15" s="81"/>
      <c r="D15" s="112">
        <f t="shared" ref="D15:G20" si="10">D6/C6-1</f>
        <v>7.0405734139696641E-2</v>
      </c>
      <c r="E15" s="112">
        <f t="shared" si="10"/>
        <v>-2.3874757286278081E-2</v>
      </c>
      <c r="F15" s="112">
        <f t="shared" si="10"/>
        <v>2.9912804175826757E-3</v>
      </c>
      <c r="G15" s="113">
        <f t="shared" si="10"/>
        <v>4.1767942619406195E-2</v>
      </c>
      <c r="H15" s="114">
        <v>0.03</v>
      </c>
      <c r="I15" s="114">
        <v>0.03</v>
      </c>
      <c r="J15" s="114">
        <v>0.03</v>
      </c>
      <c r="K15" s="114">
        <v>0.03</v>
      </c>
      <c r="L15" s="114">
        <v>0.03</v>
      </c>
      <c r="O15" s="90"/>
      <c r="Q15" s="91"/>
      <c r="R15" s="1" t="e">
        <f>R6</f>
        <v>#REF!</v>
      </c>
      <c r="S15" s="81"/>
      <c r="T15" s="112" t="e">
        <f t="shared" ref="T15:AA19" si="11">T6/S6-1</f>
        <v>#REF!</v>
      </c>
      <c r="U15" s="112" t="e">
        <f t="shared" si="11"/>
        <v>#REF!</v>
      </c>
      <c r="V15" s="112" t="e">
        <f t="shared" si="11"/>
        <v>#REF!</v>
      </c>
      <c r="W15" s="112" t="e">
        <f t="shared" si="11"/>
        <v>#REF!</v>
      </c>
      <c r="X15" s="112" t="e">
        <f t="shared" si="11"/>
        <v>#REF!</v>
      </c>
      <c r="Y15" s="112" t="e">
        <f t="shared" si="11"/>
        <v>#REF!</v>
      </c>
      <c r="Z15" s="113" t="e">
        <f t="shared" si="11"/>
        <v>#REF!</v>
      </c>
      <c r="AA15" s="112" t="e">
        <f t="shared" si="11"/>
        <v>#REF!</v>
      </c>
      <c r="AB15" s="112"/>
      <c r="AC15" s="112"/>
    </row>
    <row r="16" spans="1:31" x14ac:dyDescent="0.2">
      <c r="B16" s="1" t="str">
        <f>B7</f>
        <v>Mac</v>
      </c>
      <c r="C16" s="81"/>
      <c r="D16" s="112">
        <f t="shared" si="10"/>
        <v>0.14171639670360903</v>
      </c>
      <c r="E16" s="112">
        <f t="shared" si="10"/>
        <v>-0.26930831072504169</v>
      </c>
      <c r="F16" s="112">
        <f t="shared" si="10"/>
        <v>2.1357768164322E-2</v>
      </c>
      <c r="G16" s="113">
        <f t="shared" si="10"/>
        <v>0.12419957310565644</v>
      </c>
      <c r="H16" s="114">
        <v>0.02</v>
      </c>
      <c r="I16" s="114">
        <v>0.02</v>
      </c>
      <c r="J16" s="114">
        <v>0.02</v>
      </c>
      <c r="K16" s="114">
        <v>0.02</v>
      </c>
      <c r="L16" s="114">
        <v>0.02</v>
      </c>
      <c r="O16" s="90"/>
      <c r="Q16" s="91"/>
      <c r="R16" s="1" t="e">
        <f>R7</f>
        <v>#REF!</v>
      </c>
      <c r="S16" s="81"/>
      <c r="T16" s="112" t="e">
        <f t="shared" si="11"/>
        <v>#REF!</v>
      </c>
      <c r="U16" s="112" t="e">
        <f t="shared" si="11"/>
        <v>#REF!</v>
      </c>
      <c r="V16" s="112" t="e">
        <f t="shared" si="11"/>
        <v>#REF!</v>
      </c>
      <c r="W16" s="112" t="e">
        <f t="shared" si="11"/>
        <v>#REF!</v>
      </c>
      <c r="X16" s="112" t="e">
        <f t="shared" si="11"/>
        <v>#REF!</v>
      </c>
      <c r="Y16" s="112" t="e">
        <f t="shared" si="11"/>
        <v>#REF!</v>
      </c>
      <c r="Z16" s="113" t="e">
        <f t="shared" si="11"/>
        <v>#REF!</v>
      </c>
      <c r="AA16" s="112" t="e">
        <f t="shared" si="11"/>
        <v>#REF!</v>
      </c>
      <c r="AB16" s="112"/>
      <c r="AC16" s="112"/>
    </row>
    <row r="17" spans="2:29" x14ac:dyDescent="0.2">
      <c r="B17" s="1" t="str">
        <f>B8</f>
        <v>iPad</v>
      </c>
      <c r="C17" s="81"/>
      <c r="D17" s="112">
        <f t="shared" si="10"/>
        <v>-8.0660347749670458E-2</v>
      </c>
      <c r="E17" s="112">
        <f t="shared" si="10"/>
        <v>-3.3865901952751631E-2</v>
      </c>
      <c r="F17" s="112">
        <f t="shared" si="10"/>
        <v>-5.674911660777382E-2</v>
      </c>
      <c r="G17" s="113">
        <f t="shared" si="10"/>
        <v>4.9786468869408962E-2</v>
      </c>
      <c r="H17" s="114">
        <v>5.0000000000000001E-3</v>
      </c>
      <c r="I17" s="114">
        <v>5.0000000000000001E-3</v>
      </c>
      <c r="J17" s="114">
        <v>5.0000000000000001E-3</v>
      </c>
      <c r="K17" s="114">
        <v>5.0000000000000001E-3</v>
      </c>
      <c r="L17" s="114">
        <v>5.0000000000000001E-3</v>
      </c>
      <c r="O17" s="90"/>
      <c r="Q17" s="91"/>
      <c r="R17" s="1" t="e">
        <f>R8</f>
        <v>#REF!</v>
      </c>
      <c r="S17" s="81"/>
      <c r="T17" s="112" t="e">
        <f t="shared" si="11"/>
        <v>#REF!</v>
      </c>
      <c r="U17" s="112" t="e">
        <f t="shared" si="11"/>
        <v>#REF!</v>
      </c>
      <c r="V17" s="112" t="e">
        <f t="shared" si="11"/>
        <v>#REF!</v>
      </c>
      <c r="W17" s="112" t="e">
        <f t="shared" si="11"/>
        <v>#REF!</v>
      </c>
      <c r="X17" s="112" t="e">
        <f t="shared" si="11"/>
        <v>#REF!</v>
      </c>
      <c r="Y17" s="112" t="e">
        <f t="shared" si="11"/>
        <v>#REF!</v>
      </c>
      <c r="Z17" s="113" t="e">
        <f t="shared" si="11"/>
        <v>#REF!</v>
      </c>
      <c r="AA17" s="112" t="e">
        <f t="shared" si="11"/>
        <v>#REF!</v>
      </c>
      <c r="AB17" s="112"/>
      <c r="AC17" s="112"/>
    </row>
    <row r="18" spans="2:29" x14ac:dyDescent="0.2">
      <c r="B18" s="1" t="str">
        <f>B9</f>
        <v>Wearables, Home, Accessories</v>
      </c>
      <c r="C18" s="81"/>
      <c r="D18" s="112">
        <f t="shared" si="10"/>
        <v>7.4908124169208001E-2</v>
      </c>
      <c r="E18" s="112">
        <f t="shared" si="10"/>
        <v>-3.3849809655439933E-2</v>
      </c>
      <c r="F18" s="112">
        <f t="shared" si="10"/>
        <v>-7.1276195256619435E-2</v>
      </c>
      <c r="G18" s="113">
        <f t="shared" si="10"/>
        <v>-3.5643831914606183E-2</v>
      </c>
      <c r="H18" s="114">
        <v>5.0000000000000001E-3</v>
      </c>
      <c r="I18" s="114">
        <v>5.0000000000000001E-3</v>
      </c>
      <c r="J18" s="114">
        <v>5.0000000000000001E-3</v>
      </c>
      <c r="K18" s="114">
        <v>5.0000000000000001E-3</v>
      </c>
      <c r="L18" s="114">
        <v>5.0000000000000001E-3</v>
      </c>
      <c r="O18" s="90"/>
      <c r="Q18" s="91"/>
      <c r="R18" s="1" t="e">
        <f>R9</f>
        <v>#REF!</v>
      </c>
      <c r="S18" s="81"/>
      <c r="T18" s="112" t="e">
        <f t="shared" si="11"/>
        <v>#REF!</v>
      </c>
      <c r="U18" s="112" t="e">
        <f t="shared" si="11"/>
        <v>#REF!</v>
      </c>
      <c r="V18" s="112" t="e">
        <f t="shared" si="11"/>
        <v>#REF!</v>
      </c>
      <c r="W18" s="112" t="e">
        <f t="shared" si="11"/>
        <v>#REF!</v>
      </c>
      <c r="X18" s="112" t="e">
        <f t="shared" si="11"/>
        <v>#REF!</v>
      </c>
      <c r="Y18" s="112" t="e">
        <f t="shared" si="11"/>
        <v>#REF!</v>
      </c>
      <c r="Z18" s="113" t="e">
        <f t="shared" si="11"/>
        <v>#REF!</v>
      </c>
      <c r="AA18" s="112" t="e">
        <f t="shared" si="11"/>
        <v>#REF!</v>
      </c>
      <c r="AB18" s="112"/>
      <c r="AC18" s="112"/>
    </row>
    <row r="19" spans="2:29" x14ac:dyDescent="0.2">
      <c r="B19" s="1" t="str">
        <f>B10</f>
        <v>Services</v>
      </c>
      <c r="C19" s="81"/>
      <c r="D19" s="112">
        <f t="shared" si="10"/>
        <v>0.14181951041286078</v>
      </c>
      <c r="E19" s="112">
        <f t="shared" si="10"/>
        <v>7.7704821513138622E-2</v>
      </c>
      <c r="F19" s="112">
        <f t="shared" si="10"/>
        <v>0.14214964370546324</v>
      </c>
      <c r="G19" s="113">
        <f t="shared" si="10"/>
        <v>0.13506431386413498</v>
      </c>
      <c r="H19" s="114">
        <v>0.1</v>
      </c>
      <c r="I19" s="114">
        <v>0.1</v>
      </c>
      <c r="J19" s="114">
        <v>0.1</v>
      </c>
      <c r="K19" s="114">
        <v>0.1</v>
      </c>
      <c r="L19" s="114">
        <v>0.1</v>
      </c>
      <c r="O19" s="90"/>
      <c r="Q19" s="91"/>
      <c r="R19" s="1" t="e">
        <f>R10</f>
        <v>#REF!</v>
      </c>
      <c r="S19" s="81"/>
      <c r="T19" s="112" t="e">
        <f t="shared" si="11"/>
        <v>#REF!</v>
      </c>
      <c r="U19" s="112" t="e">
        <f t="shared" si="11"/>
        <v>#REF!</v>
      </c>
      <c r="V19" s="112" t="e">
        <f t="shared" si="11"/>
        <v>#REF!</v>
      </c>
      <c r="W19" s="112" t="e">
        <f t="shared" si="11"/>
        <v>#REF!</v>
      </c>
      <c r="X19" s="112" t="e">
        <f t="shared" si="11"/>
        <v>#REF!</v>
      </c>
      <c r="Y19" s="112" t="e">
        <f t="shared" si="11"/>
        <v>#REF!</v>
      </c>
      <c r="Z19" s="113" t="e">
        <f t="shared" si="11"/>
        <v>#REF!</v>
      </c>
      <c r="AA19" s="112" t="e">
        <f t="shared" si="11"/>
        <v>#REF!</v>
      </c>
      <c r="AB19" s="112"/>
      <c r="AC19" s="112"/>
    </row>
    <row r="20" spans="2:29" x14ac:dyDescent="0.2">
      <c r="B20" s="7" t="s">
        <v>120</v>
      </c>
      <c r="C20" s="81"/>
      <c r="D20" s="205">
        <f t="shared" si="10"/>
        <v>7.7937876041846099E-2</v>
      </c>
      <c r="E20" s="205">
        <f t="shared" si="10"/>
        <v>-2.800460530319937E-2</v>
      </c>
      <c r="F20" s="205">
        <f t="shared" si="10"/>
        <v>2.021994077514111E-2</v>
      </c>
      <c r="G20" s="206">
        <f t="shared" si="10"/>
        <v>6.425511782832749E-2</v>
      </c>
      <c r="H20" s="205">
        <f t="shared" ref="H20:L20" si="12">H11/G11-1</f>
        <v>4.3723667042322667E-2</v>
      </c>
      <c r="I20" s="205">
        <f t="shared" si="12"/>
        <v>4.4874065597433566E-2</v>
      </c>
      <c r="J20" s="205">
        <f t="shared" si="12"/>
        <v>4.6054461454024809E-2</v>
      </c>
      <c r="K20" s="205">
        <f t="shared" si="12"/>
        <v>4.7263401571662866E-2</v>
      </c>
      <c r="L20" s="205">
        <f t="shared" si="12"/>
        <v>4.849920170237354E-2</v>
      </c>
      <c r="O20" s="90"/>
      <c r="Q20" s="91"/>
    </row>
    <row r="21" spans="2:29" x14ac:dyDescent="0.2">
      <c r="O21" s="90"/>
      <c r="Q21" s="91"/>
    </row>
  </sheetData>
  <mergeCells count="8">
    <mergeCell ref="S2:Z2"/>
    <mergeCell ref="S13:AC13"/>
    <mergeCell ref="AA2:AC2"/>
    <mergeCell ref="S4:AC4"/>
    <mergeCell ref="C2:G2"/>
    <mergeCell ref="H2:L2"/>
    <mergeCell ref="C4:L4"/>
    <mergeCell ref="C13:L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1"/>
  <sheetViews>
    <sheetView topLeftCell="C16" zoomScale="178" zoomScaleNormal="100" workbookViewId="0">
      <selection activeCell="B10" sqref="B10"/>
    </sheetView>
  </sheetViews>
  <sheetFormatPr baseColWidth="10" defaultRowHeight="16" x14ac:dyDescent="0.2"/>
  <cols>
    <col min="1" max="1" width="2" style="100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144</v>
      </c>
    </row>
    <row r="2" spans="1:28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  <c r="P2" s="207" t="s">
        <v>122</v>
      </c>
      <c r="Q2" s="207"/>
      <c r="R2" s="207"/>
      <c r="S2" s="207"/>
      <c r="T2" s="207"/>
      <c r="U2" s="207"/>
      <c r="V2" s="207"/>
      <c r="W2" s="207"/>
      <c r="X2" s="207" t="s">
        <v>123</v>
      </c>
      <c r="Y2" s="207"/>
      <c r="Z2" s="207"/>
      <c r="AB2" s="118" t="s">
        <v>79</v>
      </c>
    </row>
    <row r="3" spans="1:28" ht="10" customHeight="1" x14ac:dyDescent="0.2"/>
    <row r="4" spans="1:28" ht="16" customHeight="1" x14ac:dyDescent="0.2">
      <c r="A4" s="106"/>
      <c r="B4" s="92"/>
      <c r="C4" s="215" t="s">
        <v>132</v>
      </c>
      <c r="D4" s="215"/>
      <c r="E4" s="215"/>
      <c r="F4" s="215"/>
      <c r="G4" s="215"/>
      <c r="H4" s="215"/>
      <c r="I4" s="215"/>
      <c r="J4" s="215"/>
      <c r="K4" s="215"/>
      <c r="L4" s="215"/>
      <c r="P4" s="212" t="s">
        <v>132</v>
      </c>
      <c r="Q4" s="212"/>
      <c r="R4" s="212"/>
      <c r="S4" s="212"/>
      <c r="T4" s="212"/>
      <c r="U4" s="212"/>
      <c r="V4" s="212"/>
      <c r="W4" s="212"/>
      <c r="X4" s="212"/>
      <c r="Y4" s="212"/>
      <c r="Z4" s="212"/>
      <c r="AB4" s="120" t="s">
        <v>143</v>
      </c>
    </row>
    <row r="5" spans="1:28" x14ac:dyDescent="0.2">
      <c r="B5" s="7" t="s">
        <v>420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133</v>
      </c>
      <c r="P5" s="62" t="str">
        <f>'Statement Q'!C3</f>
        <v>Q2 2024</v>
      </c>
      <c r="Q5" s="62" t="str">
        <f>'Statement Q'!D3</f>
        <v>Q3 2024</v>
      </c>
      <c r="R5" s="62" t="str">
        <f>'Statement Q'!E3</f>
        <v>Q4 2024</v>
      </c>
      <c r="S5" s="62" t="str">
        <f>'Statement Q'!F3</f>
        <v>Q1 2025</v>
      </c>
      <c r="T5" s="62" t="str">
        <f>'Statement Q'!G3</f>
        <v>Q2 2025</v>
      </c>
      <c r="U5" s="62" t="str">
        <f>'Statement Q'!H3</f>
        <v>Q3 2025</v>
      </c>
      <c r="V5" s="62" t="str">
        <f>'Statement Q'!I3</f>
        <v>Q4 2025</v>
      </c>
      <c r="W5" s="62" t="str">
        <f>'Statement Q'!J3</f>
        <v>Q1 2026</v>
      </c>
      <c r="X5" s="62" t="s">
        <v>140</v>
      </c>
      <c r="Y5" s="62" t="s">
        <v>141</v>
      </c>
      <c r="Z5" s="62" t="s">
        <v>142</v>
      </c>
      <c r="AB5" s="61" t="s">
        <v>140</v>
      </c>
    </row>
    <row r="6" spans="1:28" x14ac:dyDescent="0.2">
      <c r="B6" s="7" t="s">
        <v>6</v>
      </c>
      <c r="C6" s="108">
        <f>'Statement Y'!H5</f>
        <v>365817</v>
      </c>
      <c r="D6" s="108">
        <f>'Statement Y'!I5</f>
        <v>394328</v>
      </c>
      <c r="E6" s="108">
        <f>'Statement Y'!J5</f>
        <v>383285</v>
      </c>
      <c r="F6" s="108">
        <f>'Statement Y'!K5</f>
        <v>391035</v>
      </c>
      <c r="G6" s="109">
        <f>'Statement Y'!L5</f>
        <v>416161</v>
      </c>
      <c r="H6" s="108">
        <f>Revenue!H11</f>
        <v>434357.08500000002</v>
      </c>
      <c r="I6" s="108">
        <f>Revenue!I11</f>
        <v>453848.45332500001</v>
      </c>
      <c r="J6" s="108">
        <f>Revenue!J11</f>
        <v>474750.19942462503</v>
      </c>
      <c r="K6" s="108">
        <f>Revenue!K11</f>
        <v>497188.50874625816</v>
      </c>
      <c r="L6" s="108">
        <f>Revenue!L11</f>
        <v>521301.75451604521</v>
      </c>
      <c r="N6" s="91"/>
      <c r="O6" s="7" t="s">
        <v>6</v>
      </c>
      <c r="P6" s="108">
        <f>'Statement Q'!C5</f>
        <v>90753</v>
      </c>
      <c r="Q6" s="108">
        <f>'Statement Q'!D5</f>
        <v>85777</v>
      </c>
      <c r="R6" s="108">
        <f>'Statement Q'!E5</f>
        <v>94930</v>
      </c>
      <c r="S6" s="108">
        <f>'Statement Q'!F5</f>
        <v>124300</v>
      </c>
      <c r="T6" s="108">
        <f>'Statement Q'!G5</f>
        <v>95359</v>
      </c>
      <c r="U6" s="108">
        <f>'Statement Q'!H5</f>
        <v>94036</v>
      </c>
      <c r="V6" s="108">
        <f>'Statement Q'!I5</f>
        <v>102466</v>
      </c>
      <c r="W6" s="109">
        <f>'Statement Q'!J5</f>
        <v>143756</v>
      </c>
      <c r="X6" s="110" t="e">
        <f>Revenue!AA11</f>
        <v>#REF!</v>
      </c>
      <c r="Y6" s="110" t="e">
        <f>Revenue!AB11</f>
        <v>#REF!</v>
      </c>
      <c r="Z6" s="110" t="e">
        <f>Revenue!AC11</f>
        <v>#REF!</v>
      </c>
      <c r="AB6" s="110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15" t="s">
        <v>145</v>
      </c>
      <c r="D9" s="215"/>
      <c r="E9" s="215"/>
      <c r="F9" s="215"/>
      <c r="G9" s="215"/>
      <c r="H9" s="215"/>
      <c r="I9" s="215"/>
      <c r="J9" s="215"/>
      <c r="K9" s="215"/>
      <c r="L9" s="215"/>
      <c r="N9" s="91"/>
      <c r="P9" s="212" t="s">
        <v>150</v>
      </c>
      <c r="Q9" s="212"/>
      <c r="R9" s="212"/>
      <c r="S9" s="212"/>
      <c r="T9" s="212"/>
      <c r="U9" s="212"/>
      <c r="V9" s="212"/>
      <c r="W9" s="212"/>
      <c r="X9" s="212"/>
      <c r="Y9" s="212"/>
      <c r="Z9" s="212"/>
      <c r="AB9" s="120" t="str">
        <f>AB4</f>
        <v>Q1-Q2-Q3</v>
      </c>
    </row>
    <row r="10" spans="1:28" x14ac:dyDescent="0.2">
      <c r="B10" s="7" t="s">
        <v>421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147</v>
      </c>
      <c r="P10" s="62" t="str">
        <f t="shared" ref="P10:Z10" si="2">P5</f>
        <v>Q2 2024</v>
      </c>
      <c r="Q10" s="62" t="str">
        <f t="shared" si="2"/>
        <v>Q3 2024</v>
      </c>
      <c r="R10" s="62" t="str">
        <f t="shared" si="2"/>
        <v>Q4 2024</v>
      </c>
      <c r="S10" s="62" t="str">
        <f t="shared" si="2"/>
        <v>Q1 2025</v>
      </c>
      <c r="T10" s="62" t="str">
        <f t="shared" si="2"/>
        <v>Q2 2025</v>
      </c>
      <c r="U10" s="62" t="str">
        <f t="shared" si="2"/>
        <v>Q3 2025</v>
      </c>
      <c r="V10" s="62" t="str">
        <f t="shared" si="2"/>
        <v>Q4 2025</v>
      </c>
      <c r="W10" s="62" t="str">
        <f t="shared" si="2"/>
        <v>Q1 2026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21">
        <f>'Statement Y'!H6</f>
        <v>212981</v>
      </c>
      <c r="D11" s="121">
        <f>'Statement Y'!I6</f>
        <v>223546</v>
      </c>
      <c r="E11" s="121">
        <f>'Statement Y'!J6</f>
        <v>214137</v>
      </c>
      <c r="F11" s="121">
        <f>'Statement Y'!K6</f>
        <v>210352</v>
      </c>
      <c r="G11" s="122">
        <f>'Statement Y'!L6</f>
        <v>220960</v>
      </c>
      <c r="H11" s="21">
        <f t="shared" ref="H11:L13" si="3">H19*H$6</f>
        <v>229340.54088000002</v>
      </c>
      <c r="I11" s="21">
        <f t="shared" si="3"/>
        <v>238270.43799562502</v>
      </c>
      <c r="J11" s="21">
        <f t="shared" si="3"/>
        <v>247344.85390022965</v>
      </c>
      <c r="K11" s="21">
        <f t="shared" si="3"/>
        <v>258538.02454805427</v>
      </c>
      <c r="L11" s="21">
        <f t="shared" si="3"/>
        <v>268470.40357576328</v>
      </c>
      <c r="N11" s="91"/>
      <c r="O11" s="7" t="s">
        <v>7</v>
      </c>
      <c r="P11" s="121">
        <f>'Statement Q'!C6</f>
        <v>48482</v>
      </c>
      <c r="Q11" s="121">
        <f>'Statement Q'!D6</f>
        <v>46099</v>
      </c>
      <c r="R11" s="121">
        <f>'Statement Q'!E6</f>
        <v>51051</v>
      </c>
      <c r="S11" s="121">
        <f>'Statement Q'!F6</f>
        <v>66025</v>
      </c>
      <c r="T11" s="121">
        <f>'Statement Q'!G6</f>
        <v>50492</v>
      </c>
      <c r="U11" s="121">
        <f>'Statement Q'!H6</f>
        <v>50318</v>
      </c>
      <c r="V11" s="121">
        <f>'Statement Q'!I6</f>
        <v>54125</v>
      </c>
      <c r="W11" s="122">
        <f>'Statement Q'!J6</f>
        <v>74525</v>
      </c>
      <c r="X11" s="21" t="e">
        <f>X19*X$6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1">
        <f>'Statement Y'!H8</f>
        <v>21914</v>
      </c>
      <c r="D12" s="111">
        <f>'Statement Y'!I8</f>
        <v>26251</v>
      </c>
      <c r="E12" s="111">
        <f>'Statement Y'!J8</f>
        <v>29915</v>
      </c>
      <c r="F12" s="111">
        <f>'Statement Y'!K8</f>
        <v>31370</v>
      </c>
      <c r="G12" s="115">
        <f>'Statement Y'!L8</f>
        <v>34550</v>
      </c>
      <c r="H12" s="20">
        <f t="shared" si="3"/>
        <v>38223.423479999998</v>
      </c>
      <c r="I12" s="20">
        <f t="shared" si="3"/>
        <v>41754.057705899999</v>
      </c>
      <c r="J12" s="20">
        <f t="shared" si="3"/>
        <v>45101.268945339376</v>
      </c>
      <c r="K12" s="20">
        <f t="shared" si="3"/>
        <v>49718.850874625816</v>
      </c>
      <c r="L12" s="20">
        <f t="shared" si="3"/>
        <v>52130.175451604526</v>
      </c>
      <c r="N12" s="91"/>
      <c r="O12" s="1" t="s">
        <v>9</v>
      </c>
      <c r="P12" s="111">
        <f>'Statement Q'!C8</f>
        <v>7903</v>
      </c>
      <c r="Q12" s="111">
        <f>'Statement Q'!D8</f>
        <v>8006</v>
      </c>
      <c r="R12" s="111">
        <f>'Statement Q'!E8</f>
        <v>7765</v>
      </c>
      <c r="S12" s="111">
        <f>'Statement Q'!F8</f>
        <v>8268</v>
      </c>
      <c r="T12" s="111">
        <f>'Statement Q'!G8</f>
        <v>8550</v>
      </c>
      <c r="U12" s="111">
        <f>'Statement Q'!H8</f>
        <v>8866</v>
      </c>
      <c r="V12" s="111">
        <f>'Statement Q'!I8</f>
        <v>8866</v>
      </c>
      <c r="W12" s="115">
        <f>'Statement Q'!J8</f>
        <v>10887</v>
      </c>
      <c r="X12" s="34" t="e">
        <f>X20*X$6</f>
        <v>#REF!</v>
      </c>
      <c r="Y12" s="20"/>
      <c r="Z12" s="20"/>
      <c r="AB12" s="20" t="e">
        <f t="shared" ref="AB12:AB14" si="4">SUM(U12:X12)</f>
        <v>#REF!</v>
      </c>
    </row>
    <row r="13" spans="1:28" x14ac:dyDescent="0.2">
      <c r="B13" s="1" t="s">
        <v>146</v>
      </c>
      <c r="C13" s="111">
        <f>'Statement Y'!H9</f>
        <v>21973</v>
      </c>
      <c r="D13" s="111">
        <f>'Statement Y'!I9</f>
        <v>25094</v>
      </c>
      <c r="E13" s="111">
        <f>'Statement Y'!J9</f>
        <v>24932</v>
      </c>
      <c r="F13" s="111">
        <f>'Statement Y'!K9</f>
        <v>26097</v>
      </c>
      <c r="G13" s="115">
        <f>'Statement Y'!L9</f>
        <v>27601</v>
      </c>
      <c r="H13" s="20">
        <f t="shared" si="3"/>
        <v>29536.281780000005</v>
      </c>
      <c r="I13" s="20">
        <f t="shared" si="3"/>
        <v>30407.846372775002</v>
      </c>
      <c r="J13" s="20">
        <f t="shared" si="3"/>
        <v>32757.763760299131</v>
      </c>
      <c r="K13" s="20">
        <f t="shared" si="3"/>
        <v>34803.195612238072</v>
      </c>
      <c r="L13" s="20">
        <f t="shared" si="3"/>
        <v>35448.519307091075</v>
      </c>
      <c r="M13" s="116"/>
      <c r="N13" s="116"/>
      <c r="O13" s="1" t="s">
        <v>146</v>
      </c>
      <c r="P13" s="111" t="e">
        <f>'Statement Q'!#REF!</f>
        <v>#REF!</v>
      </c>
      <c r="Q13" s="111" t="e">
        <f>'Statement Q'!#REF!</f>
        <v>#REF!</v>
      </c>
      <c r="R13" s="111" t="e">
        <f>'Statement Q'!#REF!</f>
        <v>#REF!</v>
      </c>
      <c r="S13" s="111" t="e">
        <f>'Statement Q'!#REF!</f>
        <v>#REF!</v>
      </c>
      <c r="T13" s="111" t="e">
        <f>'Statement Q'!#REF!</f>
        <v>#REF!</v>
      </c>
      <c r="U13" s="111" t="e">
        <f>'Statement Q'!#REF!</f>
        <v>#REF!</v>
      </c>
      <c r="V13" s="111" t="e">
        <f>'Statement Q'!#REF!</f>
        <v>#REF!</v>
      </c>
      <c r="W13" s="115" t="e">
        <f>'Statement Q'!#REF!</f>
        <v>#REF!</v>
      </c>
      <c r="X13" s="34" t="e">
        <f>X21*X$6</f>
        <v>#REF!</v>
      </c>
      <c r="Y13" s="20"/>
      <c r="Z13" s="20"/>
      <c r="AB13" s="20" t="e">
        <f t="shared" si="4"/>
        <v>#REF!</v>
      </c>
    </row>
    <row r="14" spans="1:28" x14ac:dyDescent="0.2">
      <c r="B14" s="7" t="s">
        <v>11</v>
      </c>
      <c r="C14" s="121">
        <f>'Statement Y'!H10</f>
        <v>43887</v>
      </c>
      <c r="D14" s="121">
        <f>'Statement Y'!I10</f>
        <v>51345</v>
      </c>
      <c r="E14" s="121">
        <f>'Statement Y'!J10</f>
        <v>54847</v>
      </c>
      <c r="F14" s="121">
        <f>'Statement Y'!K10</f>
        <v>57467</v>
      </c>
      <c r="G14" s="122">
        <f>'Statement Y'!L10</f>
        <v>62151</v>
      </c>
      <c r="H14" s="21">
        <f>SUM(H12:H13)</f>
        <v>67759.705260000002</v>
      </c>
      <c r="I14" s="21">
        <f>SUM(I12:I13)</f>
        <v>72161.904078674997</v>
      </c>
      <c r="J14" s="21">
        <f>SUM(J12:J13)</f>
        <v>77859.032705638499</v>
      </c>
      <c r="K14" s="21">
        <f>SUM(K12:K13)</f>
        <v>84522.046486863896</v>
      </c>
      <c r="L14" s="21">
        <f>SUM(L12:L13)</f>
        <v>87578.694758695608</v>
      </c>
      <c r="M14" s="116"/>
      <c r="N14" s="116"/>
      <c r="O14" s="7" t="s">
        <v>11</v>
      </c>
      <c r="P14" s="121">
        <f>'Statement Q'!C10</f>
        <v>14371</v>
      </c>
      <c r="Q14" s="121">
        <f>'Statement Q'!D10</f>
        <v>14326</v>
      </c>
      <c r="R14" s="121">
        <f>'Statement Q'!E10</f>
        <v>14288</v>
      </c>
      <c r="S14" s="121">
        <f>'Statement Q'!F10</f>
        <v>15443</v>
      </c>
      <c r="T14" s="121">
        <f>'Statement Q'!G10</f>
        <v>15278</v>
      </c>
      <c r="U14" s="121">
        <f>'Statement Q'!H10</f>
        <v>15516</v>
      </c>
      <c r="V14" s="121">
        <f>'Statement Q'!I10</f>
        <v>15914</v>
      </c>
      <c r="W14" s="122">
        <f>'Statement Q'!J10</f>
        <v>18379</v>
      </c>
      <c r="X14" s="21" t="e">
        <f>SUM(X12:X13)</f>
        <v>#REF!</v>
      </c>
      <c r="Y14" s="21"/>
      <c r="Z14" s="21"/>
      <c r="AB14" s="20" t="e">
        <f t="shared" si="4"/>
        <v>#REF!</v>
      </c>
    </row>
    <row r="17" spans="2:26" x14ac:dyDescent="0.2">
      <c r="C17" s="215" t="s">
        <v>148</v>
      </c>
      <c r="D17" s="215"/>
      <c r="E17" s="215"/>
      <c r="F17" s="215"/>
      <c r="G17" s="215"/>
      <c r="H17" s="215"/>
      <c r="I17" s="215"/>
      <c r="J17" s="215"/>
      <c r="K17" s="215"/>
      <c r="L17" s="215"/>
      <c r="P17" s="212" t="s">
        <v>148</v>
      </c>
      <c r="Q17" s="212"/>
      <c r="R17" s="212"/>
      <c r="S17" s="212"/>
      <c r="T17" s="212"/>
      <c r="U17" s="212"/>
      <c r="V17" s="212"/>
      <c r="W17" s="212"/>
      <c r="X17" s="212"/>
      <c r="Y17" s="212"/>
      <c r="Z17" s="212"/>
    </row>
    <row r="18" spans="2:26" x14ac:dyDescent="0.2">
      <c r="B18" s="7" t="s">
        <v>124</v>
      </c>
      <c r="C18" s="62">
        <f t="shared" ref="C18:L18" si="5">C5</f>
        <v>2021</v>
      </c>
      <c r="D18" s="62">
        <f t="shared" si="5"/>
        <v>2022</v>
      </c>
      <c r="E18" s="62">
        <f t="shared" si="5"/>
        <v>2023</v>
      </c>
      <c r="F18" s="62">
        <f t="shared" si="5"/>
        <v>2024</v>
      </c>
      <c r="G18" s="62">
        <f t="shared" si="5"/>
        <v>2025</v>
      </c>
      <c r="H18" s="62">
        <f t="shared" si="5"/>
        <v>2026</v>
      </c>
      <c r="I18" s="62">
        <f t="shared" si="5"/>
        <v>2027</v>
      </c>
      <c r="J18" s="62">
        <f t="shared" si="5"/>
        <v>2028</v>
      </c>
      <c r="K18" s="62">
        <f t="shared" si="5"/>
        <v>2029</v>
      </c>
      <c r="L18" s="62">
        <f t="shared" si="5"/>
        <v>2030</v>
      </c>
      <c r="O18" s="7" t="s">
        <v>124</v>
      </c>
      <c r="P18" s="62" t="str">
        <f t="shared" ref="P18:Z18" si="6">P5</f>
        <v>Q2 2024</v>
      </c>
      <c r="Q18" s="62" t="str">
        <f t="shared" si="6"/>
        <v>Q3 2024</v>
      </c>
      <c r="R18" s="62" t="str">
        <f t="shared" si="6"/>
        <v>Q4 2024</v>
      </c>
      <c r="S18" s="62" t="str">
        <f t="shared" si="6"/>
        <v>Q1 2025</v>
      </c>
      <c r="T18" s="62" t="str">
        <f t="shared" si="6"/>
        <v>Q2 2025</v>
      </c>
      <c r="U18" s="62" t="str">
        <f t="shared" si="6"/>
        <v>Q3 2025</v>
      </c>
      <c r="V18" s="62" t="str">
        <f t="shared" si="6"/>
        <v>Q4 2025</v>
      </c>
      <c r="W18" s="62" t="str">
        <f t="shared" si="6"/>
        <v>Q1 2026</v>
      </c>
      <c r="X18" s="62" t="str">
        <f t="shared" si="6"/>
        <v>FQ1</v>
      </c>
      <c r="Y18" s="62" t="str">
        <f t="shared" si="6"/>
        <v>FQ2</v>
      </c>
      <c r="Z18" s="62" t="str">
        <f t="shared" si="6"/>
        <v>FQ3</v>
      </c>
    </row>
    <row r="19" spans="2:26" x14ac:dyDescent="0.2">
      <c r="B19" s="1" t="str">
        <f>B11</f>
        <v>COGS</v>
      </c>
      <c r="C19" s="112">
        <f t="shared" ref="C19:G20" si="7">C11/C$6</f>
        <v>0.58220640374832222</v>
      </c>
      <c r="D19" s="112">
        <f t="shared" si="7"/>
        <v>0.56690369438639909</v>
      </c>
      <c r="E19" s="112">
        <f t="shared" si="7"/>
        <v>0.55868870422792438</v>
      </c>
      <c r="F19" s="112">
        <f t="shared" si="7"/>
        <v>0.53793650184766073</v>
      </c>
      <c r="G19" s="113">
        <f t="shared" si="7"/>
        <v>0.53094835892839554</v>
      </c>
      <c r="H19" s="114">
        <v>0.52800000000000002</v>
      </c>
      <c r="I19" s="114">
        <v>0.52500000000000002</v>
      </c>
      <c r="J19" s="114">
        <v>0.52100000000000002</v>
      </c>
      <c r="K19" s="114">
        <v>0.52</v>
      </c>
      <c r="L19" s="114">
        <v>0.51500000000000001</v>
      </c>
      <c r="O19" s="1" t="str">
        <f>O11</f>
        <v>COGS</v>
      </c>
      <c r="P19" s="112">
        <f t="shared" ref="P19:W20" si="8">P11/P$6</f>
        <v>0.5342192544599077</v>
      </c>
      <c r="Q19" s="112">
        <f t="shared" si="8"/>
        <v>0.53742844818541102</v>
      </c>
      <c r="R19" s="112">
        <f t="shared" si="8"/>
        <v>0.53777520278099655</v>
      </c>
      <c r="S19" s="112">
        <f t="shared" si="8"/>
        <v>0.53117457763475462</v>
      </c>
      <c r="T19" s="112">
        <f t="shared" si="8"/>
        <v>0.52949380761123754</v>
      </c>
      <c r="U19" s="112">
        <f t="shared" si="8"/>
        <v>0.53509294312816369</v>
      </c>
      <c r="V19" s="112">
        <f t="shared" si="8"/>
        <v>0.52822399625241545</v>
      </c>
      <c r="W19" s="113">
        <f t="shared" si="8"/>
        <v>0.51841314449483844</v>
      </c>
      <c r="X19" s="114">
        <v>0.28000000000000003</v>
      </c>
      <c r="Y19" s="114"/>
      <c r="Z19" s="114"/>
    </row>
    <row r="20" spans="2:26" x14ac:dyDescent="0.2">
      <c r="B20" s="1" t="str">
        <f>B12</f>
        <v>R&amp;D</v>
      </c>
      <c r="C20" s="112">
        <f t="shared" si="7"/>
        <v>5.9904269074427925E-2</v>
      </c>
      <c r="D20" s="112">
        <f t="shared" si="7"/>
        <v>6.657148363798665E-2</v>
      </c>
      <c r="E20" s="112">
        <f t="shared" si="7"/>
        <v>7.8048971392045086E-2</v>
      </c>
      <c r="F20" s="112">
        <f t="shared" si="7"/>
        <v>8.0222997941360744E-2</v>
      </c>
      <c r="G20" s="113">
        <f t="shared" si="7"/>
        <v>8.3020753987038676E-2</v>
      </c>
      <c r="H20" s="114">
        <v>8.7999999999999995E-2</v>
      </c>
      <c r="I20" s="114">
        <v>9.1999999999999998E-2</v>
      </c>
      <c r="J20" s="114">
        <v>9.5000000000000001E-2</v>
      </c>
      <c r="K20" s="114">
        <v>0.1</v>
      </c>
      <c r="L20" s="114">
        <v>0.1</v>
      </c>
      <c r="O20" s="1" t="str">
        <f>O12</f>
        <v>R&amp;D</v>
      </c>
      <c r="P20" s="112">
        <f t="shared" si="8"/>
        <v>8.7082520688021331E-2</v>
      </c>
      <c r="Q20" s="112">
        <f t="shared" si="8"/>
        <v>9.3335043193396833E-2</v>
      </c>
      <c r="R20" s="112">
        <f t="shared" si="8"/>
        <v>8.1797113662698831E-2</v>
      </c>
      <c r="S20" s="112">
        <f t="shared" si="8"/>
        <v>6.6516492357200321E-2</v>
      </c>
      <c r="T20" s="112">
        <f t="shared" si="8"/>
        <v>8.9661175138162102E-2</v>
      </c>
      <c r="U20" s="112">
        <f t="shared" si="8"/>
        <v>9.4283040537666424E-2</v>
      </c>
      <c r="V20" s="112">
        <f t="shared" si="8"/>
        <v>8.6526262369956863E-2</v>
      </c>
      <c r="W20" s="113">
        <f t="shared" si="8"/>
        <v>7.5732491165586127E-2</v>
      </c>
      <c r="X20" s="114">
        <v>0.29599999999999999</v>
      </c>
      <c r="Y20" s="114"/>
      <c r="Z20" s="114"/>
    </row>
    <row r="21" spans="2:26" x14ac:dyDescent="0.2">
      <c r="B21" s="1" t="str">
        <f t="shared" ref="B21" si="9">B13</f>
        <v>General &amp; administrative</v>
      </c>
      <c r="C21" s="112">
        <f t="shared" ref="C21:G21" si="10">C13/C$6</f>
        <v>6.006555190163388E-2</v>
      </c>
      <c r="D21" s="112">
        <f t="shared" si="10"/>
        <v>6.3637378020328261E-2</v>
      </c>
      <c r="E21" s="112">
        <f t="shared" si="10"/>
        <v>6.5048201729783317E-2</v>
      </c>
      <c r="F21" s="112">
        <f t="shared" si="10"/>
        <v>6.6738271510222866E-2</v>
      </c>
      <c r="G21" s="113">
        <f t="shared" si="10"/>
        <v>6.6322889458647019E-2</v>
      </c>
      <c r="H21" s="114">
        <v>6.8000000000000005E-2</v>
      </c>
      <c r="I21" s="114">
        <v>6.7000000000000004E-2</v>
      </c>
      <c r="J21" s="114">
        <v>6.9000000000000006E-2</v>
      </c>
      <c r="K21" s="114">
        <v>7.0000000000000007E-2</v>
      </c>
      <c r="L21" s="114">
        <v>6.8000000000000005E-2</v>
      </c>
      <c r="O21" s="1" t="str">
        <f t="shared" ref="O21" si="11">O13</f>
        <v>General &amp; administrative</v>
      </c>
      <c r="P21" s="112" t="e">
        <f t="shared" ref="P21:W21" si="12">P13/P$6</f>
        <v>#REF!</v>
      </c>
      <c r="Q21" s="112" t="e">
        <f t="shared" si="12"/>
        <v>#REF!</v>
      </c>
      <c r="R21" s="112" t="e">
        <f t="shared" si="12"/>
        <v>#REF!</v>
      </c>
      <c r="S21" s="112" t="e">
        <f t="shared" si="12"/>
        <v>#REF!</v>
      </c>
      <c r="T21" s="112" t="e">
        <f t="shared" si="12"/>
        <v>#REF!</v>
      </c>
      <c r="U21" s="112" t="e">
        <f t="shared" si="12"/>
        <v>#REF!</v>
      </c>
      <c r="V21" s="112" t="e">
        <f t="shared" si="12"/>
        <v>#REF!</v>
      </c>
      <c r="W21" s="113" t="e">
        <f t="shared" si="12"/>
        <v>#REF!</v>
      </c>
      <c r="X21" s="114">
        <v>0.185</v>
      </c>
      <c r="Y21" s="114"/>
      <c r="Z21" s="114"/>
    </row>
  </sheetData>
  <mergeCells count="10">
    <mergeCell ref="C9:L9"/>
    <mergeCell ref="P9:Z9"/>
    <mergeCell ref="C17:L17"/>
    <mergeCell ref="P17:Z17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zoomScale="168" zoomScaleNormal="100" workbookViewId="0">
      <selection activeCell="C47" sqref="C47"/>
    </sheetView>
  </sheetViews>
  <sheetFormatPr baseColWidth="10" defaultRowHeight="16" x14ac:dyDescent="0.2"/>
  <cols>
    <col min="1" max="1" width="2" style="100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155</v>
      </c>
    </row>
    <row r="2" spans="1:28" s="100" customFormat="1" ht="18" customHeight="1" x14ac:dyDescent="0.2">
      <c r="A2" s="101"/>
      <c r="B2" s="102"/>
    </row>
    <row r="3" spans="1:28" s="100" customFormat="1" ht="18" customHeight="1" x14ac:dyDescent="0.2">
      <c r="A3" s="101"/>
      <c r="B3" s="124" t="str">
        <f>"CapEx:"&amp;CHOOSE(C3," as a % of PP&amp;E"," as a % of revenue")</f>
        <v>CapEx: as a % of revenue</v>
      </c>
      <c r="C3" s="62">
        <v>2</v>
      </c>
    </row>
    <row r="4" spans="1:28" s="100" customFormat="1" ht="18" customHeight="1" x14ac:dyDescent="0.2">
      <c r="A4" s="101"/>
      <c r="B4" s="102"/>
    </row>
    <row r="5" spans="1:28" x14ac:dyDescent="0.2">
      <c r="A5" s="101"/>
      <c r="C5" s="207" t="s">
        <v>122</v>
      </c>
      <c r="D5" s="207"/>
      <c r="E5" s="207"/>
      <c r="F5" s="207"/>
      <c r="G5" s="213"/>
      <c r="H5" s="214" t="s">
        <v>123</v>
      </c>
      <c r="I5" s="207"/>
      <c r="J5" s="207"/>
      <c r="K5" s="207"/>
      <c r="L5" s="207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5"/>
    </row>
    <row r="6" spans="1:28" ht="10" customHeight="1" x14ac:dyDescent="0.2"/>
    <row r="7" spans="1:28" ht="16" customHeight="1" x14ac:dyDescent="0.2">
      <c r="A7" s="106"/>
      <c r="B7" s="92"/>
      <c r="C7" s="215" t="s">
        <v>132</v>
      </c>
      <c r="D7" s="215"/>
      <c r="E7" s="215"/>
      <c r="F7" s="215"/>
      <c r="G7" s="215"/>
      <c r="H7" s="215"/>
      <c r="I7" s="215"/>
      <c r="J7" s="215"/>
      <c r="K7" s="215"/>
      <c r="L7" s="215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  <c r="AB7" s="126"/>
    </row>
    <row r="8" spans="1:28" x14ac:dyDescent="0.2">
      <c r="B8" s="7" t="s">
        <v>133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B8" s="126"/>
    </row>
    <row r="9" spans="1:28" x14ac:dyDescent="0.2">
      <c r="B9" s="7" t="s">
        <v>6</v>
      </c>
      <c r="C9" s="108">
        <f>'Statement Y'!H5</f>
        <v>365817</v>
      </c>
      <c r="D9" s="108">
        <f>'Statement Y'!I5</f>
        <v>394328</v>
      </c>
      <c r="E9" s="108">
        <f>'Statement Y'!J5</f>
        <v>383285</v>
      </c>
      <c r="F9" s="108">
        <f>'Statement Y'!K5</f>
        <v>391035</v>
      </c>
      <c r="G9" s="109">
        <f>'Statement Y'!L5</f>
        <v>416161</v>
      </c>
      <c r="H9" s="110">
        <f>Revenue!H11</f>
        <v>434357.08500000002</v>
      </c>
      <c r="I9" s="110">
        <f>Revenue!I11</f>
        <v>453848.45332500001</v>
      </c>
      <c r="J9" s="110">
        <f>Revenue!J11</f>
        <v>474750.19942462503</v>
      </c>
      <c r="K9" s="110">
        <f>Revenue!K11</f>
        <v>497188.50874625816</v>
      </c>
      <c r="L9" s="110">
        <f>Revenue!L11</f>
        <v>521301.75451604521</v>
      </c>
      <c r="N9" s="91"/>
      <c r="O9" s="7"/>
      <c r="P9" s="108"/>
      <c r="Q9" s="108"/>
      <c r="R9" s="108"/>
      <c r="S9" s="108"/>
      <c r="T9" s="108"/>
      <c r="U9" s="108"/>
      <c r="V9" s="108"/>
      <c r="W9" s="108"/>
      <c r="X9" s="110"/>
      <c r="Y9" s="110"/>
      <c r="Z9" s="110"/>
      <c r="AB9" s="110"/>
    </row>
    <row r="10" spans="1:28" x14ac:dyDescent="0.2">
      <c r="N10" s="91"/>
    </row>
    <row r="11" spans="1:28" x14ac:dyDescent="0.2">
      <c r="N11" s="91"/>
    </row>
    <row r="12" spans="1:28" x14ac:dyDescent="0.2">
      <c r="C12" s="215" t="s">
        <v>24</v>
      </c>
      <c r="D12" s="215"/>
      <c r="E12" s="215"/>
      <c r="F12" s="215"/>
      <c r="G12" s="215"/>
      <c r="H12" s="215"/>
      <c r="I12" s="215"/>
      <c r="J12" s="215"/>
      <c r="K12" s="215"/>
      <c r="L12" s="215"/>
      <c r="N12" s="91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B12" s="126"/>
    </row>
    <row r="13" spans="1:28" x14ac:dyDescent="0.2">
      <c r="B13" s="7" t="s">
        <v>156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B13" s="126"/>
    </row>
    <row r="14" spans="1:28" x14ac:dyDescent="0.2">
      <c r="B14" s="7" t="s">
        <v>157</v>
      </c>
      <c r="C14" s="21">
        <f>'Statement Y'!C33</f>
        <v>170430</v>
      </c>
      <c r="D14" s="131">
        <f>C17</f>
        <v>127877</v>
      </c>
      <c r="E14" s="131">
        <f t="shared" ref="E14:G14" si="2">D17</f>
        <v>120805</v>
      </c>
      <c r="F14" s="131">
        <f t="shared" si="2"/>
        <v>100544</v>
      </c>
      <c r="G14" s="132">
        <f t="shared" si="2"/>
        <v>91479</v>
      </c>
      <c r="H14" s="21">
        <f>G17</f>
        <v>77723</v>
      </c>
      <c r="I14" s="21">
        <f t="shared" ref="I14:L14" ca="1" si="3">H17</f>
        <v>107132.99256706185</v>
      </c>
      <c r="J14" s="21">
        <f t="shared" ca="1" si="3"/>
        <v>131383.38458647043</v>
      </c>
      <c r="K14" s="21">
        <f t="shared" ca="1" si="3"/>
        <v>150294.89386567491</v>
      </c>
      <c r="L14" s="21">
        <f t="shared" ca="1" si="3"/>
        <v>163677.6191425811</v>
      </c>
      <c r="N14" s="91"/>
      <c r="O14" s="7"/>
      <c r="P14" s="128"/>
      <c r="Q14" s="128"/>
      <c r="R14" s="128"/>
      <c r="S14" s="128"/>
      <c r="T14" s="128"/>
      <c r="U14" s="128"/>
      <c r="V14" s="128"/>
      <c r="W14" s="128"/>
      <c r="X14" s="21"/>
      <c r="Y14" s="21"/>
      <c r="Z14" s="21"/>
      <c r="AB14" s="20"/>
    </row>
    <row r="15" spans="1:28" x14ac:dyDescent="0.2">
      <c r="B15" s="1" t="s">
        <v>44</v>
      </c>
      <c r="C15" s="133">
        <f>-'Statement Y'!H68</f>
        <v>109558</v>
      </c>
      <c r="D15" s="133">
        <f>-'Statement Y'!I68</f>
        <v>76923</v>
      </c>
      <c r="E15" s="133">
        <f>-'Statement Y'!J68</f>
        <v>29513</v>
      </c>
      <c r="F15" s="133">
        <f>-'Statement Y'!K68</f>
        <v>48656</v>
      </c>
      <c r="G15" s="134">
        <f>-'Statement Y'!L68</f>
        <v>24407</v>
      </c>
      <c r="H15" s="20">
        <f>CHOOSE($C$3,H34*H14,H35*H9)</f>
        <v>49424.463550461063</v>
      </c>
      <c r="I15" s="20">
        <f t="shared" ref="I15:L15" si="4">CHOOSE($C$3,I34*I14,I35*I9)</f>
        <v>51642.340169942414</v>
      </c>
      <c r="J15" s="20">
        <f t="shared" si="4"/>
        <v>54020.700334694666</v>
      </c>
      <c r="K15" s="20">
        <f t="shared" si="4"/>
        <v>56573.902387795802</v>
      </c>
      <c r="L15" s="20">
        <f t="shared" si="4"/>
        <v>59317.691490791905</v>
      </c>
      <c r="N15" s="91"/>
      <c r="P15" s="129"/>
      <c r="Q15" s="129"/>
      <c r="R15" s="129"/>
      <c r="S15" s="129"/>
      <c r="T15" s="129"/>
      <c r="U15" s="129"/>
      <c r="V15" s="129"/>
      <c r="W15" s="129"/>
      <c r="X15" s="34"/>
      <c r="Y15" s="20"/>
      <c r="Z15" s="20"/>
      <c r="AB15" s="20"/>
    </row>
    <row r="16" spans="1:28" x14ac:dyDescent="0.2">
      <c r="B16" s="1" t="s">
        <v>90</v>
      </c>
      <c r="C16" s="111">
        <f>'Statement Y'!H117</f>
        <v>9500</v>
      </c>
      <c r="D16" s="111">
        <f>'Statement Y'!I117</f>
        <v>8700</v>
      </c>
      <c r="E16" s="111">
        <f>'Statement Y'!J117</f>
        <v>8500</v>
      </c>
      <c r="F16" s="111">
        <f>'Statement Y'!K117</f>
        <v>8200</v>
      </c>
      <c r="G16" s="115">
        <f>'Statement Y'!L117</f>
        <v>8000</v>
      </c>
      <c r="H16" s="20">
        <f ca="1">H27</f>
        <v>20014.470983399202</v>
      </c>
      <c r="I16" s="20">
        <f ca="1">I27</f>
        <v>27391.948150533834</v>
      </c>
      <c r="J16" s="20">
        <f t="shared" ref="J16:L16" ca="1" si="5">J27</f>
        <v>35109.191055490213</v>
      </c>
      <c r="K16" s="20">
        <f t="shared" ca="1" si="5"/>
        <v>43191.177110889614</v>
      </c>
      <c r="L16" s="20">
        <f t="shared" ca="1" si="5"/>
        <v>51665.133038145599</v>
      </c>
      <c r="M16" s="116"/>
      <c r="N16" s="116"/>
      <c r="P16" s="129"/>
      <c r="Q16" s="129"/>
      <c r="R16" s="129"/>
      <c r="S16" s="129"/>
      <c r="T16" s="129"/>
      <c r="U16" s="129"/>
      <c r="V16" s="129"/>
      <c r="W16" s="129"/>
      <c r="X16" s="34"/>
      <c r="Y16" s="20"/>
      <c r="Z16" s="20"/>
      <c r="AB16" s="20"/>
    </row>
    <row r="17" spans="2:28" x14ac:dyDescent="0.2">
      <c r="B17" s="7" t="s">
        <v>158</v>
      </c>
      <c r="C17" s="121">
        <f>'Statement Y'!H33</f>
        <v>127877</v>
      </c>
      <c r="D17" s="121">
        <f>'Statement Y'!I33</f>
        <v>120805</v>
      </c>
      <c r="E17" s="121">
        <f>'Statement Y'!J33</f>
        <v>100544</v>
      </c>
      <c r="F17" s="121">
        <f>'Statement Y'!K33</f>
        <v>91479</v>
      </c>
      <c r="G17" s="122">
        <f>'Statement Y'!L33</f>
        <v>77723</v>
      </c>
      <c r="H17" s="21">
        <f ca="1">H14+H15-H16</f>
        <v>107132.99256706185</v>
      </c>
      <c r="I17" s="21">
        <f t="shared" ref="I17:L17" ca="1" si="6">I14+I15-I16</f>
        <v>131383.38458647043</v>
      </c>
      <c r="J17" s="21">
        <f t="shared" ca="1" si="6"/>
        <v>150294.89386567491</v>
      </c>
      <c r="K17" s="21">
        <f t="shared" ca="1" si="6"/>
        <v>163677.6191425811</v>
      </c>
      <c r="L17" s="21">
        <f t="shared" ca="1" si="6"/>
        <v>171330.1775952274</v>
      </c>
      <c r="M17" s="116"/>
      <c r="N17" s="116"/>
      <c r="O17" s="7"/>
      <c r="P17" s="128"/>
      <c r="Q17" s="128"/>
      <c r="R17" s="128"/>
      <c r="S17" s="128"/>
      <c r="T17" s="128"/>
      <c r="U17" s="128"/>
      <c r="V17" s="128"/>
      <c r="W17" s="128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15" t="s">
        <v>176</v>
      </c>
      <c r="D20" s="215"/>
      <c r="E20" s="215"/>
      <c r="F20" s="215"/>
      <c r="G20" s="215"/>
      <c r="H20" s="215"/>
      <c r="I20" s="215"/>
      <c r="J20" s="215"/>
      <c r="K20" s="215"/>
      <c r="L20" s="215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 spans="2:28" x14ac:dyDescent="0.2">
      <c r="B21" s="7" t="s">
        <v>156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2:28" x14ac:dyDescent="0.2">
      <c r="B22" s="116">
        <f>H8</f>
        <v>2026</v>
      </c>
      <c r="C22" s="139"/>
      <c r="D22" s="139"/>
      <c r="E22" s="139"/>
      <c r="F22" s="139"/>
      <c r="G22" s="141"/>
      <c r="H22" s="20">
        <f ca="1">IF(COUNT($H$22:H22) &lt;= $C$39, $H$14/$C$39+$H$15/$C$38, 0)</f>
        <v>20014.470983399202</v>
      </c>
      <c r="I22" s="20">
        <f ca="1">IF(COUNT($H$22:I22) &lt;= $C$39, $H$14/$C$39+$H$15/$C$38, 0)</f>
        <v>20014.470983399202</v>
      </c>
      <c r="J22" s="20">
        <f ca="1">IF(COUNT($H$22:J22) &lt;= $C$39, $H$14/$C$39+$H$15/$C$38, 0)</f>
        <v>20014.470983399202</v>
      </c>
      <c r="K22" s="20">
        <f ca="1">IF(COUNT($H$22:K22) &lt;= $C$39, $H$14/$C$39+$H$15/$C$38, 0)</f>
        <v>20014.470983399202</v>
      </c>
      <c r="L22" s="20">
        <f ca="1">IF(COUNT($H$22:L22) &lt;= $C$39, $H$14/$C$39+$H$15/$C$38, 0)</f>
        <v>20014.470983399202</v>
      </c>
      <c r="T22" s="130"/>
      <c r="U22" s="130"/>
      <c r="V22" s="130"/>
      <c r="W22" s="130"/>
      <c r="X22" s="130"/>
      <c r="Y22" s="130"/>
      <c r="Z22" s="130"/>
    </row>
    <row r="23" spans="2:28" x14ac:dyDescent="0.2">
      <c r="B23" s="116">
        <f>I8</f>
        <v>2027</v>
      </c>
      <c r="C23" s="139"/>
      <c r="D23" s="139"/>
      <c r="E23" s="139"/>
      <c r="F23" s="139"/>
      <c r="G23" s="141"/>
      <c r="H23" s="20"/>
      <c r="I23" s="20">
        <f>$I$15/$C$38</f>
        <v>7377.4771671346307</v>
      </c>
      <c r="J23" s="20">
        <f t="shared" ref="J23:L23" si="8">$I$15/$C$38</f>
        <v>7377.4771671346307</v>
      </c>
      <c r="K23" s="20">
        <f t="shared" si="8"/>
        <v>7377.4771671346307</v>
      </c>
      <c r="L23" s="20">
        <f t="shared" si="8"/>
        <v>7377.4771671346307</v>
      </c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spans="2:28" x14ac:dyDescent="0.2">
      <c r="B24" s="116">
        <f>J8</f>
        <v>2028</v>
      </c>
      <c r="C24" s="139"/>
      <c r="D24" s="139"/>
      <c r="E24" s="139"/>
      <c r="F24" s="139"/>
      <c r="G24" s="141"/>
      <c r="H24" s="20"/>
      <c r="I24" s="20"/>
      <c r="J24" s="20">
        <f>$J$15/$C$38</f>
        <v>7717.2429049563807</v>
      </c>
      <c r="K24" s="20">
        <f t="shared" ref="K24:L24" si="9">$J$15/$C$38</f>
        <v>7717.2429049563807</v>
      </c>
      <c r="L24" s="20">
        <f t="shared" si="9"/>
        <v>7717.2429049563807</v>
      </c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spans="2:28" x14ac:dyDescent="0.2">
      <c r="B25" s="116">
        <f>K8</f>
        <v>2029</v>
      </c>
      <c r="C25" s="139"/>
      <c r="D25" s="139"/>
      <c r="E25" s="139"/>
      <c r="F25" s="139"/>
      <c r="G25" s="141"/>
      <c r="H25" s="20"/>
      <c r="I25" s="20"/>
      <c r="J25" s="20"/>
      <c r="K25" s="20">
        <f>$K$15/$C$38</f>
        <v>8081.9860553994004</v>
      </c>
      <c r="L25" s="20">
        <f>$K$15/$C$38</f>
        <v>8081.9860553994004</v>
      </c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spans="2:28" x14ac:dyDescent="0.2">
      <c r="B26" s="136">
        <f>L8</f>
        <v>2030</v>
      </c>
      <c r="C26" s="139"/>
      <c r="D26" s="139"/>
      <c r="E26" s="139"/>
      <c r="F26" s="139"/>
      <c r="G26" s="141"/>
      <c r="H26" s="84"/>
      <c r="I26" s="84"/>
      <c r="J26" s="84"/>
      <c r="K26" s="84"/>
      <c r="L26" s="137">
        <f>L15/C38</f>
        <v>8473.9559272559873</v>
      </c>
    </row>
    <row r="27" spans="2:28" x14ac:dyDescent="0.2">
      <c r="B27" s="77" t="s">
        <v>120</v>
      </c>
      <c r="C27" s="140"/>
      <c r="D27" s="140"/>
      <c r="E27" s="140"/>
      <c r="F27" s="140"/>
      <c r="G27" s="142"/>
      <c r="H27" s="138">
        <f ca="1">SUM(H22:H26)</f>
        <v>20014.470983399202</v>
      </c>
      <c r="I27" s="138">
        <f ca="1">SUM(I22:I26)</f>
        <v>27391.948150533834</v>
      </c>
      <c r="J27" s="138">
        <f t="shared" ref="J27:L27" ca="1" si="10">SUM(J22:J26)</f>
        <v>35109.191055490213</v>
      </c>
      <c r="K27" s="138">
        <f t="shared" ca="1" si="10"/>
        <v>43191.177110889614</v>
      </c>
      <c r="L27" s="138">
        <f t="shared" ca="1" si="10"/>
        <v>51665.133038145599</v>
      </c>
    </row>
    <row r="30" spans="2:28" x14ac:dyDescent="0.2">
      <c r="C30" s="215" t="s">
        <v>166</v>
      </c>
      <c r="D30" s="215"/>
      <c r="E30" s="215"/>
      <c r="F30" s="215"/>
      <c r="G30" s="215"/>
      <c r="H30" s="215"/>
      <c r="I30" s="215"/>
      <c r="J30" s="215"/>
      <c r="K30" s="215"/>
      <c r="L30" s="215"/>
    </row>
    <row r="31" spans="2:28" x14ac:dyDescent="0.2">
      <c r="B31" s="7" t="s">
        <v>159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160</v>
      </c>
      <c r="C32" s="112">
        <f>C16/C14</f>
        <v>5.5741360089186176E-2</v>
      </c>
      <c r="D32" s="112">
        <f>D16/D14</f>
        <v>6.8034126543475376E-2</v>
      </c>
      <c r="E32" s="112">
        <f t="shared" ref="E32:L32" si="12">E16/E14</f>
        <v>7.0361326104051991E-2</v>
      </c>
      <c r="F32" s="112">
        <f t="shared" si="12"/>
        <v>8.1556333545512408E-2</v>
      </c>
      <c r="G32" s="113">
        <f t="shared" si="12"/>
        <v>8.7451764885930108E-2</v>
      </c>
      <c r="H32" s="112">
        <f t="shared" ca="1" si="12"/>
        <v>0.25751027345057709</v>
      </c>
      <c r="I32" s="112">
        <f t="shared" ca="1" si="12"/>
        <v>0.25568172319453641</v>
      </c>
      <c r="J32" s="112">
        <f t="shared" ca="1" si="12"/>
        <v>0.2672270254415845</v>
      </c>
      <c r="K32" s="112">
        <f t="shared" ca="1" si="12"/>
        <v>0.28737621086110515</v>
      </c>
      <c r="L32" s="112">
        <f t="shared" ca="1" si="12"/>
        <v>0.31565178739030669</v>
      </c>
    </row>
    <row r="33" spans="2:12" x14ac:dyDescent="0.2">
      <c r="B33" s="1" t="s">
        <v>161</v>
      </c>
      <c r="C33" s="112">
        <f>C16/C9</f>
        <v>2.5969268787399163E-2</v>
      </c>
      <c r="D33" s="112">
        <f t="shared" ref="D33:L33" si="13">D16/D9</f>
        <v>2.2062851230447749E-2</v>
      </c>
      <c r="E33" s="112">
        <f t="shared" si="13"/>
        <v>2.2176709237251655E-2</v>
      </c>
      <c r="F33" s="112">
        <f t="shared" si="13"/>
        <v>2.0969989898602426E-2</v>
      </c>
      <c r="G33" s="113">
        <f t="shared" si="13"/>
        <v>1.9223329432599402E-2</v>
      </c>
      <c r="H33" s="112">
        <f t="shared" ca="1" si="13"/>
        <v>4.6078380380048828E-2</v>
      </c>
      <c r="I33" s="112">
        <f t="shared" ca="1" si="13"/>
        <v>6.0354834195983281E-2</v>
      </c>
      <c r="J33" s="112">
        <f t="shared" ca="1" si="13"/>
        <v>7.395297800409753E-2</v>
      </c>
      <c r="K33" s="112">
        <f t="shared" ca="1" si="13"/>
        <v>8.6870827364460224E-2</v>
      </c>
      <c r="L33" s="112">
        <f t="shared" ca="1" si="13"/>
        <v>9.9107920874176511E-2</v>
      </c>
    </row>
    <row r="34" spans="2:12" x14ac:dyDescent="0.2">
      <c r="B34" s="92" t="s">
        <v>162</v>
      </c>
      <c r="C34" s="112">
        <f>C15/C14</f>
        <v>0.6428328345948483</v>
      </c>
      <c r="D34" s="112">
        <f>D15/D14</f>
        <v>0.60153897886250074</v>
      </c>
      <c r="E34" s="112">
        <f t="shared" ref="E34:G34" si="14">E15/E14</f>
        <v>0.24430280203633956</v>
      </c>
      <c r="F34" s="112">
        <f t="shared" si="14"/>
        <v>0.48392743475493316</v>
      </c>
      <c r="G34" s="113">
        <f t="shared" si="14"/>
        <v>0.26680440319636201</v>
      </c>
      <c r="H34" s="114">
        <f>AVERAGE(D34:G34)</f>
        <v>0.39914340471253384</v>
      </c>
      <c r="I34" s="114">
        <f>$H$34</f>
        <v>0.39914340471253384</v>
      </c>
      <c r="J34" s="114">
        <f t="shared" ref="J34:L34" si="15">$H$34</f>
        <v>0.39914340471253384</v>
      </c>
      <c r="K34" s="114">
        <f t="shared" si="15"/>
        <v>0.39914340471253384</v>
      </c>
      <c r="L34" s="114">
        <f t="shared" si="15"/>
        <v>0.39914340471253384</v>
      </c>
    </row>
    <row r="35" spans="2:12" x14ac:dyDescent="0.2">
      <c r="B35" s="92" t="s">
        <v>163</v>
      </c>
      <c r="C35" s="112">
        <f t="shared" ref="C35:G35" si="16">C15/C9</f>
        <v>0.29948854208525028</v>
      </c>
      <c r="D35" s="112">
        <f t="shared" si="16"/>
        <v>0.19507364427583129</v>
      </c>
      <c r="E35" s="112">
        <f t="shared" si="16"/>
        <v>7.7000143496353882E-2</v>
      </c>
      <c r="F35" s="112">
        <f t="shared" si="16"/>
        <v>0.12442875957395118</v>
      </c>
      <c r="G35" s="113">
        <f t="shared" si="16"/>
        <v>5.8647975182681701E-2</v>
      </c>
      <c r="H35" s="114">
        <f>AVERAGE(D35:G35)</f>
        <v>0.11378763063220451</v>
      </c>
      <c r="I35" s="114">
        <f>$H$35</f>
        <v>0.11378763063220451</v>
      </c>
      <c r="J35" s="114">
        <f t="shared" ref="J35:L35" si="17">$H$35</f>
        <v>0.11378763063220451</v>
      </c>
      <c r="K35" s="114">
        <f t="shared" si="17"/>
        <v>0.11378763063220451</v>
      </c>
      <c r="L35" s="114">
        <f t="shared" si="17"/>
        <v>0.11378763063220451</v>
      </c>
    </row>
    <row r="37" spans="2:12" x14ac:dyDescent="0.2">
      <c r="B37" s="207" t="s">
        <v>168</v>
      </c>
      <c r="C37" s="207"/>
    </row>
    <row r="38" spans="2:12" x14ac:dyDescent="0.2">
      <c r="B38" s="1" t="s">
        <v>164</v>
      </c>
      <c r="C38" s="98">
        <v>7</v>
      </c>
    </row>
    <row r="39" spans="2:12" x14ac:dyDescent="0.2">
      <c r="B39" s="1" t="s">
        <v>165</v>
      </c>
      <c r="C39" s="98">
        <v>6</v>
      </c>
    </row>
    <row r="42" spans="2:12" x14ac:dyDescent="0.2">
      <c r="B42" s="7"/>
      <c r="C42" s="207" t="s">
        <v>167</v>
      </c>
      <c r="D42" s="207"/>
      <c r="E42" s="207"/>
      <c r="F42" s="207"/>
      <c r="G42" s="207"/>
    </row>
    <row r="43" spans="2:12" x14ac:dyDescent="0.2">
      <c r="B43" s="7" t="s">
        <v>169</v>
      </c>
      <c r="C43" s="123">
        <f>C8</f>
        <v>2021</v>
      </c>
      <c r="D43" s="123">
        <f t="shared" ref="D43:G43" si="18">D8</f>
        <v>2022</v>
      </c>
      <c r="E43" s="123">
        <f t="shared" si="18"/>
        <v>2023</v>
      </c>
      <c r="F43" s="123">
        <f t="shared" si="18"/>
        <v>2024</v>
      </c>
      <c r="G43" s="123">
        <f t="shared" si="18"/>
        <v>2025</v>
      </c>
    </row>
    <row r="44" spans="2:12" x14ac:dyDescent="0.2">
      <c r="B44" s="1" t="str">
        <f>'Statement Y'!B121</f>
        <v>Gross PP&amp;E</v>
      </c>
      <c r="C44" s="133">
        <f>'Statement Y'!C121</f>
        <v>61245</v>
      </c>
      <c r="D44" s="133">
        <f>'Statement Y'!H121</f>
        <v>109723</v>
      </c>
      <c r="E44" s="133">
        <f>'Statement Y'!I121</f>
        <v>114457</v>
      </c>
      <c r="F44" s="133">
        <f>'Statement Y'!J121</f>
        <v>114599</v>
      </c>
      <c r="G44" s="133">
        <f>'Statement Y'!K121</f>
        <v>119128</v>
      </c>
    </row>
    <row r="45" spans="2:12" x14ac:dyDescent="0.2">
      <c r="B45" s="1" t="str">
        <f>'Statement Y'!B122</f>
        <v>Accumulated depreciation</v>
      </c>
      <c r="C45" s="133">
        <f>'Statement Y'!C122</f>
        <v>34235</v>
      </c>
      <c r="D45" s="133">
        <f>'Statement Y'!H122</f>
        <v>70283</v>
      </c>
      <c r="E45" s="133">
        <f>'Statement Y'!I122</f>
        <v>72340</v>
      </c>
      <c r="F45" s="133">
        <f>'Statement Y'!J122</f>
        <v>70884</v>
      </c>
      <c r="G45" s="133">
        <f>'Statement Y'!K122</f>
        <v>73448</v>
      </c>
    </row>
    <row r="46" spans="2:12" x14ac:dyDescent="0.2">
      <c r="B46" s="1" t="s">
        <v>170</v>
      </c>
      <c r="C46" s="135">
        <f>C17/C16</f>
        <v>13.460736842105263</v>
      </c>
      <c r="D46" s="135">
        <f t="shared" ref="D46:G46" si="19">D17/D16</f>
        <v>13.885632183908045</v>
      </c>
      <c r="E46" s="135">
        <f t="shared" si="19"/>
        <v>11.82870588235294</v>
      </c>
      <c r="F46" s="135">
        <f t="shared" si="19"/>
        <v>11.155975609756098</v>
      </c>
      <c r="G46" s="135">
        <f t="shared" si="19"/>
        <v>9.7153749999999999</v>
      </c>
    </row>
    <row r="47" spans="2:12" x14ac:dyDescent="0.2">
      <c r="B47" s="1" t="s">
        <v>171</v>
      </c>
      <c r="C47" s="112">
        <f>C45/C44</f>
        <v>0.55898440689035844</v>
      </c>
      <c r="D47" s="112">
        <f t="shared" ref="D47:G47" si="20">D45/D44</f>
        <v>0.64054938344740853</v>
      </c>
      <c r="E47" s="112">
        <f t="shared" si="20"/>
        <v>0.63202774841206744</v>
      </c>
      <c r="F47" s="112">
        <f t="shared" si="20"/>
        <v>0.61853942879082713</v>
      </c>
      <c r="G47" s="112">
        <f t="shared" si="20"/>
        <v>0.61654690752803709</v>
      </c>
    </row>
    <row r="50" spans="2:3" x14ac:dyDescent="0.2">
      <c r="B50" s="207" t="s">
        <v>172</v>
      </c>
      <c r="C50" s="207"/>
    </row>
    <row r="51" spans="2:3" x14ac:dyDescent="0.2">
      <c r="B51" s="1" t="s">
        <v>173</v>
      </c>
      <c r="C51" s="105">
        <f>AVERAGE(C44:G44)</f>
        <v>103830.39999999999</v>
      </c>
    </row>
    <row r="52" spans="2:3" x14ac:dyDescent="0.2">
      <c r="B52" s="1" t="s">
        <v>174</v>
      </c>
      <c r="C52" s="105">
        <f>AVERAGE(C16:G16)</f>
        <v>8580</v>
      </c>
    </row>
    <row r="53" spans="2:3" x14ac:dyDescent="0.2">
      <c r="B53" s="1" t="s">
        <v>175</v>
      </c>
      <c r="C53" s="135">
        <f>C51/C52</f>
        <v>12.101445221445221</v>
      </c>
    </row>
  </sheetData>
  <mergeCells count="14">
    <mergeCell ref="C5:G5"/>
    <mergeCell ref="H5:L5"/>
    <mergeCell ref="P5:W5"/>
    <mergeCell ref="X5:Z5"/>
    <mergeCell ref="C7:L7"/>
    <mergeCell ref="P7:Z7"/>
    <mergeCell ref="B50:C50"/>
    <mergeCell ref="C12:L12"/>
    <mergeCell ref="P12:Z12"/>
    <mergeCell ref="C20:L20"/>
    <mergeCell ref="P20:Z20"/>
    <mergeCell ref="C30:L30"/>
    <mergeCell ref="C42:G42"/>
    <mergeCell ref="B37:C3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0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184</v>
      </c>
    </row>
    <row r="2" spans="1:28" s="100" customFormat="1" ht="18" customHeight="1" x14ac:dyDescent="0.2">
      <c r="A2" s="101"/>
      <c r="B2" s="102"/>
    </row>
    <row r="3" spans="1:28" s="100" customFormat="1" ht="18" customHeight="1" x14ac:dyDescent="0.2">
      <c r="A3" s="101"/>
      <c r="B3" s="124" t="str">
        <f>"CapEx:"&amp;CHOOSE(C3," as a % of Intangibles"," as a % of revenue")</f>
        <v>CapEx: as a % of revenue</v>
      </c>
      <c r="C3" s="62">
        <v>2</v>
      </c>
    </row>
    <row r="4" spans="1:28" s="100" customFormat="1" ht="18" customHeight="1" x14ac:dyDescent="0.2">
      <c r="A4" s="101"/>
      <c r="B4" s="102"/>
    </row>
    <row r="5" spans="1:28" x14ac:dyDescent="0.2">
      <c r="A5" s="101"/>
      <c r="C5" s="207" t="s">
        <v>122</v>
      </c>
      <c r="D5" s="207"/>
      <c r="E5" s="207"/>
      <c r="F5" s="207"/>
      <c r="G5" s="213"/>
      <c r="H5" s="214" t="s">
        <v>123</v>
      </c>
      <c r="I5" s="207"/>
      <c r="J5" s="207"/>
      <c r="K5" s="207"/>
      <c r="L5" s="207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5"/>
    </row>
    <row r="6" spans="1:28" ht="10" customHeight="1" x14ac:dyDescent="0.2"/>
    <row r="7" spans="1:28" ht="16" customHeight="1" x14ac:dyDescent="0.2">
      <c r="A7" s="106"/>
      <c r="B7" s="92"/>
      <c r="C7" s="215" t="s">
        <v>132</v>
      </c>
      <c r="D7" s="215"/>
      <c r="E7" s="215"/>
      <c r="F7" s="215"/>
      <c r="G7" s="215"/>
      <c r="H7" s="215"/>
      <c r="I7" s="215"/>
      <c r="J7" s="215"/>
      <c r="K7" s="215"/>
      <c r="L7" s="215"/>
      <c r="P7" s="216"/>
      <c r="Q7" s="216"/>
      <c r="R7" s="216"/>
      <c r="S7" s="216"/>
      <c r="T7" s="216"/>
      <c r="U7" s="216"/>
      <c r="V7" s="216"/>
      <c r="W7" s="216"/>
      <c r="X7" s="216"/>
      <c r="Y7" s="216"/>
      <c r="Z7" s="216"/>
      <c r="AB7" s="126"/>
    </row>
    <row r="8" spans="1:28" x14ac:dyDescent="0.2">
      <c r="B8" s="7" t="s">
        <v>133</v>
      </c>
      <c r="C8" s="62">
        <f>'Statement Y'!H3</f>
        <v>2021</v>
      </c>
      <c r="D8" s="62">
        <f>'Statement Y'!I3</f>
        <v>2022</v>
      </c>
      <c r="E8" s="62">
        <f>'Statement Y'!J3</f>
        <v>2023</v>
      </c>
      <c r="F8" s="62">
        <f>'Statement Y'!K3</f>
        <v>2024</v>
      </c>
      <c r="G8" s="62">
        <f>'Statement Y'!L3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B8" s="126"/>
    </row>
    <row r="9" spans="1:28" x14ac:dyDescent="0.2">
      <c r="B9" s="7" t="s">
        <v>6</v>
      </c>
      <c r="C9" s="108">
        <f>'Statement Y'!H5</f>
        <v>365817</v>
      </c>
      <c r="D9" s="108">
        <f>'Statement Y'!I5</f>
        <v>394328</v>
      </c>
      <c r="E9" s="108">
        <f>'Statement Y'!J5</f>
        <v>383285</v>
      </c>
      <c r="F9" s="108">
        <f>'Statement Y'!K5</f>
        <v>391035</v>
      </c>
      <c r="G9" s="109">
        <f>'Statement Y'!L5</f>
        <v>416161</v>
      </c>
      <c r="H9" s="110">
        <f>Revenue!H11</f>
        <v>434357.08500000002</v>
      </c>
      <c r="I9" s="110">
        <f>Revenue!I11</f>
        <v>453848.45332500001</v>
      </c>
      <c r="J9" s="110">
        <f>Revenue!J11</f>
        <v>474750.19942462503</v>
      </c>
      <c r="K9" s="110">
        <f>Revenue!K11</f>
        <v>497188.50874625816</v>
      </c>
      <c r="L9" s="110">
        <f>Revenue!L11</f>
        <v>521301.75451604521</v>
      </c>
      <c r="N9" s="91"/>
      <c r="O9" s="7"/>
      <c r="P9" s="108"/>
      <c r="Q9" s="108"/>
      <c r="R9" s="108"/>
      <c r="S9" s="108"/>
      <c r="T9" s="108"/>
      <c r="U9" s="108"/>
      <c r="V9" s="108"/>
      <c r="W9" s="108"/>
      <c r="X9" s="110"/>
      <c r="Y9" s="110"/>
      <c r="Z9" s="110"/>
      <c r="AB9" s="110"/>
    </row>
    <row r="10" spans="1:28" x14ac:dyDescent="0.2">
      <c r="N10" s="91"/>
    </row>
    <row r="11" spans="1:28" x14ac:dyDescent="0.2">
      <c r="N11" s="91"/>
    </row>
    <row r="12" spans="1:28" x14ac:dyDescent="0.2">
      <c r="C12" s="215" t="s">
        <v>24</v>
      </c>
      <c r="D12" s="215"/>
      <c r="E12" s="215"/>
      <c r="F12" s="215"/>
      <c r="G12" s="215"/>
      <c r="H12" s="215"/>
      <c r="I12" s="215"/>
      <c r="J12" s="215"/>
      <c r="K12" s="215"/>
      <c r="L12" s="215"/>
      <c r="N12" s="91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B12" s="126"/>
    </row>
    <row r="13" spans="1:28" x14ac:dyDescent="0.2">
      <c r="B13" s="7" t="s">
        <v>156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B13" s="126"/>
    </row>
    <row r="14" spans="1:28" x14ac:dyDescent="0.2">
      <c r="B14" s="7" t="s">
        <v>185</v>
      </c>
      <c r="C14" s="21" t="e">
        <f>'Statement Y'!#REF!</f>
        <v>#REF!</v>
      </c>
      <c r="D14" s="131" t="e">
        <f>C17</f>
        <v>#REF!</v>
      </c>
      <c r="E14" s="131" t="e">
        <f t="shared" ref="E14:G14" si="2">D17</f>
        <v>#REF!</v>
      </c>
      <c r="F14" s="131" t="e">
        <f t="shared" si="2"/>
        <v>#REF!</v>
      </c>
      <c r="G14" s="132" t="e">
        <f t="shared" si="2"/>
        <v>#REF!</v>
      </c>
      <c r="H14" s="21" t="e">
        <f>G17</f>
        <v>#REF!</v>
      </c>
      <c r="I14" s="21" t="e">
        <f t="shared" ref="I14:L14" ca="1" si="3">H17</f>
        <v>#REF!</v>
      </c>
      <c r="J14" s="21" t="e">
        <f t="shared" ca="1" si="3"/>
        <v>#REF!</v>
      </c>
      <c r="K14" s="21" t="e">
        <f t="shared" ca="1" si="3"/>
        <v>#REF!</v>
      </c>
      <c r="L14" s="21" t="e">
        <f t="shared" ca="1" si="3"/>
        <v>#REF!</v>
      </c>
      <c r="N14" s="91"/>
      <c r="O14" s="7"/>
      <c r="P14" s="128"/>
      <c r="Q14" s="128"/>
      <c r="R14" s="128"/>
      <c r="S14" s="128"/>
      <c r="T14" s="128"/>
      <c r="U14" s="128"/>
      <c r="V14" s="128"/>
      <c r="W14" s="128"/>
      <c r="X14" s="21"/>
      <c r="Y14" s="21"/>
      <c r="Z14" s="21"/>
      <c r="AB14" s="20"/>
    </row>
    <row r="15" spans="1:28" x14ac:dyDescent="0.2">
      <c r="B15" s="1" t="s">
        <v>44</v>
      </c>
      <c r="C15" s="133" t="e">
        <f>-'Statement Y'!#REF!</f>
        <v>#REF!</v>
      </c>
      <c r="D15" s="133" t="e">
        <f>-'Statement Y'!#REF!</f>
        <v>#REF!</v>
      </c>
      <c r="E15" s="133" t="e">
        <f>-'Statement Y'!#REF!</f>
        <v>#REF!</v>
      </c>
      <c r="F15" s="133" t="e">
        <f>-'Statement Y'!#REF!</f>
        <v>#REF!</v>
      </c>
      <c r="G15" s="134" t="e">
        <f>-'Statement Y'!#REF!</f>
        <v>#REF!</v>
      </c>
      <c r="H15" s="20" t="e">
        <f>CHOOSE($C$3,H24*H14,H25*H9)</f>
        <v>#REF!</v>
      </c>
      <c r="I15" s="20" t="e">
        <f>CHOOSE($C$3,I24*I14,I25*I9)</f>
        <v>#REF!</v>
      </c>
      <c r="J15" s="20">
        <f>CHOOSE($C$3,J24*J14,J25*J9)</f>
        <v>5222.2521936708754</v>
      </c>
      <c r="K15" s="20">
        <f>CHOOSE($C$3,K24*K14,K25*K9)</f>
        <v>4971.8850874625814</v>
      </c>
      <c r="L15" s="20">
        <f>CHOOSE($C$3,L24*L14,L25*L9)</f>
        <v>4170.4140361283617</v>
      </c>
      <c r="N15" s="91"/>
      <c r="P15" s="129"/>
      <c r="Q15" s="129"/>
      <c r="R15" s="129"/>
      <c r="S15" s="129"/>
      <c r="T15" s="129"/>
      <c r="U15" s="129"/>
      <c r="V15" s="129"/>
      <c r="W15" s="129"/>
      <c r="X15" s="34"/>
      <c r="Y15" s="20"/>
      <c r="Z15" s="20"/>
      <c r="AB15" s="20"/>
    </row>
    <row r="16" spans="1:28" x14ac:dyDescent="0.2">
      <c r="B16" s="1" t="s">
        <v>91</v>
      </c>
      <c r="C16" s="111">
        <f>'Statement Y'!H118</f>
        <v>1784</v>
      </c>
      <c r="D16" s="111">
        <f>'Statement Y'!I118</f>
        <v>2404</v>
      </c>
      <c r="E16" s="111">
        <f>'Statement Y'!J118</f>
        <v>3019</v>
      </c>
      <c r="F16" s="111">
        <f>'Statement Y'!K118</f>
        <v>3245</v>
      </c>
      <c r="G16" s="115">
        <f>'Statement Y'!L118</f>
        <v>3698</v>
      </c>
      <c r="H16" s="20" t="e">
        <f ca="1">H38+H43</f>
        <v>#REF!</v>
      </c>
      <c r="I16" s="20" t="e">
        <f t="shared" ref="I16:L16" ca="1" si="4">I38+I43</f>
        <v>#REF!</v>
      </c>
      <c r="J16" s="20" t="e">
        <f t="shared" ca="1" si="4"/>
        <v>#REF!</v>
      </c>
      <c r="K16" s="20" t="e">
        <f t="shared" ca="1" si="4"/>
        <v>#REF!</v>
      </c>
      <c r="L16" s="20" t="e">
        <f t="shared" ca="1" si="4"/>
        <v>#REF!</v>
      </c>
      <c r="M16" s="116"/>
      <c r="N16" s="116"/>
      <c r="P16" s="129"/>
      <c r="Q16" s="129"/>
      <c r="R16" s="129"/>
      <c r="S16" s="129"/>
      <c r="T16" s="129"/>
      <c r="U16" s="129"/>
      <c r="V16" s="129"/>
      <c r="W16" s="129"/>
      <c r="X16" s="34"/>
      <c r="Y16" s="20"/>
      <c r="Z16" s="20"/>
      <c r="AB16" s="20"/>
    </row>
    <row r="17" spans="2:28" x14ac:dyDescent="0.2">
      <c r="B17" s="7" t="s">
        <v>186</v>
      </c>
      <c r="C17" s="121" t="e">
        <f>'Statement Y'!#REF!</f>
        <v>#REF!</v>
      </c>
      <c r="D17" s="121" t="e">
        <f>'Statement Y'!#REF!</f>
        <v>#REF!</v>
      </c>
      <c r="E17" s="121" t="e">
        <f>'Statement Y'!#REF!</f>
        <v>#REF!</v>
      </c>
      <c r="F17" s="121" t="e">
        <f>'Statement Y'!#REF!</f>
        <v>#REF!</v>
      </c>
      <c r="G17" s="122" t="e">
        <f>'Statement Y'!#REF!</f>
        <v>#REF!</v>
      </c>
      <c r="H17" s="21" t="e">
        <f ca="1">H14+H15-H16</f>
        <v>#REF!</v>
      </c>
      <c r="I17" s="21" t="e">
        <f t="shared" ref="I17:L17" ca="1" si="5">I14+I15-I16</f>
        <v>#REF!</v>
      </c>
      <c r="J17" s="21" t="e">
        <f t="shared" ca="1" si="5"/>
        <v>#REF!</v>
      </c>
      <c r="K17" s="21" t="e">
        <f t="shared" ca="1" si="5"/>
        <v>#REF!</v>
      </c>
      <c r="L17" s="21" t="e">
        <f t="shared" ca="1" si="5"/>
        <v>#REF!</v>
      </c>
      <c r="M17" s="116"/>
      <c r="N17" s="116"/>
      <c r="O17" s="7"/>
      <c r="P17" s="128"/>
      <c r="Q17" s="128"/>
      <c r="R17" s="128"/>
      <c r="S17" s="128"/>
      <c r="T17" s="128"/>
      <c r="U17" s="128"/>
      <c r="V17" s="128"/>
      <c r="W17" s="128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15" t="s">
        <v>166</v>
      </c>
      <c r="D20" s="215"/>
      <c r="E20" s="215"/>
      <c r="F20" s="215"/>
      <c r="G20" s="215"/>
      <c r="H20" s="215"/>
      <c r="I20" s="215"/>
      <c r="J20" s="215"/>
      <c r="K20" s="215"/>
      <c r="L20" s="215"/>
    </row>
    <row r="21" spans="2:28" x14ac:dyDescent="0.2">
      <c r="B21" s="7" t="s">
        <v>159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187</v>
      </c>
      <c r="C22" s="112" t="e">
        <f t="shared" ref="C22:L22" si="7">C16/C14</f>
        <v>#REF!</v>
      </c>
      <c r="D22" s="112" t="e">
        <f t="shared" si="7"/>
        <v>#REF!</v>
      </c>
      <c r="E22" s="112" t="e">
        <f t="shared" si="7"/>
        <v>#REF!</v>
      </c>
      <c r="F22" s="112" t="e">
        <f t="shared" si="7"/>
        <v>#REF!</v>
      </c>
      <c r="G22" s="113" t="e">
        <f t="shared" si="7"/>
        <v>#REF!</v>
      </c>
      <c r="H22" s="112" t="e">
        <f t="shared" ca="1" si="7"/>
        <v>#REF!</v>
      </c>
      <c r="I22" s="112" t="e">
        <f t="shared" ca="1" si="7"/>
        <v>#REF!</v>
      </c>
      <c r="J22" s="112" t="e">
        <f t="shared" ca="1" si="7"/>
        <v>#REF!</v>
      </c>
      <c r="K22" s="112" t="e">
        <f t="shared" ca="1" si="7"/>
        <v>#REF!</v>
      </c>
      <c r="L22" s="112" t="e">
        <f t="shared" ca="1" si="7"/>
        <v>#REF!</v>
      </c>
    </row>
    <row r="23" spans="2:28" x14ac:dyDescent="0.2">
      <c r="B23" s="1" t="s">
        <v>161</v>
      </c>
      <c r="C23" s="112">
        <f t="shared" ref="C23:L23" si="8">C16/C9</f>
        <v>4.8767553175494849E-3</v>
      </c>
      <c r="D23" s="112">
        <f t="shared" si="8"/>
        <v>6.0964476273559064E-3</v>
      </c>
      <c r="E23" s="112">
        <f t="shared" si="8"/>
        <v>7.8766453161485585E-3</v>
      </c>
      <c r="F23" s="112">
        <f t="shared" si="8"/>
        <v>8.2984899049957164E-3</v>
      </c>
      <c r="G23" s="113">
        <f t="shared" si="8"/>
        <v>8.8859840302190733E-3</v>
      </c>
      <c r="H23" s="112" t="e">
        <f t="shared" ca="1" si="8"/>
        <v>#REF!</v>
      </c>
      <c r="I23" s="112" t="e">
        <f t="shared" ca="1" si="8"/>
        <v>#REF!</v>
      </c>
      <c r="J23" s="112" t="e">
        <f t="shared" ca="1" si="8"/>
        <v>#REF!</v>
      </c>
      <c r="K23" s="112" t="e">
        <f t="shared" ca="1" si="8"/>
        <v>#REF!</v>
      </c>
      <c r="L23" s="112" t="e">
        <f t="shared" ca="1" si="8"/>
        <v>#REF!</v>
      </c>
    </row>
    <row r="24" spans="2:28" x14ac:dyDescent="0.2">
      <c r="B24" s="92" t="s">
        <v>188</v>
      </c>
      <c r="C24" s="112" t="e">
        <f>C15/C14</f>
        <v>#REF!</v>
      </c>
      <c r="D24" s="112" t="e">
        <f>D15/D14</f>
        <v>#REF!</v>
      </c>
      <c r="E24" s="112" t="e">
        <f>E15/E14</f>
        <v>#REF!</v>
      </c>
      <c r="F24" s="112" t="e">
        <f>F15/F14</f>
        <v>#REF!</v>
      </c>
      <c r="G24" s="113" t="e">
        <f>G15/G14</f>
        <v>#REF!</v>
      </c>
      <c r="H24" s="114">
        <v>0.75</v>
      </c>
      <c r="I24" s="114">
        <f>$H$24</f>
        <v>0.75</v>
      </c>
      <c r="J24" s="114">
        <v>0.6</v>
      </c>
      <c r="K24" s="114">
        <v>0.55000000000000004</v>
      </c>
      <c r="L24" s="114">
        <v>0.5</v>
      </c>
    </row>
    <row r="25" spans="2:28" x14ac:dyDescent="0.2">
      <c r="B25" s="92" t="s">
        <v>163</v>
      </c>
      <c r="C25" s="112" t="e">
        <f>C15/C9</f>
        <v>#REF!</v>
      </c>
      <c r="D25" s="112" t="e">
        <f>D15/D9</f>
        <v>#REF!</v>
      </c>
      <c r="E25" s="112" t="e">
        <f>E15/E9</f>
        <v>#REF!</v>
      </c>
      <c r="F25" s="112" t="e">
        <f>F15/F9</f>
        <v>#REF!</v>
      </c>
      <c r="G25" s="113" t="e">
        <f>G15/G9</f>
        <v>#REF!</v>
      </c>
      <c r="H25" s="114" t="e">
        <f>AVERAGE(C25:G25)</f>
        <v>#REF!</v>
      </c>
      <c r="I25" s="114" t="e">
        <f>$H$25</f>
        <v>#REF!</v>
      </c>
      <c r="J25" s="114">
        <v>1.0999999999999999E-2</v>
      </c>
      <c r="K25" s="114">
        <v>0.01</v>
      </c>
      <c r="L25" s="114">
        <v>8.0000000000000002E-3</v>
      </c>
    </row>
    <row r="27" spans="2:28" x14ac:dyDescent="0.2">
      <c r="B27" s="216"/>
      <c r="C27" s="216"/>
    </row>
    <row r="28" spans="2:28" x14ac:dyDescent="0.2">
      <c r="B28" s="207" t="s">
        <v>189</v>
      </c>
      <c r="C28" s="207"/>
    </row>
    <row r="29" spans="2:28" x14ac:dyDescent="0.2">
      <c r="B29" s="1" t="s">
        <v>164</v>
      </c>
      <c r="C29" s="98">
        <v>3</v>
      </c>
    </row>
    <row r="31" spans="2:28" x14ac:dyDescent="0.2">
      <c r="C31" s="215" t="s">
        <v>190</v>
      </c>
      <c r="D31" s="215"/>
      <c r="E31" s="215"/>
      <c r="F31" s="215"/>
      <c r="G31" s="215"/>
      <c r="H31" s="215"/>
      <c r="I31" s="215"/>
      <c r="J31" s="215"/>
      <c r="K31" s="215"/>
      <c r="L31" s="215"/>
    </row>
    <row r="32" spans="2:28" x14ac:dyDescent="0.2">
      <c r="B32" s="7" t="s">
        <v>156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16">
        <f>H8</f>
        <v>2026</v>
      </c>
      <c r="C33" s="139"/>
      <c r="D33" s="139"/>
      <c r="E33" s="139"/>
      <c r="F33" s="139"/>
      <c r="G33" s="141"/>
      <c r="H33" s="20" t="e">
        <f ca="1">IF(COUNT($H$33:H33) &lt;= $C$29, $H$15/$C$29, 0)</f>
        <v>#REF!</v>
      </c>
      <c r="I33" s="20" t="e">
        <f ca="1">IF(COUNT($H$33:I33) &lt;= $C$29, $H$15/$C$29, 0)</f>
        <v>#REF!</v>
      </c>
      <c r="J33" s="20" t="e">
        <f ca="1">IF(COUNT($H$33:J33) &lt;= $C$29, $H$15/$C$29, 0)</f>
        <v>#REF!</v>
      </c>
      <c r="K33" s="20" t="e">
        <f ca="1">IF(COUNT($H$33:K33) &lt;= $C$29, $H$15/$C$29, 0)</f>
        <v>#REF!</v>
      </c>
      <c r="L33" s="20" t="e">
        <f ca="1">IF(COUNT($H$33:L33) &lt;= $C$29, $H$15/$C$29, 0)</f>
        <v>#REF!</v>
      </c>
    </row>
    <row r="34" spans="2:12" x14ac:dyDescent="0.2">
      <c r="B34" s="116">
        <f>I8</f>
        <v>2027</v>
      </c>
      <c r="C34" s="139"/>
      <c r="D34" s="139"/>
      <c r="E34" s="139"/>
      <c r="F34" s="139"/>
      <c r="G34" s="141"/>
      <c r="H34" s="20"/>
      <c r="I34" s="20" t="e">
        <f ca="1">IF(COUNT($I$33:I33) &lt;= $C$29, $I$15/$C$29, 0)</f>
        <v>#REF!</v>
      </c>
      <c r="J34" s="20" t="e">
        <f ca="1">IF(COUNT($I$33:J33) &lt;= $C$29, $I$15/$C$29, 0)</f>
        <v>#REF!</v>
      </c>
      <c r="K34" s="20" t="e">
        <f ca="1">IF(COUNT($I$33:K33) &lt;= $C$29, $I$15/$C$29, 0)</f>
        <v>#REF!</v>
      </c>
      <c r="L34" s="20" t="e">
        <f ca="1">IF(COUNT($I$33:L33) &lt;= $C$29, $I$15/$C$29, 0)</f>
        <v>#REF!</v>
      </c>
    </row>
    <row r="35" spans="2:12" x14ac:dyDescent="0.2">
      <c r="B35" s="116">
        <f>J8</f>
        <v>2028</v>
      </c>
      <c r="C35" s="139"/>
      <c r="D35" s="139"/>
      <c r="E35" s="139"/>
      <c r="F35" s="139"/>
      <c r="G35" s="141"/>
      <c r="H35" s="20"/>
      <c r="I35" s="20"/>
      <c r="J35" s="20">
        <f ca="1">IF(COUNT($J$34:J34) &lt;= $C$29, $J$15/$C$29, 0)</f>
        <v>1740.7507312236251</v>
      </c>
      <c r="K35" s="20">
        <f ca="1">IF(COUNT($J$34:K34) &lt;= $C$29, $J$15/$C$29, 0)</f>
        <v>1740.7507312236251</v>
      </c>
      <c r="L35" s="20">
        <f ca="1">IF(COUNT($J$34:L34) &lt;= $C$29, $J$15/$C$29, 0)</f>
        <v>1740.7507312236251</v>
      </c>
    </row>
    <row r="36" spans="2:12" x14ac:dyDescent="0.2">
      <c r="B36" s="116">
        <f>K8</f>
        <v>2029</v>
      </c>
      <c r="C36" s="139"/>
      <c r="D36" s="139"/>
      <c r="E36" s="139"/>
      <c r="F36" s="139"/>
      <c r="G36" s="141"/>
      <c r="H36" s="20"/>
      <c r="I36" s="20"/>
      <c r="J36" s="20"/>
      <c r="K36" s="20">
        <f ca="1">IF(COUNT($K$36:K36) &lt;= $C$29, $K$15/$C$29, 0)</f>
        <v>1657.2950291541938</v>
      </c>
      <c r="L36" s="20">
        <f ca="1">IF(COUNT($K$36:L36) &lt;= $C$29, $K$15/$C$29, 0)</f>
        <v>1657.2950291541938</v>
      </c>
    </row>
    <row r="37" spans="2:12" x14ac:dyDescent="0.2">
      <c r="B37" s="136">
        <f>L8</f>
        <v>2030</v>
      </c>
      <c r="C37" s="139"/>
      <c r="D37" s="139"/>
      <c r="E37" s="139"/>
      <c r="F37" s="139"/>
      <c r="G37" s="141"/>
      <c r="H37" s="84"/>
      <c r="I37" s="84"/>
      <c r="J37" s="84"/>
      <c r="K37" s="84"/>
      <c r="L37" s="137">
        <f ca="1">IF(COUNT($L$37:L37) &lt;= $C$29, $L$15/$C$29, 0)</f>
        <v>1390.1380120427873</v>
      </c>
    </row>
    <row r="38" spans="2:12" x14ac:dyDescent="0.2">
      <c r="B38" s="77" t="s">
        <v>120</v>
      </c>
      <c r="C38" s="140"/>
      <c r="D38" s="140"/>
      <c r="E38" s="140"/>
      <c r="F38" s="140"/>
      <c r="G38" s="142"/>
      <c r="H38" s="138" t="e">
        <f ca="1">SUM(H33:H37)</f>
        <v>#REF!</v>
      </c>
      <c r="I38" s="138" t="e">
        <f ca="1">SUM(I33:I37)</f>
        <v>#REF!</v>
      </c>
      <c r="J38" s="138" t="e">
        <f t="shared" ref="J38:L38" ca="1" si="10">SUM(J33:J37)</f>
        <v>#REF!</v>
      </c>
      <c r="K38" s="138" t="e">
        <f t="shared" ca="1" si="10"/>
        <v>#REF!</v>
      </c>
      <c r="L38" s="138" t="e">
        <f t="shared" ca="1" si="10"/>
        <v>#REF!</v>
      </c>
    </row>
    <row r="40" spans="2:12" x14ac:dyDescent="0.2">
      <c r="B40" s="216"/>
      <c r="C40" s="216"/>
    </row>
    <row r="41" spans="2:12" x14ac:dyDescent="0.2">
      <c r="C41" s="215" t="s">
        <v>191</v>
      </c>
      <c r="D41" s="215"/>
      <c r="E41" s="215"/>
      <c r="F41" s="215"/>
      <c r="G41" s="215"/>
      <c r="H41" s="215"/>
      <c r="I41" s="215"/>
      <c r="J41" s="215"/>
      <c r="K41" s="215"/>
      <c r="L41" s="215"/>
    </row>
    <row r="42" spans="2:12" x14ac:dyDescent="0.2">
      <c r="B42" s="7" t="s">
        <v>156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91</v>
      </c>
      <c r="C43" s="139"/>
      <c r="D43" s="139"/>
      <c r="E43" s="139"/>
      <c r="F43" s="139"/>
      <c r="G43" s="141"/>
      <c r="H43" s="167">
        <v>12084</v>
      </c>
      <c r="I43" s="167">
        <v>8778</v>
      </c>
      <c r="J43" s="167">
        <v>4396</v>
      </c>
      <c r="K43" s="167">
        <v>1726</v>
      </c>
      <c r="L43" s="167">
        <v>1073</v>
      </c>
    </row>
    <row r="44" spans="2:12" x14ac:dyDescent="0.2">
      <c r="G44" s="166"/>
    </row>
  </sheetData>
  <mergeCells count="14">
    <mergeCell ref="P12:Z12"/>
    <mergeCell ref="C20:L20"/>
    <mergeCell ref="B27:C27"/>
    <mergeCell ref="C5:G5"/>
    <mergeCell ref="H5:L5"/>
    <mergeCell ref="P5:W5"/>
    <mergeCell ref="X5:Z5"/>
    <mergeCell ref="C7:L7"/>
    <mergeCell ref="P7:Z7"/>
    <mergeCell ref="B40:C40"/>
    <mergeCell ref="B28:C28"/>
    <mergeCell ref="C31:L31"/>
    <mergeCell ref="C41:L41"/>
    <mergeCell ref="C12:L12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177</v>
      </c>
    </row>
    <row r="2" spans="1:28" s="100" customFormat="1" ht="18" customHeight="1" x14ac:dyDescent="0.2">
      <c r="A2" s="101"/>
      <c r="B2" s="102"/>
    </row>
    <row r="3" spans="1:28" x14ac:dyDescent="0.2">
      <c r="A3" s="101"/>
      <c r="C3" s="207" t="s">
        <v>122</v>
      </c>
      <c r="D3" s="207"/>
      <c r="E3" s="207"/>
      <c r="F3" s="207"/>
      <c r="G3" s="213"/>
      <c r="H3" s="214" t="s">
        <v>123</v>
      </c>
      <c r="I3" s="207"/>
      <c r="J3" s="207"/>
      <c r="K3" s="207"/>
      <c r="L3" s="207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B3" s="125"/>
    </row>
    <row r="4" spans="1:28" ht="10" customHeight="1" x14ac:dyDescent="0.2"/>
    <row r="5" spans="1:28" ht="16" customHeight="1" x14ac:dyDescent="0.2">
      <c r="A5" s="106"/>
      <c r="B5" s="92"/>
      <c r="C5" s="215" t="s">
        <v>132</v>
      </c>
      <c r="D5" s="215"/>
      <c r="E5" s="215"/>
      <c r="F5" s="215"/>
      <c r="G5" s="215"/>
      <c r="H5" s="215"/>
      <c r="I5" s="215"/>
      <c r="J5" s="215"/>
      <c r="K5" s="215"/>
      <c r="L5" s="215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6"/>
    </row>
    <row r="6" spans="1:28" x14ac:dyDescent="0.2">
      <c r="B6" s="7" t="s">
        <v>133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B6" s="126"/>
    </row>
    <row r="7" spans="1:28" x14ac:dyDescent="0.2">
      <c r="B7" s="7" t="s">
        <v>6</v>
      </c>
      <c r="C7" s="108">
        <f>'Statement Y'!H5</f>
        <v>365817</v>
      </c>
      <c r="D7" s="108">
        <f>'Statement Y'!I5</f>
        <v>394328</v>
      </c>
      <c r="E7" s="108">
        <f>'Statement Y'!J5</f>
        <v>383285</v>
      </c>
      <c r="F7" s="108">
        <f>'Statement Y'!K5</f>
        <v>391035</v>
      </c>
      <c r="G7" s="109">
        <f>'Statement Y'!L5</f>
        <v>416161</v>
      </c>
      <c r="H7" s="108">
        <f>Revenue!H11</f>
        <v>434357.08500000002</v>
      </c>
      <c r="I7" s="108">
        <f>Revenue!I11</f>
        <v>453848.45332500001</v>
      </c>
      <c r="J7" s="108">
        <f>Revenue!J11</f>
        <v>474750.19942462503</v>
      </c>
      <c r="K7" s="108">
        <f>Revenue!K11</f>
        <v>497188.50874625816</v>
      </c>
      <c r="L7" s="108">
        <f>Revenue!L11</f>
        <v>521301.75451604521</v>
      </c>
      <c r="N7" s="91"/>
      <c r="O7" s="7"/>
      <c r="P7" s="108"/>
      <c r="Q7" s="108"/>
      <c r="R7" s="108"/>
      <c r="S7" s="108"/>
      <c r="T7" s="108"/>
      <c r="U7" s="108"/>
      <c r="V7" s="108"/>
      <c r="W7" s="108"/>
      <c r="X7" s="110"/>
      <c r="Y7" s="110"/>
      <c r="Z7" s="110"/>
      <c r="AB7" s="110"/>
    </row>
    <row r="8" spans="1:28" x14ac:dyDescent="0.2">
      <c r="B8" s="8" t="s">
        <v>7</v>
      </c>
      <c r="C8" s="145">
        <f>'Statement Y'!H6</f>
        <v>212981</v>
      </c>
      <c r="D8" s="145">
        <f>'Statement Y'!I6</f>
        <v>223546</v>
      </c>
      <c r="E8" s="145">
        <f>'Statement Y'!J6</f>
        <v>214137</v>
      </c>
      <c r="F8" s="145">
        <f>'Statement Y'!K6</f>
        <v>210352</v>
      </c>
      <c r="G8" s="147">
        <f>'Statement Y'!L6</f>
        <v>220960</v>
      </c>
      <c r="H8" s="145">
        <f>'COGS &amp; OpEx'!H11</f>
        <v>229340.54088000002</v>
      </c>
      <c r="I8" s="145">
        <f>'COGS &amp; OpEx'!I11</f>
        <v>238270.43799562502</v>
      </c>
      <c r="J8" s="145">
        <f>'COGS &amp; OpEx'!J11</f>
        <v>247344.85390022965</v>
      </c>
      <c r="K8" s="145">
        <f>'COGS &amp; OpEx'!K11</f>
        <v>258538.02454805427</v>
      </c>
      <c r="L8" s="145">
        <f>'COGS &amp; OpEx'!L11</f>
        <v>268470.40357576328</v>
      </c>
      <c r="N8" s="91"/>
      <c r="O8" s="7"/>
      <c r="P8" s="108"/>
      <c r="Q8" s="108"/>
      <c r="R8" s="108"/>
      <c r="S8" s="108"/>
      <c r="T8" s="108"/>
      <c r="U8" s="108"/>
      <c r="V8" s="108"/>
      <c r="W8" s="108"/>
      <c r="X8" s="110"/>
      <c r="Y8" s="110"/>
      <c r="Z8" s="110"/>
      <c r="AB8" s="110"/>
    </row>
    <row r="9" spans="1:28" x14ac:dyDescent="0.2">
      <c r="B9" s="8" t="s">
        <v>11</v>
      </c>
      <c r="C9" s="145">
        <f>'COGS &amp; OpEx'!C14</f>
        <v>43887</v>
      </c>
      <c r="D9" s="145">
        <f>'COGS &amp; OpEx'!D14</f>
        <v>51345</v>
      </c>
      <c r="E9" s="145">
        <f>'COGS &amp; OpEx'!E14</f>
        <v>54847</v>
      </c>
      <c r="F9" s="145">
        <f>'COGS &amp; OpEx'!F14</f>
        <v>57467</v>
      </c>
      <c r="G9" s="147">
        <f>'COGS &amp; OpEx'!G14</f>
        <v>62151</v>
      </c>
      <c r="H9" s="145">
        <f>'COGS &amp; OpEx'!H14</f>
        <v>67759.705260000002</v>
      </c>
      <c r="I9" s="145">
        <f>'COGS &amp; OpEx'!I14</f>
        <v>72161.904078674997</v>
      </c>
      <c r="J9" s="145">
        <f>'COGS &amp; OpEx'!J14</f>
        <v>77859.032705638499</v>
      </c>
      <c r="K9" s="145">
        <f>'COGS &amp; OpEx'!K14</f>
        <v>84522.046486863896</v>
      </c>
      <c r="L9" s="145">
        <f>'COGS &amp; OpEx'!L14</f>
        <v>87578.694758695608</v>
      </c>
      <c r="N9" s="91"/>
      <c r="O9" s="7"/>
      <c r="P9" s="108"/>
      <c r="Q9" s="108"/>
      <c r="R9" s="108"/>
      <c r="S9" s="108"/>
      <c r="T9" s="108"/>
      <c r="U9" s="108"/>
      <c r="V9" s="108"/>
      <c r="W9" s="108"/>
      <c r="X9" s="110"/>
      <c r="Y9" s="110"/>
      <c r="Z9" s="110"/>
      <c r="AB9" s="110"/>
    </row>
    <row r="10" spans="1:28" x14ac:dyDescent="0.2">
      <c r="N10" s="91"/>
    </row>
    <row r="11" spans="1:28" x14ac:dyDescent="0.2">
      <c r="N11" s="91"/>
    </row>
    <row r="12" spans="1:28" x14ac:dyDescent="0.2">
      <c r="C12" s="215" t="s">
        <v>177</v>
      </c>
      <c r="D12" s="215"/>
      <c r="E12" s="215"/>
      <c r="F12" s="215"/>
      <c r="G12" s="215"/>
      <c r="H12" s="215"/>
      <c r="I12" s="215"/>
      <c r="J12" s="215"/>
      <c r="K12" s="215"/>
      <c r="L12" s="215"/>
      <c r="N12" s="91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B12" s="126"/>
    </row>
    <row r="13" spans="1:28" x14ac:dyDescent="0.2">
      <c r="B13" s="7" t="s">
        <v>156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B13" s="126"/>
    </row>
    <row r="14" spans="1:28" x14ac:dyDescent="0.2">
      <c r="B14" s="8" t="s">
        <v>178</v>
      </c>
      <c r="C14" s="133">
        <f>'Statement Y'!H28</f>
        <v>26278</v>
      </c>
      <c r="D14" s="133">
        <f>'Statement Y'!I28</f>
        <v>28184</v>
      </c>
      <c r="E14" s="133">
        <f>'Statement Y'!J28</f>
        <v>29508</v>
      </c>
      <c r="F14" s="133">
        <f>'Statement Y'!K28</f>
        <v>33410</v>
      </c>
      <c r="G14" s="134">
        <f>'Statement Y'!L28</f>
        <v>39777</v>
      </c>
      <c r="H14" s="34">
        <f>H21*H7/365</f>
        <v>34862.806423296708</v>
      </c>
      <c r="I14" s="34">
        <f t="shared" ref="I14:L14" si="2">I21*I7/365</f>
        <v>36427.242285646353</v>
      </c>
      <c r="J14" s="34">
        <f t="shared" si="2"/>
        <v>38104.879311367076</v>
      </c>
      <c r="K14" s="34">
        <f t="shared" si="2"/>
        <v>39905.845524099968</v>
      </c>
      <c r="L14" s="34">
        <f t="shared" si="2"/>
        <v>41841.247175277051</v>
      </c>
      <c r="N14" s="91"/>
      <c r="O14" s="7"/>
      <c r="P14" s="128"/>
      <c r="Q14" s="128"/>
      <c r="R14" s="128"/>
      <c r="S14" s="128"/>
      <c r="T14" s="128"/>
      <c r="U14" s="128"/>
      <c r="V14" s="128"/>
      <c r="W14" s="128"/>
      <c r="X14" s="21"/>
      <c r="Y14" s="21"/>
      <c r="Z14" s="21"/>
      <c r="AB14" s="20"/>
    </row>
    <row r="15" spans="1:28" x14ac:dyDescent="0.2">
      <c r="B15" s="1" t="s">
        <v>179</v>
      </c>
      <c r="C15" s="133">
        <f>'Statement Y'!H38</f>
        <v>54763</v>
      </c>
      <c r="D15" s="133">
        <f>'Statement Y'!I38</f>
        <v>64115</v>
      </c>
      <c r="E15" s="133">
        <f>'Statement Y'!J38</f>
        <v>62611</v>
      </c>
      <c r="F15" s="133">
        <f>'Statement Y'!K38</f>
        <v>68960</v>
      </c>
      <c r="G15" s="134">
        <f>'Statement Y'!L38</f>
        <v>69860</v>
      </c>
      <c r="H15" s="20">
        <f>H22*H8/365</f>
        <v>70131.983578332714</v>
      </c>
      <c r="I15" s="20">
        <f t="shared" ref="I15:L15" si="3">I22*I8/365</f>
        <v>72862.732339394119</v>
      </c>
      <c r="J15" s="20">
        <f t="shared" si="3"/>
        <v>75637.674723164324</v>
      </c>
      <c r="K15" s="20">
        <f t="shared" si="3"/>
        <v>79060.529038631605</v>
      </c>
      <c r="L15" s="20">
        <f t="shared" si="3"/>
        <v>82097.835221795889</v>
      </c>
      <c r="N15" s="91"/>
      <c r="P15" s="129"/>
      <c r="Q15" s="129"/>
      <c r="R15" s="129"/>
      <c r="S15" s="129"/>
      <c r="T15" s="129"/>
      <c r="U15" s="129"/>
      <c r="V15" s="129"/>
      <c r="W15" s="129"/>
      <c r="X15" s="34"/>
      <c r="Y15" s="20"/>
      <c r="Z15" s="20"/>
      <c r="AB15" s="20"/>
    </row>
    <row r="16" spans="1:28" x14ac:dyDescent="0.2">
      <c r="B16" s="7" t="s">
        <v>180</v>
      </c>
      <c r="C16" s="143">
        <f>C14-C15</f>
        <v>-28485</v>
      </c>
      <c r="D16" s="143">
        <f t="shared" ref="D16:L16" si="4">D14-D15</f>
        <v>-35931</v>
      </c>
      <c r="E16" s="143">
        <f t="shared" si="4"/>
        <v>-33103</v>
      </c>
      <c r="F16" s="143">
        <f t="shared" si="4"/>
        <v>-35550</v>
      </c>
      <c r="G16" s="168">
        <f t="shared" si="4"/>
        <v>-30083</v>
      </c>
      <c r="H16" s="143">
        <f t="shared" si="4"/>
        <v>-35269.177155036006</v>
      </c>
      <c r="I16" s="143">
        <f t="shared" si="4"/>
        <v>-36435.490053747766</v>
      </c>
      <c r="J16" s="143">
        <f t="shared" si="4"/>
        <v>-37532.795411797248</v>
      </c>
      <c r="K16" s="143">
        <f t="shared" si="4"/>
        <v>-39154.683514531636</v>
      </c>
      <c r="L16" s="143">
        <f t="shared" si="4"/>
        <v>-40256.588046518838</v>
      </c>
      <c r="N16" s="91"/>
      <c r="P16" s="129"/>
      <c r="Q16" s="129"/>
      <c r="R16" s="129"/>
      <c r="S16" s="129"/>
      <c r="T16" s="129"/>
      <c r="U16" s="129"/>
      <c r="V16" s="129"/>
      <c r="W16" s="129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15" t="s">
        <v>195</v>
      </c>
      <c r="D19" s="215"/>
      <c r="E19" s="215"/>
      <c r="F19" s="215"/>
      <c r="G19" s="215"/>
      <c r="H19" s="215"/>
      <c r="I19" s="215"/>
      <c r="J19" s="215"/>
      <c r="K19" s="215"/>
      <c r="L19" s="215"/>
    </row>
    <row r="20" spans="2:12" x14ac:dyDescent="0.2">
      <c r="B20" s="7" t="s">
        <v>181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182</v>
      </c>
      <c r="C21" s="135">
        <f>C14/C7*365</f>
        <v>26.219311841713207</v>
      </c>
      <c r="D21" s="135">
        <f t="shared" ref="D21:G21" si="6">D14/D7*365</f>
        <v>26.087825363656648</v>
      </c>
      <c r="E21" s="135">
        <f t="shared" si="6"/>
        <v>28.100290906244702</v>
      </c>
      <c r="F21" s="135">
        <f t="shared" si="6"/>
        <v>31.185571624023428</v>
      </c>
      <c r="G21" s="148">
        <f t="shared" si="6"/>
        <v>34.886990852098108</v>
      </c>
      <c r="H21" s="98">
        <f>AVERAGE($C$21:$G$21)</f>
        <v>29.295998117547221</v>
      </c>
      <c r="I21" s="98">
        <f t="shared" ref="I21:L21" si="7">AVERAGE($C$21:$G$21)</f>
        <v>29.295998117547221</v>
      </c>
      <c r="J21" s="98">
        <f t="shared" si="7"/>
        <v>29.295998117547221</v>
      </c>
      <c r="K21" s="98">
        <f t="shared" si="7"/>
        <v>29.295998117547221</v>
      </c>
      <c r="L21" s="98">
        <f t="shared" si="7"/>
        <v>29.295998117547221</v>
      </c>
    </row>
    <row r="22" spans="2:12" x14ac:dyDescent="0.2">
      <c r="B22" s="1" t="s">
        <v>183</v>
      </c>
      <c r="C22" s="135">
        <f>C15/C8*365</f>
        <v>93.851071222315596</v>
      </c>
      <c r="D22" s="135">
        <f t="shared" ref="D22:G22" si="8">D15/D8*365</f>
        <v>104.68527730310539</v>
      </c>
      <c r="E22" s="135">
        <f t="shared" si="8"/>
        <v>106.72146803214764</v>
      </c>
      <c r="F22" s="135">
        <f t="shared" si="8"/>
        <v>119.65847721913744</v>
      </c>
      <c r="G22" s="148">
        <f t="shared" si="8"/>
        <v>115.40052498189718</v>
      </c>
      <c r="H22" s="98">
        <f>AVERAGE($D$22:$G$22)</f>
        <v>111.61643688407193</v>
      </c>
      <c r="I22" s="98">
        <f t="shared" ref="I22:L22" si="9">AVERAGE($D$22:$G$22)</f>
        <v>111.61643688407193</v>
      </c>
      <c r="J22" s="98">
        <f t="shared" si="9"/>
        <v>111.61643688407193</v>
      </c>
      <c r="K22" s="98">
        <f t="shared" si="9"/>
        <v>111.61643688407193</v>
      </c>
      <c r="L22" s="98">
        <f t="shared" si="9"/>
        <v>111.61643688407193</v>
      </c>
    </row>
    <row r="23" spans="2:12" x14ac:dyDescent="0.2">
      <c r="B23" s="1" t="s">
        <v>180</v>
      </c>
      <c r="C23" s="135">
        <f>C21-C22</f>
        <v>-67.631759380602389</v>
      </c>
      <c r="D23" s="135">
        <f t="shared" ref="D23:L23" si="10">D21-D22</f>
        <v>-78.597451939448746</v>
      </c>
      <c r="E23" s="135">
        <f t="shared" si="10"/>
        <v>-78.621177125902932</v>
      </c>
      <c r="F23" s="135">
        <f t="shared" si="10"/>
        <v>-88.472905595114014</v>
      </c>
      <c r="G23" s="148">
        <f t="shared" si="10"/>
        <v>-80.513534129799069</v>
      </c>
      <c r="H23" s="135">
        <f t="shared" si="10"/>
        <v>-82.320438766524717</v>
      </c>
      <c r="I23" s="135">
        <f t="shared" si="10"/>
        <v>-82.320438766524717</v>
      </c>
      <c r="J23" s="135">
        <f t="shared" si="10"/>
        <v>-82.320438766524717</v>
      </c>
      <c r="K23" s="135">
        <f t="shared" si="10"/>
        <v>-82.320438766524717</v>
      </c>
      <c r="L23" s="135">
        <f t="shared" si="10"/>
        <v>-82.320438766524717</v>
      </c>
    </row>
    <row r="25" spans="2:12" x14ac:dyDescent="0.2">
      <c r="B25" s="216"/>
      <c r="C25" s="216"/>
    </row>
    <row r="26" spans="2:12" x14ac:dyDescent="0.2">
      <c r="C26" s="215" t="s">
        <v>206</v>
      </c>
      <c r="D26" s="215"/>
      <c r="E26" s="215"/>
      <c r="F26" s="215"/>
      <c r="G26" s="215"/>
      <c r="H26" s="215"/>
      <c r="I26" s="215"/>
      <c r="J26" s="215"/>
      <c r="K26" s="215"/>
      <c r="L26" s="215"/>
    </row>
    <row r="27" spans="2:12" x14ac:dyDescent="0.2">
      <c r="B27" s="7" t="s">
        <v>156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99</v>
      </c>
      <c r="C28" s="145">
        <f>'Statement Y'!H29</f>
        <v>25228</v>
      </c>
      <c r="D28" s="145">
        <f>'Statement Y'!I29</f>
        <v>32748</v>
      </c>
      <c r="E28" s="145">
        <f>'Statement Y'!J29</f>
        <v>31477</v>
      </c>
      <c r="F28" s="145">
        <f>'Statement Y'!K29</f>
        <v>32833</v>
      </c>
      <c r="G28" s="147">
        <f>'Statement Y'!L29</f>
        <v>33180</v>
      </c>
      <c r="H28" s="20">
        <f>H8*H36</f>
        <v>82562.594716799998</v>
      </c>
      <c r="I28" s="20">
        <f t="shared" ref="I28:L28" si="12">I8*I36</f>
        <v>85777.357678425004</v>
      </c>
      <c r="J28" s="20">
        <f t="shared" si="12"/>
        <v>89044.147404082672</v>
      </c>
      <c r="K28" s="20">
        <f t="shared" si="12"/>
        <v>93073.688837299531</v>
      </c>
      <c r="L28" s="20">
        <f t="shared" si="12"/>
        <v>96649.345287274773</v>
      </c>
    </row>
    <row r="29" spans="2:12" x14ac:dyDescent="0.2">
      <c r="B29" s="1" t="s">
        <v>112</v>
      </c>
      <c r="C29" s="145">
        <f>'Statement Y'!H31</f>
        <v>14111</v>
      </c>
      <c r="D29" s="145">
        <f>'Statement Y'!I31</f>
        <v>21223</v>
      </c>
      <c r="E29" s="145">
        <f>'Statement Y'!J31</f>
        <v>14695</v>
      </c>
      <c r="F29" s="145">
        <f>'Statement Y'!K31</f>
        <v>14287</v>
      </c>
      <c r="G29" s="147">
        <f>'Statement Y'!L31</f>
        <v>14585</v>
      </c>
      <c r="H29" s="20">
        <f>H9*H37</f>
        <v>2032.7911578000001</v>
      </c>
      <c r="I29" s="20">
        <f t="shared" ref="I29:L29" si="13">I9*I37</f>
        <v>2164.8571223602498</v>
      </c>
      <c r="J29" s="20">
        <f t="shared" si="13"/>
        <v>2335.7709811691548</v>
      </c>
      <c r="K29" s="20">
        <f t="shared" si="13"/>
        <v>2535.6613946059169</v>
      </c>
      <c r="L29" s="20">
        <f t="shared" si="13"/>
        <v>2627.3608427608683</v>
      </c>
    </row>
    <row r="30" spans="2:12" x14ac:dyDescent="0.2">
      <c r="B30" s="1" t="s">
        <v>101</v>
      </c>
      <c r="C30" s="145">
        <f>'Statement Y'!H40</f>
        <v>7612</v>
      </c>
      <c r="D30" s="145">
        <f>'Statement Y'!I40</f>
        <v>7912</v>
      </c>
      <c r="E30" s="145">
        <f>'Statement Y'!J40</f>
        <v>8061</v>
      </c>
      <c r="F30" s="145">
        <f>'Statement Y'!K40</f>
        <v>8249</v>
      </c>
      <c r="G30" s="147">
        <f>'Statement Y'!L40</f>
        <v>9055</v>
      </c>
      <c r="H30" s="20">
        <f>H7*H38</f>
        <v>217178.54250000001</v>
      </c>
      <c r="I30" s="20">
        <f t="shared" ref="I30:L30" si="14">I7*I38</f>
        <v>226924.2266625</v>
      </c>
      <c r="J30" s="20">
        <f t="shared" si="14"/>
        <v>237375.09971231251</v>
      </c>
      <c r="K30" s="20">
        <f t="shared" si="14"/>
        <v>248594.25437312908</v>
      </c>
      <c r="L30" s="20">
        <f t="shared" si="14"/>
        <v>260650.87725802261</v>
      </c>
    </row>
    <row r="31" spans="2:12" x14ac:dyDescent="0.2">
      <c r="B31" s="1" t="s">
        <v>212</v>
      </c>
      <c r="C31" s="145">
        <f>'Statement Y'!H42</f>
        <v>9613</v>
      </c>
      <c r="D31" s="145">
        <f>'Statement Y'!I42</f>
        <v>11128</v>
      </c>
      <c r="E31" s="145">
        <f>'Statement Y'!J42</f>
        <v>9822</v>
      </c>
      <c r="F31" s="145">
        <f>'Statement Y'!K42</f>
        <v>10912</v>
      </c>
      <c r="G31" s="147">
        <f>'Statement Y'!L42</f>
        <v>12350</v>
      </c>
      <c r="H31" s="20">
        <f>H9*H39</f>
        <v>5081.9778944999998</v>
      </c>
      <c r="I31" s="20">
        <f t="shared" ref="I31:L31" si="15">I9*I39</f>
        <v>5412.1428059006248</v>
      </c>
      <c r="J31" s="20">
        <f t="shared" si="15"/>
        <v>5839.4274529228869</v>
      </c>
      <c r="K31" s="20">
        <f t="shared" si="15"/>
        <v>6339.1534865147923</v>
      </c>
      <c r="L31" s="20">
        <f t="shared" si="15"/>
        <v>6568.4021069021701</v>
      </c>
    </row>
    <row r="32" spans="2:12" x14ac:dyDescent="0.2">
      <c r="B32" s="7"/>
      <c r="C32" s="127"/>
      <c r="D32" s="127"/>
      <c r="E32" s="127"/>
      <c r="F32" s="127"/>
      <c r="G32" s="127"/>
    </row>
    <row r="33" spans="2:12" x14ac:dyDescent="0.2">
      <c r="B33" s="7"/>
      <c r="C33" s="125"/>
      <c r="D33" s="125"/>
      <c r="E33" s="125"/>
      <c r="F33" s="125"/>
      <c r="G33" s="125"/>
    </row>
    <row r="34" spans="2:12" x14ac:dyDescent="0.2">
      <c r="C34" s="215" t="s">
        <v>207</v>
      </c>
      <c r="D34" s="215"/>
      <c r="E34" s="215"/>
      <c r="F34" s="215"/>
      <c r="G34" s="215"/>
      <c r="H34" s="215"/>
      <c r="I34" s="215"/>
      <c r="J34" s="215"/>
      <c r="K34" s="215"/>
      <c r="L34" s="215"/>
    </row>
    <row r="35" spans="2:12" x14ac:dyDescent="0.2">
      <c r="B35" s="7" t="s">
        <v>208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209</v>
      </c>
      <c r="C36" s="112">
        <f>C28/C8</f>
        <v>0.11845188068419249</v>
      </c>
      <c r="D36" s="112">
        <f t="shared" ref="D36:G36" si="17">D28/D8</f>
        <v>0.14649333917851359</v>
      </c>
      <c r="E36" s="112">
        <f t="shared" si="17"/>
        <v>0.1469946809752635</v>
      </c>
      <c r="F36" s="112">
        <f t="shared" si="17"/>
        <v>0.15608598919905681</v>
      </c>
      <c r="G36" s="113">
        <f t="shared" si="17"/>
        <v>0.15016292541636495</v>
      </c>
      <c r="H36" s="114">
        <v>0.36</v>
      </c>
      <c r="I36" s="114">
        <v>0.36</v>
      </c>
      <c r="J36" s="114">
        <v>0.36</v>
      </c>
      <c r="K36" s="114">
        <v>0.36</v>
      </c>
      <c r="L36" s="114">
        <v>0.36</v>
      </c>
    </row>
    <row r="37" spans="2:12" x14ac:dyDescent="0.2">
      <c r="B37" s="1" t="s">
        <v>210</v>
      </c>
      <c r="C37" s="112">
        <f>C29/C9</f>
        <v>0.32153029370884317</v>
      </c>
      <c r="D37" s="112">
        <f t="shared" ref="D37:G37" si="18">D29/D9</f>
        <v>0.41334112377057164</v>
      </c>
      <c r="E37" s="112">
        <f t="shared" si="18"/>
        <v>0.26792714277900342</v>
      </c>
      <c r="F37" s="112">
        <f t="shared" si="18"/>
        <v>0.24861224702872953</v>
      </c>
      <c r="G37" s="113">
        <f t="shared" si="18"/>
        <v>0.23467039951086868</v>
      </c>
      <c r="H37" s="114">
        <v>0.03</v>
      </c>
      <c r="I37" s="114">
        <v>0.03</v>
      </c>
      <c r="J37" s="114">
        <v>0.03</v>
      </c>
      <c r="K37" s="114">
        <v>0.03</v>
      </c>
      <c r="L37" s="114">
        <v>0.03</v>
      </c>
    </row>
    <row r="38" spans="2:12" x14ac:dyDescent="0.2">
      <c r="B38" s="1" t="s">
        <v>211</v>
      </c>
      <c r="C38" s="112">
        <f>C30/C7</f>
        <v>2.0808218316808676E-2</v>
      </c>
      <c r="D38" s="112">
        <f t="shared" ref="D38:G38" si="19">D30/D7</f>
        <v>2.0064514820149724E-2</v>
      </c>
      <c r="E38" s="112">
        <f t="shared" si="19"/>
        <v>2.1031347430763011E-2</v>
      </c>
      <c r="F38" s="112">
        <f t="shared" si="19"/>
        <v>2.1095298374825783E-2</v>
      </c>
      <c r="G38" s="113">
        <f t="shared" si="19"/>
        <v>2.1758406001523449E-2</v>
      </c>
      <c r="H38" s="114">
        <v>0.5</v>
      </c>
      <c r="I38" s="114">
        <v>0.5</v>
      </c>
      <c r="J38" s="114">
        <v>0.5</v>
      </c>
      <c r="K38" s="114">
        <v>0.5</v>
      </c>
      <c r="L38" s="114">
        <v>0.5</v>
      </c>
    </row>
    <row r="39" spans="2:12" x14ac:dyDescent="0.2">
      <c r="B39" s="1" t="s">
        <v>213</v>
      </c>
      <c r="C39" s="112">
        <f>C31/C9</f>
        <v>0.21903980677649418</v>
      </c>
      <c r="D39" s="112">
        <f t="shared" ref="D39:G39" si="20">D31/D9</f>
        <v>0.21672996396922778</v>
      </c>
      <c r="E39" s="112">
        <f t="shared" si="20"/>
        <v>0.17907998614327128</v>
      </c>
      <c r="F39" s="112">
        <f t="shared" si="20"/>
        <v>0.18988288931038683</v>
      </c>
      <c r="G39" s="113">
        <f t="shared" si="20"/>
        <v>0.19870959437498995</v>
      </c>
      <c r="H39" s="114">
        <v>7.4999999999999997E-2</v>
      </c>
      <c r="I39" s="114">
        <v>7.4999999999999997E-2</v>
      </c>
      <c r="J39" s="114">
        <v>7.4999999999999997E-2</v>
      </c>
      <c r="K39" s="114">
        <v>7.4999999999999997E-2</v>
      </c>
      <c r="L39" s="114">
        <v>7.4999999999999997E-2</v>
      </c>
    </row>
    <row r="40" spans="2:12" x14ac:dyDescent="0.2">
      <c r="B40" s="216"/>
      <c r="C40" s="216"/>
    </row>
    <row r="41" spans="2:12" x14ac:dyDescent="0.2">
      <c r="C41" s="105"/>
    </row>
    <row r="42" spans="2:12" x14ac:dyDescent="0.2">
      <c r="C42" s="105"/>
    </row>
    <row r="43" spans="2:12" x14ac:dyDescent="0.2">
      <c r="C43" s="144"/>
    </row>
  </sheetData>
  <mergeCells count="13">
    <mergeCell ref="C3:G3"/>
    <mergeCell ref="H3:L3"/>
    <mergeCell ref="P3:W3"/>
    <mergeCell ref="X3:Z3"/>
    <mergeCell ref="C5:L5"/>
    <mergeCell ref="P5:Z5"/>
    <mergeCell ref="B40:C40"/>
    <mergeCell ref="C12:L12"/>
    <mergeCell ref="P12:Z12"/>
    <mergeCell ref="C19:L19"/>
    <mergeCell ref="B25:C25"/>
    <mergeCell ref="C26:L26"/>
    <mergeCell ref="C34:L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227</v>
      </c>
    </row>
    <row r="2" spans="1:28" s="100" customFormat="1" ht="18" customHeight="1" x14ac:dyDescent="0.2">
      <c r="A2" s="101"/>
      <c r="B2" s="102"/>
    </row>
    <row r="3" spans="1:28" x14ac:dyDescent="0.2">
      <c r="A3" s="101"/>
      <c r="C3" s="207" t="s">
        <v>122</v>
      </c>
      <c r="D3" s="207"/>
      <c r="E3" s="207"/>
      <c r="F3" s="207"/>
      <c r="G3" s="213"/>
      <c r="H3" s="214" t="s">
        <v>123</v>
      </c>
      <c r="I3" s="207"/>
      <c r="J3" s="207"/>
      <c r="K3" s="207"/>
      <c r="L3" s="207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B3" s="125"/>
    </row>
    <row r="4" spans="1:28" ht="10" customHeight="1" x14ac:dyDescent="0.2"/>
    <row r="5" spans="1:28" ht="16" customHeight="1" x14ac:dyDescent="0.2">
      <c r="A5" s="106"/>
      <c r="B5" s="92"/>
      <c r="C5" s="215" t="s">
        <v>132</v>
      </c>
      <c r="D5" s="215"/>
      <c r="E5" s="215"/>
      <c r="F5" s="215"/>
      <c r="G5" s="215"/>
      <c r="H5" s="215"/>
      <c r="I5" s="215"/>
      <c r="J5" s="215"/>
      <c r="K5" s="215"/>
      <c r="L5" s="215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6"/>
    </row>
    <row r="6" spans="1:28" x14ac:dyDescent="0.2">
      <c r="B6" s="7" t="s">
        <v>133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B6" s="126"/>
    </row>
    <row r="7" spans="1:28" x14ac:dyDescent="0.2">
      <c r="B7" s="7" t="s">
        <v>6</v>
      </c>
      <c r="C7" s="108">
        <f>'Statement Y'!H5</f>
        <v>365817</v>
      </c>
      <c r="D7" s="108">
        <f>'Statement Y'!I5</f>
        <v>394328</v>
      </c>
      <c r="E7" s="108">
        <f>'Statement Y'!J5</f>
        <v>383285</v>
      </c>
      <c r="F7" s="108">
        <f>'Statement Y'!K5</f>
        <v>391035</v>
      </c>
      <c r="G7" s="109">
        <f>'Statement Y'!L5</f>
        <v>416161</v>
      </c>
      <c r="H7" s="108">
        <f>Revenue!H11</f>
        <v>434357.08500000002</v>
      </c>
      <c r="I7" s="108">
        <f>Revenue!I11</f>
        <v>453848.45332500001</v>
      </c>
      <c r="J7" s="108">
        <f>Revenue!J11</f>
        <v>474750.19942462503</v>
      </c>
      <c r="K7" s="108">
        <f>Revenue!K11</f>
        <v>497188.50874625816</v>
      </c>
      <c r="L7" s="108">
        <f>Revenue!L11</f>
        <v>521301.75451604521</v>
      </c>
      <c r="N7" s="91"/>
      <c r="O7" s="7"/>
      <c r="P7" s="108"/>
      <c r="Q7" s="108"/>
      <c r="R7" s="108"/>
      <c r="S7" s="108"/>
      <c r="T7" s="108"/>
      <c r="U7" s="108"/>
      <c r="V7" s="108"/>
      <c r="W7" s="108"/>
      <c r="X7" s="110"/>
      <c r="Y7" s="110"/>
      <c r="Z7" s="110"/>
      <c r="AB7" s="110"/>
    </row>
    <row r="8" spans="1:28" x14ac:dyDescent="0.2">
      <c r="B8" s="8" t="s">
        <v>7</v>
      </c>
      <c r="C8" s="145">
        <f>'Statement Y'!H6</f>
        <v>212981</v>
      </c>
      <c r="D8" s="145">
        <f>'Statement Y'!I6</f>
        <v>223546</v>
      </c>
      <c r="E8" s="145">
        <f>'Statement Y'!J6</f>
        <v>214137</v>
      </c>
      <c r="F8" s="145">
        <f>'Statement Y'!K6</f>
        <v>210352</v>
      </c>
      <c r="G8" s="147">
        <f>'Statement Y'!L6</f>
        <v>220960</v>
      </c>
      <c r="H8" s="145">
        <f>'COGS &amp; OpEx'!H11</f>
        <v>229340.54088000002</v>
      </c>
      <c r="I8" s="145">
        <f>'COGS &amp; OpEx'!I11</f>
        <v>238270.43799562502</v>
      </c>
      <c r="J8" s="145">
        <f>'COGS &amp; OpEx'!J11</f>
        <v>247344.85390022965</v>
      </c>
      <c r="K8" s="145">
        <f>'COGS &amp; OpEx'!K11</f>
        <v>258538.02454805427</v>
      </c>
      <c r="L8" s="145">
        <f>'COGS &amp; OpEx'!L11</f>
        <v>268470.40357576328</v>
      </c>
      <c r="N8" s="91"/>
      <c r="O8" s="7"/>
      <c r="P8" s="108"/>
      <c r="Q8" s="108"/>
      <c r="R8" s="108"/>
      <c r="S8" s="108"/>
      <c r="T8" s="108"/>
      <c r="U8" s="108"/>
      <c r="V8" s="108"/>
      <c r="W8" s="108"/>
      <c r="X8" s="110"/>
      <c r="Y8" s="110"/>
      <c r="Z8" s="110"/>
      <c r="AB8" s="110"/>
    </row>
    <row r="9" spans="1:28" x14ac:dyDescent="0.2">
      <c r="B9" s="8" t="s">
        <v>11</v>
      </c>
      <c r="C9" s="145">
        <f>'COGS &amp; OpEx'!C14</f>
        <v>43887</v>
      </c>
      <c r="D9" s="145">
        <f>'COGS &amp; OpEx'!D14</f>
        <v>51345</v>
      </c>
      <c r="E9" s="145">
        <f>'COGS &amp; OpEx'!E14</f>
        <v>54847</v>
      </c>
      <c r="F9" s="145">
        <f>'COGS &amp; OpEx'!F14</f>
        <v>57467</v>
      </c>
      <c r="G9" s="147">
        <f>'COGS &amp; OpEx'!G14</f>
        <v>62151</v>
      </c>
      <c r="H9" s="145">
        <f>'COGS &amp; OpEx'!H14</f>
        <v>67759.705260000002</v>
      </c>
      <c r="I9" s="145">
        <f>'COGS &amp; OpEx'!I14</f>
        <v>72161.904078674997</v>
      </c>
      <c r="J9" s="145">
        <f>'COGS &amp; OpEx'!J14</f>
        <v>77859.032705638499</v>
      </c>
      <c r="K9" s="145">
        <f>'COGS &amp; OpEx'!K14</f>
        <v>84522.046486863896</v>
      </c>
      <c r="L9" s="145">
        <f>'COGS &amp; OpEx'!L14</f>
        <v>87578.694758695608</v>
      </c>
      <c r="N9" s="91"/>
      <c r="O9" s="7"/>
      <c r="P9" s="108"/>
      <c r="Q9" s="108"/>
      <c r="R9" s="108"/>
      <c r="S9" s="108"/>
      <c r="T9" s="108"/>
      <c r="U9" s="108"/>
      <c r="V9" s="108"/>
      <c r="W9" s="108"/>
      <c r="X9" s="110"/>
      <c r="Y9" s="110"/>
      <c r="Z9" s="110"/>
      <c r="AB9" s="110"/>
    </row>
    <row r="10" spans="1:28" x14ac:dyDescent="0.2">
      <c r="B10" s="8" t="s">
        <v>232</v>
      </c>
      <c r="C10" s="145">
        <f>'Statement Y'!H14</f>
        <v>-14527</v>
      </c>
      <c r="D10" s="145">
        <f>'Statement Y'!I14</f>
        <v>-19300</v>
      </c>
      <c r="E10" s="145">
        <f>'Statement Y'!J14</f>
        <v>-16741</v>
      </c>
      <c r="F10" s="145">
        <f>'Statement Y'!K14</f>
        <v>-29749</v>
      </c>
      <c r="G10" s="147">
        <f>'Statement Y'!L14</f>
        <v>-20719</v>
      </c>
      <c r="H10" s="145" t="e">
        <f ca="1">'P&amp;L'!H15</f>
        <v>#REF!</v>
      </c>
      <c r="I10" s="145" t="e">
        <f ca="1">'P&amp;L'!I15</f>
        <v>#REF!</v>
      </c>
      <c r="J10" s="145" t="e">
        <f ca="1">'P&amp;L'!J15</f>
        <v>#REF!</v>
      </c>
      <c r="K10" s="145" t="e">
        <f ca="1">'P&amp;L'!K15</f>
        <v>#REF!</v>
      </c>
      <c r="L10" s="145" t="e">
        <f ca="1">'P&amp;L'!L15</f>
        <v>#REF!</v>
      </c>
      <c r="N10" s="91"/>
      <c r="O10" s="7"/>
      <c r="P10" s="108"/>
      <c r="Q10" s="108"/>
      <c r="R10" s="108"/>
      <c r="S10" s="108"/>
      <c r="T10" s="108"/>
      <c r="U10" s="108"/>
      <c r="V10" s="108"/>
      <c r="W10" s="108"/>
      <c r="X10" s="110"/>
      <c r="Y10" s="110"/>
      <c r="Z10" s="110"/>
      <c r="AB10" s="110"/>
    </row>
    <row r="11" spans="1:28" x14ac:dyDescent="0.2">
      <c r="N11" s="91"/>
    </row>
    <row r="12" spans="1:28" x14ac:dyDescent="0.2">
      <c r="B12" s="216"/>
      <c r="C12" s="216"/>
    </row>
    <row r="13" spans="1:28" x14ac:dyDescent="0.2">
      <c r="C13" s="215" t="s">
        <v>228</v>
      </c>
      <c r="D13" s="215"/>
      <c r="E13" s="215"/>
      <c r="F13" s="215"/>
      <c r="G13" s="215"/>
      <c r="H13" s="215"/>
      <c r="I13" s="215"/>
      <c r="J13" s="215"/>
      <c r="K13" s="215"/>
      <c r="L13" s="215"/>
    </row>
    <row r="14" spans="1:28" x14ac:dyDescent="0.2">
      <c r="B14" s="7" t="s">
        <v>156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100</v>
      </c>
      <c r="C15" s="145" t="e">
        <f>'Statement Y'!#REF!</f>
        <v>#REF!</v>
      </c>
      <c r="D15" s="145" t="e">
        <f>'Statement Y'!#REF!</f>
        <v>#REF!</v>
      </c>
      <c r="E15" s="145" t="e">
        <f>'Statement Y'!#REF!</f>
        <v>#REF!</v>
      </c>
      <c r="F15" s="145" t="e">
        <f>'Statement Y'!#REF!</f>
        <v>#REF!</v>
      </c>
      <c r="G15" s="147" t="e">
        <f>'Statement Y'!#REF!</f>
        <v>#REF!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45">
        <f>'Statement Y'!H35</f>
        <v>48849</v>
      </c>
      <c r="D16" s="145">
        <f>'Statement Y'!I35</f>
        <v>54428</v>
      </c>
      <c r="E16" s="145">
        <f>'Statement Y'!J35</f>
        <v>64758</v>
      </c>
      <c r="F16" s="145">
        <f>'Statement Y'!K35</f>
        <v>74834</v>
      </c>
      <c r="G16" s="147">
        <f>'Statement Y'!L35</f>
        <v>83727</v>
      </c>
      <c r="H16" s="20">
        <f>H7*H24</f>
        <v>72370.801751521372</v>
      </c>
      <c r="I16" s="20">
        <f t="shared" ref="I16:L16" si="3">I7*I24</f>
        <v>75618.373856658</v>
      </c>
      <c r="J16" s="20">
        <f t="shared" si="3"/>
        <v>79100.937340655495</v>
      </c>
      <c r="K16" s="20">
        <f t="shared" si="3"/>
        <v>82839.516706881841</v>
      </c>
      <c r="L16" s="20">
        <f t="shared" si="3"/>
        <v>86857.167136576041</v>
      </c>
    </row>
    <row r="17" spans="2:12" x14ac:dyDescent="0.2">
      <c r="B17" s="1" t="s">
        <v>37</v>
      </c>
      <c r="C17" s="145">
        <f>'Statement Y'!H41</f>
        <v>6000</v>
      </c>
      <c r="D17" s="145">
        <f>'Statement Y'!I41</f>
        <v>9982</v>
      </c>
      <c r="E17" s="145">
        <f>'Statement Y'!J41</f>
        <v>5985</v>
      </c>
      <c r="F17" s="145">
        <f>'Statement Y'!K41</f>
        <v>9967</v>
      </c>
      <c r="G17" s="147">
        <f>'Statement Y'!L41</f>
        <v>7979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234</v>
      </c>
      <c r="C18" s="145">
        <f>'Statement Y'!H44</f>
        <v>109106</v>
      </c>
      <c r="D18" s="145">
        <f>'Statement Y'!I44</f>
        <v>98959</v>
      </c>
      <c r="E18" s="145">
        <f>'Statement Y'!J44</f>
        <v>95281</v>
      </c>
      <c r="F18" s="145">
        <f>'Statement Y'!K44</f>
        <v>85750</v>
      </c>
      <c r="G18" s="147">
        <f>'Statement Y'!L44</f>
        <v>78328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27"/>
      <c r="D19" s="127"/>
      <c r="E19" s="127"/>
      <c r="F19" s="127"/>
      <c r="G19" s="127"/>
    </row>
    <row r="20" spans="2:12" x14ac:dyDescent="0.2">
      <c r="B20" s="7"/>
      <c r="C20" s="125"/>
      <c r="D20" s="125"/>
      <c r="E20" s="125"/>
      <c r="F20" s="125"/>
      <c r="G20" s="125"/>
    </row>
    <row r="21" spans="2:12" x14ac:dyDescent="0.2">
      <c r="C21" s="215" t="s">
        <v>207</v>
      </c>
      <c r="D21" s="215"/>
      <c r="E21" s="215"/>
      <c r="F21" s="215"/>
      <c r="G21" s="215"/>
      <c r="H21" s="215"/>
      <c r="I21" s="215"/>
      <c r="J21" s="215"/>
      <c r="K21" s="215"/>
      <c r="L21" s="215"/>
    </row>
    <row r="22" spans="2:12" x14ac:dyDescent="0.2">
      <c r="B22" s="7" t="s">
        <v>208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231</v>
      </c>
      <c r="C23" s="112" t="e">
        <f>C15/C9</f>
        <v>#REF!</v>
      </c>
      <c r="D23" s="112" t="e">
        <f t="shared" ref="D23:G23" si="7">D15/D9</f>
        <v>#REF!</v>
      </c>
      <c r="E23" s="112" t="e">
        <f t="shared" si="7"/>
        <v>#REF!</v>
      </c>
      <c r="F23" s="112" t="e">
        <f t="shared" si="7"/>
        <v>#REF!</v>
      </c>
      <c r="G23" s="113" t="e">
        <f t="shared" si="7"/>
        <v>#REF!</v>
      </c>
      <c r="H23" s="114" t="e">
        <f>AVERAGE(C23:G23)</f>
        <v>#REF!</v>
      </c>
      <c r="I23" s="114" t="e">
        <f>$H23</f>
        <v>#REF!</v>
      </c>
      <c r="J23" s="114" t="e">
        <f t="shared" ref="J23:L24" si="8">$H23</f>
        <v>#REF!</v>
      </c>
      <c r="K23" s="114" t="e">
        <f t="shared" si="8"/>
        <v>#REF!</v>
      </c>
      <c r="L23" s="114" t="e">
        <f t="shared" si="8"/>
        <v>#REF!</v>
      </c>
    </row>
    <row r="24" spans="2:12" x14ac:dyDescent="0.2">
      <c r="B24" s="1" t="s">
        <v>230</v>
      </c>
      <c r="C24" s="112">
        <f>C16/C7</f>
        <v>0.13353398010480649</v>
      </c>
      <c r="D24" s="112">
        <f t="shared" ref="D24:G24" si="9">D16/D7</f>
        <v>0.13802722606561035</v>
      </c>
      <c r="E24" s="112">
        <f t="shared" si="9"/>
        <v>0.16895521609246383</v>
      </c>
      <c r="F24" s="112">
        <f t="shared" si="9"/>
        <v>0.19137417366731879</v>
      </c>
      <c r="G24" s="113">
        <f t="shared" si="9"/>
        <v>0.20118896292540628</v>
      </c>
      <c r="H24" s="114">
        <f>AVERAGE(C24:G24)</f>
        <v>0.16661591177112114</v>
      </c>
      <c r="I24" s="114">
        <f>$H24</f>
        <v>0.16661591177112114</v>
      </c>
      <c r="J24" s="114">
        <f t="shared" si="8"/>
        <v>0.16661591177112114</v>
      </c>
      <c r="K24" s="114">
        <f t="shared" si="8"/>
        <v>0.16661591177112114</v>
      </c>
      <c r="L24" s="114">
        <f t="shared" si="8"/>
        <v>0.16661591177112114</v>
      </c>
    </row>
    <row r="25" spans="2:12" x14ac:dyDescent="0.2">
      <c r="B25" s="1" t="s">
        <v>233</v>
      </c>
      <c r="C25" s="112">
        <f>-C17/C10</f>
        <v>0.41302402423074275</v>
      </c>
      <c r="D25" s="112">
        <f t="shared" ref="D25:G25" si="10">-D17/D10</f>
        <v>0.51720207253886008</v>
      </c>
      <c r="E25" s="112">
        <f t="shared" si="10"/>
        <v>0.35750552535690822</v>
      </c>
      <c r="F25" s="112">
        <f t="shared" si="10"/>
        <v>0.33503647181417862</v>
      </c>
      <c r="G25" s="113">
        <f t="shared" si="10"/>
        <v>0.38510545875766206</v>
      </c>
      <c r="H25" s="114">
        <v>0.5</v>
      </c>
      <c r="I25" s="114">
        <v>0.5</v>
      </c>
      <c r="J25" s="114">
        <v>0.5</v>
      </c>
      <c r="K25" s="114">
        <v>0.5</v>
      </c>
      <c r="L25" s="114">
        <v>0.5</v>
      </c>
    </row>
    <row r="26" spans="2:12" x14ac:dyDescent="0.2">
      <c r="B26" s="1" t="s">
        <v>235</v>
      </c>
      <c r="C26" s="112">
        <f>C18/C9</f>
        <v>2.4860664889374986</v>
      </c>
      <c r="D26" s="112">
        <f t="shared" ref="D26:G26" si="11">D18/D9</f>
        <v>1.9273346966598501</v>
      </c>
      <c r="E26" s="112">
        <f t="shared" si="11"/>
        <v>1.7372144328769121</v>
      </c>
      <c r="F26" s="112">
        <f t="shared" si="11"/>
        <v>1.4921607183252998</v>
      </c>
      <c r="G26" s="113">
        <f t="shared" si="11"/>
        <v>1.2602854338626892</v>
      </c>
      <c r="H26" s="114" t="e">
        <f>H23</f>
        <v>#REF!</v>
      </c>
      <c r="I26" s="114" t="e">
        <f t="shared" ref="I26:L26" si="12">I23</f>
        <v>#REF!</v>
      </c>
      <c r="J26" s="114" t="e">
        <f t="shared" si="12"/>
        <v>#REF!</v>
      </c>
      <c r="K26" s="114" t="e">
        <f t="shared" si="12"/>
        <v>#REF!</v>
      </c>
      <c r="L26" s="114" t="e">
        <f t="shared" si="12"/>
        <v>#REF!</v>
      </c>
    </row>
    <row r="27" spans="2:12" x14ac:dyDescent="0.2">
      <c r="B27" s="216"/>
      <c r="C27" s="216"/>
    </row>
    <row r="28" spans="2:12" x14ac:dyDescent="0.2">
      <c r="C28" s="105"/>
    </row>
    <row r="29" spans="2:12" x14ac:dyDescent="0.2">
      <c r="C29" s="105"/>
    </row>
    <row r="30" spans="2:12" x14ac:dyDescent="0.2">
      <c r="C30" s="144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240</v>
      </c>
    </row>
    <row r="2" spans="1:28" s="100" customFormat="1" ht="18" customHeight="1" x14ac:dyDescent="0.2">
      <c r="A2" s="101"/>
      <c r="B2" s="102"/>
    </row>
    <row r="3" spans="1:28" x14ac:dyDescent="0.2">
      <c r="A3" s="101"/>
      <c r="C3" s="207" t="s">
        <v>122</v>
      </c>
      <c r="D3" s="207"/>
      <c r="E3" s="207"/>
      <c r="F3" s="207"/>
      <c r="G3" s="213"/>
      <c r="H3" s="214" t="s">
        <v>123</v>
      </c>
      <c r="I3" s="207"/>
      <c r="J3" s="207"/>
      <c r="K3" s="207"/>
      <c r="L3" s="207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B3" s="125"/>
    </row>
    <row r="4" spans="1:28" ht="10" customHeight="1" x14ac:dyDescent="0.2"/>
    <row r="5" spans="1:28" ht="16" customHeight="1" x14ac:dyDescent="0.2">
      <c r="A5" s="106"/>
      <c r="B5" s="92"/>
      <c r="C5" s="215" t="s">
        <v>240</v>
      </c>
      <c r="D5" s="215"/>
      <c r="E5" s="215"/>
      <c r="F5" s="215"/>
      <c r="G5" s="215"/>
      <c r="H5" s="215"/>
      <c r="I5" s="215"/>
      <c r="J5" s="215"/>
      <c r="K5" s="215"/>
      <c r="L5" s="215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6"/>
    </row>
    <row r="6" spans="1:28" x14ac:dyDescent="0.2">
      <c r="B6" s="7" t="s">
        <v>156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B6" s="126"/>
    </row>
    <row r="7" spans="1:28" x14ac:dyDescent="0.2">
      <c r="B7" s="8" t="s">
        <v>242</v>
      </c>
      <c r="C7" s="145">
        <v>0</v>
      </c>
      <c r="D7" s="145">
        <v>0</v>
      </c>
      <c r="E7" s="145">
        <v>0</v>
      </c>
      <c r="F7" s="145">
        <v>0</v>
      </c>
      <c r="G7" s="147">
        <v>0</v>
      </c>
      <c r="H7" s="146" t="e">
        <f ca="1">H18</f>
        <v>#REF!</v>
      </c>
      <c r="I7" s="146" t="e">
        <f t="shared" ref="I7:L7" ca="1" si="1">I18</f>
        <v>#REF!</v>
      </c>
      <c r="J7" s="146" t="e">
        <f t="shared" ca="1" si="1"/>
        <v>#REF!</v>
      </c>
      <c r="K7" s="146" t="e">
        <f t="shared" ca="1" si="1"/>
        <v>#REF!</v>
      </c>
      <c r="L7" s="146" t="e">
        <f t="shared" ca="1" si="1"/>
        <v>#REF!</v>
      </c>
      <c r="M7" s="1">
        <v>0</v>
      </c>
      <c r="N7" s="91"/>
      <c r="O7" s="7"/>
      <c r="P7" s="108"/>
      <c r="Q7" s="108"/>
      <c r="R7" s="108"/>
      <c r="S7" s="108"/>
      <c r="T7" s="108"/>
      <c r="U7" s="108"/>
      <c r="V7" s="108"/>
      <c r="W7" s="108"/>
      <c r="X7" s="110"/>
      <c r="Y7" s="110"/>
      <c r="Z7" s="110"/>
      <c r="AB7" s="110"/>
    </row>
    <row r="8" spans="1:28" x14ac:dyDescent="0.2">
      <c r="B8" s="8" t="s">
        <v>111</v>
      </c>
      <c r="C8" s="146" t="e">
        <f>C25</f>
        <v>#REF!</v>
      </c>
      <c r="D8" s="146" t="e">
        <f t="shared" ref="D8:L8" si="2">D25</f>
        <v>#REF!</v>
      </c>
      <c r="E8" s="146" t="e">
        <f t="shared" si="2"/>
        <v>#REF!</v>
      </c>
      <c r="F8" s="146" t="e">
        <f t="shared" si="2"/>
        <v>#REF!</v>
      </c>
      <c r="G8" s="158" t="e">
        <f t="shared" si="2"/>
        <v>#REF!</v>
      </c>
      <c r="H8" s="146" t="e">
        <f t="shared" si="2"/>
        <v>#REF!</v>
      </c>
      <c r="I8" s="146" t="e">
        <f t="shared" ca="1" si="2"/>
        <v>#REF!</v>
      </c>
      <c r="J8" s="146" t="e">
        <f t="shared" ca="1" si="2"/>
        <v>#REF!</v>
      </c>
      <c r="K8" s="146" t="e">
        <f t="shared" ca="1" si="2"/>
        <v>#REF!</v>
      </c>
      <c r="L8" s="146" t="e">
        <f t="shared" ca="1" si="2"/>
        <v>#REF!</v>
      </c>
      <c r="N8" s="91"/>
      <c r="O8" s="7"/>
      <c r="P8" s="108"/>
      <c r="Q8" s="108"/>
      <c r="R8" s="108"/>
      <c r="S8" s="108"/>
      <c r="T8" s="108"/>
      <c r="U8" s="108"/>
      <c r="V8" s="108"/>
      <c r="W8" s="108"/>
      <c r="X8" s="110"/>
      <c r="Y8" s="110"/>
      <c r="Z8" s="110"/>
      <c r="AB8" s="110"/>
    </row>
    <row r="9" spans="1:28" x14ac:dyDescent="0.2">
      <c r="N9" s="91"/>
    </row>
    <row r="10" spans="1:28" x14ac:dyDescent="0.2">
      <c r="B10" s="127"/>
      <c r="C10" s="127"/>
    </row>
    <row r="11" spans="1:28" x14ac:dyDescent="0.2">
      <c r="B11" s="127"/>
      <c r="C11" s="215" t="s">
        <v>240</v>
      </c>
      <c r="D11" s="215"/>
      <c r="E11" s="215"/>
      <c r="F11" s="215"/>
      <c r="G11" s="215"/>
      <c r="H11" s="215"/>
      <c r="I11" s="215"/>
      <c r="J11" s="215"/>
      <c r="K11" s="215"/>
      <c r="L11" s="215"/>
    </row>
    <row r="12" spans="1:28" x14ac:dyDescent="0.2">
      <c r="B12" s="7" t="s">
        <v>156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239</v>
      </c>
      <c r="C13" s="105" t="e">
        <f>'Cash Flow'!C20</f>
        <v>#REF!</v>
      </c>
      <c r="D13" s="105" t="e">
        <f>'Cash Flow'!D20</f>
        <v>#REF!</v>
      </c>
      <c r="E13" s="105" t="e">
        <f>'Cash Flow'!E20</f>
        <v>#REF!</v>
      </c>
      <c r="F13" s="105" t="e">
        <f>'Cash Flow'!F20</f>
        <v>#REF!</v>
      </c>
      <c r="G13" s="155" t="e">
        <f>'Cash Flow'!G20</f>
        <v>#REF!</v>
      </c>
      <c r="H13" s="105" t="e">
        <f ca="1">'Cash Flow'!H20</f>
        <v>#REF!</v>
      </c>
      <c r="I13" s="105" t="e">
        <f ca="1">'Cash Flow'!I20</f>
        <v>#REF!</v>
      </c>
      <c r="J13" s="105" t="e">
        <f ca="1">'Cash Flow'!J20</f>
        <v>#REF!</v>
      </c>
      <c r="K13" s="105" t="e">
        <f ca="1">'Cash Flow'!K20</f>
        <v>#REF!</v>
      </c>
      <c r="L13" s="105" t="e">
        <f ca="1">'Cash Flow'!L20</f>
        <v>#REF!</v>
      </c>
    </row>
    <row r="14" spans="1:28" x14ac:dyDescent="0.2">
      <c r="B14" s="1" t="s">
        <v>241</v>
      </c>
      <c r="C14" s="1">
        <v>0</v>
      </c>
      <c r="D14" s="1">
        <v>0</v>
      </c>
      <c r="E14" s="1">
        <v>0</v>
      </c>
      <c r="F14" s="1">
        <v>0</v>
      </c>
      <c r="G14" s="159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251</v>
      </c>
      <c r="C15" s="1">
        <v>0</v>
      </c>
      <c r="D15" s="1">
        <v>0</v>
      </c>
      <c r="E15" s="1">
        <v>0</v>
      </c>
      <c r="F15" s="1">
        <v>0</v>
      </c>
      <c r="G15" s="159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247</v>
      </c>
      <c r="C16" s="144"/>
      <c r="G16" s="159"/>
      <c r="H16" s="154">
        <f>C32</f>
        <v>0</v>
      </c>
      <c r="I16" s="154">
        <f t="shared" ref="I16:L16" si="6">D32</f>
        <v>0</v>
      </c>
      <c r="J16" s="154">
        <f t="shared" si="6"/>
        <v>0</v>
      </c>
      <c r="K16" s="154">
        <f t="shared" si="6"/>
        <v>0</v>
      </c>
      <c r="L16" s="154">
        <f t="shared" si="6"/>
        <v>0</v>
      </c>
    </row>
    <row r="17" spans="2:12" x14ac:dyDescent="0.2">
      <c r="B17" s="1" t="s">
        <v>252</v>
      </c>
      <c r="C17" s="1">
        <v>0</v>
      </c>
      <c r="D17" s="1">
        <v>0</v>
      </c>
      <c r="E17" s="1">
        <v>0</v>
      </c>
      <c r="F17" s="1">
        <v>0</v>
      </c>
      <c r="G17" s="159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242</v>
      </c>
      <c r="C18" s="144"/>
      <c r="G18" s="159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44"/>
    </row>
    <row r="21" spans="2:12" x14ac:dyDescent="0.2">
      <c r="C21" s="215" t="s">
        <v>248</v>
      </c>
      <c r="D21" s="215"/>
      <c r="E21" s="215"/>
      <c r="F21" s="215"/>
      <c r="G21" s="215"/>
      <c r="H21" s="215"/>
      <c r="I21" s="215"/>
      <c r="J21" s="215"/>
      <c r="K21" s="215"/>
      <c r="L21" s="215"/>
    </row>
    <row r="22" spans="2:12" x14ac:dyDescent="0.2">
      <c r="B22" s="7" t="s">
        <v>156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250</v>
      </c>
      <c r="C23" s="145" t="e">
        <f>'Statement Y'!C26+'Statement Y'!C27+'Statement Y'!#REF!</f>
        <v>#REF!</v>
      </c>
      <c r="D23" s="145" t="e">
        <f>'Statement Y'!H26+'Statement Y'!H27+'Statement Y'!#REF!</f>
        <v>#REF!</v>
      </c>
      <c r="E23" s="145" t="e">
        <f>'Statement Y'!I26+'Statement Y'!I27+'Statement Y'!#REF!</f>
        <v>#REF!</v>
      </c>
      <c r="F23" s="145" t="e">
        <f>'Statement Y'!J26+'Statement Y'!J27+'Statement Y'!#REF!</f>
        <v>#REF!</v>
      </c>
      <c r="G23" s="147" t="e">
        <f>'Statement Y'!K26+'Statement Y'!K27+'Statement Y'!#REF!</f>
        <v>#REF!</v>
      </c>
      <c r="H23" s="20" t="e">
        <f>G24</f>
        <v>#REF!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249</v>
      </c>
      <c r="C24" s="145" t="e">
        <f>'Statement Y'!H26+'Statement Y'!H27+'Statement Y'!#REF!</f>
        <v>#REF!</v>
      </c>
      <c r="D24" s="145" t="e">
        <f>'Statement Y'!I26+'Statement Y'!I27+'Statement Y'!#REF!</f>
        <v>#REF!</v>
      </c>
      <c r="E24" s="145" t="e">
        <f>'Statement Y'!J26+'Statement Y'!J27+'Statement Y'!#REF!</f>
        <v>#REF!</v>
      </c>
      <c r="F24" s="145" t="e">
        <f>'Statement Y'!K26+'Statement Y'!K27+'Statement Y'!#REF!</f>
        <v>#REF!</v>
      </c>
      <c r="G24" s="147" t="e">
        <f>'Statement Y'!L26+'Statement Y'!L27+'Statement Y'!#REF!</f>
        <v>#REF!</v>
      </c>
      <c r="H24" s="105" t="e">
        <f ca="1">'Balance Sheet'!H6+'Balance Sheet'!H7+'Balance Sheet'!H16</f>
        <v>#REF!</v>
      </c>
      <c r="I24" s="105" t="e">
        <f ca="1">'Balance Sheet'!I6+'Balance Sheet'!I7+'Balance Sheet'!I16</f>
        <v>#REF!</v>
      </c>
      <c r="J24" s="105" t="e">
        <f ca="1">'Balance Sheet'!J6+'Balance Sheet'!J7+'Balance Sheet'!J16</f>
        <v>#REF!</v>
      </c>
      <c r="K24" s="105" t="e">
        <f ca="1">'Balance Sheet'!K6+'Balance Sheet'!K7+'Balance Sheet'!K16</f>
        <v>#REF!</v>
      </c>
      <c r="L24" s="105" t="e">
        <f ca="1">'Balance Sheet'!L6+'Balance Sheet'!L7+'Balance Sheet'!L16</f>
        <v>#REF!</v>
      </c>
    </row>
    <row r="25" spans="2:12" x14ac:dyDescent="0.2">
      <c r="B25" s="1" t="s">
        <v>111</v>
      </c>
      <c r="C25" s="145" t="e">
        <f>'Statement Y'!#REF!</f>
        <v>#REF!</v>
      </c>
      <c r="D25" s="145" t="e">
        <f>'Statement Y'!#REF!</f>
        <v>#REF!</v>
      </c>
      <c r="E25" s="145" t="e">
        <f>'Statement Y'!#REF!</f>
        <v>#REF!</v>
      </c>
      <c r="F25" s="145" t="e">
        <f>'Statement Y'!#REF!</f>
        <v>#REF!</v>
      </c>
      <c r="G25" s="147" t="e">
        <f>'Statement Y'!#REF!</f>
        <v>#REF!</v>
      </c>
      <c r="H25" s="20" t="e">
        <f>H23*H26</f>
        <v>#REF!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243</v>
      </c>
      <c r="C26" s="153" t="e">
        <f>C25/AVERAGE(C23:C24)</f>
        <v>#REF!</v>
      </c>
      <c r="D26" s="153" t="e">
        <f>D25/AVERAGE(D23:D24)</f>
        <v>#REF!</v>
      </c>
      <c r="E26" s="153" t="e">
        <f t="shared" ref="E26:G26" si="12">E25/AVERAGE(E23:E24)</f>
        <v>#REF!</v>
      </c>
      <c r="F26" s="153" t="e">
        <f t="shared" si="12"/>
        <v>#REF!</v>
      </c>
      <c r="G26" s="156" t="e">
        <f t="shared" si="12"/>
        <v>#REF!</v>
      </c>
      <c r="H26" s="157">
        <v>0.04</v>
      </c>
      <c r="I26" s="157">
        <v>0.04</v>
      </c>
      <c r="J26" s="157">
        <v>0.04</v>
      </c>
      <c r="K26" s="157">
        <v>0.04</v>
      </c>
      <c r="L26" s="157">
        <v>0.04</v>
      </c>
    </row>
    <row r="29" spans="2:12" x14ac:dyDescent="0.2">
      <c r="B29" s="207" t="s">
        <v>244</v>
      </c>
      <c r="C29" s="207"/>
    </row>
    <row r="30" spans="2:12" x14ac:dyDescent="0.2">
      <c r="B30" s="1" t="s">
        <v>245</v>
      </c>
      <c r="C30" s="157">
        <v>0.5</v>
      </c>
    </row>
    <row r="31" spans="2:12" x14ac:dyDescent="0.2">
      <c r="B31" s="1" t="s">
        <v>246</v>
      </c>
      <c r="C31" s="157">
        <v>0.5</v>
      </c>
    </row>
    <row r="32" spans="2:12" x14ac:dyDescent="0.2">
      <c r="B32" s="1" t="s">
        <v>247</v>
      </c>
      <c r="C32" s="157">
        <v>0</v>
      </c>
    </row>
    <row r="35" spans="2:12" x14ac:dyDescent="0.2">
      <c r="B35" s="92"/>
      <c r="C35" s="215" t="s">
        <v>132</v>
      </c>
      <c r="D35" s="215"/>
      <c r="E35" s="215"/>
      <c r="F35" s="215"/>
      <c r="G35" s="215"/>
      <c r="H35" s="215"/>
      <c r="I35" s="215"/>
      <c r="J35" s="215"/>
      <c r="K35" s="215"/>
      <c r="L35" s="215"/>
    </row>
    <row r="36" spans="2:12" x14ac:dyDescent="0.2">
      <c r="B36" s="7" t="s">
        <v>133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08">
        <f>'Statement Y'!H5</f>
        <v>365817</v>
      </c>
      <c r="D37" s="108">
        <f>'Statement Y'!I5</f>
        <v>394328</v>
      </c>
      <c r="E37" s="108">
        <f>'Statement Y'!J5</f>
        <v>383285</v>
      </c>
      <c r="F37" s="108">
        <f>'Statement Y'!K5</f>
        <v>391035</v>
      </c>
      <c r="G37" s="109">
        <f>'Statement Y'!L5</f>
        <v>416161</v>
      </c>
      <c r="H37" s="108">
        <f>Revenue!H11</f>
        <v>434357.08500000002</v>
      </c>
      <c r="I37" s="108">
        <f>Revenue!I11</f>
        <v>453848.45332500001</v>
      </c>
      <c r="J37" s="108">
        <f>Revenue!J11</f>
        <v>474750.19942462503</v>
      </c>
      <c r="K37" s="108">
        <f>Revenue!K11</f>
        <v>497188.50874625816</v>
      </c>
      <c r="L37" s="108">
        <f>Revenue!L11</f>
        <v>521301.75451604521</v>
      </c>
    </row>
    <row r="39" spans="2:12" x14ac:dyDescent="0.2">
      <c r="C39" s="215" t="s">
        <v>256</v>
      </c>
      <c r="D39" s="215"/>
      <c r="E39" s="215"/>
      <c r="F39" s="215"/>
      <c r="G39" s="215"/>
      <c r="H39" s="215"/>
      <c r="I39" s="215"/>
      <c r="J39" s="215"/>
      <c r="K39" s="215"/>
      <c r="L39" s="215"/>
    </row>
    <row r="40" spans="2:12" x14ac:dyDescent="0.2">
      <c r="C40" s="162">
        <f>C6</f>
        <v>2021</v>
      </c>
      <c r="D40" s="162">
        <f t="shared" ref="D40:K40" si="14">D6</f>
        <v>2022</v>
      </c>
      <c r="E40" s="162">
        <f t="shared" si="14"/>
        <v>2023</v>
      </c>
      <c r="F40" s="162">
        <f t="shared" si="14"/>
        <v>2024</v>
      </c>
      <c r="G40" s="162">
        <f t="shared" si="14"/>
        <v>2025</v>
      </c>
      <c r="H40" s="162">
        <f t="shared" si="14"/>
        <v>2026</v>
      </c>
      <c r="I40" s="162">
        <f t="shared" si="14"/>
        <v>2027</v>
      </c>
      <c r="J40" s="162">
        <f t="shared" si="14"/>
        <v>2028</v>
      </c>
      <c r="K40" s="162">
        <f t="shared" si="14"/>
        <v>2029</v>
      </c>
      <c r="L40" s="162">
        <f>L6</f>
        <v>2030</v>
      </c>
    </row>
    <row r="41" spans="2:12" x14ac:dyDescent="0.2">
      <c r="B41" s="1" t="s">
        <v>257</v>
      </c>
      <c r="C41" s="145">
        <f>'Statement Y'!H57</f>
        <v>7906</v>
      </c>
      <c r="D41" s="145">
        <f>'Statement Y'!I57</f>
        <v>9038</v>
      </c>
      <c r="E41" s="145">
        <f>'Statement Y'!J57</f>
        <v>10833</v>
      </c>
      <c r="F41" s="145">
        <f>'Statement Y'!K57</f>
        <v>11688</v>
      </c>
      <c r="G41" s="147">
        <f>'Statement Y'!L57</f>
        <v>12863</v>
      </c>
      <c r="H41" s="146">
        <f>H37*H46</f>
        <v>52122.850200000001</v>
      </c>
      <c r="I41" s="146">
        <f t="shared" ref="I41:L41" si="15">I37*I46</f>
        <v>49923.329865749998</v>
      </c>
      <c r="J41" s="146">
        <f t="shared" si="15"/>
        <v>47475.019942462503</v>
      </c>
      <c r="K41" s="146">
        <f t="shared" si="15"/>
        <v>49718.850874625816</v>
      </c>
      <c r="L41" s="146">
        <f t="shared" si="15"/>
        <v>52130.175451604526</v>
      </c>
    </row>
    <row r="42" spans="2:12" x14ac:dyDescent="0.2">
      <c r="B42" s="1" t="s">
        <v>109</v>
      </c>
      <c r="C42" s="145">
        <f>'Statement Y'!H83</f>
        <v>-85971</v>
      </c>
      <c r="D42" s="145">
        <f>'Statement Y'!I83</f>
        <v>-89402</v>
      </c>
      <c r="E42" s="145">
        <f>'Statement Y'!J83</f>
        <v>-77550</v>
      </c>
      <c r="F42" s="145">
        <f>'Statement Y'!K83</f>
        <v>-94949</v>
      </c>
      <c r="G42" s="147">
        <f>'Statement Y'!L83</f>
        <v>-90711</v>
      </c>
      <c r="H42" s="146">
        <f>H37*H47</f>
        <v>8687.1417000000001</v>
      </c>
      <c r="I42" s="146">
        <f t="shared" ref="I42:L42" si="16">I37*I47</f>
        <v>9076.9690664999998</v>
      </c>
      <c r="J42" s="146">
        <f t="shared" si="16"/>
        <v>9495.0039884925009</v>
      </c>
      <c r="K42" s="146">
        <f t="shared" si="16"/>
        <v>7457.8276311938716</v>
      </c>
      <c r="L42" s="146">
        <f t="shared" si="16"/>
        <v>7819.5263177406778</v>
      </c>
    </row>
    <row r="44" spans="2:12" x14ac:dyDescent="0.2">
      <c r="C44" s="215" t="s">
        <v>258</v>
      </c>
      <c r="D44" s="215"/>
      <c r="E44" s="215"/>
      <c r="F44" s="215"/>
      <c r="G44" s="215"/>
      <c r="H44" s="215"/>
      <c r="I44" s="215"/>
      <c r="J44" s="215"/>
      <c r="K44" s="215"/>
      <c r="L44" s="215"/>
    </row>
    <row r="45" spans="2:12" x14ac:dyDescent="0.2">
      <c r="B45" s="7" t="s">
        <v>208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259</v>
      </c>
      <c r="C46" s="112">
        <f>C41/C37</f>
        <v>2.1611898845597662E-2</v>
      </c>
      <c r="D46" s="112">
        <f t="shared" ref="D46:G46" si="18">D41/D37</f>
        <v>2.2920005680550203E-2</v>
      </c>
      <c r="E46" s="112">
        <f t="shared" si="18"/>
        <v>2.8263563666723196E-2</v>
      </c>
      <c r="F46" s="112">
        <f t="shared" si="18"/>
        <v>2.9889907553032339E-2</v>
      </c>
      <c r="G46" s="113">
        <f t="shared" si="18"/>
        <v>3.0908710811440764E-2</v>
      </c>
      <c r="H46" s="114">
        <v>0.12</v>
      </c>
      <c r="I46" s="114">
        <v>0.11</v>
      </c>
      <c r="J46" s="114">
        <v>0.1</v>
      </c>
      <c r="K46" s="114">
        <v>0.1</v>
      </c>
      <c r="L46" s="114">
        <v>0.1</v>
      </c>
    </row>
    <row r="47" spans="2:12" x14ac:dyDescent="0.2">
      <c r="B47" s="1" t="s">
        <v>260</v>
      </c>
      <c r="C47" s="112">
        <f>C42/C37</f>
        <v>-0.23501094809699932</v>
      </c>
      <c r="D47" s="112">
        <f t="shared" ref="D47:G47" si="19">D42/D37</f>
        <v>-0.22671988801201032</v>
      </c>
      <c r="E47" s="112">
        <f t="shared" si="19"/>
        <v>-0.2023298589822195</v>
      </c>
      <c r="F47" s="112">
        <f t="shared" si="19"/>
        <v>-0.24281458181492704</v>
      </c>
      <c r="G47" s="113">
        <f t="shared" si="19"/>
        <v>-0.21797092952006555</v>
      </c>
      <c r="H47" s="114">
        <v>0.02</v>
      </c>
      <c r="I47" s="114">
        <v>0.02</v>
      </c>
      <c r="J47" s="114">
        <v>0.02</v>
      </c>
      <c r="K47" s="114">
        <v>1.4999999999999999E-2</v>
      </c>
      <c r="L47" s="114">
        <v>1.4999999999999999E-2</v>
      </c>
    </row>
  </sheetData>
  <mergeCells count="12">
    <mergeCell ref="C3:G3"/>
    <mergeCell ref="H3:L3"/>
    <mergeCell ref="P3:W3"/>
    <mergeCell ref="X3:Z3"/>
    <mergeCell ref="C5:L5"/>
    <mergeCell ref="P5:Z5"/>
    <mergeCell ref="C35:L35"/>
    <mergeCell ref="C39:L39"/>
    <mergeCell ref="C44:L44"/>
    <mergeCell ref="C11:L11"/>
    <mergeCell ref="B29:C29"/>
    <mergeCell ref="C21:L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1" customFormat="1" ht="49" x14ac:dyDescent="0.2">
      <c r="B13" s="103" t="s">
        <v>192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1"/>
  <sheetViews>
    <sheetView zoomScale="179" workbookViewId="0">
      <selection activeCell="K21" sqref="K21"/>
    </sheetView>
  </sheetViews>
  <sheetFormatPr baseColWidth="10" defaultRowHeight="16" x14ac:dyDescent="0.2"/>
  <cols>
    <col min="1" max="1" width="2" style="100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0" customFormat="1" ht="18" customHeight="1" x14ac:dyDescent="0.2">
      <c r="A1" s="101"/>
      <c r="B1" s="102" t="s">
        <v>193</v>
      </c>
    </row>
    <row r="2" spans="1:31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E2" s="125"/>
    </row>
    <row r="3" spans="1:31" ht="10" customHeight="1" x14ac:dyDescent="0.2"/>
    <row r="4" spans="1:31" ht="16" customHeight="1" x14ac:dyDescent="0.2">
      <c r="A4" s="106"/>
      <c r="B4" s="92"/>
      <c r="C4" s="215" t="s">
        <v>5</v>
      </c>
      <c r="D4" s="215"/>
      <c r="E4" s="215"/>
      <c r="F4" s="215"/>
      <c r="G4" s="215"/>
      <c r="H4" s="215"/>
      <c r="I4" s="215"/>
      <c r="J4" s="215"/>
      <c r="K4" s="215"/>
      <c r="L4" s="215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E4" s="126"/>
    </row>
    <row r="5" spans="1:31" x14ac:dyDescent="0.2">
      <c r="B5" s="7" t="s">
        <v>156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E5" s="126"/>
    </row>
    <row r="6" spans="1:31" x14ac:dyDescent="0.2">
      <c r="B6" s="7" t="s">
        <v>6</v>
      </c>
      <c r="C6" s="108">
        <f>Revenue!C11</f>
        <v>365817</v>
      </c>
      <c r="D6" s="108">
        <f>Revenue!D11</f>
        <v>394328</v>
      </c>
      <c r="E6" s="108">
        <f>Revenue!E11</f>
        <v>383285</v>
      </c>
      <c r="F6" s="108">
        <f>Revenue!F11</f>
        <v>391035</v>
      </c>
      <c r="G6" s="109">
        <f>Revenue!G11</f>
        <v>416161</v>
      </c>
      <c r="H6" s="110">
        <f>Revenue!H11</f>
        <v>434357.08500000002</v>
      </c>
      <c r="I6" s="110">
        <f>Revenue!I11</f>
        <v>453848.45332500001</v>
      </c>
      <c r="J6" s="110">
        <f>Revenue!J11</f>
        <v>474750.19942462503</v>
      </c>
      <c r="K6" s="110">
        <f>Revenue!K11</f>
        <v>497188.50874625816</v>
      </c>
      <c r="L6" s="110">
        <f>Revenue!L11</f>
        <v>521301.75451604521</v>
      </c>
      <c r="N6" s="116" t="s">
        <v>269</v>
      </c>
      <c r="Q6" s="116"/>
      <c r="S6" s="104"/>
      <c r="T6" s="104"/>
      <c r="U6" s="104"/>
      <c r="V6" s="104"/>
      <c r="W6" s="104"/>
      <c r="X6" s="104"/>
      <c r="Y6" s="104"/>
      <c r="Z6" s="104"/>
      <c r="AA6" s="105"/>
      <c r="AB6" s="105"/>
      <c r="AC6" s="105"/>
      <c r="AE6" s="105"/>
    </row>
    <row r="7" spans="1:31" x14ac:dyDescent="0.2">
      <c r="B7" s="1" t="s">
        <v>7</v>
      </c>
      <c r="C7" s="104">
        <f>'COGS &amp; OpEx'!C11</f>
        <v>212981</v>
      </c>
      <c r="D7" s="104">
        <f>'COGS &amp; OpEx'!D11</f>
        <v>223546</v>
      </c>
      <c r="E7" s="104">
        <f>'COGS &amp; OpEx'!E11</f>
        <v>214137</v>
      </c>
      <c r="F7" s="104">
        <f>'COGS &amp; OpEx'!F11</f>
        <v>210352</v>
      </c>
      <c r="G7" s="107">
        <f>'COGS &amp; OpEx'!G11</f>
        <v>220960</v>
      </c>
      <c r="H7" s="105">
        <f>'COGS &amp; OpEx'!H11</f>
        <v>229340.54088000002</v>
      </c>
      <c r="I7" s="105">
        <f>'COGS &amp; OpEx'!I11</f>
        <v>238270.43799562502</v>
      </c>
      <c r="J7" s="105">
        <f>'COGS &amp; OpEx'!J11</f>
        <v>247344.85390022965</v>
      </c>
      <c r="K7" s="105">
        <f>'COGS &amp; OpEx'!K11</f>
        <v>258538.02454805427</v>
      </c>
      <c r="L7" s="105">
        <f>'COGS &amp; OpEx'!L11</f>
        <v>268470.40357576328</v>
      </c>
      <c r="N7" s="116" t="s">
        <v>263</v>
      </c>
      <c r="Q7" s="116"/>
      <c r="S7" s="104"/>
      <c r="T7" s="104"/>
      <c r="U7" s="104"/>
      <c r="V7" s="104"/>
      <c r="W7" s="104"/>
      <c r="X7" s="104"/>
      <c r="Y7" s="104"/>
      <c r="Z7" s="104"/>
      <c r="AA7" s="105"/>
      <c r="AB7" s="105"/>
      <c r="AC7" s="105"/>
      <c r="AE7" s="105"/>
    </row>
    <row r="8" spans="1:31" x14ac:dyDescent="0.2">
      <c r="B8" s="7" t="s">
        <v>125</v>
      </c>
      <c r="C8" s="110">
        <f>C6-C7</f>
        <v>152836</v>
      </c>
      <c r="D8" s="110">
        <f t="shared" ref="D8:L8" si="1">D6-D7</f>
        <v>170782</v>
      </c>
      <c r="E8" s="110">
        <f t="shared" si="1"/>
        <v>169148</v>
      </c>
      <c r="F8" s="110">
        <f t="shared" si="1"/>
        <v>180683</v>
      </c>
      <c r="G8" s="149">
        <f t="shared" si="1"/>
        <v>195201</v>
      </c>
      <c r="H8" s="110">
        <f t="shared" si="1"/>
        <v>205016.54412000001</v>
      </c>
      <c r="I8" s="110">
        <f t="shared" si="1"/>
        <v>215578.01532937499</v>
      </c>
      <c r="J8" s="110">
        <f t="shared" si="1"/>
        <v>227405.34552439538</v>
      </c>
      <c r="K8" s="110">
        <f t="shared" si="1"/>
        <v>238650.48419820389</v>
      </c>
      <c r="L8" s="110">
        <f t="shared" si="1"/>
        <v>252831.35094028193</v>
      </c>
      <c r="N8" s="116"/>
      <c r="Q8" s="116"/>
      <c r="S8" s="104"/>
      <c r="T8" s="104"/>
      <c r="U8" s="104"/>
      <c r="V8" s="104"/>
      <c r="W8" s="104"/>
      <c r="X8" s="104"/>
      <c r="Y8" s="104"/>
      <c r="Z8" s="104"/>
      <c r="AA8" s="105"/>
      <c r="AB8" s="105"/>
      <c r="AC8" s="105"/>
      <c r="AE8" s="105"/>
    </row>
    <row r="9" spans="1:31" x14ac:dyDescent="0.2">
      <c r="B9" s="1" t="s">
        <v>9</v>
      </c>
      <c r="C9" s="104">
        <f>'COGS &amp; OpEx'!C12</f>
        <v>21914</v>
      </c>
      <c r="D9" s="104">
        <f>'COGS &amp; OpEx'!D12</f>
        <v>26251</v>
      </c>
      <c r="E9" s="104">
        <f>'COGS &amp; OpEx'!E12</f>
        <v>29915</v>
      </c>
      <c r="F9" s="104">
        <f>'COGS &amp; OpEx'!F12</f>
        <v>31370</v>
      </c>
      <c r="G9" s="107">
        <f>'COGS &amp; OpEx'!G12</f>
        <v>34550</v>
      </c>
      <c r="H9" s="105">
        <f>'COGS &amp; OpEx'!H12</f>
        <v>38223.423479999998</v>
      </c>
      <c r="I9" s="105">
        <f>'COGS &amp; OpEx'!I12</f>
        <v>41754.057705899999</v>
      </c>
      <c r="J9" s="105">
        <f>'COGS &amp; OpEx'!J12</f>
        <v>45101.268945339376</v>
      </c>
      <c r="K9" s="105">
        <f>'COGS &amp; OpEx'!K12</f>
        <v>49718.850874625816</v>
      </c>
      <c r="L9" s="105">
        <f>'COGS &amp; OpEx'!L12</f>
        <v>52130.175451604526</v>
      </c>
      <c r="N9" s="116" t="s">
        <v>263</v>
      </c>
      <c r="Q9" s="116"/>
      <c r="S9" s="104"/>
      <c r="T9" s="104"/>
      <c r="U9" s="104"/>
      <c r="V9" s="104"/>
      <c r="W9" s="104"/>
      <c r="X9" s="104"/>
      <c r="Y9" s="104"/>
      <c r="Z9" s="104"/>
      <c r="AA9" s="105"/>
      <c r="AB9" s="105"/>
      <c r="AC9" s="105"/>
      <c r="AE9" s="105"/>
    </row>
    <row r="10" spans="1:31" x14ac:dyDescent="0.2">
      <c r="B10" s="1" t="s">
        <v>146</v>
      </c>
      <c r="C10" s="104">
        <f>'COGS &amp; OpEx'!C13</f>
        <v>21973</v>
      </c>
      <c r="D10" s="104">
        <f>'COGS &amp; OpEx'!D13</f>
        <v>25094</v>
      </c>
      <c r="E10" s="104">
        <f>'COGS &amp; OpEx'!E13</f>
        <v>24932</v>
      </c>
      <c r="F10" s="104">
        <f>'COGS &amp; OpEx'!F13</f>
        <v>26097</v>
      </c>
      <c r="G10" s="107">
        <f>'COGS &amp; OpEx'!G13</f>
        <v>27601</v>
      </c>
      <c r="H10" s="105">
        <f>'COGS &amp; OpEx'!H13</f>
        <v>29536.281780000005</v>
      </c>
      <c r="I10" s="105">
        <f>'COGS &amp; OpEx'!I13</f>
        <v>30407.846372775002</v>
      </c>
      <c r="J10" s="105">
        <f>'COGS &amp; OpEx'!J13</f>
        <v>32757.763760299131</v>
      </c>
      <c r="K10" s="105">
        <f>'COGS &amp; OpEx'!K13</f>
        <v>34803.195612238072</v>
      </c>
      <c r="L10" s="105">
        <f>'COGS &amp; OpEx'!L13</f>
        <v>35448.519307091075</v>
      </c>
      <c r="N10" s="116" t="s">
        <v>263</v>
      </c>
      <c r="Q10" s="116"/>
      <c r="S10" s="104"/>
      <c r="T10" s="104"/>
      <c r="U10" s="104"/>
      <c r="V10" s="104"/>
      <c r="W10" s="104"/>
      <c r="X10" s="104"/>
      <c r="Y10" s="104"/>
      <c r="Z10" s="104"/>
      <c r="AA10" s="105"/>
      <c r="AB10" s="105"/>
      <c r="AC10" s="105"/>
      <c r="AE10" s="105"/>
    </row>
    <row r="11" spans="1:31" x14ac:dyDescent="0.2">
      <c r="B11" s="1" t="s">
        <v>11</v>
      </c>
      <c r="C11" s="104">
        <f>'COGS &amp; OpEx'!C14</f>
        <v>43887</v>
      </c>
      <c r="D11" s="104">
        <f>'COGS &amp; OpEx'!D14</f>
        <v>51345</v>
      </c>
      <c r="E11" s="104">
        <f>'COGS &amp; OpEx'!E14</f>
        <v>54847</v>
      </c>
      <c r="F11" s="104">
        <f>'COGS &amp; OpEx'!F14</f>
        <v>57467</v>
      </c>
      <c r="G11" s="107">
        <f>'COGS &amp; OpEx'!G14</f>
        <v>62151</v>
      </c>
      <c r="H11" s="105">
        <f>'COGS &amp; OpEx'!H14</f>
        <v>67759.705260000002</v>
      </c>
      <c r="I11" s="105">
        <f>'COGS &amp; OpEx'!I14</f>
        <v>72161.904078674997</v>
      </c>
      <c r="J11" s="105">
        <f>'COGS &amp; OpEx'!J14</f>
        <v>77859.032705638499</v>
      </c>
      <c r="K11" s="105">
        <f>'COGS &amp; OpEx'!K14</f>
        <v>84522.046486863896</v>
      </c>
      <c r="L11" s="105">
        <f>'COGS &amp; OpEx'!L14</f>
        <v>87578.694758695608</v>
      </c>
      <c r="N11" s="163" t="s">
        <v>263</v>
      </c>
      <c r="Q11" s="116"/>
      <c r="S11" s="104"/>
      <c r="T11" s="104"/>
      <c r="U11" s="104"/>
      <c r="V11" s="104"/>
      <c r="W11" s="104"/>
      <c r="X11" s="104"/>
      <c r="Y11" s="104"/>
      <c r="Z11" s="104"/>
      <c r="AA11" s="105"/>
      <c r="AB11" s="105"/>
      <c r="AC11" s="105"/>
      <c r="AE11" s="105"/>
    </row>
    <row r="12" spans="1:31" x14ac:dyDescent="0.2">
      <c r="B12" s="7" t="s">
        <v>126</v>
      </c>
      <c r="C12" s="110">
        <f t="shared" ref="C12:L12" si="2">C8-C11</f>
        <v>108949</v>
      </c>
      <c r="D12" s="110">
        <f t="shared" si="2"/>
        <v>119437</v>
      </c>
      <c r="E12" s="110">
        <f t="shared" si="2"/>
        <v>114301</v>
      </c>
      <c r="F12" s="110">
        <f t="shared" si="2"/>
        <v>123216</v>
      </c>
      <c r="G12" s="149">
        <f t="shared" si="2"/>
        <v>133050</v>
      </c>
      <c r="H12" s="110">
        <f t="shared" si="2"/>
        <v>137256.83886000002</v>
      </c>
      <c r="I12" s="110">
        <f t="shared" si="2"/>
        <v>143416.11125069999</v>
      </c>
      <c r="J12" s="110">
        <f t="shared" si="2"/>
        <v>149546.31281875688</v>
      </c>
      <c r="K12" s="110">
        <f t="shared" si="2"/>
        <v>154128.43771134</v>
      </c>
      <c r="L12" s="110">
        <f t="shared" si="2"/>
        <v>165252.65618158632</v>
      </c>
      <c r="N12" s="116"/>
      <c r="Q12" s="116"/>
      <c r="S12" s="104"/>
      <c r="T12" s="104"/>
      <c r="U12" s="104"/>
      <c r="V12" s="104"/>
      <c r="W12" s="104"/>
      <c r="X12" s="104"/>
      <c r="Y12" s="104"/>
      <c r="Z12" s="104"/>
      <c r="AA12" s="105"/>
      <c r="AB12" s="105"/>
      <c r="AC12" s="105"/>
      <c r="AE12" s="105"/>
    </row>
    <row r="13" spans="1:31" x14ac:dyDescent="0.2">
      <c r="B13" s="1" t="s">
        <v>194</v>
      </c>
      <c r="C13" s="104" t="e">
        <f>'Statement Y'!#REF!</f>
        <v>#REF!</v>
      </c>
      <c r="D13" s="104" t="e">
        <f>'Statement Y'!#REF!</f>
        <v>#REF!</v>
      </c>
      <c r="E13" s="104" t="e">
        <f>'Statement Y'!#REF!</f>
        <v>#REF!</v>
      </c>
      <c r="F13" s="104" t="e">
        <f>'Statement Y'!#REF!</f>
        <v>#REF!</v>
      </c>
      <c r="G13" s="107" t="e">
        <f>'Statement Y'!#REF!</f>
        <v>#REF!</v>
      </c>
      <c r="H13" s="105" t="e">
        <f ca="1">Financing!H8-Financing!H7</f>
        <v>#REF!</v>
      </c>
      <c r="I13" s="105" t="e">
        <f ca="1">Financing!I8-Financing!I7</f>
        <v>#REF!</v>
      </c>
      <c r="J13" s="105" t="e">
        <f ca="1">Financing!J8-Financing!J7</f>
        <v>#REF!</v>
      </c>
      <c r="K13" s="105" t="e">
        <f ca="1">Financing!K8-Financing!K7</f>
        <v>#REF!</v>
      </c>
      <c r="L13" s="105" t="e">
        <f ca="1">Financing!L8-Financing!L7</f>
        <v>#REF!</v>
      </c>
      <c r="N13" s="116" t="s">
        <v>262</v>
      </c>
      <c r="Q13" s="116"/>
      <c r="S13" s="104"/>
      <c r="T13" s="104"/>
      <c r="U13" s="104"/>
      <c r="V13" s="104"/>
      <c r="W13" s="104"/>
      <c r="X13" s="104"/>
      <c r="Y13" s="104"/>
      <c r="Z13" s="104"/>
      <c r="AA13" s="105"/>
      <c r="AB13" s="105"/>
      <c r="AC13" s="105"/>
      <c r="AE13" s="105"/>
    </row>
    <row r="14" spans="1:31" x14ac:dyDescent="0.2">
      <c r="B14" s="7" t="s">
        <v>127</v>
      </c>
      <c r="C14" s="110" t="e">
        <f>C12+C13</f>
        <v>#REF!</v>
      </c>
      <c r="D14" s="110" t="e">
        <f t="shared" ref="D14:L14" si="3">D12+D13</f>
        <v>#REF!</v>
      </c>
      <c r="E14" s="110" t="e">
        <f t="shared" si="3"/>
        <v>#REF!</v>
      </c>
      <c r="F14" s="110" t="e">
        <f t="shared" si="3"/>
        <v>#REF!</v>
      </c>
      <c r="G14" s="149" t="e">
        <f t="shared" si="3"/>
        <v>#REF!</v>
      </c>
      <c r="H14" s="110" t="e">
        <f t="shared" ca="1" si="3"/>
        <v>#REF!</v>
      </c>
      <c r="I14" s="110" t="e">
        <f t="shared" ca="1" si="3"/>
        <v>#REF!</v>
      </c>
      <c r="J14" s="110" t="e">
        <f t="shared" ca="1" si="3"/>
        <v>#REF!</v>
      </c>
      <c r="K14" s="110" t="e">
        <f t="shared" ca="1" si="3"/>
        <v>#REF!</v>
      </c>
      <c r="L14" s="110" t="e">
        <f t="shared" ca="1" si="3"/>
        <v>#REF!</v>
      </c>
      <c r="N14" s="116"/>
      <c r="Q14" s="116"/>
      <c r="S14" s="104"/>
      <c r="T14" s="104"/>
      <c r="U14" s="104"/>
      <c r="V14" s="104"/>
      <c r="W14" s="104"/>
      <c r="X14" s="104"/>
      <c r="Y14" s="104"/>
      <c r="Z14" s="104"/>
      <c r="AA14" s="105"/>
      <c r="AB14" s="105"/>
      <c r="AC14" s="105"/>
      <c r="AE14" s="105"/>
    </row>
    <row r="15" spans="1:31" x14ac:dyDescent="0.2">
      <c r="B15" s="8" t="s">
        <v>76</v>
      </c>
      <c r="C15" s="104">
        <f>'Statement Y'!H14</f>
        <v>-14527</v>
      </c>
      <c r="D15" s="104">
        <f>'Statement Y'!I14</f>
        <v>-19300</v>
      </c>
      <c r="E15" s="104">
        <f>'Statement Y'!J14</f>
        <v>-16741</v>
      </c>
      <c r="F15" s="104">
        <f>'Statement Y'!K14</f>
        <v>-29749</v>
      </c>
      <c r="G15" s="107">
        <f>'Statement Y'!L14</f>
        <v>-20719</v>
      </c>
      <c r="H15" s="105" t="e">
        <f ca="1">-H14*H21</f>
        <v>#REF!</v>
      </c>
      <c r="I15" s="105" t="e">
        <f t="shared" ref="I15:L15" ca="1" si="4">-I14*I21</f>
        <v>#REF!</v>
      </c>
      <c r="J15" s="105" t="e">
        <f t="shared" ca="1" si="4"/>
        <v>#REF!</v>
      </c>
      <c r="K15" s="105" t="e">
        <f t="shared" ca="1" si="4"/>
        <v>#REF!</v>
      </c>
      <c r="L15" s="105" t="e">
        <f t="shared" ca="1" si="4"/>
        <v>#REF!</v>
      </c>
      <c r="N15" s="116"/>
      <c r="Q15" s="116"/>
      <c r="S15" s="104"/>
      <c r="T15" s="104"/>
      <c r="U15" s="104"/>
      <c r="V15" s="104"/>
      <c r="W15" s="104"/>
      <c r="X15" s="104"/>
      <c r="Y15" s="104"/>
      <c r="Z15" s="104"/>
      <c r="AA15" s="105"/>
      <c r="AB15" s="105"/>
      <c r="AC15" s="105"/>
      <c r="AE15" s="105"/>
    </row>
    <row r="16" spans="1:31" x14ac:dyDescent="0.2">
      <c r="B16" s="7" t="s">
        <v>14</v>
      </c>
      <c r="C16" s="110" t="e">
        <f>C14+C15</f>
        <v>#REF!</v>
      </c>
      <c r="D16" s="110" t="e">
        <f t="shared" ref="D16:L16" si="5">D14+D15</f>
        <v>#REF!</v>
      </c>
      <c r="E16" s="110" t="e">
        <f t="shared" si="5"/>
        <v>#REF!</v>
      </c>
      <c r="F16" s="110" t="e">
        <f t="shared" si="5"/>
        <v>#REF!</v>
      </c>
      <c r="G16" s="149" t="e">
        <f t="shared" si="5"/>
        <v>#REF!</v>
      </c>
      <c r="H16" s="110" t="e">
        <f t="shared" ca="1" si="5"/>
        <v>#REF!</v>
      </c>
      <c r="I16" s="110" t="e">
        <f t="shared" ca="1" si="5"/>
        <v>#REF!</v>
      </c>
      <c r="J16" s="110" t="e">
        <f t="shared" ca="1" si="5"/>
        <v>#REF!</v>
      </c>
      <c r="K16" s="110" t="e">
        <f t="shared" ca="1" si="5"/>
        <v>#REF!</v>
      </c>
      <c r="L16" s="110" t="e">
        <f t="shared" ca="1" si="5"/>
        <v>#REF!</v>
      </c>
      <c r="Q16" s="91"/>
      <c r="R16" s="7"/>
      <c r="S16" s="108"/>
      <c r="T16" s="108"/>
      <c r="U16" s="108"/>
      <c r="V16" s="108"/>
      <c r="W16" s="108"/>
      <c r="X16" s="108"/>
      <c r="Y16" s="108"/>
      <c r="Z16" s="108"/>
      <c r="AA16" s="110"/>
      <c r="AB16" s="110"/>
      <c r="AC16" s="110"/>
      <c r="AE16" s="110"/>
    </row>
    <row r="19" spans="2:12" x14ac:dyDescent="0.2">
      <c r="C19" s="215" t="s">
        <v>214</v>
      </c>
      <c r="D19" s="215"/>
      <c r="E19" s="215"/>
      <c r="F19" s="215"/>
      <c r="G19" s="215"/>
      <c r="H19" s="215"/>
      <c r="I19" s="215"/>
      <c r="J19" s="215"/>
      <c r="K19" s="215"/>
      <c r="L19" s="215"/>
    </row>
    <row r="20" spans="2:12" x14ac:dyDescent="0.2">
      <c r="C20" s="62">
        <f>C5</f>
        <v>2021</v>
      </c>
      <c r="D20" s="62">
        <f t="shared" ref="D20:L20" si="6">D5</f>
        <v>2022</v>
      </c>
      <c r="E20" s="62">
        <f t="shared" si="6"/>
        <v>2023</v>
      </c>
      <c r="F20" s="62">
        <f t="shared" si="6"/>
        <v>2024</v>
      </c>
      <c r="G20" s="62">
        <f t="shared" si="6"/>
        <v>2025</v>
      </c>
      <c r="H20" s="62">
        <f t="shared" si="6"/>
        <v>2026</v>
      </c>
      <c r="I20" s="62">
        <f t="shared" si="6"/>
        <v>2027</v>
      </c>
      <c r="J20" s="62">
        <f t="shared" si="6"/>
        <v>2028</v>
      </c>
      <c r="K20" s="62">
        <f t="shared" si="6"/>
        <v>2029</v>
      </c>
      <c r="L20" s="62">
        <f t="shared" si="6"/>
        <v>2030</v>
      </c>
    </row>
    <row r="21" spans="2:12" x14ac:dyDescent="0.2">
      <c r="B21" s="1" t="s">
        <v>97</v>
      </c>
      <c r="C21" s="95">
        <f>'Statement Y'!H119</f>
        <v>0.13302260844085087</v>
      </c>
      <c r="D21" s="95">
        <f>'Statement Y'!I119</f>
        <v>0.16204461684424407</v>
      </c>
      <c r="E21" s="95">
        <f>'Statement Y'!J119</f>
        <v>0.14719174228036858</v>
      </c>
      <c r="F21" s="95">
        <f>'Statement Y'!K119</f>
        <v>0.24091185164189982</v>
      </c>
      <c r="G21" s="152">
        <f>'Statement Y'!L119</f>
        <v>0.15610002335586043</v>
      </c>
      <c r="H21" s="96">
        <v>0.21</v>
      </c>
      <c r="I21" s="96">
        <v>0.21</v>
      </c>
      <c r="J21" s="96">
        <v>0.21</v>
      </c>
      <c r="K21" s="96">
        <v>0.21</v>
      </c>
      <c r="L21" s="96">
        <v>0.21</v>
      </c>
    </row>
  </sheetData>
  <mergeCells count="7">
    <mergeCell ref="C19:L1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5:L15 C15:G15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0" customFormat="1" ht="18" customHeight="1" x14ac:dyDescent="0.2">
      <c r="A1" s="101"/>
      <c r="B1" s="102" t="s">
        <v>196</v>
      </c>
    </row>
    <row r="2" spans="1:31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E2" s="125"/>
    </row>
    <row r="3" spans="1:31" ht="10" customHeight="1" x14ac:dyDescent="0.2"/>
    <row r="4" spans="1:31" ht="16" customHeight="1" x14ac:dyDescent="0.2">
      <c r="A4" s="106"/>
      <c r="B4" s="92"/>
      <c r="C4" s="215" t="s">
        <v>196</v>
      </c>
      <c r="D4" s="215"/>
      <c r="E4" s="215"/>
      <c r="F4" s="215"/>
      <c r="G4" s="215"/>
      <c r="H4" s="215"/>
      <c r="I4" s="215"/>
      <c r="J4" s="215"/>
      <c r="K4" s="215"/>
      <c r="L4" s="215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E4" s="126"/>
    </row>
    <row r="5" spans="1:31" x14ac:dyDescent="0.2">
      <c r="B5" s="7" t="s">
        <v>156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E5" s="126"/>
    </row>
    <row r="6" spans="1:31" x14ac:dyDescent="0.2">
      <c r="B6" s="1" t="s">
        <v>20</v>
      </c>
      <c r="C6" s="145">
        <f>'Statement Y'!H26</f>
        <v>34940</v>
      </c>
      <c r="D6" s="145">
        <f>'Statement Y'!I26</f>
        <v>23646</v>
      </c>
      <c r="E6" s="145">
        <f>'Statement Y'!J26</f>
        <v>29965</v>
      </c>
      <c r="F6" s="145">
        <f>'Statement Y'!K26</f>
        <v>29943</v>
      </c>
      <c r="G6" s="147">
        <f>'Statement Y'!L26</f>
        <v>35934</v>
      </c>
      <c r="H6" s="146" t="e">
        <f ca="1">G6+'Cash Flow'!H26</f>
        <v>#REF!</v>
      </c>
      <c r="I6" s="146" t="e">
        <f ca="1">H6+'Cash Flow'!I26</f>
        <v>#REF!</v>
      </c>
      <c r="J6" s="146" t="e">
        <f ca="1">I6+'Cash Flow'!J26</f>
        <v>#REF!</v>
      </c>
      <c r="K6" s="146" t="e">
        <f ca="1">J6+'Cash Flow'!K26</f>
        <v>#REF!</v>
      </c>
      <c r="L6" s="146" t="e">
        <f ca="1">K6+'Cash Flow'!L26</f>
        <v>#REF!</v>
      </c>
      <c r="N6" s="116" t="s">
        <v>201</v>
      </c>
      <c r="Q6" s="116"/>
      <c r="S6" s="104"/>
      <c r="T6" s="104"/>
      <c r="U6" s="104"/>
      <c r="V6" s="104"/>
      <c r="W6" s="104"/>
      <c r="X6" s="104"/>
      <c r="Y6" s="104"/>
      <c r="Z6" s="104"/>
      <c r="AA6" s="105"/>
      <c r="AB6" s="105"/>
      <c r="AC6" s="105"/>
      <c r="AE6" s="105"/>
    </row>
    <row r="7" spans="1:31" x14ac:dyDescent="0.2">
      <c r="B7" s="1" t="s">
        <v>114</v>
      </c>
      <c r="C7" s="145">
        <f>'Statement Y'!H27</f>
        <v>27699</v>
      </c>
      <c r="D7" s="104">
        <f>'Statement Y'!I27</f>
        <v>24658</v>
      </c>
      <c r="E7" s="104">
        <f>'Statement Y'!J27</f>
        <v>31590</v>
      </c>
      <c r="F7" s="104">
        <f>'Statement Y'!K27</f>
        <v>35228</v>
      </c>
      <c r="G7" s="107">
        <f>'Statement Y'!L27</f>
        <v>18763</v>
      </c>
      <c r="H7" s="97">
        <f>$G$7</f>
        <v>18763</v>
      </c>
      <c r="I7" s="97">
        <f t="shared" ref="I7:L7" si="1">$G$7</f>
        <v>18763</v>
      </c>
      <c r="J7" s="97">
        <f t="shared" si="1"/>
        <v>18763</v>
      </c>
      <c r="K7" s="97">
        <f t="shared" si="1"/>
        <v>18763</v>
      </c>
      <c r="L7" s="97">
        <f t="shared" si="1"/>
        <v>18763</v>
      </c>
      <c r="N7" s="116" t="s">
        <v>226</v>
      </c>
      <c r="Q7" s="116"/>
      <c r="S7" s="104"/>
      <c r="T7" s="104"/>
      <c r="U7" s="104"/>
      <c r="V7" s="104"/>
      <c r="W7" s="104"/>
      <c r="X7" s="104"/>
      <c r="Y7" s="104"/>
      <c r="Z7" s="104"/>
      <c r="AA7" s="105"/>
      <c r="AB7" s="105"/>
      <c r="AC7" s="105"/>
      <c r="AE7" s="105"/>
    </row>
    <row r="8" spans="1:31" x14ac:dyDescent="0.2">
      <c r="B8" s="1" t="s">
        <v>21</v>
      </c>
      <c r="C8" s="145">
        <f>'Statement Y'!H28</f>
        <v>26278</v>
      </c>
      <c r="D8" s="104">
        <f>'Statement Y'!I28</f>
        <v>28184</v>
      </c>
      <c r="E8" s="104">
        <f>'Statement Y'!J28</f>
        <v>29508</v>
      </c>
      <c r="F8" s="104">
        <f>'Statement Y'!K28</f>
        <v>33410</v>
      </c>
      <c r="G8" s="107">
        <f>'Statement Y'!L28</f>
        <v>39777</v>
      </c>
      <c r="H8" s="146">
        <f>WC!H14</f>
        <v>34862.806423296708</v>
      </c>
      <c r="I8" s="146">
        <f>WC!I14</f>
        <v>36427.242285646353</v>
      </c>
      <c r="J8" s="146">
        <f>WC!J14</f>
        <v>38104.879311367076</v>
      </c>
      <c r="K8" s="146">
        <f>WC!K14</f>
        <v>39905.845524099968</v>
      </c>
      <c r="L8" s="146">
        <f>WC!L14</f>
        <v>41841.247175277051</v>
      </c>
      <c r="N8" s="116" t="s">
        <v>202</v>
      </c>
      <c r="Q8" s="116"/>
      <c r="S8" s="104"/>
      <c r="T8" s="104"/>
      <c r="U8" s="104"/>
      <c r="V8" s="104"/>
      <c r="W8" s="104"/>
      <c r="X8" s="104"/>
      <c r="Y8" s="104"/>
      <c r="Z8" s="104"/>
      <c r="AA8" s="105"/>
      <c r="AB8" s="105"/>
      <c r="AC8" s="105"/>
      <c r="AE8" s="105"/>
    </row>
    <row r="9" spans="1:31" x14ac:dyDescent="0.2">
      <c r="B9" s="1" t="s">
        <v>99</v>
      </c>
      <c r="C9" s="145">
        <f>'Statement Y'!H29</f>
        <v>25228</v>
      </c>
      <c r="D9" s="104">
        <f>'Statement Y'!I29</f>
        <v>32748</v>
      </c>
      <c r="E9" s="104">
        <f>'Statement Y'!J29</f>
        <v>31477</v>
      </c>
      <c r="F9" s="104">
        <f>'Statement Y'!K29</f>
        <v>32833</v>
      </c>
      <c r="G9" s="107">
        <f>'Statement Y'!L29</f>
        <v>33180</v>
      </c>
      <c r="H9" s="105">
        <f>WC!H28</f>
        <v>82562.594716799998</v>
      </c>
      <c r="I9" s="105">
        <f>WC!I28</f>
        <v>85777.357678425004</v>
      </c>
      <c r="J9" s="105">
        <f>WC!J28</f>
        <v>89044.147404082672</v>
      </c>
      <c r="K9" s="105">
        <f>WC!K28</f>
        <v>93073.688837299531</v>
      </c>
      <c r="L9" s="105">
        <f>WC!L28</f>
        <v>96649.345287274773</v>
      </c>
      <c r="N9" s="116" t="s">
        <v>202</v>
      </c>
      <c r="Q9" s="116"/>
      <c r="S9" s="104"/>
      <c r="T9" s="104"/>
      <c r="U9" s="104"/>
      <c r="V9" s="104"/>
      <c r="W9" s="104"/>
      <c r="X9" s="104"/>
      <c r="Y9" s="104"/>
      <c r="Z9" s="104"/>
      <c r="AA9" s="105"/>
      <c r="AB9" s="105"/>
      <c r="AC9" s="105"/>
      <c r="AE9" s="105"/>
    </row>
    <row r="10" spans="1:31" x14ac:dyDescent="0.2">
      <c r="B10" s="1" t="s">
        <v>112</v>
      </c>
      <c r="C10" s="145">
        <f>'Statement Y'!H31</f>
        <v>14111</v>
      </c>
      <c r="D10" s="104">
        <f>'Statement Y'!I31</f>
        <v>21223</v>
      </c>
      <c r="E10" s="104">
        <f>'Statement Y'!J31</f>
        <v>14695</v>
      </c>
      <c r="F10" s="104">
        <f>'Statement Y'!K31</f>
        <v>14287</v>
      </c>
      <c r="G10" s="107">
        <f>'Statement Y'!L31</f>
        <v>14585</v>
      </c>
      <c r="H10" s="105">
        <f>WC!H29</f>
        <v>2032.7911578000001</v>
      </c>
      <c r="I10" s="105">
        <f>WC!I29</f>
        <v>2164.8571223602498</v>
      </c>
      <c r="J10" s="105">
        <f>WC!J29</f>
        <v>2335.7709811691548</v>
      </c>
      <c r="K10" s="105">
        <f>WC!K29</f>
        <v>2535.6613946059169</v>
      </c>
      <c r="L10" s="105">
        <f>WC!L29</f>
        <v>2627.3608427608683</v>
      </c>
      <c r="N10" s="116" t="s">
        <v>202</v>
      </c>
      <c r="Q10" s="116"/>
      <c r="S10" s="104"/>
      <c r="T10" s="104"/>
      <c r="U10" s="104"/>
      <c r="V10" s="104"/>
      <c r="W10" s="104"/>
      <c r="X10" s="104"/>
      <c r="Y10" s="104"/>
      <c r="Z10" s="104"/>
      <c r="AA10" s="105"/>
      <c r="AB10" s="105"/>
      <c r="AC10" s="105"/>
      <c r="AE10" s="105"/>
    </row>
    <row r="11" spans="1:31" x14ac:dyDescent="0.2">
      <c r="B11" s="7" t="s">
        <v>22</v>
      </c>
      <c r="C11" s="110">
        <f>SUM(C6:C10)</f>
        <v>128256</v>
      </c>
      <c r="D11" s="110">
        <f t="shared" ref="D11:G11" si="2">SUM(D6:D10)</f>
        <v>130459</v>
      </c>
      <c r="E11" s="110">
        <f t="shared" si="2"/>
        <v>137235</v>
      </c>
      <c r="F11" s="110">
        <f t="shared" si="2"/>
        <v>145701</v>
      </c>
      <c r="G11" s="149">
        <f t="shared" si="2"/>
        <v>142239</v>
      </c>
      <c r="H11" s="110" t="e">
        <f ca="1">SUM(H6:H10)</f>
        <v>#REF!</v>
      </c>
      <c r="I11" s="110" t="e">
        <f t="shared" ref="I11:L11" ca="1" si="3">SUM(I6:I10)</f>
        <v>#REF!</v>
      </c>
      <c r="J11" s="110" t="e">
        <f t="shared" ca="1" si="3"/>
        <v>#REF!</v>
      </c>
      <c r="K11" s="110" t="e">
        <f t="shared" ca="1" si="3"/>
        <v>#REF!</v>
      </c>
      <c r="L11" s="110" t="e">
        <f t="shared" ca="1" si="3"/>
        <v>#REF!</v>
      </c>
      <c r="N11" s="116"/>
      <c r="Q11" s="116"/>
      <c r="S11" s="104"/>
      <c r="T11" s="104"/>
      <c r="U11" s="104"/>
      <c r="V11" s="104"/>
      <c r="W11" s="104"/>
      <c r="X11" s="104"/>
      <c r="Y11" s="104"/>
      <c r="Z11" s="104"/>
      <c r="AA11" s="105"/>
      <c r="AB11" s="105"/>
      <c r="AC11" s="105"/>
      <c r="AE11" s="105"/>
    </row>
    <row r="12" spans="1:31" x14ac:dyDescent="0.2">
      <c r="B12" s="1" t="s">
        <v>24</v>
      </c>
      <c r="C12" s="145">
        <f>'Statement Y'!H33</f>
        <v>127877</v>
      </c>
      <c r="D12" s="104">
        <f>'Statement Y'!I33</f>
        <v>120805</v>
      </c>
      <c r="E12" s="104">
        <f>'Statement Y'!J33</f>
        <v>100544</v>
      </c>
      <c r="F12" s="104">
        <f>'Statement Y'!K33</f>
        <v>91479</v>
      </c>
      <c r="G12" s="107">
        <f>'Statement Y'!L33</f>
        <v>77723</v>
      </c>
      <c r="H12" s="105">
        <f ca="1">'PP&amp;E'!H17</f>
        <v>107132.99256706185</v>
      </c>
      <c r="I12" s="105">
        <f ca="1">'PP&amp;E'!I17</f>
        <v>131383.38458647043</v>
      </c>
      <c r="J12" s="105">
        <f ca="1">'PP&amp;E'!J17</f>
        <v>150294.89386567491</v>
      </c>
      <c r="K12" s="105">
        <f ca="1">'PP&amp;E'!K17</f>
        <v>163677.6191425811</v>
      </c>
      <c r="L12" s="105">
        <f ca="1">'PP&amp;E'!L17</f>
        <v>171330.1775952274</v>
      </c>
      <c r="N12" s="116" t="s">
        <v>203</v>
      </c>
      <c r="Q12" s="116"/>
      <c r="S12" s="104"/>
      <c r="T12" s="104"/>
      <c r="U12" s="104"/>
      <c r="V12" s="104"/>
      <c r="W12" s="104"/>
      <c r="X12" s="104"/>
      <c r="Y12" s="104"/>
      <c r="Z12" s="104"/>
      <c r="AA12" s="105"/>
      <c r="AB12" s="105"/>
      <c r="AC12" s="105"/>
      <c r="AE12" s="105"/>
    </row>
    <row r="13" spans="1:31" x14ac:dyDescent="0.2">
      <c r="B13" s="1" t="s">
        <v>25</v>
      </c>
      <c r="C13" s="104">
        <f>'Statement Y'!H34</f>
        <v>39440</v>
      </c>
      <c r="D13" s="104">
        <f>'Statement Y'!I34</f>
        <v>42117</v>
      </c>
      <c r="E13" s="104">
        <f>'Statement Y'!J34</f>
        <v>43715</v>
      </c>
      <c r="F13" s="104">
        <f>'Statement Y'!K34</f>
        <v>45680</v>
      </c>
      <c r="G13" s="107">
        <f>'Statement Y'!L34</f>
        <v>49834</v>
      </c>
      <c r="H13" s="97">
        <f>$G$13</f>
        <v>49834</v>
      </c>
      <c r="I13" s="97">
        <f t="shared" ref="I13:L13" si="4">$G$13</f>
        <v>49834</v>
      </c>
      <c r="J13" s="97">
        <f t="shared" si="4"/>
        <v>49834</v>
      </c>
      <c r="K13" s="97">
        <f t="shared" si="4"/>
        <v>49834</v>
      </c>
      <c r="L13" s="97">
        <f t="shared" si="4"/>
        <v>49834</v>
      </c>
      <c r="N13" s="116" t="s">
        <v>226</v>
      </c>
      <c r="Q13" s="116"/>
      <c r="S13" s="104"/>
      <c r="T13" s="104"/>
      <c r="U13" s="104"/>
      <c r="V13" s="104"/>
      <c r="W13" s="104"/>
      <c r="X13" s="104"/>
      <c r="Y13" s="104"/>
      <c r="Z13" s="104"/>
      <c r="AA13" s="105"/>
      <c r="AB13" s="105"/>
      <c r="AC13" s="105"/>
      <c r="AE13" s="105"/>
    </row>
    <row r="14" spans="1:31" x14ac:dyDescent="0.2">
      <c r="B14" s="1" t="s">
        <v>113</v>
      </c>
      <c r="C14" s="104" t="e">
        <f>'Statement Y'!#REF!</f>
        <v>#REF!</v>
      </c>
      <c r="D14" s="104" t="e">
        <f>'Statement Y'!#REF!</f>
        <v>#REF!</v>
      </c>
      <c r="E14" s="104" t="e">
        <f>'Statement Y'!#REF!</f>
        <v>#REF!</v>
      </c>
      <c r="F14" s="104" t="e">
        <f>'Statement Y'!#REF!</f>
        <v>#REF!</v>
      </c>
      <c r="G14" s="107" t="e">
        <f>'Statement Y'!#REF!</f>
        <v>#REF!</v>
      </c>
      <c r="H14" s="146" t="e">
        <f ca="1">Intangibles!H17</f>
        <v>#REF!</v>
      </c>
      <c r="I14" s="146" t="e">
        <f ca="1">Intangibles!I17</f>
        <v>#REF!</v>
      </c>
      <c r="J14" s="146" t="e">
        <f ca="1">Intangibles!J17</f>
        <v>#REF!</v>
      </c>
      <c r="K14" s="146" t="e">
        <f ca="1">Intangibles!K17</f>
        <v>#REF!</v>
      </c>
      <c r="L14" s="146" t="e">
        <f ca="1">Intangibles!L17</f>
        <v>#REF!</v>
      </c>
      <c r="N14" s="116" t="s">
        <v>204</v>
      </c>
      <c r="Q14" s="116"/>
      <c r="S14" s="104"/>
      <c r="T14" s="104"/>
      <c r="U14" s="104"/>
      <c r="V14" s="104"/>
      <c r="W14" s="104"/>
      <c r="X14" s="104"/>
      <c r="Y14" s="104"/>
      <c r="Z14" s="104"/>
      <c r="AA14" s="105"/>
      <c r="AB14" s="105"/>
      <c r="AC14" s="105"/>
      <c r="AE14" s="105"/>
    </row>
    <row r="15" spans="1:31" x14ac:dyDescent="0.2">
      <c r="B15" s="1" t="s">
        <v>100</v>
      </c>
      <c r="C15" s="104" t="e">
        <f>'Statement Y'!#REF!</f>
        <v>#REF!</v>
      </c>
      <c r="D15" s="104" t="e">
        <f>'Statement Y'!#REF!</f>
        <v>#REF!</v>
      </c>
      <c r="E15" s="104" t="e">
        <f>'Statement Y'!#REF!</f>
        <v>#REF!</v>
      </c>
      <c r="F15" s="104" t="e">
        <f>'Statement Y'!#REF!</f>
        <v>#REF!</v>
      </c>
      <c r="G15" s="107" t="e">
        <f>'Statement Y'!#REF!</f>
        <v>#REF!</v>
      </c>
      <c r="H15" s="105" t="e">
        <f>'Other Assets &amp; Liabilities'!H15</f>
        <v>#REF!</v>
      </c>
      <c r="I15" s="105" t="e">
        <f>'Other Assets &amp; Liabilities'!I15</f>
        <v>#REF!</v>
      </c>
      <c r="J15" s="105" t="e">
        <f>'Other Assets &amp; Liabilities'!J15</f>
        <v>#REF!</v>
      </c>
      <c r="K15" s="105" t="e">
        <f>'Other Assets &amp; Liabilities'!K15</f>
        <v>#REF!</v>
      </c>
      <c r="L15" s="105" t="e">
        <f>'Other Assets &amp; Liabilities'!L15</f>
        <v>#REF!</v>
      </c>
      <c r="N15" s="116" t="s">
        <v>229</v>
      </c>
      <c r="Q15" s="116"/>
      <c r="S15" s="104"/>
      <c r="T15" s="104"/>
      <c r="U15" s="104"/>
      <c r="V15" s="104"/>
      <c r="W15" s="104"/>
      <c r="X15" s="104"/>
      <c r="Y15" s="104"/>
      <c r="Z15" s="104"/>
      <c r="AA15" s="105"/>
      <c r="AB15" s="105"/>
      <c r="AC15" s="105"/>
      <c r="AE15" s="105"/>
    </row>
    <row r="16" spans="1:31" x14ac:dyDescent="0.2">
      <c r="B16" s="1" t="s">
        <v>115</v>
      </c>
      <c r="C16" s="104" t="e">
        <f>'Statement Y'!#REF!</f>
        <v>#REF!</v>
      </c>
      <c r="D16" s="104" t="e">
        <f>'Statement Y'!#REF!</f>
        <v>#REF!</v>
      </c>
      <c r="E16" s="104" t="e">
        <f>'Statement Y'!#REF!</f>
        <v>#REF!</v>
      </c>
      <c r="F16" s="104" t="e">
        <f>'Statement Y'!#REF!</f>
        <v>#REF!</v>
      </c>
      <c r="G16" s="107" t="e">
        <f>'Statement Y'!#REF!</f>
        <v>#REF!</v>
      </c>
      <c r="H16" s="97" t="e">
        <f>$G$16</f>
        <v>#REF!</v>
      </c>
      <c r="I16" s="97" t="e">
        <f t="shared" ref="I16:L16" si="5">$G$16</f>
        <v>#REF!</v>
      </c>
      <c r="J16" s="97" t="e">
        <f t="shared" si="5"/>
        <v>#REF!</v>
      </c>
      <c r="K16" s="97" t="e">
        <f t="shared" si="5"/>
        <v>#REF!</v>
      </c>
      <c r="L16" s="97" t="e">
        <f t="shared" si="5"/>
        <v>#REF!</v>
      </c>
      <c r="N16" s="116" t="s">
        <v>226</v>
      </c>
      <c r="Q16" s="116"/>
      <c r="S16" s="104"/>
      <c r="T16" s="104"/>
      <c r="U16" s="104"/>
      <c r="V16" s="104"/>
      <c r="W16" s="104"/>
      <c r="X16" s="104"/>
      <c r="Y16" s="104"/>
      <c r="Z16" s="104"/>
      <c r="AA16" s="105"/>
      <c r="AB16" s="105"/>
      <c r="AC16" s="105"/>
      <c r="AE16" s="105"/>
    </row>
    <row r="17" spans="2:31" x14ac:dyDescent="0.2">
      <c r="B17" s="1" t="s">
        <v>23</v>
      </c>
      <c r="C17" s="104" t="e">
        <f>'Statement Y'!#REF!</f>
        <v>#REF!</v>
      </c>
      <c r="D17" s="104" t="e">
        <f>'Statement Y'!#REF!</f>
        <v>#REF!</v>
      </c>
      <c r="E17" s="104" t="e">
        <f>'Statement Y'!#REF!</f>
        <v>#REF!</v>
      </c>
      <c r="F17" s="104" t="e">
        <f>'Statement Y'!#REF!</f>
        <v>#REF!</v>
      </c>
      <c r="G17" s="107" t="e">
        <f>'Statement Y'!#REF!</f>
        <v>#REF!</v>
      </c>
      <c r="H17" s="97" t="e">
        <f>$G$17</f>
        <v>#REF!</v>
      </c>
      <c r="I17" s="97" t="e">
        <f t="shared" ref="I17:L17" si="6">$G$17</f>
        <v>#REF!</v>
      </c>
      <c r="J17" s="97" t="e">
        <f t="shared" si="6"/>
        <v>#REF!</v>
      </c>
      <c r="K17" s="97" t="e">
        <f t="shared" si="6"/>
        <v>#REF!</v>
      </c>
      <c r="L17" s="97" t="e">
        <f t="shared" si="6"/>
        <v>#REF!</v>
      </c>
      <c r="N17" s="116" t="s">
        <v>226</v>
      </c>
      <c r="Q17" s="116"/>
      <c r="S17" s="104"/>
      <c r="T17" s="104"/>
      <c r="U17" s="104"/>
      <c r="V17" s="104"/>
      <c r="W17" s="104"/>
      <c r="X17" s="104"/>
      <c r="Y17" s="104"/>
      <c r="Z17" s="104"/>
      <c r="AA17" s="105"/>
      <c r="AB17" s="105"/>
      <c r="AC17" s="105"/>
      <c r="AE17" s="105"/>
    </row>
    <row r="18" spans="2:31" x14ac:dyDescent="0.2">
      <c r="B18" s="1" t="s">
        <v>38</v>
      </c>
      <c r="C18" s="104" t="e">
        <f>'Statement Y'!#REF!</f>
        <v>#REF!</v>
      </c>
      <c r="D18" s="104" t="e">
        <f>'Statement Y'!#REF!</f>
        <v>#REF!</v>
      </c>
      <c r="E18" s="104" t="e">
        <f>'Statement Y'!#REF!</f>
        <v>#REF!</v>
      </c>
      <c r="F18" s="104" t="e">
        <f>'Statement Y'!#REF!</f>
        <v>#REF!</v>
      </c>
      <c r="G18" s="107" t="e">
        <f>'Statement Y'!#REF!</f>
        <v>#REF!</v>
      </c>
      <c r="H18" s="97" t="e">
        <f>$G$18</f>
        <v>#REF!</v>
      </c>
      <c r="I18" s="97" t="e">
        <f t="shared" ref="I18:L18" si="7">$G$18</f>
        <v>#REF!</v>
      </c>
      <c r="J18" s="97" t="e">
        <f t="shared" si="7"/>
        <v>#REF!</v>
      </c>
      <c r="K18" s="97" t="e">
        <f t="shared" si="7"/>
        <v>#REF!</v>
      </c>
      <c r="L18" s="97" t="e">
        <f t="shared" si="7"/>
        <v>#REF!</v>
      </c>
      <c r="N18" s="1" t="s">
        <v>226</v>
      </c>
      <c r="Q18" s="91"/>
      <c r="R18" s="7"/>
      <c r="S18" s="108"/>
      <c r="T18" s="108"/>
      <c r="U18" s="108"/>
      <c r="V18" s="108"/>
      <c r="W18" s="108"/>
      <c r="X18" s="108"/>
      <c r="Y18" s="108"/>
      <c r="Z18" s="108"/>
      <c r="AA18" s="110"/>
      <c r="AB18" s="110"/>
      <c r="AC18" s="110"/>
      <c r="AE18" s="110"/>
    </row>
    <row r="19" spans="2:31" x14ac:dyDescent="0.2">
      <c r="B19" s="1" t="s">
        <v>26</v>
      </c>
      <c r="C19" s="104">
        <f>'Statement Y'!H35</f>
        <v>48849</v>
      </c>
      <c r="D19" s="104">
        <f>'Statement Y'!I35</f>
        <v>54428</v>
      </c>
      <c r="E19" s="104">
        <f>'Statement Y'!J35</f>
        <v>64758</v>
      </c>
      <c r="F19" s="104">
        <f>'Statement Y'!K35</f>
        <v>74834</v>
      </c>
      <c r="G19" s="107">
        <f>'Statement Y'!L35</f>
        <v>83727</v>
      </c>
      <c r="H19" s="20">
        <f>'Other Assets &amp; Liabilities'!H16</f>
        <v>72370.801751521372</v>
      </c>
      <c r="I19" s="20">
        <f>'Other Assets &amp; Liabilities'!I16</f>
        <v>75618.373856658</v>
      </c>
      <c r="J19" s="20">
        <f>'Other Assets &amp; Liabilities'!J16</f>
        <v>79100.937340655495</v>
      </c>
      <c r="K19" s="20">
        <f>'Other Assets &amp; Liabilities'!K16</f>
        <v>82839.516706881841</v>
      </c>
      <c r="L19" s="20">
        <f>'Other Assets &amp; Liabilities'!L16</f>
        <v>86857.167136576041</v>
      </c>
      <c r="N19" s="116" t="s">
        <v>229</v>
      </c>
    </row>
    <row r="20" spans="2:31" x14ac:dyDescent="0.2">
      <c r="B20" s="7" t="s">
        <v>198</v>
      </c>
      <c r="C20" s="110" t="e">
        <f>SUM(C12:C19)</f>
        <v>#REF!</v>
      </c>
      <c r="D20" s="110" t="e">
        <f t="shared" ref="D20:G20" si="8">SUM(D12:D19)</f>
        <v>#REF!</v>
      </c>
      <c r="E20" s="110" t="e">
        <f t="shared" si="8"/>
        <v>#REF!</v>
      </c>
      <c r="F20" s="110" t="e">
        <f t="shared" si="8"/>
        <v>#REF!</v>
      </c>
      <c r="G20" s="149" t="e">
        <f t="shared" si="8"/>
        <v>#REF!</v>
      </c>
      <c r="H20" s="110" t="e">
        <f ca="1">SUM(H12:H19)</f>
        <v>#REF!</v>
      </c>
      <c r="I20" s="110" t="e">
        <f t="shared" ref="I20:L20" ca="1" si="9">SUM(I12:I19)</f>
        <v>#REF!</v>
      </c>
      <c r="J20" s="110" t="e">
        <f t="shared" ca="1" si="9"/>
        <v>#REF!</v>
      </c>
      <c r="K20" s="110" t="e">
        <f t="shared" ca="1" si="9"/>
        <v>#REF!</v>
      </c>
      <c r="L20" s="110" t="e">
        <f t="shared" ca="1" si="9"/>
        <v>#REF!</v>
      </c>
    </row>
    <row r="21" spans="2:31" x14ac:dyDescent="0.2">
      <c r="B21" s="7" t="s">
        <v>199</v>
      </c>
      <c r="C21" s="110" t="e">
        <f>C11+C20</f>
        <v>#REF!</v>
      </c>
      <c r="D21" s="110" t="e">
        <f t="shared" ref="D21:G21" si="10">D11+D20</f>
        <v>#REF!</v>
      </c>
      <c r="E21" s="110" t="e">
        <f t="shared" si="10"/>
        <v>#REF!</v>
      </c>
      <c r="F21" s="110" t="e">
        <f t="shared" si="10"/>
        <v>#REF!</v>
      </c>
      <c r="G21" s="149" t="e">
        <f t="shared" si="10"/>
        <v>#REF!</v>
      </c>
      <c r="H21" s="110" t="e">
        <f ca="1">H11+H20</f>
        <v>#REF!</v>
      </c>
      <c r="I21" s="110" t="e">
        <f t="shared" ref="I21:L21" ca="1" si="11">I11+I20</f>
        <v>#REF!</v>
      </c>
      <c r="J21" s="110" t="e">
        <f t="shared" ca="1" si="11"/>
        <v>#REF!</v>
      </c>
      <c r="K21" s="110" t="e">
        <f t="shared" ca="1" si="11"/>
        <v>#REF!</v>
      </c>
      <c r="L21" s="110" t="e">
        <f t="shared" ca="1" si="11"/>
        <v>#REF!</v>
      </c>
    </row>
    <row r="22" spans="2:31" x14ac:dyDescent="0.2">
      <c r="B22" s="1" t="s">
        <v>29</v>
      </c>
      <c r="C22" s="104">
        <f>'Statement Y'!H38</f>
        <v>54763</v>
      </c>
      <c r="D22" s="104">
        <f>'Statement Y'!I38</f>
        <v>64115</v>
      </c>
      <c r="E22" s="104">
        <f>'Statement Y'!J38</f>
        <v>62611</v>
      </c>
      <c r="F22" s="104">
        <f>'Statement Y'!K38</f>
        <v>68960</v>
      </c>
      <c r="G22" s="107">
        <f>'Statement Y'!L38</f>
        <v>69860</v>
      </c>
      <c r="H22" s="20">
        <f>WC!H15</f>
        <v>70131.983578332714</v>
      </c>
      <c r="I22" s="20">
        <f>WC!I15</f>
        <v>72862.732339394119</v>
      </c>
      <c r="J22" s="20">
        <f>WC!J15</f>
        <v>75637.674723164324</v>
      </c>
      <c r="K22" s="20">
        <f>WC!K15</f>
        <v>79060.529038631605</v>
      </c>
      <c r="L22" s="20">
        <f>WC!L15</f>
        <v>82097.835221795889</v>
      </c>
      <c r="N22" s="1" t="s">
        <v>202</v>
      </c>
    </row>
    <row r="23" spans="2:31" x14ac:dyDescent="0.2">
      <c r="B23" s="1" t="s">
        <v>101</v>
      </c>
      <c r="C23" s="104">
        <f>'Statement Y'!H40</f>
        <v>7612</v>
      </c>
      <c r="D23" s="104">
        <f>'Statement Y'!I40</f>
        <v>7912</v>
      </c>
      <c r="E23" s="104">
        <f>'Statement Y'!J40</f>
        <v>8061</v>
      </c>
      <c r="F23" s="104">
        <f>'Statement Y'!K40</f>
        <v>8249</v>
      </c>
      <c r="G23" s="107">
        <f>'Statement Y'!L40</f>
        <v>9055</v>
      </c>
      <c r="H23" s="20">
        <f>WC!H30</f>
        <v>217178.54250000001</v>
      </c>
      <c r="I23" s="20">
        <f>WC!I30</f>
        <v>226924.2266625</v>
      </c>
      <c r="J23" s="20">
        <f>WC!J30</f>
        <v>237375.09971231251</v>
      </c>
      <c r="K23" s="20">
        <f>WC!K30</f>
        <v>248594.25437312908</v>
      </c>
      <c r="L23" s="20">
        <f>WC!L30</f>
        <v>260650.87725802261</v>
      </c>
      <c r="N23" s="1" t="s">
        <v>202</v>
      </c>
    </row>
    <row r="24" spans="2:31" x14ac:dyDescent="0.2">
      <c r="B24" s="1" t="s">
        <v>37</v>
      </c>
      <c r="C24" s="104">
        <f>'Statement Y'!H41</f>
        <v>6000</v>
      </c>
      <c r="D24" s="104">
        <f>'Statement Y'!I41</f>
        <v>9982</v>
      </c>
      <c r="E24" s="104">
        <f>'Statement Y'!J41</f>
        <v>5985</v>
      </c>
      <c r="F24" s="104">
        <f>'Statement Y'!K41</f>
        <v>9967</v>
      </c>
      <c r="G24" s="107">
        <f>'Statement Y'!L41</f>
        <v>7979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16" t="s">
        <v>229</v>
      </c>
    </row>
    <row r="25" spans="2:31" x14ac:dyDescent="0.2">
      <c r="B25" s="1" t="s">
        <v>102</v>
      </c>
      <c r="C25" s="104">
        <f>'Statement Y'!H42</f>
        <v>9613</v>
      </c>
      <c r="D25" s="104">
        <f>'Statement Y'!I42</f>
        <v>11128</v>
      </c>
      <c r="E25" s="104">
        <f>'Statement Y'!J42</f>
        <v>9822</v>
      </c>
      <c r="F25" s="104">
        <f>'Statement Y'!K42</f>
        <v>10912</v>
      </c>
      <c r="G25" s="107">
        <f>'Statement Y'!L42</f>
        <v>12350</v>
      </c>
      <c r="H25" s="20">
        <f>WC!H31</f>
        <v>5081.9778944999998</v>
      </c>
      <c r="I25" s="20">
        <f>WC!I31</f>
        <v>5412.1428059006248</v>
      </c>
      <c r="J25" s="20">
        <f>WC!J31</f>
        <v>5839.4274529228869</v>
      </c>
      <c r="K25" s="20">
        <f>WC!K31</f>
        <v>6339.1534865147923</v>
      </c>
      <c r="L25" s="20">
        <f>WC!L31</f>
        <v>6568.4021069021701</v>
      </c>
      <c r="N25" s="1" t="s">
        <v>202</v>
      </c>
    </row>
    <row r="26" spans="2:31" x14ac:dyDescent="0.2">
      <c r="B26" s="7" t="s">
        <v>32</v>
      </c>
      <c r="C26" s="110">
        <f>SUM(C22:C25)</f>
        <v>77988</v>
      </c>
      <c r="D26" s="110">
        <f t="shared" ref="D26:G26" si="12">SUM(D22:D25)</f>
        <v>93137</v>
      </c>
      <c r="E26" s="110">
        <f t="shared" si="12"/>
        <v>86479</v>
      </c>
      <c r="F26" s="110">
        <f t="shared" si="12"/>
        <v>98088</v>
      </c>
      <c r="G26" s="149">
        <f t="shared" si="12"/>
        <v>99244</v>
      </c>
      <c r="H26" s="21" t="e">
        <f ca="1">SUM(H22:H25)</f>
        <v>#REF!</v>
      </c>
      <c r="I26" s="21" t="e">
        <f t="shared" ref="I26:L26" ca="1" si="13">SUM(I22:I25)</f>
        <v>#REF!</v>
      </c>
      <c r="J26" s="21" t="e">
        <f t="shared" ca="1" si="13"/>
        <v>#REF!</v>
      </c>
      <c r="K26" s="21" t="e">
        <f t="shared" ca="1" si="13"/>
        <v>#REF!</v>
      </c>
      <c r="L26" s="21" t="e">
        <f t="shared" ca="1" si="13"/>
        <v>#REF!</v>
      </c>
    </row>
    <row r="27" spans="2:31" x14ac:dyDescent="0.2">
      <c r="B27" s="1" t="s">
        <v>103</v>
      </c>
      <c r="C27" s="104">
        <f>'Statement Y'!H44</f>
        <v>109106</v>
      </c>
      <c r="D27" s="104">
        <f>'Statement Y'!I44</f>
        <v>98959</v>
      </c>
      <c r="E27" s="104">
        <f>'Statement Y'!J44</f>
        <v>95281</v>
      </c>
      <c r="F27" s="104">
        <f>'Statement Y'!K44</f>
        <v>85750</v>
      </c>
      <c r="G27" s="107">
        <f>'Statement Y'!L44</f>
        <v>78328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16" t="s">
        <v>229</v>
      </c>
    </row>
    <row r="28" spans="2:31" x14ac:dyDescent="0.2">
      <c r="B28" s="1" t="s">
        <v>116</v>
      </c>
      <c r="C28" s="104">
        <f>'Statement Y'!H45</f>
        <v>53325</v>
      </c>
      <c r="D28" s="104">
        <f>'Statement Y'!I45</f>
        <v>49142</v>
      </c>
      <c r="E28" s="104">
        <f>'Statement Y'!J45</f>
        <v>49848</v>
      </c>
      <c r="F28" s="104">
        <f>'Statement Y'!K45</f>
        <v>45888</v>
      </c>
      <c r="G28" s="107">
        <f>'Statement Y'!L45</f>
        <v>41549</v>
      </c>
      <c r="H28" s="97">
        <f>$G28</f>
        <v>41549</v>
      </c>
      <c r="I28" s="97">
        <f t="shared" ref="I28:L28" si="14">$G28</f>
        <v>41549</v>
      </c>
      <c r="J28" s="97">
        <f t="shared" si="14"/>
        <v>41549</v>
      </c>
      <c r="K28" s="97">
        <f t="shared" si="14"/>
        <v>41549</v>
      </c>
      <c r="L28" s="97">
        <f t="shared" si="14"/>
        <v>41549</v>
      </c>
      <c r="N28" s="1" t="s">
        <v>226</v>
      </c>
    </row>
    <row r="29" spans="2:31" x14ac:dyDescent="0.2">
      <c r="B29" s="7" t="s">
        <v>30</v>
      </c>
      <c r="C29" s="110">
        <f>SUM(C27:C28)</f>
        <v>162431</v>
      </c>
      <c r="D29" s="110">
        <f t="shared" ref="D29:G29" si="15">SUM(D27:D28)</f>
        <v>148101</v>
      </c>
      <c r="E29" s="110">
        <f t="shared" si="15"/>
        <v>145129</v>
      </c>
      <c r="F29" s="110">
        <f t="shared" si="15"/>
        <v>131638</v>
      </c>
      <c r="G29" s="149">
        <f t="shared" si="15"/>
        <v>119877</v>
      </c>
      <c r="H29" s="110" t="e">
        <f>SUM(H27:H28)</f>
        <v>#REF!</v>
      </c>
      <c r="I29" s="110" t="e">
        <f t="shared" ref="I29:L29" si="16">SUM(I27:I28)</f>
        <v>#REF!</v>
      </c>
      <c r="J29" s="110" t="e">
        <f t="shared" si="16"/>
        <v>#REF!</v>
      </c>
      <c r="K29" s="110" t="e">
        <f t="shared" si="16"/>
        <v>#REF!</v>
      </c>
      <c r="L29" s="110" t="e">
        <f t="shared" si="16"/>
        <v>#REF!</v>
      </c>
    </row>
    <row r="30" spans="2:31" x14ac:dyDescent="0.2">
      <c r="B30" s="7" t="s">
        <v>200</v>
      </c>
      <c r="C30" s="110">
        <f>C26+C29</f>
        <v>240419</v>
      </c>
      <c r="D30" s="110">
        <f t="shared" ref="D30:G30" si="17">D26+D29</f>
        <v>241238</v>
      </c>
      <c r="E30" s="110">
        <f t="shared" si="17"/>
        <v>231608</v>
      </c>
      <c r="F30" s="110">
        <f t="shared" si="17"/>
        <v>229726</v>
      </c>
      <c r="G30" s="149">
        <f t="shared" si="17"/>
        <v>219121</v>
      </c>
      <c r="H30" s="21" t="e">
        <f ca="1">H26+H29</f>
        <v>#REF!</v>
      </c>
      <c r="I30" s="21" t="e">
        <f t="shared" ref="I30:L30" ca="1" si="18">I26+I29</f>
        <v>#REF!</v>
      </c>
      <c r="J30" s="21" t="e">
        <f t="shared" ca="1" si="18"/>
        <v>#REF!</v>
      </c>
      <c r="K30" s="21" t="e">
        <f t="shared" ca="1" si="18"/>
        <v>#REF!</v>
      </c>
      <c r="L30" s="21" t="e">
        <f t="shared" ca="1" si="18"/>
        <v>#REF!</v>
      </c>
    </row>
    <row r="31" spans="2:31" x14ac:dyDescent="0.2">
      <c r="B31" s="1" t="s">
        <v>33</v>
      </c>
      <c r="C31" s="104">
        <f>'Statement Y'!H48</f>
        <v>57365</v>
      </c>
      <c r="D31" s="104">
        <f>'Statement Y'!I48</f>
        <v>64849</v>
      </c>
      <c r="E31" s="104">
        <f>'Statement Y'!J48</f>
        <v>73812</v>
      </c>
      <c r="F31" s="104">
        <f>'Statement Y'!K48</f>
        <v>83276</v>
      </c>
      <c r="G31" s="107">
        <f>'Statement Y'!L48</f>
        <v>93568</v>
      </c>
      <c r="H31" s="97">
        <f>$G31</f>
        <v>93568</v>
      </c>
      <c r="I31" s="97">
        <f t="shared" ref="I31:L31" si="19">$G31</f>
        <v>93568</v>
      </c>
      <c r="J31" s="97">
        <f t="shared" si="19"/>
        <v>93568</v>
      </c>
      <c r="K31" s="97">
        <f t="shared" si="19"/>
        <v>93568</v>
      </c>
      <c r="L31" s="97">
        <f t="shared" si="19"/>
        <v>93568</v>
      </c>
      <c r="N31" s="1" t="s">
        <v>226</v>
      </c>
    </row>
    <row r="32" spans="2:31" x14ac:dyDescent="0.2">
      <c r="B32" s="1" t="s">
        <v>104</v>
      </c>
      <c r="C32" s="104">
        <f>'Statement Y'!H49</f>
        <v>5562</v>
      </c>
      <c r="D32" s="104">
        <f>'Statement Y'!I49</f>
        <v>-3068</v>
      </c>
      <c r="E32" s="104">
        <f>'Statement Y'!J49</f>
        <v>-214</v>
      </c>
      <c r="F32" s="104">
        <f>'Statement Y'!K49</f>
        <v>-19154</v>
      </c>
      <c r="G32" s="107">
        <f>'Statement Y'!L49</f>
        <v>-14264</v>
      </c>
      <c r="H32" s="105">
        <f>G32+Financing!H41+Financing!H42</f>
        <v>46545.991900000001</v>
      </c>
      <c r="I32" s="105">
        <f>H32+Financing!I41+Financing!I42</f>
        <v>105546.29083225</v>
      </c>
      <c r="J32" s="105">
        <f>I32+Financing!J41+Financing!J42</f>
        <v>162516.31476320501</v>
      </c>
      <c r="K32" s="105">
        <f>J32+Financing!K41+Financing!K42</f>
        <v>219692.99326902471</v>
      </c>
      <c r="L32" s="105">
        <f>K32+Financing!L41+Financing!L42</f>
        <v>279642.69503836991</v>
      </c>
      <c r="N32" s="1" t="s">
        <v>262</v>
      </c>
    </row>
    <row r="33" spans="2:14" x14ac:dyDescent="0.2">
      <c r="B33" s="1" t="s">
        <v>34</v>
      </c>
      <c r="C33" s="104">
        <f>'Statement Y'!H50</f>
        <v>163</v>
      </c>
      <c r="D33" s="104">
        <f>'Statement Y'!I50</f>
        <v>-11109</v>
      </c>
      <c r="E33" s="104">
        <f>'Statement Y'!J50</f>
        <v>-11452</v>
      </c>
      <c r="F33" s="104">
        <f>'Statement Y'!K50</f>
        <v>-7172</v>
      </c>
      <c r="G33" s="107">
        <f>'Statement Y'!L50</f>
        <v>-5571</v>
      </c>
      <c r="H33" s="105" t="e">
        <f ca="1">G33+'P&amp;L'!H16</f>
        <v>#REF!</v>
      </c>
      <c r="I33" s="105" t="e">
        <f ca="1">H33+'P&amp;L'!I16</f>
        <v>#REF!</v>
      </c>
      <c r="J33" s="105" t="e">
        <f ca="1">I33+'P&amp;L'!J16</f>
        <v>#REF!</v>
      </c>
      <c r="K33" s="105" t="e">
        <f ca="1">J33+'P&amp;L'!K16</f>
        <v>#REF!</v>
      </c>
      <c r="L33" s="105" t="e">
        <f ca="1">K33+'P&amp;L'!L16</f>
        <v>#REF!</v>
      </c>
      <c r="N33" s="1" t="s">
        <v>205</v>
      </c>
    </row>
    <row r="34" spans="2:14" x14ac:dyDescent="0.2">
      <c r="B34" s="7" t="s">
        <v>35</v>
      </c>
      <c r="C34" s="110">
        <f>SUM(C31:C33)</f>
        <v>63090</v>
      </c>
      <c r="D34" s="110">
        <f t="shared" ref="D34:G34" si="20">SUM(D31:D33)</f>
        <v>50672</v>
      </c>
      <c r="E34" s="110">
        <f t="shared" si="20"/>
        <v>62146</v>
      </c>
      <c r="F34" s="110">
        <f t="shared" si="20"/>
        <v>56950</v>
      </c>
      <c r="G34" s="149">
        <f t="shared" si="20"/>
        <v>73733</v>
      </c>
      <c r="H34" s="21" t="e">
        <f ca="1">SUM(H31:H33)</f>
        <v>#REF!</v>
      </c>
      <c r="I34" s="21" t="e">
        <f t="shared" ref="I34" ca="1" si="21">SUM(I31:I33)</f>
        <v>#REF!</v>
      </c>
      <c r="J34" s="21" t="e">
        <f t="shared" ref="J34" ca="1" si="22">SUM(J31:J33)</f>
        <v>#REF!</v>
      </c>
      <c r="K34" s="21" t="e">
        <f t="shared" ref="K34" ca="1" si="23">SUM(K31:K33)</f>
        <v>#REF!</v>
      </c>
      <c r="L34" s="21" t="e">
        <f t="shared" ref="L34" ca="1" si="24">SUM(L31:L33)</f>
        <v>#REF!</v>
      </c>
    </row>
    <row r="35" spans="2:14" x14ac:dyDescent="0.2">
      <c r="B35" s="7" t="s">
        <v>36</v>
      </c>
      <c r="C35" s="110">
        <f>C30+C34</f>
        <v>303509</v>
      </c>
      <c r="D35" s="110">
        <f t="shared" ref="D35:G35" si="25">D30+D34</f>
        <v>291910</v>
      </c>
      <c r="E35" s="110">
        <f t="shared" si="25"/>
        <v>293754</v>
      </c>
      <c r="F35" s="110">
        <f t="shared" si="25"/>
        <v>286676</v>
      </c>
      <c r="G35" s="149">
        <f t="shared" si="25"/>
        <v>292854</v>
      </c>
      <c r="H35" s="21" t="e">
        <f ca="1">H30+H34</f>
        <v>#REF!</v>
      </c>
      <c r="I35" s="21" t="e">
        <f t="shared" ref="I35:L35" ca="1" si="26">I30+I34</f>
        <v>#REF!</v>
      </c>
      <c r="J35" s="21" t="e">
        <f t="shared" ca="1" si="26"/>
        <v>#REF!</v>
      </c>
      <c r="K35" s="21" t="e">
        <f t="shared" ca="1" si="26"/>
        <v>#REF!</v>
      </c>
      <c r="L35" s="21" t="e">
        <f t="shared" ca="1" si="26"/>
        <v>#REF!</v>
      </c>
    </row>
    <row r="37" spans="2:14" x14ac:dyDescent="0.2">
      <c r="B37" s="150" t="s">
        <v>68</v>
      </c>
      <c r="C37" s="151" t="e">
        <f>C21-C35</f>
        <v>#REF!</v>
      </c>
      <c r="D37" s="151" t="e">
        <f t="shared" ref="D37:L37" si="27">D21-D35</f>
        <v>#REF!</v>
      </c>
      <c r="E37" s="151" t="e">
        <f t="shared" si="27"/>
        <v>#REF!</v>
      </c>
      <c r="F37" s="151" t="e">
        <f t="shared" si="27"/>
        <v>#REF!</v>
      </c>
      <c r="G37" s="164" t="e">
        <f t="shared" si="27"/>
        <v>#REF!</v>
      </c>
      <c r="H37" s="151" t="e">
        <f t="shared" ca="1" si="27"/>
        <v>#REF!</v>
      </c>
      <c r="I37" s="151" t="e">
        <f t="shared" ca="1" si="27"/>
        <v>#REF!</v>
      </c>
      <c r="J37" s="151" t="e">
        <f t="shared" ca="1" si="27"/>
        <v>#REF!</v>
      </c>
      <c r="K37" s="151" t="e">
        <f t="shared" ca="1" si="27"/>
        <v>#REF!</v>
      </c>
      <c r="L37" s="151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0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0" customFormat="1" ht="18" customHeight="1" x14ac:dyDescent="0.2">
      <c r="A1" s="101"/>
      <c r="B1" s="102" t="s">
        <v>197</v>
      </c>
    </row>
    <row r="2" spans="1:31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E2" s="125"/>
    </row>
    <row r="3" spans="1:31" ht="10" customHeight="1" x14ac:dyDescent="0.2"/>
    <row r="4" spans="1:31" ht="16" customHeight="1" x14ac:dyDescent="0.2">
      <c r="A4" s="106"/>
      <c r="B4" s="92"/>
      <c r="C4" s="215" t="s">
        <v>197</v>
      </c>
      <c r="D4" s="215"/>
      <c r="E4" s="215"/>
      <c r="F4" s="215"/>
      <c r="G4" s="215"/>
      <c r="H4" s="215"/>
      <c r="I4" s="215"/>
      <c r="J4" s="215"/>
      <c r="K4" s="215"/>
      <c r="L4" s="215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E4" s="126"/>
    </row>
    <row r="5" spans="1:31" x14ac:dyDescent="0.2">
      <c r="B5" s="7" t="s">
        <v>156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E5" s="126"/>
    </row>
    <row r="6" spans="1:31" x14ac:dyDescent="0.2">
      <c r="B6" s="7" t="s">
        <v>126</v>
      </c>
      <c r="C6" s="108">
        <f>'P&amp;L'!C12</f>
        <v>108949</v>
      </c>
      <c r="D6" s="108">
        <f>'P&amp;L'!D12</f>
        <v>119437</v>
      </c>
      <c r="E6" s="108">
        <f>'P&amp;L'!E12</f>
        <v>114301</v>
      </c>
      <c r="F6" s="108">
        <f>'P&amp;L'!F12</f>
        <v>123216</v>
      </c>
      <c r="G6" s="109">
        <f>'P&amp;L'!G12</f>
        <v>133050</v>
      </c>
      <c r="H6" s="108">
        <f>'P&amp;L'!H12</f>
        <v>137256.83886000002</v>
      </c>
      <c r="I6" s="108">
        <f>'P&amp;L'!I12</f>
        <v>143416.11125069999</v>
      </c>
      <c r="J6" s="108">
        <f>'P&amp;L'!J12</f>
        <v>149546.31281875688</v>
      </c>
      <c r="K6" s="108">
        <f>'P&amp;L'!K12</f>
        <v>154128.43771134</v>
      </c>
      <c r="L6" s="108">
        <f>'P&amp;L'!L12</f>
        <v>165252.65618158632</v>
      </c>
      <c r="N6" s="116" t="s">
        <v>205</v>
      </c>
      <c r="Q6" s="116"/>
      <c r="S6" s="104"/>
      <c r="T6" s="104"/>
      <c r="U6" s="104"/>
      <c r="V6" s="104"/>
      <c r="W6" s="104"/>
      <c r="X6" s="104"/>
      <c r="Y6" s="104"/>
      <c r="Z6" s="104"/>
      <c r="AA6" s="105"/>
      <c r="AB6" s="105"/>
      <c r="AC6" s="105"/>
      <c r="AE6" s="105"/>
    </row>
    <row r="7" spans="1:31" x14ac:dyDescent="0.2">
      <c r="B7" s="7" t="s">
        <v>215</v>
      </c>
      <c r="C7" s="110">
        <f>C6*(1-C31)</f>
        <v>94456.319832977737</v>
      </c>
      <c r="D7" s="110">
        <f t="shared" ref="D7:L7" si="1">D6*(1-D31)</f>
        <v>100082.87709797402</v>
      </c>
      <c r="E7" s="110">
        <f t="shared" si="1"/>
        <v>97476.836665611598</v>
      </c>
      <c r="F7" s="110">
        <f t="shared" si="1"/>
        <v>93531.80528809168</v>
      </c>
      <c r="G7" s="149">
        <f t="shared" si="1"/>
        <v>105109.5</v>
      </c>
      <c r="H7" s="110">
        <f t="shared" si="1"/>
        <v>108432.90269940002</v>
      </c>
      <c r="I7" s="110">
        <f t="shared" si="1"/>
        <v>113298.72788805299</v>
      </c>
      <c r="J7" s="110">
        <f t="shared" si="1"/>
        <v>118141.58712681795</v>
      </c>
      <c r="K7" s="110">
        <f t="shared" si="1"/>
        <v>121761.4657919586</v>
      </c>
      <c r="L7" s="110">
        <f t="shared" si="1"/>
        <v>130549.59838345321</v>
      </c>
      <c r="N7" s="116"/>
      <c r="Q7" s="116"/>
      <c r="S7" s="104"/>
      <c r="T7" s="104"/>
      <c r="U7" s="104"/>
      <c r="V7" s="104"/>
      <c r="W7" s="104"/>
      <c r="X7" s="104"/>
      <c r="Y7" s="104"/>
      <c r="Z7" s="104"/>
      <c r="AA7" s="105"/>
      <c r="AB7" s="105"/>
      <c r="AC7" s="105"/>
      <c r="AE7" s="105"/>
    </row>
    <row r="8" spans="1:31" x14ac:dyDescent="0.2">
      <c r="B8" s="1" t="s">
        <v>216</v>
      </c>
      <c r="C8" s="105">
        <f>C32+C33</f>
        <v>11284</v>
      </c>
      <c r="D8" s="105">
        <f t="shared" ref="D8:L8" si="2">D32+D33</f>
        <v>11104</v>
      </c>
      <c r="E8" s="105">
        <f t="shared" si="2"/>
        <v>11519</v>
      </c>
      <c r="F8" s="105">
        <f t="shared" si="2"/>
        <v>11445</v>
      </c>
      <c r="G8" s="155">
        <f t="shared" si="2"/>
        <v>11698</v>
      </c>
      <c r="H8" s="105" t="e">
        <f t="shared" ca="1" si="2"/>
        <v>#REF!</v>
      </c>
      <c r="I8" s="105" t="e">
        <f t="shared" ca="1" si="2"/>
        <v>#REF!</v>
      </c>
      <c r="J8" s="105" t="e">
        <f t="shared" ca="1" si="2"/>
        <v>#REF!</v>
      </c>
      <c r="K8" s="105" t="e">
        <f t="shared" ca="1" si="2"/>
        <v>#REF!</v>
      </c>
      <c r="L8" s="105" t="e">
        <f t="shared" ca="1" si="2"/>
        <v>#REF!</v>
      </c>
      <c r="N8" s="116"/>
      <c r="Q8" s="116"/>
      <c r="S8" s="104"/>
      <c r="T8" s="104"/>
      <c r="U8" s="104"/>
      <c r="V8" s="104"/>
      <c r="W8" s="104"/>
      <c r="X8" s="104"/>
      <c r="Y8" s="104"/>
      <c r="Z8" s="104"/>
      <c r="AA8" s="105"/>
      <c r="AB8" s="105"/>
      <c r="AC8" s="105"/>
      <c r="AE8" s="105"/>
    </row>
    <row r="9" spans="1:31" x14ac:dyDescent="0.2">
      <c r="B9" s="7" t="s">
        <v>217</v>
      </c>
      <c r="C9" s="110">
        <f>C7+C8</f>
        <v>105740.31983297774</v>
      </c>
      <c r="D9" s="110">
        <f t="shared" ref="D9:L9" si="3">D7+D8</f>
        <v>111186.87709797402</v>
      </c>
      <c r="E9" s="110">
        <f t="shared" si="3"/>
        <v>108995.8366656116</v>
      </c>
      <c r="F9" s="110">
        <f t="shared" si="3"/>
        <v>104976.80528809168</v>
      </c>
      <c r="G9" s="149">
        <f t="shared" si="3"/>
        <v>116807.5</v>
      </c>
      <c r="H9" s="110" t="e">
        <f t="shared" ca="1" si="3"/>
        <v>#REF!</v>
      </c>
      <c r="I9" s="110" t="e">
        <f t="shared" ca="1" si="3"/>
        <v>#REF!</v>
      </c>
      <c r="J9" s="110" t="e">
        <f t="shared" ca="1" si="3"/>
        <v>#REF!</v>
      </c>
      <c r="K9" s="110" t="e">
        <f t="shared" ca="1" si="3"/>
        <v>#REF!</v>
      </c>
      <c r="L9" s="110" t="e">
        <f t="shared" ca="1" si="3"/>
        <v>#REF!</v>
      </c>
      <c r="N9" s="116"/>
      <c r="Q9" s="116"/>
      <c r="S9" s="104"/>
      <c r="T9" s="104"/>
      <c r="U9" s="104"/>
      <c r="V9" s="104"/>
      <c r="W9" s="104"/>
      <c r="X9" s="104"/>
      <c r="Y9" s="104"/>
      <c r="Z9" s="104"/>
      <c r="AA9" s="105"/>
      <c r="AB9" s="105"/>
      <c r="AC9" s="105"/>
      <c r="AE9" s="105"/>
    </row>
    <row r="10" spans="1:31" x14ac:dyDescent="0.2">
      <c r="B10" s="1" t="s">
        <v>218</v>
      </c>
      <c r="C10" s="104">
        <f>'Statement Y'!H60</f>
        <v>-10125</v>
      </c>
      <c r="D10" s="104">
        <f>'Statement Y'!I60</f>
        <v>-1823</v>
      </c>
      <c r="E10" s="104">
        <f>'Statement Y'!J60</f>
        <v>-1688</v>
      </c>
      <c r="F10" s="104">
        <f>'Statement Y'!K60</f>
        <v>-3788</v>
      </c>
      <c r="G10" s="107">
        <f>'Statement Y'!L60</f>
        <v>-6682</v>
      </c>
      <c r="H10" s="105">
        <f>-('Balance Sheet'!H8-'Balance Sheet'!G8)</f>
        <v>4914.1935767032919</v>
      </c>
      <c r="I10" s="105">
        <f>-('Balance Sheet'!I8-'Balance Sheet'!H8)</f>
        <v>-1564.4358623496446</v>
      </c>
      <c r="J10" s="105">
        <f>-('Balance Sheet'!J8-'Balance Sheet'!I8)</f>
        <v>-1677.6370257207236</v>
      </c>
      <c r="K10" s="105">
        <f>-('Balance Sheet'!K8-'Balance Sheet'!J8)</f>
        <v>-1800.966212732892</v>
      </c>
      <c r="L10" s="105">
        <f>-('Balance Sheet'!L8-'Balance Sheet'!K8)</f>
        <v>-1935.4016511770824</v>
      </c>
      <c r="N10" s="116"/>
      <c r="Q10" s="116"/>
      <c r="S10" s="104"/>
      <c r="T10" s="104"/>
      <c r="U10" s="104"/>
      <c r="V10" s="104"/>
      <c r="W10" s="104"/>
      <c r="X10" s="104"/>
      <c r="Y10" s="104"/>
      <c r="Z10" s="104"/>
      <c r="AA10" s="105"/>
      <c r="AB10" s="105"/>
      <c r="AC10" s="105"/>
      <c r="AE10" s="105"/>
    </row>
    <row r="11" spans="1:31" x14ac:dyDescent="0.2">
      <c r="B11" s="1" t="s">
        <v>219</v>
      </c>
      <c r="C11" s="104">
        <f>'Statement Y'!H61</f>
        <v>-3903</v>
      </c>
      <c r="D11" s="104">
        <f>'Statement Y'!I61</f>
        <v>-7520</v>
      </c>
      <c r="E11" s="104">
        <f>'Statement Y'!J61</f>
        <v>1271</v>
      </c>
      <c r="F11" s="104">
        <f>'Statement Y'!K61</f>
        <v>-1356</v>
      </c>
      <c r="G11" s="107">
        <f>'Statement Y'!L61</f>
        <v>-347</v>
      </c>
      <c r="H11" s="105">
        <f>-(WC!H28-WC!G28)</f>
        <v>-49382.594716799998</v>
      </c>
      <c r="I11" s="105">
        <f>-(WC!I28-WC!H28)</f>
        <v>-3214.7629616250051</v>
      </c>
      <c r="J11" s="105">
        <f>-(WC!J28-WC!I28)</f>
        <v>-3266.7897256576689</v>
      </c>
      <c r="K11" s="105">
        <f>-(WC!K28-WC!J28)</f>
        <v>-4029.5414332168584</v>
      </c>
      <c r="L11" s="105">
        <f>-(WC!L28-WC!K28)</f>
        <v>-3575.6564499752421</v>
      </c>
      <c r="N11" s="116"/>
      <c r="Q11" s="116"/>
      <c r="S11" s="104"/>
      <c r="T11" s="104"/>
      <c r="U11" s="104"/>
      <c r="V11" s="104"/>
      <c r="W11" s="104"/>
      <c r="X11" s="104"/>
      <c r="Y11" s="104"/>
      <c r="Z11" s="104"/>
      <c r="AA11" s="105"/>
      <c r="AB11" s="105"/>
      <c r="AC11" s="105"/>
      <c r="AE11" s="105"/>
    </row>
    <row r="12" spans="1:31" x14ac:dyDescent="0.2">
      <c r="B12" s="1" t="s">
        <v>220</v>
      </c>
      <c r="C12" s="104">
        <f>'Statement Y'!H62</f>
        <v>-2642</v>
      </c>
      <c r="D12" s="104">
        <f>'Statement Y'!I62</f>
        <v>1484</v>
      </c>
      <c r="E12" s="104">
        <f>'Statement Y'!J62</f>
        <v>-1618</v>
      </c>
      <c r="F12" s="104">
        <f>'Statement Y'!K62</f>
        <v>-1046</v>
      </c>
      <c r="G12" s="107">
        <f>'Statement Y'!L62</f>
        <v>1400</v>
      </c>
      <c r="H12" s="105">
        <f>-(WC!H29-WC!G29)</f>
        <v>12552.2088422</v>
      </c>
      <c r="I12" s="105">
        <f>-(WC!I29-WC!H29)</f>
        <v>-132.06596456024977</v>
      </c>
      <c r="J12" s="105">
        <f>-(WC!J29-WC!I29)</f>
        <v>-170.91385880890493</v>
      </c>
      <c r="K12" s="105">
        <f>-(WC!K29-WC!J29)</f>
        <v>-199.89041343676217</v>
      </c>
      <c r="L12" s="105">
        <f>-(WC!L29-WC!K29)</f>
        <v>-91.699448154951369</v>
      </c>
      <c r="N12" s="116"/>
      <c r="Q12" s="116"/>
      <c r="S12" s="104"/>
      <c r="T12" s="104"/>
      <c r="U12" s="104"/>
      <c r="V12" s="104"/>
      <c r="W12" s="104"/>
      <c r="X12" s="104"/>
      <c r="Y12" s="104"/>
      <c r="Z12" s="104"/>
      <c r="AA12" s="105"/>
      <c r="AB12" s="105"/>
      <c r="AC12" s="105"/>
      <c r="AE12" s="105"/>
    </row>
    <row r="13" spans="1:31" x14ac:dyDescent="0.2">
      <c r="B13" s="1" t="s">
        <v>221</v>
      </c>
      <c r="C13" s="104">
        <f>'Statement Y'!H63</f>
        <v>-8042</v>
      </c>
      <c r="D13" s="104">
        <f>'Statement Y'!I63</f>
        <v>-6499</v>
      </c>
      <c r="E13" s="104">
        <f>'Statement Y'!J63</f>
        <v>-5684</v>
      </c>
      <c r="F13" s="104">
        <f>'Statement Y'!K63</f>
        <v>-11731</v>
      </c>
      <c r="G13" s="107">
        <f>'Statement Y'!L63</f>
        <v>-9197</v>
      </c>
      <c r="H13" s="105">
        <f>WC!H15-WC!G15</f>
        <v>271.98357833271439</v>
      </c>
      <c r="I13" s="105">
        <f>WC!I15-WC!H15</f>
        <v>2730.7487610614044</v>
      </c>
      <c r="J13" s="105">
        <f>WC!J15-WC!I15</f>
        <v>2774.9423837702052</v>
      </c>
      <c r="K13" s="105">
        <f>WC!K15-WC!J15</f>
        <v>3422.8543154672807</v>
      </c>
      <c r="L13" s="105">
        <f>WC!L15-WC!K15</f>
        <v>3037.3061831642844</v>
      </c>
      <c r="N13" s="116"/>
      <c r="Q13" s="116"/>
      <c r="S13" s="104"/>
      <c r="T13" s="104"/>
      <c r="U13" s="104"/>
      <c r="V13" s="104"/>
      <c r="W13" s="104"/>
      <c r="X13" s="104"/>
      <c r="Y13" s="104"/>
      <c r="Z13" s="104"/>
      <c r="AA13" s="105"/>
      <c r="AB13" s="105"/>
      <c r="AC13" s="105"/>
      <c r="AE13" s="105"/>
    </row>
    <row r="14" spans="1:31" x14ac:dyDescent="0.2">
      <c r="B14" s="1" t="s">
        <v>222</v>
      </c>
      <c r="C14" s="104" t="e">
        <f>'Statement Y'!#REF!</f>
        <v>#REF!</v>
      </c>
      <c r="D14" s="104" t="e">
        <f>'Statement Y'!#REF!</f>
        <v>#REF!</v>
      </c>
      <c r="E14" s="104" t="e">
        <f>'Statement Y'!#REF!</f>
        <v>#REF!</v>
      </c>
      <c r="F14" s="104" t="e">
        <f>'Statement Y'!#REF!</f>
        <v>#REF!</v>
      </c>
      <c r="G14" s="107" t="e">
        <f>'Statement Y'!#REF!</f>
        <v>#REF!</v>
      </c>
      <c r="H14" s="105">
        <f>'Balance Sheet'!H23-'Balance Sheet'!G23</f>
        <v>208123.54250000001</v>
      </c>
      <c r="I14" s="105">
        <f>'Balance Sheet'!I23-'Balance Sheet'!H23</f>
        <v>9745.6841624999943</v>
      </c>
      <c r="J14" s="105">
        <f>'Balance Sheet'!J23-'Balance Sheet'!I23</f>
        <v>10450.873049812508</v>
      </c>
      <c r="K14" s="105">
        <f>'Balance Sheet'!K23-'Balance Sheet'!J23</f>
        <v>11219.154660816566</v>
      </c>
      <c r="L14" s="105">
        <f>'Balance Sheet'!L23-'Balance Sheet'!K23</f>
        <v>12056.622884893528</v>
      </c>
      <c r="N14" s="116"/>
      <c r="Q14" s="116"/>
      <c r="S14" s="104"/>
      <c r="T14" s="104"/>
      <c r="U14" s="104"/>
      <c r="V14" s="104"/>
      <c r="W14" s="104"/>
      <c r="X14" s="104"/>
      <c r="Y14" s="104"/>
      <c r="Z14" s="104"/>
      <c r="AA14" s="105"/>
      <c r="AB14" s="105"/>
      <c r="AC14" s="105"/>
      <c r="AE14" s="105"/>
    </row>
    <row r="15" spans="1:31" x14ac:dyDescent="0.2">
      <c r="B15" s="1" t="s">
        <v>107</v>
      </c>
      <c r="C15" s="104">
        <f>'Statement Y'!H64</f>
        <v>12326</v>
      </c>
      <c r="D15" s="104">
        <f>'Statement Y'!I64</f>
        <v>9448</v>
      </c>
      <c r="E15" s="104">
        <f>'Statement Y'!J64</f>
        <v>-1889</v>
      </c>
      <c r="F15" s="104">
        <f>'Statement Y'!K64</f>
        <v>6020</v>
      </c>
      <c r="G15" s="107">
        <f>'Statement Y'!L64</f>
        <v>902</v>
      </c>
      <c r="H15" s="105">
        <f>'Balance Sheet'!H25-'Balance Sheet'!G25</f>
        <v>-7268.0221055000002</v>
      </c>
      <c r="I15" s="105">
        <f>'Balance Sheet'!I25-'Balance Sheet'!H25</f>
        <v>330.16491140062499</v>
      </c>
      <c r="J15" s="105">
        <f>'Balance Sheet'!J25-'Balance Sheet'!I25</f>
        <v>427.28464702226211</v>
      </c>
      <c r="K15" s="105">
        <f>'Balance Sheet'!K25-'Balance Sheet'!J25</f>
        <v>499.72603359190543</v>
      </c>
      <c r="L15" s="105">
        <f>'Balance Sheet'!L25-'Balance Sheet'!K25</f>
        <v>229.24862038737774</v>
      </c>
      <c r="N15" s="116"/>
      <c r="Q15" s="116"/>
      <c r="S15" s="104"/>
      <c r="T15" s="104"/>
      <c r="U15" s="104"/>
      <c r="V15" s="104"/>
      <c r="W15" s="104"/>
      <c r="X15" s="104"/>
      <c r="Y15" s="104"/>
      <c r="Z15" s="104"/>
      <c r="AA15" s="105"/>
      <c r="AB15" s="105"/>
      <c r="AC15" s="105"/>
      <c r="AE15" s="105"/>
    </row>
    <row r="16" spans="1:31" x14ac:dyDescent="0.2">
      <c r="B16" s="7" t="s">
        <v>236</v>
      </c>
      <c r="C16" s="110" t="e">
        <f>SUM(C10:C14)</f>
        <v>#REF!</v>
      </c>
      <c r="D16" s="110" t="e">
        <f t="shared" ref="D16:L16" si="4">SUM(D10:D14)</f>
        <v>#REF!</v>
      </c>
      <c r="E16" s="110" t="e">
        <f t="shared" si="4"/>
        <v>#REF!</v>
      </c>
      <c r="F16" s="110" t="e">
        <f t="shared" si="4"/>
        <v>#REF!</v>
      </c>
      <c r="G16" s="149" t="e">
        <f t="shared" si="4"/>
        <v>#REF!</v>
      </c>
      <c r="H16" s="110">
        <f t="shared" si="4"/>
        <v>176479.33378043602</v>
      </c>
      <c r="I16" s="110">
        <f t="shared" si="4"/>
        <v>7565.1681350264989</v>
      </c>
      <c r="J16" s="110">
        <f t="shared" si="4"/>
        <v>8110.474823395416</v>
      </c>
      <c r="K16" s="110">
        <f t="shared" si="4"/>
        <v>8611.6109168973344</v>
      </c>
      <c r="L16" s="110">
        <f t="shared" si="4"/>
        <v>9491.1715187505361</v>
      </c>
      <c r="N16" s="116"/>
      <c r="Q16" s="116"/>
      <c r="S16" s="104"/>
      <c r="T16" s="104"/>
      <c r="U16" s="104"/>
      <c r="V16" s="104"/>
      <c r="W16" s="104"/>
      <c r="X16" s="104"/>
      <c r="Y16" s="104"/>
      <c r="Z16" s="104"/>
      <c r="AA16" s="105"/>
      <c r="AB16" s="105"/>
      <c r="AC16" s="105"/>
      <c r="AE16" s="105"/>
    </row>
    <row r="17" spans="2:31" x14ac:dyDescent="0.2">
      <c r="B17" s="1" t="s">
        <v>225</v>
      </c>
      <c r="C17" s="105" t="e">
        <f>C34+C35</f>
        <v>#REF!</v>
      </c>
      <c r="D17" s="105" t="e">
        <f t="shared" ref="D17:F17" si="5">D34+D35</f>
        <v>#REF!</v>
      </c>
      <c r="E17" s="105" t="e">
        <f t="shared" si="5"/>
        <v>#REF!</v>
      </c>
      <c r="F17" s="105" t="e">
        <f t="shared" si="5"/>
        <v>#REF!</v>
      </c>
      <c r="G17" s="155" t="e">
        <f>G34+G35</f>
        <v>#REF!</v>
      </c>
      <c r="H17" s="105" t="e">
        <f>H34+H35</f>
        <v>#REF!</v>
      </c>
      <c r="I17" s="105" t="e">
        <f t="shared" ref="I17:L17" si="6">I34+I35</f>
        <v>#REF!</v>
      </c>
      <c r="J17" s="105">
        <f t="shared" si="6"/>
        <v>59242.952528365538</v>
      </c>
      <c r="K17" s="105">
        <f t="shared" si="6"/>
        <v>61545.787475258381</v>
      </c>
      <c r="L17" s="105">
        <f t="shared" si="6"/>
        <v>63488.10552692027</v>
      </c>
      <c r="N17" s="116"/>
      <c r="Q17" s="116"/>
      <c r="S17" s="104"/>
      <c r="T17" s="104"/>
      <c r="U17" s="104"/>
      <c r="V17" s="104"/>
      <c r="W17" s="104"/>
      <c r="X17" s="104"/>
      <c r="Y17" s="104"/>
      <c r="Z17" s="104"/>
      <c r="AA17" s="105"/>
      <c r="AB17" s="105"/>
      <c r="AC17" s="105"/>
      <c r="AE17" s="105"/>
    </row>
    <row r="18" spans="2:31" x14ac:dyDescent="0.2">
      <c r="B18" s="1" t="s">
        <v>237</v>
      </c>
      <c r="C18" s="104">
        <f>'Statement Y'!H66</f>
        <v>5799</v>
      </c>
      <c r="D18" s="104">
        <f>'Statement Y'!I66</f>
        <v>5632</v>
      </c>
      <c r="E18" s="104">
        <f>'Statement Y'!J66</f>
        <v>3031</v>
      </c>
      <c r="F18" s="104">
        <f>'Statement Y'!K66</f>
        <v>15552</v>
      </c>
      <c r="G18" s="107">
        <f>'Statement Y'!L66</f>
        <v>-11076</v>
      </c>
      <c r="H18" s="105" t="e">
        <f>-('Balance Sheet'!H15-'Balance Sheet'!G15)-('Balance Sheet'!H17-'Balance Sheet'!G17)-('Balance Sheet'!H19-'Balance Sheet'!G19)</f>
        <v>#REF!</v>
      </c>
      <c r="I18" s="105" t="e">
        <f>-('Balance Sheet'!I15-'Balance Sheet'!H15)-('Balance Sheet'!I17-'Balance Sheet'!H17)-('Balance Sheet'!I19-'Balance Sheet'!H19)</f>
        <v>#REF!</v>
      </c>
      <c r="J18" s="105" t="e">
        <f>-('Balance Sheet'!J15-'Balance Sheet'!I15)-('Balance Sheet'!J17-'Balance Sheet'!I17)-('Balance Sheet'!J19-'Balance Sheet'!I19)</f>
        <v>#REF!</v>
      </c>
      <c r="K18" s="105" t="e">
        <f>-('Balance Sheet'!K15-'Balance Sheet'!J15)-('Balance Sheet'!K17-'Balance Sheet'!J17)-('Balance Sheet'!K19-'Balance Sheet'!J19)</f>
        <v>#REF!</v>
      </c>
      <c r="L18" s="105" t="e">
        <f>-('Balance Sheet'!L15-'Balance Sheet'!K15)-('Balance Sheet'!L17-'Balance Sheet'!K17)-('Balance Sheet'!L19-'Balance Sheet'!K19)</f>
        <v>#REF!</v>
      </c>
      <c r="N18" s="116"/>
      <c r="Q18" s="116"/>
      <c r="S18" s="104"/>
      <c r="T18" s="104"/>
      <c r="U18" s="104"/>
      <c r="V18" s="104"/>
      <c r="W18" s="104"/>
      <c r="X18" s="104"/>
      <c r="Y18" s="104"/>
      <c r="Z18" s="104"/>
      <c r="AA18" s="105"/>
      <c r="AB18" s="105"/>
      <c r="AC18" s="105"/>
      <c r="AE18" s="105"/>
    </row>
    <row r="19" spans="2:31" x14ac:dyDescent="0.2">
      <c r="B19" s="1" t="s">
        <v>238</v>
      </c>
      <c r="C19" s="104"/>
      <c r="D19" s="104"/>
      <c r="E19" s="104"/>
      <c r="F19" s="104"/>
      <c r="G19" s="107"/>
      <c r="H19" s="105" t="e">
        <f ca="1">('Balance Sheet'!H24-'Balance Sheet'!G24)+('Balance Sheet'!H27-'Balance Sheet'!G27)+('Balance Sheet'!H28-'Balance Sheet'!G28)</f>
        <v>#REF!</v>
      </c>
      <c r="I19" s="105" t="e">
        <f ca="1">('Balance Sheet'!I24-'Balance Sheet'!H24)+('Balance Sheet'!I27-'Balance Sheet'!H27)+('Balance Sheet'!I28-'Balance Sheet'!H28)</f>
        <v>#REF!</v>
      </c>
      <c r="J19" s="105" t="e">
        <f ca="1">('Balance Sheet'!J24-'Balance Sheet'!I24)+('Balance Sheet'!J27-'Balance Sheet'!I27)+('Balance Sheet'!J28-'Balance Sheet'!I28)</f>
        <v>#REF!</v>
      </c>
      <c r="K19" s="105" t="e">
        <f ca="1">('Balance Sheet'!K24-'Balance Sheet'!J24)+('Balance Sheet'!K27-'Balance Sheet'!J27)+('Balance Sheet'!K28-'Balance Sheet'!J28)</f>
        <v>#REF!</v>
      </c>
      <c r="L19" s="105" t="e">
        <f ca="1">('Balance Sheet'!L24-'Balance Sheet'!K24)+('Balance Sheet'!L27-'Balance Sheet'!K27)+('Balance Sheet'!L28-'Balance Sheet'!K28)</f>
        <v>#REF!</v>
      </c>
      <c r="N19" s="116"/>
      <c r="Q19" s="116"/>
      <c r="S19" s="104"/>
      <c r="T19" s="104"/>
      <c r="U19" s="104"/>
      <c r="V19" s="104"/>
      <c r="W19" s="104"/>
      <c r="X19" s="104"/>
      <c r="Y19" s="104"/>
      <c r="Z19" s="104"/>
      <c r="AA19" s="105"/>
      <c r="AB19" s="105"/>
      <c r="AC19" s="105"/>
      <c r="AE19" s="105"/>
    </row>
    <row r="20" spans="2:31" x14ac:dyDescent="0.2">
      <c r="B20" s="7" t="s">
        <v>239</v>
      </c>
      <c r="C20" s="110" t="e">
        <f>C9+C16-C17+C18+C19</f>
        <v>#REF!</v>
      </c>
      <c r="D20" s="110" t="e">
        <f t="shared" ref="D20:H20" si="7">D9+D16-D17+D18+D19</f>
        <v>#REF!</v>
      </c>
      <c r="E20" s="110" t="e">
        <f t="shared" si="7"/>
        <v>#REF!</v>
      </c>
      <c r="F20" s="110" t="e">
        <f t="shared" si="7"/>
        <v>#REF!</v>
      </c>
      <c r="G20" s="149" t="e">
        <f t="shared" si="7"/>
        <v>#REF!</v>
      </c>
      <c r="H20" s="110" t="e">
        <f t="shared" ca="1" si="7"/>
        <v>#REF!</v>
      </c>
      <c r="I20" s="110" t="e">
        <f t="shared" ref="I20" ca="1" si="8">I9+I16-I17+I18+I19</f>
        <v>#REF!</v>
      </c>
      <c r="J20" s="110" t="e">
        <f t="shared" ref="J20" ca="1" si="9">J9+J16-J17+J18+J19</f>
        <v>#REF!</v>
      </c>
      <c r="K20" s="110" t="e">
        <f t="shared" ref="K20" ca="1" si="10">K9+K16-K17+K18+K19</f>
        <v>#REF!</v>
      </c>
      <c r="L20" s="110" t="e">
        <f t="shared" ref="L20" ca="1" si="11">L9+L16-L17+L18+L19</f>
        <v>#REF!</v>
      </c>
      <c r="N20" s="116"/>
      <c r="Q20" s="116"/>
      <c r="S20" s="104"/>
      <c r="T20" s="104"/>
      <c r="U20" s="104"/>
      <c r="V20" s="104"/>
      <c r="W20" s="104"/>
      <c r="X20" s="104"/>
      <c r="Y20" s="104"/>
      <c r="Z20" s="104"/>
      <c r="AA20" s="105"/>
      <c r="AB20" s="105"/>
      <c r="AC20" s="105"/>
      <c r="AE20" s="105"/>
    </row>
    <row r="21" spans="2:31" x14ac:dyDescent="0.2">
      <c r="B21" s="8" t="s">
        <v>253</v>
      </c>
      <c r="C21" s="104" t="e">
        <f>'P&amp;L'!C13</f>
        <v>#REF!</v>
      </c>
      <c r="D21" s="104" t="e">
        <f>'P&amp;L'!D13</f>
        <v>#REF!</v>
      </c>
      <c r="E21" s="104" t="e">
        <f>'P&amp;L'!E13</f>
        <v>#REF!</v>
      </c>
      <c r="F21" s="104" t="e">
        <f>'P&amp;L'!F13</f>
        <v>#REF!</v>
      </c>
      <c r="G21" s="107" t="e">
        <f>'P&amp;L'!G13</f>
        <v>#REF!</v>
      </c>
      <c r="H21" s="105" t="e">
        <f ca="1">'P&amp;L'!H13</f>
        <v>#REF!</v>
      </c>
      <c r="I21" s="105" t="e">
        <f ca="1">'P&amp;L'!I13</f>
        <v>#REF!</v>
      </c>
      <c r="J21" s="105" t="e">
        <f ca="1">'P&amp;L'!J13</f>
        <v>#REF!</v>
      </c>
      <c r="K21" s="105" t="e">
        <f ca="1">'P&amp;L'!K13</f>
        <v>#REF!</v>
      </c>
      <c r="L21" s="105" t="e">
        <f ca="1">'P&amp;L'!L13</f>
        <v>#REF!</v>
      </c>
      <c r="N21" s="116"/>
      <c r="Q21" s="116"/>
      <c r="S21" s="104"/>
      <c r="T21" s="104"/>
      <c r="U21" s="104"/>
      <c r="V21" s="104"/>
      <c r="W21" s="104"/>
      <c r="X21" s="104"/>
      <c r="Y21" s="104"/>
      <c r="Z21" s="104"/>
      <c r="AA21" s="105"/>
      <c r="AB21" s="105"/>
      <c r="AC21" s="105"/>
      <c r="AE21" s="105"/>
    </row>
    <row r="22" spans="2:31" x14ac:dyDescent="0.2">
      <c r="B22" s="8" t="s">
        <v>254</v>
      </c>
      <c r="C22" s="160">
        <v>0</v>
      </c>
      <c r="D22" s="160">
        <v>0</v>
      </c>
      <c r="E22" s="160">
        <v>0</v>
      </c>
      <c r="F22" s="160">
        <v>0</v>
      </c>
      <c r="G22" s="161">
        <v>0</v>
      </c>
      <c r="H22" s="105" t="e">
        <f ca="1">Financing!H14-Financing!G14</f>
        <v>#REF!</v>
      </c>
      <c r="I22" s="105" t="e">
        <f ca="1">Financing!I14-Financing!H14</f>
        <v>#REF!</v>
      </c>
      <c r="J22" s="105" t="e">
        <f ca="1">Financing!J14-Financing!I14</f>
        <v>#REF!</v>
      </c>
      <c r="K22" s="105" t="e">
        <f ca="1">Financing!K14-Financing!J14</f>
        <v>#REF!</v>
      </c>
      <c r="L22" s="105" t="e">
        <f ca="1">Financing!L14-Financing!K14</f>
        <v>#REF!</v>
      </c>
      <c r="N22" s="116"/>
      <c r="Q22" s="116"/>
      <c r="S22" s="104"/>
      <c r="T22" s="104"/>
      <c r="U22" s="104"/>
      <c r="V22" s="104"/>
      <c r="W22" s="104"/>
      <c r="X22" s="104"/>
      <c r="Y22" s="104"/>
      <c r="Z22" s="104"/>
      <c r="AA22" s="105"/>
      <c r="AB22" s="105"/>
      <c r="AC22" s="105"/>
      <c r="AE22" s="105"/>
    </row>
    <row r="23" spans="2:31" x14ac:dyDescent="0.2">
      <c r="B23" s="8" t="s">
        <v>255</v>
      </c>
      <c r="C23" s="146">
        <f>'P&amp;L'!C15+(C6-C7)</f>
        <v>-34.319832977736951</v>
      </c>
      <c r="D23" s="146">
        <f>'P&amp;L'!D15+(D6-D7)</f>
        <v>54.122902025977965</v>
      </c>
      <c r="E23" s="146">
        <f>'P&amp;L'!E15+(E6-E7)</f>
        <v>83.163334388402291</v>
      </c>
      <c r="F23" s="146">
        <f>'P&amp;L'!F15+(F6-F7)</f>
        <v>-64.805288091680268</v>
      </c>
      <c r="G23" s="161">
        <f>'P&amp;L'!G15+(G6-G7)</f>
        <v>7221.5</v>
      </c>
      <c r="H23" s="146" t="e">
        <f ca="1">'P&amp;L'!H15+(H6-H7)</f>
        <v>#REF!</v>
      </c>
      <c r="I23" s="146" t="e">
        <f ca="1">'P&amp;L'!I15+(I6-I7)</f>
        <v>#REF!</v>
      </c>
      <c r="J23" s="146" t="e">
        <f ca="1">'P&amp;L'!J15+(J6-J7)</f>
        <v>#REF!</v>
      </c>
      <c r="K23" s="146" t="e">
        <f ca="1">'P&amp;L'!K15+(K6-K7)</f>
        <v>#REF!</v>
      </c>
      <c r="L23" s="146" t="e">
        <f ca="1">'P&amp;L'!L15+(L6-L7)</f>
        <v>#REF!</v>
      </c>
      <c r="Q23" s="91"/>
      <c r="R23" s="7"/>
      <c r="S23" s="108"/>
      <c r="T23" s="108"/>
      <c r="U23" s="108"/>
      <c r="V23" s="108"/>
      <c r="W23" s="108"/>
      <c r="X23" s="108"/>
      <c r="Y23" s="108"/>
      <c r="Z23" s="108"/>
      <c r="AA23" s="110"/>
      <c r="AB23" s="110"/>
      <c r="AC23" s="110"/>
      <c r="AE23" s="110"/>
    </row>
    <row r="24" spans="2:31" x14ac:dyDescent="0.2">
      <c r="B24" s="8" t="s">
        <v>270</v>
      </c>
      <c r="C24" s="146"/>
      <c r="D24" s="146">
        <f>'Balance Sheet'!D34-'Balance Sheet'!C34</f>
        <v>-12418</v>
      </c>
      <c r="E24" s="146">
        <f>'Balance Sheet'!E34-'Balance Sheet'!D34</f>
        <v>11474</v>
      </c>
      <c r="F24" s="146">
        <f>'Balance Sheet'!F34-'Balance Sheet'!E34</f>
        <v>-5196</v>
      </c>
      <c r="G24" s="161">
        <f>'Balance Sheet'!G34-'Balance Sheet'!F34</f>
        <v>16783</v>
      </c>
      <c r="H24" s="146">
        <f>Financing!H41</f>
        <v>52122.850200000001</v>
      </c>
      <c r="I24" s="146">
        <f>Financing!I41</f>
        <v>49923.329865749998</v>
      </c>
      <c r="J24" s="146">
        <f>Financing!J41</f>
        <v>47475.019942462503</v>
      </c>
      <c r="K24" s="146">
        <f>Financing!K41</f>
        <v>49718.850874625816</v>
      </c>
      <c r="L24" s="146">
        <f>Financing!L41</f>
        <v>52130.175451604526</v>
      </c>
      <c r="Q24" s="91"/>
      <c r="R24" s="7"/>
      <c r="S24" s="108"/>
      <c r="T24" s="108"/>
      <c r="U24" s="108"/>
      <c r="V24" s="108"/>
      <c r="W24" s="108"/>
      <c r="X24" s="108"/>
      <c r="Y24" s="108"/>
      <c r="Z24" s="108"/>
      <c r="AA24" s="110"/>
      <c r="AB24" s="110"/>
      <c r="AC24" s="110"/>
      <c r="AE24" s="110"/>
    </row>
    <row r="25" spans="2:31" x14ac:dyDescent="0.2">
      <c r="B25" s="8" t="s">
        <v>271</v>
      </c>
      <c r="C25" s="146"/>
      <c r="D25" s="146"/>
      <c r="E25" s="146"/>
      <c r="F25" s="146"/>
      <c r="G25" s="161"/>
      <c r="H25" s="146">
        <f>Financing!H42</f>
        <v>8687.1417000000001</v>
      </c>
      <c r="I25" s="146">
        <f>Financing!I42</f>
        <v>9076.9690664999998</v>
      </c>
      <c r="J25" s="146">
        <f>Financing!J42</f>
        <v>9495.0039884925009</v>
      </c>
      <c r="K25" s="146">
        <f>Financing!K42</f>
        <v>7457.8276311938716</v>
      </c>
      <c r="L25" s="146">
        <f>Financing!L42</f>
        <v>7819.5263177406778</v>
      </c>
      <c r="Q25" s="91"/>
      <c r="R25" s="7"/>
      <c r="S25" s="108"/>
      <c r="T25" s="108"/>
      <c r="U25" s="108"/>
      <c r="V25" s="108"/>
      <c r="W25" s="108"/>
      <c r="X25" s="108"/>
      <c r="Y25" s="108"/>
      <c r="Z25" s="108"/>
      <c r="AA25" s="110"/>
      <c r="AB25" s="110"/>
      <c r="AC25" s="110"/>
      <c r="AE25" s="110"/>
    </row>
    <row r="26" spans="2:31" x14ac:dyDescent="0.2">
      <c r="B26" s="8" t="s">
        <v>261</v>
      </c>
      <c r="C26" s="146" t="e">
        <f>C20+C21+C22+C23+C24</f>
        <v>#REF!</v>
      </c>
      <c r="D26" s="146" t="e">
        <f t="shared" ref="D26:G26" si="12">D20+D21+D22+D23+D24</f>
        <v>#REF!</v>
      </c>
      <c r="E26" s="146" t="e">
        <f t="shared" si="12"/>
        <v>#REF!</v>
      </c>
      <c r="F26" s="146" t="e">
        <f t="shared" si="12"/>
        <v>#REF!</v>
      </c>
      <c r="G26" s="161" t="e">
        <f t="shared" si="12"/>
        <v>#REF!</v>
      </c>
      <c r="H26" s="146" t="e">
        <f ca="1">H20+H21+H22+H23+H24+H25</f>
        <v>#REF!</v>
      </c>
      <c r="I26" s="146" t="e">
        <f t="shared" ref="I26:L26" ca="1" si="13">I20+I21+I22+I23+I24+I25</f>
        <v>#REF!</v>
      </c>
      <c r="J26" s="146" t="e">
        <f t="shared" ca="1" si="13"/>
        <v>#REF!</v>
      </c>
      <c r="K26" s="146" t="e">
        <f t="shared" ca="1" si="13"/>
        <v>#REF!</v>
      </c>
      <c r="L26" s="146" t="e">
        <f t="shared" ca="1" si="13"/>
        <v>#REF!</v>
      </c>
      <c r="Q26" s="91"/>
      <c r="R26" s="7"/>
      <c r="S26" s="108"/>
      <c r="T26" s="108"/>
      <c r="U26" s="108"/>
      <c r="V26" s="108"/>
      <c r="W26" s="108"/>
      <c r="X26" s="108"/>
      <c r="Y26" s="108"/>
      <c r="Z26" s="108"/>
      <c r="AA26" s="110"/>
      <c r="AB26" s="110"/>
      <c r="AC26" s="110"/>
      <c r="AE26" s="110"/>
    </row>
    <row r="27" spans="2:31" x14ac:dyDescent="0.2">
      <c r="I27" s="105"/>
    </row>
    <row r="29" spans="2:31" x14ac:dyDescent="0.2">
      <c r="C29" s="215" t="s">
        <v>214</v>
      </c>
      <c r="D29" s="215"/>
      <c r="E29" s="215"/>
      <c r="F29" s="215"/>
      <c r="G29" s="215"/>
      <c r="H29" s="215"/>
      <c r="I29" s="215"/>
      <c r="J29" s="215"/>
      <c r="K29" s="215"/>
      <c r="L29" s="215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97</v>
      </c>
      <c r="C31" s="95">
        <f>'P&amp;L'!C21</f>
        <v>0.13302260844085087</v>
      </c>
      <c r="D31" s="95">
        <f>'P&amp;L'!D21</f>
        <v>0.16204461684424407</v>
      </c>
      <c r="E31" s="95">
        <f>'P&amp;L'!E21</f>
        <v>0.14719174228036858</v>
      </c>
      <c r="F31" s="95">
        <f>'P&amp;L'!F21</f>
        <v>0.24091185164189982</v>
      </c>
      <c r="G31" s="152">
        <v>0.21</v>
      </c>
      <c r="H31" s="153">
        <f>'P&amp;L'!H21</f>
        <v>0.21</v>
      </c>
      <c r="I31" s="153">
        <f>'P&amp;L'!I21</f>
        <v>0.21</v>
      </c>
      <c r="J31" s="153">
        <f>'P&amp;L'!J21</f>
        <v>0.21</v>
      </c>
      <c r="K31" s="153">
        <f>'P&amp;L'!K21</f>
        <v>0.21</v>
      </c>
      <c r="L31" s="153">
        <f>'P&amp;L'!L21</f>
        <v>0.21</v>
      </c>
      <c r="N31" s="1" t="s">
        <v>205</v>
      </c>
    </row>
    <row r="32" spans="2:31" x14ac:dyDescent="0.2">
      <c r="B32" s="1" t="s">
        <v>90</v>
      </c>
      <c r="C32" s="145">
        <f>'PP&amp;E'!C16</f>
        <v>9500</v>
      </c>
      <c r="D32" s="145">
        <f>'PP&amp;E'!D16</f>
        <v>8700</v>
      </c>
      <c r="E32" s="145">
        <f>'PP&amp;E'!E16</f>
        <v>8500</v>
      </c>
      <c r="F32" s="145">
        <f>'PP&amp;E'!F16</f>
        <v>8200</v>
      </c>
      <c r="G32" s="147">
        <f>'PP&amp;E'!G16</f>
        <v>8000</v>
      </c>
      <c r="H32" s="145">
        <f ca="1">'PP&amp;E'!H16</f>
        <v>20014.470983399202</v>
      </c>
      <c r="I32" s="145">
        <f ca="1">'PP&amp;E'!I16</f>
        <v>27391.948150533834</v>
      </c>
      <c r="J32" s="145">
        <f ca="1">'PP&amp;E'!J16</f>
        <v>35109.191055490213</v>
      </c>
      <c r="K32" s="145">
        <f ca="1">'PP&amp;E'!K16</f>
        <v>43191.177110889614</v>
      </c>
      <c r="L32" s="145">
        <f ca="1">'PP&amp;E'!L16</f>
        <v>51665.133038145599</v>
      </c>
      <c r="N32" s="1" t="s">
        <v>203</v>
      </c>
    </row>
    <row r="33" spans="2:14" x14ac:dyDescent="0.2">
      <c r="B33" s="1" t="s">
        <v>91</v>
      </c>
      <c r="C33" s="145">
        <f>Intangibles!C16</f>
        <v>1784</v>
      </c>
      <c r="D33" s="145">
        <f>Intangibles!D16</f>
        <v>2404</v>
      </c>
      <c r="E33" s="145">
        <f>Intangibles!E16</f>
        <v>3019</v>
      </c>
      <c r="F33" s="145">
        <f>Intangibles!F16</f>
        <v>3245</v>
      </c>
      <c r="G33" s="147">
        <f>Intangibles!G16</f>
        <v>3698</v>
      </c>
      <c r="H33" s="145" t="e">
        <f ca="1">Intangibles!H16</f>
        <v>#REF!</v>
      </c>
      <c r="I33" s="145" t="e">
        <f ca="1">Intangibles!I16</f>
        <v>#REF!</v>
      </c>
      <c r="J33" s="145" t="e">
        <f ca="1">Intangibles!J16</f>
        <v>#REF!</v>
      </c>
      <c r="K33" s="145" t="e">
        <f ca="1">Intangibles!K16</f>
        <v>#REF!</v>
      </c>
      <c r="L33" s="145" t="e">
        <f ca="1">Intangibles!L16</f>
        <v>#REF!</v>
      </c>
      <c r="N33" s="1" t="s">
        <v>204</v>
      </c>
    </row>
    <row r="34" spans="2:14" x14ac:dyDescent="0.2">
      <c r="B34" s="1" t="s">
        <v>223</v>
      </c>
      <c r="C34" s="145">
        <f>'PP&amp;E'!C15</f>
        <v>109558</v>
      </c>
      <c r="D34" s="145">
        <f>'PP&amp;E'!D15</f>
        <v>76923</v>
      </c>
      <c r="E34" s="145">
        <f>'PP&amp;E'!E15</f>
        <v>29513</v>
      </c>
      <c r="F34" s="145">
        <f>'PP&amp;E'!F15</f>
        <v>48656</v>
      </c>
      <c r="G34" s="147">
        <f>'PP&amp;E'!G15</f>
        <v>24407</v>
      </c>
      <c r="H34" s="145">
        <f>'PP&amp;E'!H15</f>
        <v>49424.463550461063</v>
      </c>
      <c r="I34" s="145">
        <f>'PP&amp;E'!I15</f>
        <v>51642.340169942414</v>
      </c>
      <c r="J34" s="145">
        <f>'PP&amp;E'!J15</f>
        <v>54020.700334694666</v>
      </c>
      <c r="K34" s="145">
        <f>'PP&amp;E'!K15</f>
        <v>56573.902387795802</v>
      </c>
      <c r="L34" s="145">
        <f>'PP&amp;E'!L15</f>
        <v>59317.691490791905</v>
      </c>
      <c r="N34" s="1" t="s">
        <v>203</v>
      </c>
    </row>
    <row r="35" spans="2:14" x14ac:dyDescent="0.2">
      <c r="B35" s="1" t="s">
        <v>224</v>
      </c>
      <c r="C35" s="145" t="e">
        <f>Intangibles!C15</f>
        <v>#REF!</v>
      </c>
      <c r="D35" s="145" t="e">
        <f>Intangibles!D15</f>
        <v>#REF!</v>
      </c>
      <c r="E35" s="145" t="e">
        <f>Intangibles!E15</f>
        <v>#REF!</v>
      </c>
      <c r="F35" s="145" t="e">
        <f>Intangibles!F15</f>
        <v>#REF!</v>
      </c>
      <c r="G35" s="147" t="e">
        <f>Intangibles!G15</f>
        <v>#REF!</v>
      </c>
      <c r="H35" s="145" t="e">
        <f>Intangibles!H15</f>
        <v>#REF!</v>
      </c>
      <c r="I35" s="145" t="e">
        <f>Intangibles!I15</f>
        <v>#REF!</v>
      </c>
      <c r="J35" s="145">
        <f>Intangibles!J15</f>
        <v>5222.2521936708754</v>
      </c>
      <c r="K35" s="145">
        <f>Intangibles!K15</f>
        <v>4971.8850874625814</v>
      </c>
      <c r="L35" s="145">
        <f>Intangibles!L15</f>
        <v>4170.4140361283617</v>
      </c>
      <c r="N35" s="1" t="s">
        <v>204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1" customFormat="1" ht="49" x14ac:dyDescent="0.2">
      <c r="B13" s="103" t="s">
        <v>272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1" zoomScale="187" zoomScaleNormal="100" workbookViewId="0">
      <selection activeCell="C9" sqref="C9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0" customFormat="1" ht="18" customHeight="1" x14ac:dyDescent="0.2">
      <c r="A1" s="101"/>
      <c r="B1" s="102" t="s">
        <v>273</v>
      </c>
    </row>
    <row r="2" spans="1:3" s="100" customFormat="1" ht="18" customHeight="1" x14ac:dyDescent="0.2">
      <c r="A2" s="101"/>
      <c r="B2" s="102"/>
    </row>
    <row r="3" spans="1:3" ht="17" customHeight="1" x14ac:dyDescent="0.2"/>
    <row r="4" spans="1:3" ht="17" customHeight="1" x14ac:dyDescent="0.2">
      <c r="B4" s="207" t="s">
        <v>277</v>
      </c>
      <c r="C4" s="207"/>
    </row>
    <row r="5" spans="1:3" ht="17" customHeight="1" x14ac:dyDescent="0.2">
      <c r="B5" s="1" t="s">
        <v>278</v>
      </c>
      <c r="C5" s="145">
        <f>'Statement Q'!N100</f>
        <v>14681</v>
      </c>
    </row>
    <row r="6" spans="1:3" ht="17" customHeight="1" x14ac:dyDescent="0.2">
      <c r="B6" s="1" t="s">
        <v>78</v>
      </c>
      <c r="C6" s="169">
        <f>Overview!C3</f>
        <v>271.06</v>
      </c>
    </row>
    <row r="7" spans="1:3" ht="17" customHeight="1" x14ac:dyDescent="0.2">
      <c r="B7" s="1" t="s">
        <v>251</v>
      </c>
      <c r="C7" s="171">
        <f>C5*C6</f>
        <v>3979431.86</v>
      </c>
    </row>
    <row r="8" spans="1:3" ht="17" customHeight="1" x14ac:dyDescent="0.2">
      <c r="B8" s="1" t="s">
        <v>241</v>
      </c>
      <c r="C8" s="145">
        <f>Statements!W35+Statements!W36+Statements!W38</f>
        <v>90509</v>
      </c>
    </row>
    <row r="9" spans="1:3" ht="17" customHeight="1" x14ac:dyDescent="0.2">
      <c r="B9" s="1" t="s">
        <v>279</v>
      </c>
      <c r="C9" s="194">
        <f>[1]Sheet1!$C$10/1000</f>
        <v>4.3229999999999998E-2</v>
      </c>
    </row>
    <row r="10" spans="1:3" ht="17" customHeight="1" x14ac:dyDescent="0.2">
      <c r="B10" s="1" t="s">
        <v>280</v>
      </c>
      <c r="C10" s="169">
        <v>0.84350000000000003</v>
      </c>
    </row>
    <row r="11" spans="1:3" ht="17" customHeight="1" x14ac:dyDescent="0.2">
      <c r="B11" s="1" t="s">
        <v>281</v>
      </c>
      <c r="C11" s="170">
        <v>5.5E-2</v>
      </c>
    </row>
    <row r="12" spans="1:3" ht="17" customHeight="1" x14ac:dyDescent="0.2">
      <c r="B12" s="1" t="s">
        <v>97</v>
      </c>
      <c r="C12" s="170">
        <v>0.21</v>
      </c>
    </row>
    <row r="13" spans="1:3" ht="17" customHeight="1" x14ac:dyDescent="0.2">
      <c r="B13" s="1" t="s">
        <v>282</v>
      </c>
      <c r="C13" s="170">
        <v>4.4999999999999998E-2</v>
      </c>
    </row>
    <row r="14" spans="1:3" ht="17" customHeight="1" x14ac:dyDescent="0.2"/>
    <row r="15" spans="1:3" ht="17" customHeight="1" x14ac:dyDescent="0.2">
      <c r="B15" s="207" t="s">
        <v>283</v>
      </c>
      <c r="C15" s="207"/>
    </row>
    <row r="16" spans="1:3" ht="17" customHeight="1" x14ac:dyDescent="0.2">
      <c r="B16" s="1" t="s">
        <v>274</v>
      </c>
      <c r="C16" s="172">
        <f>C8/(C8+C7)</f>
        <v>2.2238406677978117E-2</v>
      </c>
    </row>
    <row r="17" spans="2:3" ht="17" customHeight="1" x14ac:dyDescent="0.2">
      <c r="B17" s="1" t="s">
        <v>275</v>
      </c>
      <c r="C17" s="172">
        <f>C7/(C8+C7)</f>
        <v>0.97776159332202184</v>
      </c>
    </row>
    <row r="18" spans="2:3" ht="17" customHeight="1" x14ac:dyDescent="0.2">
      <c r="B18" s="1" t="s">
        <v>284</v>
      </c>
      <c r="C18" s="172">
        <f>C13*(1-C12)</f>
        <v>3.5549999999999998E-2</v>
      </c>
    </row>
    <row r="19" spans="2:3" ht="17" customHeight="1" x14ac:dyDescent="0.2">
      <c r="B19" s="1" t="s">
        <v>276</v>
      </c>
      <c r="C19" s="172">
        <f>C9+C10*C11</f>
        <v>8.9622499999999994E-2</v>
      </c>
    </row>
    <row r="20" spans="2:3" ht="17" customHeight="1" x14ac:dyDescent="0.2">
      <c r="B20" s="1" t="s">
        <v>273</v>
      </c>
      <c r="C20" s="172">
        <f>(C17*C19)+(C16*C18)</f>
        <v>8.8420013754905019E-2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18" zoomScale="188" zoomScaleNormal="100" workbookViewId="0">
      <selection activeCell="C25" sqref="C25"/>
    </sheetView>
  </sheetViews>
  <sheetFormatPr baseColWidth="10" defaultRowHeight="16" x14ac:dyDescent="0.2"/>
  <cols>
    <col min="1" max="1" width="2" style="100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0" customFormat="1" ht="18" customHeight="1" x14ac:dyDescent="0.2">
      <c r="A1" s="101"/>
      <c r="B1" s="102" t="s">
        <v>285</v>
      </c>
    </row>
    <row r="2" spans="1:28" s="100" customFormat="1" ht="18" customHeight="1" x14ac:dyDescent="0.2">
      <c r="A2" s="101"/>
      <c r="B2" s="102"/>
    </row>
    <row r="3" spans="1:28" x14ac:dyDescent="0.2">
      <c r="A3" s="101"/>
      <c r="C3" s="207" t="s">
        <v>122</v>
      </c>
      <c r="D3" s="207"/>
      <c r="E3" s="207"/>
      <c r="F3" s="207"/>
      <c r="G3" s="213"/>
      <c r="H3" s="214" t="s">
        <v>123</v>
      </c>
      <c r="I3" s="207"/>
      <c r="J3" s="207"/>
      <c r="K3" s="207"/>
      <c r="L3" s="207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B3" s="125"/>
    </row>
    <row r="4" spans="1:28" ht="10" customHeight="1" x14ac:dyDescent="0.2"/>
    <row r="5" spans="1:28" ht="16" customHeight="1" x14ac:dyDescent="0.2">
      <c r="A5" s="106"/>
      <c r="B5" s="92"/>
      <c r="C5" s="215" t="s">
        <v>297</v>
      </c>
      <c r="D5" s="215"/>
      <c r="E5" s="215"/>
      <c r="F5" s="215"/>
      <c r="G5" s="215"/>
      <c r="H5" s="215"/>
      <c r="I5" s="215"/>
      <c r="J5" s="215"/>
      <c r="K5" s="215"/>
      <c r="L5" s="215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B5" s="126"/>
    </row>
    <row r="6" spans="1:28" x14ac:dyDescent="0.2">
      <c r="B6" s="7" t="s">
        <v>156</v>
      </c>
      <c r="C6" s="62">
        <f>'Statement Y'!H3</f>
        <v>2021</v>
      </c>
      <c r="D6" s="62">
        <f>'Statement Y'!I3</f>
        <v>2022</v>
      </c>
      <c r="E6" s="62">
        <f>'Statement Y'!J3</f>
        <v>2023</v>
      </c>
      <c r="F6" s="62">
        <f>'Statement Y'!K3</f>
        <v>2024</v>
      </c>
      <c r="G6" s="62">
        <f>'Statement Y'!L3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B6" s="126"/>
    </row>
    <row r="7" spans="1:28" x14ac:dyDescent="0.2">
      <c r="B7" s="8" t="s">
        <v>239</v>
      </c>
      <c r="C7" s="145" t="e">
        <f>'Cash Flow'!C20</f>
        <v>#REF!</v>
      </c>
      <c r="D7" s="145" t="e">
        <f>'Cash Flow'!D20</f>
        <v>#REF!</v>
      </c>
      <c r="E7" s="145" t="e">
        <f>'Cash Flow'!E20</f>
        <v>#REF!</v>
      </c>
      <c r="F7" s="145" t="e">
        <f>'Cash Flow'!F20</f>
        <v>#REF!</v>
      </c>
      <c r="G7" s="147" t="e">
        <f>'Cash Flow'!G20</f>
        <v>#REF!</v>
      </c>
      <c r="H7" s="145" t="e">
        <f ca="1">'Cash Flow'!H20</f>
        <v>#REF!</v>
      </c>
      <c r="I7" s="145" t="e">
        <f ca="1">'Cash Flow'!I20</f>
        <v>#REF!</v>
      </c>
      <c r="J7" s="145" t="e">
        <f ca="1">'Cash Flow'!J20</f>
        <v>#REF!</v>
      </c>
      <c r="K7" s="145" t="e">
        <f ca="1">'Cash Flow'!K20</f>
        <v>#REF!</v>
      </c>
      <c r="L7" s="145" t="e">
        <f ca="1">'Cash Flow'!L20</f>
        <v>#REF!</v>
      </c>
      <c r="N7" s="91"/>
      <c r="O7" s="7"/>
      <c r="P7" s="108"/>
      <c r="Q7" s="108"/>
      <c r="R7" s="108"/>
      <c r="S7" s="108"/>
      <c r="T7" s="108"/>
      <c r="U7" s="108"/>
      <c r="V7" s="108"/>
      <c r="W7" s="108"/>
      <c r="X7" s="110"/>
      <c r="Y7" s="110"/>
      <c r="Z7" s="110"/>
      <c r="AB7" s="110"/>
    </row>
    <row r="8" spans="1:28" x14ac:dyDescent="0.2">
      <c r="B8" s="8" t="s">
        <v>286</v>
      </c>
      <c r="C8" s="146">
        <v>0</v>
      </c>
      <c r="D8" s="146">
        <v>0</v>
      </c>
      <c r="E8" s="146">
        <v>0</v>
      </c>
      <c r="F8" s="146">
        <v>0</v>
      </c>
      <c r="G8" s="158">
        <v>0</v>
      </c>
      <c r="H8" s="146">
        <v>0</v>
      </c>
      <c r="I8" s="146">
        <v>0</v>
      </c>
      <c r="J8" s="146">
        <v>0</v>
      </c>
      <c r="K8" s="146">
        <v>0</v>
      </c>
      <c r="L8" s="146" t="e">
        <f ca="1">L7*(1+C14)/(C15-C14)</f>
        <v>#REF!</v>
      </c>
      <c r="N8" s="91"/>
      <c r="O8" s="7"/>
      <c r="P8" s="108"/>
      <c r="Q8" s="108"/>
      <c r="R8" s="108"/>
      <c r="S8" s="108"/>
      <c r="T8" s="108"/>
      <c r="U8" s="108"/>
      <c r="V8" s="108"/>
      <c r="W8" s="108"/>
      <c r="X8" s="110"/>
      <c r="Y8" s="110"/>
      <c r="Z8" s="110"/>
      <c r="AB8" s="110"/>
    </row>
    <row r="9" spans="1:28" x14ac:dyDescent="0.2">
      <c r="B9" s="1" t="s">
        <v>288</v>
      </c>
      <c r="C9" s="139"/>
      <c r="D9" s="139"/>
      <c r="E9" s="139"/>
      <c r="F9" s="139"/>
      <c r="G9" s="174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289</v>
      </c>
      <c r="C10" s="139"/>
      <c r="D10" s="139"/>
      <c r="E10" s="139"/>
      <c r="F10" s="139"/>
      <c r="G10" s="174"/>
      <c r="H10" s="146" t="e">
        <f ca="1">H7/(1+$C$15)^H9</f>
        <v>#REF!</v>
      </c>
      <c r="I10" s="146" t="e">
        <f t="shared" ref="I10:L10" ca="1" si="1">I7/(1+$C$15)^I9</f>
        <v>#REF!</v>
      </c>
      <c r="J10" s="146" t="e">
        <f t="shared" ca="1" si="1"/>
        <v>#REF!</v>
      </c>
      <c r="K10" s="146" t="e">
        <f t="shared" ca="1" si="1"/>
        <v>#REF!</v>
      </c>
      <c r="L10" s="146" t="e">
        <f t="shared" ca="1" si="1"/>
        <v>#REF!</v>
      </c>
      <c r="N10" s="91"/>
    </row>
    <row r="11" spans="1:28" x14ac:dyDescent="0.2">
      <c r="B11" s="1" t="s">
        <v>290</v>
      </c>
      <c r="C11" s="139"/>
      <c r="D11" s="139"/>
      <c r="E11" s="139"/>
      <c r="F11" s="139"/>
      <c r="G11" s="174"/>
      <c r="H11" s="139"/>
      <c r="I11" s="139"/>
      <c r="J11" s="139"/>
      <c r="K11" s="139"/>
      <c r="L11" s="146" t="e">
        <f ca="1">L8/(1+C15)^L9</f>
        <v>#REF!</v>
      </c>
    </row>
    <row r="13" spans="1:28" x14ac:dyDescent="0.2">
      <c r="B13" s="207" t="s">
        <v>298</v>
      </c>
      <c r="C13" s="207"/>
    </row>
    <row r="14" spans="1:28" x14ac:dyDescent="0.2">
      <c r="B14" s="1" t="s">
        <v>287</v>
      </c>
      <c r="C14" s="157">
        <v>0.02</v>
      </c>
    </row>
    <row r="15" spans="1:28" x14ac:dyDescent="0.2">
      <c r="B15" s="1" t="s">
        <v>273</v>
      </c>
      <c r="C15" s="173">
        <f>WACC!C20</f>
        <v>8.8420013754905019E-2</v>
      </c>
    </row>
    <row r="18" spans="2:3" x14ac:dyDescent="0.2">
      <c r="B18" s="207" t="s">
        <v>84</v>
      </c>
      <c r="C18" s="207"/>
    </row>
    <row r="19" spans="2:3" x14ac:dyDescent="0.2">
      <c r="B19" s="1" t="s">
        <v>296</v>
      </c>
      <c r="C19" s="105" t="e">
        <f ca="1">SUM(H10:L10)</f>
        <v>#REF!</v>
      </c>
    </row>
    <row r="20" spans="2:3" x14ac:dyDescent="0.2">
      <c r="B20" s="1" t="s">
        <v>290</v>
      </c>
      <c r="C20" s="105" t="e">
        <f ca="1">L11</f>
        <v>#REF!</v>
      </c>
    </row>
    <row r="21" spans="2:3" x14ac:dyDescent="0.2">
      <c r="B21" s="7" t="s">
        <v>293</v>
      </c>
      <c r="C21" s="110" t="e">
        <f ca="1">C19+C20</f>
        <v>#REF!</v>
      </c>
    </row>
    <row r="22" spans="2:3" x14ac:dyDescent="0.2">
      <c r="B22" s="1" t="s">
        <v>291</v>
      </c>
      <c r="C22" s="20">
        <f>'Statement Q'!N22+'Statement Q'!N23</f>
        <v>66907</v>
      </c>
    </row>
    <row r="23" spans="2:3" x14ac:dyDescent="0.2">
      <c r="B23" s="1" t="s">
        <v>292</v>
      </c>
      <c r="C23" s="20">
        <f>'Statement Q'!N40</f>
        <v>76685</v>
      </c>
    </row>
    <row r="24" spans="2:3" x14ac:dyDescent="0.2">
      <c r="B24" s="7" t="s">
        <v>294</v>
      </c>
      <c r="C24" s="110" t="e">
        <f ca="1">C21+C22-C23</f>
        <v>#REF!</v>
      </c>
    </row>
    <row r="25" spans="2:3" x14ac:dyDescent="0.2">
      <c r="B25" s="1" t="s">
        <v>4</v>
      </c>
      <c r="C25" s="105">
        <f>'Statement Q'!N17</f>
        <v>14919.5</v>
      </c>
    </row>
    <row r="26" spans="2:3" x14ac:dyDescent="0.2">
      <c r="B26" s="175" t="s">
        <v>295</v>
      </c>
      <c r="C26" s="176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15" zoomScale="192" zoomScaleNormal="100" workbookViewId="0">
      <selection activeCell="C31" sqref="C31"/>
    </sheetView>
  </sheetViews>
  <sheetFormatPr baseColWidth="10" defaultRowHeight="16" x14ac:dyDescent="0.2"/>
  <cols>
    <col min="1" max="1" width="2" style="100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0" customFormat="1" ht="18" customHeight="1" x14ac:dyDescent="0.2">
      <c r="A1" s="101"/>
      <c r="B1" s="102" t="s">
        <v>309</v>
      </c>
    </row>
    <row r="2" spans="1:14" x14ac:dyDescent="0.2">
      <c r="A2" s="101"/>
      <c r="C2" s="207" t="s">
        <v>122</v>
      </c>
      <c r="D2" s="207"/>
      <c r="E2" s="207"/>
      <c r="F2" s="207"/>
      <c r="G2" s="213"/>
      <c r="H2" s="214" t="s">
        <v>123</v>
      </c>
      <c r="I2" s="207"/>
      <c r="J2" s="207"/>
      <c r="K2" s="207"/>
      <c r="L2" s="207"/>
    </row>
    <row r="3" spans="1:14" ht="10" customHeight="1" x14ac:dyDescent="0.2"/>
    <row r="4" spans="1:14" ht="16" customHeight="1" x14ac:dyDescent="0.2">
      <c r="A4" s="106"/>
      <c r="B4" s="92"/>
      <c r="C4" s="215" t="s">
        <v>132</v>
      </c>
      <c r="D4" s="215"/>
      <c r="E4" s="215"/>
      <c r="F4" s="215"/>
      <c r="G4" s="215"/>
      <c r="H4" s="215"/>
      <c r="I4" s="215"/>
      <c r="J4" s="215"/>
      <c r="K4" s="215"/>
      <c r="L4" s="215"/>
    </row>
    <row r="5" spans="1:14" x14ac:dyDescent="0.2">
      <c r="B5" s="7" t="s">
        <v>133</v>
      </c>
      <c r="C5" s="62">
        <f>'Statement Y'!H3</f>
        <v>2021</v>
      </c>
      <c r="D5" s="62">
        <f>'Statement Y'!I3</f>
        <v>2022</v>
      </c>
      <c r="E5" s="62">
        <f>'Statement Y'!J3</f>
        <v>2023</v>
      </c>
      <c r="F5" s="62">
        <f>'Statement Y'!K3</f>
        <v>2024</v>
      </c>
      <c r="G5" s="62">
        <f>'Statement Y'!L3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08">
        <f>'Statement Y'!H5</f>
        <v>365817</v>
      </c>
      <c r="D6" s="108">
        <f>'Statement Y'!I5</f>
        <v>394328</v>
      </c>
      <c r="E6" s="108">
        <f>'Statement Y'!J5</f>
        <v>383285</v>
      </c>
      <c r="F6" s="108">
        <f>'Statement Y'!K5</f>
        <v>391035</v>
      </c>
      <c r="G6" s="109">
        <f>'Statement Y'!L5</f>
        <v>416161</v>
      </c>
      <c r="H6" s="108">
        <f>Revenue!H11</f>
        <v>434357.08500000002</v>
      </c>
      <c r="I6" s="108">
        <f>Revenue!I11</f>
        <v>453848.45332500001</v>
      </c>
      <c r="J6" s="108">
        <f>Revenue!J11</f>
        <v>474750.19942462503</v>
      </c>
      <c r="K6" s="108">
        <f>Revenue!K11</f>
        <v>497188.50874625816</v>
      </c>
      <c r="L6" s="108">
        <f>Revenue!L11</f>
        <v>521301.75451604521</v>
      </c>
      <c r="N6" s="91"/>
    </row>
    <row r="7" spans="1:14" x14ac:dyDescent="0.2">
      <c r="B7" s="7" t="s">
        <v>14</v>
      </c>
      <c r="C7" s="108">
        <f>'Statement Y'!H15</f>
        <v>94680</v>
      </c>
      <c r="D7" s="108">
        <f>'Statement Y'!I15</f>
        <v>99803</v>
      </c>
      <c r="E7" s="108">
        <f>'Statement Y'!J15</f>
        <v>96995</v>
      </c>
      <c r="F7" s="108">
        <f>'Statement Y'!K15</f>
        <v>93736</v>
      </c>
      <c r="G7" s="109">
        <f>'Statement Y'!L15</f>
        <v>112010</v>
      </c>
      <c r="H7" s="108" t="e">
        <f ca="1">'P&amp;L'!H16</f>
        <v>#REF!</v>
      </c>
      <c r="I7" s="108" t="e">
        <f ca="1">'P&amp;L'!I16</f>
        <v>#REF!</v>
      </c>
      <c r="J7" s="108" t="e">
        <f ca="1">'P&amp;L'!J16</f>
        <v>#REF!</v>
      </c>
      <c r="K7" s="108" t="e">
        <f ca="1">'P&amp;L'!K16</f>
        <v>#REF!</v>
      </c>
      <c r="L7" s="108" t="e">
        <f ca="1">'P&amp;L'!L16</f>
        <v>#REF!</v>
      </c>
      <c r="N7" s="91"/>
    </row>
    <row r="8" spans="1:14" x14ac:dyDescent="0.2">
      <c r="N8" s="91"/>
    </row>
    <row r="9" spans="1:14" x14ac:dyDescent="0.2">
      <c r="C9" s="215" t="s">
        <v>137</v>
      </c>
      <c r="D9" s="215"/>
      <c r="E9" s="215"/>
      <c r="F9" s="215"/>
      <c r="G9" s="215"/>
      <c r="H9" s="215"/>
      <c r="I9" s="215"/>
      <c r="J9" s="215"/>
      <c r="K9" s="215"/>
      <c r="L9" s="215"/>
      <c r="N9" s="91"/>
    </row>
    <row r="10" spans="1:14" x14ac:dyDescent="0.2">
      <c r="B10" s="7" t="s">
        <v>310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39"/>
      <c r="D11" s="112">
        <f>(D6-C6)/C6</f>
        <v>7.7937876041846058E-2</v>
      </c>
      <c r="E11" s="112">
        <f t="shared" ref="E11:L11" si="2">(E6-D6)/D6</f>
        <v>-2.8004605303199367E-2</v>
      </c>
      <c r="F11" s="112">
        <f t="shared" si="2"/>
        <v>2.0219940775141214E-2</v>
      </c>
      <c r="G11" s="113">
        <f t="shared" si="2"/>
        <v>6.4255117828327393E-2</v>
      </c>
      <c r="H11" s="112">
        <f t="shared" si="2"/>
        <v>4.3723667042322611E-2</v>
      </c>
      <c r="I11" s="112">
        <f t="shared" si="2"/>
        <v>4.4874065597433475E-2</v>
      </c>
      <c r="J11" s="112">
        <f t="shared" si="2"/>
        <v>4.6054461454024864E-2</v>
      </c>
      <c r="K11" s="112">
        <f t="shared" si="2"/>
        <v>4.726340157166297E-2</v>
      </c>
      <c r="L11" s="112">
        <f t="shared" si="2"/>
        <v>4.8499201702373478E-2</v>
      </c>
      <c r="N11" s="91"/>
    </row>
    <row r="12" spans="1:14" x14ac:dyDescent="0.2">
      <c r="B12" s="1" t="s">
        <v>14</v>
      </c>
      <c r="C12" s="139"/>
      <c r="D12" s="112">
        <f>IF(C7=0,
IF(D7=0,0,IF(D7&gt;0,1,-1)),
(D7-C7)/ABS(C7)
)</f>
        <v>5.4108576256865229E-2</v>
      </c>
      <c r="E12" s="112">
        <f>IF(D7=0,
IF(E7=0,0,IF(E7&gt;0,1,-1)),
(E7-D7)/ABS(D7)
)</f>
        <v>-2.8135426790777834E-2</v>
      </c>
      <c r="F12" s="112">
        <f>IF(E7=0,
IF(F7=0,0,IF(F7&gt;0,1,-1)),
(F7-E7)/ABS(E7)
)</f>
        <v>-3.3599670086086914E-2</v>
      </c>
      <c r="G12" s="113">
        <f t="shared" ref="G12:L12" si="3">IF(F7=0,
IF(G7=0,0,IF(G7&gt;0,1,-1)),
(G7-F7)/ABS(F7)
)</f>
        <v>0.19495177946573355</v>
      </c>
      <c r="H12" s="112" t="e">
        <f t="shared" ca="1" si="3"/>
        <v>#REF!</v>
      </c>
      <c r="I12" s="112" t="e">
        <f t="shared" ca="1" si="3"/>
        <v>#REF!</v>
      </c>
      <c r="J12" s="112" t="e">
        <f t="shared" ca="1" si="3"/>
        <v>#REF!</v>
      </c>
      <c r="K12" s="112" t="e">
        <f t="shared" ca="1" si="3"/>
        <v>#REF!</v>
      </c>
      <c r="L12" s="112" t="e">
        <f t="shared" ca="1" si="3"/>
        <v>#REF!</v>
      </c>
      <c r="N12" s="91"/>
    </row>
    <row r="13" spans="1:14" x14ac:dyDescent="0.2">
      <c r="N13" s="91"/>
    </row>
    <row r="14" spans="1:14" x14ac:dyDescent="0.2">
      <c r="C14" s="215" t="s">
        <v>341</v>
      </c>
      <c r="D14" s="215"/>
      <c r="E14" s="215"/>
      <c r="F14" s="215"/>
      <c r="G14" s="215"/>
      <c r="H14" s="215"/>
      <c r="I14" s="215"/>
      <c r="J14" s="215"/>
      <c r="K14" s="215"/>
      <c r="L14" s="215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342</v>
      </c>
      <c r="C16" s="94">
        <f>'Statement Y'!H18</f>
        <v>16865</v>
      </c>
      <c r="D16" s="94">
        <f>'Statement Y'!I18</f>
        <v>16326</v>
      </c>
      <c r="E16" s="94">
        <f>'Statement Y'!J18</f>
        <v>15813</v>
      </c>
      <c r="F16" s="94">
        <f>'Statement Y'!K18</f>
        <v>15408</v>
      </c>
      <c r="G16" s="195">
        <f>'Statement Y'!L18</f>
        <v>15005</v>
      </c>
      <c r="H16" s="200">
        <f>G16*(1+H17)</f>
        <v>14629.875</v>
      </c>
      <c r="I16" s="200">
        <f t="shared" ref="I16:L16" si="5">H16*(1+I17)</f>
        <v>14264.128124999999</v>
      </c>
      <c r="J16" s="200">
        <f t="shared" si="5"/>
        <v>13907.524921875</v>
      </c>
      <c r="K16" s="200">
        <f t="shared" si="5"/>
        <v>13601.559373593749</v>
      </c>
      <c r="L16" s="200">
        <f t="shared" si="5"/>
        <v>13329.528186121874</v>
      </c>
      <c r="N16" s="91"/>
    </row>
    <row r="17" spans="2:14" x14ac:dyDescent="0.2">
      <c r="B17" s="1" t="s">
        <v>343</v>
      </c>
      <c r="C17" s="139"/>
      <c r="D17" s="196">
        <f>D16/C16-1</f>
        <v>-3.1959679810257935E-2</v>
      </c>
      <c r="E17" s="196">
        <f t="shared" ref="E17:G17" si="6">E16/D16-1</f>
        <v>-3.1422271223814802E-2</v>
      </c>
      <c r="F17" s="196">
        <f t="shared" si="6"/>
        <v>-2.5611838360842354E-2</v>
      </c>
      <c r="G17" s="197">
        <f t="shared" si="6"/>
        <v>-2.6155244029075764E-2</v>
      </c>
      <c r="H17" s="198">
        <v>-2.5000000000000001E-2</v>
      </c>
      <c r="I17" s="199">
        <v>-2.5000000000000001E-2</v>
      </c>
      <c r="J17" s="199">
        <v>-2.5000000000000001E-2</v>
      </c>
      <c r="K17" s="199">
        <v>-2.1999999999999999E-2</v>
      </c>
      <c r="L17" s="199">
        <v>-0.02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07" t="s">
        <v>312</v>
      </c>
      <c r="C20" s="207"/>
      <c r="N20" s="91"/>
    </row>
    <row r="21" spans="2:14" x14ac:dyDescent="0.2">
      <c r="B21" s="1" t="s">
        <v>311</v>
      </c>
      <c r="C21" s="105" t="e">
        <f ca="1">L7</f>
        <v>#REF!</v>
      </c>
    </row>
    <row r="22" spans="2:14" x14ac:dyDescent="0.2">
      <c r="B22" s="1" t="s">
        <v>273</v>
      </c>
      <c r="C22" s="154">
        <f>WACC!C20</f>
        <v>8.8420013754905019E-2</v>
      </c>
    </row>
    <row r="23" spans="2:14" x14ac:dyDescent="0.2">
      <c r="B23" s="8" t="s">
        <v>313</v>
      </c>
      <c r="C23" s="119">
        <v>25</v>
      </c>
    </row>
    <row r="24" spans="2:14" x14ac:dyDescent="0.2">
      <c r="B24" s="1" t="s">
        <v>319</v>
      </c>
      <c r="C24" s="20">
        <f>L16</f>
        <v>13329.528186121874</v>
      </c>
    </row>
    <row r="25" spans="2:14" x14ac:dyDescent="0.2">
      <c r="B25" s="1" t="s">
        <v>314</v>
      </c>
      <c r="C25" s="20" t="e">
        <f ca="1">C21/(1+C22)^5</f>
        <v>#REF!</v>
      </c>
    </row>
    <row r="26" spans="2:14" x14ac:dyDescent="0.2">
      <c r="B26" s="175" t="s">
        <v>295</v>
      </c>
      <c r="C26" s="176" t="e">
        <f ca="1">C25/C24*C23</f>
        <v>#REF!</v>
      </c>
    </row>
    <row r="28" spans="2:14" x14ac:dyDescent="0.2">
      <c r="B28" s="207" t="s">
        <v>315</v>
      </c>
      <c r="C28" s="207"/>
    </row>
    <row r="29" spans="2:14" x14ac:dyDescent="0.2">
      <c r="B29" s="1" t="s">
        <v>316</v>
      </c>
      <c r="C29" s="105">
        <f>L6</f>
        <v>521301.75451604521</v>
      </c>
    </row>
    <row r="30" spans="2:14" x14ac:dyDescent="0.2">
      <c r="B30" s="1" t="s">
        <v>273</v>
      </c>
      <c r="C30" s="154">
        <f>WACC!C20</f>
        <v>8.8420013754905019E-2</v>
      </c>
    </row>
    <row r="31" spans="2:14" x14ac:dyDescent="0.2">
      <c r="B31" s="8" t="s">
        <v>317</v>
      </c>
      <c r="C31" s="119">
        <v>8</v>
      </c>
    </row>
    <row r="32" spans="2:14" x14ac:dyDescent="0.2">
      <c r="B32" s="1" t="s">
        <v>319</v>
      </c>
      <c r="C32" s="20">
        <f>L16</f>
        <v>13329.528186121874</v>
      </c>
    </row>
    <row r="33" spans="2:3" x14ac:dyDescent="0.2">
      <c r="B33" s="1" t="s">
        <v>318</v>
      </c>
      <c r="C33" s="20">
        <f>C29/(1+C30)^5</f>
        <v>341276.66323178727</v>
      </c>
    </row>
    <row r="34" spans="2:3" x14ac:dyDescent="0.2">
      <c r="B34" s="175" t="s">
        <v>295</v>
      </c>
      <c r="C34" s="176">
        <f>C33/C32*C31</f>
        <v>204.82445197849373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tabSelected="1" zoomScale="230" zoomScaleNormal="100" workbookViewId="0">
      <selection activeCell="C7" sqref="C7"/>
    </sheetView>
  </sheetViews>
  <sheetFormatPr baseColWidth="10" defaultRowHeight="16" x14ac:dyDescent="0.2"/>
  <cols>
    <col min="1" max="1" width="2" style="100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0" customFormat="1" ht="18" customHeight="1" x14ac:dyDescent="0.2">
      <c r="A1" s="101"/>
      <c r="B1" s="102" t="s">
        <v>324</v>
      </c>
    </row>
    <row r="2" spans="1:14" x14ac:dyDescent="0.2">
      <c r="N2" s="91"/>
    </row>
    <row r="3" spans="1:14" x14ac:dyDescent="0.2">
      <c r="N3" s="91"/>
    </row>
    <row r="4" spans="1:14" x14ac:dyDescent="0.2">
      <c r="B4" s="207" t="s">
        <v>325</v>
      </c>
      <c r="C4" s="207"/>
      <c r="N4" s="91"/>
    </row>
    <row r="5" spans="1:14" x14ac:dyDescent="0.2">
      <c r="B5" s="1" t="s">
        <v>321</v>
      </c>
      <c r="C5" s="191" t="e">
        <f ca="1">DCF!C26</f>
        <v>#REF!</v>
      </c>
    </row>
    <row r="6" spans="1:14" x14ac:dyDescent="0.2">
      <c r="B6" s="1" t="s">
        <v>322</v>
      </c>
      <c r="C6" s="191" t="e">
        <f ca="1">'PE and PS'!C26</f>
        <v>#REF!</v>
      </c>
    </row>
    <row r="7" spans="1:14" x14ac:dyDescent="0.2">
      <c r="B7" s="1" t="s">
        <v>323</v>
      </c>
      <c r="C7" s="191">
        <f>'PE and PS'!C34</f>
        <v>204.82445197849373</v>
      </c>
    </row>
    <row r="8" spans="1:14" x14ac:dyDescent="0.2">
      <c r="B8" s="175" t="s">
        <v>320</v>
      </c>
      <c r="C8" s="176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2026-04-24T23:19:18Z</dcterms:modified>
</cp:coreProperties>
</file>