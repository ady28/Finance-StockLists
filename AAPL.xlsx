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BEDD2AF-5B30-F04C-98E9-A4DD89FE9845}"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63" i="3" l="1"/>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0" i="12" s="1"/>
  <c r="N38" i="3"/>
  <c r="N106" i="3" s="1"/>
  <c r="D30"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4" i="12"/>
  <c r="C44"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0"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0" i="12"/>
  <c r="E35" i="7"/>
  <c r="F35" i="7"/>
  <c r="D35" i="7"/>
  <c r="C35" i="7"/>
  <c r="AC82" i="3"/>
  <c r="AC104" i="3" s="1"/>
  <c r="AA135" i="3"/>
  <c r="Q135" i="3"/>
  <c r="N135" i="3"/>
  <c r="P135" i="3"/>
  <c r="O135" i="3"/>
  <c r="M135" i="3"/>
  <c r="C30"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G15" i="8"/>
  <c r="E15" i="8"/>
  <c r="C15" i="8"/>
  <c r="F7" i="8"/>
  <c r="C7" i="8"/>
  <c r="F6" i="8"/>
  <c r="F13" i="7"/>
  <c r="D13" i="7"/>
  <c r="F7" i="7"/>
  <c r="C6" i="7"/>
  <c r="V14" i="6"/>
  <c r="R14" i="6"/>
  <c r="U6" i="6"/>
  <c r="R6" i="6"/>
  <c r="P6" i="6"/>
  <c r="Q5" i="6"/>
  <c r="G14" i="6"/>
  <c r="C14" i="6"/>
  <c r="C5" i="6"/>
  <c r="R7" i="5"/>
  <c r="F21" i="8"/>
  <c r="D21" i="8"/>
  <c r="C21" i="8"/>
  <c r="E20" i="8"/>
  <c r="D20" i="8"/>
  <c r="F15" i="8"/>
  <c r="D15"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AC74" i="3" l="1"/>
  <c r="C22" i="14" s="1"/>
  <c r="AA142" i="3"/>
  <c r="AC163" i="3"/>
  <c r="I71" i="17" s="1"/>
  <c r="AC164" i="3"/>
  <c r="X6" i="6"/>
  <c r="X11" i="6" s="1"/>
  <c r="AB11" i="6" s="1"/>
  <c r="AE11" i="5"/>
  <c r="AB6" i="6" s="1"/>
  <c r="H7" i="7"/>
  <c r="H6" i="8"/>
  <c r="H6" i="6"/>
  <c r="H11" i="6" s="1"/>
  <c r="H6" i="12"/>
  <c r="H12" i="12" s="1"/>
  <c r="J6" i="5"/>
  <c r="J11" i="5" s="1"/>
  <c r="D6" i="11"/>
  <c r="D5" i="12"/>
  <c r="Q173" i="3"/>
  <c r="Q172" i="3"/>
  <c r="P173" i="3"/>
  <c r="P172" i="3"/>
  <c r="O173" i="3"/>
  <c r="O172" i="3"/>
  <c r="N173" i="3"/>
  <c r="N172" i="3"/>
  <c r="M173" i="3"/>
  <c r="M172" i="3"/>
  <c r="E3" i="17"/>
  <c r="J63" i="19"/>
  <c r="E5" i="5"/>
  <c r="D6" i="14"/>
  <c r="D40" i="14" s="1"/>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F48" i="14"/>
  <c r="D48" i="14"/>
  <c r="C33" i="14"/>
  <c r="G48" i="14"/>
  <c r="E48" i="14"/>
  <c r="C40" i="14"/>
  <c r="D29" i="12"/>
  <c r="F28" i="12"/>
  <c r="E19" i="12"/>
  <c r="H18" i="12"/>
  <c r="I18" i="12" s="1"/>
  <c r="J18" i="12" s="1"/>
  <c r="K18" i="12" s="1"/>
  <c r="L18"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1" i="12"/>
  <c r="Q137" i="3"/>
  <c r="G46" i="17" s="1"/>
  <c r="F31" i="12"/>
  <c r="P137" i="3"/>
  <c r="F46" i="17" s="1"/>
  <c r="E31" i="12"/>
  <c r="O137" i="3"/>
  <c r="E46" i="17" s="1"/>
  <c r="D31" i="12"/>
  <c r="N137" i="3"/>
  <c r="D46" i="17" s="1"/>
  <c r="C31" i="12"/>
  <c r="M137" i="3"/>
  <c r="C46" i="17" s="1"/>
  <c r="AC107" i="3"/>
  <c r="Q107" i="3"/>
  <c r="Q148" i="3" s="1"/>
  <c r="E46" i="7"/>
  <c r="W10" i="6"/>
  <c r="U10" i="6"/>
  <c r="R10" i="6"/>
  <c r="AA77" i="3"/>
  <c r="F19" i="12"/>
  <c r="D19" i="12"/>
  <c r="G12" i="12"/>
  <c r="C29" i="12"/>
  <c r="E28" i="12"/>
  <c r="D28" i="12"/>
  <c r="G19" i="12"/>
  <c r="F12" i="12"/>
  <c r="E12" i="12"/>
  <c r="D12" i="12"/>
  <c r="G29" i="12"/>
  <c r="G8" i="8"/>
  <c r="D8" i="8"/>
  <c r="C46" i="7"/>
  <c r="G43" i="7"/>
  <c r="C43" i="7"/>
  <c r="D19" i="6"/>
  <c r="D36" i="7"/>
  <c r="D37" i="7" s="1"/>
  <c r="V19" i="6"/>
  <c r="S19" i="6"/>
  <c r="Q19" i="6"/>
  <c r="R17" i="5"/>
  <c r="R15"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0" i="1" s="1"/>
  <c r="C51" i="12"/>
  <c r="H45" i="7"/>
  <c r="H21" i="8" s="1"/>
  <c r="H36" i="7"/>
  <c r="AC77" i="3"/>
  <c r="AA143" i="3"/>
  <c r="AA144" i="3" s="1"/>
  <c r="C53" i="16"/>
  <c r="I72" i="17"/>
  <c r="C63" i="12"/>
  <c r="C43"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E40" i="14" s="1"/>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48" i="3"/>
  <c r="AC130" i="3"/>
  <c r="L68" i="19"/>
  <c r="Q130" i="3"/>
  <c r="L84" i="19" s="1"/>
  <c r="C18" i="16"/>
  <c r="I18" i="17"/>
  <c r="I6" i="6"/>
  <c r="I11" i="6" s="1"/>
  <c r="I6" i="8"/>
  <c r="I7" i="7"/>
  <c r="I6" i="12"/>
  <c r="I12" i="12" s="1"/>
  <c r="F52" i="16"/>
  <c r="I75" i="17"/>
  <c r="F53" i="16"/>
  <c r="I76" i="17"/>
  <c r="F54" i="16"/>
  <c r="I77" i="17"/>
  <c r="AC159" i="3"/>
  <c r="I6" i="17"/>
  <c r="C23" i="14"/>
  <c r="C53" i="12"/>
  <c r="C33" i="16"/>
  <c r="F18" i="1"/>
  <c r="AC162" i="3"/>
  <c r="AC165" i="3"/>
  <c r="I67" i="17" s="1"/>
  <c r="C32" i="12"/>
  <c r="D32" i="12"/>
  <c r="F32" i="12"/>
  <c r="E32" i="12"/>
  <c r="G32" i="12"/>
  <c r="AC137" i="3"/>
  <c r="I46" i="17" s="1"/>
  <c r="AC136" i="3"/>
  <c r="I45" i="17" s="1"/>
  <c r="D10" i="8"/>
  <c r="G10" i="8"/>
  <c r="C5" i="10"/>
  <c r="C7" i="10" s="1"/>
  <c r="C17" i="10" s="1"/>
  <c r="C11" i="12"/>
  <c r="C22" i="12"/>
  <c r="C17" i="12"/>
  <c r="C27" i="12"/>
  <c r="C10" i="8"/>
  <c r="F10" i="8"/>
  <c r="E10" i="8"/>
  <c r="E23" i="7"/>
  <c r="D23" i="7"/>
  <c r="F23" i="7"/>
  <c r="G23" i="7"/>
  <c r="C23" i="7"/>
  <c r="H14" i="6" l="1"/>
  <c r="C25" i="11"/>
  <c r="C46" i="12"/>
  <c r="C66" i="12"/>
  <c r="AC143" i="3"/>
  <c r="AC161" i="3"/>
  <c r="AB12" i="6"/>
  <c r="X14" i="6"/>
  <c r="H20" i="8"/>
  <c r="H44" i="7"/>
  <c r="H8" i="7"/>
  <c r="L6" i="5"/>
  <c r="L11" i="5" s="1"/>
  <c r="F5" i="12"/>
  <c r="F6" i="11"/>
  <c r="G3" i="17"/>
  <c r="L63" i="19"/>
  <c r="G5" i="5"/>
  <c r="F5" i="8"/>
  <c r="F6" i="14"/>
  <c r="F40" i="14" s="1"/>
  <c r="F6" i="7"/>
  <c r="F5" i="6"/>
  <c r="F14" i="5"/>
  <c r="E10" i="6"/>
  <c r="E18" i="6"/>
  <c r="E12" i="7"/>
  <c r="E34" i="7"/>
  <c r="E27" i="7"/>
  <c r="E41" i="7"/>
  <c r="E19" i="7"/>
  <c r="E14" i="8"/>
  <c r="E26" i="8"/>
  <c r="E19" i="8"/>
  <c r="E32" i="8"/>
  <c r="D27" i="12"/>
  <c r="D11" i="12"/>
  <c r="D17" i="12"/>
  <c r="D22"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2"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9" i="8" l="1"/>
  <c r="H10" i="8" s="1"/>
  <c r="H22" i="6"/>
  <c r="I7" i="17"/>
  <c r="AC149" i="3"/>
  <c r="AC155" i="3"/>
  <c r="AC151" i="3"/>
  <c r="AC144" i="3"/>
  <c r="AC154" i="3"/>
  <c r="AC166" i="3"/>
  <c r="F48" i="16" s="1"/>
  <c r="F3" i="1"/>
  <c r="C6" i="16"/>
  <c r="I63" i="17"/>
  <c r="C46" i="16"/>
  <c r="X22" i="6"/>
  <c r="AB14" i="6"/>
  <c r="H15" i="7"/>
  <c r="H30" i="7" s="1"/>
  <c r="H14" i="7"/>
  <c r="H29" i="7" s="1"/>
  <c r="G5" i="12"/>
  <c r="G6" i="11"/>
  <c r="G41" i="14"/>
  <c r="H7" i="14"/>
  <c r="H5" i="5"/>
  <c r="G14"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I44" i="7"/>
  <c r="I20" i="8"/>
  <c r="J13" i="7"/>
  <c r="J28" i="7" s="1"/>
  <c r="J36" i="7"/>
  <c r="J42" i="7"/>
  <c r="J45" i="7"/>
  <c r="J21" i="8" s="1"/>
  <c r="J13" i="6"/>
  <c r="J12" i="6"/>
  <c r="I14" i="6"/>
  <c r="K6" i="12"/>
  <c r="K12" i="12" s="1"/>
  <c r="K7" i="7"/>
  <c r="K6" i="6"/>
  <c r="K11" i="6" s="1"/>
  <c r="K6" i="8"/>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20" i="5"/>
  <c r="H7" i="12" l="1"/>
  <c r="H27" i="8"/>
  <c r="H28" i="8" s="1"/>
  <c r="H34" i="8"/>
  <c r="H35" i="7"/>
  <c r="H22" i="8" s="1"/>
  <c r="C42" i="16"/>
  <c r="I55" i="17"/>
  <c r="I52" i="17"/>
  <c r="C39" i="16"/>
  <c r="F8" i="1"/>
  <c r="F4" i="1"/>
  <c r="I8" i="17"/>
  <c r="I54" i="17"/>
  <c r="F10" i="1"/>
  <c r="C41" i="16"/>
  <c r="I68" i="17"/>
  <c r="F15" i="1"/>
  <c r="AC145" i="3"/>
  <c r="C7" i="16"/>
  <c r="AC146" i="3"/>
  <c r="AC150" i="3"/>
  <c r="H41" i="14"/>
  <c r="I7" i="14"/>
  <c r="I10" i="14" s="1"/>
  <c r="G45" i="14"/>
  <c r="G43" i="14"/>
  <c r="H5" i="12"/>
  <c r="H6" i="11"/>
  <c r="J14" i="6"/>
  <c r="H14" i="5"/>
  <c r="I5" i="5"/>
  <c r="H6" i="14"/>
  <c r="H40" i="14" s="1"/>
  <c r="G10" i="6"/>
  <c r="G18"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9" i="8"/>
  <c r="I22" i="6"/>
  <c r="K42" i="7"/>
  <c r="K13" i="7"/>
  <c r="K28" i="7" s="1"/>
  <c r="K36" i="7"/>
  <c r="K45" i="7"/>
  <c r="K21" i="8" s="1"/>
  <c r="K13" i="6"/>
  <c r="K12" i="6"/>
  <c r="K14" i="6" s="1"/>
  <c r="L6" i="8"/>
  <c r="L7" i="7"/>
  <c r="L6" i="12"/>
  <c r="L6" i="6"/>
  <c r="L11" i="6" s="1"/>
  <c r="D34" i="12"/>
  <c r="D43" i="14"/>
  <c r="G34" i="12"/>
  <c r="D45" i="14"/>
  <c r="H10" i="14"/>
  <c r="C45" i="14"/>
  <c r="C43" i="14"/>
  <c r="F34" i="12"/>
  <c r="F46" i="14"/>
  <c r="F45" i="14"/>
  <c r="F43" i="14"/>
  <c r="G46" i="14"/>
  <c r="E34" i="12"/>
  <c r="E43" i="14"/>
  <c r="E46" i="14"/>
  <c r="E45" i="14"/>
  <c r="D46" i="14"/>
  <c r="AA20" i="5"/>
  <c r="C11" i="16" l="1"/>
  <c r="I12" i="17"/>
  <c r="C12" i="16"/>
  <c r="I13" i="17"/>
  <c r="H8" i="12"/>
  <c r="H14" i="12" s="1"/>
  <c r="H7" i="11"/>
  <c r="H10" i="11" s="1"/>
  <c r="J22" i="6"/>
  <c r="J9" i="8"/>
  <c r="H44" i="14"/>
  <c r="H48" i="14" s="1"/>
  <c r="H46" i="14"/>
  <c r="H42" i="14"/>
  <c r="J7" i="14"/>
  <c r="I41" i="14"/>
  <c r="I5" i="12"/>
  <c r="I6" i="11"/>
  <c r="I15" i="7"/>
  <c r="I30" i="7" s="1"/>
  <c r="I14" i="7"/>
  <c r="I29" i="7" s="1"/>
  <c r="I14" i="5"/>
  <c r="J5" i="5"/>
  <c r="I6" i="14"/>
  <c r="I40" i="14" s="1"/>
  <c r="G27" i="12"/>
  <c r="G11" i="12"/>
  <c r="G22" i="12"/>
  <c r="G17"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2" i="12"/>
  <c r="C50" i="12"/>
  <c r="C54" i="12" s="1"/>
  <c r="C55" i="12" s="1"/>
  <c r="C7" i="13" s="1"/>
  <c r="I5" i="1" s="1"/>
  <c r="L12" i="6"/>
  <c r="L13" i="6"/>
  <c r="I10" i="8"/>
  <c r="I34" i="8" s="1"/>
  <c r="I20" i="5"/>
  <c r="J20" i="5"/>
  <c r="I35" i="7" l="1"/>
  <c r="I22" i="8" s="1"/>
  <c r="H47" i="14"/>
  <c r="H49" i="14"/>
  <c r="J10" i="14"/>
  <c r="K7" i="14"/>
  <c r="J41" i="14"/>
  <c r="I44" i="14"/>
  <c r="I48" i="14" s="1"/>
  <c r="I42" i="14"/>
  <c r="I46" i="14"/>
  <c r="J6" i="11"/>
  <c r="J5" i="12"/>
  <c r="K8" i="7"/>
  <c r="K7" i="8"/>
  <c r="K8" i="8" s="1"/>
  <c r="J10" i="8"/>
  <c r="J33" i="8"/>
  <c r="J15" i="7"/>
  <c r="J30" i="7" s="1"/>
  <c r="J14" i="7"/>
  <c r="J29" i="7" s="1"/>
  <c r="H22" i="12"/>
  <c r="H27" i="12"/>
  <c r="H11" i="12"/>
  <c r="H17" i="12"/>
  <c r="K5" i="5"/>
  <c r="J14" i="5"/>
  <c r="J6" i="14"/>
  <c r="J40" i="14" s="1"/>
  <c r="I18" i="6"/>
  <c r="I10" i="6"/>
  <c r="J5" i="6"/>
  <c r="I14" i="8"/>
  <c r="J5" i="8"/>
  <c r="I19" i="8"/>
  <c r="I26" i="8"/>
  <c r="I32" i="8"/>
  <c r="I12" i="7"/>
  <c r="I34" i="7"/>
  <c r="I41" i="7"/>
  <c r="I19" i="7"/>
  <c r="I27" i="7"/>
  <c r="J6" i="7"/>
  <c r="L44" i="7"/>
  <c r="L20" i="8"/>
  <c r="I7" i="12"/>
  <c r="I27" i="8"/>
  <c r="L14" i="6"/>
  <c r="I28" i="8" l="1"/>
  <c r="K15" i="7"/>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4" i="5"/>
  <c r="K6" i="14"/>
  <c r="K40" i="14" s="1"/>
  <c r="J10" i="6"/>
  <c r="J18" i="6"/>
  <c r="K5" i="6"/>
  <c r="K5" i="8"/>
  <c r="J14" i="8"/>
  <c r="J19" i="8"/>
  <c r="J26" i="8"/>
  <c r="J32" i="8"/>
  <c r="K6" i="7"/>
  <c r="J27" i="7"/>
  <c r="J19" i="7"/>
  <c r="J12" i="7"/>
  <c r="J41" i="7"/>
  <c r="J34" i="7"/>
  <c r="I13" i="12"/>
  <c r="L9" i="8"/>
  <c r="L22" i="6"/>
  <c r="K20" i="5"/>
  <c r="I7" i="11" l="1"/>
  <c r="I10" i="11" s="1"/>
  <c r="I8" i="12"/>
  <c r="I14" i="12" s="1"/>
  <c r="L10" i="14"/>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4" i="5"/>
  <c r="L6" i="14"/>
  <c r="L40" i="14" s="1"/>
  <c r="K10" i="6"/>
  <c r="K18" i="6"/>
  <c r="L5" i="6"/>
  <c r="K14" i="8"/>
  <c r="K19" i="8"/>
  <c r="L5" i="8"/>
  <c r="K26" i="8"/>
  <c r="K32" i="8"/>
  <c r="L6" i="7"/>
  <c r="K41" i="7"/>
  <c r="K34" i="7"/>
  <c r="K27" i="7"/>
  <c r="K19" i="7"/>
  <c r="K12" i="7"/>
  <c r="L20"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1" i="12" s="1"/>
  <c r="C42" i="12" s="1"/>
  <c r="L27" i="12"/>
  <c r="L22" i="12"/>
  <c r="L17" i="12"/>
  <c r="L11" i="12"/>
  <c r="C45" i="12" l="1"/>
  <c r="C47" i="12" s="1"/>
  <c r="C6" i="13" s="1"/>
  <c r="I4" i="1" s="1"/>
  <c r="L7" i="11"/>
  <c r="L8" i="12"/>
  <c r="L8" i="11" l="1"/>
  <c r="L11" i="11" s="1"/>
  <c r="C20" i="11" s="1"/>
  <c r="L10" i="11"/>
  <c r="C19" i="11" s="1"/>
  <c r="C58" i="12"/>
  <c r="C61" i="12" s="1"/>
  <c r="C62" i="12" s="1"/>
  <c r="L14" i="12"/>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<sst xmlns="http://schemas.openxmlformats.org/spreadsheetml/2006/main" count="793" uniqueCount="418">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</sst>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https://www.bing.com/financeapi/forcetrigger?t=a1mou2&amp;q=XNAS%3aAAPL&amp;form=skydnc</v>
    <v>Learn more on Bing</v>
  </rv>
  <rv s="1">
    <v>0</v>
    <v>APPLE INC. (XNAS:AAPL)</v>
    <v>2</v>
    <v>3</v>
    <v>Finance</v>
    <v>4</v>
    <v>en-US</v>
    <v>a1mou2</v>
    <v>268435456</v>
    <v>1</v>
    <v>Powered by Refinitiv</v>
    <v>344.56990000000002</v>
    <v>201.67500000000001</v>
    <v>1.0871999999999999</v>
    <v>-2.48</v>
    <v>-8.0280000000000004E-3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311.8</v>
    <v>Computers, Phones &amp; Household Electronics</v>
    <v>Stock</v>
    <v>46237.706228796094</v>
    <v>0</v>
    <v>302.56</v>
    <v>4500647724800</v>
    <v>APPLE INC.</v>
    <v>APPLE INC.</v>
    <v>309.60000000000002</v>
    <v>35.259900000000002</v>
    <v>308.91000000000003</v>
    <v>306.43</v>
    <v>14687360000</v>
    <v>AAPL</v>
    <v>APPLE INC. (XNAS:AAPL)</v>
    <v>36176869</v>
    <v>63688474</v>
    <v>1977</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47.47</v>
    <v>39.47</v>
    <v>0.82</v>
    <v>1.7585E-2</v>
    <v>US</v>
    <v>47.47</v>
    <v>Index</v>
    <v>6</v>
    <v>46.82</v>
    <v>10 Y TSY YLD NDX</v>
    <v>46.84</v>
    <v>46.63</v>
    <v>47.45</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35" sqref="C3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7" t="s">
        <v>17</v>
      </c>
      <c r="C2" s="238"/>
      <c r="E2" s="237" t="s">
        <v>286</v>
      </c>
      <c r="F2" s="238"/>
      <c r="H2" s="237" t="s">
        <v>327</v>
      </c>
      <c r="I2" s="238"/>
    </row>
    <row r="3" spans="2:9" x14ac:dyDescent="0.2">
      <c r="B3" s="182" t="s">
        <v>11</v>
      </c>
      <c r="C3" s="214" t="e" vm="1">
        <v>#VALUE!</v>
      </c>
      <c r="D3" s="2"/>
      <c r="E3" s="182" t="s">
        <v>238</v>
      </c>
      <c r="F3" s="184">
        <f ca="1">Statement!AC143</f>
        <v>4490118.79</v>
      </c>
      <c r="H3" s="182" t="str">
        <f>'AVG target price'!B5</f>
        <v>DCF price</v>
      </c>
      <c r="I3" s="208">
        <f ca="1">'AVG target price'!C5</f>
        <v>119.87566045355469</v>
      </c>
    </row>
    <row r="4" spans="2:9" x14ac:dyDescent="0.2">
      <c r="B4" s="182" t="s">
        <v>0</v>
      </c>
      <c r="C4" s="186" t="str" cm="1">
        <f t="array" aca="1" ref="C4" ca="1">_FV(C3,"Ticker symbol",TRUE)</f>
        <v>AAPL</v>
      </c>
      <c r="E4" s="183" t="s">
        <v>185</v>
      </c>
      <c r="F4" s="185">
        <f ca="1">Statement!AC144</f>
        <v>4427945.79</v>
      </c>
      <c r="H4" s="182" t="str">
        <f>'AVG target price'!B6</f>
        <v>EV/EBIT price</v>
      </c>
      <c r="I4" s="208">
        <f ca="1">'AVG target price'!C6</f>
        <v>200.82326224372505</v>
      </c>
    </row>
    <row r="5" spans="2:9" x14ac:dyDescent="0.2">
      <c r="B5" s="182" t="s">
        <v>1</v>
      </c>
      <c r="C5" s="205" cm="1">
        <f t="array" aca="1" ref="C5" ca="1">_FV(C3,"Price",TRUE)</f>
        <v>306.43</v>
      </c>
      <c r="E5" s="182" t="s">
        <v>242</v>
      </c>
      <c r="F5" s="186">
        <f>Statement!AC25</f>
        <v>8.7199999999999989</v>
      </c>
      <c r="H5" s="182" t="str">
        <f>'AVG target price'!B7</f>
        <v>PS price</v>
      </c>
      <c r="I5" s="208">
        <f ca="1">'AVG target price'!C7</f>
        <v>146.04728584664926</v>
      </c>
    </row>
    <row r="6" spans="2:9" x14ac:dyDescent="0.2">
      <c r="B6" s="182" t="s">
        <v>2</v>
      </c>
      <c r="C6" s="205" t="e" cm="1" vm="2">
        <f t="array" ref="C6">_FV(C3,"Price (Extended hours)",TRUE)</f>
        <v>#VALUE!</v>
      </c>
      <c r="E6" s="182" t="s">
        <v>236</v>
      </c>
      <c r="F6" s="187">
        <f ca="1">Statement!AC140</f>
        <v>35.141055045871568</v>
      </c>
      <c r="H6" s="182" t="str">
        <f>'AVG target price'!B8</f>
        <v>EV/FCFF price</v>
      </c>
      <c r="I6" s="208">
        <f ca="1">'AVG target price'!C8</f>
        <v>129.58781747267926</v>
      </c>
    </row>
    <row r="7" spans="2:9" x14ac:dyDescent="0.2">
      <c r="B7" s="182" t="s">
        <v>3</v>
      </c>
      <c r="C7" s="6" cm="1">
        <f t="array" aca="1" ref="C7" ca="1">_FV(C3,"Change")</f>
        <v>-2.48</v>
      </c>
      <c r="E7" s="183" t="s">
        <v>198</v>
      </c>
      <c r="F7" s="188">
        <f ca="1">Statement!AC141</f>
        <v>9.7010052257493733</v>
      </c>
      <c r="H7" s="181" t="str">
        <f>'AVG target price'!B9</f>
        <v>AVG price</v>
      </c>
      <c r="I7" s="209">
        <f ca="1">'AVG target price'!C9</f>
        <v>149.08350650415207</v>
      </c>
    </row>
    <row r="8" spans="2:9" x14ac:dyDescent="0.2">
      <c r="B8" s="182" t="s">
        <v>4</v>
      </c>
      <c r="C8" s="6" t="e" cm="1" vm="3">
        <f t="array" ref="C8">_FV(C3,"Change (extended hours)",TRUE)</f>
        <v>#VALUE!</v>
      </c>
      <c r="E8" s="182" t="s">
        <v>264</v>
      </c>
      <c r="F8" s="189">
        <f ca="1">Statement!AC151</f>
        <v>2.7388362257560674E-2</v>
      </c>
      <c r="H8" s="181" t="str">
        <f>'AVG target price'!B11</f>
        <v>Upside/Downside</v>
      </c>
      <c r="I8" s="210">
        <f ca="1">'AVG target price'!C11</f>
        <v>-0.51348266650082541</v>
      </c>
    </row>
    <row r="9" spans="2:9" x14ac:dyDescent="0.2">
      <c r="B9" s="182" t="s">
        <v>5</v>
      </c>
      <c r="C9" s="73" cm="1">
        <f t="array" aca="1" ref="C9" ca="1">_FV(C3,"Change (%)",TRUE)</f>
        <v>-8.0280000000000004E-3</v>
      </c>
      <c r="E9" s="182" t="s">
        <v>287</v>
      </c>
      <c r="F9" s="189">
        <f ca="1">Statement!AC152</f>
        <v>2.845674379140423E-2</v>
      </c>
    </row>
    <row r="10" spans="2:9" x14ac:dyDescent="0.2">
      <c r="B10" s="182" t="s">
        <v>6</v>
      </c>
      <c r="C10" s="73" t="e" cm="1" vm="4">
        <f t="array" ref="C10">_FV(C3,"Change % (extended hours)",TRUE)</f>
        <v>#VALUE!</v>
      </c>
      <c r="E10" s="182" t="s">
        <v>292</v>
      </c>
      <c r="F10" s="189">
        <f ca="1">Statement!AC154</f>
        <v>1.831265582174052E-2</v>
      </c>
      <c r="H10" s="181" t="s">
        <v>403</v>
      </c>
      <c r="I10" s="209">
        <f ca="1">DDM!C26</f>
        <v>13.889543561945164</v>
      </c>
    </row>
    <row r="11" spans="2:9" x14ac:dyDescent="0.2">
      <c r="B11" s="182" t="s">
        <v>7</v>
      </c>
      <c r="C11" s="206" cm="1">
        <f t="array" aca="1" ref="C11" ca="1">_FV(C3,"52 week high",TRUE)</f>
        <v>344.56990000000002</v>
      </c>
      <c r="E11" s="183" t="s">
        <v>288</v>
      </c>
      <c r="F11" s="190">
        <f ca="1">Statement!AC153</f>
        <v>3.426557451946611E-3</v>
      </c>
    </row>
    <row r="12" spans="2:9" x14ac:dyDescent="0.2">
      <c r="B12" s="182" t="s">
        <v>8</v>
      </c>
      <c r="C12" s="206" cm="1">
        <f t="array" aca="1" ref="C12" ca="1">_FV(C3,"52 week low",TRUE)</f>
        <v>201.67500000000001</v>
      </c>
      <c r="E12" s="182" t="s">
        <v>99</v>
      </c>
      <c r="F12" s="189">
        <f>Statement!AC121</f>
        <v>0.33639821951334065</v>
      </c>
    </row>
    <row r="13" spans="2:9" x14ac:dyDescent="0.2">
      <c r="B13" s="182" t="s">
        <v>9</v>
      </c>
      <c r="C13" s="206" cm="1">
        <f t="array" aca="1" ref="C13" ca="1">_FV(C3,"Beta")</f>
        <v>1.0871999999999999</v>
      </c>
      <c r="E13" s="182" t="s">
        <v>101</v>
      </c>
      <c r="F13" s="189">
        <f>Statement!AC123</f>
        <v>1.1991257440476193</v>
      </c>
    </row>
    <row r="14" spans="2:9" x14ac:dyDescent="0.2">
      <c r="B14" s="183" t="s">
        <v>10</v>
      </c>
      <c r="C14" s="207" cm="1">
        <f t="array" aca="1" ref="C14" ca="1">_FV(C3,"Volume average",TRUE)</f>
        <v>63688474</v>
      </c>
      <c r="E14" s="183" t="s">
        <v>102</v>
      </c>
      <c r="F14" s="190">
        <f>Statement!AC130</f>
        <v>2.8240933164668753</v>
      </c>
    </row>
    <row r="15" spans="2:9" x14ac:dyDescent="0.2">
      <c r="E15" s="182" t="s">
        <v>289</v>
      </c>
      <c r="F15" s="189">
        <f ca="1">Statement!AC166</f>
        <v>1.3846626984227292E-2</v>
      </c>
    </row>
    <row r="16" spans="2:9" x14ac:dyDescent="0.2">
      <c r="E16" s="183" t="s">
        <v>294</v>
      </c>
      <c r="F16" s="188">
        <f>Statement!AC165</f>
        <v>4.2601754145539266</v>
      </c>
    </row>
    <row r="17" spans="2:9" x14ac:dyDescent="0.2">
      <c r="B17" s="239" t="s">
        <v>88</v>
      </c>
      <c r="C17" s="239"/>
      <c r="E17" s="181" t="s">
        <v>295</v>
      </c>
      <c r="F17" s="191">
        <f>Statement!AC161</f>
        <v>6.1420869446529721E-4</v>
      </c>
    </row>
    <row r="18" spans="2:9" x14ac:dyDescent="0.2">
      <c r="B18" s="181" t="s">
        <v>12</v>
      </c>
      <c r="C18" s="69" t="s">
        <v>358</v>
      </c>
      <c r="E18" s="182" t="s">
        <v>296</v>
      </c>
      <c r="F18" s="187">
        <f>Statement!AC134</f>
        <v>-56.814895644278849</v>
      </c>
      <c r="I18" s="50"/>
    </row>
    <row r="19" spans="2:9" x14ac:dyDescent="0.2">
      <c r="B19" s="181" t="s">
        <v>13</v>
      </c>
      <c r="C19" s="70">
        <v>1000000</v>
      </c>
      <c r="E19" s="182" t="s">
        <v>257</v>
      </c>
      <c r="F19" s="187">
        <f>Statement!AC136</f>
        <v>-0.57824590773809526</v>
      </c>
    </row>
    <row r="20" spans="2:9" x14ac:dyDescent="0.2">
      <c r="B20" s="181" t="s">
        <v>89</v>
      </c>
      <c r="C20" s="69" t="s">
        <v>91</v>
      </c>
      <c r="E20" s="183" t="s">
        <v>297</v>
      </c>
      <c r="F20" s="188">
        <f>Statement!AC137</f>
        <v>1.1914535981677672</v>
      </c>
    </row>
    <row r="21" spans="2:9" x14ac:dyDescent="0.2">
      <c r="B21" s="181" t="s">
        <v>90</v>
      </c>
      <c r="C21" s="69" t="s">
        <v>91</v>
      </c>
      <c r="I21" s="50"/>
    </row>
    <row r="22" spans="2:9" x14ac:dyDescent="0.2">
      <c r="B22" s="181" t="s">
        <v>92</v>
      </c>
      <c r="C22" s="69" t="s">
        <v>401</v>
      </c>
    </row>
    <row r="25" spans="2:9" x14ac:dyDescent="0.2">
      <c r="B25" s="239" t="s">
        <v>104</v>
      </c>
      <c r="C25" s="239"/>
      <c r="E25" s="237" t="s">
        <v>340</v>
      </c>
      <c r="F25" s="238"/>
    </row>
    <row r="26" spans="2:9" x14ac:dyDescent="0.2">
      <c r="B26" s="181" t="s">
        <v>105</v>
      </c>
      <c r="C26" s="167">
        <v>0.21</v>
      </c>
      <c r="E26" s="182" t="e" vm="5">
        <v>#VALUE!</v>
      </c>
      <c r="F26" s="216" cm="1">
        <f t="array" aca="1" ref="F26" ca="1">_FV(E26,"Price")</f>
        <v>47.45</v>
      </c>
    </row>
    <row r="27" spans="2:9" x14ac:dyDescent="0.2">
      <c r="B27" s="181" t="s">
        <v>169</v>
      </c>
      <c r="C27" s="218">
        <v>4.9000000000000002E-2</v>
      </c>
      <c r="E27" s="183" t="s">
        <v>341</v>
      </c>
      <c r="F27" s="217">
        <f ca="1">F26/1000</f>
        <v>4.7450000000000006E-2</v>
      </c>
    </row>
    <row r="28" spans="2:9" x14ac:dyDescent="0.2">
      <c r="B28" s="181" t="s">
        <v>345</v>
      </c>
      <c r="C28" s="218">
        <v>0</v>
      </c>
    </row>
    <row r="29" spans="2:9" x14ac:dyDescent="0.2">
      <c r="B29" s="181" t="s">
        <v>402</v>
      </c>
      <c r="C29" s="218">
        <v>0</v>
      </c>
    </row>
    <row r="33" spans="2:8" x14ac:dyDescent="0.2">
      <c r="B33" s="240" t="s">
        <v>335</v>
      </c>
      <c r="C33" s="240"/>
      <c r="D33" s="240"/>
      <c r="E33" s="240"/>
      <c r="F33" s="240"/>
      <c r="G33" s="240"/>
      <c r="H33" s="240"/>
    </row>
    <row r="35" spans="2:8" x14ac:dyDescent="0.2">
      <c r="B35" s="16" t="s">
        <v>336</v>
      </c>
      <c r="C35" s="1" t="s">
        <v>417</v>
      </c>
    </row>
    <row r="36" spans="2:8" x14ac:dyDescent="0.2">
      <c r="B36" s="16" t="s">
        <v>337</v>
      </c>
      <c r="C36" s="1" t="s">
        <v>416</v>
      </c>
    </row>
    <row r="39" spans="2:8" ht="6" customHeight="1" x14ac:dyDescent="0.2">
      <c r="B39" s="240"/>
      <c r="C39" s="240"/>
      <c r="D39" s="240"/>
      <c r="E39" s="240"/>
      <c r="F39" s="240"/>
      <c r="G39" s="240"/>
      <c r="H39" s="240"/>
    </row>
    <row r="42" spans="2:8" x14ac:dyDescent="0.2">
      <c r="B42" s="240" t="s">
        <v>338</v>
      </c>
      <c r="C42" s="240"/>
      <c r="D42" s="240"/>
      <c r="E42" s="240"/>
      <c r="F42" s="240"/>
      <c r="G42" s="240"/>
      <c r="H42" s="240"/>
    </row>
    <row r="44" spans="2:8" x14ac:dyDescent="0.2">
      <c r="B44" s="41" t="s">
        <v>339</v>
      </c>
      <c r="C44" s="41" t="s">
        <v>415</v>
      </c>
      <c r="D44" s="41"/>
      <c r="E44" s="41" t="s">
        <v>413</v>
      </c>
    </row>
    <row r="49" spans="2:8" ht="5" customHeight="1" x14ac:dyDescent="0.2">
      <c r="B49" s="240"/>
      <c r="C49" s="240"/>
      <c r="D49" s="240"/>
      <c r="E49" s="240"/>
      <c r="F49" s="240"/>
      <c r="G49" s="240"/>
      <c r="H49" s="240"/>
    </row>
    <row r="52" spans="2:8" x14ac:dyDescent="0.2">
      <c r="B52" s="240" t="s">
        <v>106</v>
      </c>
      <c r="C52" s="240"/>
      <c r="D52" s="240"/>
      <c r="E52" s="240"/>
      <c r="F52" s="240"/>
      <c r="G52" s="240"/>
      <c r="H52" s="240"/>
    </row>
    <row r="54" spans="2:8" x14ac:dyDescent="0.2">
      <c r="B54" s="41" t="s">
        <v>339</v>
      </c>
      <c r="C54" s="41" t="s">
        <v>359</v>
      </c>
      <c r="D54" s="41"/>
      <c r="E54" s="41" t="s">
        <v>363</v>
      </c>
    </row>
    <row r="59" spans="2:8" ht="5" customHeight="1" x14ac:dyDescent="0.2">
      <c r="B59" s="240"/>
      <c r="C59" s="240"/>
      <c r="D59" s="240"/>
      <c r="E59" s="240"/>
      <c r="F59" s="240"/>
      <c r="G59" s="240"/>
      <c r="H59" s="240"/>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Y204" activePane="bottomRight" state="frozen"/>
      <selection pane="topRight" activeCell="C1" sqref="C1"/>
      <selection pane="bottomLeft" activeCell="A4" sqref="A4"/>
      <selection pane="bottomRight" activeCell="AA187" sqref="AA18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365</v>
      </c>
      <c r="N2" s="9" t="s">
        <v>366</v>
      </c>
      <c r="O2" s="10" t="s">
        <v>367</v>
      </c>
      <c r="P2" s="10" t="s">
        <v>368</v>
      </c>
      <c r="Q2" s="10" t="s">
        <v>369</v>
      </c>
      <c r="R2" s="7"/>
      <c r="S2" s="7"/>
      <c r="T2" s="10" t="s">
        <v>368</v>
      </c>
      <c r="U2" s="10" t="s">
        <v>371</v>
      </c>
      <c r="V2" s="10" t="s">
        <v>372</v>
      </c>
      <c r="W2" s="10" t="s">
        <v>373</v>
      </c>
      <c r="X2" s="200" t="s">
        <v>369</v>
      </c>
      <c r="Y2" s="200" t="s">
        <v>374</v>
      </c>
      <c r="Z2" s="200" t="s">
        <v>375</v>
      </c>
      <c r="AA2" s="200" t="s">
        <v>414</v>
      </c>
      <c r="AB2" s="7"/>
      <c r="AD2" s="7"/>
      <c r="AE2" s="7"/>
    </row>
    <row r="3" spans="1:31" s="13" customFormat="1" x14ac:dyDescent="0.2">
      <c r="A3" s="11"/>
      <c r="B3" s="12" t="s">
        <v>16</v>
      </c>
      <c r="M3" s="13">
        <v>2021</v>
      </c>
      <c r="N3" s="13">
        <v>2022</v>
      </c>
      <c r="O3" s="13">
        <v>2023</v>
      </c>
      <c r="P3" s="13">
        <v>2024</v>
      </c>
      <c r="Q3" s="13">
        <v>2025</v>
      </c>
      <c r="R3" s="11"/>
      <c r="S3" s="11"/>
      <c r="T3" s="10" t="s">
        <v>360</v>
      </c>
      <c r="U3" s="10" t="s">
        <v>361</v>
      </c>
      <c r="V3" s="10" t="s">
        <v>86</v>
      </c>
      <c r="W3" s="10" t="s">
        <v>84</v>
      </c>
      <c r="X3" s="200" t="s">
        <v>83</v>
      </c>
      <c r="Y3" s="200" t="s">
        <v>87</v>
      </c>
      <c r="Z3" s="200" t="s">
        <v>85</v>
      </c>
      <c r="AA3" s="200" t="s">
        <v>413</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370</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353</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4">
        <v>0</v>
      </c>
      <c r="Y34" s="224">
        <v>0</v>
      </c>
      <c r="Z34" s="224">
        <v>0</v>
      </c>
      <c r="AA34" s="224">
        <v>0</v>
      </c>
      <c r="AC34" s="21">
        <f t="shared" si="17"/>
        <v>0</v>
      </c>
    </row>
    <row r="35" spans="1:31" s="34" customFormat="1" x14ac:dyDescent="0.2">
      <c r="A35" s="16"/>
      <c r="B35" s="32" t="s">
        <v>44</v>
      </c>
      <c r="C35" s="35"/>
      <c r="D35" s="35"/>
      <c r="E35" s="35"/>
      <c r="F35" s="35"/>
      <c r="G35" s="35"/>
      <c r="H35" s="35"/>
      <c r="I35" s="35"/>
      <c r="J35" s="35"/>
      <c r="K35" s="35"/>
      <c r="L35" s="35"/>
      <c r="M35" s="225">
        <f t="shared" ref="M35:O35" si="18">M36-M31</f>
        <v>216156</v>
      </c>
      <c r="N35" s="225">
        <f t="shared" si="18"/>
        <v>217350</v>
      </c>
      <c r="O35" s="225">
        <f t="shared" si="18"/>
        <v>209017</v>
      </c>
      <c r="P35" s="225">
        <f>P36-P31</f>
        <v>211993</v>
      </c>
      <c r="Q35" s="225">
        <f>Q36-Q31</f>
        <v>211284</v>
      </c>
      <c r="R35" s="1"/>
      <c r="S35" s="1"/>
      <c r="T35" s="225">
        <f t="shared" ref="T35:Y35" si="19">T36-T31</f>
        <v>211993</v>
      </c>
      <c r="U35" s="225">
        <f t="shared" si="19"/>
        <v>210845</v>
      </c>
      <c r="V35" s="225">
        <f t="shared" si="19"/>
        <v>212559</v>
      </c>
      <c r="W35" s="225">
        <f t="shared" si="19"/>
        <v>209004</v>
      </c>
      <c r="X35" s="225">
        <f t="shared" si="19"/>
        <v>211284</v>
      </c>
      <c r="Y35" s="225">
        <f t="shared" si="19"/>
        <v>221193</v>
      </c>
      <c r="Z35" s="225">
        <f t="shared" ref="Z35:AA35" si="20">Z36-Z31</f>
        <v>226968</v>
      </c>
      <c r="AA35" s="225">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5">
        <f t="shared" ref="M41:O41" si="21">M42-M39</f>
        <v>162431</v>
      </c>
      <c r="N41" s="225">
        <f t="shared" si="21"/>
        <v>148101</v>
      </c>
      <c r="O41" s="225">
        <f t="shared" si="21"/>
        <v>145129</v>
      </c>
      <c r="P41" s="225">
        <f>P42-P39</f>
        <v>131638</v>
      </c>
      <c r="Q41" s="225">
        <f>Q42-Q39</f>
        <v>119877</v>
      </c>
      <c r="R41" s="1"/>
      <c r="S41" s="1"/>
      <c r="T41" s="225">
        <f t="shared" ref="T41:Y41" si="22">T42-T39</f>
        <v>131638</v>
      </c>
      <c r="U41" s="225">
        <f t="shared" si="22"/>
        <v>132962</v>
      </c>
      <c r="V41" s="225">
        <f t="shared" si="22"/>
        <v>119866</v>
      </c>
      <c r="W41" s="225">
        <f t="shared" si="22"/>
        <v>124545</v>
      </c>
      <c r="X41" s="225">
        <f t="shared" si="22"/>
        <v>120147</v>
      </c>
      <c r="Y41" s="225">
        <f t="shared" si="22"/>
        <v>128740</v>
      </c>
      <c r="Z41" s="225">
        <f t="shared" ref="Z41:AA41" si="23">Z42-Z39</f>
        <v>129950</v>
      </c>
      <c r="AA41" s="225">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4">
        <v>57365</v>
      </c>
      <c r="N45" s="224">
        <v>64849</v>
      </c>
      <c r="O45" s="224">
        <v>73812</v>
      </c>
      <c r="P45" s="224">
        <v>83276</v>
      </c>
      <c r="Q45" s="224">
        <v>93568</v>
      </c>
      <c r="T45" s="21">
        <v>83276</v>
      </c>
      <c r="U45" s="21">
        <v>84768</v>
      </c>
      <c r="V45" s="21">
        <v>88711</v>
      </c>
      <c r="W45" s="21">
        <v>89806</v>
      </c>
      <c r="X45" s="21">
        <v>93568</v>
      </c>
      <c r="Y45" s="21">
        <v>95221</v>
      </c>
      <c r="Z45" s="21">
        <v>99507</v>
      </c>
      <c r="AA45" s="21">
        <v>100702</v>
      </c>
      <c r="AC45" s="62">
        <f t="shared" si="17"/>
        <v>100702</v>
      </c>
    </row>
    <row r="46" spans="1:31" x14ac:dyDescent="0.2">
      <c r="B46" s="20" t="s">
        <v>333</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283</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331</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233</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234</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235</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274</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275</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6">
        <v>0.25</v>
      </c>
      <c r="U80" s="226">
        <v>0.25</v>
      </c>
      <c r="V80" s="226">
        <v>0.25</v>
      </c>
      <c r="W80" s="226">
        <v>0.26</v>
      </c>
      <c r="X80" s="226">
        <v>0.26</v>
      </c>
      <c r="Y80" s="226">
        <v>0.26</v>
      </c>
      <c r="Z80" s="226">
        <v>0.26</v>
      </c>
      <c r="AA80" s="226">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370</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298</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329</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330</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306.43</v>
      </c>
    </row>
    <row r="115" spans="1:31" x14ac:dyDescent="0.2">
      <c r="B115" s="20" t="s">
        <v>342</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306.43</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230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8" spans="1:31" x14ac:dyDescent="0.2">
      <c r="B128" s="1"/>
    </row>
    <row r="129" spans="2:29" ht="17" thickBot="1" x14ac:dyDescent="0.25">
      <c r="B129" s="14" t="s">
        <v>247</v>
      </c>
      <c r="C129" s="168"/>
      <c r="D129" s="168"/>
      <c r="E129" s="168"/>
      <c r="F129" s="168"/>
      <c r="G129" s="168"/>
      <c r="H129" s="168"/>
      <c r="I129" s="168"/>
      <c r="J129" s="168"/>
      <c r="K129" s="168"/>
      <c r="L129" s="168"/>
      <c r="M129" s="168"/>
      <c r="N129" s="168"/>
      <c r="O129" s="168"/>
      <c r="P129" s="168"/>
      <c r="Q129" s="168"/>
      <c r="T129" s="168"/>
      <c r="U129" s="168"/>
      <c r="V129" s="168"/>
      <c r="W129" s="168"/>
      <c r="X129" s="168"/>
      <c r="Y129" s="168"/>
      <c r="Z129" s="168"/>
      <c r="AA129" s="168"/>
      <c r="AC129" s="168"/>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250</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254</v>
      </c>
      <c r="M136" s="176">
        <f>(M106-M105)/M48</f>
        <v>-1.0429069583135204</v>
      </c>
      <c r="N136" s="176">
        <f>(N106-N105)/N48</f>
        <v>-0.96779286390906216</v>
      </c>
      <c r="O136" s="176">
        <f>(O106-O105)/O48</f>
        <v>-0.82082515367038911</v>
      </c>
      <c r="P136" s="176">
        <f>(P106-P105)/P48</f>
        <v>-0.87833187006145741</v>
      </c>
      <c r="Q136" s="176">
        <f>(Q106-Q105)/Q48</f>
        <v>-0.45790894172215968</v>
      </c>
      <c r="T136" s="176">
        <f t="shared" ref="T136:Z136" si="124">(T106-T105)/T48</f>
        <v>-0.87833187006145741</v>
      </c>
      <c r="U136" s="176">
        <f t="shared" si="124"/>
        <v>-0.66762036010665393</v>
      </c>
      <c r="V136" s="176">
        <f t="shared" si="124"/>
        <v>-0.520031139589197</v>
      </c>
      <c r="W136" s="176">
        <f t="shared" si="124"/>
        <v>-0.47528482454807841</v>
      </c>
      <c r="X136" s="176">
        <f t="shared" si="124"/>
        <v>-0.45790894172215968</v>
      </c>
      <c r="Y136" s="176">
        <f t="shared" si="124"/>
        <v>-0.61555731942397096</v>
      </c>
      <c r="Z136" s="176">
        <f t="shared" si="124"/>
        <v>-0.58111953122799109</v>
      </c>
      <c r="AA136" s="176">
        <f t="shared" ref="AA136" si="125">(AA106-AA105)/AA48</f>
        <v>-0.57824590773809526</v>
      </c>
      <c r="AC136" s="176">
        <f>(AC106-AC105)/AC48</f>
        <v>-0.57824590773809526</v>
      </c>
    </row>
    <row r="137" spans="2:29" x14ac:dyDescent="0.2">
      <c r="B137" s="20" t="s">
        <v>251</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252</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258</v>
      </c>
      <c r="M139" s="178" t="str">
        <f>IF(M12&gt;=0,"N/A",IF(M11&lt;=0,"N/A",M11/-M12))</f>
        <v>N/A</v>
      </c>
      <c r="N139" s="178" t="str">
        <f>IF(N12&gt;=0,"N/A",IF(N11&lt;=0,"N/A",N11/-N12))</f>
        <v>N/A</v>
      </c>
      <c r="O139" s="178" t="str">
        <f>IF(O12&gt;=0,"N/A",IF(O11&lt;=0,"N/A",O11/-O12))</f>
        <v>N/A</v>
      </c>
      <c r="P139" s="178" t="str">
        <f>IF(P12&gt;=0,"N/A",IF(P11&lt;=0,"N/A",P11/-P12))</f>
        <v>N/A</v>
      </c>
      <c r="Q139" s="178" t="str">
        <f>IF(Q12&gt;=0,"N/A",IF(Q11&lt;=0,"N/A",Q11/-Q12))</f>
        <v>N/A</v>
      </c>
      <c r="T139" s="178" t="str">
        <f t="shared" ref="T139:Z139" si="130">IF(T12&gt;=0,"N/A",IF(T11&lt;=0,"N/A",T11/-T12))</f>
        <v>N/A</v>
      </c>
      <c r="U139" s="178" t="str">
        <f t="shared" si="130"/>
        <v>N/A</v>
      </c>
      <c r="V139" s="178" t="str">
        <f t="shared" si="130"/>
        <v>N/A</v>
      </c>
      <c r="W139" s="178" t="str">
        <f t="shared" si="130"/>
        <v>N/A</v>
      </c>
      <c r="X139" s="178" t="str">
        <f t="shared" si="130"/>
        <v>N/A</v>
      </c>
      <c r="Y139" s="178" t="str">
        <f t="shared" si="130"/>
        <v>N/A</v>
      </c>
      <c r="Z139" s="178" t="str">
        <f t="shared" si="130"/>
        <v>N/A</v>
      </c>
      <c r="AA139" s="178" t="str">
        <f t="shared" ref="AA139" si="131">IF(AA12&gt;=0,"N/A",IF(AA11&lt;=0,"N/A",AA11/-AA12))</f>
        <v>N/A</v>
      </c>
      <c r="AC139" s="178" t="str">
        <f>IF(AC12&gt;=0,"N/A",IF(AC11&lt;=0,"N/A",AC11/-AC12))</f>
        <v>N/A</v>
      </c>
    </row>
    <row r="140" spans="2:29" x14ac:dyDescent="0.2">
      <c r="B140" s="20" t="s">
        <v>236</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35.141055045871568</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9.7010052257493733</v>
      </c>
    </row>
    <row r="142" spans="2:29" x14ac:dyDescent="0.2">
      <c r="B142" s="20" t="s">
        <v>237</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41.592628534226193</v>
      </c>
    </row>
    <row r="143" spans="2:29" x14ac:dyDescent="0.2">
      <c r="B143" s="20" t="s">
        <v>238</v>
      </c>
      <c r="M143" s="143">
        <f>Statement!M115*Statement!M77</f>
        <v>2434464.4</v>
      </c>
      <c r="N143" s="143">
        <f>Statement!N115*Statement!N77</f>
        <v>2409587.7400000002</v>
      </c>
      <c r="O143" s="143">
        <f>Statement!O115*Statement!O77</f>
        <v>2674471.41</v>
      </c>
      <c r="P143" s="143">
        <f>Statement!P115*Statement!P77</f>
        <v>3457852.1999999997</v>
      </c>
      <c r="Q143" s="143">
        <f>Statement!Q115*Statement!Q77</f>
        <v>3788982.72</v>
      </c>
      <c r="T143" s="143">
        <f>Statement!T115*Statement!T77</f>
        <v>3457852.1999999997</v>
      </c>
      <c r="U143" s="143">
        <f>Statement!U115*Statement!U77</f>
        <v>3857108.69</v>
      </c>
      <c r="V143" s="143">
        <f>Statement!V115*Statement!V77</f>
        <v>3265514.54</v>
      </c>
      <c r="W143" s="143">
        <f>Statement!W115*Statement!W77</f>
        <v>2993075.8000000003</v>
      </c>
      <c r="X143" s="143">
        <f>Statement!X115*Statement!X77</f>
        <v>3788982.72</v>
      </c>
      <c r="Y143" s="143">
        <f>Statement!Y115*Statement!Y77</f>
        <v>4023217.27</v>
      </c>
      <c r="Z143" s="143">
        <f>Statement!Z115*Statement!Z77</f>
        <v>3667312</v>
      </c>
      <c r="AA143" s="143">
        <f>Statement!AA115*Statement!AA77</f>
        <v>4158228.3399999994</v>
      </c>
      <c r="AC143" s="143">
        <f ca="1">Statement!AC115*Statement!AC77</f>
        <v>4490118.79</v>
      </c>
    </row>
    <row r="144" spans="2:29" x14ac:dyDescent="0.2">
      <c r="B144" s="20" t="s">
        <v>185</v>
      </c>
      <c r="M144" s="143">
        <f>M143+M106-M105+M47+M44</f>
        <v>2368667.4</v>
      </c>
      <c r="N144" s="143">
        <f>N143+N106-N105+N47+N44</f>
        <v>2360547.7400000002</v>
      </c>
      <c r="O144" s="143">
        <f>O143+O106-O105+O47+O44</f>
        <v>2623460.41</v>
      </c>
      <c r="P144" s="143">
        <f>P143+P106-P105+P47+P44</f>
        <v>3407831.1999999997</v>
      </c>
      <c r="Q144" s="143">
        <f>Q143+Q106-Q105+Q47+Q44</f>
        <v>3755219.72</v>
      </c>
      <c r="T144" s="143">
        <f t="shared" ref="T144:Z144" si="132">T143+T106-T105+T47+T44</f>
        <v>3407831.1999999997</v>
      </c>
      <c r="U144" s="143">
        <f t="shared" si="132"/>
        <v>3812539.69</v>
      </c>
      <c r="V144" s="143">
        <f t="shared" si="132"/>
        <v>3230778.54</v>
      </c>
      <c r="W144" s="143">
        <f t="shared" si="132"/>
        <v>2961787.8000000003</v>
      </c>
      <c r="X144" s="143">
        <f t="shared" si="132"/>
        <v>3755219.72</v>
      </c>
      <c r="Y144" s="143">
        <f t="shared" si="132"/>
        <v>3968931.27</v>
      </c>
      <c r="Z144" s="143">
        <f t="shared" si="132"/>
        <v>3605428</v>
      </c>
      <c r="AA144" s="143">
        <f t="shared" ref="AA144" si="133">AA143+AA106-AA105+AA47+AA44</f>
        <v>4096055.34</v>
      </c>
      <c r="AC144" s="143">
        <f ca="1">AC143+AC106-AC105+AC47+AC44</f>
        <v>4427945.79</v>
      </c>
    </row>
    <row r="145" spans="2:29" x14ac:dyDescent="0.2">
      <c r="B145" s="20" t="s">
        <v>259</v>
      </c>
      <c r="M145" s="180">
        <f>M144/M5</f>
        <v>6.4750063556368342</v>
      </c>
      <c r="N145" s="180">
        <f>N144/N5</f>
        <v>5.9862544379298459</v>
      </c>
      <c r="O145" s="180">
        <f>O144/O5</f>
        <v>6.8446727891777659</v>
      </c>
      <c r="P145" s="180">
        <f>P144/P5</f>
        <v>8.7149007122124615</v>
      </c>
      <c r="Q145" s="180">
        <f>Q144/Q5</f>
        <v>9.0234782211692117</v>
      </c>
      <c r="T145" s="49"/>
      <c r="U145" s="49"/>
      <c r="V145" s="49"/>
      <c r="W145" s="49"/>
      <c r="X145" s="49"/>
      <c r="Y145" s="49"/>
      <c r="Z145" s="49"/>
      <c r="AA145" s="49"/>
      <c r="AC145" s="180">
        <f ca="1">AC144/AC5</f>
        <v>9.4852776962574676</v>
      </c>
    </row>
    <row r="146" spans="2:29" x14ac:dyDescent="0.2">
      <c r="B146" s="20" t="s">
        <v>201</v>
      </c>
      <c r="M146" s="180">
        <f>M144/M11</f>
        <v>21.741066003359368</v>
      </c>
      <c r="N146" s="180">
        <f>N144/N11</f>
        <v>19.763957065231043</v>
      </c>
      <c r="O146" s="180">
        <f>O144/O11</f>
        <v>22.95220872958242</v>
      </c>
      <c r="P146" s="180">
        <f>P144/P11</f>
        <v>27.657375665497984</v>
      </c>
      <c r="Q146" s="180">
        <f>Q144/Q11</f>
        <v>28.224124163848177</v>
      </c>
      <c r="T146" s="49"/>
      <c r="U146" s="49"/>
      <c r="V146" s="49"/>
      <c r="W146" s="49"/>
      <c r="X146" s="49"/>
      <c r="Y146" s="49"/>
      <c r="Z146" s="49"/>
      <c r="AA146" s="49"/>
      <c r="AC146" s="180">
        <f ca="1">AC144/AC11</f>
        <v>28.593402966569588</v>
      </c>
    </row>
    <row r="147" spans="2:29" x14ac:dyDescent="0.2">
      <c r="B147" s="20" t="s">
        <v>260</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261</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127773.1596218234</v>
      </c>
    </row>
    <row r="149" spans="2:29" x14ac:dyDescent="0.2">
      <c r="B149" s="20" t="s">
        <v>262</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36.511858233653449</v>
      </c>
    </row>
    <row r="150" spans="2:29" x14ac:dyDescent="0.2">
      <c r="B150" s="20" t="s">
        <v>263</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34.654741286085532</v>
      </c>
    </row>
    <row r="151" spans="2:29" x14ac:dyDescent="0.2">
      <c r="B151" s="20" t="s">
        <v>264</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2.7388362257560674E-2</v>
      </c>
    </row>
    <row r="152" spans="2:29" x14ac:dyDescent="0.2">
      <c r="B152" s="20" t="s">
        <v>265</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2.845674379140423E-2</v>
      </c>
    </row>
    <row r="153" spans="2:29" x14ac:dyDescent="0.2">
      <c r="B153" s="20" t="s">
        <v>266</v>
      </c>
      <c r="M153" s="151">
        <f>M81/M115</f>
        <v>5.7854614756329978E-3</v>
      </c>
      <c r="N153" s="151">
        <f>N81/N115</f>
        <v>5.9828491657249218E-3</v>
      </c>
      <c r="O153" s="151">
        <f>O81/O115</f>
        <v>5.4903335085567427E-3</v>
      </c>
      <c r="P153" s="151">
        <f>P81/P115</f>
        <v>4.3022081741955313E-3</v>
      </c>
      <c r="Q153" s="151">
        <f>Q81/Q115</f>
        <v>3.9927973068190712E-3</v>
      </c>
      <c r="T153" s="49"/>
      <c r="U153" s="49"/>
      <c r="V153" s="49"/>
      <c r="W153" s="49"/>
      <c r="X153" s="49"/>
      <c r="Y153" s="49"/>
      <c r="Z153" s="49"/>
      <c r="AA153" s="49"/>
      <c r="AC153" s="151">
        <f ca="1">AC81/AC115</f>
        <v>3.426557451946611E-3</v>
      </c>
    </row>
    <row r="154" spans="2:29" x14ac:dyDescent="0.2">
      <c r="B154" s="20" t="s">
        <v>291</v>
      </c>
      <c r="M154" s="151">
        <f>-M62/M143</f>
        <v>3.5314133162103335E-2</v>
      </c>
      <c r="N154" s="151">
        <f>-N62/N143</f>
        <v>3.7102612416180368E-2</v>
      </c>
      <c r="O154" s="151">
        <f>-O62/O143</f>
        <v>2.8996383999483469E-2</v>
      </c>
      <c r="P154" s="151">
        <f>-P62/P143</f>
        <v>2.7458952699019355E-2</v>
      </c>
      <c r="Q154" s="151">
        <f>-Q62/Q143</f>
        <v>2.3940726760559097E-2</v>
      </c>
      <c r="T154" s="49"/>
      <c r="U154" s="49"/>
      <c r="V154" s="49"/>
      <c r="W154" s="49"/>
      <c r="X154" s="49"/>
      <c r="Y154" s="49"/>
      <c r="Z154" s="49"/>
      <c r="AA154" s="49"/>
      <c r="AC154" s="151">
        <f ca="1">-AC62/AC143</f>
        <v>1.831265582174052E-2</v>
      </c>
    </row>
    <row r="155" spans="2:29" x14ac:dyDescent="0.2">
      <c r="B155" s="20" t="s">
        <v>293</v>
      </c>
      <c r="M155" s="151">
        <f>-(M62+M63)/M143</f>
        <v>4.1256713386320212E-2</v>
      </c>
      <c r="N155" s="151">
        <f>-(N62+N63)/N143</f>
        <v>4.3261757299611757E-2</v>
      </c>
      <c r="O155" s="151">
        <f>-(O62+O63)/O143</f>
        <v>3.4614316553864377E-2</v>
      </c>
      <c r="P155" s="151">
        <f>-(P62+P63)/P143</f>
        <v>3.1864577670497315E-2</v>
      </c>
      <c r="Q155" s="151">
        <f>-(Q62+Q63)/Q143</f>
        <v>2.8010684619854901E-2</v>
      </c>
      <c r="T155" s="49"/>
      <c r="U155" s="49"/>
      <c r="V155" s="49"/>
      <c r="W155" s="49"/>
      <c r="X155" s="49"/>
      <c r="Y155" s="49"/>
      <c r="Z155" s="49"/>
      <c r="AA155" s="49"/>
      <c r="AC155" s="151">
        <f ca="1">-(AC62+AC63)/AC143</f>
        <v>2.1795859881916398E-2</v>
      </c>
    </row>
    <row r="156" spans="2:29" x14ac:dyDescent="0.2">
      <c r="B156" s="20" t="s">
        <v>343</v>
      </c>
      <c r="M156" s="151">
        <f>M148/M5</f>
        <v>0.24532572251420173</v>
      </c>
      <c r="N156" s="151">
        <f>N148/N5</f>
        <v>0.25785355617144617</v>
      </c>
      <c r="O156" s="151">
        <f>O148/O5</f>
        <v>0.23862096524938778</v>
      </c>
      <c r="P156" s="151">
        <f>P148/P5</f>
        <v>0.25363664451543133</v>
      </c>
      <c r="Q156" s="151">
        <f>Q148/Q5</f>
        <v>0.20728490149846518</v>
      </c>
      <c r="T156" s="49"/>
      <c r="U156" s="49"/>
      <c r="V156" s="49"/>
      <c r="W156" s="49"/>
      <c r="X156" s="49"/>
      <c r="Y156" s="49"/>
      <c r="Z156" s="49"/>
      <c r="AA156" s="49"/>
      <c r="AC156" s="151">
        <f>AC148/AC5</f>
        <v>0.2737079356026233</v>
      </c>
    </row>
    <row r="157" spans="2:29" x14ac:dyDescent="0.2">
      <c r="B157" s="20" t="s">
        <v>344</v>
      </c>
      <c r="M157" s="151">
        <f>M147/M5</f>
        <v>0.23248509500651965</v>
      </c>
      <c r="N157" s="151">
        <f>N147/N5</f>
        <v>0.25969497474183928</v>
      </c>
      <c r="O157" s="151">
        <f>O147/O5</f>
        <v>0.23155354370768488</v>
      </c>
      <c r="P157" s="151">
        <f>P147/P5</f>
        <v>0.24836395719053281</v>
      </c>
      <c r="Q157" s="151">
        <f>Q147/Q5</f>
        <v>0.20642011144725239</v>
      </c>
      <c r="T157" s="49"/>
      <c r="U157" s="49"/>
      <c r="V157" s="49"/>
      <c r="W157" s="49"/>
      <c r="X157" s="49"/>
      <c r="Y157" s="49"/>
      <c r="Z157" s="49"/>
      <c r="AA157" s="49"/>
      <c r="AC157" s="151">
        <f>AC147/AC5</f>
        <v>0.2634338925031543</v>
      </c>
    </row>
    <row r="158" spans="2:29" x14ac:dyDescent="0.2">
      <c r="B158" s="20" t="s">
        <v>269</v>
      </c>
      <c r="M158" s="151">
        <f>-M63/M147</f>
        <v>0.17010594142062624</v>
      </c>
      <c r="N158" s="151">
        <f>-N63/N147</f>
        <v>0.1449245642302622</v>
      </c>
      <c r="O158" s="151">
        <f>-O63/O147</f>
        <v>0.16929386711135649</v>
      </c>
      <c r="P158" s="151">
        <f>-P63/P147</f>
        <v>0.15685911098755134</v>
      </c>
      <c r="Q158" s="151">
        <f>-Q63/Q147</f>
        <v>0.17951434159061277</v>
      </c>
      <c r="T158" s="49"/>
      <c r="U158" s="49"/>
      <c r="V158" s="49"/>
      <c r="W158" s="49"/>
      <c r="X158" s="49"/>
      <c r="Y158" s="49"/>
      <c r="Z158" s="49"/>
      <c r="AA158" s="49"/>
      <c r="AC158" s="151">
        <f>-AC63/AC147</f>
        <v>0.12717825284402776</v>
      </c>
    </row>
    <row r="159" spans="2:29" x14ac:dyDescent="0.2">
      <c r="B159" s="20" t="s">
        <v>271</v>
      </c>
      <c r="M159" s="151">
        <f>-M62/M147</f>
        <v>1.0108645807612262</v>
      </c>
      <c r="N159" s="151">
        <f>-N62/N147</f>
        <v>0.87302377813583321</v>
      </c>
      <c r="O159" s="151">
        <f>-O62/O147</f>
        <v>0.87379297134680167</v>
      </c>
      <c r="P159" s="151">
        <f>-P62/P147</f>
        <v>0.97765627735046701</v>
      </c>
      <c r="Q159" s="151">
        <f>-Q62/Q147</f>
        <v>1.0559578133730676</v>
      </c>
      <c r="T159" s="49"/>
      <c r="U159" s="49"/>
      <c r="V159" s="49"/>
      <c r="W159" s="49"/>
      <c r="X159" s="49"/>
      <c r="Y159" s="49"/>
      <c r="Z159" s="49"/>
      <c r="AA159" s="49"/>
      <c r="AC159" s="151">
        <f>-AC62/AC147</f>
        <v>0.66862909324507835</v>
      </c>
    </row>
    <row r="160" spans="2:29" x14ac:dyDescent="0.2">
      <c r="B160" s="20" t="s">
        <v>282</v>
      </c>
      <c r="M160" s="151">
        <f>(-M63-M62)/M147</f>
        <v>1.1809705221818523</v>
      </c>
      <c r="N160" s="151">
        <f>(-N63-N62)/N147</f>
        <v>1.0179483423660953</v>
      </c>
      <c r="O160" s="151">
        <f>(-O63-O62)/O147</f>
        <v>1.0430868384581582</v>
      </c>
      <c r="P160" s="151">
        <f>(-P63-P62)/P147</f>
        <v>1.1345153883380183</v>
      </c>
      <c r="Q160" s="151">
        <f>(-Q63-Q62)/Q147</f>
        <v>1.2354721549636805</v>
      </c>
      <c r="T160" s="49"/>
      <c r="U160" s="49"/>
      <c r="V160" s="49"/>
      <c r="W160" s="49"/>
      <c r="X160" s="49"/>
      <c r="Y160" s="49"/>
      <c r="Z160" s="49"/>
      <c r="AA160" s="49"/>
      <c r="AC160" s="151">
        <f>(-AC63-AC62)/AC147</f>
        <v>0.79580734608910608</v>
      </c>
    </row>
    <row r="161" spans="1:31" x14ac:dyDescent="0.2">
      <c r="B161" s="20" t="s">
        <v>276</v>
      </c>
      <c r="M161" s="151">
        <f>M79/M77</f>
        <v>6.0350030175015089E-4</v>
      </c>
      <c r="N161" s="151">
        <f>N79/N77</f>
        <v>6.2429766512673245E-4</v>
      </c>
      <c r="O161" s="151">
        <f>O79/O77</f>
        <v>6.4016388195378021E-4</v>
      </c>
      <c r="P161" s="151">
        <f>P79/P77</f>
        <v>5.2700922266139653E-4</v>
      </c>
      <c r="Q161" s="151">
        <f>Q79/Q77</f>
        <v>6.0679611650485432E-4</v>
      </c>
      <c r="T161" s="49"/>
      <c r="U161" s="49"/>
      <c r="V161" s="49"/>
      <c r="W161" s="49"/>
      <c r="X161" s="49"/>
      <c r="Y161" s="49"/>
      <c r="Z161" s="49"/>
      <c r="AA161" s="49"/>
      <c r="AC161" s="151">
        <f>AC79/AC77</f>
        <v>6.1420869446529721E-4</v>
      </c>
    </row>
    <row r="162" spans="1:31" x14ac:dyDescent="0.2">
      <c r="B162" s="20" t="s">
        <v>277</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279</v>
      </c>
      <c r="M163" s="151">
        <f>M53/M58</f>
        <v>7.59914646571445E-2</v>
      </c>
      <c r="N163" s="151">
        <f>N53/N58</f>
        <v>7.3990388944830579E-2</v>
      </c>
      <c r="O163" s="151">
        <f>O53/O58</f>
        <v>9.7998064101752255E-2</v>
      </c>
      <c r="P163" s="151">
        <f>P53/P58</f>
        <v>9.8838094271652549E-2</v>
      </c>
      <c r="Q163" s="151">
        <f>Q53/Q58</f>
        <v>0.11538185536678566</v>
      </c>
      <c r="T163" s="151" t="e">
        <f t="shared" ref="T163:Z163" si="143">T53/T58</f>
        <v>#DIV/0!</v>
      </c>
      <c r="U163" s="151">
        <f t="shared" si="143"/>
        <v>0.1097711708702188</v>
      </c>
      <c r="V163" s="151">
        <f t="shared" si="143"/>
        <v>0.13468603874415497</v>
      </c>
      <c r="W163" s="151">
        <f t="shared" si="143"/>
        <v>0.11368285068360426</v>
      </c>
      <c r="X163" s="151">
        <f t="shared" si="143"/>
        <v>0.10707077502691066</v>
      </c>
      <c r="Y163" s="151">
        <f t="shared" si="143"/>
        <v>6.6648122392211406E-2</v>
      </c>
      <c r="Z163" s="151">
        <f t="shared" si="143"/>
        <v>0.12291826353564211</v>
      </c>
      <c r="AA163" s="151">
        <f t="shared" ref="AA163" si="144">AA53/AA58</f>
        <v>9.8955454042887483E-2</v>
      </c>
      <c r="AC163" s="151">
        <f>AC53/AC58</f>
        <v>9.3413483819961285E-2</v>
      </c>
    </row>
    <row r="164" spans="1:31" x14ac:dyDescent="0.2">
      <c r="B164" s="20" t="s">
        <v>280</v>
      </c>
      <c r="M164" s="151">
        <f>M53/M5</f>
        <v>2.1611898845597662E-2</v>
      </c>
      <c r="N164" s="151">
        <f>N53/N5</f>
        <v>2.2920005680550203E-2</v>
      </c>
      <c r="O164" s="151">
        <f>O53/O5</f>
        <v>2.8263563666723196E-2</v>
      </c>
      <c r="P164" s="151">
        <f>P53/P5</f>
        <v>2.9889907553032339E-2</v>
      </c>
      <c r="Q164" s="151">
        <f>Q53/Q5</f>
        <v>3.0908710811440764E-2</v>
      </c>
      <c r="T164" s="151">
        <f t="shared" ref="T164:Z164" si="145">T53/T5</f>
        <v>0</v>
      </c>
      <c r="U164" s="151">
        <f t="shared" si="145"/>
        <v>2.6436041834271923E-2</v>
      </c>
      <c r="V164" s="151">
        <f t="shared" si="145"/>
        <v>3.3830052748036368E-2</v>
      </c>
      <c r="W164" s="151">
        <f t="shared" si="145"/>
        <v>3.3689225403037135E-2</v>
      </c>
      <c r="X164" s="151">
        <f t="shared" si="145"/>
        <v>3.106396268030371E-2</v>
      </c>
      <c r="Y164" s="151">
        <f t="shared" si="145"/>
        <v>2.5000695623139207E-2</v>
      </c>
      <c r="Z164" s="151">
        <f t="shared" si="145"/>
        <v>3.1731184343070942E-2</v>
      </c>
      <c r="AA164" s="151">
        <f t="shared" ref="AA164" si="146">AA53/AA5</f>
        <v>3.108292130107753E-2</v>
      </c>
      <c r="AC164" s="151">
        <f>AC53/AC5</f>
        <v>2.9360164344944442E-2</v>
      </c>
    </row>
    <row r="165" spans="1:31" x14ac:dyDescent="0.2">
      <c r="B165" s="20" t="s">
        <v>285</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290</v>
      </c>
      <c r="M166" s="151">
        <f>(M105-M106)/M143</f>
        <v>2.7027300132217994E-2</v>
      </c>
      <c r="N166" s="151">
        <f>(N105-N106)/N143</f>
        <v>2.0352029181556177E-2</v>
      </c>
      <c r="O166" s="151">
        <f>(O105-O106)/O143</f>
        <v>1.9073301665991634E-2</v>
      </c>
      <c r="P166" s="151">
        <f>(P105-P106)/P143</f>
        <v>1.4465916154542407E-2</v>
      </c>
      <c r="Q166" s="151">
        <f>(Q105-Q106)/Q143</f>
        <v>8.9108350433437702E-3</v>
      </c>
      <c r="T166" s="49"/>
      <c r="U166" s="49"/>
      <c r="V166" s="49"/>
      <c r="W166" s="49"/>
      <c r="X166" s="49"/>
      <c r="Y166" s="49"/>
      <c r="Z166" s="49"/>
      <c r="AA166" s="49"/>
      <c r="AC166" s="151">
        <f ca="1">(AC105-AC106)/AC143</f>
        <v>1.3846626984227292E-2</v>
      </c>
    </row>
    <row r="167" spans="1:31" x14ac:dyDescent="0.2">
      <c r="B167" s="20" t="s">
        <v>299</v>
      </c>
      <c r="M167" s="151">
        <f>-M108/M5</f>
        <v>3.0302036264033657E-2</v>
      </c>
      <c r="N167" s="151">
        <f>-N108/N5</f>
        <v>2.7155058732831552E-2</v>
      </c>
      <c r="O167" s="151">
        <f>-O108/O5</f>
        <v>2.859230076835775E-2</v>
      </c>
      <c r="P167" s="151">
        <f>-P108/P5</f>
        <v>2.415896275269477E-2</v>
      </c>
      <c r="Q167" s="151">
        <f>-Q108/Q5</f>
        <v>3.0553079216937677E-2</v>
      </c>
      <c r="T167" s="151">
        <f t="shared" ref="T167:Z167" si="149">-T108/T5</f>
        <v>0</v>
      </c>
      <c r="U167" s="151">
        <f t="shared" si="149"/>
        <v>2.3652453740949316E-2</v>
      </c>
      <c r="V167" s="151">
        <f t="shared" si="149"/>
        <v>3.2204616239683723E-2</v>
      </c>
      <c r="W167" s="151">
        <f t="shared" si="149"/>
        <v>3.6815687609000808E-2</v>
      </c>
      <c r="X167" s="151">
        <f t="shared" si="149"/>
        <v>3.1639763433724356E-2</v>
      </c>
      <c r="Y167" s="151">
        <f t="shared" si="149"/>
        <v>1.6507137093408276E-2</v>
      </c>
      <c r="Z167" s="151">
        <f t="shared" si="149"/>
        <v>1.7727370844725861E-2</v>
      </c>
      <c r="AA167" s="151">
        <f t="shared" ref="AA167" si="150">-AA108/AA5</f>
        <v>2.2437098439913358E-2</v>
      </c>
      <c r="AC167" s="151">
        <f>-AC108/AC5</f>
        <v>2.1509222981729692E-2</v>
      </c>
    </row>
    <row r="168" spans="1:31" x14ac:dyDescent="0.2">
      <c r="B168" s="20" t="s">
        <v>300</v>
      </c>
      <c r="M168" s="151">
        <f>-(M108/M58)</f>
        <v>0.10654760760491359</v>
      </c>
      <c r="N168" s="151">
        <f>-(N108/N58)</f>
        <v>8.7661992124501639E-2</v>
      </c>
      <c r="O168" s="151">
        <f>-(O108/O58)</f>
        <v>9.9137892042010803E-2</v>
      </c>
      <c r="P168" s="151">
        <f>-(P108/P58)</f>
        <v>7.9887361104064136E-2</v>
      </c>
      <c r="Q168" s="151">
        <f>-(Q108/Q58)</f>
        <v>0.11405428679069267</v>
      </c>
      <c r="T168" s="151" t="e">
        <f t="shared" ref="T168:Z168" si="151">-(T108/T58)</f>
        <v>#DIV/0!</v>
      </c>
      <c r="U168" s="151">
        <f t="shared" si="151"/>
        <v>9.8212794387840321E-2</v>
      </c>
      <c r="V168" s="151">
        <f t="shared" si="151"/>
        <v>0.12821476285905142</v>
      </c>
      <c r="W168" s="151">
        <f t="shared" si="151"/>
        <v>0.12423296372052967</v>
      </c>
      <c r="X168" s="151">
        <f t="shared" si="151"/>
        <v>0.10905543595263724</v>
      </c>
      <c r="Y168" s="151">
        <f t="shared" si="151"/>
        <v>4.4005563282336575E-2</v>
      </c>
      <c r="Z168" s="151">
        <f t="shared" si="151"/>
        <v>6.8671172740575576E-2</v>
      </c>
      <c r="AA168" s="151">
        <f t="shared" ref="AA168" si="152">-(AA108/AA58)</f>
        <v>7.1430649713404515E-2</v>
      </c>
      <c r="AC168" s="151">
        <f>-(AC108/AC58)</f>
        <v>6.8434611924429539E-2</v>
      </c>
    </row>
    <row r="169" spans="1:31" x14ac:dyDescent="0.2">
      <c r="B169" s="20" t="s">
        <v>301</v>
      </c>
      <c r="M169" s="151">
        <f>-M108/M52</f>
        <v>0.9823644097837646</v>
      </c>
      <c r="N169" s="151">
        <f>-N108/N52</f>
        <v>0.96433717579250722</v>
      </c>
      <c r="O169" s="151">
        <f>-O108/O52</f>
        <v>0.95138466880805628</v>
      </c>
      <c r="P169" s="151">
        <f>-P108/P52</f>
        <v>0.82542595019659237</v>
      </c>
      <c r="Q169" s="151">
        <f>-Q108/Q52</f>
        <v>1.0869379381090785</v>
      </c>
      <c r="T169" s="151" t="e">
        <f t="shared" ref="T169:Z169" si="153">-T108/T52</f>
        <v>#DIV/0!</v>
      </c>
      <c r="U169" s="151">
        <f t="shared" si="153"/>
        <v>0.95454545454545459</v>
      </c>
      <c r="V169" s="151">
        <f t="shared" si="153"/>
        <v>1.1540774145058248</v>
      </c>
      <c r="W169" s="151">
        <f t="shared" si="153"/>
        <v>1.223321554770318</v>
      </c>
      <c r="X169" s="151">
        <f t="shared" si="153"/>
        <v>1.0367764630636394</v>
      </c>
      <c r="Y169" s="151">
        <f t="shared" si="153"/>
        <v>0.73833229620410701</v>
      </c>
      <c r="Z169" s="151">
        <f t="shared" si="153"/>
        <v>0.57313172433847048</v>
      </c>
      <c r="AA169" s="151">
        <f t="shared" ref="AA169" si="154">-AA108/AA52</f>
        <v>0.73945783132530118</v>
      </c>
      <c r="AC169" s="151">
        <f>-AC108/AC52</f>
        <v>0.76648854961832058</v>
      </c>
    </row>
    <row r="170" spans="1:31" x14ac:dyDescent="0.2">
      <c r="B170" s="20" t="s">
        <v>357</v>
      </c>
      <c r="M170" s="221">
        <f>M5/M36</f>
        <v>1.0422077367080529</v>
      </c>
      <c r="N170" s="221">
        <f>N5/N36</f>
        <v>1.1178523337727317</v>
      </c>
      <c r="O170" s="221">
        <f>O5/O36</f>
        <v>1.0870773690166571</v>
      </c>
      <c r="P170" s="221">
        <f>P5/P36</f>
        <v>1.0713874732862074</v>
      </c>
      <c r="Q170" s="221">
        <f>Q5/Q36</f>
        <v>1.1584451663368045</v>
      </c>
      <c r="T170" s="49"/>
      <c r="U170" s="49"/>
      <c r="V170" s="49"/>
      <c r="W170" s="49"/>
      <c r="X170" s="49"/>
      <c r="Y170" s="49"/>
      <c r="Z170" s="49"/>
      <c r="AA170" s="49"/>
      <c r="AC170" s="221">
        <f>AC5/AC36</f>
        <v>1.2180130770796262</v>
      </c>
    </row>
    <row r="171" spans="1:31" x14ac:dyDescent="0.2">
      <c r="B171" s="20" t="s">
        <v>354</v>
      </c>
      <c r="M171" s="222">
        <f>IF(AND(M11&gt;0,M106&gt;0),M106/M11,"N/A")</f>
        <v>1.1447466245674582</v>
      </c>
      <c r="N171" s="222">
        <f>IF(AND(N11&gt;0,N106&gt;0),N106/N11,"N/A")</f>
        <v>1.0052914925860494</v>
      </c>
      <c r="O171" s="222">
        <f>IF(AND(O11&gt;0,O106&gt;0),O106/O11,"N/A")</f>
        <v>0.9718900097112011</v>
      </c>
      <c r="P171" s="222">
        <f>IF(AND(P11&gt;0,P106&gt;0),P106/P11,"N/A")</f>
        <v>0.86538274250097391</v>
      </c>
      <c r="Q171" s="222">
        <f>IF(AND(Q11&gt;0,Q106&gt;0),Q106/Q11,"N/A")</f>
        <v>0.74150319428786171</v>
      </c>
      <c r="T171" s="49"/>
      <c r="U171" s="49"/>
      <c r="V171" s="49"/>
      <c r="W171" s="49"/>
      <c r="X171" s="49"/>
      <c r="Y171" s="49"/>
      <c r="Z171" s="49"/>
      <c r="AA171" s="49"/>
      <c r="AC171" s="222">
        <f>IF(AND(AC11&gt;0,AC106&gt;0),AC106/AC11,"N/A")</f>
        <v>0.54465029478428761</v>
      </c>
    </row>
    <row r="172" spans="1:31" x14ac:dyDescent="0.2">
      <c r="B172" s="20" t="s">
        <v>355</v>
      </c>
      <c r="M172" s="222">
        <f>IF(AND(M11&gt;0,M106&gt;0),(M106-M105)/M11,"N/A")</f>
        <v>-0.60392477214109352</v>
      </c>
      <c r="N172" s="222">
        <f>IF(AND(N11&gt;0,N106&gt;0),(N106-N105)/N11,"N/A")</f>
        <v>-0.41059303230992072</v>
      </c>
      <c r="O172" s="222">
        <f>IF(AND(O11&gt;0,O106&gt;0),(O106-O105)/O11,"N/A")</f>
        <v>-0.44628655917271065</v>
      </c>
      <c r="P172" s="222">
        <f>IF(AND(P11&gt;0,P106&gt;0),(P106-P105)/P11,"N/A")</f>
        <v>-0.40596188806648487</v>
      </c>
      <c r="Q172" s="222">
        <f>IF(AND(Q11&gt;0,Q106&gt;0),(Q106-Q105)/Q11,"N/A")</f>
        <v>-0.25376174370537391</v>
      </c>
      <c r="T172" s="49"/>
      <c r="U172" s="49"/>
      <c r="V172" s="49"/>
      <c r="W172" s="49"/>
      <c r="X172" s="49"/>
      <c r="Y172" s="49"/>
      <c r="Z172" s="49"/>
      <c r="AA172" s="49"/>
      <c r="AC172" s="222">
        <f>IF(AND(AC11&gt;0,AC106&gt;0),(AC106-AC105)/AC11,"N/A")</f>
        <v>-0.40148134754841502</v>
      </c>
    </row>
    <row r="173" spans="1:31" x14ac:dyDescent="0.2">
      <c r="B173" s="20" t="s">
        <v>356</v>
      </c>
      <c r="M173" s="222">
        <f>M5/(M106+M110-M105)</f>
        <v>-135.1374214998153</v>
      </c>
      <c r="N173" s="222">
        <f>N5/(N106+N110-N105)</f>
        <v>241.62254901960785</v>
      </c>
      <c r="O173" s="222">
        <f>O5/(O106+O110-O105)</f>
        <v>34.421643466546925</v>
      </c>
      <c r="P173" s="222">
        <f>P5/(P106+P110-P105)</f>
        <v>56.43455044017896</v>
      </c>
      <c r="Q173" s="222">
        <f>Q5/(Q106+Q110-Q105)</f>
        <v>10.411833875406554</v>
      </c>
      <c r="T173" s="49"/>
      <c r="U173" s="49"/>
      <c r="V173" s="49"/>
      <c r="W173" s="49"/>
      <c r="X173" s="49"/>
      <c r="Y173" s="49"/>
      <c r="Z173" s="49"/>
      <c r="AA173" s="49"/>
      <c r="AC173" s="222">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376</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377</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378</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379</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380</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381</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382</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383</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384</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362</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310</v>
      </c>
      <c r="C190" s="168"/>
      <c r="D190" s="168"/>
      <c r="E190" s="168"/>
      <c r="F190" s="168"/>
      <c r="G190" s="168"/>
      <c r="H190" s="168"/>
      <c r="I190" s="168"/>
      <c r="J190" s="168"/>
      <c r="K190" s="168"/>
      <c r="L190" s="168"/>
      <c r="M190" s="168"/>
      <c r="N190" s="168"/>
      <c r="O190" s="168"/>
      <c r="P190" s="168"/>
      <c r="Q190" s="168"/>
      <c r="T190" s="168"/>
      <c r="U190" s="168"/>
      <c r="V190" s="168"/>
      <c r="W190" s="168"/>
      <c r="X190" s="168"/>
      <c r="Y190" s="168"/>
      <c r="Z190" s="168"/>
      <c r="AA190" s="168"/>
      <c r="AC190" s="168"/>
    </row>
    <row r="191" spans="2:29" x14ac:dyDescent="0.2">
      <c r="B191" s="20" t="s">
        <v>376</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377</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378</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379</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380</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381</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382</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383</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384</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362</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311</v>
      </c>
      <c r="C204" s="168"/>
      <c r="D204" s="168"/>
      <c r="E204" s="168"/>
      <c r="F204" s="168"/>
      <c r="G204" s="168"/>
      <c r="H204" s="168"/>
      <c r="I204" s="168"/>
      <c r="J204" s="168"/>
      <c r="K204" s="168"/>
      <c r="L204" s="168"/>
      <c r="M204" s="168"/>
      <c r="N204" s="168"/>
      <c r="O204" s="168"/>
      <c r="P204" s="168"/>
      <c r="Q204" s="168"/>
      <c r="T204" s="168"/>
      <c r="U204" s="168"/>
      <c r="V204" s="168"/>
      <c r="W204" s="168"/>
      <c r="X204" s="168"/>
      <c r="Y204" s="168"/>
      <c r="Z204" s="168"/>
      <c r="AA204" s="168"/>
      <c r="AC204" s="168"/>
    </row>
    <row r="205" spans="2:29" x14ac:dyDescent="0.2">
      <c r="B205" s="20" t="s">
        <v>283</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349</v>
      </c>
      <c r="C208" s="168"/>
      <c r="D208" s="168"/>
      <c r="E208" s="168"/>
      <c r="F208" s="168"/>
      <c r="G208" s="168"/>
      <c r="H208" s="168"/>
      <c r="I208" s="168"/>
      <c r="J208" s="168"/>
      <c r="K208" s="168"/>
      <c r="L208" s="168"/>
      <c r="M208" s="168"/>
      <c r="N208" s="168"/>
      <c r="O208" s="168"/>
      <c r="P208" s="168"/>
      <c r="Q208" s="168"/>
      <c r="T208" s="168"/>
      <c r="U208" s="168"/>
      <c r="V208" s="168"/>
      <c r="W208" s="168"/>
      <c r="X208" s="168"/>
      <c r="Y208" s="168"/>
      <c r="Z208" s="168"/>
      <c r="AA208" s="168"/>
      <c r="AC208" s="168"/>
    </row>
    <row r="209" spans="1:31" x14ac:dyDescent="0.2">
      <c r="B209" s="20" t="s">
        <v>350</v>
      </c>
      <c r="M209" s="143">
        <v>100</v>
      </c>
      <c r="N209" s="143">
        <f>100*(1+((N115-$M115)/ABS($M115)))</f>
        <v>102.38905526817317</v>
      </c>
      <c r="O209" s="143">
        <f t="shared" ref="O209:Q209" si="184">100*(1+((O115-$M115)/ABS($M115)))</f>
        <v>116.53280696977947</v>
      </c>
      <c r="P209" s="143">
        <f t="shared" si="184"/>
        <v>155.04356112169887</v>
      </c>
      <c r="Q209" s="143">
        <f t="shared" si="184"/>
        <v>173.87693983120067</v>
      </c>
      <c r="T209" s="49"/>
      <c r="U209" s="49"/>
      <c r="V209" s="49"/>
      <c r="W209" s="49"/>
      <c r="X209" s="49"/>
      <c r="Y209" s="49"/>
      <c r="Z209" s="49"/>
      <c r="AA209" s="49"/>
      <c r="AC209" s="49"/>
    </row>
    <row r="210" spans="1:31" x14ac:dyDescent="0.2">
      <c r="B210" s="20" t="s">
        <v>351</v>
      </c>
      <c r="M210" s="143">
        <v>100</v>
      </c>
      <c r="N210" s="143">
        <f>100*(1+((N5-$M5)/ABS($M5)))</f>
        <v>107.79378760418462</v>
      </c>
      <c r="O210" s="143">
        <f>100*(1+((O5-$M5)/ABS($M5)))</f>
        <v>104.77506512819249</v>
      </c>
      <c r="P210" s="143">
        <f>100*(1+((P5-$M5)/ABS($M5)))</f>
        <v>106.89361073979613</v>
      </c>
      <c r="Q210" s="143">
        <f>100*(1+((Q5-$M5)/ABS($M5)))</f>
        <v>113.76207229297708</v>
      </c>
      <c r="T210" s="49"/>
      <c r="U210" s="49"/>
      <c r="V210" s="49"/>
      <c r="W210" s="49"/>
      <c r="X210" s="49"/>
      <c r="Y210" s="49"/>
      <c r="Z210" s="49"/>
      <c r="AA210" s="49"/>
      <c r="AC210" s="49"/>
    </row>
    <row r="211" spans="1:31" x14ac:dyDescent="0.2">
      <c r="B211" s="20" t="s">
        <v>352</v>
      </c>
      <c r="M211" s="143">
        <v>100</v>
      </c>
      <c r="N211" s="143">
        <f>100*(1+((N25-$M25)/ABS($M25)))</f>
        <v>108.9126559714795</v>
      </c>
      <c r="O211" s="143">
        <f t="shared" ref="O211:Q211" si="185">100*(1+((O25-$M25)/ABS($M25)))</f>
        <v>109.26916221033866</v>
      </c>
      <c r="P211" s="143">
        <f t="shared" si="185"/>
        <v>108.37789661319073</v>
      </c>
      <c r="Q211" s="143">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0" t="s">
        <v>232</v>
      </c>
      <c r="C4" s="240"/>
      <c r="E4" s="240" t="s">
        <v>239</v>
      </c>
      <c r="F4" s="240"/>
      <c r="G4" s="240"/>
    </row>
    <row r="5" spans="2:7" x14ac:dyDescent="0.2">
      <c r="B5" s="20" t="s">
        <v>1</v>
      </c>
      <c r="C5" s="169">
        <f ca="1">Overview!C5</f>
        <v>306.43</v>
      </c>
      <c r="E5" s="12"/>
      <c r="F5" s="132" t="s">
        <v>240</v>
      </c>
      <c r="G5" s="132" t="s">
        <v>241</v>
      </c>
    </row>
    <row r="6" spans="2:7" x14ac:dyDescent="0.2">
      <c r="B6" s="20" t="s">
        <v>238</v>
      </c>
      <c r="C6" s="170">
        <f ca="1">Statement!AC143</f>
        <v>4490118.79</v>
      </c>
      <c r="E6" s="20" t="s">
        <v>19</v>
      </c>
      <c r="F6" s="175">
        <f>IF(Statement!M5&lt;=0,"N/A",_xlfn.RRI(4,Statement!M5,Statement!Q5))</f>
        <v>3.275991627577457E-2</v>
      </c>
      <c r="G6" s="175" t="str">
        <f>IF(Statement!H5&lt;=0,"N/A",_xlfn.RRI(9,Statement!H5,Statement!Q5))</f>
        <v>N/A</v>
      </c>
    </row>
    <row r="7" spans="2:7" x14ac:dyDescent="0.2">
      <c r="B7" s="20" t="s">
        <v>185</v>
      </c>
      <c r="C7" s="170">
        <f ca="1">Statement!AC144</f>
        <v>4427945.79</v>
      </c>
      <c r="E7" s="20" t="s">
        <v>29</v>
      </c>
      <c r="F7" s="175">
        <f>IF(OR(Statement!M17&lt;=0, Statement!Q17&lt;=0), "N/A", _xlfn.RRI(4, Statement!M17, Statement!Q17))</f>
        <v>4.2916736540760114E-2</v>
      </c>
      <c r="G7" s="175" t="str">
        <f>IF(OR(Statement!H17&lt;=0, Statement!Q17&lt;=0), "N/A", _xlfn.RRI(9, Statement!H17, Statement!Q17))</f>
        <v>N/A</v>
      </c>
    </row>
    <row r="8" spans="2:7" x14ac:dyDescent="0.2">
      <c r="B8" s="20" t="s">
        <v>236</v>
      </c>
      <c r="C8" s="171">
        <f ca="1">Statement!AC140</f>
        <v>35.141055045871568</v>
      </c>
      <c r="E8" s="20" t="s">
        <v>242</v>
      </c>
      <c r="F8" s="175">
        <f>IF(OR(Statement!M25&lt;=0, Statement!Q25&lt;=0), "N/A", _xlfn.RRI(4, Statement!M25, Statement!Q25))</f>
        <v>7.3850915073183421E-2</v>
      </c>
      <c r="G8" s="175" t="str">
        <f>IF(OR(Statement!H25&lt;=0, Statement!Q25&lt;=0), "N/A", _xlfn.RRI(9, Statement!H25, Statement!Q25))</f>
        <v>N/A</v>
      </c>
    </row>
    <row r="9" spans="2:7" x14ac:dyDescent="0.2">
      <c r="B9" s="20" t="s">
        <v>198</v>
      </c>
      <c r="C9" s="171">
        <f ca="1">Statement!AC141</f>
        <v>9.7010052257493733</v>
      </c>
      <c r="E9" s="20" t="s">
        <v>243</v>
      </c>
      <c r="F9" s="175">
        <f>IF(Statement!M81&lt;=0,"N/A",_xlfn.RRI(4,Statement!M81,Statement!Q81))</f>
        <v>4.6635139392105618E-2</v>
      </c>
      <c r="G9" s="175" t="str">
        <f>IF(Statement!H81&lt;=0,"N/A",_xlfn.RRI(9,Statement!H81,Statement!Q81))</f>
        <v>N/A</v>
      </c>
    </row>
    <row r="10" spans="2:7" x14ac:dyDescent="0.2">
      <c r="B10" s="20" t="s">
        <v>237</v>
      </c>
      <c r="C10" s="171">
        <f ca="1">Statement!AC142</f>
        <v>41.592628534226193</v>
      </c>
      <c r="E10" s="20" t="s">
        <v>1</v>
      </c>
      <c r="F10" s="175">
        <f>IF(Statement!M115&lt;=0,"N/A",_xlfn.RRI(4,Statement!M115,Statement!Q115))</f>
        <v>0.14831356996131073</v>
      </c>
      <c r="G10" s="175" t="str">
        <f>IF(Statement!H115&lt;=0,"N/A",_xlfn.RRI(9,Statement!H115,Statement!Q115))</f>
        <v>N/A</v>
      </c>
    </row>
    <row r="11" spans="2:7" x14ac:dyDescent="0.2">
      <c r="B11" s="20" t="s">
        <v>259</v>
      </c>
      <c r="C11" s="171">
        <f ca="1">Statement!AC145</f>
        <v>9.4852776962574676</v>
      </c>
    </row>
    <row r="12" spans="2:7" x14ac:dyDescent="0.2">
      <c r="B12" s="20" t="s">
        <v>201</v>
      </c>
      <c r="C12" s="171">
        <f ca="1">Statement!AC146</f>
        <v>28.593402966569588</v>
      </c>
    </row>
    <row r="15" spans="2:7" x14ac:dyDescent="0.2">
      <c r="B15" s="240" t="s">
        <v>75</v>
      </c>
      <c r="C15" s="240"/>
      <c r="E15" s="240" t="s">
        <v>245</v>
      </c>
      <c r="F15" s="240"/>
    </row>
    <row r="16" spans="2:7" x14ac:dyDescent="0.2">
      <c r="B16" s="20" t="s">
        <v>76</v>
      </c>
      <c r="C16" s="172">
        <f>Statement!AC99</f>
        <v>0.48652915559002019</v>
      </c>
      <c r="E16" s="20" t="s">
        <v>29</v>
      </c>
      <c r="F16" s="170">
        <f>Statement!AC17</f>
        <v>128930</v>
      </c>
    </row>
    <row r="17" spans="2:6" x14ac:dyDescent="0.2">
      <c r="B17" s="20" t="s">
        <v>77</v>
      </c>
      <c r="C17" s="172">
        <f>Statement!AC100</f>
        <v>0.33172958487478121</v>
      </c>
      <c r="E17" s="20" t="s">
        <v>246</v>
      </c>
      <c r="F17" s="170">
        <f>Statement!AC58</f>
        <v>146724</v>
      </c>
    </row>
    <row r="18" spans="2:6" x14ac:dyDescent="0.2">
      <c r="B18" s="20" t="s">
        <v>78</v>
      </c>
      <c r="C18" s="172">
        <f>Statement!AC101</f>
        <v>0.27618604910212224</v>
      </c>
      <c r="E18" s="20" t="s">
        <v>253</v>
      </c>
      <c r="F18" s="174">
        <f>IF(OR(F16&lt;=0, F17&lt;=0),"N/A",F16-F17)</f>
        <v>-17794</v>
      </c>
    </row>
    <row r="21" spans="2:6" x14ac:dyDescent="0.2">
      <c r="B21" s="240" t="s">
        <v>244</v>
      </c>
      <c r="C21" s="240"/>
      <c r="E21" s="240" t="s">
        <v>248</v>
      </c>
      <c r="F21" s="240"/>
    </row>
    <row r="22" spans="2:6" x14ac:dyDescent="0.2">
      <c r="B22" s="20" t="s">
        <v>97</v>
      </c>
      <c r="C22" s="172">
        <f>Statement!AC119</f>
        <v>0.27618604910212224</v>
      </c>
      <c r="E22" s="20" t="s">
        <v>99</v>
      </c>
      <c r="F22" s="172">
        <f>C24</f>
        <v>0.33639821951334065</v>
      </c>
    </row>
    <row r="23" spans="2:6" x14ac:dyDescent="0.2">
      <c r="B23" s="20" t="s">
        <v>98</v>
      </c>
      <c r="C23" s="171">
        <f>Statement!AC120</f>
        <v>1.2180130770796262</v>
      </c>
      <c r="E23" s="20" t="s">
        <v>101</v>
      </c>
      <c r="F23" s="172">
        <f>C26</f>
        <v>1.1991257440476193</v>
      </c>
    </row>
    <row r="24" spans="2:6" x14ac:dyDescent="0.2">
      <c r="B24" s="32" t="s">
        <v>99</v>
      </c>
      <c r="C24" s="173">
        <f>Statement!AC121</f>
        <v>0.33639821951334065</v>
      </c>
      <c r="E24" s="20" t="s">
        <v>102</v>
      </c>
      <c r="F24" s="172">
        <f>Statement!AC130</f>
        <v>2.8240933164668753</v>
      </c>
    </row>
    <row r="25" spans="2:6" x14ac:dyDescent="0.2">
      <c r="B25" s="20" t="s">
        <v>100</v>
      </c>
      <c r="C25" s="171">
        <f>Statement!AC122</f>
        <v>3.5646019345238096</v>
      </c>
    </row>
    <row r="26" spans="2:6" x14ac:dyDescent="0.2">
      <c r="B26" s="32" t="s">
        <v>101</v>
      </c>
      <c r="C26" s="173">
        <f>Statement!AC123</f>
        <v>1.1991257440476193</v>
      </c>
    </row>
    <row r="29" spans="2:6" x14ac:dyDescent="0.2">
      <c r="B29" s="240" t="s">
        <v>249</v>
      </c>
      <c r="C29" s="240"/>
      <c r="E29" s="240" t="s">
        <v>255</v>
      </c>
      <c r="F29" s="240"/>
    </row>
    <row r="30" spans="2:6" x14ac:dyDescent="0.2">
      <c r="B30" s="20" t="s">
        <v>136</v>
      </c>
      <c r="C30" s="171">
        <f>Statement!AC131</f>
        <v>24.549497346960194</v>
      </c>
      <c r="E30" s="20" t="s">
        <v>256</v>
      </c>
      <c r="F30" s="177">
        <f>Statement!AC135</f>
        <v>0.78444940476190472</v>
      </c>
    </row>
    <row r="31" spans="2:6" x14ac:dyDescent="0.2">
      <c r="B31" s="20" t="s">
        <v>137</v>
      </c>
      <c r="C31" s="171">
        <f>Statement!AC132</f>
        <v>16.890196078431373</v>
      </c>
      <c r="E31" s="20" t="s">
        <v>257</v>
      </c>
      <c r="F31" s="177">
        <f>Statement!AC136</f>
        <v>-0.57824590773809526</v>
      </c>
    </row>
    <row r="32" spans="2:6" x14ac:dyDescent="0.2">
      <c r="B32" s="20" t="s">
        <v>138</v>
      </c>
      <c r="C32" s="171">
        <f>Statement!AC133</f>
        <v>98.254589069670416</v>
      </c>
      <c r="E32" s="20" t="s">
        <v>252</v>
      </c>
      <c r="F32" s="177">
        <f>Statement!AC138</f>
        <v>1.0032948046555858</v>
      </c>
    </row>
    <row r="33" spans="2:6" x14ac:dyDescent="0.2">
      <c r="B33" s="20" t="s">
        <v>139</v>
      </c>
      <c r="C33" s="171">
        <f>Statement!AC134</f>
        <v>-56.814895644278849</v>
      </c>
      <c r="E33" s="20" t="s">
        <v>251</v>
      </c>
      <c r="F33" s="177">
        <f>Statement!AC137</f>
        <v>1.1914535981677672</v>
      </c>
    </row>
    <row r="34" spans="2:6" x14ac:dyDescent="0.2">
      <c r="E34" s="20" t="s">
        <v>258</v>
      </c>
      <c r="F34" s="179" t="str">
        <f>Statement!AC139</f>
        <v>N/A</v>
      </c>
    </row>
    <row r="37" spans="2:6" x14ac:dyDescent="0.2">
      <c r="B37" s="240" t="s">
        <v>267</v>
      </c>
      <c r="C37" s="240"/>
      <c r="E37" s="240" t="s">
        <v>270</v>
      </c>
      <c r="F37" s="240"/>
    </row>
    <row r="38" spans="2:6" x14ac:dyDescent="0.2">
      <c r="B38" s="20" t="s">
        <v>265</v>
      </c>
      <c r="C38" s="172">
        <f ca="1">Statement!AC152</f>
        <v>2.845674379140423E-2</v>
      </c>
      <c r="E38" s="20" t="s">
        <v>269</v>
      </c>
      <c r="F38" s="172">
        <f>Statement!AC158</f>
        <v>0.12717825284402776</v>
      </c>
    </row>
    <row r="39" spans="2:6" x14ac:dyDescent="0.2">
      <c r="B39" s="54" t="s">
        <v>268</v>
      </c>
      <c r="C39" s="212">
        <f ca="1">Statement!AC151</f>
        <v>2.7388362257560674E-2</v>
      </c>
      <c r="E39" s="20" t="s">
        <v>271</v>
      </c>
      <c r="F39" s="172">
        <f>Statement!AC159</f>
        <v>0.66862909324507835</v>
      </c>
    </row>
    <row r="40" spans="2:6" x14ac:dyDescent="0.2">
      <c r="B40" s="20" t="s">
        <v>266</v>
      </c>
      <c r="C40" s="172">
        <f ca="1">Statement!AC153</f>
        <v>3.426557451946611E-3</v>
      </c>
      <c r="E40" s="20" t="s">
        <v>272</v>
      </c>
      <c r="F40" s="172">
        <f>Statement!AC160</f>
        <v>0.79580734608910608</v>
      </c>
    </row>
    <row r="41" spans="2:6" x14ac:dyDescent="0.2">
      <c r="B41" s="20" t="s">
        <v>291</v>
      </c>
      <c r="C41" s="172">
        <f ca="1">Statement!AC154</f>
        <v>1.831265582174052E-2</v>
      </c>
    </row>
    <row r="42" spans="2:6" x14ac:dyDescent="0.2">
      <c r="B42" s="20" t="s">
        <v>293</v>
      </c>
      <c r="C42" s="172">
        <f ca="1">Statement!AC155</f>
        <v>2.1795859881916398E-2</v>
      </c>
    </row>
    <row r="45" spans="2:6" x14ac:dyDescent="0.2">
      <c r="B45" s="240" t="s">
        <v>278</v>
      </c>
      <c r="C45" s="240"/>
      <c r="E45" s="240" t="s">
        <v>284</v>
      </c>
      <c r="F45" s="240"/>
    </row>
    <row r="46" spans="2:6" x14ac:dyDescent="0.2">
      <c r="B46" s="20" t="s">
        <v>276</v>
      </c>
      <c r="C46" s="172">
        <f>Statement!AC161</f>
        <v>6.1420869446529721E-4</v>
      </c>
      <c r="E46" s="20" t="s">
        <v>277</v>
      </c>
      <c r="F46" s="171">
        <f>Statement!AC162</f>
        <v>10.039536795943539</v>
      </c>
    </row>
    <row r="47" spans="2:6" x14ac:dyDescent="0.2">
      <c r="E47" s="20" t="s">
        <v>285</v>
      </c>
      <c r="F47" s="171">
        <f>Statement!AC165</f>
        <v>4.2601754145539266</v>
      </c>
    </row>
    <row r="48" spans="2:6" x14ac:dyDescent="0.2">
      <c r="E48" s="20" t="s">
        <v>290</v>
      </c>
      <c r="F48" s="172">
        <f ca="1">Statement!AC166</f>
        <v>1.3846626984227292E-2</v>
      </c>
    </row>
    <row r="51" spans="2:6" x14ac:dyDescent="0.2">
      <c r="B51" s="240" t="s">
        <v>281</v>
      </c>
      <c r="C51" s="240"/>
      <c r="E51" s="240" t="s">
        <v>302</v>
      </c>
      <c r="F51" s="240"/>
    </row>
    <row r="52" spans="2:6" x14ac:dyDescent="0.2">
      <c r="B52" s="20" t="s">
        <v>279</v>
      </c>
      <c r="C52" s="172">
        <f>Statement!AC163</f>
        <v>9.3413483819961285E-2</v>
      </c>
      <c r="E52" s="20" t="s">
        <v>303</v>
      </c>
      <c r="F52" s="172">
        <f>Statement!AC167</f>
        <v>2.1509222981729692E-2</v>
      </c>
    </row>
    <row r="53" spans="2:6" x14ac:dyDescent="0.2">
      <c r="B53" s="20" t="s">
        <v>280</v>
      </c>
      <c r="C53" s="172">
        <f>Statement!AC164</f>
        <v>2.9360164344944442E-2</v>
      </c>
      <c r="E53" s="20" t="s">
        <v>300</v>
      </c>
      <c r="F53" s="172">
        <f>Statement!AC168</f>
        <v>6.8434611924429539E-2</v>
      </c>
    </row>
    <row r="54" spans="2:6" x14ac:dyDescent="0.2">
      <c r="E54" s="20" t="s">
        <v>301</v>
      </c>
      <c r="F54" s="172">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232</v>
      </c>
      <c r="C5" s="14"/>
      <c r="D5" s="14"/>
      <c r="E5" s="14"/>
      <c r="F5" s="14"/>
      <c r="G5" s="14"/>
      <c r="I5" s="14"/>
    </row>
    <row r="6" spans="2:9" x14ac:dyDescent="0.2">
      <c r="B6" s="20" t="s">
        <v>1</v>
      </c>
      <c r="C6" s="169">
        <f>Statement!M114</f>
        <v>146.91999999999999</v>
      </c>
      <c r="D6" s="169">
        <f>Statement!N114</f>
        <v>150.43</v>
      </c>
      <c r="E6" s="169">
        <f>Statement!O114</f>
        <v>171.21</v>
      </c>
      <c r="F6" s="169">
        <f>Statement!P114</f>
        <v>227.79</v>
      </c>
      <c r="G6" s="169">
        <f>Statement!Q114</f>
        <v>255.46</v>
      </c>
      <c r="I6" s="169">
        <f ca="1">Statement!AC114</f>
        <v>306.43</v>
      </c>
    </row>
    <row r="7" spans="2:9" x14ac:dyDescent="0.2">
      <c r="B7" s="20" t="s">
        <v>238</v>
      </c>
      <c r="C7" s="170">
        <f>Statement!M143</f>
        <v>2434464.4</v>
      </c>
      <c r="D7" s="170">
        <f>Statement!N143</f>
        <v>2409587.7400000002</v>
      </c>
      <c r="E7" s="170">
        <f>Statement!O143</f>
        <v>2674471.41</v>
      </c>
      <c r="F7" s="170">
        <f>Statement!P143</f>
        <v>3457852.1999999997</v>
      </c>
      <c r="G7" s="170">
        <f>Statement!Q143</f>
        <v>3788982.72</v>
      </c>
      <c r="I7" s="170">
        <f ca="1">Statement!AC143</f>
        <v>4490118.79</v>
      </c>
    </row>
    <row r="8" spans="2:9" x14ac:dyDescent="0.2">
      <c r="B8" s="20" t="s">
        <v>185</v>
      </c>
      <c r="C8" s="170">
        <f>Statement!M144</f>
        <v>2368667.4</v>
      </c>
      <c r="D8" s="170">
        <f>Statement!N144</f>
        <v>2360547.7400000002</v>
      </c>
      <c r="E8" s="170">
        <f>Statement!O144</f>
        <v>2623460.41</v>
      </c>
      <c r="F8" s="170">
        <f>Statement!P144</f>
        <v>3407831.1999999997</v>
      </c>
      <c r="G8" s="170">
        <f>Statement!Q144</f>
        <v>3755219.72</v>
      </c>
      <c r="I8" s="170">
        <f ca="1">Statement!AC144</f>
        <v>4427945.79</v>
      </c>
    </row>
    <row r="9" spans="2:9" x14ac:dyDescent="0.2">
      <c r="B9" s="20" t="s">
        <v>236</v>
      </c>
      <c r="C9" s="171">
        <f>Statement!M140</f>
        <v>26.188948306595361</v>
      </c>
      <c r="D9" s="171">
        <f>Statement!N140</f>
        <v>24.620294599018003</v>
      </c>
      <c r="E9" s="171">
        <f>Statement!O140</f>
        <v>27.929853181076673</v>
      </c>
      <c r="F9" s="171">
        <f>Statement!P140</f>
        <v>37.465460526315788</v>
      </c>
      <c r="G9" s="171">
        <f>Statement!Q140</f>
        <v>34.243967828418235</v>
      </c>
      <c r="I9" s="171">
        <f ca="1">Statement!AC140</f>
        <v>35.141055045871568</v>
      </c>
    </row>
    <row r="10" spans="2:9" x14ac:dyDescent="0.2">
      <c r="B10" s="20" t="s">
        <v>198</v>
      </c>
      <c r="C10" s="171">
        <f>Statement!M141</f>
        <v>6.7733478761238537</v>
      </c>
      <c r="D10" s="171">
        <f>Statement!N141</f>
        <v>6.2281151224361446</v>
      </c>
      <c r="E10" s="171">
        <f>Statement!O141</f>
        <v>7.0635264359419239</v>
      </c>
      <c r="F10" s="171">
        <f>Statement!P141</f>
        <v>8.9756372703210712</v>
      </c>
      <c r="G10" s="171">
        <f>Statement!Q141</f>
        <v>9.2108037514327386</v>
      </c>
      <c r="I10" s="171">
        <f ca="1">Statement!AC141</f>
        <v>9.7010052257493733</v>
      </c>
    </row>
    <row r="11" spans="2:9" x14ac:dyDescent="0.2">
      <c r="B11" s="20" t="s">
        <v>237</v>
      </c>
      <c r="C11" s="171">
        <f>Statement!M142</f>
        <v>38.205254715485808</v>
      </c>
      <c r="D11" s="171">
        <f>Statement!N142</f>
        <v>47.226090148405433</v>
      </c>
      <c r="E11" s="171">
        <f>Statement!O142</f>
        <v>42.847956907926502</v>
      </c>
      <c r="F11" s="171">
        <f>Statement!P142</f>
        <v>60.461345741878837</v>
      </c>
      <c r="G11" s="171">
        <f>Statement!Q142</f>
        <v>51.193861093404578</v>
      </c>
      <c r="I11" s="171">
        <f ca="1">Statement!AC142</f>
        <v>41.592628534226193</v>
      </c>
    </row>
    <row r="12" spans="2:9" x14ac:dyDescent="0.2">
      <c r="B12" s="20" t="s">
        <v>259</v>
      </c>
      <c r="C12" s="171">
        <f>Statement!M145</f>
        <v>6.4750063556368342</v>
      </c>
      <c r="D12" s="171">
        <f>Statement!N145</f>
        <v>5.9862544379298459</v>
      </c>
      <c r="E12" s="171">
        <f>Statement!O145</f>
        <v>6.8446727891777659</v>
      </c>
      <c r="F12" s="171">
        <f>Statement!P145</f>
        <v>8.7149007122124615</v>
      </c>
      <c r="G12" s="171">
        <f>Statement!Q145</f>
        <v>9.0234782211692117</v>
      </c>
      <c r="I12" s="171">
        <f ca="1">Statement!AC145</f>
        <v>9.4852776962574676</v>
      </c>
    </row>
    <row r="13" spans="2:9" x14ac:dyDescent="0.2">
      <c r="B13" s="20" t="s">
        <v>201</v>
      </c>
      <c r="C13" s="171">
        <f>Statement!M146</f>
        <v>21.741066003359368</v>
      </c>
      <c r="D13" s="171">
        <f>Statement!N146</f>
        <v>19.763957065231043</v>
      </c>
      <c r="E13" s="171">
        <f>Statement!O146</f>
        <v>22.95220872958242</v>
      </c>
      <c r="F13" s="171">
        <f>Statement!P146</f>
        <v>27.657375665497984</v>
      </c>
      <c r="G13" s="171">
        <f>Statement!Q146</f>
        <v>28.224124163848177</v>
      </c>
      <c r="I13" s="171">
        <f ca="1">Statement!AC146</f>
        <v>28.593402966569588</v>
      </c>
    </row>
    <row r="15" spans="2:9" ht="17" thickBot="1" x14ac:dyDescent="0.25">
      <c r="B15" s="14" t="s">
        <v>75</v>
      </c>
      <c r="C15" s="14"/>
      <c r="D15" s="14"/>
      <c r="E15" s="14"/>
      <c r="F15" s="14"/>
      <c r="G15" s="14"/>
      <c r="I15" s="14"/>
    </row>
    <row r="16" spans="2:9" x14ac:dyDescent="0.2">
      <c r="B16" s="20" t="s">
        <v>76</v>
      </c>
      <c r="C16" s="172">
        <f>Statement!M99</f>
        <v>0.41779359625167778</v>
      </c>
      <c r="D16" s="172">
        <f>Statement!N99</f>
        <v>0.43309630561360085</v>
      </c>
      <c r="E16" s="172">
        <f>Statement!O99</f>
        <v>0.44131129577207562</v>
      </c>
      <c r="F16" s="172">
        <f>Statement!P99</f>
        <v>0.46206349815233932</v>
      </c>
      <c r="G16" s="172">
        <f>Statement!Q99</f>
        <v>0.46905164107160452</v>
      </c>
      <c r="I16" s="172">
        <f>Statement!AC99</f>
        <v>0.48652915559002019</v>
      </c>
    </row>
    <row r="17" spans="2:9" x14ac:dyDescent="0.2">
      <c r="B17" s="20" t="s">
        <v>77</v>
      </c>
      <c r="C17" s="172">
        <f>Statement!M100</f>
        <v>0.29782377527561593</v>
      </c>
      <c r="D17" s="172">
        <f>Statement!N100</f>
        <v>0.30288744395528594</v>
      </c>
      <c r="E17" s="172">
        <f>Statement!O100</f>
        <v>0.29821412265024722</v>
      </c>
      <c r="F17" s="172">
        <f>Statement!P100</f>
        <v>0.31510222870075566</v>
      </c>
      <c r="G17" s="172">
        <f>Statement!Q100</f>
        <v>0.31970799762591884</v>
      </c>
      <c r="I17" s="172">
        <f>Statement!AC100</f>
        <v>0.33172958487478121</v>
      </c>
    </row>
    <row r="18" spans="2:9" x14ac:dyDescent="0.2">
      <c r="B18" s="20" t="s">
        <v>78</v>
      </c>
      <c r="C18" s="172">
        <f>Statement!M101</f>
        <v>0.25881793355694238</v>
      </c>
      <c r="D18" s="172">
        <f>Statement!N101</f>
        <v>0.25309640705199732</v>
      </c>
      <c r="E18" s="172">
        <f>Statement!O101</f>
        <v>0.25306234264320282</v>
      </c>
      <c r="F18" s="172">
        <f>Statement!P101</f>
        <v>0.23971255769943867</v>
      </c>
      <c r="G18" s="172">
        <f>Statement!Q101</f>
        <v>0.26915064121818238</v>
      </c>
      <c r="I18" s="172">
        <f>Statement!AC101</f>
        <v>0.27618604910212224</v>
      </c>
    </row>
    <row r="20" spans="2:9" ht="17" thickBot="1" x14ac:dyDescent="0.25">
      <c r="B20" s="14" t="s">
        <v>245</v>
      </c>
      <c r="C20" s="14"/>
      <c r="D20" s="14"/>
      <c r="E20" s="14"/>
      <c r="F20" s="14"/>
      <c r="G20" s="14"/>
      <c r="I20" s="14"/>
    </row>
    <row r="21" spans="2:9" x14ac:dyDescent="0.2">
      <c r="B21" s="20" t="s">
        <v>29</v>
      </c>
      <c r="C21" s="174">
        <f>Statement!M17</f>
        <v>94680</v>
      </c>
      <c r="D21" s="174">
        <f>Statement!N17</f>
        <v>99803</v>
      </c>
      <c r="E21" s="174">
        <f>Statement!O17</f>
        <v>96995</v>
      </c>
      <c r="F21" s="174">
        <f>Statement!P17</f>
        <v>93736</v>
      </c>
      <c r="G21" s="174">
        <f>Statement!Q17</f>
        <v>112010</v>
      </c>
      <c r="I21" s="174">
        <f>Statement!AC17</f>
        <v>128930</v>
      </c>
    </row>
    <row r="22" spans="2:9" x14ac:dyDescent="0.2">
      <c r="B22" s="20" t="s">
        <v>246</v>
      </c>
      <c r="C22" s="174">
        <f>Statement!M58</f>
        <v>104038</v>
      </c>
      <c r="D22" s="174">
        <f>Statement!N58</f>
        <v>122151</v>
      </c>
      <c r="E22" s="174">
        <f>Statement!O58</f>
        <v>110543</v>
      </c>
      <c r="F22" s="174">
        <f>Statement!P58</f>
        <v>118254</v>
      </c>
      <c r="G22" s="174">
        <f>Statement!Q58</f>
        <v>111482</v>
      </c>
      <c r="I22" s="174">
        <f>Statement!AC58</f>
        <v>146724</v>
      </c>
    </row>
    <row r="23" spans="2:9" x14ac:dyDescent="0.2">
      <c r="B23" s="20" t="s">
        <v>253</v>
      </c>
      <c r="C23" s="192">
        <f>IF(OR(C21&lt;=0, C22&lt;=0),"N/A",C21-C22)</f>
        <v>-9358</v>
      </c>
      <c r="D23" s="192">
        <f t="shared" ref="D23:I23" si="0">IF(OR(D21&lt;=0, D22&lt;=0),"N/A",D21-D22)</f>
        <v>-22348</v>
      </c>
      <c r="E23" s="192">
        <f t="shared" si="0"/>
        <v>-13548</v>
      </c>
      <c r="F23" s="192">
        <f t="shared" si="0"/>
        <v>-24518</v>
      </c>
      <c r="G23" s="192">
        <f t="shared" si="0"/>
        <v>528</v>
      </c>
      <c r="I23" s="192">
        <f t="shared" si="0"/>
        <v>-17794</v>
      </c>
    </row>
    <row r="25" spans="2:9" ht="17" thickBot="1" x14ac:dyDescent="0.25">
      <c r="B25" s="14" t="s">
        <v>244</v>
      </c>
      <c r="C25" s="14"/>
      <c r="D25" s="14"/>
      <c r="E25" s="14"/>
      <c r="F25" s="14"/>
      <c r="G25" s="14"/>
      <c r="I25" s="14"/>
    </row>
    <row r="26" spans="2:9" x14ac:dyDescent="0.2">
      <c r="B26" s="20" t="s">
        <v>97</v>
      </c>
      <c r="C26" s="172">
        <f>Statement!M119</f>
        <v>0.25881793355694238</v>
      </c>
      <c r="D26" s="172">
        <f>Statement!N119</f>
        <v>0.25309640705199732</v>
      </c>
      <c r="E26" s="172">
        <f>Statement!O119</f>
        <v>0.25306234264320282</v>
      </c>
      <c r="F26" s="172">
        <f>Statement!P119</f>
        <v>0.23971255769943867</v>
      </c>
      <c r="G26" s="172">
        <f>Statement!Q119</f>
        <v>0.26915064121818238</v>
      </c>
      <c r="I26" s="172">
        <f>Statement!AC119</f>
        <v>0.27618604910212224</v>
      </c>
    </row>
    <row r="27" spans="2:9" x14ac:dyDescent="0.2">
      <c r="B27" s="20" t="s">
        <v>98</v>
      </c>
      <c r="C27" s="211">
        <f>Statement!M120</f>
        <v>1.0422077367080529</v>
      </c>
      <c r="D27" s="211">
        <f>Statement!N120</f>
        <v>1.1178523337727317</v>
      </c>
      <c r="E27" s="211">
        <f>Statement!O120</f>
        <v>1.0870773690166571</v>
      </c>
      <c r="F27" s="211">
        <f>Statement!P120</f>
        <v>1.0713874732862074</v>
      </c>
      <c r="G27" s="211">
        <f>Statement!Q120</f>
        <v>1.1584451663368045</v>
      </c>
      <c r="I27" s="211">
        <f>Statement!AC120</f>
        <v>1.2180130770796262</v>
      </c>
    </row>
    <row r="28" spans="2:9" x14ac:dyDescent="0.2">
      <c r="B28" s="32" t="s">
        <v>99</v>
      </c>
      <c r="C28" s="173">
        <f>Statement!M121</f>
        <v>0.26974205275183616</v>
      </c>
      <c r="D28" s="173">
        <f>Statement!N121</f>
        <v>0.28292440929256846</v>
      </c>
      <c r="E28" s="173">
        <f>Statement!O121</f>
        <v>0.2750983456377647</v>
      </c>
      <c r="F28" s="173">
        <f>Statement!P121</f>
        <v>0.25682503150857577</v>
      </c>
      <c r="G28" s="173">
        <f>Statement!Q121</f>
        <v>0.31179625933565486</v>
      </c>
      <c r="I28" s="173">
        <f>Statement!AC121</f>
        <v>0.33639821951334065</v>
      </c>
    </row>
    <row r="29" spans="2:9" x14ac:dyDescent="0.2">
      <c r="B29" s="20" t="s">
        <v>100</v>
      </c>
      <c r="C29" s="211">
        <f>Statement!M122</f>
        <v>5.5635124425423994</v>
      </c>
      <c r="D29" s="211">
        <f>Statement!N122</f>
        <v>6.9615369434796337</v>
      </c>
      <c r="E29" s="211">
        <f>Statement!O122</f>
        <v>5.6734624915521517</v>
      </c>
      <c r="F29" s="211">
        <f>Statement!P122</f>
        <v>6.408779631255487</v>
      </c>
      <c r="G29" s="211">
        <f>Statement!Q122</f>
        <v>4.8721874872852045</v>
      </c>
      <c r="I29" s="211">
        <f>Statement!AC122</f>
        <v>3.5646019345238096</v>
      </c>
    </row>
    <row r="30" spans="2:9" x14ac:dyDescent="0.2">
      <c r="B30" s="32" t="s">
        <v>101</v>
      </c>
      <c r="C30" s="173">
        <f>Statement!M123</f>
        <v>1.5007132667617686</v>
      </c>
      <c r="D30" s="173">
        <f>Statement!N123</f>
        <v>1.9695887275023678</v>
      </c>
      <c r="E30" s="173">
        <f>Statement!O123</f>
        <v>1.5607601454639075</v>
      </c>
      <c r="F30" s="173">
        <f>Statement!P123</f>
        <v>1.6459350307287091</v>
      </c>
      <c r="G30" s="173">
        <f>Statement!Q123</f>
        <v>1.5191298333175103</v>
      </c>
      <c r="I30" s="173">
        <f>Statement!AC123</f>
        <v>1.1991257440476193</v>
      </c>
    </row>
    <row r="32" spans="2:9" ht="17" thickBot="1" x14ac:dyDescent="0.25">
      <c r="B32" s="14" t="s">
        <v>304</v>
      </c>
      <c r="C32" s="14"/>
      <c r="D32" s="14"/>
      <c r="E32" s="14"/>
      <c r="F32" s="14"/>
      <c r="G32" s="14"/>
      <c r="I32" s="14"/>
    </row>
    <row r="33" spans="2:9" x14ac:dyDescent="0.2">
      <c r="B33" s="20" t="s">
        <v>99</v>
      </c>
      <c r="C33" s="172">
        <f>C28</f>
        <v>0.26974205275183616</v>
      </c>
      <c r="D33" s="172">
        <f t="shared" ref="D33:G33" si="1">D28</f>
        <v>0.28292440929256846</v>
      </c>
      <c r="E33" s="172">
        <f t="shared" si="1"/>
        <v>0.2750983456377647</v>
      </c>
      <c r="F33" s="172">
        <f t="shared" si="1"/>
        <v>0.25682503150857577</v>
      </c>
      <c r="G33" s="172">
        <f t="shared" si="1"/>
        <v>0.31179625933565486</v>
      </c>
      <c r="I33" s="172">
        <f>I28</f>
        <v>0.33639821951334065</v>
      </c>
    </row>
    <row r="34" spans="2:9" x14ac:dyDescent="0.2">
      <c r="B34" s="20" t="s">
        <v>101</v>
      </c>
      <c r="C34" s="172">
        <f>C30</f>
        <v>1.5007132667617686</v>
      </c>
      <c r="D34" s="172">
        <f t="shared" ref="D34:G34" si="2">D30</f>
        <v>1.9695887275023678</v>
      </c>
      <c r="E34" s="172">
        <f t="shared" si="2"/>
        <v>1.5607601454639075</v>
      </c>
      <c r="F34" s="172">
        <f t="shared" si="2"/>
        <v>1.6459350307287091</v>
      </c>
      <c r="G34" s="172">
        <f t="shared" si="2"/>
        <v>1.5191298333175103</v>
      </c>
      <c r="I34" s="172">
        <f>I30</f>
        <v>1.1991257440476193</v>
      </c>
    </row>
    <row r="35" spans="2:9" x14ac:dyDescent="0.2">
      <c r="B35" s="20" t="s">
        <v>102</v>
      </c>
      <c r="C35" s="172">
        <f>Statement!M130</f>
        <v>-34.893357899142124</v>
      </c>
      <c r="D35" s="172">
        <f>Statement!N130</f>
        <v>61.325292339444864</v>
      </c>
      <c r="E35" s="172">
        <f>Statement!O130</f>
        <v>8.7540939978097523</v>
      </c>
      <c r="F35" s="172">
        <f>Statement!P130</f>
        <v>13.498600849775102</v>
      </c>
      <c r="G35" s="172">
        <f>Statement!Q130</f>
        <v>2.8091291441706971</v>
      </c>
      <c r="I35" s="172">
        <f>Statement!AC130</f>
        <v>2.8240933164668753</v>
      </c>
    </row>
    <row r="37" spans="2:9" ht="17" thickBot="1" x14ac:dyDescent="0.25">
      <c r="B37" s="14" t="s">
        <v>249</v>
      </c>
      <c r="C37" s="14"/>
      <c r="D37" s="14"/>
      <c r="E37" s="14"/>
      <c r="F37" s="14"/>
      <c r="G37" s="14"/>
      <c r="I37" s="14"/>
    </row>
    <row r="38" spans="2:9" x14ac:dyDescent="0.2">
      <c r="B38" s="20" t="s">
        <v>136</v>
      </c>
      <c r="C38" s="171">
        <f>Statement!M131</f>
        <v>26.219311841713207</v>
      </c>
      <c r="D38" s="171">
        <f>Statement!N131</f>
        <v>26.087825363656648</v>
      </c>
      <c r="E38" s="171">
        <f>Statement!O131</f>
        <v>28.100290906244702</v>
      </c>
      <c r="F38" s="171">
        <f>Statement!P131</f>
        <v>31.185571624023428</v>
      </c>
      <c r="G38" s="171">
        <f>Statement!Q131</f>
        <v>34.886990852098108</v>
      </c>
      <c r="I38" s="171">
        <f>Statement!AC131</f>
        <v>24.549497346960194</v>
      </c>
    </row>
    <row r="39" spans="2:9" x14ac:dyDescent="0.2">
      <c r="B39" s="20" t="s">
        <v>137</v>
      </c>
      <c r="C39" s="171">
        <f>Statement!M132</f>
        <v>11.27659274770989</v>
      </c>
      <c r="D39" s="171">
        <f>Statement!N132</f>
        <v>8.0756980666171607</v>
      </c>
      <c r="E39" s="171">
        <f>Statement!O132</f>
        <v>10.791292490321617</v>
      </c>
      <c r="F39" s="171">
        <f>Statement!P132</f>
        <v>12.642570548414087</v>
      </c>
      <c r="G39" s="171">
        <f>Statement!Q132</f>
        <v>9.4454652425778427</v>
      </c>
      <c r="I39" s="171">
        <f>Statement!AC132</f>
        <v>16.890196078431373</v>
      </c>
    </row>
    <row r="40" spans="2:9" x14ac:dyDescent="0.2">
      <c r="B40" s="20" t="s">
        <v>138</v>
      </c>
      <c r="C40" s="171">
        <f>Statement!M133</f>
        <v>93.851071222315596</v>
      </c>
      <c r="D40" s="171">
        <f>Statement!N133</f>
        <v>104.68527730310539</v>
      </c>
      <c r="E40" s="171">
        <f>Statement!O133</f>
        <v>106.72146803214764</v>
      </c>
      <c r="F40" s="171">
        <f>Statement!P133</f>
        <v>119.65847721913744</v>
      </c>
      <c r="G40" s="171">
        <f>Statement!Q133</f>
        <v>115.40052498189718</v>
      </c>
      <c r="I40" s="171">
        <f>Statement!AC133</f>
        <v>98.254589069670416</v>
      </c>
    </row>
    <row r="41" spans="2:9" x14ac:dyDescent="0.2">
      <c r="B41" s="20" t="s">
        <v>139</v>
      </c>
      <c r="C41" s="171">
        <f>Statement!M134</f>
        <v>-56.355166632892498</v>
      </c>
      <c r="D41" s="171">
        <f>Statement!N134</f>
        <v>-70.521753872831582</v>
      </c>
      <c r="E41" s="171">
        <f>Statement!O134</f>
        <v>-67.829884635581323</v>
      </c>
      <c r="F41" s="171">
        <f>Statement!P134</f>
        <v>-75.830335046699929</v>
      </c>
      <c r="G41" s="171">
        <f>Statement!Q134</f>
        <v>-71.06806888722123</v>
      </c>
      <c r="I41" s="171">
        <f>Statement!AC134</f>
        <v>-56.814895644278849</v>
      </c>
    </row>
    <row r="43" spans="2:9" ht="17" thickBot="1" x14ac:dyDescent="0.25">
      <c r="B43" s="14" t="s">
        <v>255</v>
      </c>
      <c r="C43" s="14"/>
      <c r="D43" s="14"/>
      <c r="E43" s="14"/>
      <c r="F43" s="14"/>
      <c r="G43" s="14"/>
      <c r="I43" s="14"/>
    </row>
    <row r="44" spans="2:9" x14ac:dyDescent="0.2">
      <c r="B44" s="20" t="s">
        <v>256</v>
      </c>
      <c r="C44" s="177">
        <f>Statement!M135</f>
        <v>1.9768426058012363</v>
      </c>
      <c r="D44" s="177">
        <f>Statement!N135</f>
        <v>2.3695334701610355</v>
      </c>
      <c r="E44" s="177">
        <f>Statement!O135</f>
        <v>1.7875325845589418</v>
      </c>
      <c r="F44" s="177">
        <f>Statement!P135</f>
        <v>1.8723266022827041</v>
      </c>
      <c r="G44" s="177">
        <f>Statement!Q135</f>
        <v>1.3380304612588665</v>
      </c>
      <c r="I44" s="177">
        <f>Statement!AC135</f>
        <v>0.78444940476190472</v>
      </c>
    </row>
    <row r="45" spans="2:9" x14ac:dyDescent="0.2">
      <c r="B45" s="20" t="s">
        <v>257</v>
      </c>
      <c r="C45" s="177">
        <f>Statement!M136</f>
        <v>-1.0429069583135204</v>
      </c>
      <c r="D45" s="177">
        <f>Statement!N136</f>
        <v>-0.96779286390906216</v>
      </c>
      <c r="E45" s="177">
        <f>Statement!O136</f>
        <v>-0.82082515367038911</v>
      </c>
      <c r="F45" s="177">
        <f>Statement!P136</f>
        <v>-0.87833187006145741</v>
      </c>
      <c r="G45" s="177">
        <f>Statement!Q136</f>
        <v>-0.45790894172215968</v>
      </c>
      <c r="I45" s="177">
        <f>Statement!AC136</f>
        <v>-0.57824590773809526</v>
      </c>
    </row>
    <row r="46" spans="2:9" x14ac:dyDescent="0.2">
      <c r="B46" s="20" t="s">
        <v>251</v>
      </c>
      <c r="C46" s="177">
        <f>Statement!M137</f>
        <v>1.7277037957937855</v>
      </c>
      <c r="D46" s="177">
        <f>Statement!N137</f>
        <v>1.2812731358210701</v>
      </c>
      <c r="E46" s="177">
        <f>Statement!O137</f>
        <v>1.3186266413411512</v>
      </c>
      <c r="F46" s="177">
        <f>Statement!P137</f>
        <v>1.0774865073245952</v>
      </c>
      <c r="G46" s="177">
        <f>Statement!Q137</f>
        <v>1.0396423374851327</v>
      </c>
      <c r="I46" s="177">
        <f>Statement!AC137</f>
        <v>1.1914535981677672</v>
      </c>
    </row>
    <row r="47" spans="2:9" x14ac:dyDescent="0.2">
      <c r="B47" s="20" t="s">
        <v>252</v>
      </c>
      <c r="C47" s="177">
        <f>Statement!M138</f>
        <v>1.0746328129358229</v>
      </c>
      <c r="D47" s="177">
        <f>Statement!N138</f>
        <v>0.87935602862672257</v>
      </c>
      <c r="E47" s="177">
        <f>Statement!O138</f>
        <v>0.98801167175929749</v>
      </c>
      <c r="F47" s="177">
        <f>Statement!P138</f>
        <v>0.86731257653408322</v>
      </c>
      <c r="G47" s="177">
        <f>Statement!Q138</f>
        <v>0.89329292221866674</v>
      </c>
      <c r="I47" s="177">
        <f>Statement!AC138</f>
        <v>1.0032948046555858</v>
      </c>
    </row>
    <row r="48" spans="2:9" x14ac:dyDescent="0.2">
      <c r="B48" s="20" t="s">
        <v>258</v>
      </c>
      <c r="C48" s="179" t="str">
        <f>Statement!M139</f>
        <v>N/A</v>
      </c>
      <c r="D48" s="179" t="str">
        <f>Statement!N139</f>
        <v>N/A</v>
      </c>
      <c r="E48" s="179" t="str">
        <f>Statement!O139</f>
        <v>N/A</v>
      </c>
      <c r="F48" s="179" t="str">
        <f>Statement!P139</f>
        <v>N/A</v>
      </c>
      <c r="G48" s="179" t="str">
        <f>Statement!Q139</f>
        <v>N/A</v>
      </c>
      <c r="I48" s="179" t="str">
        <f>Statement!AC139</f>
        <v>N/A</v>
      </c>
    </row>
    <row r="50" spans="2:9" ht="17" thickBot="1" x14ac:dyDescent="0.25">
      <c r="B50" s="14" t="s">
        <v>267</v>
      </c>
      <c r="C50" s="14"/>
      <c r="D50" s="14"/>
      <c r="E50" s="14"/>
      <c r="F50" s="14"/>
      <c r="G50" s="14"/>
      <c r="I50" s="14"/>
    </row>
    <row r="51" spans="2:9" x14ac:dyDescent="0.2">
      <c r="B51" s="20" t="s">
        <v>265</v>
      </c>
      <c r="C51" s="172">
        <f>Statement!M152</f>
        <v>3.8184045739177788E-2</v>
      </c>
      <c r="D51" s="172">
        <f>Statement!N152</f>
        <v>4.0616898225088079E-2</v>
      </c>
      <c r="E51" s="172">
        <f>Statement!O152</f>
        <v>3.5803983412183868E-2</v>
      </c>
      <c r="F51" s="172">
        <f>Statement!P152</f>
        <v>2.6691250713376358E-2</v>
      </c>
      <c r="G51" s="172">
        <f>Statement!Q152</f>
        <v>2.9202223440068894E-2</v>
      </c>
      <c r="I51" s="172">
        <f ca="1">Statement!AC152</f>
        <v>2.845674379140423E-2</v>
      </c>
    </row>
    <row r="52" spans="2:9" x14ac:dyDescent="0.2">
      <c r="B52" s="20" t="s">
        <v>268</v>
      </c>
      <c r="C52" s="172">
        <f>Statement!M151</f>
        <v>3.4934583557681108E-2</v>
      </c>
      <c r="D52" s="172">
        <f>Statement!N151</f>
        <v>4.2498971214055062E-2</v>
      </c>
      <c r="E52" s="172">
        <f>Statement!O151</f>
        <v>3.3184501306746064E-2</v>
      </c>
      <c r="F52" s="172">
        <f>Statement!P151</f>
        <v>2.8086509886107915E-2</v>
      </c>
      <c r="G52" s="172">
        <f>Statement!Q151</f>
        <v>2.2672048501714993E-2</v>
      </c>
      <c r="I52" s="172">
        <f ca="1">Statement!AC151</f>
        <v>2.7388362257560674E-2</v>
      </c>
    </row>
    <row r="53" spans="2:9" x14ac:dyDescent="0.2">
      <c r="B53" s="20" t="s">
        <v>266</v>
      </c>
      <c r="C53" s="172">
        <f>Statement!M153</f>
        <v>5.7854614756329978E-3</v>
      </c>
      <c r="D53" s="172">
        <f>Statement!N153</f>
        <v>5.9828491657249218E-3</v>
      </c>
      <c r="E53" s="172">
        <f>Statement!O153</f>
        <v>5.4903335085567427E-3</v>
      </c>
      <c r="F53" s="172">
        <f>Statement!P153</f>
        <v>4.3022081741955313E-3</v>
      </c>
      <c r="G53" s="172">
        <f>Statement!Q153</f>
        <v>3.9927973068190712E-3</v>
      </c>
      <c r="I53" s="172">
        <f ca="1">Statement!AC153</f>
        <v>3.426557451946611E-3</v>
      </c>
    </row>
    <row r="54" spans="2:9" x14ac:dyDescent="0.2">
      <c r="B54" s="20" t="s">
        <v>291</v>
      </c>
      <c r="C54" s="172">
        <f>Statement!M154</f>
        <v>3.5314133162103335E-2</v>
      </c>
      <c r="D54" s="172">
        <f>Statement!N154</f>
        <v>3.7102612416180368E-2</v>
      </c>
      <c r="E54" s="172">
        <f>Statement!O154</f>
        <v>2.8996383999483469E-2</v>
      </c>
      <c r="F54" s="172">
        <f>Statement!P154</f>
        <v>2.7458952699019355E-2</v>
      </c>
      <c r="G54" s="172">
        <f>Statement!Q154</f>
        <v>2.3940726760559097E-2</v>
      </c>
      <c r="I54" s="172">
        <f ca="1">Statement!AC154</f>
        <v>1.831265582174052E-2</v>
      </c>
    </row>
    <row r="55" spans="2:9" x14ac:dyDescent="0.2">
      <c r="B55" s="20" t="s">
        <v>293</v>
      </c>
      <c r="C55" s="172">
        <f>Statement!M155</f>
        <v>4.1256713386320212E-2</v>
      </c>
      <c r="D55" s="172">
        <f>Statement!N155</f>
        <v>4.3261757299611757E-2</v>
      </c>
      <c r="E55" s="172">
        <f>Statement!O155</f>
        <v>3.4614316553864377E-2</v>
      </c>
      <c r="F55" s="172">
        <f>Statement!P155</f>
        <v>3.1864577670497315E-2</v>
      </c>
      <c r="G55" s="172">
        <f>Statement!Q155</f>
        <v>2.8010684619854901E-2</v>
      </c>
      <c r="I55" s="172">
        <f ca="1">Statement!AC155</f>
        <v>2.1795859881916398E-2</v>
      </c>
    </row>
    <row r="57" spans="2:9" ht="17" thickBot="1" x14ac:dyDescent="0.25">
      <c r="B57" s="14" t="s">
        <v>270</v>
      </c>
      <c r="C57" s="14"/>
      <c r="D57" s="14"/>
      <c r="E57" s="14"/>
      <c r="F57" s="14"/>
      <c r="G57" s="14"/>
      <c r="I57" s="14"/>
    </row>
    <row r="58" spans="2:9" x14ac:dyDescent="0.2">
      <c r="B58" s="20" t="s">
        <v>269</v>
      </c>
      <c r="C58" s="172">
        <f>Statement!M158</f>
        <v>0.17010594142062624</v>
      </c>
      <c r="D58" s="172">
        <f>Statement!N158</f>
        <v>0.1449245642302622</v>
      </c>
      <c r="E58" s="172">
        <f>Statement!O158</f>
        <v>0.16929386711135649</v>
      </c>
      <c r="F58" s="172">
        <f>Statement!P158</f>
        <v>0.15685911098755134</v>
      </c>
      <c r="G58" s="172">
        <f>Statement!Q158</f>
        <v>0.17951434159061277</v>
      </c>
      <c r="I58" s="172">
        <f>Statement!AC158</f>
        <v>0.12717825284402776</v>
      </c>
    </row>
    <row r="59" spans="2:9" x14ac:dyDescent="0.2">
      <c r="B59" s="20" t="s">
        <v>271</v>
      </c>
      <c r="C59" s="172">
        <f>Statement!M159</f>
        <v>1.0108645807612262</v>
      </c>
      <c r="D59" s="172">
        <f>Statement!N159</f>
        <v>0.87302377813583321</v>
      </c>
      <c r="E59" s="172">
        <f>Statement!O159</f>
        <v>0.87379297134680167</v>
      </c>
      <c r="F59" s="172">
        <f>Statement!P159</f>
        <v>0.97765627735046701</v>
      </c>
      <c r="G59" s="172">
        <f>Statement!Q159</f>
        <v>1.0559578133730676</v>
      </c>
      <c r="I59" s="172">
        <f>Statement!AC159</f>
        <v>0.66862909324507835</v>
      </c>
    </row>
    <row r="60" spans="2:9" x14ac:dyDescent="0.2">
      <c r="B60" s="20" t="s">
        <v>272</v>
      </c>
      <c r="C60" s="172">
        <f>Statement!M160</f>
        <v>1.1809705221818523</v>
      </c>
      <c r="D60" s="172">
        <f>Statement!N160</f>
        <v>1.0179483423660953</v>
      </c>
      <c r="E60" s="172">
        <f>Statement!O160</f>
        <v>1.0430868384581582</v>
      </c>
      <c r="F60" s="172">
        <f>Statement!P160</f>
        <v>1.1345153883380183</v>
      </c>
      <c r="G60" s="172">
        <f>Statement!Q160</f>
        <v>1.2354721549636805</v>
      </c>
      <c r="I60" s="172">
        <f>Statement!AC160</f>
        <v>0.79580734608910608</v>
      </c>
    </row>
    <row r="62" spans="2:9" ht="17" thickBot="1" x14ac:dyDescent="0.25">
      <c r="B62" s="14" t="s">
        <v>278</v>
      </c>
      <c r="C62" s="14"/>
      <c r="D62" s="14"/>
      <c r="E62" s="14"/>
      <c r="F62" s="14"/>
      <c r="G62" s="14"/>
      <c r="I62" s="14"/>
    </row>
    <row r="63" spans="2:9" x14ac:dyDescent="0.2">
      <c r="B63" s="20" t="s">
        <v>276</v>
      </c>
      <c r="C63" s="172">
        <f>Statement!M161</f>
        <v>6.0350030175015089E-4</v>
      </c>
      <c r="D63" s="172">
        <f>Statement!N161</f>
        <v>6.2429766512673245E-4</v>
      </c>
      <c r="E63" s="172">
        <f>Statement!O161</f>
        <v>6.4016388195378021E-4</v>
      </c>
      <c r="F63" s="172">
        <f>Statement!P161</f>
        <v>5.2700922266139653E-4</v>
      </c>
      <c r="G63" s="172">
        <f>Statement!Q161</f>
        <v>6.0679611650485432E-4</v>
      </c>
      <c r="I63" s="172">
        <f>Statement!AC161</f>
        <v>6.1420869446529721E-4</v>
      </c>
    </row>
    <row r="65" spans="2:9" ht="17" thickBot="1" x14ac:dyDescent="0.25">
      <c r="B65" s="14" t="s">
        <v>284</v>
      </c>
      <c r="C65" s="14"/>
      <c r="D65" s="14"/>
      <c r="E65" s="14"/>
      <c r="F65" s="14"/>
      <c r="G65" s="14"/>
      <c r="I65" s="14"/>
    </row>
    <row r="66" spans="2:9" x14ac:dyDescent="0.2">
      <c r="B66" s="20" t="s">
        <v>277</v>
      </c>
      <c r="C66" s="171">
        <f>Statement!M162</f>
        <v>11.612580763135439</v>
      </c>
      <c r="D66" s="171">
        <f>Statement!N162</f>
        <v>10.630437515715363</v>
      </c>
      <c r="E66" s="171">
        <f>Statement!O162</f>
        <v>10.422362245226001</v>
      </c>
      <c r="F66" s="171">
        <f>Statement!P162</f>
        <v>10.363191320455147</v>
      </c>
      <c r="G66" s="171">
        <f>Statement!Q162</f>
        <v>8.9618299945858144</v>
      </c>
      <c r="I66" s="171">
        <f>Statement!AC162</f>
        <v>10.039536795943539</v>
      </c>
    </row>
    <row r="67" spans="2:9" x14ac:dyDescent="0.2">
      <c r="B67" s="20" t="s">
        <v>285</v>
      </c>
      <c r="C67" s="171">
        <f>Statement!M165</f>
        <v>4.0105449225892968</v>
      </c>
      <c r="D67" s="171">
        <f>Statement!N165</f>
        <v>3.0827256726175509</v>
      </c>
      <c r="E67" s="171">
        <f>Statement!O165</f>
        <v>3.2798173985726224</v>
      </c>
      <c r="F67" s="171">
        <f>Statement!P165</f>
        <v>3.3091426303254829</v>
      </c>
      <c r="G67" s="171">
        <f>Statement!Q165</f>
        <v>2.2849891716296695</v>
      </c>
      <c r="I67" s="171">
        <f>Statement!AC165</f>
        <v>4.2601754145539266</v>
      </c>
    </row>
    <row r="68" spans="2:9" x14ac:dyDescent="0.2">
      <c r="B68" s="20" t="s">
        <v>290</v>
      </c>
      <c r="C68" s="193">
        <f>Statement!M166</f>
        <v>2.7027300132217994E-2</v>
      </c>
      <c r="D68" s="193">
        <f>Statement!N166</f>
        <v>2.0352029181556177E-2</v>
      </c>
      <c r="E68" s="193">
        <f>Statement!O166</f>
        <v>1.9073301665991634E-2</v>
      </c>
      <c r="F68" s="193">
        <f>Statement!P166</f>
        <v>1.4465916154542407E-2</v>
      </c>
      <c r="G68" s="193">
        <f>Statement!Q166</f>
        <v>8.9108350433437702E-3</v>
      </c>
      <c r="I68" s="193">
        <f ca="1">Statement!AC166</f>
        <v>1.3846626984227292E-2</v>
      </c>
    </row>
    <row r="70" spans="2:9" ht="17" thickBot="1" x14ac:dyDescent="0.25">
      <c r="B70" s="14" t="s">
        <v>305</v>
      </c>
      <c r="C70" s="14"/>
      <c r="D70" s="14"/>
      <c r="E70" s="14"/>
      <c r="F70" s="14"/>
      <c r="G70" s="14"/>
      <c r="I70" s="14"/>
    </row>
    <row r="71" spans="2:9" x14ac:dyDescent="0.2">
      <c r="B71" s="20" t="s">
        <v>279</v>
      </c>
      <c r="C71" s="172">
        <f>Statement!M163</f>
        <v>7.59914646571445E-2</v>
      </c>
      <c r="D71" s="172">
        <f>Statement!N163</f>
        <v>7.3990388944830579E-2</v>
      </c>
      <c r="E71" s="172">
        <f>Statement!O163</f>
        <v>9.7998064101752255E-2</v>
      </c>
      <c r="F71" s="172">
        <f>Statement!P163</f>
        <v>9.8838094271652549E-2</v>
      </c>
      <c r="G71" s="172">
        <f>Statement!Q163</f>
        <v>0.11538185536678566</v>
      </c>
      <c r="I71" s="172">
        <f>Statement!AC163</f>
        <v>9.3413483819961285E-2</v>
      </c>
    </row>
    <row r="72" spans="2:9" x14ac:dyDescent="0.2">
      <c r="B72" s="20" t="s">
        <v>280</v>
      </c>
      <c r="C72" s="172">
        <f>Statement!M164</f>
        <v>2.1611898845597662E-2</v>
      </c>
      <c r="D72" s="172">
        <f>Statement!N164</f>
        <v>2.2920005680550203E-2</v>
      </c>
      <c r="E72" s="172">
        <f>Statement!O164</f>
        <v>2.8263563666723196E-2</v>
      </c>
      <c r="F72" s="172">
        <f>Statement!P164</f>
        <v>2.9889907553032339E-2</v>
      </c>
      <c r="G72" s="172">
        <f>Statement!Q164</f>
        <v>3.0908710811440764E-2</v>
      </c>
      <c r="I72" s="172">
        <f>Statement!AC164</f>
        <v>2.9360164344944442E-2</v>
      </c>
    </row>
    <row r="74" spans="2:9" ht="17" thickBot="1" x14ac:dyDescent="0.25">
      <c r="B74" s="14" t="s">
        <v>306</v>
      </c>
      <c r="C74" s="14"/>
      <c r="D74" s="14"/>
      <c r="E74" s="14"/>
      <c r="F74" s="14"/>
      <c r="G74" s="14"/>
      <c r="I74" s="14"/>
    </row>
    <row r="75" spans="2:9" x14ac:dyDescent="0.2">
      <c r="B75" s="20" t="s">
        <v>303</v>
      </c>
      <c r="C75" s="172">
        <f>Statement!M167</f>
        <v>3.0302036264033657E-2</v>
      </c>
      <c r="D75" s="172">
        <f>Statement!N167</f>
        <v>2.7155058732831552E-2</v>
      </c>
      <c r="E75" s="172">
        <f>Statement!O167</f>
        <v>2.859230076835775E-2</v>
      </c>
      <c r="F75" s="172">
        <f>Statement!P167</f>
        <v>2.415896275269477E-2</v>
      </c>
      <c r="G75" s="172">
        <f>Statement!Q167</f>
        <v>3.0553079216937677E-2</v>
      </c>
      <c r="I75" s="172">
        <f>Statement!AC167</f>
        <v>2.1509222981729692E-2</v>
      </c>
    </row>
    <row r="76" spans="2:9" x14ac:dyDescent="0.2">
      <c r="B76" s="20" t="s">
        <v>300</v>
      </c>
      <c r="C76" s="172">
        <f>Statement!M168</f>
        <v>0.10654760760491359</v>
      </c>
      <c r="D76" s="172">
        <f>Statement!N168</f>
        <v>8.7661992124501639E-2</v>
      </c>
      <c r="E76" s="172">
        <f>Statement!O168</f>
        <v>9.9137892042010803E-2</v>
      </c>
      <c r="F76" s="172">
        <f>Statement!P168</f>
        <v>7.9887361104064136E-2</v>
      </c>
      <c r="G76" s="172">
        <f>Statement!Q168</f>
        <v>0.11405428679069267</v>
      </c>
      <c r="I76" s="172">
        <f>Statement!AC168</f>
        <v>6.8434611924429539E-2</v>
      </c>
    </row>
    <row r="77" spans="2:9" x14ac:dyDescent="0.2">
      <c r="B77" s="20" t="s">
        <v>301</v>
      </c>
      <c r="C77" s="172">
        <f>Statement!M169</f>
        <v>0.9823644097837646</v>
      </c>
      <c r="D77" s="172">
        <f>Statement!N169</f>
        <v>0.96433717579250722</v>
      </c>
      <c r="E77" s="172">
        <f>Statement!O169</f>
        <v>0.95138466880805628</v>
      </c>
      <c r="F77" s="172">
        <f>Statement!P169</f>
        <v>0.82542595019659237</v>
      </c>
      <c r="G77" s="172">
        <f>Statement!Q169</f>
        <v>1.0869379381090785</v>
      </c>
      <c r="I77" s="172">
        <f>Statement!AC169</f>
        <v>0.76648854961832058</v>
      </c>
    </row>
    <row r="79" spans="2:9" ht="17" thickBot="1" x14ac:dyDescent="0.25">
      <c r="B79" s="14" t="s">
        <v>119</v>
      </c>
      <c r="C79" s="14"/>
      <c r="D79" s="14"/>
      <c r="E79" s="14"/>
      <c r="F79" s="14"/>
      <c r="G79" s="14"/>
      <c r="I79" s="14"/>
    </row>
    <row r="80" spans="2:9" x14ac:dyDescent="0.2">
      <c r="B80" s="20" t="s">
        <v>19</v>
      </c>
      <c r="C80" s="172">
        <f>Statement!M88</f>
        <v>1</v>
      </c>
      <c r="D80" s="172">
        <f>Statement!N88</f>
        <v>7.7937876041846058E-2</v>
      </c>
      <c r="E80" s="172">
        <f>Statement!O88</f>
        <v>-2.8004605303199367E-2</v>
      </c>
      <c r="F80" s="172">
        <f>Statement!P88</f>
        <v>2.0219940775141214E-2</v>
      </c>
      <c r="G80" s="172">
        <f>Statement!Q88</f>
        <v>6.4255117828327393E-2</v>
      </c>
      <c r="I80" s="194"/>
    </row>
    <row r="81" spans="2:9" x14ac:dyDescent="0.2">
      <c r="B81" s="20" t="s">
        <v>20</v>
      </c>
      <c r="C81" s="172">
        <f>Statement!M89</f>
        <v>1</v>
      </c>
      <c r="D81" s="172">
        <f>Statement!N89</f>
        <v>4.9605363858747961E-2</v>
      </c>
      <c r="E81" s="172">
        <f>Statement!O89</f>
        <v>-4.2089771232766408E-2</v>
      </c>
      <c r="F81" s="172">
        <f>Statement!P89</f>
        <v>-1.7675600199872046E-2</v>
      </c>
      <c r="G81" s="172">
        <f>Statement!Q89</f>
        <v>5.0429755837833726E-2</v>
      </c>
      <c r="I81" s="194"/>
    </row>
    <row r="82" spans="2:9" x14ac:dyDescent="0.2">
      <c r="B82" s="20" t="s">
        <v>21</v>
      </c>
      <c r="C82" s="172">
        <f>Statement!M90</f>
        <v>1</v>
      </c>
      <c r="D82" s="172">
        <f>Statement!N90</f>
        <v>0.11741997958596143</v>
      </c>
      <c r="E82" s="172">
        <f>Statement!O90</f>
        <v>-9.5677530418896602E-3</v>
      </c>
      <c r="F82" s="172">
        <f>Statement!P90</f>
        <v>6.8194717052522058E-2</v>
      </c>
      <c r="G82" s="172">
        <f>Statement!Q90</f>
        <v>8.0350669404426533E-2</v>
      </c>
      <c r="I82" s="194"/>
    </row>
    <row r="83" spans="2:9" x14ac:dyDescent="0.2">
      <c r="B83" s="20" t="s">
        <v>23</v>
      </c>
      <c r="C83" s="172">
        <f>Statement!M93</f>
        <v>1</v>
      </c>
      <c r="D83" s="172">
        <f>Statement!N93</f>
        <v>0.16993642764372138</v>
      </c>
      <c r="E83" s="172">
        <f>Statement!O93</f>
        <v>6.8205278021228943E-2</v>
      </c>
      <c r="F83" s="172">
        <f>Statement!P93</f>
        <v>4.7769249001768557E-2</v>
      </c>
      <c r="G83" s="172">
        <f>Statement!Q93</f>
        <v>8.1507647867471764E-2</v>
      </c>
      <c r="I83" s="194"/>
    </row>
    <row r="84" spans="2:9" x14ac:dyDescent="0.2">
      <c r="B84" s="20" t="s">
        <v>307</v>
      </c>
      <c r="C84" s="172">
        <f>Statement!M94</f>
        <v>1</v>
      </c>
      <c r="D84" s="172">
        <f>Statement!N94</f>
        <v>9.6265225013538444E-2</v>
      </c>
      <c r="E84" s="172">
        <f>Statement!O94</f>
        <v>-4.3001749876503931E-2</v>
      </c>
      <c r="F84" s="172">
        <f>Statement!P94</f>
        <v>7.799581805933456E-2</v>
      </c>
      <c r="G84" s="172">
        <f>Statement!Q94</f>
        <v>7.9811063498246987E-2</v>
      </c>
      <c r="I84" s="194"/>
    </row>
    <row r="85" spans="2:9" x14ac:dyDescent="0.2">
      <c r="B85" s="20" t="s">
        <v>308</v>
      </c>
      <c r="C85" s="172">
        <f>Statement!M96</f>
        <v>1</v>
      </c>
      <c r="D85" s="172">
        <f>Statement!N96</f>
        <v>5.4108576256865229E-2</v>
      </c>
      <c r="E85" s="172">
        <f>Statement!O96</f>
        <v>-2.8135426790777834E-2</v>
      </c>
      <c r="F85" s="172">
        <f>Statement!P96</f>
        <v>-3.3599670086086914E-2</v>
      </c>
      <c r="G85" s="172">
        <f>Statement!Q96</f>
        <v>0.19495177946573355</v>
      </c>
      <c r="I85" s="194"/>
    </row>
    <row r="88" spans="2:9" ht="17" thickBot="1" x14ac:dyDescent="0.25">
      <c r="B88" s="14" t="s">
        <v>309</v>
      </c>
      <c r="C88" s="14"/>
      <c r="D88" s="14"/>
      <c r="E88" s="14"/>
      <c r="F88" s="14"/>
      <c r="G88" s="14"/>
      <c r="I88" s="14"/>
    </row>
    <row r="89" spans="2:9" x14ac:dyDescent="0.2">
      <c r="B89" s="20" t="s">
        <v>376</v>
      </c>
      <c r="C89" s="172">
        <f>Statement!M191</f>
        <v>1</v>
      </c>
      <c r="D89" s="172">
        <f>Statement!N191</f>
        <v>0.10666249200944516</v>
      </c>
      <c r="E89" s="172">
        <f>Statement!O191</f>
        <v>-4.1837107592922231E-2</v>
      </c>
      <c r="F89" s="172">
        <f>Statement!P191</f>
        <v>2.7589812992125984E-2</v>
      </c>
      <c r="G89" s="172">
        <f>Statement!Q191</f>
        <v>6.7694333862132958E-2</v>
      </c>
      <c r="I89" s="194"/>
    </row>
    <row r="90" spans="2:9" x14ac:dyDescent="0.2">
      <c r="B90" s="20" t="s">
        <v>377</v>
      </c>
      <c r="C90" s="172">
        <f>Statement!M192</f>
        <v>1</v>
      </c>
      <c r="D90" s="172">
        <f>Statement!N192</f>
        <v>6.5067687863213416E-2</v>
      </c>
      <c r="E90" s="172">
        <f>Statement!O192</f>
        <v>-8.6629239470972889E-3</v>
      </c>
      <c r="F90" s="172">
        <f>Statement!P192</f>
        <v>7.459647485524E-2</v>
      </c>
      <c r="G90" s="172">
        <f>Statement!Q192</f>
        <v>9.5768198326227696E-2</v>
      </c>
      <c r="I90" s="194"/>
    </row>
    <row r="91" spans="2:9" x14ac:dyDescent="0.2">
      <c r="B91" s="20" t="s">
        <v>378</v>
      </c>
      <c r="C91" s="172">
        <f>Statement!M193</f>
        <v>1</v>
      </c>
      <c r="D91" s="172">
        <f>Statement!N193</f>
        <v>8.5334815551589976E-2</v>
      </c>
      <c r="E91" s="172">
        <f>Statement!O193</f>
        <v>-2.211590296495957E-2</v>
      </c>
      <c r="F91" s="172">
        <f>Statement!P193</f>
        <v>-7.7275045135682688E-2</v>
      </c>
      <c r="G91" s="172">
        <f>Statement!Q193</f>
        <v>-3.8460389532799615E-2</v>
      </c>
      <c r="I91" s="194"/>
    </row>
    <row r="92" spans="2:9" x14ac:dyDescent="0.2">
      <c r="B92" s="20" t="s">
        <v>379</v>
      </c>
      <c r="C92" s="172">
        <f>Statement!M194</f>
        <v>1</v>
      </c>
      <c r="D92" s="172">
        <f>Statement!N194</f>
        <v>-8.7950284390141145E-2</v>
      </c>
      <c r="E92" s="172">
        <f>Statement!O194</f>
        <v>-6.6212418678061366E-2</v>
      </c>
      <c r="F92" s="172">
        <f>Statement!P194</f>
        <v>3.2774044605680834E-2</v>
      </c>
      <c r="G92" s="172">
        <f>Statement!Q194</f>
        <v>0.14573686731598276</v>
      </c>
      <c r="I92" s="194"/>
    </row>
    <row r="93" spans="2:9" x14ac:dyDescent="0.2">
      <c r="B93" s="20" t="s">
        <v>380</v>
      </c>
      <c r="C93" s="172">
        <f>Statement!M195</f>
        <v>1</v>
      </c>
      <c r="D93" s="172">
        <f>Statement!N195</f>
        <v>0.114546972226438</v>
      </c>
      <c r="E93" s="172">
        <f>Statement!O195</f>
        <v>8.1702127659574464E-3</v>
      </c>
      <c r="F93" s="172">
        <f>Statement!P195</f>
        <v>3.5218639203106535E-2</v>
      </c>
      <c r="G93" s="172">
        <f>Statement!Q195</f>
        <v>9.9093221997521033E-2</v>
      </c>
      <c r="I93" s="194"/>
    </row>
    <row r="94" spans="2:9" x14ac:dyDescent="0.2">
      <c r="B94" s="20"/>
      <c r="C94" s="172">
        <f>Statement!M196</f>
        <v>0</v>
      </c>
      <c r="D94" s="172">
        <f>Statement!N196</f>
        <v>0</v>
      </c>
      <c r="E94" s="172">
        <f>Statement!O196</f>
        <v>0</v>
      </c>
      <c r="F94" s="172">
        <f>Statement!P196</f>
        <v>0</v>
      </c>
      <c r="G94" s="172">
        <f>Statement!Q196</f>
        <v>0</v>
      </c>
      <c r="I94" s="194"/>
    </row>
    <row r="95" spans="2:9" x14ac:dyDescent="0.2">
      <c r="B95" s="20" t="s">
        <v>381</v>
      </c>
      <c r="C95" s="172">
        <f>Statement!M197</f>
        <v>1</v>
      </c>
      <c r="D95" s="172">
        <f>Statement!N197</f>
        <v>7.0405734139696724E-2</v>
      </c>
      <c r="E95" s="172">
        <f>Statement!O197</f>
        <v>-2.3874757286278098E-2</v>
      </c>
      <c r="F95" s="172">
        <f>Statement!P197</f>
        <v>2.9912804175827464E-3</v>
      </c>
      <c r="G95" s="172">
        <f>Statement!Q197</f>
        <v>4.1767942619406209E-2</v>
      </c>
      <c r="I95" s="194"/>
    </row>
    <row r="96" spans="2:9" x14ac:dyDescent="0.2">
      <c r="B96" s="20" t="s">
        <v>382</v>
      </c>
      <c r="C96" s="172">
        <f>Statement!M198</f>
        <v>1</v>
      </c>
      <c r="D96" s="172">
        <f>Statement!N198</f>
        <v>0.14171639670360897</v>
      </c>
      <c r="E96" s="172">
        <f>Statement!O198</f>
        <v>-0.26930831072504169</v>
      </c>
      <c r="F96" s="172">
        <f>Statement!P198</f>
        <v>2.1357768164321968E-2</v>
      </c>
      <c r="G96" s="172">
        <f>Statement!Q198</f>
        <v>0.12419957310565635</v>
      </c>
      <c r="I96" s="194"/>
    </row>
    <row r="97" spans="2:9" x14ac:dyDescent="0.2">
      <c r="B97" s="20" t="s">
        <v>383</v>
      </c>
      <c r="C97" s="172">
        <f>Statement!M199</f>
        <v>1</v>
      </c>
      <c r="D97" s="172">
        <f>Statement!N199</f>
        <v>-8.0660347749670458E-2</v>
      </c>
      <c r="E97" s="172">
        <f>Statement!O199</f>
        <v>-3.3865901952751604E-2</v>
      </c>
      <c r="F97" s="172">
        <f>Statement!P199</f>
        <v>-5.6749116607773854E-2</v>
      </c>
      <c r="G97" s="172">
        <f>Statement!Q199</f>
        <v>4.9786468869408858E-2</v>
      </c>
      <c r="I97" s="194"/>
    </row>
    <row r="98" spans="2:9" x14ac:dyDescent="0.2">
      <c r="B98" s="20" t="s">
        <v>384</v>
      </c>
      <c r="C98" s="172">
        <f>Statement!M200</f>
        <v>1</v>
      </c>
      <c r="D98" s="172">
        <f>Statement!N200</f>
        <v>7.4908124169207918E-2</v>
      </c>
      <c r="E98" s="172">
        <f>Statement!O200</f>
        <v>-3.3849809655439975E-2</v>
      </c>
      <c r="F98" s="172">
        <f>Statement!P200</f>
        <v>-7.1276195256619407E-2</v>
      </c>
      <c r="G98" s="172">
        <f>Statement!Q200</f>
        <v>-3.5643831914606135E-2</v>
      </c>
      <c r="I98" s="194"/>
    </row>
    <row r="99" spans="2:9" x14ac:dyDescent="0.2">
      <c r="B99" s="20" t="s">
        <v>362</v>
      </c>
      <c r="C99" s="172">
        <f>Statement!M201</f>
        <v>1</v>
      </c>
      <c r="D99" s="172">
        <f>Statement!N201</f>
        <v>0.14181951041286078</v>
      </c>
      <c r="E99" s="172">
        <f>Statement!O201</f>
        <v>7.7704821513138525E-2</v>
      </c>
      <c r="F99" s="172">
        <f>Statement!P201</f>
        <v>0.14214964370546318</v>
      </c>
      <c r="G99" s="172">
        <f>Statement!Q201</f>
        <v>0.135064313864135</v>
      </c>
      <c r="I99" s="194"/>
    </row>
    <row r="101" spans="2:9" ht="17" thickBot="1" x14ac:dyDescent="0.25">
      <c r="B101" s="14" t="s">
        <v>311</v>
      </c>
      <c r="C101" s="14"/>
      <c r="D101" s="14"/>
      <c r="E101" s="14"/>
      <c r="F101" s="14"/>
      <c r="G101" s="14"/>
      <c r="I101" s="14"/>
    </row>
    <row r="102" spans="2:9" x14ac:dyDescent="0.2">
      <c r="B102" s="20" t="s">
        <v>283</v>
      </c>
      <c r="C102" s="172">
        <f>Statement!M205</f>
        <v>-1</v>
      </c>
      <c r="D102" s="172">
        <f>Statement!N205</f>
        <v>2.5851938895417155E-2</v>
      </c>
      <c r="E102" s="172">
        <f>Statement!O205</f>
        <v>1.239808638231925E-2</v>
      </c>
      <c r="F102" s="172">
        <f>Statement!P205</f>
        <v>1.3910149750415973E-2</v>
      </c>
      <c r="G102" s="172">
        <f>Statement!Q205</f>
        <v>1.2275173952999869E-2</v>
      </c>
      <c r="I102"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312</v>
      </c>
      <c r="D3" s="244"/>
      <c r="F3" s="245" t="s">
        <v>313</v>
      </c>
      <c r="G3" s="244"/>
    </row>
    <row r="4" spans="2:7" x14ac:dyDescent="0.2">
      <c r="B4" s="8"/>
      <c r="C4" s="10" t="str">
        <f>Statement!Z2</f>
        <v>28.03.2026</v>
      </c>
      <c r="D4" s="200" t="str">
        <f>Statement!AA2</f>
        <v>27.06.2026</v>
      </c>
      <c r="F4" s="201" t="str">
        <f>Statement!W2</f>
        <v>28.06.2025</v>
      </c>
      <c r="G4" s="200" t="str">
        <f>Statement!AA2</f>
        <v>27.06.2026</v>
      </c>
    </row>
    <row r="5" spans="2:7" x14ac:dyDescent="0.2">
      <c r="B5" s="8" t="s">
        <v>318</v>
      </c>
      <c r="C5" s="10" t="str">
        <f>Statement!Z3</f>
        <v>Q2 2026</v>
      </c>
      <c r="D5" s="200" t="str">
        <f>Statement!AA3</f>
        <v>Q3 2026</v>
      </c>
      <c r="F5" s="201" t="str">
        <f>Statement!W3</f>
        <v>Q3 2025</v>
      </c>
      <c r="G5" s="200" t="str">
        <f>Statement!AA3</f>
        <v>Q3 2026</v>
      </c>
    </row>
    <row r="6" spans="2:7" x14ac:dyDescent="0.2">
      <c r="B6" s="202" t="s">
        <v>19</v>
      </c>
      <c r="C6" s="196">
        <f>Statement!Z5</f>
        <v>111184</v>
      </c>
      <c r="D6" s="195">
        <f>Statement!AA5</f>
        <v>109417</v>
      </c>
      <c r="F6" s="196">
        <f>Statement!W5</f>
        <v>94036</v>
      </c>
      <c r="G6" s="195">
        <f>Statement!AA5</f>
        <v>109417</v>
      </c>
    </row>
    <row r="7" spans="2:7" x14ac:dyDescent="0.2">
      <c r="B7" s="203" t="s">
        <v>314</v>
      </c>
      <c r="C7" s="241">
        <f>Statement!AA88</f>
        <v>-1.5892574471146927E-2</v>
      </c>
      <c r="D7" s="242"/>
      <c r="F7" s="241">
        <f>IF(F6=0,
IF(G6=0,0,IF(G6&gt;0,1,-1)),
(G6-F6)/ABS(F6)
)</f>
        <v>0.16356501765281381</v>
      </c>
      <c r="G7" s="242"/>
    </row>
    <row r="8" spans="2:7" x14ac:dyDescent="0.2">
      <c r="B8" s="204" t="s">
        <v>20</v>
      </c>
      <c r="C8" s="197">
        <f>Statement!Z6</f>
        <v>56403</v>
      </c>
      <c r="D8" s="195">
        <f>Statement!AA6</f>
        <v>54647</v>
      </c>
      <c r="F8" s="197">
        <f>Statement!W6</f>
        <v>50318</v>
      </c>
      <c r="G8" s="195">
        <f>Statement!AA6</f>
        <v>54647</v>
      </c>
    </row>
    <row r="9" spans="2:7" x14ac:dyDescent="0.2">
      <c r="B9" s="203" t="s">
        <v>314</v>
      </c>
      <c r="C9" s="241">
        <f>Statement!AA89</f>
        <v>-3.1133095757317875E-2</v>
      </c>
      <c r="D9" s="242"/>
      <c r="F9" s="241">
        <f>IF(F8=0,
IF(G8=0,0,IF(G8&gt;0,1,-1)),
(G8-F8)/ABS(F8)
)</f>
        <v>8.6032831193608647E-2</v>
      </c>
      <c r="G9" s="242"/>
    </row>
    <row r="10" spans="2:7" x14ac:dyDescent="0.2">
      <c r="B10" s="204" t="s">
        <v>21</v>
      </c>
      <c r="C10" s="197">
        <f>Statement!Z7</f>
        <v>54781</v>
      </c>
      <c r="D10" s="195">
        <f>Statement!AA7</f>
        <v>54770</v>
      </c>
      <c r="F10" s="197">
        <f>Statement!W7</f>
        <v>43718</v>
      </c>
      <c r="G10" s="195">
        <f>Statement!AA7</f>
        <v>54770</v>
      </c>
    </row>
    <row r="11" spans="2:7" x14ac:dyDescent="0.2">
      <c r="B11" s="203" t="s">
        <v>314</v>
      </c>
      <c r="C11" s="241">
        <f>Statement!AA90</f>
        <v>-2.0079954728829339E-4</v>
      </c>
      <c r="D11" s="242"/>
      <c r="F11" s="241">
        <f>IF(F10=0,
IF(G10=0,0,IF(G10&gt;0,1,-1)),
(G10-F10)/ABS(F10)
)</f>
        <v>0.25280204949906215</v>
      </c>
      <c r="G11" s="242"/>
    </row>
    <row r="12" spans="2:7" x14ac:dyDescent="0.2">
      <c r="B12" s="204" t="s">
        <v>23</v>
      </c>
      <c r="C12" s="197">
        <f>Statement!Z10</f>
        <v>18896</v>
      </c>
      <c r="D12" s="195">
        <f>Statement!AA10</f>
        <v>19075</v>
      </c>
      <c r="F12" s="197">
        <f>Statement!W10</f>
        <v>15516</v>
      </c>
      <c r="G12" s="195">
        <f>Statement!AA10</f>
        <v>19075</v>
      </c>
    </row>
    <row r="13" spans="2:7" x14ac:dyDescent="0.2">
      <c r="B13" s="203" t="s">
        <v>314</v>
      </c>
      <c r="C13" s="241">
        <f>Statement!AA93</f>
        <v>9.4729043183742583E-3</v>
      </c>
      <c r="D13" s="242"/>
      <c r="F13" s="241">
        <f>IF(F12=0,
IF(G12=0,0,IF(G12&gt;0,1,-1)),
(G12-F12)/ABS(F12)
)</f>
        <v>0.22937612786800721</v>
      </c>
      <c r="G13" s="242"/>
    </row>
    <row r="14" spans="2:7" x14ac:dyDescent="0.2">
      <c r="B14" s="204" t="s">
        <v>315</v>
      </c>
      <c r="C14" s="197">
        <f>Statement!Z11</f>
        <v>35885</v>
      </c>
      <c r="D14" s="195">
        <f>Statement!AA11</f>
        <v>35695</v>
      </c>
      <c r="F14" s="197">
        <f>Statement!W11</f>
        <v>28202</v>
      </c>
      <c r="G14" s="195">
        <f>Statement!AA11</f>
        <v>35695</v>
      </c>
    </row>
    <row r="15" spans="2:7" x14ac:dyDescent="0.2">
      <c r="B15" s="203" t="s">
        <v>314</v>
      </c>
      <c r="C15" s="241">
        <f>Statement!AA94</f>
        <v>-5.2946913752264175E-3</v>
      </c>
      <c r="D15" s="242"/>
      <c r="F15" s="241">
        <f>IF(F14=0,
IF(G14=0,0,IF(G14&gt;0,1,-1)),
(G14-F14)/ABS(F14)
)</f>
        <v>0.26569037656903766</v>
      </c>
      <c r="G15" s="242"/>
    </row>
    <row r="16" spans="2:7" x14ac:dyDescent="0.2">
      <c r="B16" s="204" t="s">
        <v>29</v>
      </c>
      <c r="C16" s="197">
        <f>Statement!Z17</f>
        <v>29578</v>
      </c>
      <c r="D16" s="195">
        <f>Statement!AA17</f>
        <v>29789</v>
      </c>
      <c r="F16" s="197">
        <f>Statement!W17</f>
        <v>23434</v>
      </c>
      <c r="G16" s="195">
        <f>Statement!AA17</f>
        <v>29789</v>
      </c>
    </row>
    <row r="17" spans="2:7" x14ac:dyDescent="0.2">
      <c r="B17" s="203" t="s">
        <v>314</v>
      </c>
      <c r="C17" s="241">
        <f>Statement!AA96</f>
        <v>7.1336804381635002E-3</v>
      </c>
      <c r="D17" s="242"/>
      <c r="F17" s="241">
        <f>IF(F16=0,
IF(G16=0,0,IF(G16&gt;0,1,-1)),
(G16-F16)/ABS(F16)
)</f>
        <v>0.27118716394981651</v>
      </c>
      <c r="G17" s="242"/>
    </row>
    <row r="18" spans="2:7" x14ac:dyDescent="0.2">
      <c r="B18" s="204" t="s">
        <v>316</v>
      </c>
      <c r="C18" s="197">
        <f>Statement!Z21</f>
        <v>14726</v>
      </c>
      <c r="D18" s="195">
        <f>Statement!AA21</f>
        <v>14715</v>
      </c>
      <c r="F18" s="197">
        <f>Statement!W21</f>
        <v>14948</v>
      </c>
      <c r="G18" s="195">
        <f>Statement!AA21</f>
        <v>14715</v>
      </c>
    </row>
    <row r="19" spans="2:7" x14ac:dyDescent="0.2">
      <c r="B19" s="203" t="s">
        <v>314</v>
      </c>
      <c r="C19" s="241">
        <f>IF(C18=0,
IF(D18=0,0,IF(D18&gt;0,1,-1)),
(D18-C18)/ABS(C18)
)</f>
        <v>-7.4697813391280731E-4</v>
      </c>
      <c r="D19" s="242"/>
      <c r="F19" s="241">
        <f>IF(F18=0,
IF(G18=0,0,IF(G18&gt;0,1,-1)),
(G18-F18)/ABS(F18)
)</f>
        <v>-1.5587369547765587E-2</v>
      </c>
      <c r="G19" s="242"/>
    </row>
    <row r="20" spans="2:7" x14ac:dyDescent="0.2">
      <c r="B20" s="204" t="s">
        <v>36</v>
      </c>
      <c r="C20" s="198">
        <f>Statement!Z25</f>
        <v>2.0099999999999998</v>
      </c>
      <c r="D20" s="199">
        <f>Statement!AA25</f>
        <v>2.02</v>
      </c>
      <c r="F20" s="198">
        <f>Statement!W25</f>
        <v>1.57</v>
      </c>
      <c r="G20" s="199">
        <f>Statement!AA25</f>
        <v>2.02</v>
      </c>
    </row>
    <row r="21" spans="2:7" x14ac:dyDescent="0.2">
      <c r="B21" s="203" t="s">
        <v>314</v>
      </c>
      <c r="C21" s="241">
        <f>IF(C20=0,
IF(D20=0,0,IF(D20&gt;0,1,-1)),
(D20-C20)/ABS(C20)
)</f>
        <v>4.975124378109568E-3</v>
      </c>
      <c r="D21" s="242"/>
      <c r="F21" s="241">
        <f>IF(F20=0,
IF(G20=0,0,IF(G20&gt;0,1,-1)),
(G20-F20)/ABS(F20)
)</f>
        <v>0.28662420382165599</v>
      </c>
      <c r="G21" s="242"/>
    </row>
    <row r="23" spans="2:7" x14ac:dyDescent="0.2">
      <c r="B23" s="8" t="s">
        <v>317</v>
      </c>
      <c r="C23" s="10" t="str">
        <f>C5</f>
        <v>Q2 2026</v>
      </c>
      <c r="D23" s="200" t="str">
        <f>D5</f>
        <v>Q3 2026</v>
      </c>
      <c r="F23" s="201" t="str">
        <f>F5</f>
        <v>Q3 2025</v>
      </c>
      <c r="G23" s="200" t="str">
        <f>G5</f>
        <v>Q3 2026</v>
      </c>
    </row>
    <row r="24" spans="2:7" x14ac:dyDescent="0.2">
      <c r="B24" s="20" t="s">
        <v>376</v>
      </c>
      <c r="C24" s="197">
        <f>Statement!Z177</f>
        <v>45093</v>
      </c>
      <c r="D24" s="195">
        <f>Statement!AA177</f>
        <v>45781</v>
      </c>
      <c r="F24" s="197">
        <f>Statement!W177</f>
        <v>41198</v>
      </c>
      <c r="G24" s="195">
        <f>Statement!AA177</f>
        <v>45781</v>
      </c>
    </row>
    <row r="25" spans="2:7" x14ac:dyDescent="0.2">
      <c r="B25" s="203" t="s">
        <v>314</v>
      </c>
      <c r="C25" s="241">
        <f>IF(C24=0,
IF(D24=0,0,IF(D24&gt;0,1,-1)),
(D24-C24)/ABS(C24)
)</f>
        <v>1.5257357017718937E-2</v>
      </c>
      <c r="D25" s="242"/>
      <c r="F25" s="241">
        <f>IF(F24=0,
IF(G24=0,0,IF(G24&gt;0,1,-1)),
(G24-F24)/ABS(F24)
)</f>
        <v>0.11124326423612797</v>
      </c>
      <c r="G25" s="242"/>
    </row>
    <row r="26" spans="2:7" x14ac:dyDescent="0.2">
      <c r="B26" s="20" t="s">
        <v>377</v>
      </c>
      <c r="C26" s="197">
        <f>Statement!Z178</f>
        <v>28055</v>
      </c>
      <c r="D26" s="195">
        <f>Statement!AA178</f>
        <v>29393</v>
      </c>
      <c r="F26" s="197">
        <f>Statement!W178</f>
        <v>24014</v>
      </c>
      <c r="G26" s="195">
        <f>Statement!AA178</f>
        <v>29393</v>
      </c>
    </row>
    <row r="27" spans="2:7" x14ac:dyDescent="0.2">
      <c r="B27" s="203" t="s">
        <v>314</v>
      </c>
      <c r="C27" s="241">
        <f>IF(C26=0,
IF(D26=0,0,IF(D26&gt;0,1,-1)),
(D26-C26)/ABS(C26)
)</f>
        <v>4.7692033505613969E-2</v>
      </c>
      <c r="D27" s="242"/>
      <c r="F27" s="241">
        <f>IF(F26=0,
IF(G26=0,0,IF(G26&gt;0,1,-1)),
(G26-F26)/ABS(F26)
)</f>
        <v>0.22399433663696178</v>
      </c>
      <c r="G27" s="242"/>
    </row>
    <row r="28" spans="2:7" x14ac:dyDescent="0.2">
      <c r="B28" s="20" t="s">
        <v>378</v>
      </c>
      <c r="C28" s="197">
        <f>Statement!Z179</f>
        <v>20497</v>
      </c>
      <c r="D28" s="195">
        <f>Statement!AA179</f>
        <v>18816</v>
      </c>
      <c r="F28" s="197">
        <f>Statement!W179</f>
        <v>15369</v>
      </c>
      <c r="G28" s="195">
        <f>Statement!AA179</f>
        <v>18816</v>
      </c>
    </row>
    <row r="29" spans="2:7" x14ac:dyDescent="0.2">
      <c r="B29" s="203" t="s">
        <v>314</v>
      </c>
      <c r="C29" s="241">
        <f>IF(C28=0,
IF(D28=0,0,IF(D28&gt;0,1,-1)),
(D28-C28)/ABS(C28)
)</f>
        <v>-8.2012001756354591E-2</v>
      </c>
      <c r="D29" s="242"/>
      <c r="F29" s="241">
        <f>IF(F28=0,
IF(G28=0,0,IF(G28&gt;0,1,-1)),
(G28-F28)/ABS(F28)
)</f>
        <v>0.22428264688658989</v>
      </c>
      <c r="G29" s="242"/>
    </row>
    <row r="30" spans="2:7" x14ac:dyDescent="0.2">
      <c r="B30" s="20" t="s">
        <v>379</v>
      </c>
      <c r="C30" s="197">
        <f>Statement!Z180</f>
        <v>8401</v>
      </c>
      <c r="D30" s="195">
        <f>Statement!AA180</f>
        <v>6554</v>
      </c>
      <c r="F30" s="197">
        <f>Statement!W180</f>
        <v>5782</v>
      </c>
      <c r="G30" s="195">
        <f>Statement!AA180</f>
        <v>6554</v>
      </c>
    </row>
    <row r="31" spans="2:7" x14ac:dyDescent="0.2">
      <c r="B31" s="203" t="s">
        <v>314</v>
      </c>
      <c r="C31" s="241">
        <f>IF(C30=0,
IF(D30=0,0,IF(D30&gt;0,1,-1)),
(D30-C30)/ABS(C30)
)</f>
        <v>-0.21985477919295321</v>
      </c>
      <c r="D31" s="242"/>
      <c r="F31" s="241">
        <f>IF(F30=0,
IF(G30=0,0,IF(G30&gt;0,1,-1)),
(G30-F30)/ABS(F30)
)</f>
        <v>0.1335178139052231</v>
      </c>
      <c r="G31" s="242"/>
    </row>
    <row r="32" spans="2:7" x14ac:dyDescent="0.2">
      <c r="B32" s="20" t="s">
        <v>380</v>
      </c>
      <c r="C32" s="197">
        <f>Statement!Z181</f>
        <v>9138</v>
      </c>
      <c r="D32" s="195">
        <f>Statement!AA181</f>
        <v>8871</v>
      </c>
      <c r="F32" s="197">
        <f>Statement!W181</f>
        <v>7673</v>
      </c>
      <c r="G32" s="195">
        <f>Statement!AA181</f>
        <v>8871</v>
      </c>
    </row>
    <row r="33" spans="2:7" x14ac:dyDescent="0.2">
      <c r="B33" s="203" t="s">
        <v>314</v>
      </c>
      <c r="C33" s="241">
        <f>IF(C32=0,
IF(D32=0,0,IF(D32&gt;0,1,-1)),
(D32-C32)/ABS(C32)
)</f>
        <v>-2.9218647406434668E-2</v>
      </c>
      <c r="D33" s="242"/>
      <c r="F33" s="241">
        <f>IF(F32=0,
IF(G32=0,0,IF(G32&gt;0,1,-1)),
(G32-F32)/ABS(F32)
)</f>
        <v>0.15613189104652678</v>
      </c>
      <c r="G33" s="242"/>
    </row>
    <row r="35" spans="2:7" x14ac:dyDescent="0.2">
      <c r="B35" s="227" t="s">
        <v>381</v>
      </c>
      <c r="C35" s="197">
        <f>Statement!Z183</f>
        <v>56994</v>
      </c>
      <c r="D35" s="228">
        <f>Statement!AA183</f>
        <v>54252</v>
      </c>
      <c r="F35" s="197">
        <f>Statement!W183</f>
        <v>44582</v>
      </c>
      <c r="G35" s="228">
        <f>Statement!AA183</f>
        <v>54252</v>
      </c>
    </row>
    <row r="36" spans="2:7" x14ac:dyDescent="0.2">
      <c r="B36" s="203" t="s">
        <v>314</v>
      </c>
      <c r="C36" s="241">
        <f>IF(C35=0,
IF(D35=0,0,IF(D35&gt;0,1,-1)),
(D35-C35)/ABS(C35)
)</f>
        <v>-4.8110327402884512E-2</v>
      </c>
      <c r="D36" s="242"/>
      <c r="F36" s="241">
        <f>IF(F35=0,
IF(G35=0,0,IF(G35&gt;0,1,-1)),
(G35-F35)/ABS(F35)
)</f>
        <v>0.21690368310080302</v>
      </c>
      <c r="G36" s="242"/>
    </row>
    <row r="37" spans="2:7" x14ac:dyDescent="0.2">
      <c r="B37" s="227" t="s">
        <v>382</v>
      </c>
      <c r="C37" s="197">
        <f>Statement!Z184</f>
        <v>8399</v>
      </c>
      <c r="D37" s="228">
        <f>Statement!AA184</f>
        <v>10352</v>
      </c>
      <c r="F37" s="197">
        <f>Statement!W184</f>
        <v>8046</v>
      </c>
      <c r="G37" s="228">
        <f>Statement!AA184</f>
        <v>10352</v>
      </c>
    </row>
    <row r="38" spans="2:7" x14ac:dyDescent="0.2">
      <c r="B38" s="203" t="s">
        <v>314</v>
      </c>
      <c r="C38" s="241">
        <f>IF(C37=0,
IF(D37=0,0,IF(D37&gt;0,1,-1)),
(D37-C37)/ABS(C37)
)</f>
        <v>0.23252768186688891</v>
      </c>
      <c r="D38" s="242"/>
      <c r="F38" s="241">
        <f>IF(F37=0,
IF(G37=0,0,IF(G37&gt;0,1,-1)),
(G37-F37)/ABS(F37)
)</f>
        <v>0.28660203827989061</v>
      </c>
      <c r="G38" s="242"/>
    </row>
    <row r="39" spans="2:7" x14ac:dyDescent="0.2">
      <c r="B39" s="227" t="s">
        <v>383</v>
      </c>
      <c r="C39" s="197">
        <f>Statement!Z185</f>
        <v>6914</v>
      </c>
      <c r="D39" s="228">
        <f>Statement!AA185</f>
        <v>6191</v>
      </c>
      <c r="F39" s="197">
        <f>Statement!W185</f>
        <v>6581</v>
      </c>
      <c r="G39" s="228">
        <f>Statement!AA185</f>
        <v>6191</v>
      </c>
    </row>
    <row r="40" spans="2:7" x14ac:dyDescent="0.2">
      <c r="B40" s="203" t="s">
        <v>314</v>
      </c>
      <c r="C40" s="241">
        <f>IF(C39=0,
IF(D39=0,0,IF(D39&gt;0,1,-1)),
(D39-C39)/ABS(C39)
)</f>
        <v>-0.10457043679490888</v>
      </c>
      <c r="D40" s="242"/>
      <c r="F40" s="241">
        <f>IF(F39=0,
IF(G39=0,0,IF(G39&gt;0,1,-1)),
(G39-F39)/ABS(F39)
)</f>
        <v>-5.9261510408752466E-2</v>
      </c>
      <c r="G40" s="242"/>
    </row>
    <row r="41" spans="2:7" x14ac:dyDescent="0.2">
      <c r="B41" s="227" t="s">
        <v>384</v>
      </c>
      <c r="C41" s="197">
        <f>Statement!Z186</f>
        <v>7901</v>
      </c>
      <c r="D41" s="228">
        <f>Statement!AA186</f>
        <v>7883</v>
      </c>
      <c r="F41" s="197">
        <f>Statement!W186</f>
        <v>7404</v>
      </c>
      <c r="G41" s="228">
        <f>Statement!AA186</f>
        <v>7883</v>
      </c>
    </row>
    <row r="42" spans="2:7" x14ac:dyDescent="0.2">
      <c r="B42" s="203" t="s">
        <v>314</v>
      </c>
      <c r="C42" s="241">
        <f>IF(C41=0,
IF(D41=0,0,IF(D41&gt;0,1,-1)),
(D41-C41)/ABS(C41)
)</f>
        <v>-2.2781926338438173E-3</v>
      </c>
      <c r="D42" s="242"/>
      <c r="F42" s="241">
        <f>IF(F41=0,
IF(G41=0,0,IF(G41&gt;0,1,-1)),
(G41-F41)/ABS(F41)
)</f>
        <v>6.4694759589411135E-2</v>
      </c>
      <c r="G42" s="242"/>
    </row>
    <row r="43" spans="2:7" x14ac:dyDescent="0.2">
      <c r="B43" s="227" t="s">
        <v>362</v>
      </c>
      <c r="C43" s="197">
        <f>Statement!Z187</f>
        <v>30976</v>
      </c>
      <c r="D43" s="228">
        <f>Statement!AA187</f>
        <v>30739</v>
      </c>
      <c r="F43" s="197">
        <f>Statement!W187</f>
        <v>27423</v>
      </c>
      <c r="G43" s="228">
        <f>Statement!AA187</f>
        <v>30739</v>
      </c>
    </row>
    <row r="44" spans="2:7" x14ac:dyDescent="0.2">
      <c r="B44" s="203" t="s">
        <v>314</v>
      </c>
      <c r="C44" s="241">
        <f>IF(C43=0,
IF(D43=0,0,IF(D43&gt;0,1,-1)),
(D43-C43)/ABS(C43)
)</f>
        <v>-7.6510847107438013E-3</v>
      </c>
      <c r="D44" s="242"/>
      <c r="F44" s="241">
        <f>IF(F43=0,
IF(G43=0,0,IF(G43&gt;0,1,-1)),
(G43-F43)/ABS(F43)
)</f>
        <v>0.12092039528862633</v>
      </c>
      <c r="G44" s="242"/>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260</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261</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385</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386</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387</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388</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396</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389</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390</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391</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392</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393</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5">
        <f>Statement!H121</f>
        <v>0</v>
      </c>
      <c r="D82" s="215">
        <f>Statement!I121</f>
        <v>0</v>
      </c>
      <c r="E82" s="215">
        <f>Statement!J121</f>
        <v>0</v>
      </c>
      <c r="F82" s="215">
        <f>Statement!K121</f>
        <v>0</v>
      </c>
      <c r="G82" s="215">
        <f>Statement!L121</f>
        <v>0</v>
      </c>
      <c r="H82" s="215">
        <f>Statement!M121</f>
        <v>0.26974205275183616</v>
      </c>
      <c r="I82" s="215">
        <f>Statement!N121</f>
        <v>0.28292440929256846</v>
      </c>
      <c r="J82" s="215">
        <f>Statement!O121</f>
        <v>0.2750983456377647</v>
      </c>
      <c r="K82" s="215">
        <f>Statement!P121</f>
        <v>0.25682503150857577</v>
      </c>
      <c r="L82" s="215">
        <f>Statement!Q121</f>
        <v>0.31179625933565486</v>
      </c>
    </row>
    <row r="83" spans="2:12" x14ac:dyDescent="0.2">
      <c r="B83" s="20" t="s">
        <v>101</v>
      </c>
      <c r="C83" s="215">
        <f>Statement!H123</f>
        <v>0</v>
      </c>
      <c r="D83" s="215">
        <f>Statement!I123</f>
        <v>0</v>
      </c>
      <c r="E83" s="215">
        <f>Statement!J123</f>
        <v>0</v>
      </c>
      <c r="F83" s="215">
        <f>Statement!K123</f>
        <v>0</v>
      </c>
      <c r="G83" s="215">
        <f>Statement!L123</f>
        <v>0</v>
      </c>
      <c r="H83" s="215">
        <f>Statement!M123</f>
        <v>1.5007132667617686</v>
      </c>
      <c r="I83" s="215">
        <f>Statement!N123</f>
        <v>1.9695887275023678</v>
      </c>
      <c r="J83" s="215">
        <f>Statement!O123</f>
        <v>1.5607601454639075</v>
      </c>
      <c r="K83" s="215">
        <f>Statement!P123</f>
        <v>1.6459350307287091</v>
      </c>
      <c r="L83" s="215">
        <f>Statement!Q123</f>
        <v>1.5191298333175103</v>
      </c>
    </row>
    <row r="84" spans="2:12" x14ac:dyDescent="0.2">
      <c r="B84" s="20" t="s">
        <v>102</v>
      </c>
      <c r="C84" s="215">
        <f>Statement!H130</f>
        <v>0</v>
      </c>
      <c r="D84" s="215">
        <f>Statement!I130</f>
        <v>0</v>
      </c>
      <c r="E84" s="215">
        <f>Statement!J130</f>
        <v>0</v>
      </c>
      <c r="F84" s="215">
        <f>Statement!K130</f>
        <v>0</v>
      </c>
      <c r="G84" s="215">
        <f>Statement!L130</f>
        <v>0</v>
      </c>
      <c r="H84" s="215">
        <f>Statement!M130</f>
        <v>-34.893357899142124</v>
      </c>
      <c r="I84" s="215">
        <f>Statement!N130</f>
        <v>61.325292339444864</v>
      </c>
      <c r="J84" s="215">
        <f>Statement!O130</f>
        <v>8.7540939978097523</v>
      </c>
      <c r="K84" s="215">
        <f>Statement!P130</f>
        <v>13.498600849775102</v>
      </c>
      <c r="L84" s="215">
        <f>Statement!Q130</f>
        <v>2.8091291441706971</v>
      </c>
    </row>
    <row r="85" spans="2:12" x14ac:dyDescent="0.2">
      <c r="B85" s="20" t="s">
        <v>350</v>
      </c>
      <c r="C85" s="223">
        <f>Statement!H209</f>
        <v>0</v>
      </c>
      <c r="D85" s="223">
        <f>Statement!I209</f>
        <v>0</v>
      </c>
      <c r="E85" s="223">
        <f>Statement!J209</f>
        <v>0</v>
      </c>
      <c r="F85" s="223">
        <f>Statement!K209</f>
        <v>0</v>
      </c>
      <c r="G85" s="223">
        <f>Statement!L209</f>
        <v>0</v>
      </c>
      <c r="H85" s="223">
        <f>Statement!M209</f>
        <v>100</v>
      </c>
      <c r="I85" s="223">
        <f>Statement!N209</f>
        <v>102.38905526817317</v>
      </c>
      <c r="J85" s="223">
        <f>Statement!O209</f>
        <v>116.53280696977947</v>
      </c>
      <c r="K85" s="223">
        <f>Statement!P209</f>
        <v>155.04356112169887</v>
      </c>
      <c r="L85" s="223">
        <f>Statement!Q209</f>
        <v>173.87693983120067</v>
      </c>
    </row>
    <row r="86" spans="2:12" x14ac:dyDescent="0.2">
      <c r="B86" s="20" t="s">
        <v>351</v>
      </c>
      <c r="C86" s="223">
        <f>Statement!H210</f>
        <v>0</v>
      </c>
      <c r="D86" s="223">
        <f>Statement!I210</f>
        <v>0</v>
      </c>
      <c r="E86" s="223">
        <f>Statement!J210</f>
        <v>0</v>
      </c>
      <c r="F86" s="223">
        <f>Statement!K210</f>
        <v>0</v>
      </c>
      <c r="G86" s="223">
        <f>Statement!L210</f>
        <v>0</v>
      </c>
      <c r="H86" s="223">
        <f>Statement!M210</f>
        <v>100</v>
      </c>
      <c r="I86" s="223">
        <f>Statement!N210</f>
        <v>107.79378760418462</v>
      </c>
      <c r="J86" s="223">
        <f>Statement!O210</f>
        <v>104.77506512819249</v>
      </c>
      <c r="K86" s="223">
        <f>Statement!P210</f>
        <v>106.89361073979613</v>
      </c>
      <c r="L86" s="223">
        <f>Statement!Q210</f>
        <v>113.76207229297708</v>
      </c>
    </row>
    <row r="87" spans="2:12" x14ac:dyDescent="0.2">
      <c r="B87" s="20" t="s">
        <v>352</v>
      </c>
      <c r="C87" s="223">
        <f>Statement!H211</f>
        <v>0</v>
      </c>
      <c r="D87" s="223">
        <f>Statement!I211</f>
        <v>0</v>
      </c>
      <c r="E87" s="223">
        <f>Statement!J211</f>
        <v>0</v>
      </c>
      <c r="F87" s="223">
        <f>Statement!K211</f>
        <v>0</v>
      </c>
      <c r="G87" s="223">
        <f>Statement!L211</f>
        <v>0</v>
      </c>
      <c r="H87" s="223">
        <f>Statement!M211</f>
        <v>100</v>
      </c>
      <c r="I87" s="223">
        <f>Statement!N211</f>
        <v>108.9126559714795</v>
      </c>
      <c r="J87" s="223">
        <f>Statement!O211</f>
        <v>109.26916221033866</v>
      </c>
      <c r="K87" s="223">
        <f>Statement!P211</f>
        <v>108.37789661319073</v>
      </c>
      <c r="L87" s="223">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385</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386</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387</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388</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394</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389</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390</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391</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395</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393</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260</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40" t="s">
        <v>110</v>
      </c>
      <c r="D2" s="240"/>
      <c r="E2" s="240"/>
      <c r="F2" s="240"/>
      <c r="G2" s="249"/>
      <c r="H2" s="250" t="s">
        <v>111</v>
      </c>
      <c r="I2" s="240"/>
      <c r="J2" s="240"/>
      <c r="K2" s="240"/>
      <c r="L2" s="240"/>
      <c r="O2" s="5"/>
      <c r="S2" s="240" t="s">
        <v>110</v>
      </c>
      <c r="T2" s="240"/>
      <c r="U2" s="240"/>
      <c r="V2" s="240"/>
      <c r="W2" s="240"/>
      <c r="X2" s="240"/>
      <c r="Y2" s="240"/>
      <c r="Z2" s="240"/>
      <c r="AA2" s="240" t="s">
        <v>111</v>
      </c>
      <c r="AB2" s="240"/>
      <c r="AC2" s="240"/>
      <c r="AE2" s="85" t="s">
        <v>112</v>
      </c>
    </row>
    <row r="3" spans="1:31" ht="10" customHeight="1" x14ac:dyDescent="0.2">
      <c r="O3" s="5"/>
    </row>
    <row r="4" spans="1:31" ht="16" customHeight="1" x14ac:dyDescent="0.2">
      <c r="A4" s="86"/>
      <c r="B4" s="60"/>
      <c r="C4" s="246" t="s">
        <v>113</v>
      </c>
      <c r="D4" s="246"/>
      <c r="E4" s="246"/>
      <c r="F4" s="246"/>
      <c r="G4" s="246"/>
      <c r="H4" s="246"/>
      <c r="I4" s="246"/>
      <c r="J4" s="246"/>
      <c r="K4" s="246"/>
      <c r="L4" s="246"/>
      <c r="O4" s="5"/>
      <c r="S4" s="247" t="s">
        <v>113</v>
      </c>
      <c r="T4" s="248"/>
      <c r="U4" s="248"/>
      <c r="V4" s="248"/>
      <c r="W4" s="248"/>
      <c r="X4" s="248"/>
      <c r="Y4" s="248"/>
      <c r="Z4" s="248"/>
      <c r="AA4" s="248"/>
      <c r="AB4" s="248"/>
      <c r="AC4" s="248"/>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397</v>
      </c>
      <c r="O6" s="5"/>
      <c r="Q6" s="90" t="s">
        <v>397</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398</v>
      </c>
      <c r="O7" s="5"/>
      <c r="Q7" s="90" t="s">
        <v>398</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399</v>
      </c>
      <c r="O8" s="5"/>
      <c r="Q8" s="90" t="s">
        <v>399</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400</v>
      </c>
      <c r="O9" s="5"/>
      <c r="Q9" s="90" t="s">
        <v>400</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364</v>
      </c>
      <c r="O10" s="5"/>
      <c r="Q10" s="90" t="s">
        <v>364</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46" t="s">
        <v>119</v>
      </c>
      <c r="D13" s="246"/>
      <c r="E13" s="246"/>
      <c r="F13" s="246"/>
      <c r="G13" s="246"/>
      <c r="H13" s="246"/>
      <c r="I13" s="246"/>
      <c r="J13" s="246"/>
      <c r="K13" s="246"/>
      <c r="L13" s="246"/>
      <c r="O13" s="5"/>
      <c r="Q13" s="91"/>
      <c r="S13" s="247" t="s">
        <v>119</v>
      </c>
      <c r="T13" s="248"/>
      <c r="U13" s="248"/>
      <c r="V13" s="248"/>
      <c r="W13" s="248"/>
      <c r="X13" s="248"/>
      <c r="Y13" s="248"/>
      <c r="Z13" s="248"/>
      <c r="AA13" s="248"/>
      <c r="AB13" s="248"/>
      <c r="AC13" s="248"/>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40" t="s">
        <v>110</v>
      </c>
      <c r="D2" s="240"/>
      <c r="E2" s="240"/>
      <c r="F2" s="240"/>
      <c r="G2" s="249"/>
      <c r="H2" s="250" t="s">
        <v>111</v>
      </c>
      <c r="I2" s="240"/>
      <c r="J2" s="240"/>
      <c r="K2" s="240"/>
      <c r="L2" s="240"/>
      <c r="P2" s="240" t="s">
        <v>110</v>
      </c>
      <c r="Q2" s="240"/>
      <c r="R2" s="240"/>
      <c r="S2" s="240"/>
      <c r="T2" s="240"/>
      <c r="U2" s="240"/>
      <c r="V2" s="240"/>
      <c r="W2" s="240"/>
      <c r="X2" s="240" t="s">
        <v>111</v>
      </c>
      <c r="Y2" s="240"/>
      <c r="Z2" s="240"/>
      <c r="AB2" s="85" t="s">
        <v>112</v>
      </c>
    </row>
    <row r="3" spans="1:28" ht="10" customHeight="1" x14ac:dyDescent="0.2"/>
    <row r="4" spans="1:28" ht="16" customHeight="1" x14ac:dyDescent="0.2">
      <c r="A4" s="86"/>
      <c r="B4" s="60"/>
      <c r="C4" s="246" t="s">
        <v>113</v>
      </c>
      <c r="D4" s="246"/>
      <c r="E4" s="246"/>
      <c r="F4" s="246"/>
      <c r="G4" s="246"/>
      <c r="H4" s="246"/>
      <c r="I4" s="246"/>
      <c r="J4" s="246"/>
      <c r="K4" s="246"/>
      <c r="L4" s="246"/>
      <c r="P4" s="248" t="s">
        <v>113</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46" t="s">
        <v>122</v>
      </c>
      <c r="D9" s="246"/>
      <c r="E9" s="246"/>
      <c r="F9" s="246"/>
      <c r="G9" s="246"/>
      <c r="H9" s="246"/>
      <c r="I9" s="246"/>
      <c r="J9" s="246"/>
      <c r="K9" s="246"/>
      <c r="L9" s="246"/>
      <c r="N9" s="91"/>
      <c r="P9" s="248" t="s">
        <v>123</v>
      </c>
      <c r="Q9" s="248"/>
      <c r="R9" s="248"/>
      <c r="S9" s="248"/>
      <c r="T9" s="248"/>
      <c r="U9" s="248"/>
      <c r="V9" s="248"/>
      <c r="W9" s="248"/>
      <c r="X9" s="248"/>
      <c r="Y9" s="248"/>
      <c r="Z9" s="248"/>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46" t="s">
        <v>125</v>
      </c>
      <c r="D17" s="246"/>
      <c r="E17" s="246"/>
      <c r="F17" s="246"/>
      <c r="G17" s="246"/>
      <c r="H17" s="246"/>
      <c r="I17" s="246"/>
      <c r="J17" s="246"/>
      <c r="K17" s="246"/>
      <c r="L17" s="246"/>
      <c r="P17" s="248" t="s">
        <v>125</v>
      </c>
      <c r="Q17" s="248"/>
      <c r="R17" s="248"/>
      <c r="S17" s="248"/>
      <c r="T17" s="248"/>
      <c r="U17" s="248"/>
      <c r="V17" s="248"/>
      <c r="W17" s="248"/>
      <c r="X17" s="248"/>
      <c r="Y17" s="248"/>
      <c r="Z17" s="248"/>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40" t="s">
        <v>110</v>
      </c>
      <c r="D3" s="240"/>
      <c r="E3" s="240"/>
      <c r="F3" s="240"/>
      <c r="G3" s="249"/>
      <c r="H3" s="250" t="s">
        <v>111</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113</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129</v>
      </c>
      <c r="D11" s="246"/>
      <c r="E11" s="246"/>
      <c r="F11" s="246"/>
      <c r="G11" s="246"/>
      <c r="H11" s="246"/>
      <c r="I11" s="246"/>
      <c r="J11" s="246"/>
      <c r="K11" s="246"/>
      <c r="L11" s="246"/>
      <c r="N11" s="91"/>
      <c r="P11" s="251"/>
      <c r="Q11" s="251"/>
      <c r="R11" s="251"/>
      <c r="S11" s="251"/>
      <c r="T11" s="251"/>
      <c r="U11" s="251"/>
      <c r="V11" s="251"/>
      <c r="W11" s="251"/>
      <c r="X11" s="251"/>
      <c r="Y11" s="251"/>
      <c r="Z11" s="251"/>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46" t="s">
        <v>134</v>
      </c>
      <c r="D18" s="246"/>
      <c r="E18" s="246"/>
      <c r="F18" s="246"/>
      <c r="G18" s="246"/>
      <c r="H18" s="246"/>
      <c r="I18" s="246"/>
      <c r="J18" s="246"/>
      <c r="K18" s="246"/>
      <c r="L18" s="246"/>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1"/>
      <c r="C25" s="251"/>
    </row>
    <row r="26" spans="2:12" x14ac:dyDescent="0.2">
      <c r="B26" s="109"/>
      <c r="C26" s="246" t="s">
        <v>140</v>
      </c>
      <c r="D26" s="246"/>
      <c r="E26" s="246"/>
      <c r="F26" s="246"/>
      <c r="G26" s="246"/>
      <c r="H26" s="246"/>
      <c r="I26" s="246"/>
      <c r="J26" s="246"/>
      <c r="K26" s="246"/>
      <c r="L26" s="246"/>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46" t="s">
        <v>144</v>
      </c>
      <c r="D33" s="246"/>
      <c r="E33" s="246"/>
      <c r="F33" s="246"/>
      <c r="G33" s="246"/>
      <c r="H33" s="246"/>
      <c r="I33" s="246"/>
      <c r="J33" s="246"/>
      <c r="K33" s="246"/>
      <c r="L33" s="246"/>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6" t="s">
        <v>147</v>
      </c>
      <c r="D40" s="246"/>
      <c r="E40" s="246"/>
      <c r="F40" s="246"/>
      <c r="G40" s="246"/>
      <c r="H40" s="246"/>
      <c r="I40" s="246"/>
      <c r="J40" s="246"/>
      <c r="K40" s="246"/>
      <c r="L40" s="246"/>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5"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40" t="s">
        <v>110</v>
      </c>
      <c r="D2" s="240"/>
      <c r="E2" s="240"/>
      <c r="F2" s="240"/>
      <c r="G2" s="249"/>
      <c r="H2" s="250" t="s">
        <v>111</v>
      </c>
      <c r="I2" s="240"/>
      <c r="J2" s="240"/>
      <c r="K2" s="240"/>
      <c r="L2" s="240"/>
      <c r="S2" s="251"/>
      <c r="T2" s="251"/>
      <c r="U2" s="251"/>
      <c r="V2" s="251"/>
      <c r="W2" s="251"/>
      <c r="X2" s="251"/>
      <c r="Y2" s="251"/>
      <c r="Z2" s="251"/>
      <c r="AA2" s="251"/>
      <c r="AB2" s="251"/>
      <c r="AC2" s="251"/>
      <c r="AE2" s="109"/>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46" t="s">
        <v>155</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6" t="s">
        <v>156</v>
      </c>
      <c r="D18" s="246"/>
      <c r="E18" s="246"/>
      <c r="F18" s="246"/>
      <c r="G18" s="246"/>
      <c r="H18" s="246"/>
      <c r="I18" s="246"/>
      <c r="J18" s="246"/>
      <c r="K18" s="246"/>
      <c r="L18" s="246"/>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46" t="s">
        <v>261</v>
      </c>
      <c r="D25" s="246"/>
      <c r="E25" s="246"/>
      <c r="F25" s="246"/>
      <c r="G25" s="246"/>
      <c r="H25" s="246"/>
      <c r="I25" s="246"/>
      <c r="J25" s="246"/>
      <c r="K25" s="246"/>
      <c r="L25" s="246"/>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123441.68016702225</v>
      </c>
      <c r="D27" s="126">
        <f t="shared" ref="D27:L27" si="6">D10*(1-D15)</f>
        <v>138791.12290202596</v>
      </c>
      <c r="E27" s="126">
        <f t="shared" si="6"/>
        <v>131125.1633343884</v>
      </c>
      <c r="F27" s="126">
        <f t="shared" si="6"/>
        <v>152900.19471190832</v>
      </c>
      <c r="G27" s="131">
        <f t="shared" si="6"/>
        <v>153819.10810749725</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261</v>
      </c>
      <c r="C28" s="94">
        <f>C27+C20-C21+C22</f>
        <v>118729.68016702225</v>
      </c>
      <c r="D28" s="94">
        <f t="shared" ref="D28:L28" si="7">D27+D20-D21+D22</f>
        <v>140387.12290202596</v>
      </c>
      <c r="E28" s="94">
        <f t="shared" si="7"/>
        <v>125108.1633343884</v>
      </c>
      <c r="F28" s="94">
        <f t="shared" si="7"/>
        <v>158549.19471190832</v>
      </c>
      <c r="G28" s="127">
        <f t="shared" si="7"/>
        <v>127802.10810749725</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46" t="s">
        <v>75</v>
      </c>
      <c r="D31" s="246"/>
      <c r="E31" s="246"/>
      <c r="F31" s="246"/>
      <c r="G31" s="246"/>
      <c r="H31" s="246"/>
      <c r="I31" s="246"/>
      <c r="J31" s="246"/>
      <c r="K31" s="246"/>
      <c r="L31" s="246"/>
    </row>
    <row r="32" spans="2:14" x14ac:dyDescent="0.2">
      <c r="B32" s="16" t="s">
        <v>334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3">
        <f>H8/H6</f>
        <v>0.47199999999999998</v>
      </c>
      <c r="I33" s="213">
        <f t="shared" ref="I33:L33" si="9">I8/I6</f>
        <v>0.47500000000000003</v>
      </c>
      <c r="J33" s="213">
        <f t="shared" si="9"/>
        <v>0.47900000000000004</v>
      </c>
      <c r="K33" s="213">
        <f t="shared" si="9"/>
        <v>0.48</v>
      </c>
      <c r="L33" s="213">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3">
        <f>H10/H6</f>
        <v>0.316</v>
      </c>
      <c r="I34" s="213">
        <f t="shared" ref="I34:L34" si="10">I10/I6</f>
        <v>0.316</v>
      </c>
      <c r="J34" s="213">
        <f t="shared" si="10"/>
        <v>0.315</v>
      </c>
      <c r="K34" s="213">
        <f t="shared" si="10"/>
        <v>0.31</v>
      </c>
      <c r="L34" s="213">
        <f t="shared" si="10"/>
        <v>0.31699999999999995</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40" t="s">
        <v>163</v>
      </c>
      <c r="C4" s="240"/>
    </row>
    <row r="5" spans="1:3" ht="17" customHeight="1" x14ac:dyDescent="0.2">
      <c r="B5" s="1" t="s">
        <v>164</v>
      </c>
      <c r="C5" s="136">
        <f>Statement!AC77</f>
        <v>14653</v>
      </c>
    </row>
    <row r="6" spans="1:3" ht="17" customHeight="1" x14ac:dyDescent="0.2">
      <c r="B6" s="1" t="s">
        <v>1</v>
      </c>
      <c r="C6" s="133">
        <f ca="1">Overview!C5</f>
        <v>306.43</v>
      </c>
    </row>
    <row r="7" spans="1:3" ht="17" customHeight="1" x14ac:dyDescent="0.2">
      <c r="B7" s="1" t="s">
        <v>165</v>
      </c>
      <c r="C7" s="134">
        <f ca="1">C5*C6</f>
        <v>4490118.79</v>
      </c>
    </row>
    <row r="8" spans="1:3" ht="17" customHeight="1" x14ac:dyDescent="0.2">
      <c r="B8" s="1" t="s">
        <v>166</v>
      </c>
      <c r="C8" s="112">
        <f>Statement!AC106</f>
        <v>84344</v>
      </c>
    </row>
    <row r="9" spans="1:3" ht="17" customHeight="1" x14ac:dyDescent="0.2">
      <c r="B9" s="1" t="s">
        <v>167</v>
      </c>
      <c r="C9" s="135">
        <f ca="1">Overview!F27</f>
        <v>4.7450000000000006E-2</v>
      </c>
    </row>
    <row r="10" spans="1:3" ht="17" customHeight="1" x14ac:dyDescent="0.2">
      <c r="B10" s="1" t="s">
        <v>9</v>
      </c>
      <c r="C10" s="133">
        <f ca="1">Overview!C13</f>
        <v>1.0871999999999999</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40" t="s">
        <v>170</v>
      </c>
      <c r="C15" s="240"/>
    </row>
    <row r="16" spans="1:3" ht="17" customHeight="1" x14ac:dyDescent="0.2">
      <c r="B16" s="1" t="s">
        <v>171</v>
      </c>
      <c r="C16" s="46">
        <f ca="1">C8/(C8+C7)</f>
        <v>1.8438012040316542E-2</v>
      </c>
    </row>
    <row r="17" spans="2:3" ht="17" customHeight="1" x14ac:dyDescent="0.2">
      <c r="B17" s="1" t="s">
        <v>172</v>
      </c>
      <c r="C17" s="46">
        <f ca="1">C7/(C8+C7)</f>
        <v>0.98156198795968341</v>
      </c>
    </row>
    <row r="18" spans="2:3" ht="17" customHeight="1" x14ac:dyDescent="0.2">
      <c r="B18" s="1" t="s">
        <v>173</v>
      </c>
      <c r="C18" s="46">
        <f>C13*(1-C12)</f>
        <v>3.8710000000000001E-2</v>
      </c>
    </row>
    <row r="19" spans="2:3" ht="17" customHeight="1" x14ac:dyDescent="0.2">
      <c r="B19" s="1" t="s">
        <v>174</v>
      </c>
      <c r="C19" s="46">
        <f ca="1">C9+C10*C11</f>
        <v>9.6374000000000001E-2</v>
      </c>
    </row>
    <row r="20" spans="2:3" ht="17" customHeight="1" x14ac:dyDescent="0.2">
      <c r="B20" s="1" t="s">
        <v>162</v>
      </c>
      <c r="C20" s="46">
        <f ca="1">(C17*C19)+(C16*C18)</f>
        <v>9.5310790473707177E-2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40" t="s">
        <v>110</v>
      </c>
      <c r="D3" s="240"/>
      <c r="E3" s="240"/>
      <c r="F3" s="240"/>
      <c r="G3" s="249"/>
      <c r="H3" s="250" t="s">
        <v>111</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177</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1924752.4523841157</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100755.89211968763</v>
      </c>
      <c r="I10" s="126">
        <f t="shared" ref="I10:L10" ca="1" si="0">I7/(1+$C$15)^I9</f>
        <v>97733.690766624029</v>
      </c>
      <c r="J10" s="126">
        <f t="shared" ca="1" si="0"/>
        <v>94278.868017741144</v>
      </c>
      <c r="K10" s="126">
        <f t="shared" ca="1" si="0"/>
        <v>90528.51766144103</v>
      </c>
      <c r="L10" s="126">
        <f t="shared" ca="1" si="0"/>
        <v>90145.714471358457</v>
      </c>
      <c r="N10" s="91"/>
    </row>
    <row r="11" spans="1:28" x14ac:dyDescent="0.2">
      <c r="B11" s="1" t="s">
        <v>180</v>
      </c>
      <c r="C11" s="137"/>
      <c r="D11" s="137"/>
      <c r="E11" s="137"/>
      <c r="F11" s="137"/>
      <c r="G11" s="138"/>
      <c r="H11" s="137"/>
      <c r="I11" s="137"/>
      <c r="J11" s="137"/>
      <c r="K11" s="137"/>
      <c r="L11" s="126">
        <f ca="1">L8/(1+C15)^L9</f>
        <v>1220922.3695890848</v>
      </c>
    </row>
    <row r="13" spans="1:28" x14ac:dyDescent="0.2">
      <c r="B13" s="240" t="s">
        <v>181</v>
      </c>
      <c r="C13" s="240"/>
    </row>
    <row r="14" spans="1:28" x14ac:dyDescent="0.2">
      <c r="B14" s="1" t="s">
        <v>182</v>
      </c>
      <c r="C14" s="140">
        <v>0.02</v>
      </c>
    </row>
    <row r="15" spans="1:28" x14ac:dyDescent="0.2">
      <c r="B15" s="1" t="s">
        <v>162</v>
      </c>
      <c r="C15" s="135">
        <f ca="1">IF(Overview!C28&gt;0,Overview!C28,WACC!C20)</f>
        <v>9.5310790473707177E-2</v>
      </c>
    </row>
    <row r="18" spans="2:3" x14ac:dyDescent="0.2">
      <c r="B18" s="240" t="s">
        <v>183</v>
      </c>
      <c r="C18" s="240"/>
    </row>
    <row r="19" spans="2:3" x14ac:dyDescent="0.2">
      <c r="B19" s="1" t="s">
        <v>184</v>
      </c>
      <c r="C19" s="64">
        <f ca="1">SUM(H10:L10)</f>
        <v>473442.68303685228</v>
      </c>
    </row>
    <row r="20" spans="2:3" x14ac:dyDescent="0.2">
      <c r="B20" s="1" t="s">
        <v>180</v>
      </c>
      <c r="C20" s="64">
        <f ca="1">L11</f>
        <v>1220922.3695890848</v>
      </c>
    </row>
    <row r="21" spans="2:3" x14ac:dyDescent="0.2">
      <c r="B21" s="16" t="s">
        <v>185</v>
      </c>
      <c r="C21" s="94">
        <f ca="1">C19+C20</f>
        <v>1694365.0526259369</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1756538.0526259369</v>
      </c>
    </row>
    <row r="25" spans="2:3" x14ac:dyDescent="0.2">
      <c r="B25" s="1" t="s">
        <v>67</v>
      </c>
      <c r="C25" s="88">
        <f>Statement!AC77</f>
        <v>14653</v>
      </c>
    </row>
    <row r="26" spans="2:3" x14ac:dyDescent="0.2">
      <c r="B26" s="141" t="s">
        <v>189</v>
      </c>
      <c r="C26" s="142">
        <f ca="1">C24/C25</f>
        <v>119.87566045355469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5"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40" t="s">
        <v>110</v>
      </c>
      <c r="D2" s="240"/>
      <c r="E2" s="240"/>
      <c r="F2" s="240"/>
      <c r="G2" s="249"/>
      <c r="H2" s="250" t="s">
        <v>111</v>
      </c>
      <c r="I2" s="240"/>
      <c r="J2" s="240"/>
      <c r="K2" s="240"/>
      <c r="L2" s="240"/>
    </row>
    <row r="3" spans="1:14" ht="10" customHeight="1" x14ac:dyDescent="0.2"/>
    <row r="4" spans="1:14" ht="16" customHeight="1" x14ac:dyDescent="0.2">
      <c r="A4" s="86"/>
      <c r="B4" s="60"/>
      <c r="C4" s="246" t="s">
        <v>191</v>
      </c>
      <c r="D4" s="246"/>
      <c r="E4" s="246"/>
      <c r="F4" s="246"/>
      <c r="G4" s="246"/>
      <c r="H4" s="246"/>
      <c r="I4" s="246"/>
      <c r="J4" s="246"/>
      <c r="K4" s="246"/>
      <c r="L4" s="246"/>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261</v>
      </c>
      <c r="C8" s="92">
        <f>'FCF &amp; Other'!C28</f>
        <v>118729.68016702225</v>
      </c>
      <c r="D8" s="92">
        <f>'FCF &amp; Other'!D28</f>
        <v>140387.12290202596</v>
      </c>
      <c r="E8" s="92">
        <f>'FCF &amp; Other'!E28</f>
        <v>125108.1633343884</v>
      </c>
      <c r="F8" s="92">
        <f>'FCF &amp; Other'!F28</f>
        <v>158549.19471190832</v>
      </c>
      <c r="G8" s="93">
        <f>'FCF &amp; Other'!G28</f>
        <v>127802.10810749725</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N9" s="91"/>
    </row>
    <row r="10" spans="1:14" x14ac:dyDescent="0.2">
      <c r="C10" s="246" t="s">
        <v>119</v>
      </c>
      <c r="D10" s="246"/>
      <c r="E10" s="246"/>
      <c r="F10" s="246"/>
      <c r="G10" s="246"/>
      <c r="H10" s="246"/>
      <c r="I10" s="246"/>
      <c r="J10" s="246"/>
      <c r="K10" s="246"/>
      <c r="L10" s="246"/>
      <c r="N10" s="91"/>
    </row>
    <row r="11" spans="1:14" x14ac:dyDescent="0.2">
      <c r="B11" s="16" t="s">
        <v>192</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7.7937876041846058E-2</v>
      </c>
      <c r="E12" s="95">
        <f t="shared" ref="E12:L12" si="1">(E6-D6)/D6</f>
        <v>-2.8004605303199367E-2</v>
      </c>
      <c r="F12" s="95">
        <f t="shared" si="1"/>
        <v>2.0219940775141214E-2</v>
      </c>
      <c r="G12" s="96">
        <f t="shared" si="1"/>
        <v>6.4255117828327393E-2</v>
      </c>
      <c r="H12" s="95">
        <f t="shared" si="1"/>
        <v>0.13610842918966448</v>
      </c>
      <c r="I12" s="95">
        <f t="shared" si="1"/>
        <v>7.5171840543995436E-2</v>
      </c>
      <c r="J12" s="95">
        <f t="shared" si="1"/>
        <v>6.4980505861335358E-2</v>
      </c>
      <c r="K12" s="95">
        <f t="shared" si="1"/>
        <v>6.6716128162055494E-2</v>
      </c>
      <c r="L12" s="95">
        <f t="shared" si="1"/>
        <v>6.5849857295734948E-2</v>
      </c>
      <c r="N12" s="91"/>
    </row>
    <row r="13" spans="1:14" x14ac:dyDescent="0.2">
      <c r="B13" s="1" t="s">
        <v>154</v>
      </c>
      <c r="C13" s="137"/>
      <c r="D13" s="95">
        <f>IF(C7=0,
IF(D7=0,0,IF(D7&gt;0,1,-1)),
(D7-C7)/ABS(C7)
)</f>
        <v>9.6265225013538444E-2</v>
      </c>
      <c r="E13" s="95">
        <f t="shared" ref="E13:L13" si="2">IF(D7=0,
IF(E7=0,0,IF(E7&gt;0,1,-1)),
(E7-D7)/ABS(D7)
)</f>
        <v>-4.3001749876503931E-2</v>
      </c>
      <c r="F13" s="95">
        <f t="shared" si="2"/>
        <v>7.799581805933456E-2</v>
      </c>
      <c r="G13" s="96">
        <f t="shared" si="2"/>
        <v>7.9811063498246987E-2</v>
      </c>
      <c r="H13" s="95">
        <f t="shared" si="2"/>
        <v>0.12293175738444193</v>
      </c>
      <c r="I13" s="95">
        <f t="shared" si="2"/>
        <v>7.5171840543995283E-2</v>
      </c>
      <c r="J13" s="95">
        <f t="shared" si="2"/>
        <v>6.1610314387090706E-2</v>
      </c>
      <c r="K13" s="95">
        <f t="shared" si="2"/>
        <v>4.9784126127737097E-2</v>
      </c>
      <c r="L13" s="95">
        <f t="shared" si="2"/>
        <v>8.9917434718541703E-2</v>
      </c>
      <c r="N13" s="91"/>
    </row>
    <row r="14" spans="1:14" x14ac:dyDescent="0.2">
      <c r="B14" s="1" t="s">
        <v>261</v>
      </c>
      <c r="C14" s="137"/>
      <c r="D14" s="95">
        <f>IF(C8=0,
IF(D8=0,0,IF(D8&gt;0,1,-1)),
(D8-C8)/ABS(C8)
)</f>
        <v>0.18240967805638186</v>
      </c>
      <c r="E14" s="95">
        <f t="shared" ref="E14:L14" si="3">IF(D8=0,
IF(E8=0,0,IF(E8&gt;0,1,-1)),
(E8-D8)/ABS(D8)
)</f>
        <v>-0.10883448034119564</v>
      </c>
      <c r="F14" s="95">
        <f t="shared" si="3"/>
        <v>0.26729695717887658</v>
      </c>
      <c r="G14" s="96">
        <f t="shared" si="3"/>
        <v>-0.19392773744628625</v>
      </c>
      <c r="H14" s="95">
        <f t="shared" si="3"/>
        <v>-0.13648516854140494</v>
      </c>
      <c r="I14" s="95">
        <f t="shared" si="3"/>
        <v>6.2456634916605247E-2</v>
      </c>
      <c r="J14" s="95">
        <f t="shared" si="3"/>
        <v>5.6592262539860431E-2</v>
      </c>
      <c r="K14" s="95">
        <f t="shared" si="3"/>
        <v>5.1740059304773163E-2</v>
      </c>
      <c r="L14" s="95">
        <f t="shared" si="3"/>
        <v>9.0679228226181324E-2</v>
      </c>
      <c r="N14" s="91"/>
    </row>
    <row r="15" spans="1:14" x14ac:dyDescent="0.2">
      <c r="N15" s="91"/>
    </row>
    <row r="16" spans="1:14" x14ac:dyDescent="0.2">
      <c r="C16" s="246" t="s">
        <v>193</v>
      </c>
      <c r="D16" s="246"/>
      <c r="E16" s="246"/>
      <c r="F16" s="246"/>
      <c r="G16" s="246"/>
      <c r="H16" s="246"/>
      <c r="I16" s="246"/>
      <c r="J16" s="246"/>
      <c r="K16" s="246"/>
      <c r="L16" s="246"/>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194</v>
      </c>
      <c r="C18" s="100">
        <f>Statement!M21</f>
        <v>16865</v>
      </c>
      <c r="D18" s="100">
        <f>Statement!N21</f>
        <v>16326</v>
      </c>
      <c r="E18" s="100">
        <f>Statement!O21</f>
        <v>15813</v>
      </c>
      <c r="F18" s="100">
        <f>Statement!P21</f>
        <v>15408</v>
      </c>
      <c r="G18" s="101">
        <f>Statement!Q21</f>
        <v>15005</v>
      </c>
      <c r="H18" s="143">
        <f>G18*(1+H19)</f>
        <v>14629.875</v>
      </c>
      <c r="I18" s="143">
        <f t="shared" ref="I18:L18" si="5">H18*(1+I19)</f>
        <v>14264.128124999999</v>
      </c>
      <c r="J18" s="143">
        <f t="shared" si="5"/>
        <v>13921.789049999999</v>
      </c>
      <c r="K18" s="143">
        <f t="shared" si="5"/>
        <v>13601.58790185</v>
      </c>
      <c r="L18" s="143">
        <f t="shared" si="5"/>
        <v>13302.3529680093</v>
      </c>
      <c r="N18" s="91"/>
    </row>
    <row r="19" spans="2:14" x14ac:dyDescent="0.2">
      <c r="B19" s="1" t="s">
        <v>195</v>
      </c>
      <c r="C19" s="137"/>
      <c r="D19" s="230">
        <f>D18/C18-1</f>
        <v>-3.1959679810257935E-2</v>
      </c>
      <c r="E19" s="230">
        <f t="shared" ref="E19:G19" si="6">E18/D18-1</f>
        <v>-3.1422271223814802E-2</v>
      </c>
      <c r="F19" s="230">
        <f t="shared" si="6"/>
        <v>-2.5611838360842354E-2</v>
      </c>
      <c r="G19" s="231">
        <f t="shared" si="6"/>
        <v>-2.6155244029075764E-2</v>
      </c>
      <c r="H19" s="229">
        <v>-2.5000000000000001E-2</v>
      </c>
      <c r="I19" s="165">
        <v>-2.5000000000000001E-2</v>
      </c>
      <c r="J19" s="165">
        <v>-2.4E-2</v>
      </c>
      <c r="K19" s="165">
        <v>-2.3E-2</v>
      </c>
      <c r="L19" s="165">
        <v>-2.1999999999999999E-2</v>
      </c>
      <c r="N19" s="91"/>
    </row>
    <row r="20" spans="2:14" x14ac:dyDescent="0.2">
      <c r="N20" s="91"/>
    </row>
    <row r="21" spans="2:14" x14ac:dyDescent="0.2">
      <c r="C21" s="246" t="s">
        <v>196</v>
      </c>
      <c r="D21" s="246"/>
      <c r="E21" s="246"/>
      <c r="F21" s="246"/>
      <c r="G21" s="246"/>
      <c r="H21" s="246"/>
      <c r="I21" s="246"/>
      <c r="J21" s="246"/>
      <c r="K21" s="246"/>
      <c r="L21" s="246"/>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146.91999999999999</v>
      </c>
      <c r="D23" s="144">
        <f>Statement!N114</f>
        <v>150.43</v>
      </c>
      <c r="E23" s="144">
        <f>Statement!O114</f>
        <v>171.21</v>
      </c>
      <c r="F23" s="144">
        <f>Statement!P114</f>
        <v>227.79</v>
      </c>
      <c r="G23" s="145">
        <f>Statement!Q114</f>
        <v>255.46</v>
      </c>
      <c r="H23" s="137"/>
      <c r="I23" s="137"/>
      <c r="J23" s="137"/>
      <c r="K23" s="137"/>
      <c r="L23" s="137"/>
      <c r="N23" s="91"/>
    </row>
    <row r="24" spans="2:14" x14ac:dyDescent="0.2">
      <c r="N24" s="91"/>
    </row>
    <row r="25" spans="2:14" x14ac:dyDescent="0.2">
      <c r="N25" s="91"/>
    </row>
    <row r="26" spans="2:14" x14ac:dyDescent="0.2">
      <c r="C26" s="246" t="s">
        <v>197</v>
      </c>
      <c r="D26" s="246"/>
      <c r="E26" s="246"/>
      <c r="F26" s="246"/>
      <c r="G26" s="246"/>
      <c r="H26" s="246"/>
      <c r="I26" s="246"/>
      <c r="J26" s="246"/>
      <c r="K26" s="246"/>
      <c r="L26" s="246"/>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198</v>
      </c>
      <c r="C28" s="146">
        <f>C23/(C6/C18)</f>
        <v>6.7733478761238537</v>
      </c>
      <c r="D28" s="146">
        <f t="shared" ref="D28:G28" si="9">D23/(D6/D18)</f>
        <v>6.2281151224361446</v>
      </c>
      <c r="E28" s="146">
        <f t="shared" si="9"/>
        <v>7.0635264359419239</v>
      </c>
      <c r="F28" s="146">
        <f t="shared" si="9"/>
        <v>8.9756372703210712</v>
      </c>
      <c r="G28" s="147">
        <f t="shared" si="9"/>
        <v>9.2108037514327386</v>
      </c>
      <c r="H28" s="137"/>
      <c r="I28" s="137"/>
      <c r="J28" s="137"/>
      <c r="K28" s="137"/>
      <c r="L28" s="137"/>
      <c r="N28" s="91"/>
    </row>
    <row r="29" spans="2:14" x14ac:dyDescent="0.2">
      <c r="B29" s="1" t="s">
        <v>199</v>
      </c>
      <c r="C29" s="143">
        <f>C23*C18</f>
        <v>2477805.7999999998</v>
      </c>
      <c r="D29" s="143">
        <f t="shared" ref="D29:G29" si="10">D23*D18</f>
        <v>2455920.1800000002</v>
      </c>
      <c r="E29" s="143">
        <f t="shared" si="10"/>
        <v>2707343.73</v>
      </c>
      <c r="F29" s="143">
        <f t="shared" si="10"/>
        <v>3509788.32</v>
      </c>
      <c r="G29" s="148">
        <f t="shared" si="10"/>
        <v>3833177.3000000003</v>
      </c>
      <c r="H29" s="137"/>
      <c r="I29" s="137"/>
      <c r="J29" s="137"/>
      <c r="K29" s="137"/>
      <c r="L29" s="137"/>
      <c r="N29" s="91"/>
    </row>
    <row r="30" spans="2:14" x14ac:dyDescent="0.2">
      <c r="B30" s="1" t="s">
        <v>166</v>
      </c>
      <c r="C30" s="88">
        <f>Statement!M106</f>
        <v>124719</v>
      </c>
      <c r="D30" s="149">
        <f>Statement!N106</f>
        <v>120069</v>
      </c>
      <c r="E30" s="149">
        <f>Statement!O106</f>
        <v>111088</v>
      </c>
      <c r="F30" s="149">
        <f>Statement!P106</f>
        <v>106629</v>
      </c>
      <c r="G30" s="150">
        <f>Statement!Q106</f>
        <v>98657</v>
      </c>
      <c r="H30" s="137"/>
      <c r="I30" s="137"/>
      <c r="J30" s="137"/>
      <c r="K30" s="137"/>
      <c r="L30" s="137"/>
      <c r="N30" s="91"/>
    </row>
    <row r="31" spans="2:14" x14ac:dyDescent="0.2">
      <c r="B31" s="1" t="s">
        <v>175</v>
      </c>
      <c r="C31" s="149">
        <f>Statement!M105</f>
        <v>190516</v>
      </c>
      <c r="D31" s="149">
        <f>Statement!N105</f>
        <v>169109</v>
      </c>
      <c r="E31" s="149">
        <f>Statement!O105</f>
        <v>162099</v>
      </c>
      <c r="F31" s="149">
        <f>Statement!P105</f>
        <v>156650</v>
      </c>
      <c r="G31" s="150">
        <f>Statement!Q105</f>
        <v>132420</v>
      </c>
      <c r="H31" s="137"/>
      <c r="I31" s="137"/>
      <c r="J31" s="137"/>
      <c r="K31" s="137"/>
      <c r="L31" s="137"/>
      <c r="N31" s="91"/>
    </row>
    <row r="32" spans="2:14" x14ac:dyDescent="0.2">
      <c r="B32" s="1" t="s">
        <v>200</v>
      </c>
      <c r="C32" s="143">
        <f>C29+C30-C31</f>
        <v>2412008.7999999998</v>
      </c>
      <c r="D32" s="143">
        <f t="shared" ref="D32:G32" si="11">D29+D30-D31</f>
        <v>2406880.1800000002</v>
      </c>
      <c r="E32" s="143">
        <f t="shared" si="11"/>
        <v>2656332.73</v>
      </c>
      <c r="F32" s="143">
        <f t="shared" si="11"/>
        <v>3459767.32</v>
      </c>
      <c r="G32" s="148">
        <f t="shared" si="11"/>
        <v>3799414.3000000003</v>
      </c>
      <c r="H32" s="137"/>
      <c r="I32" s="137"/>
      <c r="J32" s="137"/>
      <c r="K32" s="137"/>
      <c r="L32" s="137"/>
      <c r="N32" s="91"/>
    </row>
    <row r="33" spans="2:14" x14ac:dyDescent="0.2">
      <c r="B33" s="16" t="s">
        <v>201</v>
      </c>
      <c r="C33" s="146">
        <f>C32/C7</f>
        <v>22.138879659290126</v>
      </c>
      <c r="D33" s="146">
        <f t="shared" ref="D33:G33" si="12">D32/D7</f>
        <v>20.151880740474059</v>
      </c>
      <c r="E33" s="146">
        <f t="shared" si="12"/>
        <v>23.23980306384021</v>
      </c>
      <c r="F33" s="146">
        <f t="shared" si="12"/>
        <v>28.078880340215555</v>
      </c>
      <c r="G33" s="147">
        <f t="shared" si="12"/>
        <v>28.556289364900415</v>
      </c>
      <c r="H33" s="137"/>
      <c r="I33" s="137"/>
      <c r="J33" s="137"/>
      <c r="K33" s="137"/>
      <c r="L33" s="137"/>
      <c r="N33" s="91"/>
    </row>
    <row r="34" spans="2:14" x14ac:dyDescent="0.2">
      <c r="B34" s="16" t="s">
        <v>320</v>
      </c>
      <c r="C34" s="146">
        <f>C32/C8</f>
        <v>20.315129263440458</v>
      </c>
      <c r="D34" s="146">
        <f t="shared" ref="D34:G34" si="13">D32/D8</f>
        <v>17.144593679576474</v>
      </c>
      <c r="E34" s="146">
        <f t="shared" si="13"/>
        <v>21.23228939825588</v>
      </c>
      <c r="F34" s="146">
        <f t="shared" si="13"/>
        <v>21.821412125659592</v>
      </c>
      <c r="G34" s="147">
        <f t="shared" si="13"/>
        <v>29.728885980536621</v>
      </c>
      <c r="H34" s="137"/>
      <c r="I34" s="137"/>
      <c r="J34" s="137"/>
      <c r="K34" s="137"/>
      <c r="L34" s="137"/>
      <c r="N34" s="91"/>
    </row>
    <row r="35" spans="2:14" x14ac:dyDescent="0.2">
      <c r="N35" s="91"/>
    </row>
    <row r="36" spans="2:14" x14ac:dyDescent="0.2">
      <c r="N36" s="91"/>
    </row>
    <row r="37" spans="2:14" x14ac:dyDescent="0.2">
      <c r="B37" s="240" t="s">
        <v>202</v>
      </c>
      <c r="C37" s="240"/>
      <c r="N37" s="91"/>
    </row>
    <row r="38" spans="2:14" x14ac:dyDescent="0.2">
      <c r="B38" s="1" t="s">
        <v>203</v>
      </c>
      <c r="C38" s="64">
        <f>L7</f>
        <v>195121.37831632962</v>
      </c>
    </row>
    <row r="39" spans="2:14" x14ac:dyDescent="0.2">
      <c r="B39" s="1" t="s">
        <v>162</v>
      </c>
      <c r="C39" s="135">
        <f ca="1">IF(Overview!C28&gt;0,Overview!C28,WACC!C20)</f>
        <v>9.5310790473707177E-2</v>
      </c>
    </row>
    <row r="40" spans="2:14" x14ac:dyDescent="0.2">
      <c r="B40" s="39" t="s">
        <v>204</v>
      </c>
      <c r="C40" s="105">
        <v>23</v>
      </c>
    </row>
    <row r="41" spans="2:14" x14ac:dyDescent="0.2">
      <c r="B41" s="1" t="s">
        <v>200</v>
      </c>
      <c r="C41" s="24">
        <f>(C38*C40)</f>
        <v>4487791.7012755815</v>
      </c>
    </row>
    <row r="42" spans="2:14" x14ac:dyDescent="0.2">
      <c r="B42" s="1" t="s">
        <v>347</v>
      </c>
      <c r="C42" s="24">
        <f ca="1">C41/(1+C39)^5-G30+G31</f>
        <v>2880490.2616573032</v>
      </c>
    </row>
    <row r="43" spans="2:14" x14ac:dyDescent="0.2">
      <c r="B43" s="1" t="s">
        <v>186</v>
      </c>
      <c r="C43" s="88">
        <f>Statement!AC105</f>
        <v>146517</v>
      </c>
    </row>
    <row r="44" spans="2:14" x14ac:dyDescent="0.2">
      <c r="B44" s="1" t="s">
        <v>187</v>
      </c>
      <c r="C44" s="88">
        <f>Statement!AC106</f>
        <v>84344</v>
      </c>
    </row>
    <row r="45" spans="2:14" x14ac:dyDescent="0.2">
      <c r="B45" s="1" t="s">
        <v>188</v>
      </c>
      <c r="C45" s="64">
        <f ca="1">C42+C43-C44</f>
        <v>2942663.2616573032</v>
      </c>
    </row>
    <row r="46" spans="2:14" x14ac:dyDescent="0.2">
      <c r="B46" s="1" t="s">
        <v>67</v>
      </c>
      <c r="C46" s="88">
        <f>Statement!AC77</f>
        <v>14653</v>
      </c>
    </row>
    <row r="47" spans="2:14" x14ac:dyDescent="0.2">
      <c r="B47" s="141" t="s">
        <v>206</v>
      </c>
      <c r="C47" s="142">
        <f ca="1">C45/C46</f>
        <v>200.82326224372505</v>
      </c>
    </row>
    <row r="49" spans="2:3" x14ac:dyDescent="0.2">
      <c r="B49" s="240" t="s">
        <v>207</v>
      </c>
      <c r="C49" s="240"/>
    </row>
    <row r="50" spans="2:3" x14ac:dyDescent="0.2">
      <c r="B50" s="1" t="s">
        <v>208</v>
      </c>
      <c r="C50" s="64">
        <f>L6</f>
        <v>615524.85273290111</v>
      </c>
    </row>
    <row r="51" spans="2:3" x14ac:dyDescent="0.2">
      <c r="B51" s="1" t="s">
        <v>346</v>
      </c>
      <c r="C51" s="135">
        <f ca="1">IF(Overview!C29&gt;0,Overview!C29,WACC!C19)</f>
        <v>9.6374000000000001E-2</v>
      </c>
    </row>
    <row r="52" spans="2:3" x14ac:dyDescent="0.2">
      <c r="B52" s="39" t="s">
        <v>209</v>
      </c>
      <c r="C52" s="105">
        <v>5</v>
      </c>
    </row>
    <row r="53" spans="2:3" x14ac:dyDescent="0.2">
      <c r="B53" s="1" t="s">
        <v>205</v>
      </c>
      <c r="C53" s="24">
        <f>L18</f>
        <v>13302.3529680093</v>
      </c>
    </row>
    <row r="54" spans="2:3" x14ac:dyDescent="0.2">
      <c r="B54" s="1" t="s">
        <v>189</v>
      </c>
      <c r="C54" s="24">
        <f>(C50*C52)/C53</f>
        <v>231.35938965578904</v>
      </c>
    </row>
    <row r="55" spans="2:3" x14ac:dyDescent="0.2">
      <c r="B55" s="141" t="s">
        <v>206</v>
      </c>
      <c r="C55" s="142">
        <f ca="1">C54/(1+C51)^5</f>
        <v>146.04728584664926</v>
      </c>
    </row>
    <row r="57" spans="2:3" x14ac:dyDescent="0.2">
      <c r="B57" s="240" t="s">
        <v>321</v>
      </c>
      <c r="C57" s="240"/>
    </row>
    <row r="58" spans="2:3" x14ac:dyDescent="0.2">
      <c r="B58" s="1" t="s">
        <v>210</v>
      </c>
      <c r="C58" s="64">
        <f>L8</f>
        <v>142112.38103456292</v>
      </c>
    </row>
    <row r="59" spans="2:3" x14ac:dyDescent="0.2">
      <c r="B59" s="1" t="s">
        <v>162</v>
      </c>
      <c r="C59" s="135">
        <f ca="1">IF(Overview!C28&gt;0,Overview!C28,WACC!C20)</f>
        <v>9.5310790473707177E-2</v>
      </c>
    </row>
    <row r="60" spans="2:3" x14ac:dyDescent="0.2">
      <c r="B60" s="39" t="s">
        <v>348</v>
      </c>
      <c r="C60" s="105">
        <v>20</v>
      </c>
    </row>
    <row r="61" spans="2:3" x14ac:dyDescent="0.2">
      <c r="B61" s="1" t="s">
        <v>200</v>
      </c>
      <c r="C61" s="24">
        <f>(C58*C60)</f>
        <v>2842247.6206912585</v>
      </c>
    </row>
    <row r="62" spans="2:3" x14ac:dyDescent="0.2">
      <c r="B62" s="1" t="s">
        <v>347</v>
      </c>
      <c r="C62" s="24">
        <f ca="1">C61/(1+C59)^5-G30+G31</f>
        <v>1836677.2894271691</v>
      </c>
    </row>
    <row r="63" spans="2:3" x14ac:dyDescent="0.2">
      <c r="B63" s="1" t="s">
        <v>186</v>
      </c>
      <c r="C63" s="88">
        <f>Statement!AC105</f>
        <v>146517</v>
      </c>
    </row>
    <row r="64" spans="2:3" x14ac:dyDescent="0.2">
      <c r="B64" s="1" t="s">
        <v>187</v>
      </c>
      <c r="C64" s="88">
        <f>Statement!AC106</f>
        <v>84344</v>
      </c>
    </row>
    <row r="65" spans="2:3" x14ac:dyDescent="0.2">
      <c r="B65" s="1" t="s">
        <v>188</v>
      </c>
      <c r="C65" s="64">
        <f ca="1">C62+C63-C64</f>
        <v>1898850.2894271691</v>
      </c>
    </row>
    <row r="66" spans="2:3" x14ac:dyDescent="0.2">
      <c r="B66" s="1" t="s">
        <v>67</v>
      </c>
      <c r="C66" s="88">
        <f>Statement!AC77</f>
        <v>14653</v>
      </c>
    </row>
    <row r="67" spans="2:3" x14ac:dyDescent="0.2">
      <c r="B67" s="141" t="s">
        <v>206</v>
      </c>
      <c r="C67" s="142">
        <f ca="1">C65/C66</f>
        <v>129.58781747267926</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211</v>
      </c>
    </row>
    <row r="2" spans="1:14" x14ac:dyDescent="0.2">
      <c r="N2" s="91"/>
    </row>
    <row r="3" spans="1:14" x14ac:dyDescent="0.2">
      <c r="N3" s="91"/>
    </row>
    <row r="4" spans="1:14" x14ac:dyDescent="0.2">
      <c r="B4" s="240" t="s">
        <v>212</v>
      </c>
      <c r="C4" s="240"/>
      <c r="N4" s="91"/>
    </row>
    <row r="5" spans="1:14" x14ac:dyDescent="0.2">
      <c r="B5" s="1" t="s">
        <v>213</v>
      </c>
      <c r="C5" s="133">
        <f ca="1">DCF!C26</f>
        <v>119.87566045355469</v>
      </c>
    </row>
    <row r="6" spans="1:14" x14ac:dyDescent="0.2">
      <c r="B6" s="1" t="s">
        <v>214</v>
      </c>
      <c r="C6" s="133">
        <f ca="1">Multiples!C47</f>
        <v>200.82326224372505</v>
      </c>
    </row>
    <row r="7" spans="1:14" x14ac:dyDescent="0.2">
      <c r="B7" s="1" t="s">
        <v>215</v>
      </c>
      <c r="C7" s="133">
        <f ca="1">Multiples!C55</f>
        <v>146.04728584664926</v>
      </c>
    </row>
    <row r="8" spans="1:14" x14ac:dyDescent="0.2">
      <c r="B8" s="1" t="s">
        <v>322</v>
      </c>
      <c r="C8" s="133">
        <f ca="1">Multiples!C67</f>
        <v>129.58781747267926</v>
      </c>
    </row>
    <row r="9" spans="1:14" x14ac:dyDescent="0.2">
      <c r="B9" s="141" t="s">
        <v>216</v>
      </c>
      <c r="C9" s="142">
        <f ca="1">AVERAGE(C5:C8)</f>
        <v>149.08350650415207</v>
      </c>
    </row>
    <row r="10" spans="1:14" x14ac:dyDescent="0.2">
      <c r="B10" s="1" t="s">
        <v>217</v>
      </c>
      <c r="C10" s="133">
        <f ca="1">Overview!C5</f>
        <v>306.43</v>
      </c>
    </row>
    <row r="11" spans="1:14" x14ac:dyDescent="0.2">
      <c r="B11" s="1" t="s">
        <v>218</v>
      </c>
      <c r="C11" s="151">
        <f ca="1">(C9-C10)/C10</f>
        <v>-0.51348266650082541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404</v>
      </c>
    </row>
    <row r="2" spans="1:14" x14ac:dyDescent="0.2">
      <c r="A2" s="4"/>
      <c r="C2" s="240" t="s">
        <v>110</v>
      </c>
      <c r="D2" s="240"/>
      <c r="E2" s="240"/>
      <c r="F2" s="240"/>
      <c r="G2" s="249"/>
      <c r="H2" s="250" t="s">
        <v>111</v>
      </c>
      <c r="I2" s="240"/>
      <c r="J2" s="240"/>
      <c r="K2" s="240"/>
      <c r="L2" s="240"/>
    </row>
    <row r="3" spans="1:14" ht="10" customHeight="1" x14ac:dyDescent="0.2"/>
    <row r="4" spans="1:14" ht="16" customHeight="1" x14ac:dyDescent="0.2">
      <c r="A4" s="86"/>
      <c r="B4" s="60"/>
      <c r="C4" s="246" t="s">
        <v>191</v>
      </c>
      <c r="D4" s="246"/>
      <c r="E4" s="246"/>
      <c r="F4" s="246"/>
      <c r="G4" s="246"/>
      <c r="H4" s="246"/>
      <c r="I4" s="246"/>
      <c r="J4" s="246"/>
      <c r="K4" s="246"/>
      <c r="L4" s="246"/>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32">
        <f>Statement!M25</f>
        <v>5.61</v>
      </c>
      <c r="D6" s="232">
        <f>Statement!N25</f>
        <v>6.11</v>
      </c>
      <c r="E6" s="232">
        <f>Statement!O25</f>
        <v>6.13</v>
      </c>
      <c r="F6" s="232">
        <f>Statement!P25</f>
        <v>6.08</v>
      </c>
      <c r="G6" s="233">
        <f>Statement!Q25</f>
        <v>7.46</v>
      </c>
      <c r="H6" s="137"/>
      <c r="I6" s="137"/>
      <c r="J6" s="137"/>
      <c r="K6" s="137"/>
      <c r="L6" s="137"/>
      <c r="N6" s="91"/>
    </row>
    <row r="7" spans="1:14" x14ac:dyDescent="0.2">
      <c r="B7" s="16" t="s">
        <v>405</v>
      </c>
      <c r="C7" s="232">
        <f>Statement!M81</f>
        <v>0.85</v>
      </c>
      <c r="D7" s="232">
        <f>Statement!N81</f>
        <v>0.9</v>
      </c>
      <c r="E7" s="232">
        <f>Statement!O81</f>
        <v>0.94</v>
      </c>
      <c r="F7" s="232">
        <f>Statement!P81</f>
        <v>0.98</v>
      </c>
      <c r="G7" s="233">
        <f>Statement!Q81</f>
        <v>1.02</v>
      </c>
      <c r="H7" s="137"/>
      <c r="I7" s="137"/>
      <c r="J7" s="137"/>
      <c r="K7" s="137"/>
      <c r="L7" s="137"/>
      <c r="N7" s="91"/>
    </row>
    <row r="8" spans="1:14" x14ac:dyDescent="0.2">
      <c r="N8" s="91"/>
    </row>
    <row r="9" spans="1:14" x14ac:dyDescent="0.2">
      <c r="C9" s="246" t="s">
        <v>119</v>
      </c>
      <c r="D9" s="246"/>
      <c r="E9" s="246"/>
      <c r="F9" s="246"/>
      <c r="G9" s="246"/>
      <c r="H9" s="246"/>
      <c r="I9" s="246"/>
      <c r="J9" s="246"/>
      <c r="K9" s="246"/>
      <c r="L9" s="246"/>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243</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46" t="s">
        <v>406</v>
      </c>
      <c r="D14" s="246"/>
      <c r="E14" s="246"/>
      <c r="F14" s="246"/>
      <c r="G14" s="246"/>
      <c r="H14" s="246"/>
      <c r="I14" s="246"/>
      <c r="J14" s="246"/>
      <c r="K14" s="246"/>
      <c r="L14" s="246"/>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407</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40" t="s">
        <v>408</v>
      </c>
      <c r="C20" s="240"/>
      <c r="N20" s="91"/>
    </row>
    <row r="21" spans="2:14" x14ac:dyDescent="0.2">
      <c r="B21" s="1" t="s">
        <v>409</v>
      </c>
      <c r="C21" s="234">
        <f>G7</f>
        <v>1.02</v>
      </c>
    </row>
    <row r="22" spans="2:14" x14ac:dyDescent="0.2">
      <c r="B22" s="1" t="s">
        <v>410</v>
      </c>
      <c r="C22" s="235">
        <v>0.04</v>
      </c>
    </row>
    <row r="23" spans="2:14" x14ac:dyDescent="0.2">
      <c r="B23" s="39" t="s">
        <v>411</v>
      </c>
      <c r="C23" s="236">
        <f>C21*(1+C22)</f>
        <v>1.0608</v>
      </c>
    </row>
    <row r="24" spans="2:14" x14ac:dyDescent="0.2">
      <c r="B24" s="1" t="s">
        <v>346</v>
      </c>
      <c r="C24" s="135">
        <f ca="1">IF(Overview!C29&gt;0,Overview!C29,WACC!C19)</f>
        <v>9.6374000000000001E-2</v>
      </c>
    </row>
    <row r="25" spans="2:14" x14ac:dyDescent="0.2">
      <c r="B25" s="39" t="s">
        <v>412</v>
      </c>
      <c r="C25" s="235">
        <v>0.02</v>
      </c>
    </row>
    <row r="26" spans="2:14" x14ac:dyDescent="0.2">
      <c r="B26" s="141" t="s">
        <v>206</v>
      </c>
      <c r="C26" s="142">
        <f ca="1">C23/(C24-C25)</f>
        <v>13.889543561945164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219</v>
      </c>
    </row>
    <row r="2" spans="1:28" s="83" customFormat="1" ht="18" customHeight="1" x14ac:dyDescent="0.2">
      <c r="A2" s="4"/>
      <c r="B2" s="82"/>
    </row>
    <row r="3" spans="1:28" x14ac:dyDescent="0.2">
      <c r="A3" s="4"/>
      <c r="C3" s="240" t="s">
        <v>110</v>
      </c>
      <c r="D3" s="240"/>
      <c r="E3" s="240"/>
      <c r="F3" s="240"/>
      <c r="G3" s="249"/>
      <c r="H3" s="250" t="s">
        <v>111</v>
      </c>
      <c r="I3" s="240"/>
      <c r="J3" s="240"/>
      <c r="K3" s="240"/>
      <c r="L3" s="240"/>
      <c r="P3" s="251"/>
      <c r="Q3" s="251"/>
      <c r="R3" s="251"/>
      <c r="S3" s="251"/>
      <c r="T3" s="251"/>
      <c r="U3" s="251"/>
      <c r="V3" s="251"/>
      <c r="W3" s="251"/>
      <c r="X3" s="251"/>
      <c r="Y3" s="251"/>
      <c r="Z3" s="251"/>
      <c r="AB3" s="109"/>
    </row>
    <row r="4" spans="1:28" ht="10" customHeight="1" x14ac:dyDescent="0.2"/>
    <row r="5" spans="1:28" ht="16" customHeight="1" x14ac:dyDescent="0.2">
      <c r="A5" s="86"/>
      <c r="B5" s="60"/>
      <c r="C5" s="246" t="s">
        <v>177</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26">
        <f>G7*(1+$C$17)</f>
        <v>158474.61405329659</v>
      </c>
      <c r="I7" s="126">
        <f t="shared" ref="I7:L7" si="0">H7*(1+$C$17)</f>
        <v>196508.52142608777</v>
      </c>
      <c r="J7" s="126">
        <f t="shared" si="0"/>
        <v>243670.56656834882</v>
      </c>
      <c r="K7" s="126">
        <f t="shared" si="0"/>
        <v>302151.50254475255</v>
      </c>
      <c r="L7" s="126">
        <f t="shared" si="0"/>
        <v>374667.86315549316</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5074455.0417648954</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144684.609547906</v>
      </c>
      <c r="I10" s="126">
        <f t="shared" ref="I10:L10" ca="1" si="1">I7/(1+$C$21)^I9</f>
        <v>163797.26868372352</v>
      </c>
      <c r="J10" s="126">
        <f t="shared" ca="1" si="1"/>
        <v>185434.68660614165</v>
      </c>
      <c r="K10" s="126">
        <f t="shared" ca="1" si="1"/>
        <v>209930.38084849881</v>
      </c>
      <c r="L10" s="126">
        <f t="shared" ca="1" si="1"/>
        <v>237661.92620046806</v>
      </c>
      <c r="N10" s="91"/>
    </row>
    <row r="11" spans="1:28" x14ac:dyDescent="0.2">
      <c r="B11" s="1" t="s">
        <v>180</v>
      </c>
      <c r="C11" s="137"/>
      <c r="D11" s="137"/>
      <c r="E11" s="137"/>
      <c r="F11" s="137"/>
      <c r="G11" s="138"/>
      <c r="H11" s="137"/>
      <c r="I11" s="137"/>
      <c r="J11" s="137"/>
      <c r="K11" s="137"/>
      <c r="L11" s="126">
        <f ca="1">L8/(1+C21)^L9</f>
        <v>3218863.6342770886</v>
      </c>
    </row>
    <row r="13" spans="1:28" ht="17" thickBot="1" x14ac:dyDescent="0.25"/>
    <row r="14" spans="1:28" x14ac:dyDescent="0.2">
      <c r="B14" s="252" t="s">
        <v>220</v>
      </c>
      <c r="C14" s="253"/>
    </row>
    <row r="15" spans="1:28" x14ac:dyDescent="0.2">
      <c r="B15" s="152" t="s">
        <v>221</v>
      </c>
      <c r="C15" s="153">
        <f ca="1">Overview!C5</f>
        <v>306.43</v>
      </c>
    </row>
    <row r="16" spans="1:28" x14ac:dyDescent="0.2">
      <c r="B16" s="152" t="s">
        <v>222</v>
      </c>
      <c r="C16" s="153">
        <f ca="1">C36</f>
        <v>289.33435015512032</v>
      </c>
    </row>
    <row r="17" spans="2:9" ht="17" thickBot="1" x14ac:dyDescent="0.25">
      <c r="B17" s="154" t="s">
        <v>323</v>
      </c>
      <c r="C17" s="155">
        <v>0.24</v>
      </c>
      <c r="E17" s="254" t="s">
        <v>223</v>
      </c>
      <c r="F17" s="254"/>
      <c r="G17" s="254"/>
      <c r="H17" s="254"/>
      <c r="I17" s="254"/>
    </row>
    <row r="18" spans="2:9" ht="17" thickBot="1" x14ac:dyDescent="0.25"/>
    <row r="19" spans="2:9" x14ac:dyDescent="0.2">
      <c r="B19" s="252" t="s">
        <v>181</v>
      </c>
      <c r="C19" s="253"/>
    </row>
    <row r="20" spans="2:9" x14ac:dyDescent="0.2">
      <c r="B20" s="156" t="s">
        <v>182</v>
      </c>
      <c r="C20" s="157">
        <v>0.02</v>
      </c>
    </row>
    <row r="21" spans="2:9" x14ac:dyDescent="0.2">
      <c r="B21" s="156" t="s">
        <v>162</v>
      </c>
      <c r="C21" s="219">
        <f ca="1">IF(Overview!C28&gt;0,Overview!C28,WACC!C20)</f>
        <v>9.5310790473707177E-2</v>
      </c>
    </row>
    <row r="22" spans="2:9" x14ac:dyDescent="0.2">
      <c r="B22" s="156" t="s">
        <v>67</v>
      </c>
      <c r="C22" s="220">
        <f>Statement!AC74</f>
        <v>14594</v>
      </c>
    </row>
    <row r="23" spans="2:9" x14ac:dyDescent="0.2">
      <c r="B23" s="156" t="s">
        <v>224</v>
      </c>
      <c r="C23" s="158">
        <f ca="1">C15*C22</f>
        <v>4472039.42</v>
      </c>
    </row>
    <row r="24" spans="2:9" x14ac:dyDescent="0.2">
      <c r="B24" s="156" t="s">
        <v>175</v>
      </c>
      <c r="C24" s="220">
        <f>Statement!AC105</f>
        <v>146517</v>
      </c>
    </row>
    <row r="25" spans="2:9" x14ac:dyDescent="0.2">
      <c r="B25" s="156" t="s">
        <v>166</v>
      </c>
      <c r="C25" s="220">
        <f>Statement!AC106</f>
        <v>84344</v>
      </c>
    </row>
    <row r="26" spans="2:9" ht="17" thickBot="1" x14ac:dyDescent="0.25">
      <c r="B26" s="154" t="s">
        <v>225</v>
      </c>
      <c r="C26" s="159">
        <f ca="1">C23+C25-C24</f>
        <v>4409866.42</v>
      </c>
    </row>
    <row r="27" spans="2:9" ht="17" thickBot="1" x14ac:dyDescent="0.25"/>
    <row r="28" spans="2:9" x14ac:dyDescent="0.2">
      <c r="B28" s="252" t="s">
        <v>183</v>
      </c>
      <c r="C28" s="253"/>
    </row>
    <row r="29" spans="2:9" x14ac:dyDescent="0.2">
      <c r="B29" s="156" t="s">
        <v>184</v>
      </c>
      <c r="C29" s="158">
        <f ca="1">SUM(H10:L10)</f>
        <v>941508.87188673799</v>
      </c>
    </row>
    <row r="30" spans="2:9" x14ac:dyDescent="0.2">
      <c r="B30" s="156" t="s">
        <v>180</v>
      </c>
      <c r="C30" s="158">
        <f ca="1">L11</f>
        <v>3218863.6342770886</v>
      </c>
    </row>
    <row r="31" spans="2:9" x14ac:dyDescent="0.2">
      <c r="B31" s="160" t="s">
        <v>185</v>
      </c>
      <c r="C31" s="161">
        <f ca="1">C29+C30</f>
        <v>4160372.5061638267</v>
      </c>
    </row>
    <row r="32" spans="2:9" x14ac:dyDescent="0.2">
      <c r="B32" s="156" t="s">
        <v>186</v>
      </c>
      <c r="C32" s="162">
        <f>C24</f>
        <v>146517</v>
      </c>
    </row>
    <row r="33" spans="2:12" x14ac:dyDescent="0.2">
      <c r="B33" s="156" t="s">
        <v>187</v>
      </c>
      <c r="C33" s="162">
        <f>C25</f>
        <v>84344</v>
      </c>
    </row>
    <row r="34" spans="2:12" x14ac:dyDescent="0.2">
      <c r="B34" s="160" t="s">
        <v>188</v>
      </c>
      <c r="C34" s="161">
        <f ca="1">C31+C32-C33</f>
        <v>4222545.5061638262</v>
      </c>
    </row>
    <row r="35" spans="2:12" x14ac:dyDescent="0.2">
      <c r="B35" s="156" t="s">
        <v>67</v>
      </c>
      <c r="C35" s="158">
        <f>C22</f>
        <v>14594</v>
      </c>
    </row>
    <row r="36" spans="2:12" ht="17" thickBot="1" x14ac:dyDescent="0.25">
      <c r="B36" s="163" t="s">
        <v>189</v>
      </c>
      <c r="C36" s="164">
        <f ca="1">C34/C35</f>
        <v>289.33435015512032</v>
      </c>
    </row>
    <row r="39" spans="2:12" x14ac:dyDescent="0.2">
      <c r="C39" s="246" t="s">
        <v>226</v>
      </c>
      <c r="D39" s="246"/>
      <c r="E39" s="246"/>
      <c r="F39" s="246"/>
      <c r="G39" s="246"/>
      <c r="H39" s="246"/>
      <c r="I39" s="246"/>
      <c r="J39" s="246"/>
      <c r="K39" s="246"/>
      <c r="L39" s="246"/>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261</v>
      </c>
      <c r="C41" s="112">
        <f>C7</f>
        <v>118729.68016702225</v>
      </c>
      <c r="D41" s="112">
        <f t="shared" si="2"/>
        <v>140387.12290202596</v>
      </c>
      <c r="E41" s="112">
        <f t="shared" si="2"/>
        <v>125108.1633343884</v>
      </c>
      <c r="F41" s="112">
        <f t="shared" si="2"/>
        <v>158549.19471190832</v>
      </c>
      <c r="G41" s="113">
        <f t="shared" si="2"/>
        <v>127802.10810749725</v>
      </c>
      <c r="H41" s="143">
        <f t="shared" si="2"/>
        <v>158474.61405329659</v>
      </c>
      <c r="I41" s="143">
        <f t="shared" si="2"/>
        <v>196508.52142608777</v>
      </c>
      <c r="J41" s="143">
        <f t="shared" si="2"/>
        <v>243670.56656834882</v>
      </c>
      <c r="K41" s="143">
        <f t="shared" si="2"/>
        <v>302151.50254475255</v>
      </c>
      <c r="L41" s="143">
        <f t="shared" si="2"/>
        <v>374667.86315549316</v>
      </c>
    </row>
    <row r="42" spans="2:12" x14ac:dyDescent="0.2">
      <c r="B42" s="1" t="s">
        <v>154</v>
      </c>
      <c r="C42" s="112">
        <f>'FCF &amp; Other'!C10</f>
        <v>108949</v>
      </c>
      <c r="D42" s="112">
        <f>'FCF &amp; Other'!D10</f>
        <v>119437</v>
      </c>
      <c r="E42" s="112">
        <f>'FCF &amp; Other'!E10</f>
        <v>114301</v>
      </c>
      <c r="F42" s="112">
        <f>'FCF &amp; Other'!F10</f>
        <v>123216</v>
      </c>
      <c r="G42" s="113">
        <f>'FCF &amp; Other'!G10</f>
        <v>133050</v>
      </c>
      <c r="H42" s="143">
        <f>H41/H43</f>
        <v>144067.83095754235</v>
      </c>
      <c r="I42" s="143">
        <f t="shared" ref="I42:L42" si="3">I41/I43</f>
        <v>178644.1103873525</v>
      </c>
      <c r="J42" s="143">
        <f t="shared" si="3"/>
        <v>221518.69688031709</v>
      </c>
      <c r="K42" s="143">
        <f t="shared" si="3"/>
        <v>274683.18413159321</v>
      </c>
      <c r="L42" s="143">
        <f t="shared" si="3"/>
        <v>340607.14832317556</v>
      </c>
    </row>
    <row r="43" spans="2:12" x14ac:dyDescent="0.2">
      <c r="B43" s="122" t="s">
        <v>324</v>
      </c>
      <c r="C43" s="95">
        <f>C41/C42</f>
        <v>1.0897730145941886</v>
      </c>
      <c r="D43" s="95">
        <f t="shared" ref="D43:G43" si="4">D41/D42</f>
        <v>1.1754073101469893</v>
      </c>
      <c r="E43" s="95">
        <f t="shared" si="4"/>
        <v>1.0945500331089701</v>
      </c>
      <c r="F43" s="95">
        <f t="shared" si="4"/>
        <v>1.2867581703018141</v>
      </c>
      <c r="G43" s="96">
        <f t="shared" si="4"/>
        <v>0.96055699441937048</v>
      </c>
      <c r="H43" s="165">
        <v>1.1000000000000001</v>
      </c>
      <c r="I43" s="165">
        <v>1.1000000000000001</v>
      </c>
      <c r="J43" s="165">
        <v>1.1000000000000001</v>
      </c>
      <c r="K43" s="165">
        <v>1.1000000000000001</v>
      </c>
      <c r="L43" s="165">
        <v>1.1000000000000001</v>
      </c>
    </row>
    <row r="44" spans="2:12" x14ac:dyDescent="0.2">
      <c r="B44" s="1" t="s">
        <v>19</v>
      </c>
      <c r="C44" s="112">
        <f>Revenue!C11</f>
        <v>365817</v>
      </c>
      <c r="D44" s="112">
        <f>Revenue!D11</f>
        <v>394328</v>
      </c>
      <c r="E44" s="112">
        <f>Revenue!E11</f>
        <v>383285</v>
      </c>
      <c r="F44" s="112">
        <f>Revenue!F11</f>
        <v>391035</v>
      </c>
      <c r="G44" s="113">
        <f>Revenue!G11</f>
        <v>416161</v>
      </c>
      <c r="H44" s="143">
        <f>H41/H45</f>
        <v>528248.71351098863</v>
      </c>
      <c r="I44" s="143">
        <f t="shared" ref="I44:L44" si="5">I41/I45</f>
        <v>655028.40475362597</v>
      </c>
      <c r="J44" s="143">
        <f t="shared" si="5"/>
        <v>812235.22189449612</v>
      </c>
      <c r="K44" s="143">
        <f t="shared" si="5"/>
        <v>1007171.6751491752</v>
      </c>
      <c r="L44" s="143">
        <f t="shared" si="5"/>
        <v>1248892.8771849773</v>
      </c>
    </row>
    <row r="45" spans="2:12" x14ac:dyDescent="0.2">
      <c r="B45" s="122" t="s">
        <v>325</v>
      </c>
      <c r="C45" s="95">
        <f>C41/C44</f>
        <v>0.32456031339993013</v>
      </c>
      <c r="D45" s="95">
        <f t="shared" ref="D45:G45" si="6">D41/D44</f>
        <v>0.35601611577677966</v>
      </c>
      <c r="E45" s="95">
        <f t="shared" si="6"/>
        <v>0.32641027782039056</v>
      </c>
      <c r="F45" s="95">
        <f t="shared" si="6"/>
        <v>0.40546036726100815</v>
      </c>
      <c r="G45" s="96">
        <f t="shared" si="6"/>
        <v>0.30709775329138783</v>
      </c>
      <c r="H45" s="165">
        <v>0.3</v>
      </c>
      <c r="I45" s="165">
        <v>0.3</v>
      </c>
      <c r="J45" s="165">
        <v>0.3</v>
      </c>
      <c r="K45" s="165">
        <v>0.3</v>
      </c>
      <c r="L45" s="165">
        <v>0.3</v>
      </c>
    </row>
    <row r="46" spans="2:12" x14ac:dyDescent="0.2">
      <c r="B46" s="122" t="s">
        <v>326</v>
      </c>
      <c r="C46" s="137"/>
      <c r="D46" s="95">
        <f>D41/C41-1</f>
        <v>0.18240967805638175</v>
      </c>
      <c r="E46" s="95">
        <f t="shared" ref="E46:L47" si="7">E41/D41-1</f>
        <v>-0.10883448034119569</v>
      </c>
      <c r="F46" s="95">
        <f t="shared" si="7"/>
        <v>0.26729695717887658</v>
      </c>
      <c r="G46" s="96">
        <f t="shared" si="7"/>
        <v>-0.19392773744628622</v>
      </c>
      <c r="H46" s="166">
        <f t="shared" si="7"/>
        <v>0.24</v>
      </c>
      <c r="I46" s="166">
        <f t="shared" si="7"/>
        <v>0.24</v>
      </c>
      <c r="J46" s="166">
        <f t="shared" si="7"/>
        <v>0.24</v>
      </c>
      <c r="K46" s="166">
        <f t="shared" si="7"/>
        <v>0.24</v>
      </c>
      <c r="L46" s="166">
        <f t="shared" si="7"/>
        <v>0.24</v>
      </c>
    </row>
    <row r="47" spans="2:12" x14ac:dyDescent="0.2">
      <c r="B47" s="122" t="s">
        <v>227</v>
      </c>
      <c r="C47" s="137"/>
      <c r="D47" s="95">
        <f>D42/C42-1</f>
        <v>9.6265225013538513E-2</v>
      </c>
      <c r="E47" s="95">
        <f t="shared" si="7"/>
        <v>-4.3001749876503959E-2</v>
      </c>
      <c r="F47" s="95">
        <f t="shared" si="7"/>
        <v>7.7995818059334532E-2</v>
      </c>
      <c r="G47" s="96">
        <f t="shared" si="7"/>
        <v>7.9811063498246959E-2</v>
      </c>
      <c r="H47" s="166">
        <f t="shared" si="7"/>
        <v>8.2809702800017648E-2</v>
      </c>
      <c r="I47" s="166">
        <f t="shared" si="7"/>
        <v>0.24</v>
      </c>
      <c r="J47" s="166">
        <f t="shared" si="7"/>
        <v>0.24</v>
      </c>
      <c r="K47" s="166">
        <f t="shared" si="7"/>
        <v>0.24</v>
      </c>
      <c r="L47" s="166">
        <f t="shared" si="7"/>
        <v>0.24</v>
      </c>
    </row>
    <row r="48" spans="2:12" x14ac:dyDescent="0.2">
      <c r="B48" s="122" t="s">
        <v>228</v>
      </c>
      <c r="C48" s="137"/>
      <c r="D48" s="95">
        <f>D44/C44-1</f>
        <v>7.7937876041846099E-2</v>
      </c>
      <c r="E48" s="95">
        <f t="shared" ref="E48:L48" si="8">E44/D44-1</f>
        <v>-2.800460530319937E-2</v>
      </c>
      <c r="F48" s="95">
        <f t="shared" si="8"/>
        <v>2.021994077514111E-2</v>
      </c>
      <c r="G48" s="96">
        <f t="shared" si="8"/>
        <v>6.425511782832749E-2</v>
      </c>
      <c r="H48" s="166">
        <f t="shared" si="8"/>
        <v>0.26933738027106968</v>
      </c>
      <c r="I48" s="166">
        <f t="shared" si="8"/>
        <v>0.24000000000000021</v>
      </c>
      <c r="J48" s="166">
        <f t="shared" si="8"/>
        <v>0.23999999999999977</v>
      </c>
      <c r="K48" s="166">
        <f t="shared" si="8"/>
        <v>0.24</v>
      </c>
      <c r="L48" s="166">
        <f t="shared" si="8"/>
        <v>0.24</v>
      </c>
    </row>
    <row r="49" spans="2:12" x14ac:dyDescent="0.2">
      <c r="B49" s="122" t="s">
        <v>229</v>
      </c>
      <c r="C49" s="95">
        <f>C42/C44</f>
        <v>0.29782377527561593</v>
      </c>
      <c r="D49" s="95">
        <f t="shared" ref="D49:L49" si="9">D42/D44</f>
        <v>0.30288744395528594</v>
      </c>
      <c r="E49" s="95">
        <f t="shared" si="9"/>
        <v>0.29821412265024722</v>
      </c>
      <c r="F49" s="95">
        <f t="shared" si="9"/>
        <v>0.31510222870075566</v>
      </c>
      <c r="G49" s="96">
        <f t="shared" si="9"/>
        <v>0.31970799762591884</v>
      </c>
      <c r="H49" s="166">
        <f t="shared" si="9"/>
        <v>0.27272727272727271</v>
      </c>
      <c r="I49" s="166">
        <f t="shared" si="9"/>
        <v>0.27272727272727265</v>
      </c>
      <c r="J49" s="166">
        <f t="shared" si="9"/>
        <v>0.27272727272727271</v>
      </c>
      <c r="K49" s="166">
        <f t="shared" si="9"/>
        <v>0.27272727272727271</v>
      </c>
      <c r="L49" s="166">
        <f t="shared" si="9"/>
        <v>0.27272727272727265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2026-08-03T16:57:07Z</dcterms:modified>
</cp:coreProperties>
</file>