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DD5252E-72F5-7649-9C41-6EE97B78816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G45" i="7"/>
  <c r="F45" i="7"/>
  <c r="E45" i="7"/>
  <c r="D45" i="7"/>
  <c r="C45" i="7"/>
  <c r="AB11" i="6"/>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C51" i="12"/>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A11" i="5" l="1"/>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6" i="12"/>
  <c r="C66"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<sst xmlns="http://schemas.openxmlformats.org/spreadsheetml/2006/main" count="769" uniqueCount="406">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</sst>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317.39999999999998</v>
    <v>201.5</v>
    <v>1.0904</v>
    <v>-0.9</v>
    <v>-2.846E-3</v>
    <v>-0.21809999999999999</v>
    <v>-6.9169999999999995E-4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316.91000000000003</v>
    <v>Computers, Phones &amp; Household Electronics</v>
    <v>Stock</v>
    <v>46213.888557071092</v>
    <v>0</v>
    <v>312.17</v>
    <v>4631218355200</v>
    <v>APPLE INC.</v>
    <v>APPLE INC.</v>
    <v>314.72000000000003</v>
    <v>38.2958</v>
    <v>316.22000000000003</v>
    <v>315.32</v>
    <v>315.1019</v>
    <v>14687360000</v>
    <v>AAPL</v>
    <v>APPLE INC. (XNAS:AAPL)</v>
    <v>32478188</v>
    <v>64766433</v>
    <v>1977</v>
  </rv>
  <rv s="2">
    <v>1</v>
  </rv>
  <rv s="0">
    <v>https://www.bing.com/financeapi/forcetrigger?t=a33knm&amp;q=10+Y+TSY+YLD+NDX&amp;form=skydnc</v>
    <v>Learn more on Bing</v>
  </rv>
  <rv s="3">
    <v>5</v>
    <v>10 Y TSY YLD NDX</v>
    <v>6</v>
    <v>7</v>
    <v>Finance</v>
    <v>8</v>
    <v>en-US</v>
    <v>a33knm</v>
    <v>268435456</v>
    <v>1</v>
    <v>Powered by Refinitiv</v>
    <v>46.87</v>
    <v>39.47</v>
    <v>-0.3</v>
    <v>-6.5659999999999998E-3</v>
    <v>US</v>
    <v>45.81</v>
    <v>Index</v>
    <v>3</v>
    <v>45.29</v>
    <v>10 Y TSY YLD NDX</v>
    <v>45.77</v>
    <v>45.69</v>
    <v>45.39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B55" sqref="B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286</v>
      </c>
      <c r="F2" s="233"/>
      <c r="H2" s="232" t="s">
        <v>327</v>
      </c>
      <c r="I2" s="233"/>
    </row>
    <row r="3" spans="2:9" x14ac:dyDescent="0.2">
      <c r="B3" s="182" t="s">
        <v>11</v>
      </c>
      <c r="C3" s="214" t="e" vm="1">
        <v>#VALUE!</v>
      </c>
      <c r="D3" s="2"/>
      <c r="E3" s="182" t="s">
        <v>238</v>
      </c>
      <c r="F3" s="184">
        <f ca="1">Statement!AC143</f>
        <v>4647816.8</v>
      </c>
      <c r="H3" s="182" t="str">
        <f>'AVG target price'!B5</f>
        <v>DCF price</v>
      </c>
      <c r="I3" s="208">
        <f ca="1">'AVG target price'!C5</f>
        <v>117.94784406159961</v>
      </c>
    </row>
    <row r="4" spans="2:9" x14ac:dyDescent="0.2">
      <c r="B4" s="182" t="s">
        <v>0</v>
      </c>
      <c r="C4" s="186" t="str" cm="1">
        <f t="array" aca="1" ref="C4" ca="1">_FV(C3,"Ticker symbol",TRUE)</f>
        <v>AAPL</v>
      </c>
      <c r="E4" s="183" t="s">
        <v>185</v>
      </c>
      <c r="F4" s="185">
        <f ca="1">Statement!AC144</f>
        <v>4585932.7999999998</v>
      </c>
      <c r="H4" s="182" t="str">
        <f>'AVG target price'!B6</f>
        <v>EV/EBIT price</v>
      </c>
      <c r="I4" s="208">
        <f ca="1">'AVG target price'!C6</f>
        <v>194.55224664880012</v>
      </c>
    </row>
    <row r="5" spans="2:9" x14ac:dyDescent="0.2">
      <c r="B5" s="182" t="s">
        <v>1</v>
      </c>
      <c r="C5" s="205" cm="1">
        <f t="array" aca="1" ref="C5" ca="1">_FV(C3,"Price",TRUE)</f>
        <v>315.32</v>
      </c>
      <c r="E5" s="182" t="s">
        <v>242</v>
      </c>
      <c r="F5" s="186">
        <f>Statement!AC25</f>
        <v>8.27</v>
      </c>
      <c r="H5" s="182" t="str">
        <f>'AVG target price'!B7</f>
        <v>PS price</v>
      </c>
      <c r="I5" s="208">
        <f>'AVG target price'!C7</f>
        <v>138.68743228634972</v>
      </c>
    </row>
    <row r="6" spans="2:9" x14ac:dyDescent="0.2">
      <c r="B6" s="182" t="s">
        <v>2</v>
      </c>
      <c r="C6" s="205" cm="1">
        <f t="array" aca="1" ref="C6" ca="1">_FV(C3,"Price (Extended hours)",TRUE)</f>
        <v>315.1019</v>
      </c>
      <c r="E6" s="182" t="s">
        <v>236</v>
      </c>
      <c r="F6" s="187">
        <f ca="1">Statement!AC140</f>
        <v>38.128174123337367</v>
      </c>
      <c r="H6" s="182" t="str">
        <f>'AVG target price'!B8</f>
        <v>EV/FCFF price</v>
      </c>
      <c r="I6" s="208">
        <f ca="1">'AVG target price'!C8</f>
        <v>125.82838600438804</v>
      </c>
    </row>
    <row r="7" spans="2:9" x14ac:dyDescent="0.2">
      <c r="B7" s="182" t="s">
        <v>3</v>
      </c>
      <c r="C7" s="6" cm="1">
        <f t="array" aca="1" ref="C7" ca="1">_FV(C3,"Change")</f>
        <v>-0.9</v>
      </c>
      <c r="E7" s="183" t="s">
        <v>198</v>
      </c>
      <c r="F7" s="188">
        <f ca="1">Statement!AC141</f>
        <v>10.363242321272722</v>
      </c>
      <c r="H7" s="181" t="str">
        <f>'AVG target price'!B9</f>
        <v>AVG price</v>
      </c>
      <c r="I7" s="209">
        <f ca="1">'AVG target price'!C9</f>
        <v>144.25397725028435</v>
      </c>
    </row>
    <row r="8" spans="2:9" x14ac:dyDescent="0.2">
      <c r="B8" s="182" t="s">
        <v>4</v>
      </c>
      <c r="C8" s="6" cm="1">
        <f t="array" aca="1" ref="C8" ca="1">_FV(C3,"Change (extended hours)",TRUE)</f>
        <v>-0.21809999999999999</v>
      </c>
      <c r="E8" s="182" t="s">
        <v>264</v>
      </c>
      <c r="F8" s="189">
        <f ca="1">Statement!AC151</f>
        <v>2.4893623173787745E-2</v>
      </c>
      <c r="H8" s="181" t="str">
        <f>'AVG target price'!B11</f>
        <v>Upside/Downside</v>
      </c>
      <c r="I8" s="210">
        <f ca="1">'AVG target price'!C11</f>
        <v>-0.5425156119171497</v>
      </c>
    </row>
    <row r="9" spans="2:9" x14ac:dyDescent="0.2">
      <c r="B9" s="182" t="s">
        <v>5</v>
      </c>
      <c r="C9" s="73" cm="1">
        <f t="array" aca="1" ref="C9" ca="1">_FV(C3,"Change (%)",TRUE)</f>
        <v>-2.846E-3</v>
      </c>
      <c r="E9" s="182" t="s">
        <v>287</v>
      </c>
      <c r="F9" s="189">
        <f ca="1">Statement!AC152</f>
        <v>2.6227324622605606E-2</v>
      </c>
    </row>
    <row r="10" spans="2:9" x14ac:dyDescent="0.2">
      <c r="B10" s="182" t="s">
        <v>6</v>
      </c>
      <c r="C10" s="73" cm="1">
        <f t="array" aca="1" ref="C10" ca="1">_FV(C3,"Change % (extended hours)",TRUE)</f>
        <v>-6.9169999999999995E-4</v>
      </c>
      <c r="E10" s="182" t="s">
        <v>292</v>
      </c>
      <c r="F10" s="189">
        <f ca="1">Statement!AC154</f>
        <v>1.6824243158637408E-2</v>
      </c>
    </row>
    <row r="11" spans="2:9" x14ac:dyDescent="0.2">
      <c r="B11" s="182" t="s">
        <v>7</v>
      </c>
      <c r="C11" s="206" cm="1">
        <f t="array" aca="1" ref="C11" ca="1">_FV(C3,"52 week high",TRUE)</f>
        <v>317.39999999999998</v>
      </c>
      <c r="E11" s="183" t="s">
        <v>288</v>
      </c>
      <c r="F11" s="190">
        <f ca="1">Statement!AC153</f>
        <v>3.2982367119117088E-3</v>
      </c>
    </row>
    <row r="12" spans="2:9" x14ac:dyDescent="0.2">
      <c r="B12" s="182" t="s">
        <v>8</v>
      </c>
      <c r="C12" s="206" cm="1">
        <f t="array" aca="1" ref="C12" ca="1">_FV(C3,"52 week low",TRUE)</f>
        <v>201.5</v>
      </c>
      <c r="E12" s="182" t="s">
        <v>99</v>
      </c>
      <c r="F12" s="189">
        <f>Statement!AC121</f>
        <v>0.33031782732657466</v>
      </c>
    </row>
    <row r="13" spans="2:9" x14ac:dyDescent="0.2">
      <c r="B13" s="182" t="s">
        <v>9</v>
      </c>
      <c r="C13" s="206" cm="1">
        <f t="array" aca="1" ref="C13" ca="1">_FV(C3,"Beta")</f>
        <v>1.0904</v>
      </c>
      <c r="E13" s="182" t="s">
        <v>101</v>
      </c>
      <c r="F13" s="189">
        <f>Statement!AC123</f>
        <v>1.1510362378041334</v>
      </c>
    </row>
    <row r="14" spans="2:9" x14ac:dyDescent="0.2">
      <c r="B14" s="183" t="s">
        <v>10</v>
      </c>
      <c r="C14" s="207" cm="1">
        <f t="array" aca="1" ref="C14" ca="1">_FV(C3,"Volume average",TRUE)</f>
        <v>64766433</v>
      </c>
      <c r="E14" s="183" t="s">
        <v>102</v>
      </c>
      <c r="F14" s="190">
        <f>Statement!AC130</f>
        <v>2.7422301808699525</v>
      </c>
    </row>
    <row r="15" spans="2:9" x14ac:dyDescent="0.2">
      <c r="E15" s="182" t="s">
        <v>289</v>
      </c>
      <c r="F15" s="189">
        <f ca="1">Statement!AC166</f>
        <v>1.3314638391082885E-2</v>
      </c>
    </row>
    <row r="16" spans="2:9" x14ac:dyDescent="0.2">
      <c r="E16" s="183" t="s">
        <v>294</v>
      </c>
      <c r="F16" s="188">
        <f>Statement!AC165</f>
        <v>4.2135221624565942</v>
      </c>
    </row>
    <row r="17" spans="2:9" x14ac:dyDescent="0.2">
      <c r="B17" s="234" t="s">
        <v>88</v>
      </c>
      <c r="C17" s="234"/>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34" t="s">
        <v>104</v>
      </c>
      <c r="C25" s="234"/>
      <c r="E25" s="232" t="s">
        <v>342</v>
      </c>
      <c r="F25" s="233"/>
    </row>
    <row r="26" spans="2:9" x14ac:dyDescent="0.2">
      <c r="B26" s="181" t="s">
        <v>105</v>
      </c>
      <c r="C26" s="167">
        <v>0.21</v>
      </c>
      <c r="E26" s="182" t="e" vm="2">
        <v>#VALUE!</v>
      </c>
      <c r="F26" s="216" cm="1">
        <f t="array" aca="1" ref="F26" ca="1">_FV(E26,"Price")</f>
        <v>45.39</v>
      </c>
    </row>
    <row r="27" spans="2:9" x14ac:dyDescent="0.2">
      <c r="B27" s="181" t="s">
        <v>169</v>
      </c>
      <c r="C27" s="218">
        <v>4.65E-2</v>
      </c>
      <c r="E27" s="183" t="s">
        <v>343</v>
      </c>
      <c r="F27" s="217">
        <f ca="1">F26/1000</f>
        <v>4.539E-2</v>
      </c>
    </row>
    <row r="28" spans="2:9" x14ac:dyDescent="0.2">
      <c r="B28" s="181" t="s">
        <v>347</v>
      </c>
      <c r="C28" s="218">
        <v>0</v>
      </c>
    </row>
    <row r="29" spans="2:9" x14ac:dyDescent="0.2">
      <c r="B29" s="181" t="s">
        <v>348</v>
      </c>
      <c r="C29" s="218">
        <v>0.1</v>
      </c>
    </row>
    <row r="33" spans="2:8" x14ac:dyDescent="0.2">
      <c r="B33" s="235" t="s">
        <v>337</v>
      </c>
      <c r="C33" s="235"/>
      <c r="D33" s="235"/>
      <c r="E33" s="235"/>
      <c r="F33" s="235"/>
      <c r="G33" s="235"/>
      <c r="H33" s="235"/>
    </row>
    <row r="35" spans="2:8" x14ac:dyDescent="0.2">
      <c r="B35" s="16" t="s">
        <v>338</v>
      </c>
    </row>
    <row r="36" spans="2:8" x14ac:dyDescent="0.2">
      <c r="B36" s="16" t="s">
        <v>339</v>
      </c>
    </row>
    <row r="39" spans="2:8" ht="6" customHeight="1" x14ac:dyDescent="0.2">
      <c r="B39" s="235"/>
      <c r="C39" s="235"/>
      <c r="D39" s="235"/>
      <c r="E39" s="235"/>
      <c r="F39" s="235"/>
      <c r="G39" s="235"/>
      <c r="H39" s="235"/>
    </row>
    <row r="42" spans="2:8" x14ac:dyDescent="0.2">
      <c r="B42" s="235" t="s">
        <v>340</v>
      </c>
      <c r="C42" s="235"/>
      <c r="D42" s="235"/>
      <c r="E42" s="235"/>
      <c r="F42" s="235"/>
      <c r="G42" s="235"/>
      <c r="H42" s="235"/>
    </row>
    <row r="44" spans="2:8" x14ac:dyDescent="0.2">
      <c r="B44" s="41" t="s">
        <v>341</v>
      </c>
      <c r="C44" s="41" t="s">
        <v>328</v>
      </c>
      <c r="D44" s="41"/>
      <c r="E44" s="41" t="s">
        <v>329</v>
      </c>
    </row>
    <row r="49" spans="2:8" ht="5" customHeight="1" x14ac:dyDescent="0.2">
      <c r="B49" s="235"/>
      <c r="C49" s="235"/>
      <c r="D49" s="235"/>
      <c r="E49" s="235"/>
      <c r="F49" s="235"/>
      <c r="G49" s="235"/>
      <c r="H49" s="235"/>
    </row>
    <row r="52" spans="2:8" x14ac:dyDescent="0.2">
      <c r="B52" s="235" t="s">
        <v>106</v>
      </c>
      <c r="C52" s="235"/>
      <c r="D52" s="235"/>
      <c r="E52" s="235"/>
      <c r="F52" s="235"/>
      <c r="G52" s="235"/>
      <c r="H52" s="235"/>
    </row>
    <row r="54" spans="2:8" x14ac:dyDescent="0.2">
      <c r="B54" s="41" t="s">
        <v>341</v>
      </c>
      <c r="C54" s="41" t="s">
        <v>361</v>
      </c>
      <c r="D54" s="41"/>
      <c r="E54" s="41" t="s">
        <v>366</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J101" activePane="bottomRight" state="frozen"/>
      <selection pane="topRight" activeCell="C1" sqref="C1"/>
      <selection pane="bottomLeft" activeCell="A4" sqref="A4"/>
      <selection pane="bottomRight" activeCell="B197" sqref="B197:B20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0.25</v>
      </c>
      <c r="X80" s="226">
        <v>0.26</v>
      </c>
      <c r="Y80" s="226">
        <v>0.26</v>
      </c>
      <c r="Z80" s="226">
        <v>0.26</v>
      </c>
      <c r="AA80" s="226">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68"/>
      <c r="U114" s="68"/>
      <c r="V114" s="68"/>
      <c r="W114" s="68"/>
      <c r="X114" s="68"/>
      <c r="Y114" s="68"/>
      <c r="Z114" s="68"/>
      <c r="AA114" s="68"/>
      <c r="AC114" s="63">
        <f ca="1">Overview!C5</f>
        <v>315.32</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8"/>
      <c r="U115" s="68"/>
      <c r="V115" s="68"/>
      <c r="W115" s="68"/>
      <c r="X115" s="68"/>
      <c r="Y115" s="68"/>
      <c r="Z115" s="68"/>
      <c r="AA115" s="68"/>
      <c r="AC115" s="65">
        <f ca="1">AC114/AC84</f>
        <v>315.32</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7">M119*M120</f>
        <v>0.26974205275183616</v>
      </c>
      <c r="N121" s="76">
        <f t="shared" si="67"/>
        <v>0.28292440929256846</v>
      </c>
      <c r="O121" s="76">
        <f t="shared" si="67"/>
        <v>0.2750983456377647</v>
      </c>
      <c r="P121" s="76">
        <f t="shared" si="67"/>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8">M121*M122</f>
        <v>1.5007132667617686</v>
      </c>
      <c r="N123" s="76">
        <f t="shared" si="68"/>
        <v>1.9695887275023678</v>
      </c>
      <c r="O123" s="76">
        <f t="shared" si="68"/>
        <v>1.5607601454639075</v>
      </c>
      <c r="P123" s="76">
        <f t="shared" si="68"/>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69">M29/M5*365</f>
        <v>26.219311841713207</v>
      </c>
      <c r="N131" s="118">
        <f t="shared" si="69"/>
        <v>26.087825363656648</v>
      </c>
      <c r="O131" s="118">
        <f t="shared" si="69"/>
        <v>28.100290906244702</v>
      </c>
      <c r="P131" s="118">
        <f t="shared" si="69"/>
        <v>31.185571624023428</v>
      </c>
      <c r="Q131" s="118">
        <f t="shared" si="69"/>
        <v>34.886990852098108</v>
      </c>
      <c r="T131" s="118">
        <f t="shared" ref="T131:AA131" si="70">T29/T5*90</f>
        <v>23.917250545017893</v>
      </c>
      <c r="U131" s="118">
        <f t="shared" si="70"/>
        <v>31.674918360897504</v>
      </c>
      <c r="V131" s="118">
        <f t="shared" si="70"/>
        <v>21.46025744167337</v>
      </c>
      <c r="W131" s="118">
        <f t="shared" si="70"/>
        <v>24.667204983273734</v>
      </c>
      <c r="X131" s="118">
        <f t="shared" si="70"/>
        <v>26.374260921349272</v>
      </c>
      <c r="Y131" s="118">
        <f t="shared" si="70"/>
        <v>34.937735443952143</v>
      </c>
      <c r="Z131" s="118">
        <f t="shared" si="70"/>
        <v>24.992974206294001</v>
      </c>
      <c r="AA131" s="118">
        <f t="shared" si="70"/>
        <v>24.558479637357895</v>
      </c>
      <c r="AC131" s="118">
        <f>AC29/AC5*365</f>
        <v>24.529695952082438</v>
      </c>
    </row>
    <row r="132" spans="2:29" x14ac:dyDescent="0.2">
      <c r="B132" s="20" t="s">
        <v>137</v>
      </c>
      <c r="M132" s="118">
        <f t="shared" si="69"/>
        <v>11.27659274770989</v>
      </c>
      <c r="N132" s="118">
        <f t="shared" si="69"/>
        <v>8.0756980666171607</v>
      </c>
      <c r="O132" s="118">
        <f t="shared" si="69"/>
        <v>10.791292490321617</v>
      </c>
      <c r="P132" s="118">
        <f t="shared" si="69"/>
        <v>12.642570548414087</v>
      </c>
      <c r="Q132" s="118">
        <f t="shared" si="69"/>
        <v>9.4454652425778427</v>
      </c>
      <c r="T132" s="118">
        <f t="shared" ref="T132:AA132" si="71">T30/T6*365</f>
        <v>48.812880973556915</v>
      </c>
      <c r="U132" s="118">
        <f t="shared" si="71"/>
        <v>52.092809151632679</v>
      </c>
      <c r="V132" s="118">
        <f t="shared" si="71"/>
        <v>38.205452480121167</v>
      </c>
      <c r="W132" s="118">
        <f t="shared" si="71"/>
        <v>45.317773112572283</v>
      </c>
      <c r="X132" s="118">
        <f t="shared" si="71"/>
        <v>42.979152589530585</v>
      </c>
      <c r="Y132" s="118">
        <f t="shared" si="71"/>
        <v>38.560184757505773</v>
      </c>
      <c r="Z132" s="118">
        <f t="shared" si="71"/>
        <v>28.773901375377392</v>
      </c>
      <c r="AA132" s="118">
        <f t="shared" si="71"/>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2">T37/T6*90</f>
        <v>92.879672010238835</v>
      </c>
      <c r="U133" s="118">
        <f t="shared" si="72"/>
        <v>121.57254510195688</v>
      </c>
      <c r="V133" s="118">
        <f t="shared" si="72"/>
        <v>84.390761075350255</v>
      </c>
      <c r="W133" s="118">
        <f t="shared" si="72"/>
        <v>96.477461776122951</v>
      </c>
      <c r="X133" s="118">
        <f t="shared" si="72"/>
        <v>90.10016296355181</v>
      </c>
      <c r="Y133" s="118">
        <f t="shared" si="72"/>
        <v>116.16443418013857</v>
      </c>
      <c r="Z133" s="118">
        <f t="shared" si="72"/>
        <v>85.244280442804424</v>
      </c>
      <c r="AA133" s="118">
        <f t="shared" si="72"/>
        <v>91.509494175841695</v>
      </c>
      <c r="AC133" s="118">
        <f>AC37/AC6*365</f>
        <v>88.93357720364871</v>
      </c>
    </row>
    <row r="134" spans="2:29" x14ac:dyDescent="0.2">
      <c r="B134" s="20" t="s">
        <v>139</v>
      </c>
      <c r="M134" s="118">
        <f>M131+M132-M133</f>
        <v>-56.355166632892498</v>
      </c>
      <c r="N134" s="118">
        <f t="shared" ref="N134:Q134" si="73">N131+N132-N133</f>
        <v>-70.521753872831582</v>
      </c>
      <c r="O134" s="118">
        <f t="shared" si="73"/>
        <v>-67.829884635581323</v>
      </c>
      <c r="P134" s="118">
        <f t="shared" si="73"/>
        <v>-75.830335046699929</v>
      </c>
      <c r="Q134" s="118">
        <f t="shared" si="73"/>
        <v>-71.06806888722123</v>
      </c>
      <c r="T134" s="118">
        <f t="shared" ref="T134" si="74">T131+T132-T133</f>
        <v>-20.149540491664027</v>
      </c>
      <c r="U134" s="118">
        <f t="shared" ref="U134" si="75">U131+U132-U133</f>
        <v>-37.80481758942669</v>
      </c>
      <c r="V134" s="118">
        <f t="shared" ref="V134" si="76">V131+V132-V133</f>
        <v>-24.725051153555718</v>
      </c>
      <c r="W134" s="118">
        <f t="shared" ref="W134" si="77">W131+W132-W133</f>
        <v>-26.492483680276933</v>
      </c>
      <c r="X134" s="118">
        <f t="shared" ref="X134" si="78">X131+X132-X133</f>
        <v>-20.746749452671949</v>
      </c>
      <c r="Y134" s="118">
        <f t="shared" ref="Y134" si="79">Y131+Y132-Y133</f>
        <v>-42.666513978680655</v>
      </c>
      <c r="Z134" s="118">
        <f t="shared" ref="Z134:AA134" si="80">Z131+Z132-Z133</f>
        <v>-31.477404861133031</v>
      </c>
      <c r="AA134" s="118">
        <f t="shared" si="80"/>
        <v>-23.289241228553479</v>
      </c>
      <c r="AC134" s="118">
        <f t="shared" ref="AC134" si="81">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2">T106/T48</f>
        <v>1.5186184565569347</v>
      </c>
      <c r="U135" s="118">
        <f t="shared" si="82"/>
        <v>1.8723266022827041</v>
      </c>
      <c r="V135" s="118">
        <f t="shared" si="82"/>
        <v>1.4499985020521886</v>
      </c>
      <c r="W135" s="118">
        <f t="shared" si="82"/>
        <v>1.4699383196598599</v>
      </c>
      <c r="X135" s="118">
        <f t="shared" si="82"/>
        <v>1.5448579674920249</v>
      </c>
      <c r="Y135" s="118">
        <f t="shared" si="82"/>
        <v>1.3380304612588665</v>
      </c>
      <c r="Z135" s="118">
        <f t="shared" si="82"/>
        <v>1.0262954983558226</v>
      </c>
      <c r="AA135" s="118">
        <f t="shared" si="82"/>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3">(T106-T105)/T48</f>
        <v>-0.77557414403070102</v>
      </c>
      <c r="U136" s="176">
        <f t="shared" si="83"/>
        <v>-0.87833187006145741</v>
      </c>
      <c r="V136" s="176">
        <f t="shared" si="83"/>
        <v>-0.66762036010665393</v>
      </c>
      <c r="W136" s="176">
        <f t="shared" si="83"/>
        <v>-0.520031139589197</v>
      </c>
      <c r="X136" s="176">
        <f t="shared" si="83"/>
        <v>-0.47528482454807841</v>
      </c>
      <c r="Y136" s="176">
        <f t="shared" si="83"/>
        <v>-0.45790894172215968</v>
      </c>
      <c r="Z136" s="176">
        <f t="shared" si="83"/>
        <v>-0.61555731942397096</v>
      </c>
      <c r="AA136" s="176">
        <f t="shared" si="83"/>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4">(T105+T29)/T39</f>
        <v>1.3358961891448369</v>
      </c>
      <c r="U137" s="118">
        <f t="shared" si="84"/>
        <v>1.0774865073245952</v>
      </c>
      <c r="V137" s="118">
        <f t="shared" si="84"/>
        <v>1.1845461157482768</v>
      </c>
      <c r="W137" s="118">
        <f t="shared" si="84"/>
        <v>1.1002068187949174</v>
      </c>
      <c r="X137" s="118">
        <f t="shared" si="84"/>
        <v>1.1376346371882087</v>
      </c>
      <c r="Y137" s="118">
        <f t="shared" si="84"/>
        <v>1.0413398564353142</v>
      </c>
      <c r="Z137" s="118">
        <f t="shared" si="84"/>
        <v>1.1376449648019611</v>
      </c>
      <c r="AA137" s="118">
        <f t="shared" si="84"/>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5">T31/T39</f>
        <v>0.95297969975080532</v>
      </c>
      <c r="U138" s="118">
        <f t="shared" si="85"/>
        <v>0.86731257653408322</v>
      </c>
      <c r="V138" s="118">
        <f t="shared" si="85"/>
        <v>0.92293838534270767</v>
      </c>
      <c r="W138" s="118">
        <f t="shared" si="85"/>
        <v>0.82087002234196349</v>
      </c>
      <c r="X138" s="118">
        <f t="shared" si="85"/>
        <v>0.86799178004535149</v>
      </c>
      <c r="Y138" s="118">
        <f t="shared" si="85"/>
        <v>0.8947514831187523</v>
      </c>
      <c r="Z138" s="118">
        <f t="shared" si="85"/>
        <v>0.97374466486416578</v>
      </c>
      <c r="AA138" s="118">
        <f t="shared" si="85"/>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6">IF(T12&gt;=0,"N/A",IF(T11&lt;=0,"N/A",T11/-T12))</f>
        <v>N/A</v>
      </c>
      <c r="U139" s="178" t="str">
        <f t="shared" si="86"/>
        <v>N/A</v>
      </c>
      <c r="V139" s="178" t="str">
        <f t="shared" si="86"/>
        <v>N/A</v>
      </c>
      <c r="W139" s="178" t="str">
        <f t="shared" si="86"/>
        <v>N/A</v>
      </c>
      <c r="X139" s="178" t="str">
        <f t="shared" si="86"/>
        <v>N/A</v>
      </c>
      <c r="Y139" s="178" t="str">
        <f t="shared" si="86"/>
        <v>N/A</v>
      </c>
      <c r="Z139" s="178" t="str">
        <f t="shared" si="86"/>
        <v>N/A</v>
      </c>
      <c r="AA139" s="178" t="str">
        <f t="shared" si="86"/>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38.128174123337367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10.363242321272722</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49"/>
      <c r="U142" s="49"/>
      <c r="V142" s="49"/>
      <c r="W142" s="49"/>
      <c r="X142" s="49"/>
      <c r="Y142" s="49"/>
      <c r="Z142" s="49"/>
      <c r="AA142" s="49"/>
      <c r="AC142" s="72">
        <f ca="1">AC115/(Statement!AC48/Statement!AC74)</f>
        <v>43.488227549745986</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49"/>
      <c r="U143" s="49"/>
      <c r="V143" s="49"/>
      <c r="W143" s="49"/>
      <c r="X143" s="49"/>
      <c r="Y143" s="49"/>
      <c r="Z143" s="49"/>
      <c r="AA143" s="49"/>
      <c r="AC143" s="143">
        <f ca="1">Statement!AC115*Statement!AC77</f>
        <v>4647816.8</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49"/>
      <c r="U144" s="49"/>
      <c r="V144" s="49"/>
      <c r="W144" s="49"/>
      <c r="X144" s="49"/>
      <c r="Y144" s="49"/>
      <c r="Z144" s="49"/>
      <c r="AA144" s="49"/>
      <c r="AC144" s="143">
        <f ca="1">AC143+AC106-AC105+AC47+AC44</f>
        <v>4585932.7999999998</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10.158409718191926</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31.119340960601495</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7">T58-T53+T108+T64</f>
        <v>0</v>
      </c>
      <c r="U147" s="64">
        <f t="shared" si="87"/>
        <v>0</v>
      </c>
      <c r="V147" s="64">
        <f t="shared" si="87"/>
        <v>23709</v>
      </c>
      <c r="W147" s="64">
        <f t="shared" si="87"/>
        <v>17655</v>
      </c>
      <c r="X147" s="64">
        <f t="shared" si="87"/>
        <v>21237</v>
      </c>
      <c r="Y147" s="64">
        <f t="shared" si="87"/>
        <v>23303</v>
      </c>
      <c r="Z147" s="64">
        <f t="shared" si="87"/>
        <v>47958</v>
      </c>
      <c r="AA147" s="64">
        <f t="shared" si="87"/>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88">N143/N147</f>
        <v>23.529981348566967</v>
      </c>
      <c r="O149" s="72">
        <f t="shared" si="88"/>
        <v>30.134549582539918</v>
      </c>
      <c r="P149" s="72">
        <f t="shared" si="88"/>
        <v>35.604281345565745</v>
      </c>
      <c r="Q149" s="72">
        <f t="shared" si="88"/>
        <v>44.107174520394864</v>
      </c>
      <c r="T149" s="49"/>
      <c r="U149" s="49"/>
      <c r="V149" s="49"/>
      <c r="W149" s="49"/>
      <c r="X149" s="49"/>
      <c r="Y149" s="49"/>
      <c r="Z149" s="49"/>
      <c r="AA149" s="49"/>
      <c r="AC149" s="72">
        <f t="shared" ref="AC149:AC150" ca="1" si="89">AC143/AC147</f>
        <v>40.170930242608101</v>
      </c>
    </row>
    <row r="150" spans="2:29" x14ac:dyDescent="0.2">
      <c r="B150" s="20" t="s">
        <v>263</v>
      </c>
      <c r="M150" s="72">
        <f>M144/M148</f>
        <v>26.393507738520981</v>
      </c>
      <c r="N150" s="72">
        <f t="shared" ref="N150:Q150" si="90">N144/N148</f>
        <v>23.215714092962134</v>
      </c>
      <c r="O150" s="72">
        <f t="shared" si="90"/>
        <v>28.684289253562675</v>
      </c>
      <c r="P150" s="72">
        <f t="shared" si="90"/>
        <v>34.359785546217651</v>
      </c>
      <c r="Q150" s="72">
        <f t="shared" si="90"/>
        <v>43.5317678998247</v>
      </c>
      <c r="T150" s="49"/>
      <c r="U150" s="49"/>
      <c r="V150" s="49"/>
      <c r="W150" s="49"/>
      <c r="X150" s="49"/>
      <c r="Y150" s="49"/>
      <c r="Z150" s="49"/>
      <c r="AA150" s="49"/>
      <c r="AC150" s="72">
        <f t="shared" ca="1" si="89"/>
        <v>39.677679735502217</v>
      </c>
    </row>
    <row r="151" spans="2:29" x14ac:dyDescent="0.2">
      <c r="B151" s="20" t="s">
        <v>264</v>
      </c>
      <c r="M151" s="74">
        <f>M147/M143</f>
        <v>3.4934583557681108E-2</v>
      </c>
      <c r="N151" s="74">
        <f t="shared" ref="N151:Q151" si="91">N147/N143</f>
        <v>4.2498971214055062E-2</v>
      </c>
      <c r="O151" s="74">
        <f t="shared" si="91"/>
        <v>3.3184501306746064E-2</v>
      </c>
      <c r="P151" s="74">
        <f t="shared" si="91"/>
        <v>2.8086509886107915E-2</v>
      </c>
      <c r="Q151" s="74">
        <f t="shared" si="91"/>
        <v>2.2672048501714993E-2</v>
      </c>
      <c r="T151" s="49"/>
      <c r="U151" s="49"/>
      <c r="V151" s="49"/>
      <c r="W151" s="49"/>
      <c r="X151" s="49"/>
      <c r="Y151" s="49"/>
      <c r="Z151" s="49"/>
      <c r="AA151" s="49"/>
      <c r="AC151" s="74">
        <f t="shared" ref="AC151" ca="1" si="92">AC147/AC143</f>
        <v>2.4893623173787745E-2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2.6227324622605606E-2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3.2982367119117088E-3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1.6824243158637408E-2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2.0169899984009698E-2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3">T105/T74</f>
        <v>10.065837937384899</v>
      </c>
      <c r="U162" s="72">
        <f t="shared" si="93"/>
        <v>10.363191320455147</v>
      </c>
      <c r="V162" s="72">
        <f t="shared" si="93"/>
        <v>9.4107309279723079</v>
      </c>
      <c r="W162" s="72">
        <f t="shared" si="93"/>
        <v>8.8994376004284952</v>
      </c>
      <c r="X162" s="72">
        <f t="shared" si="93"/>
        <v>8.9613207547169811</v>
      </c>
      <c r="Y162" s="72">
        <f t="shared" si="93"/>
        <v>8.9618299945858144</v>
      </c>
      <c r="Z162" s="72">
        <f t="shared" si="93"/>
        <v>9.8627477692255301</v>
      </c>
      <c r="AA162" s="72">
        <f t="shared" si="93"/>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4">T53/T58</f>
        <v>#DIV/0!</v>
      </c>
      <c r="U163" s="151" t="e">
        <f t="shared" si="94"/>
        <v>#DIV/0!</v>
      </c>
      <c r="V163" s="151">
        <f t="shared" si="94"/>
        <v>0.1097711708702188</v>
      </c>
      <c r="W163" s="151">
        <f t="shared" si="94"/>
        <v>0.13468603874415497</v>
      </c>
      <c r="X163" s="151">
        <f t="shared" si="94"/>
        <v>0.11368285068360426</v>
      </c>
      <c r="Y163" s="151">
        <f t="shared" si="94"/>
        <v>0.10707077502691066</v>
      </c>
      <c r="Z163" s="151">
        <f t="shared" si="94"/>
        <v>6.6648122392211406E-2</v>
      </c>
      <c r="AA163" s="151">
        <f t="shared" si="94"/>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5">T53/T5</f>
        <v>0</v>
      </c>
      <c r="U164" s="151">
        <f t="shared" si="95"/>
        <v>0</v>
      </c>
      <c r="V164" s="151">
        <f t="shared" si="95"/>
        <v>2.6436041834271923E-2</v>
      </c>
      <c r="W164" s="151">
        <f t="shared" si="95"/>
        <v>3.3830052748036368E-2</v>
      </c>
      <c r="X164" s="151">
        <f t="shared" si="95"/>
        <v>3.3689225403037135E-2</v>
      </c>
      <c r="Y164" s="151">
        <f t="shared" si="95"/>
        <v>3.106396268030371E-2</v>
      </c>
      <c r="Z164" s="151">
        <f t="shared" si="95"/>
        <v>2.5000695623139207E-2</v>
      </c>
      <c r="AA164" s="151">
        <f t="shared" si="95"/>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6">(T105-T106)/T74</f>
        <v>3.402854511970534</v>
      </c>
      <c r="U165" s="72">
        <f t="shared" si="96"/>
        <v>3.3091426303254829</v>
      </c>
      <c r="V165" s="72">
        <f t="shared" si="96"/>
        <v>2.966915191053122</v>
      </c>
      <c r="W165" s="72">
        <f t="shared" si="96"/>
        <v>2.3256561328334224</v>
      </c>
      <c r="X165" s="72">
        <f t="shared" si="96"/>
        <v>2.1083557951482481</v>
      </c>
      <c r="Y165" s="72">
        <f t="shared" si="96"/>
        <v>2.2849891716296695</v>
      </c>
      <c r="Z165" s="72">
        <f t="shared" si="96"/>
        <v>3.6977045160411417</v>
      </c>
      <c r="AA165" s="72">
        <f t="shared" si="96"/>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1.3314638391082885E-2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7">-T108/T5</f>
        <v>0</v>
      </c>
      <c r="U167" s="151">
        <f t="shared" si="97"/>
        <v>0</v>
      </c>
      <c r="V167" s="151">
        <f t="shared" si="97"/>
        <v>2.3652453740949316E-2</v>
      </c>
      <c r="W167" s="151">
        <f t="shared" si="97"/>
        <v>3.2204616239683723E-2</v>
      </c>
      <c r="X167" s="151">
        <f t="shared" si="97"/>
        <v>3.6815687609000808E-2</v>
      </c>
      <c r="Y167" s="151">
        <f t="shared" si="97"/>
        <v>3.1639763433724356E-2</v>
      </c>
      <c r="Z167" s="151">
        <f t="shared" si="97"/>
        <v>1.6507137093408276E-2</v>
      </c>
      <c r="AA167" s="151">
        <f t="shared" si="97"/>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98">-(T108/T58)</f>
        <v>#DIV/0!</v>
      </c>
      <c r="U168" s="151" t="e">
        <f t="shared" si="98"/>
        <v>#DIV/0!</v>
      </c>
      <c r="V168" s="151">
        <f t="shared" si="98"/>
        <v>9.8212794387840321E-2</v>
      </c>
      <c r="W168" s="151">
        <f t="shared" si="98"/>
        <v>0.12821476285905142</v>
      </c>
      <c r="X168" s="151">
        <f t="shared" si="98"/>
        <v>0.12423296372052967</v>
      </c>
      <c r="Y168" s="151">
        <f t="shared" si="98"/>
        <v>0.10905543595263724</v>
      </c>
      <c r="Z168" s="151">
        <f t="shared" si="98"/>
        <v>4.4005563282336575E-2</v>
      </c>
      <c r="AA168" s="151">
        <f t="shared" si="98"/>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99">-T108/T52</f>
        <v>#DIV/0!</v>
      </c>
      <c r="U169" s="151" t="e">
        <f t="shared" si="99"/>
        <v>#DIV/0!</v>
      </c>
      <c r="V169" s="151">
        <f t="shared" si="99"/>
        <v>0.95454545454545459</v>
      </c>
      <c r="W169" s="151">
        <f t="shared" si="99"/>
        <v>1.1540774145058248</v>
      </c>
      <c r="X169" s="151">
        <f t="shared" si="99"/>
        <v>1.223321554770318</v>
      </c>
      <c r="Y169" s="151">
        <f t="shared" si="99"/>
        <v>1.0367764630636394</v>
      </c>
      <c r="Z169" s="151">
        <f t="shared" si="99"/>
        <v>0.73833229620410701</v>
      </c>
      <c r="AA169" s="151">
        <f t="shared" si="99"/>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0">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0"/>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0"/>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0"/>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0"/>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0"/>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0"/>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0"/>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0"/>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1">IF(L177=0,
IF(M177=0,0,IF(M177&gt;0,1,-1)),
(M177-L177)/ABS(L177)
)</f>
        <v>1</v>
      </c>
      <c r="N191" s="81">
        <f t="shared" si="101"/>
        <v>0.10666249200944516</v>
      </c>
      <c r="O191" s="81">
        <f t="shared" si="101"/>
        <v>-4.1837107592922231E-2</v>
      </c>
      <c r="P191" s="81">
        <f t="shared" si="101"/>
        <v>2.7589812992125984E-2</v>
      </c>
      <c r="Q191" s="81">
        <f t="shared" si="101"/>
        <v>6.7694333862132958E-2</v>
      </c>
      <c r="T191" s="81">
        <f t="shared" ref="T191:AA193" si="102">IF(S177=0,
IF(T177=0,0,IF(T177&gt;0,1,-1)),
(T177-S177)/ABS(S177)
)</f>
        <v>1</v>
      </c>
      <c r="U191" s="81">
        <f t="shared" si="102"/>
        <v>0.10579117787568343</v>
      </c>
      <c r="V191" s="81">
        <f t="shared" si="102"/>
        <v>0.26363287250384027</v>
      </c>
      <c r="W191" s="81">
        <f t="shared" si="102"/>
        <v>-0.2342539127792129</v>
      </c>
      <c r="X191" s="81">
        <f t="shared" si="102"/>
        <v>2.1902517673322585E-2</v>
      </c>
      <c r="Y191" s="81">
        <f t="shared" si="102"/>
        <v>7.2673430749065487E-2</v>
      </c>
      <c r="Z191" s="81">
        <f t="shared" si="102"/>
        <v>0.32442523533671253</v>
      </c>
      <c r="AA191" s="81">
        <f t="shared" si="102"/>
        <v>-0.22956141399989749</v>
      </c>
      <c r="AC191" s="49"/>
    </row>
    <row r="192" spans="2:29" x14ac:dyDescent="0.2">
      <c r="B192" s="20" t="s">
        <v>381</v>
      </c>
      <c r="M192" s="81">
        <f t="shared" si="101"/>
        <v>1</v>
      </c>
      <c r="N192" s="81">
        <f t="shared" si="101"/>
        <v>6.5067687863213416E-2</v>
      </c>
      <c r="O192" s="81">
        <f t="shared" si="101"/>
        <v>-8.6629239470972889E-3</v>
      </c>
      <c r="P192" s="81">
        <f t="shared" si="101"/>
        <v>7.459647485524E-2</v>
      </c>
      <c r="Q192" s="81">
        <f t="shared" si="101"/>
        <v>9.5768198326227696E-2</v>
      </c>
      <c r="T192" s="81">
        <f t="shared" si="102"/>
        <v>1</v>
      </c>
      <c r="U192" s="81">
        <f t="shared" si="102"/>
        <v>0.13891427526960337</v>
      </c>
      <c r="V192" s="81">
        <f t="shared" si="102"/>
        <v>0.35857005296100142</v>
      </c>
      <c r="W192" s="81">
        <f t="shared" si="102"/>
        <v>-0.27781223236171404</v>
      </c>
      <c r="X192" s="81">
        <f t="shared" si="102"/>
        <v>-1.7992966385867344E-2</v>
      </c>
      <c r="Y192" s="81">
        <f t="shared" si="102"/>
        <v>0.19526109769301242</v>
      </c>
      <c r="Z192" s="81">
        <f t="shared" si="102"/>
        <v>0.32899000104518694</v>
      </c>
      <c r="AA192" s="81">
        <f t="shared" si="102"/>
        <v>-0.26453625543962672</v>
      </c>
      <c r="AC192" s="49"/>
    </row>
    <row r="193" spans="2:29" x14ac:dyDescent="0.2">
      <c r="B193" s="20" t="s">
        <v>382</v>
      </c>
      <c r="M193" s="81">
        <f t="shared" si="101"/>
        <v>1</v>
      </c>
      <c r="N193" s="81">
        <f t="shared" ref="N193:N195" si="103">IF(M179=0,
IF(N179=0,0,IF(N179&gt;0,1,-1)),
(N179-M179)/ABS(M179)
)</f>
        <v>8.5334815551589976E-2</v>
      </c>
      <c r="O193" s="81">
        <f t="shared" ref="O193:O195" si="104">IF(N179=0,
IF(O179=0,0,IF(O179&gt;0,1,-1)),
(O179-N179)/ABS(N179)
)</f>
        <v>-2.211590296495957E-2</v>
      </c>
      <c r="P193" s="81">
        <f t="shared" ref="P193:P195" si="105">IF(O179=0,
IF(P179=0,0,IF(P179&gt;0,1,-1)),
(P179-O179)/ABS(O179)
)</f>
        <v>-7.7275045135682688E-2</v>
      </c>
      <c r="Q193" s="81">
        <f t="shared" ref="Q193:Q195" si="106">IF(P179=0,
IF(Q179=0,0,IF(Q179&gt;0,1,-1)),
(Q179-P179)/ABS(P179)
)</f>
        <v>-3.8460389532799615E-2</v>
      </c>
      <c r="T193" s="81">
        <f t="shared" si="102"/>
        <v>1</v>
      </c>
      <c r="U193" s="81">
        <f t="shared" ref="U193:U195" si="107">IF(T179=0,
IF(U179=0,0,IF(U179&gt;0,1,-1)),
(U179-T179)/ABS(T179)
)</f>
        <v>2.0708853883758826E-2</v>
      </c>
      <c r="V193" s="81">
        <f t="shared" ref="V193:V195" si="108">IF(U179=0,
IF(V179=0,0,IF(V179&gt;0,1,-1)),
(V179-U179)/ABS(U179)
)</f>
        <v>0.23149072041508681</v>
      </c>
      <c r="W193" s="81">
        <f t="shared" ref="W193:W195" si="109">IF(V179=0,
IF(W179=0,0,IF(W179&gt;0,1,-1)),
(W179-V179)/ABS(V179)
)</f>
        <v>-0.13563441905687895</v>
      </c>
      <c r="X193" s="81">
        <f t="shared" ref="X193:X195" si="110">IF(W179=0,
IF(X179=0,0,IF(X179&gt;0,1,-1)),
(X179-W179)/ABS(W179)
)</f>
        <v>-3.95575553055868E-2</v>
      </c>
      <c r="Y193" s="81">
        <f t="shared" ref="Y193:Y195" si="111">IF(X179=0,
IF(Y179=0,0,IF(Y179&gt;0,1,-1)),
(Y179-X179)/ABS(X179)
)</f>
        <v>-5.699785282061292E-2</v>
      </c>
      <c r="Z193" s="81">
        <f t="shared" ref="Z193:Z195" si="112">IF(Y179=0,
IF(Z179=0,0,IF(Z179&gt;0,1,-1)),
(Z179-Y179)/ABS(Y179)
)</f>
        <v>0.76126405851100531</v>
      </c>
      <c r="AA193" s="81">
        <f t="shared" ref="AA193:AA195" si="113">IF(Z179=0,
IF(AA179=0,0,IF(AA179&gt;0,1,-1)),
(AA179-Z179)/ABS(Z179)
)</f>
        <v>-0.19701480843061975</v>
      </c>
      <c r="AC193" s="49"/>
    </row>
    <row r="194" spans="2:29" x14ac:dyDescent="0.2">
      <c r="B194" s="20" t="s">
        <v>383</v>
      </c>
      <c r="M194" s="81">
        <f t="shared" ref="M194:M195" si="114">IF(L180=0,
IF(M180=0,0,IF(M180&gt;0,1,-1)),
(M180-L180)/ABS(L180)
)</f>
        <v>1</v>
      </c>
      <c r="N194" s="81">
        <f t="shared" si="103"/>
        <v>-8.7950284390141145E-2</v>
      </c>
      <c r="O194" s="81">
        <f t="shared" si="104"/>
        <v>-6.6212418678061366E-2</v>
      </c>
      <c r="P194" s="81">
        <f t="shared" si="105"/>
        <v>3.2774044605680834E-2</v>
      </c>
      <c r="Q194" s="81">
        <f t="shared" si="106"/>
        <v>0.14573686731598276</v>
      </c>
      <c r="T194" s="81">
        <f t="shared" ref="T194:T195" si="115">IF(S180=0,
IF(T180=0,0,IF(T180&gt;0,1,-1)),
(T180-S180)/ABS(S180)
)</f>
        <v>1</v>
      </c>
      <c r="U194" s="81">
        <f t="shared" si="107"/>
        <v>0.16264469295664116</v>
      </c>
      <c r="V194" s="81">
        <f t="shared" si="108"/>
        <v>0.51653729328383391</v>
      </c>
      <c r="W194" s="81">
        <f t="shared" si="109"/>
        <v>-0.1879381328585735</v>
      </c>
      <c r="X194" s="81">
        <f t="shared" si="110"/>
        <v>-0.20772814469717732</v>
      </c>
      <c r="Y194" s="81">
        <f t="shared" si="111"/>
        <v>0.14769975786924938</v>
      </c>
      <c r="Z194" s="81">
        <f t="shared" si="112"/>
        <v>0.41847498493068114</v>
      </c>
      <c r="AA194" s="81">
        <f t="shared" si="113"/>
        <v>-0.10751088919579305</v>
      </c>
      <c r="AC194" s="49"/>
    </row>
    <row r="195" spans="2:29" x14ac:dyDescent="0.2">
      <c r="B195" s="20" t="s">
        <v>384</v>
      </c>
      <c r="M195" s="81">
        <f t="shared" si="114"/>
        <v>1</v>
      </c>
      <c r="N195" s="81">
        <f t="shared" si="103"/>
        <v>0.114546972226438</v>
      </c>
      <c r="O195" s="81">
        <f t="shared" si="104"/>
        <v>8.1702127659574464E-3</v>
      </c>
      <c r="P195" s="81">
        <f t="shared" si="105"/>
        <v>3.5218639203106535E-2</v>
      </c>
      <c r="Q195" s="81">
        <f t="shared" si="106"/>
        <v>9.9093221997521033E-2</v>
      </c>
      <c r="T195" s="81">
        <f t="shared" si="115"/>
        <v>1</v>
      </c>
      <c r="U195" s="81">
        <f t="shared" si="107"/>
        <v>0.15539906103286386</v>
      </c>
      <c r="V195" s="81">
        <f t="shared" si="108"/>
        <v>0.39387782744141947</v>
      </c>
      <c r="W195" s="81">
        <f t="shared" si="109"/>
        <v>-0.29161403167816541</v>
      </c>
      <c r="X195" s="81">
        <f t="shared" si="110"/>
        <v>5.2537722908093276E-2</v>
      </c>
      <c r="Y195" s="81">
        <f t="shared" si="111"/>
        <v>0.10022155610582562</v>
      </c>
      <c r="Z195" s="81">
        <f t="shared" si="112"/>
        <v>0.43828476664297561</v>
      </c>
      <c r="AA195" s="81">
        <f t="shared" si="113"/>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6">IF(L183=0,
IF(M183=0,0,IF(M183&gt;0,1,-1)),
(M183-L183)/ABS(L183)
)</f>
        <v>1</v>
      </c>
      <c r="N197" s="81">
        <f t="shared" ref="N197:N201" si="117">IF(M183=0,
IF(N183=0,0,IF(N183&gt;0,1,-1)),
(N183-M183)/ABS(M183)
)</f>
        <v>7.0405734139696724E-2</v>
      </c>
      <c r="O197" s="81">
        <f t="shared" ref="O197:O201" si="118">IF(N183=0,
IF(O183=0,0,IF(O183&gt;0,1,-1)),
(O183-N183)/ABS(N183)
)</f>
        <v>-2.3874757286278098E-2</v>
      </c>
      <c r="P197" s="81">
        <f t="shared" ref="P197:P201" si="119">IF(O183=0,
IF(P183=0,0,IF(P183&gt;0,1,-1)),
(P183-O183)/ABS(O183)
)</f>
        <v>2.9912804175827464E-3</v>
      </c>
      <c r="Q197" s="81">
        <f t="shared" ref="Q197:Q201" si="120">IF(P183=0,
IF(Q183=0,0,IF(Q183&gt;0,1,-1)),
(Q183-P183)/ABS(P183)
)</f>
        <v>4.1767942619406209E-2</v>
      </c>
      <c r="T197" s="81">
        <f t="shared" ref="T197:T201" si="121">IF(S183=0,
IF(T183=0,0,IF(T183&gt;0,1,-1)),
(T183-S183)/ABS(S183)
)</f>
        <v>1</v>
      </c>
      <c r="U197" s="81">
        <f t="shared" ref="U197:U201" si="122">IF(T183=0,
IF(U183=0,0,IF(U183&gt;0,1,-1)),
(U183-T183)/ABS(T183)
)</f>
        <v>0.17625203583061888</v>
      </c>
      <c r="V197" s="81">
        <f t="shared" ref="V197:V201" si="123">IF(U183=0,
IF(V183=0,0,IF(V183&gt;0,1,-1)),
(V183-U183)/ABS(U183)
)</f>
        <v>0.49578122971745059</v>
      </c>
      <c r="W197" s="81">
        <f t="shared" ref="W197:W201" si="124">IF(V183=0,
IF(W183=0,0,IF(W183&gt;0,1,-1)),
(W183-V183)/ABS(V183)
)</f>
        <v>-0.32249992768087016</v>
      </c>
      <c r="X197" s="81">
        <f t="shared" ref="X197:X201" si="125">IF(W183=0,
IF(X183=0,0,IF(X183&gt;0,1,-1)),
(X183-W183)/ABS(W183)
)</f>
        <v>-4.8226980636621765E-2</v>
      </c>
      <c r="Y197" s="81">
        <f t="shared" ref="Y197:Y201" si="126">IF(X183=0,
IF(Y183=0,0,IF(Y183&gt;0,1,-1)),
(Y183-X183)/ABS(X183)
)</f>
        <v>9.9659055224081472E-2</v>
      </c>
      <c r="Z197" s="81">
        <f t="shared" ref="Z197:Z201" si="127">IF(Y183=0,
IF(Z183=0,0,IF(Z183&gt;0,1,-1)),
(Z183-Y183)/ABS(Y183)
)</f>
        <v>0.739296277409485</v>
      </c>
      <c r="AA197" s="81">
        <f t="shared" ref="AA197:AA201" si="128">IF(Z183=0,
IF(AA183=0,0,IF(AA183&gt;0,1,-1)),
(AA183-Z183)/ABS(Z183)
)</f>
        <v>-0.33159764979066247</v>
      </c>
      <c r="AC197" s="49"/>
    </row>
    <row r="198" spans="2:29" x14ac:dyDescent="0.2">
      <c r="B198" s="20" t="s">
        <v>386</v>
      </c>
      <c r="M198" s="81">
        <f t="shared" si="116"/>
        <v>1</v>
      </c>
      <c r="N198" s="81">
        <f t="shared" si="117"/>
        <v>0.14171639670360897</v>
      </c>
      <c r="O198" s="81">
        <f t="shared" si="118"/>
        <v>-0.26930831072504169</v>
      </c>
      <c r="P198" s="81">
        <f t="shared" si="119"/>
        <v>2.1357768164321968E-2</v>
      </c>
      <c r="Q198" s="81">
        <f t="shared" si="120"/>
        <v>0.12419957310565635</v>
      </c>
      <c r="T198" s="81">
        <f t="shared" si="121"/>
        <v>1</v>
      </c>
      <c r="U198" s="81">
        <f t="shared" si="122"/>
        <v>0.10486517334855186</v>
      </c>
      <c r="V198" s="81">
        <f t="shared" si="123"/>
        <v>0.16051136363636365</v>
      </c>
      <c r="W198" s="81">
        <f t="shared" si="124"/>
        <v>-0.11550016690775565</v>
      </c>
      <c r="X198" s="81">
        <f t="shared" si="125"/>
        <v>1.2202792804126306E-2</v>
      </c>
      <c r="Y198" s="81">
        <f t="shared" si="126"/>
        <v>8.4514044245587866E-2</v>
      </c>
      <c r="Z198" s="81">
        <f t="shared" si="127"/>
        <v>-3.8964015585606235E-2</v>
      </c>
      <c r="AA198" s="81">
        <f t="shared" si="128"/>
        <v>1.550202718817076E-3</v>
      </c>
      <c r="AC198" s="49"/>
    </row>
    <row r="199" spans="2:29" x14ac:dyDescent="0.2">
      <c r="B199" s="20" t="s">
        <v>387</v>
      </c>
      <c r="M199" s="81">
        <f t="shared" si="116"/>
        <v>1</v>
      </c>
      <c r="N199" s="81">
        <f t="shared" si="117"/>
        <v>-8.0660347749670458E-2</v>
      </c>
      <c r="O199" s="81">
        <f t="shared" si="118"/>
        <v>-3.3865901952751604E-2</v>
      </c>
      <c r="P199" s="81">
        <f t="shared" si="119"/>
        <v>-5.6749116607773854E-2</v>
      </c>
      <c r="Q199" s="81">
        <f t="shared" si="120"/>
        <v>4.9786468869408858E-2</v>
      </c>
      <c r="T199" s="81">
        <f t="shared" si="121"/>
        <v>1</v>
      </c>
      <c r="U199" s="81">
        <f t="shared" si="122"/>
        <v>-2.9600670203853673E-2</v>
      </c>
      <c r="V199" s="81">
        <f t="shared" si="123"/>
        <v>0.16374100719424461</v>
      </c>
      <c r="W199" s="81">
        <f t="shared" si="124"/>
        <v>-0.20845697329376855</v>
      </c>
      <c r="X199" s="81">
        <f t="shared" si="125"/>
        <v>2.796001249609497E-2</v>
      </c>
      <c r="Y199" s="81">
        <f t="shared" si="126"/>
        <v>5.6374411183710685E-2</v>
      </c>
      <c r="Z199" s="81">
        <f t="shared" si="127"/>
        <v>0.2363348676639816</v>
      </c>
      <c r="AA199" s="81">
        <f t="shared" si="128"/>
        <v>-0.19557882489819661</v>
      </c>
      <c r="AC199" s="49"/>
    </row>
    <row r="200" spans="2:29" x14ac:dyDescent="0.2">
      <c r="B200" s="20" t="s">
        <v>388</v>
      </c>
      <c r="M200" s="81">
        <f t="shared" si="116"/>
        <v>1</v>
      </c>
      <c r="N200" s="81">
        <f t="shared" si="117"/>
        <v>7.4908124169207918E-2</v>
      </c>
      <c r="O200" s="81">
        <f t="shared" si="118"/>
        <v>-3.3849809655439975E-2</v>
      </c>
      <c r="P200" s="81">
        <f t="shared" si="119"/>
        <v>-7.1276195256619407E-2</v>
      </c>
      <c r="Q200" s="81">
        <f t="shared" si="120"/>
        <v>-3.5643831914606135E-2</v>
      </c>
      <c r="T200" s="81">
        <f t="shared" si="121"/>
        <v>1</v>
      </c>
      <c r="U200" s="81">
        <f t="shared" si="122"/>
        <v>0.11670989255279733</v>
      </c>
      <c r="V200" s="81">
        <f t="shared" si="123"/>
        <v>0.29915947799159476</v>
      </c>
      <c r="W200" s="81">
        <f t="shared" si="124"/>
        <v>-0.35966629777815612</v>
      </c>
      <c r="X200" s="81">
        <f t="shared" si="125"/>
        <v>-1.5687317202871576E-2</v>
      </c>
      <c r="Y200" s="81">
        <f t="shared" si="126"/>
        <v>0.21731496488384658</v>
      </c>
      <c r="Z200" s="81">
        <f t="shared" si="127"/>
        <v>0.27515810495950294</v>
      </c>
      <c r="AA200" s="81">
        <f t="shared" si="128"/>
        <v>-0.31253806664926476</v>
      </c>
      <c r="AC200" s="49"/>
    </row>
    <row r="201" spans="2:29" x14ac:dyDescent="0.2">
      <c r="B201" s="20" t="s">
        <v>365</v>
      </c>
      <c r="M201" s="81">
        <f t="shared" si="116"/>
        <v>1</v>
      </c>
      <c r="N201" s="81">
        <f t="shared" si="117"/>
        <v>0.14181951041286078</v>
      </c>
      <c r="O201" s="81">
        <f t="shared" si="118"/>
        <v>7.7704821513138525E-2</v>
      </c>
      <c r="P201" s="81">
        <f t="shared" si="119"/>
        <v>0.14214964370546318</v>
      </c>
      <c r="Q201" s="81">
        <f t="shared" si="120"/>
        <v>0.135064313864135</v>
      </c>
      <c r="T201" s="81">
        <f t="shared" si="121"/>
        <v>1</v>
      </c>
      <c r="U201" s="81">
        <f t="shared" si="122"/>
        <v>3.1346797175071245E-2</v>
      </c>
      <c r="V201" s="81">
        <f t="shared" si="123"/>
        <v>5.4781355117731863E-2</v>
      </c>
      <c r="W201" s="81">
        <f t="shared" si="124"/>
        <v>1.1579347000759301E-2</v>
      </c>
      <c r="X201" s="81">
        <f t="shared" si="125"/>
        <v>2.9198723963220118E-2</v>
      </c>
      <c r="Y201" s="81">
        <f t="shared" si="126"/>
        <v>4.8390037559712648E-2</v>
      </c>
      <c r="Z201" s="81">
        <f t="shared" si="127"/>
        <v>4.3930434782608697E-2</v>
      </c>
      <c r="AA201" s="81">
        <f t="shared" si="128"/>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29">100*(1+((O115-$M115)/ABS($M115)))</f>
        <v>116.53280696977947</v>
      </c>
      <c r="P209" s="143">
        <f t="shared" si="129"/>
        <v>155.04356112169887</v>
      </c>
      <c r="Q209" s="143">
        <f t="shared" si="129"/>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0">100*(1+((O25-$M25)/ABS($M25)))</f>
        <v>109.26916221033866</v>
      </c>
      <c r="P211" s="143">
        <f t="shared" si="130"/>
        <v>108.37789661319073</v>
      </c>
      <c r="Q211" s="143">
        <f t="shared" si="130"/>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5" t="s">
        <v>232</v>
      </c>
      <c r="C4" s="235"/>
      <c r="E4" s="235" t="s">
        <v>239</v>
      </c>
      <c r="F4" s="235"/>
      <c r="G4" s="235"/>
    </row>
    <row r="5" spans="2:7" x14ac:dyDescent="0.2">
      <c r="B5" s="20" t="s">
        <v>1</v>
      </c>
      <c r="C5" s="169">
        <f ca="1">Overview!C5</f>
        <v>315.32</v>
      </c>
      <c r="E5" s="12"/>
      <c r="F5" s="132" t="s">
        <v>240</v>
      </c>
      <c r="G5" s="132" t="s">
        <v>241</v>
      </c>
    </row>
    <row r="6" spans="2:7" x14ac:dyDescent="0.2">
      <c r="B6" s="20" t="s">
        <v>238</v>
      </c>
      <c r="C6" s="170">
        <f ca="1">Statement!AC143</f>
        <v>4647816.8</v>
      </c>
      <c r="E6" s="20" t="s">
        <v>19</v>
      </c>
      <c r="F6" s="175">
        <f>IF(Statement!M5&lt;=0,"N/A",_xlfn.RRI(4,Statement!M5,Statement!Q5))</f>
        <v>3.275991627577457E-2</v>
      </c>
      <c r="G6" s="175" t="str">
        <f>IF(Statement!H5&lt;=0,"N/A",_xlfn.RRI(9,Statement!H5,Statement!Q5))</f>
        <v>N/A</v>
      </c>
    </row>
    <row r="7" spans="2:7" x14ac:dyDescent="0.2">
      <c r="B7" s="20" t="s">
        <v>185</v>
      </c>
      <c r="C7" s="170">
        <f ca="1">Statement!AC144</f>
        <v>4585932.7999999998</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38.128174123337367</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10.363242321272722</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43.488227549745986</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10.158409718191926</v>
      </c>
    </row>
    <row r="12" spans="2:7" x14ac:dyDescent="0.2">
      <c r="B12" s="20" t="s">
        <v>201</v>
      </c>
      <c r="C12" s="171">
        <f ca="1">Statement!AC146</f>
        <v>31.119340960601495</v>
      </c>
    </row>
    <row r="15" spans="2:7" x14ac:dyDescent="0.2">
      <c r="B15" s="235" t="s">
        <v>75</v>
      </c>
      <c r="C15" s="235"/>
      <c r="E15" s="235" t="s">
        <v>245</v>
      </c>
      <c r="F15" s="235"/>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35" t="s">
        <v>244</v>
      </c>
      <c r="C21" s="235"/>
      <c r="E21" s="235" t="s">
        <v>248</v>
      </c>
      <c r="F21" s="235"/>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35" t="s">
        <v>249</v>
      </c>
      <c r="C29" s="235"/>
      <c r="E29" s="235" t="s">
        <v>255</v>
      </c>
      <c r="F29" s="235"/>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35" t="s">
        <v>267</v>
      </c>
      <c r="C37" s="235"/>
      <c r="E37" s="235" t="s">
        <v>270</v>
      </c>
      <c r="F37" s="235"/>
    </row>
    <row r="38" spans="2:6" x14ac:dyDescent="0.2">
      <c r="B38" s="20" t="s">
        <v>265</v>
      </c>
      <c r="C38" s="172">
        <f ca="1">Statement!AC152</f>
        <v>2.6227324622605606E-2</v>
      </c>
      <c r="E38" s="20" t="s">
        <v>269</v>
      </c>
      <c r="F38" s="172">
        <f>Statement!AC158</f>
        <v>0.13439814694773597</v>
      </c>
    </row>
    <row r="39" spans="2:6" x14ac:dyDescent="0.2">
      <c r="B39" s="54" t="s">
        <v>268</v>
      </c>
      <c r="C39" s="212">
        <f ca="1">Statement!AC151</f>
        <v>2.4893623173787745E-2</v>
      </c>
      <c r="E39" s="20" t="s">
        <v>271</v>
      </c>
      <c r="F39" s="172">
        <f>Statement!AC159</f>
        <v>0.67584549831029983</v>
      </c>
    </row>
    <row r="40" spans="2:6" x14ac:dyDescent="0.2">
      <c r="B40" s="20" t="s">
        <v>266</v>
      </c>
      <c r="C40" s="172">
        <f ca="1">Statement!AC153</f>
        <v>3.2982367119117088E-3</v>
      </c>
      <c r="E40" s="20" t="s">
        <v>272</v>
      </c>
      <c r="F40" s="172">
        <f>Statement!AC160</f>
        <v>0.81024364525803583</v>
      </c>
    </row>
    <row r="41" spans="2:6" x14ac:dyDescent="0.2">
      <c r="B41" s="20" t="s">
        <v>291</v>
      </c>
      <c r="C41" s="172">
        <f ca="1">Statement!AC154</f>
        <v>1.6824243158637408E-2</v>
      </c>
    </row>
    <row r="42" spans="2:6" x14ac:dyDescent="0.2">
      <c r="B42" s="20" t="s">
        <v>293</v>
      </c>
      <c r="C42" s="172">
        <f ca="1">Statement!AC155</f>
        <v>2.0169899984009698E-2</v>
      </c>
    </row>
    <row r="45" spans="2:6" x14ac:dyDescent="0.2">
      <c r="B45" s="235" t="s">
        <v>278</v>
      </c>
      <c r="C45" s="235"/>
      <c r="E45" s="235" t="s">
        <v>284</v>
      </c>
      <c r="F45" s="235"/>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1.3314638391082885E-2</v>
      </c>
    </row>
    <row r="51" spans="2:6" x14ac:dyDescent="0.2">
      <c r="B51" s="235" t="s">
        <v>281</v>
      </c>
      <c r="C51" s="235"/>
      <c r="E51" s="235" t="s">
        <v>302</v>
      </c>
      <c r="F51" s="235"/>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315.32</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4647816.8</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4585932.7999999998</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38.128174123337367</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10.363242321272722</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43.488227549745986</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10.158409718191926</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31.119340960601495</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2.6227324622605606E-2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2.4893623173787745E-2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3.2982367119117088E-3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1.6824243158637408E-2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2.0169899984009698E-2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1.3314638391082885E-2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312</v>
      </c>
      <c r="D3" s="239"/>
      <c r="F3" s="240" t="s">
        <v>313</v>
      </c>
      <c r="G3" s="239"/>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36">
        <f>Statement!AA88</f>
        <v>-0.22657836890286318</v>
      </c>
      <c r="D7" s="237"/>
      <c r="F7" s="236">
        <f>IF(F6=0,
IF(G6=0,0,IF(G6&gt;0,1,-1)),
(G6-F6)/ABS(F6)
)</f>
        <v>0.16595182415922985</v>
      </c>
      <c r="G7" s="237"/>
    </row>
    <row r="8" spans="2:7" x14ac:dyDescent="0.2">
      <c r="B8" s="204" t="s">
        <v>20</v>
      </c>
      <c r="C8" s="197">
        <f>Statement!Z6</f>
        <v>74525</v>
      </c>
      <c r="D8" s="195">
        <f>Statement!AA6</f>
        <v>56403</v>
      </c>
      <c r="F8" s="197">
        <f>Statement!W6</f>
        <v>50492</v>
      </c>
      <c r="G8" s="195">
        <f>Statement!AA6</f>
        <v>56403</v>
      </c>
    </row>
    <row r="9" spans="2:7" x14ac:dyDescent="0.2">
      <c r="B9" s="203" t="s">
        <v>314</v>
      </c>
      <c r="C9" s="236">
        <f>Statement!AA89</f>
        <v>-0.24316672257631666</v>
      </c>
      <c r="D9" s="237"/>
      <c r="F9" s="236">
        <f>IF(F8=0,
IF(G8=0,0,IF(G8&gt;0,1,-1)),
(G8-F8)/ABS(F8)
)</f>
        <v>0.11706805038421929</v>
      </c>
      <c r="G9" s="237"/>
    </row>
    <row r="10" spans="2:7" x14ac:dyDescent="0.2">
      <c r="B10" s="204" t="s">
        <v>21</v>
      </c>
      <c r="C10" s="197">
        <f>Statement!Z7</f>
        <v>69231</v>
      </c>
      <c r="D10" s="195">
        <f>Statement!AA7</f>
        <v>54781</v>
      </c>
      <c r="F10" s="197">
        <f>Statement!W7</f>
        <v>44867</v>
      </c>
      <c r="G10" s="195">
        <f>Statement!AA7</f>
        <v>54781</v>
      </c>
    </row>
    <row r="11" spans="2:7" x14ac:dyDescent="0.2">
      <c r="B11" s="203" t="s">
        <v>314</v>
      </c>
      <c r="C11" s="236">
        <f>Statement!AA90</f>
        <v>-0.2087215264838006</v>
      </c>
      <c r="D11" s="237"/>
      <c r="F11" s="236">
        <f>IF(F10=0,
IF(G10=0,0,IF(G10&gt;0,1,-1)),
(G10-F10)/ABS(F10)
)</f>
        <v>0.22096418302984375</v>
      </c>
      <c r="G11" s="237"/>
    </row>
    <row r="12" spans="2:7" x14ac:dyDescent="0.2">
      <c r="B12" s="204" t="s">
        <v>23</v>
      </c>
      <c r="C12" s="197">
        <f>Statement!Z10</f>
        <v>18379</v>
      </c>
      <c r="D12" s="195">
        <f>Statement!AA10</f>
        <v>18896</v>
      </c>
      <c r="F12" s="197">
        <f>Statement!W10</f>
        <v>15278</v>
      </c>
      <c r="G12" s="195">
        <f>Statement!AA10</f>
        <v>18896</v>
      </c>
    </row>
    <row r="13" spans="2:7" x14ac:dyDescent="0.2">
      <c r="B13" s="203" t="s">
        <v>314</v>
      </c>
      <c r="C13" s="236">
        <f>Statement!AA93</f>
        <v>2.8129930899396048E-2</v>
      </c>
      <c r="D13" s="237"/>
      <c r="F13" s="236">
        <f>IF(F12=0,
IF(G12=0,0,IF(G12&gt;0,1,-1)),
(G12-F12)/ABS(F12)
)</f>
        <v>0.23681110092944102</v>
      </c>
      <c r="G13" s="237"/>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36">
        <f>Statement!AA94</f>
        <v>-0.29432470699284197</v>
      </c>
      <c r="D15" s="237"/>
      <c r="F15" s="236">
        <f>IF(F14=0,
IF(G14=0,0,IF(G14&gt;0,1,-1)),
(G14-F14)/ABS(F14)
)</f>
        <v>0.21278177701172732</v>
      </c>
      <c r="G15" s="237"/>
    </row>
    <row r="16" spans="2:7" x14ac:dyDescent="0.2">
      <c r="B16" s="204" t="s">
        <v>29</v>
      </c>
      <c r="C16" s="197">
        <f>Statement!Z17</f>
        <v>42097</v>
      </c>
      <c r="D16" s="195">
        <f>Statement!AA17</f>
        <v>29578</v>
      </c>
      <c r="F16" s="197">
        <f>Statement!W17</f>
        <v>24780</v>
      </c>
      <c r="G16" s="195">
        <f>Statement!AA17</f>
        <v>29578</v>
      </c>
    </row>
    <row r="17" spans="2:7" x14ac:dyDescent="0.2">
      <c r="B17" s="203" t="s">
        <v>314</v>
      </c>
      <c r="C17" s="236">
        <f>Statement!AA96</f>
        <v>-0.29738461173005204</v>
      </c>
      <c r="D17" s="237"/>
      <c r="F17" s="236">
        <f>IF(F16=0,
IF(G16=0,0,IF(G16&gt;0,1,-1)),
(G16-F16)/ABS(F16)
)</f>
        <v>0.19362389023405974</v>
      </c>
      <c r="G17" s="237"/>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36">
        <f>IF(C18=0,
IF(D18=0,0,IF(D18&gt;0,1,-1)),
(D18-C18)/ABS(C18)
)</f>
        <v>-5.6718433490884537E-3</v>
      </c>
      <c r="D19" s="237"/>
      <c r="F19" s="236">
        <f>IF(F18=0,
IF(G18=0,0,IF(G18&gt;0,1,-1)),
(G18-F18)/ABS(F18)
)</f>
        <v>-2.1918172157279491E-2</v>
      </c>
      <c r="G19" s="237"/>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36">
        <f>IF(C20=0,
IF(D20=0,0,IF(D20&gt;0,1,-1)),
(D20-C20)/ABS(C20)
)</f>
        <v>-0.29225352112676062</v>
      </c>
      <c r="D21" s="237"/>
      <c r="F21" s="236">
        <f>IF(F20=0,
IF(G20=0,0,IF(G20&gt;0,1,-1)),
(G20-F20)/ABS(F20)
)</f>
        <v>0.21818181818181812</v>
      </c>
      <c r="G21" s="237"/>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36">
        <f>IF(C24=0,
IF(D24=0,0,IF(D24&gt;0,1,-1)),
(D24-C24)/ABS(C24)
)</f>
        <v>-0.22956141399989749</v>
      </c>
      <c r="D25" s="237"/>
      <c r="F25" s="236">
        <f>IF(F24=0,
IF(G24=0,0,IF(G24&gt;0,1,-1)),
(G24-F24)/ABS(F24)
)</f>
        <v>0.11851668113605358</v>
      </c>
      <c r="G25" s="237"/>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36">
        <f>IF(C26=0,
IF(D26=0,0,IF(D26&gt;0,1,-1)),
(D26-C26)/ABS(C26)
)</f>
        <v>-0.26453625543962672</v>
      </c>
      <c r="D27" s="237"/>
      <c r="F27" s="236">
        <f>IF(F26=0,
IF(G26=0,0,IF(G26&gt;0,1,-1)),
(G26-F26)/ABS(F26)
)</f>
        <v>0.14725607262615523</v>
      </c>
      <c r="G27" s="237"/>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36">
        <f>IF(C28=0,
IF(D28=0,0,IF(D28&gt;0,1,-1)),
(D28-C28)/ABS(C28)
)</f>
        <v>-0.19701480843061975</v>
      </c>
      <c r="D29" s="237"/>
      <c r="F29" s="236">
        <f>IF(F28=0,
IF(G28=0,0,IF(G28&gt;0,1,-1)),
(G28-F28)/ABS(F28)
)</f>
        <v>0.28090238720159982</v>
      </c>
      <c r="G29" s="237"/>
    </row>
    <row r="30" spans="2:7" x14ac:dyDescent="0.2">
      <c r="B30" s="20" t="s">
        <v>383</v>
      </c>
      <c r="C30" s="197">
        <f>Statement!Z180</f>
        <v>9413</v>
      </c>
      <c r="D30" s="195">
        <f>Statement!AA180</f>
        <v>8401</v>
      </c>
      <c r="F30" s="197">
        <f>Statement!W180</f>
        <v>7298</v>
      </c>
      <c r="G30" s="195">
        <f>Statement!AA180</f>
        <v>8401</v>
      </c>
    </row>
    <row r="31" spans="2:7" x14ac:dyDescent="0.2">
      <c r="B31" s="203" t="s">
        <v>314</v>
      </c>
      <c r="C31" s="236">
        <f>IF(C30=0,
IF(D30=0,0,IF(D30&gt;0,1,-1)),
(D30-C30)/ABS(C30)
)</f>
        <v>-0.10751088919579305</v>
      </c>
      <c r="D31" s="237"/>
      <c r="F31" s="236">
        <f>IF(F30=0,
IF(G30=0,0,IF(G30&gt;0,1,-1)),
(G30-F30)/ABS(F30)
)</f>
        <v>0.15113729788983282</v>
      </c>
      <c r="G31" s="237"/>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36">
        <f>IF(C32=0,
IF(D32=0,0,IF(D32&gt;0,1,-1)),
(D32-C32)/ABS(C32)
)</f>
        <v>-0.2474056992258277</v>
      </c>
      <c r="D33" s="237"/>
      <c r="F33" s="236">
        <f>IF(F32=0,
IF(G32=0,0,IF(G32&gt;0,1,-1)),
(G32-F32)/ABS(F32)
)</f>
        <v>0.25349794238683127</v>
      </c>
      <c r="G33" s="237"/>
    </row>
    <row r="35" spans="2:7" x14ac:dyDescent="0.2">
      <c r="B35" s="227" t="s">
        <v>385</v>
      </c>
      <c r="C35" s="197">
        <f>Statement!Z183</f>
        <v>85269</v>
      </c>
      <c r="D35" s="228">
        <f>Statement!AA183</f>
        <v>56994</v>
      </c>
      <c r="F35" s="197">
        <f>Statement!W183</f>
        <v>46841</v>
      </c>
      <c r="G35" s="228">
        <f>Statement!AA183</f>
        <v>56994</v>
      </c>
    </row>
    <row r="36" spans="2:7" x14ac:dyDescent="0.2">
      <c r="B36" s="203" t="s">
        <v>314</v>
      </c>
      <c r="C36" s="236">
        <f>IF(C35=0,
IF(D35=0,0,IF(D35&gt;0,1,-1)),
(D35-C35)/ABS(C35)
)</f>
        <v>-0.33159764979066247</v>
      </c>
      <c r="D36" s="237"/>
      <c r="F36" s="236">
        <f>IF(F35=0,
IF(G35=0,0,IF(G35&gt;0,1,-1)),
(G35-F35)/ABS(F35)
)</f>
        <v>0.21675455263551163</v>
      </c>
      <c r="G36" s="237"/>
    </row>
    <row r="37" spans="2:7" x14ac:dyDescent="0.2">
      <c r="B37" s="227" t="s">
        <v>386</v>
      </c>
      <c r="C37" s="197">
        <f>Statement!Z184</f>
        <v>8386</v>
      </c>
      <c r="D37" s="228">
        <f>Statement!AA184</f>
        <v>8399</v>
      </c>
      <c r="F37" s="197">
        <f>Statement!W184</f>
        <v>7949</v>
      </c>
      <c r="G37" s="228">
        <f>Statement!AA184</f>
        <v>8399</v>
      </c>
    </row>
    <row r="38" spans="2:7" x14ac:dyDescent="0.2">
      <c r="B38" s="203" t="s">
        <v>314</v>
      </c>
      <c r="C38" s="236">
        <f>IF(C37=0,
IF(D37=0,0,IF(D37&gt;0,1,-1)),
(D37-C37)/ABS(C37)
)</f>
        <v>1.550202718817076E-3</v>
      </c>
      <c r="D38" s="237"/>
      <c r="F38" s="236">
        <f>IF(F37=0,
IF(G37=0,0,IF(G37&gt;0,1,-1)),
(G37-F37)/ABS(F37)
)</f>
        <v>5.661089445213234E-2</v>
      </c>
      <c r="G38" s="237"/>
    </row>
    <row r="39" spans="2:7" x14ac:dyDescent="0.2">
      <c r="B39" s="227" t="s">
        <v>387</v>
      </c>
      <c r="C39" s="197">
        <f>Statement!Z185</f>
        <v>8595</v>
      </c>
      <c r="D39" s="228">
        <f>Statement!AA185</f>
        <v>6914</v>
      </c>
      <c r="F39" s="197">
        <f>Statement!W185</f>
        <v>6402</v>
      </c>
      <c r="G39" s="228">
        <f>Statement!AA185</f>
        <v>6914</v>
      </c>
    </row>
    <row r="40" spans="2:7" x14ac:dyDescent="0.2">
      <c r="B40" s="203" t="s">
        <v>314</v>
      </c>
      <c r="C40" s="236">
        <f>IF(C39=0,
IF(D39=0,0,IF(D39&gt;0,1,-1)),
(D39-C39)/ABS(C39)
)</f>
        <v>-0.19557882489819661</v>
      </c>
      <c r="D40" s="237"/>
      <c r="F40" s="236">
        <f>IF(F39=0,
IF(G39=0,0,IF(G39&gt;0,1,-1)),
(G39-F39)/ABS(F39)
)</f>
        <v>7.9975007810059354E-2</v>
      </c>
      <c r="G40" s="237"/>
    </row>
    <row r="41" spans="2:7" x14ac:dyDescent="0.2">
      <c r="B41" s="227" t="s">
        <v>388</v>
      </c>
      <c r="C41" s="197">
        <f>Statement!Z186</f>
        <v>11493</v>
      </c>
      <c r="D41" s="228">
        <f>Statement!AA186</f>
        <v>7901</v>
      </c>
      <c r="F41" s="197">
        <f>Statement!W186</f>
        <v>7522</v>
      </c>
      <c r="G41" s="228">
        <f>Statement!AA186</f>
        <v>7901</v>
      </c>
    </row>
    <row r="42" spans="2:7" x14ac:dyDescent="0.2">
      <c r="B42" s="203" t="s">
        <v>314</v>
      </c>
      <c r="C42" s="236">
        <f>IF(C41=0,
IF(D41=0,0,IF(D41&gt;0,1,-1)),
(D41-C41)/ABS(C41)
)</f>
        <v>-0.31253806664926476</v>
      </c>
      <c r="D42" s="237"/>
      <c r="F42" s="236">
        <f>IF(F41=0,
IF(G41=0,0,IF(G41&gt;0,1,-1)),
(G41-F41)/ABS(F41)
)</f>
        <v>5.0385535761765486E-2</v>
      </c>
      <c r="G42" s="237"/>
    </row>
    <row r="43" spans="2:7" x14ac:dyDescent="0.2">
      <c r="B43" s="227" t="s">
        <v>365</v>
      </c>
      <c r="C43" s="197">
        <f>Statement!Z187</f>
        <v>30013</v>
      </c>
      <c r="D43" s="228">
        <f>Statement!AA187</f>
        <v>30976</v>
      </c>
      <c r="F43" s="197">
        <f>Statement!W187</f>
        <v>26645</v>
      </c>
      <c r="G43" s="228">
        <f>Statement!AA187</f>
        <v>30976</v>
      </c>
    </row>
    <row r="44" spans="2:7" x14ac:dyDescent="0.2">
      <c r="B44" s="203" t="s">
        <v>314</v>
      </c>
      <c r="C44" s="236">
        <f>IF(C43=0,
IF(D43=0,0,IF(D43&gt;0,1,-1)),
(D43-C43)/ABS(C43)
)</f>
        <v>3.2086096025055806E-2</v>
      </c>
      <c r="D44" s="237"/>
      <c r="F44" s="236">
        <f>IF(F43=0,
IF(G43=0,0,IF(G43&gt;0,1,-1)),
(G43-F43)/ABS(F43)
)</f>
        <v>0.16254456746106211</v>
      </c>
      <c r="G44" s="237"/>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5" t="s">
        <v>110</v>
      </c>
      <c r="D2" s="235"/>
      <c r="E2" s="235"/>
      <c r="F2" s="235"/>
      <c r="G2" s="244"/>
      <c r="H2" s="245" t="s">
        <v>111</v>
      </c>
      <c r="I2" s="235"/>
      <c r="J2" s="235"/>
      <c r="K2" s="235"/>
      <c r="L2" s="235"/>
      <c r="O2" s="5"/>
      <c r="S2" s="235" t="s">
        <v>110</v>
      </c>
      <c r="T2" s="235"/>
      <c r="U2" s="235"/>
      <c r="V2" s="235"/>
      <c r="W2" s="235"/>
      <c r="X2" s="235"/>
      <c r="Y2" s="235"/>
      <c r="Z2" s="235"/>
      <c r="AA2" s="235" t="s">
        <v>111</v>
      </c>
      <c r="AB2" s="235"/>
      <c r="AC2" s="235"/>
      <c r="AE2" s="85" t="s">
        <v>112</v>
      </c>
    </row>
    <row r="3" spans="1:31" ht="10" customHeight="1" x14ac:dyDescent="0.2">
      <c r="O3" s="5"/>
    </row>
    <row r="4" spans="1:31" ht="16" customHeight="1" x14ac:dyDescent="0.2">
      <c r="A4" s="86"/>
      <c r="B4" s="60"/>
      <c r="C4" s="241" t="s">
        <v>113</v>
      </c>
      <c r="D4" s="241"/>
      <c r="E4" s="241"/>
      <c r="F4" s="241"/>
      <c r="G4" s="241"/>
      <c r="H4" s="241"/>
      <c r="I4" s="241"/>
      <c r="J4" s="241"/>
      <c r="K4" s="241"/>
      <c r="L4" s="241"/>
      <c r="O4" s="5"/>
      <c r="S4" s="242" t="s">
        <v>113</v>
      </c>
      <c r="T4" s="243"/>
      <c r="U4" s="243"/>
      <c r="V4" s="243"/>
      <c r="W4" s="243"/>
      <c r="X4" s="243"/>
      <c r="Y4" s="243"/>
      <c r="Z4" s="243"/>
      <c r="AA4" s="243"/>
      <c r="AB4" s="243"/>
      <c r="AC4" s="243"/>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41" t="s">
        <v>119</v>
      </c>
      <c r="D13" s="241"/>
      <c r="E13" s="241"/>
      <c r="F13" s="241"/>
      <c r="G13" s="241"/>
      <c r="H13" s="241"/>
      <c r="I13" s="241"/>
      <c r="J13" s="241"/>
      <c r="K13" s="241"/>
      <c r="L13" s="241"/>
      <c r="O13" s="5"/>
      <c r="Q13" s="91"/>
      <c r="S13" s="242" t="s">
        <v>119</v>
      </c>
      <c r="T13" s="243"/>
      <c r="U13" s="243"/>
      <c r="V13" s="243"/>
      <c r="W13" s="243"/>
      <c r="X13" s="243"/>
      <c r="Y13" s="243"/>
      <c r="Z13" s="243"/>
      <c r="AA13" s="243"/>
      <c r="AB13" s="243"/>
      <c r="AC13" s="243"/>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 t="shared" ref="T15:Z16" si="12">T6/S6-1</f>
        <v>0.17625203583061899</v>
      </c>
      <c r="U15" s="95">
        <f t="shared" si="12"/>
        <v>0.49578122971745064</v>
      </c>
      <c r="V15" s="95">
        <f t="shared" si="12"/>
        <v>-0.3224999276808701</v>
      </c>
      <c r="W15" s="95">
        <f t="shared" si="12"/>
        <v>-4.8226980636621786E-2</v>
      </c>
      <c r="X15" s="95">
        <f t="shared" si="12"/>
        <v>9.9659055224081472E-2</v>
      </c>
      <c r="Y15" s="95">
        <f t="shared" si="12"/>
        <v>0.73929627740948489</v>
      </c>
      <c r="Z15" s="96">
        <f t="shared" si="12"/>
        <v>-0.33159764979066253</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0.2</v>
      </c>
      <c r="I16" s="97">
        <v>0.05</v>
      </c>
      <c r="J16" s="97">
        <v>0.1</v>
      </c>
      <c r="K16" s="97">
        <v>0.03</v>
      </c>
      <c r="L16" s="97">
        <v>0.09</v>
      </c>
      <c r="O16" s="5"/>
      <c r="Q16" s="91"/>
      <c r="R16" s="1" t="str">
        <f>R7</f>
        <v>Mac</v>
      </c>
      <c r="S16" s="47"/>
      <c r="T16" s="95">
        <f t="shared" si="12"/>
        <v>0.10486517334855194</v>
      </c>
      <c r="U16" s="95">
        <f t="shared" si="12"/>
        <v>0.16051136363636354</v>
      </c>
      <c r="V16" s="95">
        <f t="shared" si="12"/>
        <v>-0.11550016690775566</v>
      </c>
      <c r="W16" s="95">
        <f t="shared" si="12"/>
        <v>1.2202792804126394E-2</v>
      </c>
      <c r="X16" s="95">
        <f t="shared" si="12"/>
        <v>8.4514044245587838E-2</v>
      </c>
      <c r="Y16" s="95">
        <f t="shared" si="12"/>
        <v>-3.8964015585606249E-2</v>
      </c>
      <c r="Z16" s="96">
        <f t="shared" si="12"/>
        <v>1.5502027188170064E-3</v>
      </c>
      <c r="AA16" s="97">
        <v>6.0000000000000001E-3</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5">U8/T8-1</f>
        <v>0.16374100719424467</v>
      </c>
      <c r="V17" s="95">
        <f t="shared" si="15"/>
        <v>-0.20845697329376855</v>
      </c>
      <c r="W17" s="95">
        <f t="shared" si="15"/>
        <v>2.7960012496095032E-2</v>
      </c>
      <c r="X17" s="95">
        <f t="shared" si="15"/>
        <v>5.6374411183710782E-2</v>
      </c>
      <c r="Y17" s="95">
        <f t="shared" si="15"/>
        <v>0.2363348676639816</v>
      </c>
      <c r="Z17" s="96">
        <f t="shared" si="15"/>
        <v>-0.19557882489819667</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0.01</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0.1167098925527974</v>
      </c>
      <c r="U18" s="95">
        <f t="shared" si="19"/>
        <v>0.2991594779915947</v>
      </c>
      <c r="V18" s="95">
        <f t="shared" si="19"/>
        <v>-0.35966629777815617</v>
      </c>
      <c r="W18" s="95">
        <f t="shared" si="19"/>
        <v>-1.5687317202871531E-2</v>
      </c>
      <c r="X18" s="95">
        <f t="shared" si="19"/>
        <v>0.21731496488384661</v>
      </c>
      <c r="Y18" s="95">
        <f t="shared" si="19"/>
        <v>0.27515810495950288</v>
      </c>
      <c r="Z18" s="96">
        <f t="shared" si="19"/>
        <v>-0.31253806664926476</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0.17</v>
      </c>
      <c r="I19" s="97">
        <v>0.13</v>
      </c>
      <c r="J19" s="97">
        <v>0.12</v>
      </c>
      <c r="K19" s="97">
        <v>0.15</v>
      </c>
      <c r="L19" s="97">
        <v>0.14000000000000001</v>
      </c>
      <c r="O19" s="5"/>
      <c r="Q19" s="91"/>
      <c r="R19" s="1" t="str">
        <f t="shared" si="18"/>
        <v>Services</v>
      </c>
      <c r="S19" s="47"/>
      <c r="T19" s="95">
        <f t="shared" ref="T19:Z19" si="20">T10/S10-1</f>
        <v>3.1346797175071162E-2</v>
      </c>
      <c r="U19" s="95">
        <f t="shared" si="20"/>
        <v>5.4781355117731856E-2</v>
      </c>
      <c r="V19" s="95">
        <f t="shared" si="20"/>
        <v>1.1579347000759244E-2</v>
      </c>
      <c r="W19" s="95">
        <f t="shared" si="20"/>
        <v>2.9198723963220097E-2</v>
      </c>
      <c r="X19" s="95">
        <f t="shared" si="20"/>
        <v>4.8390037559712606E-2</v>
      </c>
      <c r="Y19" s="95">
        <f t="shared" si="20"/>
        <v>4.3930434782608607E-2</v>
      </c>
      <c r="Z19" s="96">
        <f t="shared" si="20"/>
        <v>3.2086096025055744E-2</v>
      </c>
      <c r="AA19" s="97">
        <v>0.03</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9.3884746528386742E-2</v>
      </c>
      <c r="I20" s="103">
        <f t="shared" si="21"/>
        <v>6.2611731569849338E-2</v>
      </c>
      <c r="J20" s="103">
        <f t="shared" si="21"/>
        <v>6.5373577062155741E-2</v>
      </c>
      <c r="K20" s="103">
        <f t="shared" si="21"/>
        <v>7.1483879768876379E-2</v>
      </c>
      <c r="L20" s="103">
        <f t="shared" si="21"/>
        <v>7.6127877601726901E-2</v>
      </c>
      <c r="O20" s="5"/>
      <c r="Q20" s="91"/>
      <c r="R20" s="16" t="str">
        <f>R11</f>
        <v>Total</v>
      </c>
      <c r="S20" s="47"/>
      <c r="T20" s="103">
        <f t="shared" ref="T20:AA20" si="22">T11/S11-1</f>
        <v>0.10670692609907095</v>
      </c>
      <c r="U20" s="103">
        <f t="shared" si="22"/>
        <v>0.30938586326767092</v>
      </c>
      <c r="V20" s="103">
        <f t="shared" si="22"/>
        <v>-0.23283185840707965</v>
      </c>
      <c r="W20" s="103">
        <f t="shared" si="22"/>
        <v>-1.387388710032611E-2</v>
      </c>
      <c r="X20" s="103">
        <f t="shared" si="22"/>
        <v>8.9646518354672633E-2</v>
      </c>
      <c r="Y20" s="103">
        <f t="shared" si="22"/>
        <v>0.40296293404641537</v>
      </c>
      <c r="Z20" s="104">
        <f t="shared" si="22"/>
        <v>-0.2265783689028632</v>
      </c>
      <c r="AA20" s="103">
        <f t="shared" si="22"/>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5" t="s">
        <v>110</v>
      </c>
      <c r="D2" s="235"/>
      <c r="E2" s="235"/>
      <c r="F2" s="235"/>
      <c r="G2" s="244"/>
      <c r="H2" s="245" t="s">
        <v>111</v>
      </c>
      <c r="I2" s="235"/>
      <c r="J2" s="235"/>
      <c r="K2" s="235"/>
      <c r="L2" s="235"/>
      <c r="P2" s="235" t="s">
        <v>110</v>
      </c>
      <c r="Q2" s="235"/>
      <c r="R2" s="235"/>
      <c r="S2" s="235"/>
      <c r="T2" s="235"/>
      <c r="U2" s="235"/>
      <c r="V2" s="235"/>
      <c r="W2" s="235"/>
      <c r="X2" s="235" t="s">
        <v>111</v>
      </c>
      <c r="Y2" s="235"/>
      <c r="Z2" s="235"/>
      <c r="AB2" s="85" t="s">
        <v>112</v>
      </c>
    </row>
    <row r="3" spans="1:28" ht="10" customHeight="1" x14ac:dyDescent="0.2"/>
    <row r="4" spans="1:28" ht="16" customHeight="1" x14ac:dyDescent="0.2">
      <c r="A4" s="86"/>
      <c r="B4" s="60"/>
      <c r="C4" s="241" t="s">
        <v>113</v>
      </c>
      <c r="D4" s="241"/>
      <c r="E4" s="241"/>
      <c r="F4" s="241"/>
      <c r="G4" s="241"/>
      <c r="H4" s="241"/>
      <c r="I4" s="241"/>
      <c r="J4" s="241"/>
      <c r="K4" s="241"/>
      <c r="L4" s="241"/>
      <c r="P4" s="243" t="s">
        <v>113</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41" t="s">
        <v>122</v>
      </c>
      <c r="D9" s="241"/>
      <c r="E9" s="241"/>
      <c r="F9" s="241"/>
      <c r="G9" s="241"/>
      <c r="H9" s="241"/>
      <c r="I9" s="241"/>
      <c r="J9" s="241"/>
      <c r="K9" s="241"/>
      <c r="L9" s="241"/>
      <c r="N9" s="91"/>
      <c r="P9" s="243" t="s">
        <v>123</v>
      </c>
      <c r="Q9" s="243"/>
      <c r="R9" s="243"/>
      <c r="S9" s="243"/>
      <c r="T9" s="243"/>
      <c r="U9" s="243"/>
      <c r="V9" s="243"/>
      <c r="W9" s="243"/>
      <c r="X9" s="243"/>
      <c r="Y9" s="243"/>
      <c r="Z9" s="243"/>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41" t="s">
        <v>125</v>
      </c>
      <c r="D17" s="241"/>
      <c r="E17" s="241"/>
      <c r="F17" s="241"/>
      <c r="G17" s="241"/>
      <c r="H17" s="241"/>
      <c r="I17" s="241"/>
      <c r="J17" s="241"/>
      <c r="K17" s="241"/>
      <c r="L17" s="241"/>
      <c r="P17" s="243" t="s">
        <v>125</v>
      </c>
      <c r="Q17" s="243"/>
      <c r="R17" s="243"/>
      <c r="S17" s="243"/>
      <c r="T17" s="243"/>
      <c r="U17" s="243"/>
      <c r="V17" s="243"/>
      <c r="W17" s="243"/>
      <c r="X17" s="243"/>
      <c r="Y17" s="243"/>
      <c r="Z17" s="243"/>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0.53742844818541102</v>
      </c>
      <c r="Q19" s="103">
        <f t="shared" si="8"/>
        <v>0.53777520278099655</v>
      </c>
      <c r="R19" s="103">
        <f t="shared" si="8"/>
        <v>0.53117457763475462</v>
      </c>
      <c r="S19" s="103">
        <f t="shared" si="8"/>
        <v>0.52949380761123754</v>
      </c>
      <c r="T19" s="103">
        <f t="shared" si="8"/>
        <v>0.53509294312816369</v>
      </c>
      <c r="U19" s="103">
        <f t="shared" si="8"/>
        <v>0.52822399625241545</v>
      </c>
      <c r="V19" s="103">
        <f t="shared" si="8"/>
        <v>0.51841314449483844</v>
      </c>
      <c r="W19" s="104">
        <f t="shared" si="8"/>
        <v>0.5072942149949633</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9.3335043193396833E-2</v>
      </c>
      <c r="Q20" s="95">
        <f t="shared" si="8"/>
        <v>8.1797113662698831E-2</v>
      </c>
      <c r="R20" s="95">
        <f t="shared" si="8"/>
        <v>6.6516492357200321E-2</v>
      </c>
      <c r="S20" s="95">
        <f t="shared" si="8"/>
        <v>8.9661175138162102E-2</v>
      </c>
      <c r="T20" s="95">
        <f t="shared" si="8"/>
        <v>9.4283040537666424E-2</v>
      </c>
      <c r="U20" s="95">
        <f t="shared" si="8"/>
        <v>8.6526262369956863E-2</v>
      </c>
      <c r="V20" s="95">
        <f t="shared" si="8"/>
        <v>7.5732491165586127E-2</v>
      </c>
      <c r="W20" s="96">
        <f t="shared" si="8"/>
        <v>0.10270362642106778</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7.3679424554367726E-2</v>
      </c>
      <c r="Q21" s="95">
        <f t="shared" si="8"/>
        <v>6.8713789107763615E-2</v>
      </c>
      <c r="R21" s="95">
        <f t="shared" si="8"/>
        <v>5.7723250201126307E-2</v>
      </c>
      <c r="S21" s="95">
        <f t="shared" si="8"/>
        <v>7.0554431149655511E-2</v>
      </c>
      <c r="T21" s="95">
        <f t="shared" si="8"/>
        <v>7.0717597515844999E-2</v>
      </c>
      <c r="U21" s="95">
        <f t="shared" si="8"/>
        <v>6.8783791696757954E-2</v>
      </c>
      <c r="V21" s="95">
        <f t="shared" si="8"/>
        <v>5.2116085589471048E-2</v>
      </c>
      <c r="W21" s="96">
        <f t="shared" si="8"/>
        <v>6.7248884731616054E-2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0.15899999999999997</v>
      </c>
      <c r="J22" s="103">
        <f t="shared" si="10"/>
        <v>0.16400000000000001</v>
      </c>
      <c r="K22" s="103">
        <f t="shared" si="10"/>
        <v>0.17</v>
      </c>
      <c r="L22" s="103">
        <f t="shared" si="10"/>
        <v>0.16800000000000004</v>
      </c>
      <c r="O22" s="16" t="str">
        <f t="shared" ref="O22" si="11">O14</f>
        <v>OpEx</v>
      </c>
      <c r="P22" s="103">
        <f t="shared" ref="P22:V22" si="12">P14/P$6</f>
        <v>0.16701446774776454</v>
      </c>
      <c r="Q22" s="103">
        <f t="shared" si="12"/>
        <v>0.15051090277046245</v>
      </c>
      <c r="R22" s="103">
        <f t="shared" si="12"/>
        <v>0.12423974255832664</v>
      </c>
      <c r="S22" s="103">
        <f t="shared" si="12"/>
        <v>0.16021560628781761</v>
      </c>
      <c r="T22" s="103">
        <f t="shared" si="12"/>
        <v>0.16500063805351142</v>
      </c>
      <c r="U22" s="103">
        <f t="shared" si="12"/>
        <v>0.1553100540667148</v>
      </c>
      <c r="V22" s="103">
        <f t="shared" si="12"/>
        <v>0.12784857675505718</v>
      </c>
      <c r="W22" s="104">
        <f t="shared" ref="W22:X22" si="13">W14/W$6</f>
        <v>0.16995251115268384</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113</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129</v>
      </c>
      <c r="D11" s="241"/>
      <c r="E11" s="241"/>
      <c r="F11" s="241"/>
      <c r="G11" s="241"/>
      <c r="H11" s="241"/>
      <c r="I11" s="241"/>
      <c r="J11" s="241"/>
      <c r="K11" s="241"/>
      <c r="L11" s="241"/>
      <c r="N11" s="91"/>
      <c r="P11" s="246"/>
      <c r="Q11" s="246"/>
      <c r="R11" s="246"/>
      <c r="S11" s="246"/>
      <c r="T11" s="246"/>
      <c r="U11" s="246"/>
      <c r="V11" s="246"/>
      <c r="W11" s="246"/>
      <c r="X11" s="246"/>
      <c r="Y11" s="246"/>
      <c r="Z11" s="246"/>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41" t="s">
        <v>134</v>
      </c>
      <c r="D18" s="241"/>
      <c r="E18" s="241"/>
      <c r="F18" s="241"/>
      <c r="G18" s="241"/>
      <c r="H18" s="241"/>
      <c r="I18" s="241"/>
      <c r="J18" s="241"/>
      <c r="K18" s="241"/>
      <c r="L18" s="241"/>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46"/>
      <c r="C25" s="246"/>
    </row>
    <row r="26" spans="2:12" x14ac:dyDescent="0.2">
      <c r="B26" s="109"/>
      <c r="C26" s="241" t="s">
        <v>140</v>
      </c>
      <c r="D26" s="241"/>
      <c r="E26" s="241"/>
      <c r="F26" s="241"/>
      <c r="G26" s="241"/>
      <c r="H26" s="241"/>
      <c r="I26" s="241"/>
      <c r="J26" s="241"/>
      <c r="K26" s="241"/>
      <c r="L26" s="241"/>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41" t="s">
        <v>144</v>
      </c>
      <c r="D33" s="241"/>
      <c r="E33" s="241"/>
      <c r="F33" s="241"/>
      <c r="G33" s="241"/>
      <c r="H33" s="241"/>
      <c r="I33" s="241"/>
      <c r="J33" s="241"/>
      <c r="K33" s="241"/>
      <c r="L33" s="241"/>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1" t="s">
        <v>147</v>
      </c>
      <c r="D40" s="241"/>
      <c r="E40" s="241"/>
      <c r="F40" s="241"/>
      <c r="G40" s="241"/>
      <c r="H40" s="241"/>
      <c r="I40" s="241"/>
      <c r="J40" s="241"/>
      <c r="K40" s="241"/>
      <c r="L40" s="241"/>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-Statement!M108</f>
        <v>11085</v>
      </c>
      <c r="D45" s="114">
        <f>-Statement!N108</f>
        <v>10708</v>
      </c>
      <c r="E45" s="114">
        <f>-Statement!O108</f>
        <v>10959</v>
      </c>
      <c r="F45" s="114">
        <f>-Statement!P108</f>
        <v>9447</v>
      </c>
      <c r="G45" s="115">
        <f>-Statement!Q108</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5" t="s">
        <v>110</v>
      </c>
      <c r="D2" s="235"/>
      <c r="E2" s="235"/>
      <c r="F2" s="235"/>
      <c r="G2" s="244"/>
      <c r="H2" s="245" t="s">
        <v>111</v>
      </c>
      <c r="I2" s="235"/>
      <c r="J2" s="235"/>
      <c r="K2" s="235"/>
      <c r="L2" s="235"/>
      <c r="S2" s="246"/>
      <c r="T2" s="246"/>
      <c r="U2" s="246"/>
      <c r="V2" s="246"/>
      <c r="W2" s="246"/>
      <c r="X2" s="246"/>
      <c r="Y2" s="246"/>
      <c r="Z2" s="246"/>
      <c r="AA2" s="246"/>
      <c r="AB2" s="246"/>
      <c r="AC2" s="246"/>
      <c r="AE2" s="109"/>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41" t="s">
        <v>155</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1" t="s">
        <v>156</v>
      </c>
      <c r="D18" s="241"/>
      <c r="E18" s="241"/>
      <c r="F18" s="241"/>
      <c r="G18" s="241"/>
      <c r="H18" s="241"/>
      <c r="I18" s="241"/>
      <c r="J18" s="241"/>
      <c r="K18" s="241"/>
      <c r="L18" s="241"/>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41" t="s">
        <v>261</v>
      </c>
      <c r="D25" s="241"/>
      <c r="E25" s="241"/>
      <c r="F25" s="241"/>
      <c r="G25" s="241"/>
      <c r="H25" s="241"/>
      <c r="I25" s="241"/>
      <c r="J25" s="241"/>
      <c r="K25" s="241"/>
      <c r="L25" s="241"/>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41" t="s">
        <v>75</v>
      </c>
      <c r="D31" s="241"/>
      <c r="E31" s="241"/>
      <c r="F31" s="241"/>
      <c r="G31" s="241"/>
      <c r="H31" s="241"/>
      <c r="I31" s="241"/>
      <c r="J31" s="241"/>
      <c r="K31" s="241"/>
      <c r="L31" s="241"/>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5" t="s">
        <v>163</v>
      </c>
      <c r="C4" s="235"/>
    </row>
    <row r="5" spans="1:3" ht="17" customHeight="1" x14ac:dyDescent="0.2">
      <c r="B5" s="1" t="s">
        <v>164</v>
      </c>
      <c r="C5" s="136">
        <f>Statement!AC77</f>
        <v>14740</v>
      </c>
    </row>
    <row r="6" spans="1:3" ht="17" customHeight="1" x14ac:dyDescent="0.2">
      <c r="B6" s="1" t="s">
        <v>1</v>
      </c>
      <c r="C6" s="133">
        <f ca="1">Overview!C5</f>
        <v>315.32</v>
      </c>
    </row>
    <row r="7" spans="1:3" ht="17" customHeight="1" x14ac:dyDescent="0.2">
      <c r="B7" s="1" t="s">
        <v>165</v>
      </c>
      <c r="C7" s="134">
        <f ca="1">C5*C6</f>
        <v>4647816.8</v>
      </c>
    </row>
    <row r="8" spans="1:3" ht="17" customHeight="1" x14ac:dyDescent="0.2">
      <c r="B8" s="1" t="s">
        <v>166</v>
      </c>
      <c r="C8" s="112">
        <f>Statement!AC106</f>
        <v>84711</v>
      </c>
    </row>
    <row r="9" spans="1:3" ht="17" customHeight="1" x14ac:dyDescent="0.2">
      <c r="B9" s="1" t="s">
        <v>167</v>
      </c>
      <c r="C9" s="135">
        <f ca="1">Overview!F27</f>
        <v>4.539E-2</v>
      </c>
    </row>
    <row r="10" spans="1:3" ht="17" customHeight="1" x14ac:dyDescent="0.2">
      <c r="B10" s="1" t="s">
        <v>9</v>
      </c>
      <c r="C10" s="133">
        <f ca="1">Overview!C13</f>
        <v>1.0904</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35" t="s">
        <v>170</v>
      </c>
      <c r="C15" s="235"/>
    </row>
    <row r="16" spans="1:3" ht="17" customHeight="1" x14ac:dyDescent="0.2">
      <c r="B16" s="1" t="s">
        <v>171</v>
      </c>
      <c r="C16" s="46">
        <f ca="1">C8/(C8+C7)</f>
        <v>1.7899736373445076E-2</v>
      </c>
    </row>
    <row r="17" spans="2:3" ht="17" customHeight="1" x14ac:dyDescent="0.2">
      <c r="B17" s="1" t="s">
        <v>172</v>
      </c>
      <c r="C17" s="46">
        <f ca="1">C7/(C8+C7)</f>
        <v>0.98210026362655489</v>
      </c>
    </row>
    <row r="18" spans="2:3" ht="17" customHeight="1" x14ac:dyDescent="0.2">
      <c r="B18" s="1" t="s">
        <v>173</v>
      </c>
      <c r="C18" s="46">
        <f>C13*(1-C12)</f>
        <v>3.6735000000000004E-2</v>
      </c>
    </row>
    <row r="19" spans="2:3" ht="17" customHeight="1" x14ac:dyDescent="0.2">
      <c r="B19" s="1" t="s">
        <v>174</v>
      </c>
      <c r="C19" s="46">
        <f ca="1">C9+C10*C11</f>
        <v>9.4458E-2</v>
      </c>
    </row>
    <row r="20" spans="2:3" ht="17" customHeight="1" x14ac:dyDescent="0.2">
      <c r="B20" s="1" t="s">
        <v>162</v>
      </c>
      <c r="C20" s="46">
        <f ca="1">(C17*C19)+(C16*C18)</f>
        <v>9.3424773517315624E-2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1909649.2314645126</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96350.45327303739</v>
      </c>
      <c r="I10" s="126">
        <f t="shared" ref="I10:L10" ca="1" si="0">I7/(1+$C$15)^I9</f>
        <v>93072.765306374349</v>
      </c>
      <c r="J10" s="126">
        <f t="shared" ca="1" si="0"/>
        <v>90220.297978009301</v>
      </c>
      <c r="K10" s="126">
        <f t="shared" ca="1" si="0"/>
        <v>87245.398338495695</v>
      </c>
      <c r="L10" s="126">
        <f t="shared" ca="1" si="0"/>
        <v>87953.170485233975</v>
      </c>
      <c r="N10" s="91"/>
    </row>
    <row r="11" spans="1:28" x14ac:dyDescent="0.2">
      <c r="B11" s="1" t="s">
        <v>180</v>
      </c>
      <c r="C11" s="137"/>
      <c r="D11" s="137"/>
      <c r="E11" s="137"/>
      <c r="F11" s="137"/>
      <c r="G11" s="138"/>
      <c r="H11" s="137"/>
      <c r="I11" s="137"/>
      <c r="J11" s="137"/>
      <c r="K11" s="137"/>
      <c r="L11" s="126">
        <f ca="1">L8/(1+C15)^L9</f>
        <v>1221825.1360868276</v>
      </c>
    </row>
    <row r="13" spans="1:28" x14ac:dyDescent="0.2">
      <c r="B13" s="235" t="s">
        <v>181</v>
      </c>
      <c r="C13" s="235"/>
    </row>
    <row r="14" spans="1:28" x14ac:dyDescent="0.2">
      <c r="B14" s="1" t="s">
        <v>182</v>
      </c>
      <c r="C14" s="140">
        <v>0.02</v>
      </c>
    </row>
    <row r="15" spans="1:28" x14ac:dyDescent="0.2">
      <c r="B15" s="1" t="s">
        <v>162</v>
      </c>
      <c r="C15" s="135">
        <f ca="1">IF(Overview!C28&gt;0,Overview!C28,WACC!C20)</f>
        <v>9.3424773517315624E-2</v>
      </c>
    </row>
    <row r="18" spans="2:3" x14ac:dyDescent="0.2">
      <c r="B18" s="235" t="s">
        <v>183</v>
      </c>
      <c r="C18" s="235"/>
    </row>
    <row r="19" spans="2:3" x14ac:dyDescent="0.2">
      <c r="B19" s="1" t="s">
        <v>184</v>
      </c>
      <c r="C19" s="64">
        <f ca="1">SUM(H10:L10)</f>
        <v>454842.08538115071</v>
      </c>
    </row>
    <row r="20" spans="2:3" x14ac:dyDescent="0.2">
      <c r="B20" s="1" t="s">
        <v>180</v>
      </c>
      <c r="C20" s="64">
        <f ca="1">L11</f>
        <v>1221825.1360868276</v>
      </c>
    </row>
    <row r="21" spans="2:3" x14ac:dyDescent="0.2">
      <c r="B21" s="16" t="s">
        <v>185</v>
      </c>
      <c r="C21" s="94">
        <f ca="1">C19+C20</f>
        <v>1676667.2214679783</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1738551.2214679783</v>
      </c>
    </row>
    <row r="25" spans="2:3" x14ac:dyDescent="0.2">
      <c r="B25" s="1" t="s">
        <v>67</v>
      </c>
      <c r="C25" s="88">
        <f>Statement!AC77</f>
        <v>14740</v>
      </c>
    </row>
    <row r="26" spans="2:3" x14ac:dyDescent="0.2">
      <c r="B26" s="141" t="s">
        <v>189</v>
      </c>
      <c r="C26" s="142">
        <f ca="1">C24/C25</f>
        <v>117.94784406159961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5" t="s">
        <v>110</v>
      </c>
      <c r="D2" s="235"/>
      <c r="E2" s="235"/>
      <c r="F2" s="235"/>
      <c r="G2" s="244"/>
      <c r="H2" s="245" t="s">
        <v>111</v>
      </c>
      <c r="I2" s="235"/>
      <c r="J2" s="235"/>
      <c r="K2" s="235"/>
      <c r="L2" s="235"/>
    </row>
    <row r="3" spans="1:14" ht="10" customHeight="1" x14ac:dyDescent="0.2"/>
    <row r="4" spans="1:14" ht="16" customHeight="1" x14ac:dyDescent="0.2">
      <c r="A4" s="86"/>
      <c r="B4" s="60"/>
      <c r="C4" s="241" t="s">
        <v>191</v>
      </c>
      <c r="D4" s="241"/>
      <c r="E4" s="241"/>
      <c r="F4" s="241"/>
      <c r="G4" s="241"/>
      <c r="H4" s="241"/>
      <c r="I4" s="241"/>
      <c r="J4" s="241"/>
      <c r="K4" s="241"/>
      <c r="L4" s="241"/>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41" t="s">
        <v>119</v>
      </c>
      <c r="D10" s="241"/>
      <c r="E10" s="241"/>
      <c r="F10" s="241"/>
      <c r="G10" s="241"/>
      <c r="H10" s="241"/>
      <c r="I10" s="241"/>
      <c r="J10" s="241"/>
      <c r="K10" s="241"/>
      <c r="L10" s="241"/>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41" t="s">
        <v>193</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1" t="s">
        <v>196</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1" t="s">
        <v>197</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35" t="s">
        <v>202</v>
      </c>
      <c r="C37" s="235"/>
      <c r="N37" s="91"/>
    </row>
    <row r="38" spans="2:14" x14ac:dyDescent="0.2">
      <c r="B38" s="1" t="s">
        <v>203</v>
      </c>
      <c r="C38" s="64">
        <f>L7</f>
        <v>188372.82832200517</v>
      </c>
    </row>
    <row r="39" spans="2:14" x14ac:dyDescent="0.2">
      <c r="B39" s="1" t="s">
        <v>162</v>
      </c>
      <c r="C39" s="135">
        <f ca="1">IF(Overview!C28&gt;0,Overview!C28,WACC!C20)</f>
        <v>9.3424773517315624E-2</v>
      </c>
    </row>
    <row r="40" spans="2:14" x14ac:dyDescent="0.2">
      <c r="B40" s="39" t="s">
        <v>204</v>
      </c>
      <c r="C40" s="105">
        <v>23</v>
      </c>
    </row>
    <row r="41" spans="2:14" x14ac:dyDescent="0.2">
      <c r="B41" s="1" t="s">
        <v>200</v>
      </c>
      <c r="C41" s="24">
        <f>(C38*C40)</f>
        <v>4332575.051406119</v>
      </c>
    </row>
    <row r="42" spans="2:14" x14ac:dyDescent="0.2">
      <c r="B42" s="1" t="s">
        <v>349</v>
      </c>
      <c r="C42" s="24">
        <f ca="1">C41/(1+C39)^5-G30+G31</f>
        <v>2805816.1156033138</v>
      </c>
    </row>
    <row r="43" spans="2:14" x14ac:dyDescent="0.2">
      <c r="B43" s="1" t="s">
        <v>186</v>
      </c>
      <c r="C43" s="88">
        <f>Statement!AC105</f>
        <v>146595</v>
      </c>
    </row>
    <row r="44" spans="2:14" x14ac:dyDescent="0.2">
      <c r="B44" s="1" t="s">
        <v>187</v>
      </c>
      <c r="C44" s="88">
        <f>Statement!AC106</f>
        <v>84711</v>
      </c>
    </row>
    <row r="45" spans="2:14" x14ac:dyDescent="0.2">
      <c r="B45" s="1" t="s">
        <v>188</v>
      </c>
      <c r="C45" s="64">
        <f ca="1">C42+C43-C44</f>
        <v>2867700.1156033138</v>
      </c>
    </row>
    <row r="46" spans="2:14" x14ac:dyDescent="0.2">
      <c r="B46" s="1" t="s">
        <v>67</v>
      </c>
      <c r="C46" s="88">
        <f>Statement!AC77</f>
        <v>14740</v>
      </c>
    </row>
    <row r="47" spans="2:14" x14ac:dyDescent="0.2">
      <c r="B47" s="141" t="s">
        <v>206</v>
      </c>
      <c r="C47" s="142">
        <f ca="1">C45/C46</f>
        <v>194.55224664880012</v>
      </c>
    </row>
    <row r="49" spans="2:3" x14ac:dyDescent="0.2">
      <c r="B49" s="235" t="s">
        <v>207</v>
      </c>
      <c r="C49" s="235"/>
    </row>
    <row r="50" spans="2:3" x14ac:dyDescent="0.2">
      <c r="B50" s="1" t="s">
        <v>208</v>
      </c>
      <c r="C50" s="64">
        <f>L6</f>
        <v>594236.0514889753</v>
      </c>
    </row>
    <row r="51" spans="2:3" x14ac:dyDescent="0.2">
      <c r="B51" s="1" t="s">
        <v>348</v>
      </c>
      <c r="C51" s="135">
        <f>Overview!C29</f>
        <v>0.1</v>
      </c>
    </row>
    <row r="52" spans="2:3" x14ac:dyDescent="0.2">
      <c r="B52" s="39" t="s">
        <v>209</v>
      </c>
      <c r="C52" s="105">
        <v>5</v>
      </c>
    </row>
    <row r="53" spans="2:3" x14ac:dyDescent="0.2">
      <c r="B53" s="1" t="s">
        <v>205</v>
      </c>
      <c r="C53" s="24">
        <f>L18</f>
        <v>13302.3529680093</v>
      </c>
    </row>
    <row r="54" spans="2:3" x14ac:dyDescent="0.2">
      <c r="B54" s="1" t="s">
        <v>189</v>
      </c>
      <c r="C54" s="24">
        <f>(C50*C52)/C53</f>
        <v>223.35749657148918</v>
      </c>
    </row>
    <row r="55" spans="2:3" x14ac:dyDescent="0.2">
      <c r="B55" s="141" t="s">
        <v>206</v>
      </c>
      <c r="C55" s="142">
        <f>C54/(1+C51)^5</f>
        <v>138.68743228634972</v>
      </c>
    </row>
    <row r="57" spans="2:3" x14ac:dyDescent="0.2">
      <c r="B57" s="235" t="s">
        <v>321</v>
      </c>
      <c r="C57" s="235"/>
    </row>
    <row r="58" spans="2:3" x14ac:dyDescent="0.2">
      <c r="B58" s="1" t="s">
        <v>210</v>
      </c>
      <c r="C58" s="64">
        <f>L8</f>
        <v>137466.23756646831</v>
      </c>
    </row>
    <row r="59" spans="2:3" x14ac:dyDescent="0.2">
      <c r="B59" s="1" t="s">
        <v>162</v>
      </c>
      <c r="C59" s="135">
        <f ca="1">IF(Overview!C28&gt;0,Overview!C28,WACC!C20)</f>
        <v>9.3424773517315624E-2</v>
      </c>
    </row>
    <row r="60" spans="2:3" x14ac:dyDescent="0.2">
      <c r="B60" s="39" t="s">
        <v>350</v>
      </c>
      <c r="C60" s="105">
        <v>20</v>
      </c>
    </row>
    <row r="61" spans="2:3" x14ac:dyDescent="0.2">
      <c r="B61" s="1" t="s">
        <v>200</v>
      </c>
      <c r="C61" s="24">
        <f>(C58*C60)</f>
        <v>2749324.7513293661</v>
      </c>
    </row>
    <row r="62" spans="2:3" x14ac:dyDescent="0.2">
      <c r="B62" s="1" t="s">
        <v>349</v>
      </c>
      <c r="C62" s="24">
        <f ca="1">C61/(1+C59)^5-G30+G31</f>
        <v>1792826.4097046796</v>
      </c>
    </row>
    <row r="63" spans="2:3" x14ac:dyDescent="0.2">
      <c r="B63" s="1" t="s">
        <v>186</v>
      </c>
      <c r="C63" s="88">
        <f>Statement!AC105</f>
        <v>146595</v>
      </c>
    </row>
    <row r="64" spans="2:3" x14ac:dyDescent="0.2">
      <c r="B64" s="1" t="s">
        <v>187</v>
      </c>
      <c r="C64" s="88">
        <f>Statement!AC106</f>
        <v>84711</v>
      </c>
    </row>
    <row r="65" spans="2:3" x14ac:dyDescent="0.2">
      <c r="B65" s="1" t="s">
        <v>188</v>
      </c>
      <c r="C65" s="64">
        <f ca="1">C62+C63-C64</f>
        <v>1854710.4097046796</v>
      </c>
    </row>
    <row r="66" spans="2:3" x14ac:dyDescent="0.2">
      <c r="B66" s="1" t="s">
        <v>67</v>
      </c>
      <c r="C66" s="88">
        <f>Statement!AC77</f>
        <v>14740</v>
      </c>
    </row>
    <row r="67" spans="2:3" x14ac:dyDescent="0.2">
      <c r="B67" s="141" t="s">
        <v>206</v>
      </c>
      <c r="C67" s="142">
        <f ca="1">C65/C66</f>
        <v>125.82838600438804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5" t="s">
        <v>212</v>
      </c>
      <c r="C4" s="235"/>
      <c r="N4" s="91"/>
    </row>
    <row r="5" spans="1:14" x14ac:dyDescent="0.2">
      <c r="B5" s="1" t="s">
        <v>213</v>
      </c>
      <c r="C5" s="133">
        <f ca="1">DCF!C26</f>
        <v>117.94784406159961</v>
      </c>
    </row>
    <row r="6" spans="1:14" x14ac:dyDescent="0.2">
      <c r="B6" s="1" t="s">
        <v>214</v>
      </c>
      <c r="C6" s="133">
        <f ca="1">Multiples!C47</f>
        <v>194.55224664880012</v>
      </c>
    </row>
    <row r="7" spans="1:14" x14ac:dyDescent="0.2">
      <c r="B7" s="1" t="s">
        <v>215</v>
      </c>
      <c r="C7" s="133">
        <f>Multiples!C55</f>
        <v>138.68743228634972</v>
      </c>
    </row>
    <row r="8" spans="1:14" x14ac:dyDescent="0.2">
      <c r="B8" s="1" t="s">
        <v>322</v>
      </c>
      <c r="C8" s="133">
        <f ca="1">Multiples!C67</f>
        <v>125.82838600438804</v>
      </c>
    </row>
    <row r="9" spans="1:14" x14ac:dyDescent="0.2">
      <c r="B9" s="141" t="s">
        <v>216</v>
      </c>
      <c r="C9" s="142">
        <f ca="1">AVERAGE(C5:C8)</f>
        <v>144.25397725028435</v>
      </c>
    </row>
    <row r="10" spans="1:14" x14ac:dyDescent="0.2">
      <c r="B10" s="1" t="s">
        <v>217</v>
      </c>
      <c r="C10" s="133">
        <f ca="1">Overview!C5</f>
        <v>315.32</v>
      </c>
    </row>
    <row r="11" spans="1:14" x14ac:dyDescent="0.2">
      <c r="B11" s="1" t="s">
        <v>218</v>
      </c>
      <c r="C11" s="151">
        <f ca="1">(C9-C10)/C10</f>
        <v>-0.5425156119171497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5204799.4445427703</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144934.17187130061</v>
      </c>
      <c r="I10" s="126">
        <f t="shared" ref="I10:L10" ca="1" si="1">I7/(1+$C$21)^I9</f>
        <v>164362.81440953349</v>
      </c>
      <c r="J10" s="126">
        <f t="shared" ca="1" si="1"/>
        <v>186395.89554223133</v>
      </c>
      <c r="K10" s="126">
        <f t="shared" ca="1" si="1"/>
        <v>211382.54415881552</v>
      </c>
      <c r="L10" s="126">
        <f t="shared" ca="1" si="1"/>
        <v>239718.69039857667</v>
      </c>
      <c r="N10" s="91"/>
    </row>
    <row r="11" spans="1:28" x14ac:dyDescent="0.2">
      <c r="B11" s="1" t="s">
        <v>180</v>
      </c>
      <c r="C11" s="137"/>
      <c r="D11" s="137"/>
      <c r="E11" s="137"/>
      <c r="F11" s="137"/>
      <c r="G11" s="138"/>
      <c r="H11" s="137"/>
      <c r="I11" s="137"/>
      <c r="J11" s="137"/>
      <c r="K11" s="137"/>
      <c r="L11" s="126">
        <f ca="1">L8/(1+C21)^L9</f>
        <v>3330116.6962249489</v>
      </c>
    </row>
    <row r="13" spans="1:28" ht="17" thickBot="1" x14ac:dyDescent="0.25"/>
    <row r="14" spans="1:28" x14ac:dyDescent="0.2">
      <c r="B14" s="247" t="s">
        <v>220</v>
      </c>
      <c r="C14" s="248"/>
    </row>
    <row r="15" spans="1:28" x14ac:dyDescent="0.2">
      <c r="B15" s="152" t="s">
        <v>221</v>
      </c>
      <c r="C15" s="153">
        <f ca="1">Overview!C5</f>
        <v>315.32</v>
      </c>
    </row>
    <row r="16" spans="1:28" x14ac:dyDescent="0.2">
      <c r="B16" s="152" t="s">
        <v>222</v>
      </c>
      <c r="C16" s="153">
        <f ca="1">C36</f>
        <v>295.41736315145408</v>
      </c>
    </row>
    <row r="17" spans="2:9" ht="17" thickBot="1" x14ac:dyDescent="0.25">
      <c r="B17" s="154" t="s">
        <v>323</v>
      </c>
      <c r="C17" s="155">
        <v>0.24</v>
      </c>
      <c r="E17" s="249" t="s">
        <v>223</v>
      </c>
      <c r="F17" s="249"/>
      <c r="G17" s="249"/>
      <c r="H17" s="249"/>
      <c r="I17" s="249"/>
    </row>
    <row r="18" spans="2:9" ht="17" thickBot="1" x14ac:dyDescent="0.25"/>
    <row r="19" spans="2:9" x14ac:dyDescent="0.2">
      <c r="B19" s="247" t="s">
        <v>181</v>
      </c>
      <c r="C19" s="248"/>
    </row>
    <row r="20" spans="2:9" x14ac:dyDescent="0.2">
      <c r="B20" s="156" t="s">
        <v>182</v>
      </c>
      <c r="C20" s="157">
        <v>0.02</v>
      </c>
    </row>
    <row r="21" spans="2:9" x14ac:dyDescent="0.2">
      <c r="B21" s="156" t="s">
        <v>162</v>
      </c>
      <c r="C21" s="219">
        <f ca="1">IF(Overview!C28&gt;0,Overview!C28,WACC!C20)</f>
        <v>9.3424773517315624E-2</v>
      </c>
    </row>
    <row r="22" spans="2:9" x14ac:dyDescent="0.2">
      <c r="B22" s="156" t="s">
        <v>67</v>
      </c>
      <c r="C22" s="220">
        <f>Statement!AC74</f>
        <v>14687</v>
      </c>
    </row>
    <row r="23" spans="2:9" x14ac:dyDescent="0.2">
      <c r="B23" s="156" t="s">
        <v>224</v>
      </c>
      <c r="C23" s="158">
        <f ca="1">C15*C22</f>
        <v>4631104.84</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4569220.84</v>
      </c>
    </row>
    <row r="27" spans="2:9" ht="17" thickBot="1" x14ac:dyDescent="0.25"/>
    <row r="28" spans="2:9" x14ac:dyDescent="0.2">
      <c r="B28" s="247" t="s">
        <v>183</v>
      </c>
      <c r="C28" s="248"/>
    </row>
    <row r="29" spans="2:9" x14ac:dyDescent="0.2">
      <c r="B29" s="156" t="s">
        <v>184</v>
      </c>
      <c r="C29" s="158">
        <f ca="1">SUM(H10:L10)</f>
        <v>946794.11638045753</v>
      </c>
    </row>
    <row r="30" spans="2:9" x14ac:dyDescent="0.2">
      <c r="B30" s="156" t="s">
        <v>180</v>
      </c>
      <c r="C30" s="158">
        <f ca="1">L11</f>
        <v>3330116.6962249489</v>
      </c>
    </row>
    <row r="31" spans="2:9" x14ac:dyDescent="0.2">
      <c r="B31" s="160" t="s">
        <v>185</v>
      </c>
      <c r="C31" s="161">
        <f ca="1">C29+C30</f>
        <v>4276910.8126054062</v>
      </c>
    </row>
    <row r="32" spans="2:9" x14ac:dyDescent="0.2">
      <c r="B32" s="156" t="s">
        <v>186</v>
      </c>
      <c r="C32" s="162">
        <f>C24</f>
        <v>146595</v>
      </c>
    </row>
    <row r="33" spans="2:12" x14ac:dyDescent="0.2">
      <c r="B33" s="156" t="s">
        <v>187</v>
      </c>
      <c r="C33" s="162">
        <f>C25</f>
        <v>84711</v>
      </c>
    </row>
    <row r="34" spans="2:12" x14ac:dyDescent="0.2">
      <c r="B34" s="160" t="s">
        <v>188</v>
      </c>
      <c r="C34" s="161">
        <f ca="1">C31+C32-C33</f>
        <v>4338794.8126054062</v>
      </c>
    </row>
    <row r="35" spans="2:12" x14ac:dyDescent="0.2">
      <c r="B35" s="156" t="s">
        <v>67</v>
      </c>
      <c r="C35" s="158">
        <f>C22</f>
        <v>14687</v>
      </c>
    </row>
    <row r="36" spans="2:12" ht="17" thickBot="1" x14ac:dyDescent="0.25">
      <c r="B36" s="163" t="s">
        <v>189</v>
      </c>
      <c r="C36" s="164">
        <f ca="1">C34/C35</f>
        <v>295.41736315145408</v>
      </c>
    </row>
    <row r="39" spans="2:12" x14ac:dyDescent="0.2">
      <c r="C39" s="241" t="s">
        <v>226</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2026-07-10T21:19:38Z</dcterms:modified>
</cp:coreProperties>
</file>